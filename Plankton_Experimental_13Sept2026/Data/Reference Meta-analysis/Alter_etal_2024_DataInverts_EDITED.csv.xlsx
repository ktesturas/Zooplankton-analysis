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Experimental_May2026/Data/Reference Meta-analysis/"/>
    </mc:Choice>
  </mc:AlternateContent>
  <xr:revisionPtr revIDLastSave="0" documentId="8_{32C06F2B-BF06-2747-9C28-20103B5F79E5}" xr6:coauthVersionLast="47" xr6:coauthVersionMax="47" xr10:uidLastSave="{00000000-0000-0000-0000-000000000000}"/>
  <bookViews>
    <workbookView xWindow="38400" yWindow="-21600" windowWidth="38400" windowHeight="21600" xr2:uid="{363010F4-2788-4473-817A-9C0172792A68}"/>
  </bookViews>
  <sheets>
    <sheet name="DataInverts" sheetId="1" r:id="rId1"/>
  </sheets>
  <definedNames>
    <definedName name="_xlnm._FilterDatabase" localSheetId="0" hidden="1">DataInverts!$A$1:$CF$2332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2277" i="1" l="1"/>
  <c r="B1867" i="1"/>
  <c r="B1866" i="1"/>
  <c r="B1830" i="1"/>
  <c r="B1831" i="1"/>
  <c r="B1836" i="1"/>
  <c r="B1870" i="1"/>
  <c r="B1834" i="1"/>
  <c r="B1869" i="1"/>
  <c r="C1867" i="1"/>
  <c r="C1866" i="1"/>
  <c r="C1830" i="1"/>
  <c r="C1831" i="1"/>
  <c r="C1836" i="1"/>
  <c r="C1870" i="1"/>
  <c r="C1834" i="1"/>
  <c r="C1869" i="1"/>
  <c r="B1577" i="1"/>
  <c r="B1580" i="1"/>
  <c r="B1576" i="1"/>
  <c r="B1579" i="1"/>
  <c r="B749" i="1"/>
  <c r="B737" i="1"/>
  <c r="B738" i="1"/>
  <c r="B750" i="1"/>
  <c r="C1577" i="1"/>
  <c r="C1580" i="1"/>
  <c r="C1576" i="1"/>
  <c r="C1579" i="1"/>
  <c r="C749" i="1"/>
  <c r="C737" i="1"/>
  <c r="C738" i="1"/>
  <c r="C750" i="1"/>
  <c r="B1077" i="1"/>
  <c r="B1073" i="1"/>
  <c r="B1071" i="1"/>
  <c r="C1077" i="1"/>
  <c r="C1073" i="1"/>
  <c r="C1071" i="1"/>
  <c r="W1785" i="1"/>
  <c r="W1784" i="1"/>
  <c r="W1351" i="1"/>
  <c r="W1350" i="1"/>
  <c r="W1349" i="1"/>
  <c r="W1348" i="1"/>
  <c r="W998" i="1"/>
  <c r="W997" i="1"/>
  <c r="W755" i="1"/>
  <c r="W754" i="1"/>
  <c r="W1867" i="1"/>
  <c r="W1866" i="1"/>
  <c r="W1830" i="1"/>
  <c r="W1831" i="1"/>
  <c r="W1836" i="1"/>
  <c r="W1870" i="1"/>
  <c r="W1834" i="1"/>
  <c r="W1869" i="1"/>
  <c r="W1577" i="1"/>
  <c r="W750" i="1"/>
  <c r="W1580" i="1"/>
  <c r="W1576" i="1"/>
  <c r="C1097" i="1"/>
  <c r="C1094" i="1"/>
  <c r="C1098" i="1"/>
  <c r="C1095" i="1"/>
  <c r="C1096" i="1"/>
  <c r="C226" i="1"/>
  <c r="C1406" i="1"/>
  <c r="C1115" i="1"/>
  <c r="C1593" i="1"/>
  <c r="C1405" i="1"/>
  <c r="C1591" i="1"/>
  <c r="C1592" i="1"/>
  <c r="C1404" i="1"/>
  <c r="C1415" i="1"/>
  <c r="C1601" i="1"/>
  <c r="C1124" i="1"/>
  <c r="C1114" i="1"/>
  <c r="C1403" i="1"/>
  <c r="C1414" i="1"/>
  <c r="C1402" i="1"/>
  <c r="C1113" i="1"/>
  <c r="C1364" i="1"/>
  <c r="C1413" i="1"/>
  <c r="C1123" i="1"/>
  <c r="C1412" i="1"/>
  <c r="C1411" i="1"/>
  <c r="C1410" i="1"/>
  <c r="C1409" i="1"/>
  <c r="C1408" i="1"/>
  <c r="C1122" i="1"/>
  <c r="C1121" i="1"/>
  <c r="C1407" i="1"/>
  <c r="C1120" i="1"/>
  <c r="C1119" i="1"/>
  <c r="C1118" i="1"/>
  <c r="C1117" i="1"/>
  <c r="C1116" i="1"/>
  <c r="C1112" i="1"/>
  <c r="C1111" i="1"/>
  <c r="C1602" i="1"/>
  <c r="C1102" i="1"/>
  <c r="C1603" i="1"/>
  <c r="C1889" i="1"/>
  <c r="C1890" i="1"/>
  <c r="C1888" i="1"/>
  <c r="C288" i="1"/>
  <c r="C286" i="1"/>
  <c r="C287" i="1"/>
  <c r="C225" i="1"/>
  <c r="C223" i="1"/>
  <c r="C224" i="1"/>
  <c r="C1829" i="1"/>
  <c r="C1821" i="1"/>
  <c r="C1828" i="1"/>
  <c r="C1827" i="1"/>
  <c r="C1826" i="1"/>
  <c r="C1825" i="1"/>
  <c r="C1726" i="1"/>
  <c r="C1722" i="1"/>
  <c r="C1824" i="1"/>
  <c r="C1013" i="1"/>
  <c r="C1706" i="1"/>
  <c r="C1721" i="1"/>
  <c r="C1012" i="1"/>
  <c r="C1823" i="1"/>
  <c r="C1035" i="1"/>
  <c r="C1020" i="1"/>
  <c r="C1011" i="1"/>
  <c r="C1305" i="1"/>
  <c r="C1015" i="1"/>
  <c r="C1019" i="1"/>
  <c r="C1018" i="1"/>
  <c r="C1820" i="1"/>
  <c r="C1708" i="1"/>
  <c r="C1297" i="1"/>
  <c r="C1017" i="1"/>
  <c r="C1720" i="1"/>
  <c r="C1016" i="1"/>
  <c r="C1303" i="1"/>
  <c r="C1014" i="1"/>
  <c r="C1822" i="1"/>
  <c r="C1313" i="1"/>
  <c r="C1725" i="1"/>
  <c r="C1295" i="1"/>
  <c r="C1347" i="1"/>
  <c r="C1346" i="1"/>
  <c r="C1345" i="1"/>
  <c r="C1712" i="1"/>
  <c r="C1705" i="1"/>
  <c r="C1312" i="1"/>
  <c r="C1719" i="1"/>
  <c r="C1314" i="1"/>
  <c r="C1711" i="1"/>
  <c r="C1302" i="1"/>
  <c r="C1294" i="1"/>
  <c r="C1296" i="1"/>
  <c r="C1724" i="1"/>
  <c r="C1301" i="1"/>
  <c r="C1293" i="1"/>
  <c r="C1707" i="1"/>
  <c r="C1710" i="1"/>
  <c r="C1819" i="1"/>
  <c r="C1709" i="1"/>
  <c r="C1300" i="1"/>
  <c r="C1304" i="1"/>
  <c r="C1299" i="1"/>
  <c r="C1723" i="1"/>
  <c r="C1298" i="1"/>
  <c r="C885" i="1"/>
  <c r="C880" i="1"/>
  <c r="C879" i="1"/>
  <c r="C884" i="1"/>
  <c r="C882" i="1"/>
  <c r="C881" i="1"/>
  <c r="C883" i="1"/>
  <c r="C1872" i="1"/>
  <c r="C1835" i="1"/>
  <c r="C1833" i="1"/>
  <c r="C1871" i="1"/>
  <c r="C1868" i="1"/>
  <c r="C1832" i="1"/>
  <c r="C991" i="1"/>
  <c r="C995" i="1"/>
  <c r="C990" i="1"/>
  <c r="C989" i="1"/>
  <c r="C534" i="1"/>
  <c r="C540" i="1"/>
  <c r="C988" i="1"/>
  <c r="C536" i="1"/>
  <c r="C994" i="1"/>
  <c r="C539" i="1"/>
  <c r="C533" i="1"/>
  <c r="C535" i="1"/>
  <c r="C993" i="1"/>
  <c r="C992" i="1"/>
  <c r="C538" i="1"/>
  <c r="C537" i="1"/>
  <c r="C1099" i="1"/>
  <c r="C1195" i="1"/>
  <c r="C1194" i="1"/>
  <c r="C1043" i="1"/>
  <c r="C1196" i="1"/>
  <c r="C1042" i="1"/>
  <c r="C1044" i="1"/>
  <c r="C869" i="1"/>
  <c r="C870" i="1"/>
  <c r="C871" i="1"/>
  <c r="C1100" i="1"/>
  <c r="C1101" i="1"/>
  <c r="C302" i="1"/>
  <c r="C300" i="1"/>
  <c r="C712" i="1"/>
  <c r="C301" i="1"/>
  <c r="C714" i="1"/>
  <c r="C528" i="1"/>
  <c r="C298" i="1"/>
  <c r="C299" i="1"/>
  <c r="C700" i="1"/>
  <c r="C897" i="1"/>
  <c r="C702" i="1"/>
  <c r="C297" i="1"/>
  <c r="C701" i="1"/>
  <c r="C713" i="1"/>
  <c r="C899" i="1"/>
  <c r="C898" i="1"/>
  <c r="C529" i="1"/>
  <c r="C527" i="1"/>
  <c r="C984" i="1"/>
  <c r="C983" i="1"/>
  <c r="C1353" i="1"/>
  <c r="C987" i="1"/>
  <c r="C986" i="1"/>
  <c r="C1783" i="1"/>
  <c r="C1352" i="1"/>
  <c r="C1200" i="1"/>
  <c r="C981" i="1"/>
  <c r="C1006" i="1"/>
  <c r="C996" i="1"/>
  <c r="C1008" i="1"/>
  <c r="C756" i="1"/>
  <c r="C1780" i="1"/>
  <c r="C980" i="1"/>
  <c r="C1010" i="1"/>
  <c r="C1201" i="1"/>
  <c r="C1781" i="1"/>
  <c r="C1202" i="1"/>
  <c r="C1782" i="1"/>
  <c r="C1007" i="1"/>
  <c r="C1009" i="1"/>
  <c r="C985" i="1"/>
  <c r="C758" i="1"/>
  <c r="C757" i="1"/>
  <c r="C982" i="1"/>
  <c r="C1354" i="1"/>
  <c r="C1355" i="1"/>
  <c r="C739" i="1"/>
  <c r="C1578" i="1"/>
  <c r="C1575" i="1"/>
  <c r="C1574" i="1"/>
  <c r="C227" i="1"/>
  <c r="C211" i="1"/>
  <c r="C207" i="1"/>
  <c r="C1584" i="1"/>
  <c r="C267" i="1"/>
  <c r="C206" i="1"/>
  <c r="C202" i="1"/>
  <c r="C210" i="1"/>
  <c r="C266" i="1"/>
  <c r="C209" i="1"/>
  <c r="C208" i="1"/>
  <c r="C1583" i="1"/>
  <c r="C1582" i="1"/>
  <c r="C1581" i="1"/>
  <c r="C217" i="1"/>
  <c r="C215" i="1"/>
  <c r="C219" i="1"/>
  <c r="C531" i="1"/>
  <c r="C532" i="1"/>
  <c r="C530" i="1"/>
  <c r="C268" i="1"/>
  <c r="C216" i="1"/>
  <c r="C218" i="1"/>
  <c r="C337" i="1"/>
  <c r="C306" i="1"/>
  <c r="C340" i="1"/>
  <c r="C339" i="1"/>
  <c r="C338" i="1"/>
  <c r="C979" i="1"/>
  <c r="C978" i="1"/>
  <c r="C977" i="1"/>
  <c r="C1065" i="1"/>
  <c r="C1069" i="1"/>
  <c r="C1066" i="1"/>
  <c r="C1064" i="1"/>
  <c r="C1063" i="1"/>
  <c r="C1068" i="1"/>
  <c r="C1067" i="1"/>
  <c r="C1072" i="1"/>
  <c r="C1076" i="1"/>
  <c r="C1075" i="1"/>
  <c r="C1074" i="1"/>
  <c r="C1070" i="1"/>
  <c r="C2254" i="1"/>
  <c r="C2257" i="1"/>
  <c r="C2256" i="1"/>
  <c r="C2155" i="1"/>
  <c r="C2237" i="1"/>
  <c r="C2216" i="1"/>
  <c r="C2230" i="1"/>
  <c r="C2150" i="1"/>
  <c r="C2176" i="1"/>
  <c r="C2172" i="1"/>
  <c r="C2143" i="1"/>
  <c r="C2141" i="1"/>
  <c r="C2191" i="1"/>
  <c r="C2240" i="1"/>
  <c r="C2006" i="1"/>
  <c r="C2005" i="1"/>
  <c r="C2233" i="1"/>
  <c r="C2187" i="1"/>
  <c r="C2215" i="1"/>
  <c r="C2253" i="1"/>
  <c r="C2236" i="1"/>
  <c r="C2169" i="1"/>
  <c r="C2194" i="1"/>
  <c r="C2229" i="1"/>
  <c r="C2166" i="1"/>
  <c r="C2220" i="1"/>
  <c r="C2232" i="1"/>
  <c r="C2184" i="1"/>
  <c r="C2031" i="1"/>
  <c r="C2140" i="1"/>
  <c r="C1994" i="1"/>
  <c r="C2179" i="1"/>
  <c r="C2239" i="1"/>
  <c r="C2138" i="1"/>
  <c r="C2193" i="1"/>
  <c r="C2235" i="1"/>
  <c r="C2192" i="1"/>
  <c r="C2214" i="1"/>
  <c r="C2030" i="1"/>
  <c r="C1993" i="1"/>
  <c r="C2252" i="1"/>
  <c r="C2007" i="1"/>
  <c r="C2219" i="1"/>
  <c r="C2227" i="1"/>
  <c r="C2238" i="1"/>
  <c r="C2158" i="1"/>
  <c r="C2255" i="1"/>
  <c r="C2234" i="1"/>
  <c r="C2137" i="1"/>
  <c r="C2249" i="1"/>
  <c r="C2156" i="1"/>
  <c r="C2134" i="1"/>
  <c r="C2226" i="1"/>
  <c r="C2231" i="1"/>
  <c r="C2212" i="1"/>
  <c r="C2217" i="1"/>
  <c r="C1432" i="1"/>
  <c r="C1490" i="1"/>
  <c r="C734" i="1"/>
  <c r="C1197" i="1"/>
  <c r="C723" i="1"/>
  <c r="C695" i="1"/>
  <c r="C696" i="1"/>
  <c r="C694" i="1"/>
  <c r="C735" i="1"/>
  <c r="C725" i="1"/>
  <c r="C724" i="1"/>
  <c r="C1433" i="1"/>
  <c r="C1198" i="1"/>
  <c r="C1199" i="1"/>
  <c r="C1434" i="1"/>
  <c r="C1491" i="1"/>
  <c r="C1492" i="1"/>
  <c r="C1573" i="1"/>
  <c r="C1529" i="1"/>
  <c r="C1572" i="1"/>
  <c r="C773" i="1"/>
  <c r="C769" i="1"/>
  <c r="C1183" i="1"/>
  <c r="C772" i="1"/>
  <c r="C1188" i="1"/>
  <c r="C768" i="1"/>
  <c r="C767" i="1"/>
  <c r="C1182" i="1"/>
  <c r="C766" i="1"/>
  <c r="C765" i="1"/>
  <c r="C1181" i="1"/>
  <c r="C1187" i="1"/>
  <c r="C1186" i="1"/>
  <c r="C771" i="1"/>
  <c r="C1185" i="1"/>
  <c r="C1184" i="1"/>
  <c r="C706" i="1"/>
  <c r="C1180" i="1"/>
  <c r="C707" i="1"/>
  <c r="C770" i="1"/>
  <c r="C711" i="1"/>
  <c r="C710" i="1"/>
  <c r="C705" i="1"/>
  <c r="C704" i="1"/>
  <c r="C703" i="1"/>
  <c r="C709" i="1"/>
  <c r="C1571" i="1"/>
  <c r="C708" i="1"/>
  <c r="C1570" i="1"/>
  <c r="C1528" i="1"/>
  <c r="C1533" i="1"/>
  <c r="C1527" i="1"/>
  <c r="C1526" i="1"/>
  <c r="C1058" i="1"/>
  <c r="C1525" i="1"/>
  <c r="C1062" i="1"/>
  <c r="C1524" i="1"/>
  <c r="C1532" i="1"/>
  <c r="C1523" i="1"/>
  <c r="C1531" i="1"/>
  <c r="C1530" i="1"/>
  <c r="C1057" i="1"/>
  <c r="C1522" i="1"/>
  <c r="C1521" i="1"/>
  <c r="C1061" i="1"/>
  <c r="C1060" i="1"/>
  <c r="C1056" i="1"/>
  <c r="C1046" i="1"/>
  <c r="C1520" i="1"/>
  <c r="C1059" i="1"/>
  <c r="C1045" i="1"/>
  <c r="C1419" i="1"/>
  <c r="C1417" i="1"/>
  <c r="C1416" i="1"/>
  <c r="C1423" i="1"/>
  <c r="C1418" i="1"/>
  <c r="C1422" i="1"/>
  <c r="C1421" i="1"/>
  <c r="C1420" i="1"/>
  <c r="C1125" i="1"/>
  <c r="C1139" i="1"/>
  <c r="C1138" i="1"/>
  <c r="C1127" i="1"/>
  <c r="C1126" i="1"/>
  <c r="C1137" i="1"/>
  <c r="C2111" i="1"/>
  <c r="C2109" i="1"/>
  <c r="C2120" i="1"/>
  <c r="C1989" i="1"/>
  <c r="C726" i="1"/>
  <c r="C1992" i="1"/>
  <c r="C1136" i="1"/>
  <c r="C1280" i="1"/>
  <c r="C728" i="1"/>
  <c r="C730" i="1"/>
  <c r="C1135" i="1"/>
  <c r="C1134" i="1"/>
  <c r="C1292" i="1"/>
  <c r="C1133" i="1"/>
  <c r="C1132" i="1"/>
  <c r="C1279" i="1"/>
  <c r="C1291" i="1"/>
  <c r="C1991" i="1"/>
  <c r="C1290" i="1"/>
  <c r="C1289" i="1"/>
  <c r="C1131" i="1"/>
  <c r="C1288" i="1"/>
  <c r="C1988" i="1"/>
  <c r="C1287" i="1"/>
  <c r="C1278" i="1"/>
  <c r="C1286" i="1"/>
  <c r="C729" i="1"/>
  <c r="C1285" i="1"/>
  <c r="C1900" i="1"/>
  <c r="C1898" i="1"/>
  <c r="C1990" i="1"/>
  <c r="C1284" i="1"/>
  <c r="C727" i="1"/>
  <c r="C1130" i="1"/>
  <c r="C1875" i="1"/>
  <c r="C1897" i="1"/>
  <c r="C1877" i="1"/>
  <c r="C1899" i="1"/>
  <c r="C1876" i="1"/>
  <c r="C1874" i="1"/>
  <c r="C1283" i="1"/>
  <c r="C1896" i="1"/>
  <c r="C1282" i="1"/>
  <c r="C1281" i="1"/>
  <c r="C1873" i="1"/>
  <c r="C1129" i="1"/>
  <c r="C1128" i="1"/>
  <c r="C687" i="1"/>
  <c r="C683" i="1"/>
  <c r="C722" i="1"/>
  <c r="C718" i="1"/>
  <c r="C686" i="1"/>
  <c r="C717" i="1"/>
  <c r="C721" i="1"/>
  <c r="C720" i="1"/>
  <c r="C716" i="1"/>
  <c r="C719" i="1"/>
  <c r="C685" i="1"/>
  <c r="C682" i="1"/>
  <c r="C681" i="1"/>
  <c r="C778" i="1"/>
  <c r="C781" i="1"/>
  <c r="C779" i="1"/>
  <c r="C715" i="1"/>
  <c r="C777" i="1"/>
  <c r="C780" i="1"/>
  <c r="C684" i="1"/>
  <c r="C680" i="1"/>
  <c r="C1498" i="1"/>
  <c r="C1500" i="1"/>
  <c r="C1861" i="1"/>
  <c r="C1497" i="1"/>
  <c r="C1496" i="1"/>
  <c r="C1499" i="1"/>
  <c r="C1865" i="1"/>
  <c r="C1859" i="1"/>
  <c r="C1860" i="1"/>
  <c r="C1864" i="1"/>
  <c r="C1858" i="1"/>
  <c r="C1863" i="1"/>
  <c r="C1862" i="1"/>
  <c r="C1600" i="1"/>
  <c r="C1597" i="1"/>
  <c r="C1599" i="1"/>
  <c r="C1596" i="1"/>
  <c r="C1598" i="1"/>
  <c r="C1595" i="1"/>
  <c r="C1594" i="1"/>
  <c r="C1623" i="1"/>
  <c r="C1626" i="1"/>
  <c r="C1625" i="1"/>
  <c r="C1622" i="1"/>
  <c r="C1624" i="1"/>
  <c r="C1621" i="1"/>
  <c r="C1620" i="1"/>
  <c r="C1426" i="1"/>
  <c r="C294" i="1"/>
  <c r="C293" i="1"/>
  <c r="C1428" i="1"/>
  <c r="C296" i="1"/>
  <c r="C292" i="1"/>
  <c r="C295" i="1"/>
  <c r="C1425" i="1"/>
  <c r="C1427" i="1"/>
  <c r="C1424" i="1"/>
  <c r="C580" i="1"/>
  <c r="C1715" i="1"/>
  <c r="C283" i="1"/>
  <c r="C1713" i="1"/>
  <c r="C284" i="1"/>
  <c r="C608" i="1"/>
  <c r="C1435" i="1"/>
  <c r="C1714" i="1"/>
  <c r="C609" i="1"/>
  <c r="C1627" i="1"/>
  <c r="C285" i="1"/>
  <c r="C1436" i="1"/>
  <c r="C1437" i="1"/>
  <c r="C1628" i="1"/>
  <c r="C1629" i="1"/>
  <c r="C862" i="1"/>
  <c r="C861" i="1"/>
  <c r="C860" i="1"/>
  <c r="C1494" i="1"/>
  <c r="C2053" i="1"/>
  <c r="C1495" i="1"/>
  <c r="C2071" i="1"/>
  <c r="C1203" i="1"/>
  <c r="C1204" i="1"/>
  <c r="C1205" i="1"/>
  <c r="C1493" i="1"/>
  <c r="C1777" i="1"/>
  <c r="C1779" i="1"/>
  <c r="C1778" i="1"/>
  <c r="C2034" i="1"/>
  <c r="C1002" i="1"/>
  <c r="C1005" i="1"/>
  <c r="C1001" i="1"/>
  <c r="C1004" i="1"/>
  <c r="C1003" i="1"/>
  <c r="C1000" i="1"/>
  <c r="C999" i="1"/>
  <c r="C1733" i="1"/>
  <c r="C1732" i="1"/>
  <c r="C1730" i="1"/>
  <c r="C1729" i="1"/>
  <c r="C1727" i="1"/>
  <c r="C1728" i="1"/>
  <c r="C1731" i="1"/>
  <c r="C1854" i="1"/>
  <c r="C1841" i="1"/>
  <c r="C1190" i="1"/>
  <c r="C1189" i="1"/>
  <c r="C1840" i="1"/>
  <c r="C1193" i="1"/>
  <c r="C1853" i="1"/>
  <c r="C1857" i="1"/>
  <c r="C1855" i="1"/>
  <c r="C1192" i="1"/>
  <c r="C1856" i="1"/>
  <c r="C1844" i="1"/>
  <c r="C1843" i="1"/>
  <c r="C1191" i="1"/>
  <c r="C1842" i="1"/>
  <c r="C2272" i="1"/>
  <c r="C2271" i="1"/>
  <c r="C2270" i="1"/>
  <c r="C2258" i="1"/>
  <c r="C2260" i="1"/>
  <c r="C2259" i="1"/>
  <c r="C272" i="1"/>
  <c r="C274" i="1"/>
  <c r="C273" i="1"/>
  <c r="C571" i="1"/>
  <c r="C575" i="1"/>
  <c r="C572" i="1"/>
  <c r="C866" i="1"/>
  <c r="C867" i="1"/>
  <c r="C868" i="1"/>
  <c r="C9" i="1"/>
  <c r="C8" i="1"/>
  <c r="C11" i="1"/>
  <c r="C7" i="1"/>
  <c r="C10" i="1"/>
  <c r="C1882" i="1"/>
  <c r="C1881" i="1"/>
  <c r="C1880" i="1"/>
  <c r="C1887" i="1"/>
  <c r="C1879" i="1"/>
  <c r="C1886" i="1"/>
  <c r="C1878" i="1"/>
  <c r="C1885" i="1"/>
  <c r="C1790" i="1"/>
  <c r="C2223" i="1"/>
  <c r="C1884" i="1"/>
  <c r="C1883" i="1"/>
  <c r="C1791" i="1"/>
  <c r="C2222" i="1"/>
  <c r="C1789" i="1"/>
  <c r="C2221" i="1"/>
  <c r="C2225" i="1"/>
  <c r="C2224" i="1"/>
  <c r="C1793" i="1"/>
  <c r="C1792" i="1"/>
  <c r="C371" i="1"/>
  <c r="C525" i="1"/>
  <c r="C526" i="1"/>
  <c r="C774" i="1"/>
  <c r="C895" i="1"/>
  <c r="C894" i="1"/>
  <c r="C775" i="1"/>
  <c r="C896" i="1"/>
  <c r="C350" i="1"/>
  <c r="C351" i="1"/>
  <c r="C776" i="1"/>
  <c r="C352" i="1"/>
  <c r="C354" i="1"/>
  <c r="C355" i="1"/>
  <c r="C353" i="1"/>
  <c r="C357" i="1"/>
  <c r="C356" i="1"/>
  <c r="C279" i="1"/>
  <c r="C282" i="1"/>
  <c r="C278" i="1"/>
  <c r="C281" i="1"/>
  <c r="C280" i="1"/>
  <c r="C2084" i="1"/>
  <c r="C2079" i="1"/>
  <c r="C2075" i="1"/>
  <c r="C2082" i="1"/>
  <c r="C2107" i="1"/>
  <c r="C2098" i="1"/>
  <c r="C2092" i="1"/>
  <c r="C2085" i="1"/>
  <c r="C364" i="1"/>
  <c r="C363" i="1"/>
  <c r="C361" i="1"/>
  <c r="C360" i="1"/>
  <c r="C359" i="1"/>
  <c r="C611" i="1"/>
  <c r="C1616" i="1"/>
  <c r="C676" i="1"/>
  <c r="C615" i="1"/>
  <c r="C610" i="1"/>
  <c r="C362" i="1"/>
  <c r="C614" i="1"/>
  <c r="C613" i="1"/>
  <c r="C612" i="1"/>
  <c r="C1606" i="1"/>
  <c r="C1619" i="1"/>
  <c r="C1618" i="1"/>
  <c r="C1605" i="1"/>
  <c r="C1617" i="1"/>
  <c r="C1604" i="1"/>
  <c r="C358" i="1"/>
  <c r="C900" i="1"/>
  <c r="C976" i="1"/>
  <c r="C731" i="1"/>
  <c r="C732" i="1"/>
  <c r="C901" i="1"/>
  <c r="C1037" i="1"/>
  <c r="C304" i="1"/>
  <c r="C305" i="1"/>
  <c r="C214" i="1"/>
  <c r="C212" i="1"/>
  <c r="C303" i="1"/>
  <c r="C1038" i="1"/>
  <c r="C1036" i="1"/>
  <c r="C213" i="1"/>
  <c r="C1511" i="1"/>
  <c r="C1145" i="1"/>
  <c r="C1142" i="1"/>
  <c r="C1176" i="1"/>
  <c r="C1510" i="1"/>
  <c r="C1143" i="1"/>
  <c r="C1175" i="1"/>
  <c r="C1141" i="1"/>
  <c r="C1509" i="1"/>
  <c r="C1513" i="1"/>
  <c r="C1519" i="1"/>
  <c r="C1155" i="1"/>
  <c r="C1153" i="1"/>
  <c r="C1150" i="1"/>
  <c r="C1140" i="1"/>
  <c r="C1149" i="1"/>
  <c r="C1518" i="1"/>
  <c r="C1517" i="1"/>
  <c r="C1516" i="1"/>
  <c r="C1515" i="1"/>
  <c r="C1514" i="1"/>
  <c r="C1512" i="1"/>
  <c r="C18" i="1"/>
  <c r="C855" i="1"/>
  <c r="C30" i="1"/>
  <c r="C16" i="1"/>
  <c r="C854" i="1"/>
  <c r="C15" i="1"/>
  <c r="C17" i="1"/>
  <c r="C28" i="1"/>
  <c r="C856" i="1"/>
  <c r="C1718" i="1"/>
  <c r="C1717" i="1"/>
  <c r="C1716" i="1"/>
  <c r="C2200" i="1"/>
  <c r="C2203" i="1"/>
  <c r="C2202" i="1"/>
  <c r="C2201" i="1"/>
  <c r="C2199" i="1"/>
  <c r="C2197" i="1"/>
  <c r="C874" i="1"/>
  <c r="C2195" i="1"/>
  <c r="C873" i="1"/>
  <c r="C872" i="1"/>
  <c r="C875" i="1"/>
  <c r="C878" i="1"/>
  <c r="C877" i="1"/>
  <c r="C876" i="1"/>
  <c r="C1357" i="1"/>
  <c r="C1846" i="1"/>
  <c r="C1356" i="1"/>
  <c r="C1363" i="1"/>
  <c r="C1845" i="1"/>
  <c r="C1848" i="1"/>
  <c r="C1362" i="1"/>
  <c r="C1852" i="1"/>
  <c r="C1851" i="1"/>
  <c r="C1361" i="1"/>
  <c r="C1850" i="1"/>
  <c r="C1360" i="1"/>
  <c r="C1849" i="1"/>
  <c r="C1847" i="1"/>
  <c r="C1359" i="1"/>
  <c r="C1358" i="1"/>
  <c r="C864" i="1"/>
  <c r="C863" i="1"/>
  <c r="C865" i="1"/>
  <c r="C1206" i="1"/>
  <c r="C365" i="1"/>
  <c r="C367" i="1"/>
  <c r="C1207" i="1"/>
  <c r="C366" i="1"/>
  <c r="C1438" i="1"/>
  <c r="C341" i="1"/>
  <c r="C1895" i="1"/>
  <c r="C1798" i="1"/>
  <c r="C1894" i="1"/>
  <c r="C1797" i="1"/>
  <c r="C1893" i="1"/>
  <c r="C1794" i="1"/>
  <c r="C1796" i="1"/>
  <c r="C1795" i="1"/>
  <c r="C1891" i="1"/>
  <c r="C1892" i="1"/>
  <c r="C2206" i="1"/>
  <c r="C2208" i="1"/>
  <c r="C2207" i="1"/>
  <c r="C1502" i="1"/>
  <c r="C2205" i="1"/>
  <c r="C2204" i="1"/>
  <c r="C1501" i="1"/>
  <c r="C1503" i="1"/>
  <c r="C1505" i="1"/>
  <c r="C1504" i="1"/>
  <c r="C1788" i="1"/>
  <c r="C2127" i="1"/>
  <c r="C1839" i="1"/>
  <c r="C2125" i="1"/>
  <c r="C1786" i="1"/>
  <c r="C1734" i="1"/>
  <c r="C1775" i="1"/>
  <c r="C1787" i="1"/>
  <c r="C1837" i="1"/>
  <c r="C1838" i="1"/>
  <c r="C2128" i="1"/>
  <c r="C1776" i="1"/>
  <c r="C891" i="1"/>
  <c r="C890" i="1"/>
  <c r="C889" i="1"/>
  <c r="C888" i="1"/>
  <c r="C191" i="1"/>
  <c r="C542" i="1"/>
  <c r="C190" i="1"/>
  <c r="C199" i="1"/>
  <c r="C194" i="1"/>
  <c r="C193" i="1"/>
  <c r="C192" i="1"/>
  <c r="C189" i="1"/>
  <c r="C31" i="1"/>
  <c r="C887" i="1"/>
  <c r="C886" i="1"/>
  <c r="C569" i="1"/>
  <c r="C541" i="1"/>
  <c r="C566" i="1"/>
  <c r="C544" i="1"/>
  <c r="C546" i="1"/>
  <c r="C545" i="1"/>
  <c r="C543" i="1"/>
  <c r="C1487" i="1"/>
  <c r="C1486" i="1"/>
  <c r="C1489" i="1"/>
  <c r="C1485" i="1"/>
  <c r="C1488" i="1"/>
  <c r="C2244" i="1"/>
  <c r="C2248" i="1"/>
  <c r="C2243" i="1"/>
  <c r="C2247" i="1"/>
  <c r="C2246" i="1"/>
  <c r="C849" i="1"/>
  <c r="C1902" i="1"/>
  <c r="C853" i="1"/>
  <c r="C852" i="1"/>
  <c r="C848" i="1"/>
  <c r="C2245" i="1"/>
  <c r="C851" i="1"/>
  <c r="C2242" i="1"/>
  <c r="C1901" i="1"/>
  <c r="C850" i="1"/>
  <c r="C2262" i="1"/>
  <c r="C847" i="1"/>
  <c r="C846" i="1"/>
  <c r="C2261" i="1"/>
  <c r="C2241" i="1"/>
  <c r="C1987" i="1"/>
  <c r="C1986" i="1"/>
  <c r="C1983" i="1"/>
  <c r="C2268" i="1"/>
  <c r="C2267" i="1"/>
  <c r="C2264" i="1"/>
  <c r="C1985" i="1"/>
  <c r="C1984" i="1"/>
  <c r="C1982" i="1"/>
  <c r="C2266" i="1"/>
  <c r="C2263" i="1"/>
  <c r="C2265" i="1"/>
  <c r="C1179" i="1"/>
  <c r="C1178" i="1"/>
  <c r="C697" i="1"/>
  <c r="C698" i="1"/>
  <c r="C782" i="1"/>
  <c r="C1177" i="1"/>
  <c r="C784" i="1"/>
  <c r="C783" i="1"/>
  <c r="C699" i="1"/>
  <c r="C276" i="1"/>
  <c r="C277" i="1"/>
  <c r="C2273" i="1"/>
  <c r="C2275" i="1"/>
  <c r="C2274" i="1"/>
  <c r="C275" i="1"/>
  <c r="C691" i="1"/>
  <c r="C289" i="1"/>
  <c r="C764" i="1"/>
  <c r="C291" i="1"/>
  <c r="C290" i="1"/>
  <c r="C763" i="1"/>
  <c r="C1041" i="1"/>
  <c r="C762" i="1"/>
  <c r="C693" i="1"/>
  <c r="C269" i="1"/>
  <c r="C692" i="1"/>
  <c r="C1040" i="1"/>
  <c r="C1039" i="1"/>
  <c r="C270" i="1"/>
  <c r="C271" i="1"/>
  <c r="C760" i="1"/>
  <c r="C761" i="1"/>
  <c r="C221" i="1"/>
  <c r="C759" i="1"/>
  <c r="C220" i="1"/>
  <c r="C222" i="1"/>
  <c r="C1431" i="1"/>
  <c r="C1429" i="1"/>
  <c r="C1430" i="1"/>
  <c r="C2210" i="1"/>
  <c r="C13" i="1"/>
  <c r="C12" i="1"/>
  <c r="C2211" i="1"/>
  <c r="C1506" i="1"/>
  <c r="C2209" i="1"/>
  <c r="C1508" i="1"/>
  <c r="C14" i="1"/>
  <c r="C1507" i="1"/>
  <c r="C2278" i="1"/>
  <c r="C2277" i="1"/>
  <c r="C2279" i="1"/>
  <c r="B1406" i="1"/>
  <c r="B1115" i="1"/>
  <c r="B1593" i="1"/>
  <c r="B1405" i="1"/>
  <c r="B1591" i="1"/>
  <c r="B1592" i="1"/>
  <c r="B1404" i="1"/>
  <c r="B1415" i="1"/>
  <c r="B1601" i="1"/>
  <c r="B1124" i="1"/>
  <c r="B1114" i="1"/>
  <c r="B1403" i="1"/>
  <c r="B1414" i="1"/>
  <c r="B1402" i="1"/>
  <c r="B1113" i="1"/>
  <c r="B1364" i="1"/>
  <c r="B1413" i="1"/>
  <c r="B1123" i="1"/>
  <c r="B1412" i="1"/>
  <c r="B1411" i="1"/>
  <c r="B1410" i="1"/>
  <c r="B1409" i="1"/>
  <c r="B1408" i="1"/>
  <c r="B1122" i="1"/>
  <c r="B1121" i="1"/>
  <c r="B1407" i="1"/>
  <c r="B1120" i="1"/>
  <c r="B1119" i="1"/>
  <c r="B1118" i="1"/>
  <c r="B1117" i="1"/>
  <c r="B1116" i="1"/>
  <c r="B1112" i="1"/>
  <c r="B1111" i="1"/>
  <c r="B1602" i="1"/>
  <c r="B1102" i="1"/>
  <c r="B1603" i="1"/>
  <c r="B1889" i="1"/>
  <c r="B1890" i="1"/>
  <c r="B1888" i="1"/>
  <c r="B288" i="1"/>
  <c r="B286" i="1"/>
  <c r="B287" i="1"/>
  <c r="B225" i="1"/>
  <c r="B223" i="1"/>
  <c r="B224" i="1"/>
  <c r="B1829" i="1"/>
  <c r="B1821" i="1"/>
  <c r="B1828" i="1"/>
  <c r="B1827" i="1"/>
  <c r="B1826" i="1"/>
  <c r="B1825" i="1"/>
  <c r="B1726" i="1"/>
  <c r="B1722" i="1"/>
  <c r="B1824" i="1"/>
  <c r="B1013" i="1"/>
  <c r="B1706" i="1"/>
  <c r="B1721" i="1"/>
  <c r="B1012" i="1"/>
  <c r="B1823" i="1"/>
  <c r="B1035" i="1"/>
  <c r="B1020" i="1"/>
  <c r="B1011" i="1"/>
  <c r="B1305" i="1"/>
  <c r="B1015" i="1"/>
  <c r="B1019" i="1"/>
  <c r="B1018" i="1"/>
  <c r="B1820" i="1"/>
  <c r="B1708" i="1"/>
  <c r="B1297" i="1"/>
  <c r="B1017" i="1"/>
  <c r="B1720" i="1"/>
  <c r="B1016" i="1"/>
  <c r="B1303" i="1"/>
  <c r="B1014" i="1"/>
  <c r="B1822" i="1"/>
  <c r="B1313" i="1"/>
  <c r="B1725" i="1"/>
  <c r="B1295" i="1"/>
  <c r="B1347" i="1"/>
  <c r="B1346" i="1"/>
  <c r="B1345" i="1"/>
  <c r="B1712" i="1"/>
  <c r="B1705" i="1"/>
  <c r="B1312" i="1"/>
  <c r="B1719" i="1"/>
  <c r="B1314" i="1"/>
  <c r="B1711" i="1"/>
  <c r="B1302" i="1"/>
  <c r="B1294" i="1"/>
  <c r="B1296" i="1"/>
  <c r="B1724" i="1"/>
  <c r="B1301" i="1"/>
  <c r="B1293" i="1"/>
  <c r="B1707" i="1"/>
  <c r="B1710" i="1"/>
  <c r="B1819" i="1"/>
  <c r="B1709" i="1"/>
  <c r="B1300" i="1"/>
  <c r="B1304" i="1"/>
  <c r="B1299" i="1"/>
  <c r="B1723" i="1"/>
  <c r="B1298" i="1"/>
  <c r="B885" i="1"/>
  <c r="B880" i="1"/>
  <c r="B879" i="1"/>
  <c r="B884" i="1"/>
  <c r="B882" i="1"/>
  <c r="B881" i="1"/>
  <c r="B883" i="1"/>
  <c r="B1872" i="1"/>
  <c r="B1835" i="1"/>
  <c r="B1833" i="1"/>
  <c r="B1871" i="1"/>
  <c r="B1868" i="1"/>
  <c r="B1832" i="1"/>
  <c r="B991" i="1"/>
  <c r="B995" i="1"/>
  <c r="B990" i="1"/>
  <c r="B989" i="1"/>
  <c r="B534" i="1"/>
  <c r="B540" i="1"/>
  <c r="B988" i="1"/>
  <c r="B536" i="1"/>
  <c r="B994" i="1"/>
  <c r="B539" i="1"/>
  <c r="B533" i="1"/>
  <c r="B535" i="1"/>
  <c r="B993" i="1"/>
  <c r="B992" i="1"/>
  <c r="B538" i="1"/>
  <c r="B537" i="1"/>
  <c r="B1099" i="1"/>
  <c r="B1195" i="1"/>
  <c r="B1194" i="1"/>
  <c r="B1043" i="1"/>
  <c r="B1196" i="1"/>
  <c r="B1042" i="1"/>
  <c r="B1044" i="1"/>
  <c r="B869" i="1"/>
  <c r="B870" i="1"/>
  <c r="B871" i="1"/>
  <c r="B1100" i="1"/>
  <c r="B1101" i="1"/>
  <c r="B302" i="1"/>
  <c r="B300" i="1"/>
  <c r="B712" i="1"/>
  <c r="B301" i="1"/>
  <c r="B714" i="1"/>
  <c r="B528" i="1"/>
  <c r="B298" i="1"/>
  <c r="B299" i="1"/>
  <c r="B700" i="1"/>
  <c r="B897" i="1"/>
  <c r="B702" i="1"/>
  <c r="B297" i="1"/>
  <c r="B701" i="1"/>
  <c r="B713" i="1"/>
  <c r="B899" i="1"/>
  <c r="B898" i="1"/>
  <c r="B529" i="1"/>
  <c r="B527" i="1"/>
  <c r="B984" i="1"/>
  <c r="B983" i="1"/>
  <c r="B1353" i="1"/>
  <c r="B987" i="1"/>
  <c r="B986" i="1"/>
  <c r="B1783" i="1"/>
  <c r="B1352" i="1"/>
  <c r="B1200" i="1"/>
  <c r="B981" i="1"/>
  <c r="B1006" i="1"/>
  <c r="B996" i="1"/>
  <c r="B1008" i="1"/>
  <c r="B756" i="1"/>
  <c r="B1780" i="1"/>
  <c r="B980" i="1"/>
  <c r="B1010" i="1"/>
  <c r="B1201" i="1"/>
  <c r="B1781" i="1"/>
  <c r="B1202" i="1"/>
  <c r="B1782" i="1"/>
  <c r="B1007" i="1"/>
  <c r="B1009" i="1"/>
  <c r="B985" i="1"/>
  <c r="B758" i="1"/>
  <c r="B757" i="1"/>
  <c r="B982" i="1"/>
  <c r="B1354" i="1"/>
  <c r="B1355" i="1"/>
  <c r="B739" i="1"/>
  <c r="B1578" i="1"/>
  <c r="B1575" i="1"/>
  <c r="B1574" i="1"/>
  <c r="B227" i="1"/>
  <c r="B211" i="1"/>
  <c r="B207" i="1"/>
  <c r="B1584" i="1"/>
  <c r="B267" i="1"/>
  <c r="B206" i="1"/>
  <c r="B202" i="1"/>
  <c r="B210" i="1"/>
  <c r="B266" i="1"/>
  <c r="B209" i="1"/>
  <c r="B208" i="1"/>
  <c r="B226" i="1"/>
  <c r="B1096" i="1"/>
  <c r="B1095" i="1"/>
  <c r="B1098" i="1"/>
  <c r="B1094" i="1"/>
  <c r="B1097" i="1"/>
  <c r="B1583" i="1"/>
  <c r="B1582" i="1"/>
  <c r="B1581" i="1"/>
  <c r="B217" i="1"/>
  <c r="B215" i="1"/>
  <c r="B219" i="1"/>
  <c r="B531" i="1"/>
  <c r="B532" i="1"/>
  <c r="B530" i="1"/>
  <c r="B268" i="1"/>
  <c r="B216" i="1"/>
  <c r="B218" i="1"/>
  <c r="B337" i="1"/>
  <c r="B306" i="1"/>
  <c r="B340" i="1"/>
  <c r="B339" i="1"/>
  <c r="B338" i="1"/>
  <c r="B979" i="1"/>
  <c r="B978" i="1"/>
  <c r="B977" i="1"/>
  <c r="B1065" i="1"/>
  <c r="B1069" i="1"/>
  <c r="B1066" i="1"/>
  <c r="B1064" i="1"/>
  <c r="B1063" i="1"/>
  <c r="B1068" i="1"/>
  <c r="B1067" i="1"/>
  <c r="B1072" i="1"/>
  <c r="B1076" i="1"/>
  <c r="B1075" i="1"/>
  <c r="B1074" i="1"/>
  <c r="B1070" i="1"/>
  <c r="B2254" i="1"/>
  <c r="B2257" i="1"/>
  <c r="B2256" i="1"/>
  <c r="B2155" i="1"/>
  <c r="B2237" i="1"/>
  <c r="B2216" i="1"/>
  <c r="B2230" i="1"/>
  <c r="B2150" i="1"/>
  <c r="B2176" i="1"/>
  <c r="B2172" i="1"/>
  <c r="B2143" i="1"/>
  <c r="B2141" i="1"/>
  <c r="B2191" i="1"/>
  <c r="B2240" i="1"/>
  <c r="B2006" i="1"/>
  <c r="B2005" i="1"/>
  <c r="B2233" i="1"/>
  <c r="B2187" i="1"/>
  <c r="B2215" i="1"/>
  <c r="B2253" i="1"/>
  <c r="B2236" i="1"/>
  <c r="B2169" i="1"/>
  <c r="B2194" i="1"/>
  <c r="B2229" i="1"/>
  <c r="B2166" i="1"/>
  <c r="B2220" i="1"/>
  <c r="B2232" i="1"/>
  <c r="B2184" i="1"/>
  <c r="B2031" i="1"/>
  <c r="B2140" i="1"/>
  <c r="B1994" i="1"/>
  <c r="B2179" i="1"/>
  <c r="B2239" i="1"/>
  <c r="B2138" i="1"/>
  <c r="B2193" i="1"/>
  <c r="B2235" i="1"/>
  <c r="B2192" i="1"/>
  <c r="B2214" i="1"/>
  <c r="B2030" i="1"/>
  <c r="B1993" i="1"/>
  <c r="B2252" i="1"/>
  <c r="B2007" i="1"/>
  <c r="B2219" i="1"/>
  <c r="B2227" i="1"/>
  <c r="B2238" i="1"/>
  <c r="B2158" i="1"/>
  <c r="B2255" i="1"/>
  <c r="B2234" i="1"/>
  <c r="B2137" i="1"/>
  <c r="B2249" i="1"/>
  <c r="B2156" i="1"/>
  <c r="B2134" i="1"/>
  <c r="B2226" i="1"/>
  <c r="B2231" i="1"/>
  <c r="B2212" i="1"/>
  <c r="B2217" i="1"/>
  <c r="B1432" i="1"/>
  <c r="B1490" i="1"/>
  <c r="B734" i="1"/>
  <c r="B1197" i="1"/>
  <c r="B723" i="1"/>
  <c r="B695" i="1"/>
  <c r="B696" i="1"/>
  <c r="B694" i="1"/>
  <c r="B735" i="1"/>
  <c r="B725" i="1"/>
  <c r="B724" i="1"/>
  <c r="B1433" i="1"/>
  <c r="B1198" i="1"/>
  <c r="B1199" i="1"/>
  <c r="B1434" i="1"/>
  <c r="B1491" i="1"/>
  <c r="B1492" i="1"/>
  <c r="B1573" i="1"/>
  <c r="B1529" i="1"/>
  <c r="B1572" i="1"/>
  <c r="B773" i="1"/>
  <c r="B769" i="1"/>
  <c r="B1183" i="1"/>
  <c r="B772" i="1"/>
  <c r="B1188" i="1"/>
  <c r="B768" i="1"/>
  <c r="B767" i="1"/>
  <c r="B1182" i="1"/>
  <c r="B766" i="1"/>
  <c r="B765" i="1"/>
  <c r="B1181" i="1"/>
  <c r="B1187" i="1"/>
  <c r="B1186" i="1"/>
  <c r="B771" i="1"/>
  <c r="B1185" i="1"/>
  <c r="B1184" i="1"/>
  <c r="B706" i="1"/>
  <c r="B1180" i="1"/>
  <c r="B707" i="1"/>
  <c r="B770" i="1"/>
  <c r="B711" i="1"/>
  <c r="B710" i="1"/>
  <c r="B705" i="1"/>
  <c r="B704" i="1"/>
  <c r="B703" i="1"/>
  <c r="B709" i="1"/>
  <c r="B1571" i="1"/>
  <c r="B708" i="1"/>
  <c r="B1570" i="1"/>
  <c r="B1528" i="1"/>
  <c r="B1533" i="1"/>
  <c r="B1527" i="1"/>
  <c r="B1526" i="1"/>
  <c r="B1058" i="1"/>
  <c r="B1525" i="1"/>
  <c r="B1062" i="1"/>
  <c r="B1524" i="1"/>
  <c r="B1532" i="1"/>
  <c r="B1523" i="1"/>
  <c r="B1531" i="1"/>
  <c r="B1530" i="1"/>
  <c r="B1057" i="1"/>
  <c r="B1522" i="1"/>
  <c r="B1521" i="1"/>
  <c r="B1061" i="1"/>
  <c r="B1060" i="1"/>
  <c r="B1056" i="1"/>
  <c r="B1046" i="1"/>
  <c r="B1520" i="1"/>
  <c r="B1059" i="1"/>
  <c r="B1045" i="1"/>
  <c r="B1419" i="1"/>
  <c r="B1417" i="1"/>
  <c r="B1416" i="1"/>
  <c r="B1423" i="1"/>
  <c r="B1418" i="1"/>
  <c r="B1422" i="1"/>
  <c r="B1421" i="1"/>
  <c r="B1420" i="1"/>
  <c r="B1125" i="1"/>
  <c r="B1139" i="1"/>
  <c r="B1138" i="1"/>
  <c r="B1127" i="1"/>
  <c r="B1126" i="1"/>
  <c r="B1137" i="1"/>
  <c r="B2111" i="1"/>
  <c r="B2109" i="1"/>
  <c r="B2120" i="1"/>
  <c r="B1989" i="1"/>
  <c r="B726" i="1"/>
  <c r="B1992" i="1"/>
  <c r="B1136" i="1"/>
  <c r="B1280" i="1"/>
  <c r="B728" i="1"/>
  <c r="B730" i="1"/>
  <c r="B1135" i="1"/>
  <c r="B1134" i="1"/>
  <c r="B1292" i="1"/>
  <c r="B1133" i="1"/>
  <c r="B1132" i="1"/>
  <c r="B1279" i="1"/>
  <c r="B1291" i="1"/>
  <c r="B1991" i="1"/>
  <c r="B1290" i="1"/>
  <c r="B1289" i="1"/>
  <c r="B1131" i="1"/>
  <c r="B1288" i="1"/>
  <c r="B1988" i="1"/>
  <c r="B1287" i="1"/>
  <c r="B1278" i="1"/>
  <c r="B1286" i="1"/>
  <c r="B729" i="1"/>
  <c r="B1285" i="1"/>
  <c r="B1900" i="1"/>
  <c r="B1898" i="1"/>
  <c r="B1990" i="1"/>
  <c r="B1284" i="1"/>
  <c r="B727" i="1"/>
  <c r="B1130" i="1"/>
  <c r="B1875" i="1"/>
  <c r="B1897" i="1"/>
  <c r="B1877" i="1"/>
  <c r="B1899" i="1"/>
  <c r="B1876" i="1"/>
  <c r="B1874" i="1"/>
  <c r="B1283" i="1"/>
  <c r="B1896" i="1"/>
  <c r="B1282" i="1"/>
  <c r="B1281" i="1"/>
  <c r="B1873" i="1"/>
  <c r="B1129" i="1"/>
  <c r="B1128" i="1"/>
  <c r="B687" i="1"/>
  <c r="B683" i="1"/>
  <c r="B722" i="1"/>
  <c r="B718" i="1"/>
  <c r="B686" i="1"/>
  <c r="B717" i="1"/>
  <c r="B721" i="1"/>
  <c r="B720" i="1"/>
  <c r="B716" i="1"/>
  <c r="B719" i="1"/>
  <c r="B685" i="1"/>
  <c r="B682" i="1"/>
  <c r="B681" i="1"/>
  <c r="B778" i="1"/>
  <c r="B781" i="1"/>
  <c r="B779" i="1"/>
  <c r="B715" i="1"/>
  <c r="B777" i="1"/>
  <c r="B780" i="1"/>
  <c r="B684" i="1"/>
  <c r="B680" i="1"/>
  <c r="B1498" i="1"/>
  <c r="B1500" i="1"/>
  <c r="B1861" i="1"/>
  <c r="B1497" i="1"/>
  <c r="B1496" i="1"/>
  <c r="B1499" i="1"/>
  <c r="B1865" i="1"/>
  <c r="B1859" i="1"/>
  <c r="B1860" i="1"/>
  <c r="B1864" i="1"/>
  <c r="B1858" i="1"/>
  <c r="B1863" i="1"/>
  <c r="B1862" i="1"/>
  <c r="B1600" i="1"/>
  <c r="B1597" i="1"/>
  <c r="B1599" i="1"/>
  <c r="B1596" i="1"/>
  <c r="B1598" i="1"/>
  <c r="B1595" i="1"/>
  <c r="B1594" i="1"/>
  <c r="B1623" i="1"/>
  <c r="B1626" i="1"/>
  <c r="B1625" i="1"/>
  <c r="B1622" i="1"/>
  <c r="B1624" i="1"/>
  <c r="B1621" i="1"/>
  <c r="B1620" i="1"/>
  <c r="B1426" i="1"/>
  <c r="B294" i="1"/>
  <c r="B293" i="1"/>
  <c r="B1428" i="1"/>
  <c r="B296" i="1"/>
  <c r="B292" i="1"/>
  <c r="B295" i="1"/>
  <c r="B1425" i="1"/>
  <c r="B1427" i="1"/>
  <c r="B1424" i="1"/>
  <c r="B580" i="1"/>
  <c r="B1715" i="1"/>
  <c r="B283" i="1"/>
  <c r="B1713" i="1"/>
  <c r="B284" i="1"/>
  <c r="B608" i="1"/>
  <c r="B1435" i="1"/>
  <c r="B1714" i="1"/>
  <c r="B609" i="1"/>
  <c r="B1627" i="1"/>
  <c r="B285" i="1"/>
  <c r="B1436" i="1"/>
  <c r="B1437" i="1"/>
  <c r="B1628" i="1"/>
  <c r="B1629" i="1"/>
  <c r="B862" i="1"/>
  <c r="B861" i="1"/>
  <c r="B860" i="1"/>
  <c r="B1494" i="1"/>
  <c r="B2053" i="1"/>
  <c r="B1495" i="1"/>
  <c r="B2071" i="1"/>
  <c r="B1203" i="1"/>
  <c r="B1204" i="1"/>
  <c r="B1205" i="1"/>
  <c r="B1493" i="1"/>
  <c r="B1777" i="1"/>
  <c r="B1779" i="1"/>
  <c r="B1778" i="1"/>
  <c r="B2034" i="1"/>
  <c r="B1002" i="1"/>
  <c r="B1005" i="1"/>
  <c r="B1001" i="1"/>
  <c r="B1004" i="1"/>
  <c r="B1003" i="1"/>
  <c r="B1000" i="1"/>
  <c r="B999" i="1"/>
  <c r="B1733" i="1"/>
  <c r="B1732" i="1"/>
  <c r="B1730" i="1"/>
  <c r="B1729" i="1"/>
  <c r="B1727" i="1"/>
  <c r="B1728" i="1"/>
  <c r="B1731" i="1"/>
  <c r="B1854" i="1"/>
  <c r="B1841" i="1"/>
  <c r="B1190" i="1"/>
  <c r="B1189" i="1"/>
  <c r="B1840" i="1"/>
  <c r="B1193" i="1"/>
  <c r="B1853" i="1"/>
  <c r="B1857" i="1"/>
  <c r="B1855" i="1"/>
  <c r="B1192" i="1"/>
  <c r="B1856" i="1"/>
  <c r="B1844" i="1"/>
  <c r="B1843" i="1"/>
  <c r="B1191" i="1"/>
  <c r="B1842" i="1"/>
  <c r="B2272" i="1"/>
  <c r="B2271" i="1"/>
  <c r="B2270" i="1"/>
  <c r="B2258" i="1"/>
  <c r="B2260" i="1"/>
  <c r="B2259" i="1"/>
  <c r="B272" i="1"/>
  <c r="B274" i="1"/>
  <c r="B273" i="1"/>
  <c r="B571" i="1"/>
  <c r="B575" i="1"/>
  <c r="B572" i="1"/>
  <c r="B866" i="1"/>
  <c r="B867" i="1"/>
  <c r="B868" i="1"/>
  <c r="B9" i="1"/>
  <c r="B8" i="1"/>
  <c r="B11" i="1"/>
  <c r="B7" i="1"/>
  <c r="B10" i="1"/>
  <c r="B1882" i="1"/>
  <c r="B1881" i="1"/>
  <c r="B1880" i="1"/>
  <c r="B1887" i="1"/>
  <c r="B1879" i="1"/>
  <c r="B1886" i="1"/>
  <c r="B1878" i="1"/>
  <c r="B1885" i="1"/>
  <c r="B1790" i="1"/>
  <c r="B2223" i="1"/>
  <c r="B1884" i="1"/>
  <c r="B1883" i="1"/>
  <c r="B1791" i="1"/>
  <c r="B2222" i="1"/>
  <c r="B1789" i="1"/>
  <c r="B2221" i="1"/>
  <c r="B2225" i="1"/>
  <c r="B2224" i="1"/>
  <c r="B1793" i="1"/>
  <c r="B1792" i="1"/>
  <c r="B371" i="1"/>
  <c r="B525" i="1"/>
  <c r="B526" i="1"/>
  <c r="B774" i="1"/>
  <c r="B895" i="1"/>
  <c r="B894" i="1"/>
  <c r="B775" i="1"/>
  <c r="B896" i="1"/>
  <c r="B350" i="1"/>
  <c r="B351" i="1"/>
  <c r="B776" i="1"/>
  <c r="B352" i="1"/>
  <c r="B354" i="1"/>
  <c r="B355" i="1"/>
  <c r="B353" i="1"/>
  <c r="B357" i="1"/>
  <c r="B356" i="1"/>
  <c r="B279" i="1"/>
  <c r="B282" i="1"/>
  <c r="B278" i="1"/>
  <c r="B281" i="1"/>
  <c r="B280" i="1"/>
  <c r="B2084" i="1"/>
  <c r="B2079" i="1"/>
  <c r="B2075" i="1"/>
  <c r="B2082" i="1"/>
  <c r="B2107" i="1"/>
  <c r="B2098" i="1"/>
  <c r="B2092" i="1"/>
  <c r="B2085" i="1"/>
  <c r="B364" i="1"/>
  <c r="B363" i="1"/>
  <c r="B361" i="1"/>
  <c r="B360" i="1"/>
  <c r="B359" i="1"/>
  <c r="B611" i="1"/>
  <c r="B1616" i="1"/>
  <c r="B676" i="1"/>
  <c r="B615" i="1"/>
  <c r="B610" i="1"/>
  <c r="B362" i="1"/>
  <c r="B614" i="1"/>
  <c r="B613" i="1"/>
  <c r="B612" i="1"/>
  <c r="B1606" i="1"/>
  <c r="B1619" i="1"/>
  <c r="B1618" i="1"/>
  <c r="B1605" i="1"/>
  <c r="B1617" i="1"/>
  <c r="B1604" i="1"/>
  <c r="B358" i="1"/>
  <c r="B900" i="1"/>
  <c r="B976" i="1"/>
  <c r="B731" i="1"/>
  <c r="B732" i="1"/>
  <c r="B901" i="1"/>
  <c r="B1037" i="1"/>
  <c r="B304" i="1"/>
  <c r="B305" i="1"/>
  <c r="B214" i="1"/>
  <c r="B212" i="1"/>
  <c r="B303" i="1"/>
  <c r="B1038" i="1"/>
  <c r="B1036" i="1"/>
  <c r="B213" i="1"/>
  <c r="B1511" i="1"/>
  <c r="B1145" i="1"/>
  <c r="B1142" i="1"/>
  <c r="B1176" i="1"/>
  <c r="B1510" i="1"/>
  <c r="B1143" i="1"/>
  <c r="B1175" i="1"/>
  <c r="B1141" i="1"/>
  <c r="B1509" i="1"/>
  <c r="B1513" i="1"/>
  <c r="B1519" i="1"/>
  <c r="B1155" i="1"/>
  <c r="B1153" i="1"/>
  <c r="B1150" i="1"/>
  <c r="B1140" i="1"/>
  <c r="B1149" i="1"/>
  <c r="B1518" i="1"/>
  <c r="B1517" i="1"/>
  <c r="B1516" i="1"/>
  <c r="B1515" i="1"/>
  <c r="B1514" i="1"/>
  <c r="B1512" i="1"/>
  <c r="B18" i="1"/>
  <c r="B855" i="1"/>
  <c r="B30" i="1"/>
  <c r="B16" i="1"/>
  <c r="B854" i="1"/>
  <c r="B15" i="1"/>
  <c r="B17" i="1"/>
  <c r="B28" i="1"/>
  <c r="B856" i="1"/>
  <c r="B1718" i="1"/>
  <c r="B1717" i="1"/>
  <c r="B1716" i="1"/>
  <c r="B2200" i="1"/>
  <c r="B2203" i="1"/>
  <c r="B2202" i="1"/>
  <c r="B2201" i="1"/>
  <c r="B2199" i="1"/>
  <c r="B2197" i="1"/>
  <c r="B874" i="1"/>
  <c r="B2195" i="1"/>
  <c r="B873" i="1"/>
  <c r="B872" i="1"/>
  <c r="B875" i="1"/>
  <c r="B878" i="1"/>
  <c r="B877" i="1"/>
  <c r="B876" i="1"/>
  <c r="B1357" i="1"/>
  <c r="B1846" i="1"/>
  <c r="B1356" i="1"/>
  <c r="B1363" i="1"/>
  <c r="B1845" i="1"/>
  <c r="B1848" i="1"/>
  <c r="B1362" i="1"/>
  <c r="B1852" i="1"/>
  <c r="B1851" i="1"/>
  <c r="B1361" i="1"/>
  <c r="B1850" i="1"/>
  <c r="B1360" i="1"/>
  <c r="B1849" i="1"/>
  <c r="B1847" i="1"/>
  <c r="B1359" i="1"/>
  <c r="B1358" i="1"/>
  <c r="B864" i="1"/>
  <c r="B863" i="1"/>
  <c r="B865" i="1"/>
  <c r="B1206" i="1"/>
  <c r="B365" i="1"/>
  <c r="B367" i="1"/>
  <c r="B1207" i="1"/>
  <c r="B366" i="1"/>
  <c r="B1438" i="1"/>
  <c r="B341" i="1"/>
  <c r="B1895" i="1"/>
  <c r="B1798" i="1"/>
  <c r="B1894" i="1"/>
  <c r="B1797" i="1"/>
  <c r="B1893" i="1"/>
  <c r="B1794" i="1"/>
  <c r="B1796" i="1"/>
  <c r="B1795" i="1"/>
  <c r="B1891" i="1"/>
  <c r="B1892" i="1"/>
  <c r="B2206" i="1"/>
  <c r="B2208" i="1"/>
  <c r="B2207" i="1"/>
  <c r="B1502" i="1"/>
  <c r="B2205" i="1"/>
  <c r="B2204" i="1"/>
  <c r="B1501" i="1"/>
  <c r="B1503" i="1"/>
  <c r="B1505" i="1"/>
  <c r="B1504" i="1"/>
  <c r="B1788" i="1"/>
  <c r="B2127" i="1"/>
  <c r="B1839" i="1"/>
  <c r="B2125" i="1"/>
  <c r="B1786" i="1"/>
  <c r="B1734" i="1"/>
  <c r="B1775" i="1"/>
  <c r="B1787" i="1"/>
  <c r="B1837" i="1"/>
  <c r="B1838" i="1"/>
  <c r="B2128" i="1"/>
  <c r="B1776" i="1"/>
  <c r="B891" i="1"/>
  <c r="B890" i="1"/>
  <c r="B889" i="1"/>
  <c r="B888" i="1"/>
  <c r="B191" i="1"/>
  <c r="B542" i="1"/>
  <c r="B190" i="1"/>
  <c r="B199" i="1"/>
  <c r="B194" i="1"/>
  <c r="B193" i="1"/>
  <c r="B192" i="1"/>
  <c r="B189" i="1"/>
  <c r="B31" i="1"/>
  <c r="B887" i="1"/>
  <c r="B886" i="1"/>
  <c r="B569" i="1"/>
  <c r="B541" i="1"/>
  <c r="B566" i="1"/>
  <c r="B544" i="1"/>
  <c r="B546" i="1"/>
  <c r="B545" i="1"/>
  <c r="B543" i="1"/>
  <c r="B1487" i="1"/>
  <c r="B1486" i="1"/>
  <c r="B1489" i="1"/>
  <c r="B1485" i="1"/>
  <c r="B1488" i="1"/>
  <c r="B2244" i="1"/>
  <c r="B2248" i="1"/>
  <c r="B2243" i="1"/>
  <c r="B2247" i="1"/>
  <c r="B2246" i="1"/>
  <c r="B849" i="1"/>
  <c r="B1902" i="1"/>
  <c r="B853" i="1"/>
  <c r="B852" i="1"/>
  <c r="B848" i="1"/>
  <c r="B2245" i="1"/>
  <c r="B851" i="1"/>
  <c r="B2242" i="1"/>
  <c r="B1901" i="1"/>
  <c r="B850" i="1"/>
  <c r="B2262" i="1"/>
  <c r="B847" i="1"/>
  <c r="B846" i="1"/>
  <c r="B2261" i="1"/>
  <c r="B2241" i="1"/>
  <c r="B1987" i="1"/>
  <c r="B1986" i="1"/>
  <c r="B1983" i="1"/>
  <c r="B2268" i="1"/>
  <c r="B2267" i="1"/>
  <c r="B2264" i="1"/>
  <c r="B1985" i="1"/>
  <c r="B1984" i="1"/>
  <c r="B1982" i="1"/>
  <c r="B2266" i="1"/>
  <c r="B2263" i="1"/>
  <c r="B2265" i="1"/>
  <c r="B1179" i="1"/>
  <c r="B1178" i="1"/>
  <c r="B697" i="1"/>
  <c r="B698" i="1"/>
  <c r="B782" i="1"/>
  <c r="B1177" i="1"/>
  <c r="B784" i="1"/>
  <c r="B783" i="1"/>
  <c r="B699" i="1"/>
  <c r="B276" i="1"/>
  <c r="B277" i="1"/>
  <c r="B2273" i="1"/>
  <c r="B2275" i="1"/>
  <c r="B2274" i="1"/>
  <c r="B275" i="1"/>
  <c r="B691" i="1"/>
  <c r="B289" i="1"/>
  <c r="B764" i="1"/>
  <c r="B291" i="1"/>
  <c r="B290" i="1"/>
  <c r="B763" i="1"/>
  <c r="B1041" i="1"/>
  <c r="B762" i="1"/>
  <c r="B693" i="1"/>
  <c r="B269" i="1"/>
  <c r="B692" i="1"/>
  <c r="B1040" i="1"/>
  <c r="B1039" i="1"/>
  <c r="B270" i="1"/>
  <c r="B271" i="1"/>
  <c r="B760" i="1"/>
  <c r="B761" i="1"/>
  <c r="B221" i="1"/>
  <c r="B759" i="1"/>
  <c r="B220" i="1"/>
  <c r="B222" i="1"/>
  <c r="B1431" i="1"/>
  <c r="B1429" i="1"/>
  <c r="B1430" i="1"/>
  <c r="B2210" i="1"/>
  <c r="B13" i="1"/>
  <c r="B12" i="1"/>
  <c r="B2211" i="1"/>
  <c r="B1506" i="1"/>
  <c r="B2209" i="1"/>
  <c r="B1508" i="1"/>
  <c r="B14" i="1"/>
  <c r="B1507" i="1"/>
  <c r="B2278" i="1"/>
  <c r="B2277" i="1"/>
  <c r="B2279" i="1"/>
  <c r="BW2279" i="1"/>
  <c r="CA2279" i="1"/>
  <c r="W1406" i="1"/>
  <c r="W1115" i="1"/>
  <c r="W1593" i="1"/>
  <c r="W1405" i="1"/>
  <c r="W1591" i="1"/>
  <c r="W1592" i="1"/>
  <c r="W1404" i="1"/>
  <c r="W1415" i="1"/>
  <c r="W1601" i="1"/>
  <c r="W1124" i="1"/>
  <c r="W1114" i="1"/>
  <c r="W1403" i="1"/>
  <c r="W1414" i="1"/>
  <c r="W1402" i="1"/>
  <c r="W1113" i="1"/>
  <c r="W1364" i="1"/>
  <c r="W1413" i="1"/>
  <c r="W1123" i="1"/>
  <c r="W1412" i="1"/>
  <c r="W1411" i="1"/>
  <c r="W1410" i="1"/>
  <c r="W1409" i="1"/>
  <c r="W1408" i="1"/>
  <c r="W1122" i="1"/>
  <c r="W1121" i="1"/>
  <c r="W1407" i="1"/>
  <c r="W1120" i="1"/>
  <c r="W1119" i="1"/>
  <c r="W1118" i="1"/>
  <c r="W1117" i="1"/>
  <c r="W1116" i="1"/>
  <c r="W1112" i="1"/>
  <c r="W1111" i="1"/>
  <c r="W1602" i="1"/>
  <c r="W1102" i="1"/>
  <c r="W1603" i="1"/>
  <c r="W1889" i="1"/>
  <c r="W1890" i="1"/>
  <c r="W1888" i="1"/>
  <c r="W288" i="1"/>
  <c r="W286" i="1"/>
  <c r="W287" i="1"/>
  <c r="W225" i="1"/>
  <c r="W223" i="1"/>
  <c r="W224" i="1"/>
  <c r="W1829" i="1"/>
  <c r="W1821" i="1"/>
  <c r="W1828" i="1"/>
  <c r="W1827" i="1"/>
  <c r="W1826" i="1"/>
  <c r="W1825" i="1"/>
  <c r="W1726" i="1"/>
  <c r="W1722" i="1"/>
  <c r="W1824" i="1"/>
  <c r="W1013" i="1"/>
  <c r="W1706" i="1"/>
  <c r="W1721" i="1"/>
  <c r="W1012" i="1"/>
  <c r="W1823" i="1"/>
  <c r="W1035" i="1"/>
  <c r="W1020" i="1"/>
  <c r="W1011" i="1"/>
  <c r="W1305" i="1"/>
  <c r="W1015" i="1"/>
  <c r="W1019" i="1"/>
  <c r="W1018" i="1"/>
  <c r="W1820" i="1"/>
  <c r="W1708" i="1"/>
  <c r="W1297" i="1"/>
  <c r="W1017" i="1"/>
  <c r="W1720" i="1"/>
  <c r="W1016" i="1"/>
  <c r="W1303" i="1"/>
  <c r="W1014" i="1"/>
  <c r="W1822" i="1"/>
  <c r="W1313" i="1"/>
  <c r="W1725" i="1"/>
  <c r="W1295" i="1"/>
  <c r="W1347" i="1"/>
  <c r="W1346" i="1"/>
  <c r="W1345" i="1"/>
  <c r="W1712" i="1"/>
  <c r="W1705" i="1"/>
  <c r="W1312" i="1"/>
  <c r="W1719" i="1"/>
  <c r="W1314" i="1"/>
  <c r="W1711" i="1"/>
  <c r="W1302" i="1"/>
  <c r="W1294" i="1"/>
  <c r="W1296" i="1"/>
  <c r="W1724" i="1"/>
  <c r="W1301" i="1"/>
  <c r="W1293" i="1"/>
  <c r="W1707" i="1"/>
  <c r="W1710" i="1"/>
  <c r="W1819" i="1"/>
  <c r="W1709" i="1"/>
  <c r="W1300" i="1"/>
  <c r="W1304" i="1"/>
  <c r="W1299" i="1"/>
  <c r="W1723" i="1"/>
  <c r="W1298" i="1"/>
  <c r="W885" i="1"/>
  <c r="W880" i="1"/>
  <c r="W879" i="1"/>
  <c r="W884" i="1"/>
  <c r="W882" i="1"/>
  <c r="W881" i="1"/>
  <c r="W883" i="1"/>
  <c r="W1872" i="1"/>
  <c r="W1835" i="1"/>
  <c r="W1833" i="1"/>
  <c r="W1871" i="1"/>
  <c r="W1868" i="1"/>
  <c r="W1832" i="1"/>
  <c r="W991" i="1"/>
  <c r="W995" i="1"/>
  <c r="W990" i="1"/>
  <c r="W989" i="1"/>
  <c r="W534" i="1"/>
  <c r="W540" i="1"/>
  <c r="W988" i="1"/>
  <c r="W536" i="1"/>
  <c r="W994" i="1"/>
  <c r="W539" i="1"/>
  <c r="W533" i="1"/>
  <c r="W535" i="1"/>
  <c r="W993" i="1"/>
  <c r="W992" i="1"/>
  <c r="W538" i="1"/>
  <c r="W537" i="1"/>
  <c r="W1099" i="1"/>
  <c r="W1195" i="1"/>
  <c r="W1194" i="1"/>
  <c r="W1043" i="1"/>
  <c r="W1196" i="1"/>
  <c r="W1042" i="1"/>
  <c r="W1044" i="1"/>
  <c r="W869" i="1"/>
  <c r="W870" i="1"/>
  <c r="W871" i="1"/>
  <c r="W1100" i="1"/>
  <c r="W1101" i="1"/>
  <c r="W302" i="1"/>
  <c r="W300" i="1"/>
  <c r="W712" i="1"/>
  <c r="W301" i="1"/>
  <c r="W714" i="1"/>
  <c r="W528" i="1"/>
  <c r="W298" i="1"/>
  <c r="W299" i="1"/>
  <c r="W700" i="1"/>
  <c r="W897" i="1"/>
  <c r="W702" i="1"/>
  <c r="W297" i="1"/>
  <c r="W701" i="1"/>
  <c r="W713" i="1"/>
  <c r="W899" i="1"/>
  <c r="W898" i="1"/>
  <c r="W529" i="1"/>
  <c r="W527" i="1"/>
  <c r="W984" i="1"/>
  <c r="W983" i="1"/>
  <c r="W1353" i="1"/>
  <c r="W987" i="1"/>
  <c r="W986" i="1"/>
  <c r="W1783" i="1"/>
  <c r="W1352" i="1"/>
  <c r="W1200" i="1"/>
  <c r="W981" i="1"/>
  <c r="W1006" i="1"/>
  <c r="W996" i="1"/>
  <c r="W1008" i="1"/>
  <c r="W756" i="1"/>
  <c r="W1780" i="1"/>
  <c r="W980" i="1"/>
  <c r="W1010" i="1"/>
  <c r="W1201" i="1"/>
  <c r="W1781" i="1"/>
  <c r="W1202" i="1"/>
  <c r="W1782" i="1"/>
  <c r="W1007" i="1"/>
  <c r="W1009" i="1"/>
  <c r="W985" i="1"/>
  <c r="W758" i="1"/>
  <c r="W757" i="1"/>
  <c r="W982" i="1"/>
  <c r="W1354" i="1"/>
  <c r="W1355" i="1"/>
  <c r="W739" i="1"/>
  <c r="W1578" i="1"/>
  <c r="W1575" i="1"/>
  <c r="W1574" i="1"/>
  <c r="W227" i="1"/>
  <c r="W211" i="1"/>
  <c r="W207" i="1"/>
  <c r="W1584" i="1"/>
  <c r="W267" i="1"/>
  <c r="W206" i="1"/>
  <c r="W202" i="1"/>
  <c r="W210" i="1"/>
  <c r="W266" i="1"/>
  <c r="W209" i="1"/>
  <c r="W208" i="1"/>
  <c r="W226" i="1"/>
  <c r="W1096" i="1"/>
  <c r="W1095" i="1"/>
  <c r="W1098" i="1"/>
  <c r="W1094" i="1"/>
  <c r="W1097" i="1"/>
  <c r="W1583" i="1"/>
  <c r="W1582" i="1"/>
  <c r="W1581" i="1"/>
  <c r="W738" i="1"/>
  <c r="W737" i="1"/>
  <c r="W749" i="1"/>
  <c r="W1579" i="1"/>
  <c r="W337" i="1"/>
  <c r="W306" i="1"/>
  <c r="W340" i="1"/>
  <c r="W339" i="1"/>
  <c r="W338" i="1"/>
  <c r="W979" i="1"/>
  <c r="W978" i="1"/>
  <c r="W977" i="1"/>
  <c r="W1065" i="1"/>
  <c r="W1069" i="1"/>
  <c r="W1066" i="1"/>
  <c r="W1064" i="1"/>
  <c r="W1063" i="1"/>
  <c r="W1068" i="1"/>
  <c r="W1067" i="1"/>
  <c r="W1071" i="1"/>
  <c r="W1073" i="1"/>
  <c r="W1077" i="1"/>
  <c r="W1072" i="1"/>
  <c r="W1076" i="1"/>
  <c r="W1075" i="1"/>
  <c r="W1074" i="1"/>
  <c r="W1070" i="1"/>
  <c r="W2254" i="1"/>
  <c r="W2257" i="1"/>
  <c r="W2256" i="1"/>
  <c r="W2155" i="1"/>
  <c r="W2237" i="1"/>
  <c r="W2216" i="1"/>
  <c r="W2230" i="1"/>
  <c r="W2150" i="1"/>
  <c r="W2176" i="1"/>
  <c r="W2172" i="1"/>
  <c r="W2143" i="1"/>
  <c r="W2141" i="1"/>
  <c r="W2191" i="1"/>
  <c r="W2240" i="1"/>
  <c r="W2006" i="1"/>
  <c r="W2005" i="1"/>
  <c r="W2233" i="1"/>
  <c r="W2187" i="1"/>
  <c r="W2215" i="1"/>
  <c r="W2253" i="1"/>
  <c r="W2236" i="1"/>
  <c r="W2169" i="1"/>
  <c r="W2194" i="1"/>
  <c r="W2229" i="1"/>
  <c r="W2166" i="1"/>
  <c r="W2220" i="1"/>
  <c r="W2232" i="1"/>
  <c r="W2184" i="1"/>
  <c r="W2031" i="1"/>
  <c r="W2140" i="1"/>
  <c r="W1994" i="1"/>
  <c r="W2179" i="1"/>
  <c r="W2239" i="1"/>
  <c r="W2138" i="1"/>
  <c r="W2193" i="1"/>
  <c r="W2235" i="1"/>
  <c r="W2192" i="1"/>
  <c r="W2214" i="1"/>
  <c r="W2030" i="1"/>
  <c r="W1993" i="1"/>
  <c r="W2252" i="1"/>
  <c r="W2007" i="1"/>
  <c r="W2219" i="1"/>
  <c r="W2227" i="1"/>
  <c r="W2238" i="1"/>
  <c r="W2158" i="1"/>
  <c r="W2255" i="1"/>
  <c r="W2234" i="1"/>
  <c r="W2137" i="1"/>
  <c r="W2249" i="1"/>
  <c r="W2156" i="1"/>
  <c r="W2134" i="1"/>
  <c r="W2226" i="1"/>
  <c r="W2231" i="1"/>
  <c r="W2212" i="1"/>
  <c r="W2217" i="1"/>
  <c r="W736" i="1"/>
  <c r="W1432" i="1"/>
  <c r="W1490" i="1"/>
  <c r="W734" i="1"/>
  <c r="W1197" i="1"/>
  <c r="W723" i="1"/>
  <c r="W695" i="1"/>
  <c r="W696" i="1"/>
  <c r="W694" i="1"/>
  <c r="W735" i="1"/>
  <c r="W725" i="1"/>
  <c r="W724" i="1"/>
  <c r="W1433" i="1"/>
  <c r="W1198" i="1"/>
  <c r="W1199" i="1"/>
  <c r="W1434" i="1"/>
  <c r="W1491" i="1"/>
  <c r="W1492" i="1"/>
  <c r="W1573" i="1"/>
  <c r="W1529" i="1"/>
  <c r="W1572" i="1"/>
  <c r="W773" i="1"/>
  <c r="W769" i="1"/>
  <c r="W1183" i="1"/>
  <c r="W772" i="1"/>
  <c r="W1188" i="1"/>
  <c r="W768" i="1"/>
  <c r="W767" i="1"/>
  <c r="W1182" i="1"/>
  <c r="W766" i="1"/>
  <c r="W765" i="1"/>
  <c r="W1181" i="1"/>
  <c r="W1187" i="1"/>
  <c r="W1186" i="1"/>
  <c r="W771" i="1"/>
  <c r="W1185" i="1"/>
  <c r="W1184" i="1"/>
  <c r="W706" i="1"/>
  <c r="W1180" i="1"/>
  <c r="W707" i="1"/>
  <c r="W770" i="1"/>
  <c r="W711" i="1"/>
  <c r="W710" i="1"/>
  <c r="W705" i="1"/>
  <c r="W704" i="1"/>
  <c r="W703" i="1"/>
  <c r="W709" i="1"/>
  <c r="W1571" i="1"/>
  <c r="W708" i="1"/>
  <c r="W1570" i="1"/>
  <c r="W1528" i="1"/>
  <c r="W1533" i="1"/>
  <c r="W1527" i="1"/>
  <c r="W1526" i="1"/>
  <c r="W1058" i="1"/>
  <c r="W1525" i="1"/>
  <c r="W1062" i="1"/>
  <c r="W1524" i="1"/>
  <c r="W1532" i="1"/>
  <c r="W1523" i="1"/>
  <c r="W1531" i="1"/>
  <c r="W1530" i="1"/>
  <c r="W1057" i="1"/>
  <c r="W1522" i="1"/>
  <c r="W1521" i="1"/>
  <c r="W1061" i="1"/>
  <c r="W1060" i="1"/>
  <c r="W1056" i="1"/>
  <c r="W1046" i="1"/>
  <c r="W1520" i="1"/>
  <c r="W1059" i="1"/>
  <c r="W1045" i="1"/>
  <c r="W1419" i="1"/>
  <c r="W1417" i="1"/>
  <c r="W1416" i="1"/>
  <c r="W1423" i="1"/>
  <c r="W1418" i="1"/>
  <c r="W1422" i="1"/>
  <c r="W1421" i="1"/>
  <c r="W1420" i="1"/>
  <c r="CA176" i="1"/>
  <c r="CA177" i="1"/>
  <c r="CA178" i="1"/>
  <c r="CA179" i="1"/>
  <c r="CA180" i="1"/>
  <c r="CA181" i="1"/>
  <c r="CA182" i="1"/>
  <c r="CA183" i="1"/>
  <c r="CA184" i="1"/>
  <c r="CA185" i="1"/>
  <c r="CA186" i="1"/>
  <c r="CA187" i="1"/>
  <c r="CA188" i="1"/>
  <c r="CA222" i="1"/>
  <c r="CA220" i="1"/>
  <c r="CA759" i="1"/>
  <c r="CA221" i="1"/>
  <c r="CA761" i="1"/>
  <c r="CA760" i="1"/>
  <c r="CA195" i="1"/>
  <c r="CA196" i="1"/>
  <c r="CA197" i="1"/>
  <c r="CA198" i="1"/>
  <c r="CA1275" i="1"/>
  <c r="CA200" i="1"/>
  <c r="CA201" i="1"/>
  <c r="CA1276" i="1"/>
  <c r="CA203" i="1"/>
  <c r="CA204" i="1"/>
  <c r="CA205" i="1"/>
  <c r="CA1277" i="1"/>
  <c r="CA271" i="1"/>
  <c r="CA270" i="1"/>
  <c r="CA1039" i="1"/>
  <c r="CA1040" i="1"/>
  <c r="CA692" i="1"/>
  <c r="CA269" i="1"/>
  <c r="CA693" i="1"/>
  <c r="CA762" i="1"/>
  <c r="CA1041" i="1"/>
  <c r="CA763" i="1"/>
  <c r="CA290" i="1"/>
  <c r="CA291" i="1"/>
  <c r="CA764" i="1"/>
  <c r="CA289" i="1"/>
  <c r="CA691" i="1"/>
  <c r="CA275" i="1"/>
  <c r="CA2274" i="1"/>
  <c r="CA2275" i="1"/>
  <c r="CA2273" i="1"/>
  <c r="CA277" i="1"/>
  <c r="CA276" i="1"/>
  <c r="CA228" i="1"/>
  <c r="CA229" i="1"/>
  <c r="CA230" i="1"/>
  <c r="CA231" i="1"/>
  <c r="CA232" i="1"/>
  <c r="CA233" i="1"/>
  <c r="CA234" i="1"/>
  <c r="CA235" i="1"/>
  <c r="CA236" i="1"/>
  <c r="CA237" i="1"/>
  <c r="CA238" i="1"/>
  <c r="CA239" i="1"/>
  <c r="CA240" i="1"/>
  <c r="CA241" i="1"/>
  <c r="CA242" i="1"/>
  <c r="CA243" i="1"/>
  <c r="CA244" i="1"/>
  <c r="CA245" i="1"/>
  <c r="CA246" i="1"/>
  <c r="CA247" i="1"/>
  <c r="CA248" i="1"/>
  <c r="CA249" i="1"/>
  <c r="CA250" i="1"/>
  <c r="CA251" i="1"/>
  <c r="CA252" i="1"/>
  <c r="CA253" i="1"/>
  <c r="CA254" i="1"/>
  <c r="CA255" i="1"/>
  <c r="CA256" i="1"/>
  <c r="CA257" i="1"/>
  <c r="CA258" i="1"/>
  <c r="CA259" i="1"/>
  <c r="CA260" i="1"/>
  <c r="CA261" i="1"/>
  <c r="CA262" i="1"/>
  <c r="CA263" i="1"/>
  <c r="CA264" i="1"/>
  <c r="CA265" i="1"/>
  <c r="CA699" i="1"/>
  <c r="CA783" i="1"/>
  <c r="CA784" i="1"/>
  <c r="CA1177" i="1"/>
  <c r="CA782" i="1"/>
  <c r="CA698" i="1"/>
  <c r="CA697" i="1"/>
  <c r="CA1178" i="1"/>
  <c r="CA1179" i="1"/>
  <c r="CA2265" i="1"/>
  <c r="CA2263" i="1"/>
  <c r="CA2266" i="1"/>
  <c r="CA1982" i="1"/>
  <c r="CA1984" i="1"/>
  <c r="CA1985" i="1"/>
  <c r="CA2264" i="1"/>
  <c r="CA2267" i="1"/>
  <c r="CA2268" i="1"/>
  <c r="CA1983" i="1"/>
  <c r="CA1986" i="1"/>
  <c r="CA1987" i="1"/>
  <c r="CA2241" i="1"/>
  <c r="CA2261" i="1"/>
  <c r="CA846" i="1"/>
  <c r="CA847" i="1"/>
  <c r="CA2262" i="1"/>
  <c r="CA850" i="1"/>
  <c r="CA1901" i="1"/>
  <c r="CA2242" i="1"/>
  <c r="CA851" i="1"/>
  <c r="CA2245" i="1"/>
  <c r="CA848" i="1"/>
  <c r="CA852" i="1"/>
  <c r="CA853" i="1"/>
  <c r="CA1902" i="1"/>
  <c r="CA849" i="1"/>
  <c r="CA2246" i="1"/>
  <c r="CA2247" i="1"/>
  <c r="CA2243" i="1"/>
  <c r="CA2248" i="1"/>
  <c r="CA2244" i="1"/>
  <c r="CA307" i="1"/>
  <c r="CA308" i="1"/>
  <c r="CA309" i="1"/>
  <c r="CA310" i="1"/>
  <c r="CA311" i="1"/>
  <c r="CA312" i="1"/>
  <c r="CA313" i="1"/>
  <c r="CA314" i="1"/>
  <c r="CA315" i="1"/>
  <c r="CA316" i="1"/>
  <c r="CA317" i="1"/>
  <c r="CA318" i="1"/>
  <c r="CA319" i="1"/>
  <c r="CA320" i="1"/>
  <c r="CA321" i="1"/>
  <c r="CA322" i="1"/>
  <c r="CA323" i="1"/>
  <c r="CA324" i="1"/>
  <c r="CA325" i="1"/>
  <c r="CA326" i="1"/>
  <c r="CA327" i="1"/>
  <c r="CA328" i="1"/>
  <c r="CA329" i="1"/>
  <c r="CA330" i="1"/>
  <c r="CA331" i="1"/>
  <c r="CA332" i="1"/>
  <c r="CA333" i="1"/>
  <c r="CA334" i="1"/>
  <c r="CA335" i="1"/>
  <c r="CA336" i="1"/>
  <c r="CA1488" i="1"/>
  <c r="CA1485" i="1"/>
  <c r="CA1489" i="1"/>
  <c r="CA1486" i="1"/>
  <c r="CA1487" i="1"/>
  <c r="CA342" i="1"/>
  <c r="CA343" i="1"/>
  <c r="CA344" i="1"/>
  <c r="CA345" i="1"/>
  <c r="CA346" i="1"/>
  <c r="CA347" i="1"/>
  <c r="CA892" i="1"/>
  <c r="CA893" i="1"/>
  <c r="CA543" i="1"/>
  <c r="CA545" i="1"/>
  <c r="CA546" i="1"/>
  <c r="CA544" i="1"/>
  <c r="CA566" i="1"/>
  <c r="CA541" i="1"/>
  <c r="CA569" i="1"/>
  <c r="CA886" i="1"/>
  <c r="CA887" i="1"/>
  <c r="CA31" i="1"/>
  <c r="CA189" i="1"/>
  <c r="CA192" i="1"/>
  <c r="CA193" i="1"/>
  <c r="CA194" i="1"/>
  <c r="CA199" i="1"/>
  <c r="CA190" i="1"/>
  <c r="CA542" i="1"/>
  <c r="CA191" i="1"/>
  <c r="CA888" i="1"/>
  <c r="CA889" i="1"/>
  <c r="CA890" i="1"/>
  <c r="CA891" i="1"/>
  <c r="CA372" i="1"/>
  <c r="CA373" i="1"/>
  <c r="CA374" i="1"/>
  <c r="CA375" i="1"/>
  <c r="CA376" i="1"/>
  <c r="CA377" i="1"/>
  <c r="CA378" i="1"/>
  <c r="CA379" i="1"/>
  <c r="CA380" i="1"/>
  <c r="CA381" i="1"/>
  <c r="CA382" i="1"/>
  <c r="CA383" i="1"/>
  <c r="CA384" i="1"/>
  <c r="CA385" i="1"/>
  <c r="CA386" i="1"/>
  <c r="CA387" i="1"/>
  <c r="CA388" i="1"/>
  <c r="CA389" i="1"/>
  <c r="CA390" i="1"/>
  <c r="CA391" i="1"/>
  <c r="CA392" i="1"/>
  <c r="CA393" i="1"/>
  <c r="CA394" i="1"/>
  <c r="CA395" i="1"/>
  <c r="CA396" i="1"/>
  <c r="CA397" i="1"/>
  <c r="CA398" i="1"/>
  <c r="CA399" i="1"/>
  <c r="CA400" i="1"/>
  <c r="CA401" i="1"/>
  <c r="CA402" i="1"/>
  <c r="CA403" i="1"/>
  <c r="CA404" i="1"/>
  <c r="CA405" i="1"/>
  <c r="CA406" i="1"/>
  <c r="CA407" i="1"/>
  <c r="CA408" i="1"/>
  <c r="CA409" i="1"/>
  <c r="CA410" i="1"/>
  <c r="CA411" i="1"/>
  <c r="CA412" i="1"/>
  <c r="CA413" i="1"/>
  <c r="CA414" i="1"/>
  <c r="CA415" i="1"/>
  <c r="CA416" i="1"/>
  <c r="CA417" i="1"/>
  <c r="CA418" i="1"/>
  <c r="CA419" i="1"/>
  <c r="CA420" i="1"/>
  <c r="CA421" i="1"/>
  <c r="CA422" i="1"/>
  <c r="CA423" i="1"/>
  <c r="CA424" i="1"/>
  <c r="CA425" i="1"/>
  <c r="CA426" i="1"/>
  <c r="CA427" i="1"/>
  <c r="CA428" i="1"/>
  <c r="CA429" i="1"/>
  <c r="CA430" i="1"/>
  <c r="CA431" i="1"/>
  <c r="CA432" i="1"/>
  <c r="CA433" i="1"/>
  <c r="CA434" i="1"/>
  <c r="CA435" i="1"/>
  <c r="CA436" i="1"/>
  <c r="CA437" i="1"/>
  <c r="CA438" i="1"/>
  <c r="CA439" i="1"/>
  <c r="CA440" i="1"/>
  <c r="CA441" i="1"/>
  <c r="CA442" i="1"/>
  <c r="CA443" i="1"/>
  <c r="CA444" i="1"/>
  <c r="CA445" i="1"/>
  <c r="CA446" i="1"/>
  <c r="CA447" i="1"/>
  <c r="CA448" i="1"/>
  <c r="CA449" i="1"/>
  <c r="CA450" i="1"/>
  <c r="CA451" i="1"/>
  <c r="CA452" i="1"/>
  <c r="CA453" i="1"/>
  <c r="CA454" i="1"/>
  <c r="CA455" i="1"/>
  <c r="CA456" i="1"/>
  <c r="CA457" i="1"/>
  <c r="CA458" i="1"/>
  <c r="CA459" i="1"/>
  <c r="CA460" i="1"/>
  <c r="CA461" i="1"/>
  <c r="CA462" i="1"/>
  <c r="CA463" i="1"/>
  <c r="CA464" i="1"/>
  <c r="CA465" i="1"/>
  <c r="CA466" i="1"/>
  <c r="CA467" i="1"/>
  <c r="CA468" i="1"/>
  <c r="CA469" i="1"/>
  <c r="CA470" i="1"/>
  <c r="CA471" i="1"/>
  <c r="CA472" i="1"/>
  <c r="CA473" i="1"/>
  <c r="CA474" i="1"/>
  <c r="CA475" i="1"/>
  <c r="CA476" i="1"/>
  <c r="CA477" i="1"/>
  <c r="CA478" i="1"/>
  <c r="CA479" i="1"/>
  <c r="CA480" i="1"/>
  <c r="CA481" i="1"/>
  <c r="CA482" i="1"/>
  <c r="CA483" i="1"/>
  <c r="CA484" i="1"/>
  <c r="CA485" i="1"/>
  <c r="CA486" i="1"/>
  <c r="CA487" i="1"/>
  <c r="CA488" i="1"/>
  <c r="CA489" i="1"/>
  <c r="CA490" i="1"/>
  <c r="CA491" i="1"/>
  <c r="CA492" i="1"/>
  <c r="CA493" i="1"/>
  <c r="CA494" i="1"/>
  <c r="CA495" i="1"/>
  <c r="CA496" i="1"/>
  <c r="CA497" i="1"/>
  <c r="CA498" i="1"/>
  <c r="CA499" i="1"/>
  <c r="CA500" i="1"/>
  <c r="CA501" i="1"/>
  <c r="CA502" i="1"/>
  <c r="CA503" i="1"/>
  <c r="CA504" i="1"/>
  <c r="CA505" i="1"/>
  <c r="CA506" i="1"/>
  <c r="CA507" i="1"/>
  <c r="CA508" i="1"/>
  <c r="CA509" i="1"/>
  <c r="CA510" i="1"/>
  <c r="CA511" i="1"/>
  <c r="CA512" i="1"/>
  <c r="CA513" i="1"/>
  <c r="CA514" i="1"/>
  <c r="CA515" i="1"/>
  <c r="CA516" i="1"/>
  <c r="CA517" i="1"/>
  <c r="CA518" i="1"/>
  <c r="CA519" i="1"/>
  <c r="CA520" i="1"/>
  <c r="CA521" i="1"/>
  <c r="CA522" i="1"/>
  <c r="CA523" i="1"/>
  <c r="CA524" i="1"/>
  <c r="CA1776" i="1"/>
  <c r="CA2128" i="1"/>
  <c r="CA1838" i="1"/>
  <c r="CA1837" i="1"/>
  <c r="CA1787" i="1"/>
  <c r="CA1775" i="1"/>
  <c r="CA1734" i="1"/>
  <c r="CA1786" i="1"/>
  <c r="CA2125" i="1"/>
  <c r="CA1839" i="1"/>
  <c r="CA2127" i="1"/>
  <c r="CA1788" i="1"/>
  <c r="CA1504" i="1"/>
  <c r="CA1505" i="1"/>
  <c r="CA1503" i="1"/>
  <c r="CA1501" i="1"/>
  <c r="CA2204" i="1"/>
  <c r="CA2205" i="1"/>
  <c r="CA1502" i="1"/>
  <c r="CA2207" i="1"/>
  <c r="CA2208" i="1"/>
  <c r="CA2206" i="1"/>
  <c r="CA547" i="1"/>
  <c r="CA548" i="1"/>
  <c r="CA549" i="1"/>
  <c r="CA550" i="1"/>
  <c r="CA551" i="1"/>
  <c r="CA552" i="1"/>
  <c r="CA553" i="1"/>
  <c r="CA554" i="1"/>
  <c r="CA555" i="1"/>
  <c r="CA556" i="1"/>
  <c r="CA557" i="1"/>
  <c r="CA558" i="1"/>
  <c r="CA559" i="1"/>
  <c r="CA560" i="1"/>
  <c r="CA561" i="1"/>
  <c r="CA562" i="1"/>
  <c r="CA563" i="1"/>
  <c r="CA564" i="1"/>
  <c r="CA565" i="1"/>
  <c r="CA751" i="1"/>
  <c r="CA567" i="1"/>
  <c r="CA568" i="1"/>
  <c r="CA752" i="1"/>
  <c r="CA570" i="1"/>
  <c r="CA753" i="1"/>
  <c r="CA677" i="1"/>
  <c r="CA573" i="1"/>
  <c r="CA574" i="1"/>
  <c r="CA678" i="1"/>
  <c r="CA576" i="1"/>
  <c r="CA577" i="1"/>
  <c r="CA578" i="1"/>
  <c r="CA579" i="1"/>
  <c r="CA679" i="1"/>
  <c r="CA581" i="1"/>
  <c r="CA582" i="1"/>
  <c r="CA583" i="1"/>
  <c r="CA584" i="1"/>
  <c r="CA585" i="1"/>
  <c r="CA586" i="1"/>
  <c r="CA587" i="1"/>
  <c r="CA588" i="1"/>
  <c r="CA589" i="1"/>
  <c r="CA590" i="1"/>
  <c r="CA591" i="1"/>
  <c r="CA592" i="1"/>
  <c r="CA593" i="1"/>
  <c r="CA594" i="1"/>
  <c r="CA595" i="1"/>
  <c r="CA596" i="1"/>
  <c r="CA597" i="1"/>
  <c r="CA598" i="1"/>
  <c r="CA599" i="1"/>
  <c r="CA600" i="1"/>
  <c r="CA601" i="1"/>
  <c r="CA602" i="1"/>
  <c r="CA603" i="1"/>
  <c r="CA604" i="1"/>
  <c r="CA605" i="1"/>
  <c r="CA606" i="1"/>
  <c r="CA607" i="1"/>
  <c r="CA1420" i="1"/>
  <c r="CA1421" i="1"/>
  <c r="CA1422" i="1"/>
  <c r="CA1418" i="1"/>
  <c r="CA1423" i="1"/>
  <c r="CA1416" i="1"/>
  <c r="CA1417" i="1"/>
  <c r="CA1419" i="1"/>
  <c r="CA616" i="1"/>
  <c r="CA617" i="1"/>
  <c r="CA618" i="1"/>
  <c r="CA619" i="1"/>
  <c r="CA620" i="1"/>
  <c r="CA621" i="1"/>
  <c r="CA622" i="1"/>
  <c r="CA623" i="1"/>
  <c r="CA624" i="1"/>
  <c r="CA625" i="1"/>
  <c r="CA626" i="1"/>
  <c r="CA627" i="1"/>
  <c r="CA628" i="1"/>
  <c r="CA629" i="1"/>
  <c r="CA630" i="1"/>
  <c r="CA631" i="1"/>
  <c r="CA632" i="1"/>
  <c r="CA633" i="1"/>
  <c r="CA634" i="1"/>
  <c r="CA635" i="1"/>
  <c r="CA636" i="1"/>
  <c r="CA637" i="1"/>
  <c r="CA638" i="1"/>
  <c r="CA639" i="1"/>
  <c r="CA640" i="1"/>
  <c r="CA641" i="1"/>
  <c r="CA642" i="1"/>
  <c r="CA643" i="1"/>
  <c r="CA644" i="1"/>
  <c r="CA645" i="1"/>
  <c r="CA646" i="1"/>
  <c r="CA647" i="1"/>
  <c r="CA648" i="1"/>
  <c r="CA649" i="1"/>
  <c r="CA650" i="1"/>
  <c r="CA651" i="1"/>
  <c r="CA652" i="1"/>
  <c r="CA653" i="1"/>
  <c r="CA654" i="1"/>
  <c r="CA655" i="1"/>
  <c r="CA656" i="1"/>
  <c r="CA657" i="1"/>
  <c r="CA658" i="1"/>
  <c r="CA659" i="1"/>
  <c r="CA660" i="1"/>
  <c r="CA661" i="1"/>
  <c r="CA662" i="1"/>
  <c r="CA663" i="1"/>
  <c r="CA664" i="1"/>
  <c r="CA665" i="1"/>
  <c r="CA666" i="1"/>
  <c r="CA667" i="1"/>
  <c r="CA668" i="1"/>
  <c r="CA669" i="1"/>
  <c r="CA670" i="1"/>
  <c r="CA671" i="1"/>
  <c r="CA672" i="1"/>
  <c r="CA673" i="1"/>
  <c r="CA674" i="1"/>
  <c r="CA675" i="1"/>
  <c r="CA1892" i="1"/>
  <c r="CA1891" i="1"/>
  <c r="CA1795" i="1"/>
  <c r="CA1796" i="1"/>
  <c r="CA1794" i="1"/>
  <c r="CA1893" i="1"/>
  <c r="CA1797" i="1"/>
  <c r="CA1894" i="1"/>
  <c r="CA1798" i="1"/>
  <c r="CA1895" i="1"/>
  <c r="CA1045" i="1"/>
  <c r="CA1059" i="1"/>
  <c r="CA1520" i="1"/>
  <c r="CA1046" i="1"/>
  <c r="CA1056" i="1"/>
  <c r="CA1060" i="1"/>
  <c r="CA1061" i="1"/>
  <c r="CA1521" i="1"/>
  <c r="CA1522" i="1"/>
  <c r="CA1057" i="1"/>
  <c r="CA1530" i="1"/>
  <c r="CA1531" i="1"/>
  <c r="CA1523" i="1"/>
  <c r="CA1532" i="1"/>
  <c r="CA1524" i="1"/>
  <c r="CA1062" i="1"/>
  <c r="CA1525" i="1"/>
  <c r="CA1058" i="1"/>
  <c r="CA1526" i="1"/>
  <c r="CA1527" i="1"/>
  <c r="CA1533" i="1"/>
  <c r="CA1528" i="1"/>
  <c r="CA1570" i="1"/>
  <c r="CA708" i="1"/>
  <c r="CA1571" i="1"/>
  <c r="CA709" i="1"/>
  <c r="CA703" i="1"/>
  <c r="CA704" i="1"/>
  <c r="CA705" i="1"/>
  <c r="CA710" i="1"/>
  <c r="CA711" i="1"/>
  <c r="CA770" i="1"/>
  <c r="CA707" i="1"/>
  <c r="CA1180" i="1"/>
  <c r="CA706" i="1"/>
  <c r="CA1184" i="1"/>
  <c r="CA1185" i="1"/>
  <c r="CA771" i="1"/>
  <c r="CA1186" i="1"/>
  <c r="CA1187" i="1"/>
  <c r="CA1181" i="1"/>
  <c r="CA765" i="1"/>
  <c r="CA766" i="1"/>
  <c r="CA1182" i="1"/>
  <c r="CA767" i="1"/>
  <c r="CA768" i="1"/>
  <c r="CA1188" i="1"/>
  <c r="CA772" i="1"/>
  <c r="CA1183" i="1"/>
  <c r="CA769" i="1"/>
  <c r="CA773" i="1"/>
  <c r="CA1572" i="1"/>
  <c r="CA1529" i="1"/>
  <c r="CA1573" i="1"/>
  <c r="CA740" i="1"/>
  <c r="CA741" i="1"/>
  <c r="CA742" i="1"/>
  <c r="CA743" i="1"/>
  <c r="CA744" i="1"/>
  <c r="CA745" i="1"/>
  <c r="CA746" i="1"/>
  <c r="CA747" i="1"/>
  <c r="CA748" i="1"/>
  <c r="CA1492" i="1"/>
  <c r="CA1491" i="1"/>
  <c r="CA1434" i="1"/>
  <c r="CA1199" i="1"/>
  <c r="CA1198" i="1"/>
  <c r="CA1433" i="1"/>
  <c r="CA724" i="1"/>
  <c r="CA725" i="1"/>
  <c r="CA735" i="1"/>
  <c r="CA694" i="1"/>
  <c r="CA696" i="1"/>
  <c r="CA695" i="1"/>
  <c r="CA723" i="1"/>
  <c r="CA1197" i="1"/>
  <c r="CA734" i="1"/>
  <c r="CA1490" i="1"/>
  <c r="CA1432" i="1"/>
  <c r="CA736" i="1"/>
  <c r="CA341" i="1"/>
  <c r="CA1438" i="1"/>
  <c r="CA366" i="1"/>
  <c r="CA1207" i="1"/>
  <c r="CA367" i="1"/>
  <c r="CA365" i="1"/>
  <c r="CA1206" i="1"/>
  <c r="CA865" i="1"/>
  <c r="CA863" i="1"/>
  <c r="CA864" i="1"/>
  <c r="CA348" i="1"/>
  <c r="CA349" i="1"/>
  <c r="CA857" i="1"/>
  <c r="CA858" i="1"/>
  <c r="CA859" i="1"/>
  <c r="CA1274" i="1"/>
  <c r="CA1439" i="1"/>
  <c r="CA1484" i="1"/>
  <c r="CA785" i="1"/>
  <c r="CA786" i="1"/>
  <c r="CA787" i="1"/>
  <c r="CA788" i="1"/>
  <c r="CA789" i="1"/>
  <c r="CA790" i="1"/>
  <c r="CA791" i="1"/>
  <c r="CA792" i="1"/>
  <c r="CA793" i="1"/>
  <c r="CA794" i="1"/>
  <c r="CA795" i="1"/>
  <c r="CA796" i="1"/>
  <c r="CA797" i="1"/>
  <c r="CA798" i="1"/>
  <c r="CA799" i="1"/>
  <c r="CA800" i="1"/>
  <c r="CA801" i="1"/>
  <c r="CA802" i="1"/>
  <c r="CA803" i="1"/>
  <c r="CA804" i="1"/>
  <c r="CA805" i="1"/>
  <c r="CA806" i="1"/>
  <c r="CA807" i="1"/>
  <c r="CA808" i="1"/>
  <c r="CA809" i="1"/>
  <c r="CA810" i="1"/>
  <c r="CA811" i="1"/>
  <c r="CA812" i="1"/>
  <c r="CA813" i="1"/>
  <c r="CA814" i="1"/>
  <c r="CA815" i="1"/>
  <c r="CA816" i="1"/>
  <c r="CA817" i="1"/>
  <c r="CA818" i="1"/>
  <c r="CA819" i="1"/>
  <c r="CA820" i="1"/>
  <c r="CA821" i="1"/>
  <c r="CA822" i="1"/>
  <c r="CA823" i="1"/>
  <c r="CA824" i="1"/>
  <c r="CA825" i="1"/>
  <c r="CA826" i="1"/>
  <c r="CA827" i="1"/>
  <c r="CA828" i="1"/>
  <c r="CA829" i="1"/>
  <c r="CA830" i="1"/>
  <c r="CA831" i="1"/>
  <c r="CA832" i="1"/>
  <c r="CA833" i="1"/>
  <c r="CA834" i="1"/>
  <c r="CA835" i="1"/>
  <c r="CA836" i="1"/>
  <c r="CA837" i="1"/>
  <c r="CA838" i="1"/>
  <c r="CA839" i="1"/>
  <c r="CA840" i="1"/>
  <c r="CA841" i="1"/>
  <c r="CA842" i="1"/>
  <c r="CA843" i="1"/>
  <c r="CA844" i="1"/>
  <c r="CA845" i="1"/>
  <c r="CA2217" i="1"/>
  <c r="CA2212" i="1"/>
  <c r="CA2231" i="1"/>
  <c r="CA2226" i="1"/>
  <c r="CA2134" i="1"/>
  <c r="CA2156" i="1"/>
  <c r="CA2249" i="1"/>
  <c r="CA2137" i="1"/>
  <c r="CA2234" i="1"/>
  <c r="CA2255" i="1"/>
  <c r="CA2158" i="1"/>
  <c r="CA2238" i="1"/>
  <c r="CA2227" i="1"/>
  <c r="CA2219" i="1"/>
  <c r="CA2007" i="1"/>
  <c r="CA2252" i="1"/>
  <c r="CA1993" i="1"/>
  <c r="CA2030" i="1"/>
  <c r="CA2214" i="1"/>
  <c r="CA2192" i="1"/>
  <c r="CA2235" i="1"/>
  <c r="CA2193" i="1"/>
  <c r="CA2138" i="1"/>
  <c r="CA2239" i="1"/>
  <c r="CA2179" i="1"/>
  <c r="CA1994" i="1"/>
  <c r="CA2140" i="1"/>
  <c r="CA2031" i="1"/>
  <c r="CA2184" i="1"/>
  <c r="CA2232" i="1"/>
  <c r="CA2220" i="1"/>
  <c r="CA2166" i="1"/>
  <c r="CA2229" i="1"/>
  <c r="CA2194" i="1"/>
  <c r="CA2169" i="1"/>
  <c r="CA2236" i="1"/>
  <c r="CA2253" i="1"/>
  <c r="CA2215" i="1"/>
  <c r="CA2187" i="1"/>
  <c r="CA2233" i="1"/>
  <c r="CA2005" i="1"/>
  <c r="CA2006" i="1"/>
  <c r="CA2240" i="1"/>
  <c r="CA2191" i="1"/>
  <c r="CA2141" i="1"/>
  <c r="CA2143" i="1"/>
  <c r="CA2172" i="1"/>
  <c r="CA2176" i="1"/>
  <c r="CA2150" i="1"/>
  <c r="CA2230" i="1"/>
  <c r="CA2216" i="1"/>
  <c r="CA2237" i="1"/>
  <c r="CA2155" i="1"/>
  <c r="CA2256" i="1"/>
  <c r="CA2257" i="1"/>
  <c r="CA2254" i="1"/>
  <c r="CA902" i="1"/>
  <c r="CA903" i="1"/>
  <c r="CA904" i="1"/>
  <c r="CA905" i="1"/>
  <c r="CA906" i="1"/>
  <c r="CA907" i="1"/>
  <c r="CA908" i="1"/>
  <c r="CA909" i="1"/>
  <c r="CA910" i="1"/>
  <c r="CA911" i="1"/>
  <c r="CA912" i="1"/>
  <c r="CA913" i="1"/>
  <c r="CA914" i="1"/>
  <c r="CA915" i="1"/>
  <c r="CA916" i="1"/>
  <c r="CA917" i="1"/>
  <c r="CA918" i="1"/>
  <c r="CA919" i="1"/>
  <c r="CA920" i="1"/>
  <c r="CA921" i="1"/>
  <c r="CA922" i="1"/>
  <c r="CA923" i="1"/>
  <c r="CA924" i="1"/>
  <c r="CA925" i="1"/>
  <c r="CA926" i="1"/>
  <c r="CA927" i="1"/>
  <c r="CA928" i="1"/>
  <c r="CA929" i="1"/>
  <c r="CA930" i="1"/>
  <c r="CA931" i="1"/>
  <c r="CA932" i="1"/>
  <c r="CA933" i="1"/>
  <c r="CA934" i="1"/>
  <c r="CA935" i="1"/>
  <c r="CA936" i="1"/>
  <c r="CA937" i="1"/>
  <c r="CA938" i="1"/>
  <c r="CA939" i="1"/>
  <c r="CA940" i="1"/>
  <c r="CA941" i="1"/>
  <c r="CA942" i="1"/>
  <c r="CA943" i="1"/>
  <c r="CA944" i="1"/>
  <c r="CA945" i="1"/>
  <c r="CA946" i="1"/>
  <c r="CA947" i="1"/>
  <c r="CA948" i="1"/>
  <c r="CA949" i="1"/>
  <c r="CA950" i="1"/>
  <c r="CA951" i="1"/>
  <c r="CA952" i="1"/>
  <c r="CA953" i="1"/>
  <c r="CA954" i="1"/>
  <c r="CA955" i="1"/>
  <c r="CA956" i="1"/>
  <c r="CA957" i="1"/>
  <c r="CA958" i="1"/>
  <c r="CA959" i="1"/>
  <c r="CA960" i="1"/>
  <c r="CA961" i="1"/>
  <c r="CA962" i="1"/>
  <c r="CA963" i="1"/>
  <c r="CA964" i="1"/>
  <c r="CA965" i="1"/>
  <c r="CA966" i="1"/>
  <c r="CA967" i="1"/>
  <c r="CA968" i="1"/>
  <c r="CA969" i="1"/>
  <c r="CA970" i="1"/>
  <c r="CA971" i="1"/>
  <c r="CA972" i="1"/>
  <c r="CA973" i="1"/>
  <c r="CA974" i="1"/>
  <c r="CA975" i="1"/>
  <c r="CA1070" i="1"/>
  <c r="CA1074" i="1"/>
  <c r="CA1075" i="1"/>
  <c r="CA1076" i="1"/>
  <c r="CA1072" i="1"/>
  <c r="CA1358" i="1"/>
  <c r="CA1359" i="1"/>
  <c r="CA1077" i="1"/>
  <c r="CA1847" i="1"/>
  <c r="CA1849" i="1"/>
  <c r="CA1360" i="1"/>
  <c r="CA1850" i="1"/>
  <c r="CA1361" i="1"/>
  <c r="CA1073" i="1"/>
  <c r="CA1851" i="1"/>
  <c r="CA1071" i="1"/>
  <c r="CA1852" i="1"/>
  <c r="CA1362" i="1"/>
  <c r="CA1848" i="1"/>
  <c r="CA1845" i="1"/>
  <c r="CA1363" i="1"/>
  <c r="CA1356" i="1"/>
  <c r="CA1846" i="1"/>
  <c r="CA1357" i="1"/>
  <c r="CA876" i="1"/>
  <c r="CA877" i="1"/>
  <c r="CA878" i="1"/>
  <c r="CA875" i="1"/>
  <c r="CA872" i="1"/>
  <c r="CA873" i="1"/>
  <c r="CA1067" i="1"/>
  <c r="CA2195" i="1"/>
  <c r="CA874" i="1"/>
  <c r="CA1068" i="1"/>
  <c r="CA2197" i="1"/>
  <c r="CA1063" i="1"/>
  <c r="CA1064" i="1"/>
  <c r="CA1066" i="1"/>
  <c r="CA1069" i="1"/>
  <c r="CA2199" i="1"/>
  <c r="CA1065" i="1"/>
  <c r="CA2201" i="1"/>
  <c r="CA2202" i="1"/>
  <c r="CA2203" i="1"/>
  <c r="CA2200" i="1"/>
  <c r="CA1021" i="1"/>
  <c r="CA1022" i="1"/>
  <c r="CA1023" i="1"/>
  <c r="CA1024" i="1"/>
  <c r="CA1025" i="1"/>
  <c r="CA1026" i="1"/>
  <c r="CA1027" i="1"/>
  <c r="CA1028" i="1"/>
  <c r="CA1029" i="1"/>
  <c r="CA1030" i="1"/>
  <c r="CA1031" i="1"/>
  <c r="CA1032" i="1"/>
  <c r="CA1033" i="1"/>
  <c r="CA1034" i="1"/>
  <c r="CA1716" i="1"/>
  <c r="CA1717" i="1"/>
  <c r="CA1718" i="1"/>
  <c r="CA856" i="1"/>
  <c r="CA28" i="1"/>
  <c r="CA17" i="1"/>
  <c r="CA15" i="1"/>
  <c r="CA854" i="1"/>
  <c r="CA16" i="1"/>
  <c r="CA30" i="1"/>
  <c r="CA855" i="1"/>
  <c r="CA18" i="1"/>
  <c r="CA1047" i="1"/>
  <c r="CA1048" i="1"/>
  <c r="CA1049" i="1"/>
  <c r="CA1050" i="1"/>
  <c r="CA1051" i="1"/>
  <c r="CA1052" i="1"/>
  <c r="CA1053" i="1"/>
  <c r="CA1054" i="1"/>
  <c r="CA1055" i="1"/>
  <c r="CA1512" i="1"/>
  <c r="CA1514" i="1"/>
  <c r="CA1515" i="1"/>
  <c r="CA1516" i="1"/>
  <c r="CA1517" i="1"/>
  <c r="CA1518" i="1"/>
  <c r="CA1149" i="1"/>
  <c r="CA1140" i="1"/>
  <c r="CA1150" i="1"/>
  <c r="CA1153" i="1"/>
  <c r="CA1155" i="1"/>
  <c r="CA1519" i="1"/>
  <c r="CA1513" i="1"/>
  <c r="CA1509" i="1"/>
  <c r="CA1141" i="1"/>
  <c r="CA1175" i="1"/>
  <c r="CA1143" i="1"/>
  <c r="CA1510" i="1"/>
  <c r="CA1176" i="1"/>
  <c r="CA1142" i="1"/>
  <c r="CA1145" i="1"/>
  <c r="CA1511" i="1"/>
  <c r="CA1078" i="1"/>
  <c r="CA1079" i="1"/>
  <c r="CA1080" i="1"/>
  <c r="CA1081" i="1"/>
  <c r="CA1082" i="1"/>
  <c r="CA1083" i="1"/>
  <c r="CA1084" i="1"/>
  <c r="CA1085" i="1"/>
  <c r="CA1086" i="1"/>
  <c r="CA1087" i="1"/>
  <c r="CA1088" i="1"/>
  <c r="CA1089" i="1"/>
  <c r="CA1090" i="1"/>
  <c r="CA1091" i="1"/>
  <c r="CA1092" i="1"/>
  <c r="CA1093" i="1"/>
  <c r="CA213" i="1"/>
  <c r="CA1036" i="1"/>
  <c r="CA1038" i="1"/>
  <c r="CA303" i="1"/>
  <c r="CA212" i="1"/>
  <c r="CA214" i="1"/>
  <c r="CA305" i="1"/>
  <c r="CA304" i="1"/>
  <c r="CA1037" i="1"/>
  <c r="CA1103" i="1"/>
  <c r="CA1104" i="1"/>
  <c r="CA1105" i="1"/>
  <c r="CA1106" i="1"/>
  <c r="CA1107" i="1"/>
  <c r="CA1108" i="1"/>
  <c r="CA1109" i="1"/>
  <c r="CA1110" i="1"/>
  <c r="CA733" i="1"/>
  <c r="CA901" i="1"/>
  <c r="CA732" i="1"/>
  <c r="CA731" i="1"/>
  <c r="CA976" i="1"/>
  <c r="CA977" i="1"/>
  <c r="CA900" i="1"/>
  <c r="CA978" i="1"/>
  <c r="CA979" i="1"/>
  <c r="CA358" i="1"/>
  <c r="CA1604" i="1"/>
  <c r="CA1617" i="1"/>
  <c r="CA1605" i="1"/>
  <c r="CA1618" i="1"/>
  <c r="CA1619" i="1"/>
  <c r="CA1606" i="1"/>
  <c r="CA612" i="1"/>
  <c r="CA613" i="1"/>
  <c r="CA614" i="1"/>
  <c r="CA362" i="1"/>
  <c r="CA610" i="1"/>
  <c r="CA615" i="1"/>
  <c r="CA676" i="1"/>
  <c r="CA1616" i="1"/>
  <c r="CA611" i="1"/>
  <c r="CA359" i="1"/>
  <c r="CA360" i="1"/>
  <c r="CA361" i="1"/>
  <c r="CA363" i="1"/>
  <c r="CA364" i="1"/>
  <c r="CA2085" i="1"/>
  <c r="CA2092" i="1"/>
  <c r="CA2098" i="1"/>
  <c r="CA1144" i="1"/>
  <c r="CA2107" i="1"/>
  <c r="CA1146" i="1"/>
  <c r="CA1147" i="1"/>
  <c r="CA1148" i="1"/>
  <c r="CA2082" i="1"/>
  <c r="CA2075" i="1"/>
  <c r="CA1151" i="1"/>
  <c r="CA1152" i="1"/>
  <c r="CA2079" i="1"/>
  <c r="CA1154" i="1"/>
  <c r="CA2084" i="1"/>
  <c r="CA1156" i="1"/>
  <c r="CA1157" i="1"/>
  <c r="CA1158" i="1"/>
  <c r="CA1159" i="1"/>
  <c r="CA1160" i="1"/>
  <c r="CA1161" i="1"/>
  <c r="CA1162" i="1"/>
  <c r="CA1163" i="1"/>
  <c r="CA1164" i="1"/>
  <c r="CA1165" i="1"/>
  <c r="CA1166" i="1"/>
  <c r="CA1167" i="1"/>
  <c r="CA1168" i="1"/>
  <c r="CA1169" i="1"/>
  <c r="CA1170" i="1"/>
  <c r="CA1171" i="1"/>
  <c r="CA1172" i="1"/>
  <c r="CA1173" i="1"/>
  <c r="CA1174" i="1"/>
  <c r="CA338" i="1"/>
  <c r="CA280" i="1"/>
  <c r="CA281" i="1"/>
  <c r="CA339" i="1"/>
  <c r="CA340" i="1"/>
  <c r="CA278" i="1"/>
  <c r="CA282" i="1"/>
  <c r="CA279" i="1"/>
  <c r="CA356" i="1"/>
  <c r="CA357" i="1"/>
  <c r="CA353" i="1"/>
  <c r="CA355" i="1"/>
  <c r="CA354" i="1"/>
  <c r="CA306" i="1"/>
  <c r="CA337" i="1"/>
  <c r="CA218" i="1"/>
  <c r="CA216" i="1"/>
  <c r="CA268" i="1"/>
  <c r="CA530" i="1"/>
  <c r="CA532" i="1"/>
  <c r="CA531" i="1"/>
  <c r="CA219" i="1"/>
  <c r="CA215" i="1"/>
  <c r="CA217" i="1"/>
  <c r="CA352" i="1"/>
  <c r="CA776" i="1"/>
  <c r="CA351" i="1"/>
  <c r="CA350" i="1"/>
  <c r="CA896" i="1"/>
  <c r="CA775" i="1"/>
  <c r="CA894" i="1"/>
  <c r="CA895" i="1"/>
  <c r="CA774" i="1"/>
  <c r="CA1208" i="1"/>
  <c r="CA1209" i="1"/>
  <c r="CA1210" i="1"/>
  <c r="CA1211" i="1"/>
  <c r="CA1212" i="1"/>
  <c r="CA1213" i="1"/>
  <c r="CA1214" i="1"/>
  <c r="CA1215" i="1"/>
  <c r="CA1216" i="1"/>
  <c r="CA1217" i="1"/>
  <c r="CA1218" i="1"/>
  <c r="CA1219" i="1"/>
  <c r="CA1220" i="1"/>
  <c r="CA1221" i="1"/>
  <c r="CA1222" i="1"/>
  <c r="CA1223" i="1"/>
  <c r="CA1224" i="1"/>
  <c r="CA1225" i="1"/>
  <c r="CA1226" i="1"/>
  <c r="CA1227" i="1"/>
  <c r="CA1228" i="1"/>
  <c r="CA1229" i="1"/>
  <c r="CA1230" i="1"/>
  <c r="CA1231" i="1"/>
  <c r="CA1232" i="1"/>
  <c r="CA1233" i="1"/>
  <c r="CA1234" i="1"/>
  <c r="CA1235" i="1"/>
  <c r="CA1236" i="1"/>
  <c r="CA1237" i="1"/>
  <c r="CA1238" i="1"/>
  <c r="CA1239" i="1"/>
  <c r="CA1240" i="1"/>
  <c r="CA1241" i="1"/>
  <c r="CA1242" i="1"/>
  <c r="CA1243" i="1"/>
  <c r="CA1244" i="1"/>
  <c r="CA1245" i="1"/>
  <c r="CA1246" i="1"/>
  <c r="CA1247" i="1"/>
  <c r="CA1248" i="1"/>
  <c r="CA1249" i="1"/>
  <c r="CA1250" i="1"/>
  <c r="CA1251" i="1"/>
  <c r="CA1252" i="1"/>
  <c r="CA1253" i="1"/>
  <c r="CA1254" i="1"/>
  <c r="CA1255" i="1"/>
  <c r="CA1256" i="1"/>
  <c r="CA1257" i="1"/>
  <c r="CA1258" i="1"/>
  <c r="CA1259" i="1"/>
  <c r="CA1260" i="1"/>
  <c r="CA1261" i="1"/>
  <c r="CA1262" i="1"/>
  <c r="CA1263" i="1"/>
  <c r="CA1264" i="1"/>
  <c r="CA1265" i="1"/>
  <c r="CA1266" i="1"/>
  <c r="CA1267" i="1"/>
  <c r="CA1268" i="1"/>
  <c r="CA1269" i="1"/>
  <c r="CA1270" i="1"/>
  <c r="CA1271" i="1"/>
  <c r="CA1272" i="1"/>
  <c r="CA1273" i="1"/>
  <c r="CA1579" i="1"/>
  <c r="CA749" i="1"/>
  <c r="CA737" i="1"/>
  <c r="CA738" i="1"/>
  <c r="CA1576" i="1"/>
  <c r="CA1580" i="1"/>
  <c r="CA750" i="1"/>
  <c r="CA1577" i="1"/>
  <c r="CA1581" i="1"/>
  <c r="CA1582" i="1"/>
  <c r="CA1583" i="1"/>
  <c r="CA1097" i="1"/>
  <c r="CA1094" i="1"/>
  <c r="CA1098" i="1"/>
  <c r="CA1095" i="1"/>
  <c r="CA1096" i="1"/>
  <c r="CA226" i="1"/>
  <c r="CA208" i="1"/>
  <c r="CA209" i="1"/>
  <c r="CA266" i="1"/>
  <c r="CA210" i="1"/>
  <c r="CA202" i="1"/>
  <c r="CA206" i="1"/>
  <c r="CA267" i="1"/>
  <c r="CA1584" i="1"/>
  <c r="CA207" i="1"/>
  <c r="CA211" i="1"/>
  <c r="CA227" i="1"/>
  <c r="CA1574" i="1"/>
  <c r="CA1575" i="1"/>
  <c r="CA1578" i="1"/>
  <c r="CA739" i="1"/>
  <c r="CA1306" i="1"/>
  <c r="CA1307" i="1"/>
  <c r="CA1308" i="1"/>
  <c r="CA1309" i="1"/>
  <c r="CA1310" i="1"/>
  <c r="CA1311" i="1"/>
  <c r="CA526" i="1"/>
  <c r="CA525" i="1"/>
  <c r="CA371" i="1"/>
  <c r="CA1315" i="1"/>
  <c r="CA1316" i="1"/>
  <c r="CA1317" i="1"/>
  <c r="CA1318" i="1"/>
  <c r="CA1319" i="1"/>
  <c r="CA1320" i="1"/>
  <c r="CA1321" i="1"/>
  <c r="CA1322" i="1"/>
  <c r="CA1323" i="1"/>
  <c r="CA1324" i="1"/>
  <c r="CA1325" i="1"/>
  <c r="CA1326" i="1"/>
  <c r="CA1327" i="1"/>
  <c r="CA1328" i="1"/>
  <c r="CA1329" i="1"/>
  <c r="CA1330" i="1"/>
  <c r="CA1331" i="1"/>
  <c r="CA1332" i="1"/>
  <c r="CA1333" i="1"/>
  <c r="CA1334" i="1"/>
  <c r="CA1335" i="1"/>
  <c r="CA1336" i="1"/>
  <c r="CA1337" i="1"/>
  <c r="CA1338" i="1"/>
  <c r="CA1339" i="1"/>
  <c r="CA1340" i="1"/>
  <c r="CA1341" i="1"/>
  <c r="CA1342" i="1"/>
  <c r="CA1343" i="1"/>
  <c r="CA1344" i="1"/>
  <c r="CA1792" i="1"/>
  <c r="CA1793" i="1"/>
  <c r="CA2224" i="1"/>
  <c r="CA2225" i="1"/>
  <c r="CA2221" i="1"/>
  <c r="CA1789" i="1"/>
  <c r="CA2222" i="1"/>
  <c r="CA1791" i="1"/>
  <c r="CA1883" i="1"/>
  <c r="CA1884" i="1"/>
  <c r="CA2223" i="1"/>
  <c r="CA1790" i="1"/>
  <c r="CA1885" i="1"/>
  <c r="CA1878" i="1"/>
  <c r="CA1886" i="1"/>
  <c r="CA1879" i="1"/>
  <c r="CA1887" i="1"/>
  <c r="CA1880" i="1"/>
  <c r="CA1881" i="1"/>
  <c r="CA1882" i="1"/>
  <c r="CA1365" i="1"/>
  <c r="CA1366" i="1"/>
  <c r="CA1367" i="1"/>
  <c r="CA1368" i="1"/>
  <c r="CA1369" i="1"/>
  <c r="CA1370" i="1"/>
  <c r="CA1371" i="1"/>
  <c r="CA1372" i="1"/>
  <c r="CA1373" i="1"/>
  <c r="CA1374" i="1"/>
  <c r="CA1375" i="1"/>
  <c r="CA1376" i="1"/>
  <c r="CA1377" i="1"/>
  <c r="CA1378" i="1"/>
  <c r="CA1379" i="1"/>
  <c r="CA1380" i="1"/>
  <c r="CA1381" i="1"/>
  <c r="CA1382" i="1"/>
  <c r="CA1383" i="1"/>
  <c r="CA1384" i="1"/>
  <c r="CA1385" i="1"/>
  <c r="CA1386" i="1"/>
  <c r="CA1387" i="1"/>
  <c r="CA1388" i="1"/>
  <c r="CA1389" i="1"/>
  <c r="CA1390" i="1"/>
  <c r="CA1391" i="1"/>
  <c r="CA1392" i="1"/>
  <c r="CA1393" i="1"/>
  <c r="CA1394" i="1"/>
  <c r="CA1395" i="1"/>
  <c r="CA1396" i="1"/>
  <c r="CA1397" i="1"/>
  <c r="CA1398" i="1"/>
  <c r="CA1399" i="1"/>
  <c r="CA1400" i="1"/>
  <c r="CA1401" i="1"/>
  <c r="CA754" i="1"/>
  <c r="CA755" i="1"/>
  <c r="CA997" i="1"/>
  <c r="CA998" i="1"/>
  <c r="CA1348" i="1"/>
  <c r="CA1349" i="1"/>
  <c r="CA1350" i="1"/>
  <c r="CA1351" i="1"/>
  <c r="CA1784" i="1"/>
  <c r="CA1785" i="1"/>
  <c r="CA1355" i="1"/>
  <c r="CA1354" i="1"/>
  <c r="CA982" i="1"/>
  <c r="CA757" i="1"/>
  <c r="CA758" i="1"/>
  <c r="CA985" i="1"/>
  <c r="CA1009" i="1"/>
  <c r="CA1007" i="1"/>
  <c r="CA1782" i="1"/>
  <c r="CA1202" i="1"/>
  <c r="CA1781" i="1"/>
  <c r="CA1201" i="1"/>
  <c r="CA1010" i="1"/>
  <c r="CA980" i="1"/>
  <c r="CA1780" i="1"/>
  <c r="CA756" i="1"/>
  <c r="CA1008" i="1"/>
  <c r="CA996" i="1"/>
  <c r="CA1006" i="1"/>
  <c r="CA981" i="1"/>
  <c r="CA1200" i="1"/>
  <c r="CA1352" i="1"/>
  <c r="CA1783" i="1"/>
  <c r="CA986" i="1"/>
  <c r="CA987" i="1"/>
  <c r="CA1353" i="1"/>
  <c r="CA983" i="1"/>
  <c r="CA984" i="1"/>
  <c r="CA1440" i="1"/>
  <c r="CA1441" i="1"/>
  <c r="CA1442" i="1"/>
  <c r="CA1443" i="1"/>
  <c r="CA1444" i="1"/>
  <c r="CA1445" i="1"/>
  <c r="CA1446" i="1"/>
  <c r="CA1447" i="1"/>
  <c r="CA1448" i="1"/>
  <c r="CA1449" i="1"/>
  <c r="CA1450" i="1"/>
  <c r="CA1451" i="1"/>
  <c r="CA1452" i="1"/>
  <c r="CA1453" i="1"/>
  <c r="CA1454" i="1"/>
  <c r="CA1455" i="1"/>
  <c r="CA1456" i="1"/>
  <c r="CA1457" i="1"/>
  <c r="CA1458" i="1"/>
  <c r="CA1459" i="1"/>
  <c r="CA1460" i="1"/>
  <c r="CA1461" i="1"/>
  <c r="CA1462" i="1"/>
  <c r="CA1463" i="1"/>
  <c r="CA1464" i="1"/>
  <c r="CA1465" i="1"/>
  <c r="CA1466" i="1"/>
  <c r="CA1467" i="1"/>
  <c r="CA1468" i="1"/>
  <c r="CA1469" i="1"/>
  <c r="CA1470" i="1"/>
  <c r="CA1471" i="1"/>
  <c r="CA1472" i="1"/>
  <c r="CA1473" i="1"/>
  <c r="CA1474" i="1"/>
  <c r="CA1475" i="1"/>
  <c r="CA1476" i="1"/>
  <c r="CA1477" i="1"/>
  <c r="CA1478" i="1"/>
  <c r="CA1479" i="1"/>
  <c r="CA1480" i="1"/>
  <c r="CA1481" i="1"/>
  <c r="CA1482" i="1"/>
  <c r="CA1483" i="1"/>
  <c r="CA10" i="1"/>
  <c r="CA7" i="1"/>
  <c r="CA11" i="1"/>
  <c r="CA8" i="1"/>
  <c r="CA9" i="1"/>
  <c r="CA527" i="1"/>
  <c r="CA529" i="1"/>
  <c r="CA898" i="1"/>
  <c r="CA899" i="1"/>
  <c r="CA713" i="1"/>
  <c r="CA868" i="1"/>
  <c r="CA701" i="1"/>
  <c r="CA297" i="1"/>
  <c r="CA867" i="1"/>
  <c r="CA702" i="1"/>
  <c r="CA866" i="1"/>
  <c r="CA897" i="1"/>
  <c r="CA572" i="1"/>
  <c r="CA700" i="1"/>
  <c r="CA299" i="1"/>
  <c r="CA298" i="1"/>
  <c r="CA575" i="1"/>
  <c r="CA571" i="1"/>
  <c r="CA528" i="1"/>
  <c r="CA714" i="1"/>
  <c r="CA301" i="1"/>
  <c r="CA712" i="1"/>
  <c r="CA273" i="1"/>
  <c r="CA274" i="1"/>
  <c r="CA272" i="1"/>
  <c r="CA300" i="1"/>
  <c r="CA302" i="1"/>
  <c r="CA2259" i="1"/>
  <c r="CA1101" i="1"/>
  <c r="CA1100" i="1"/>
  <c r="CA871" i="1"/>
  <c r="CA2260" i="1"/>
  <c r="CA870" i="1"/>
  <c r="CA869" i="1"/>
  <c r="CA1044" i="1"/>
  <c r="CA1042" i="1"/>
  <c r="CA2258" i="1"/>
  <c r="CA1196" i="1"/>
  <c r="CA1043" i="1"/>
  <c r="CA1194" i="1"/>
  <c r="CA1195" i="1"/>
  <c r="CA1099" i="1"/>
  <c r="CA2270" i="1"/>
  <c r="CA2271" i="1"/>
  <c r="CA2272" i="1"/>
  <c r="CA1534" i="1"/>
  <c r="CA1535" i="1"/>
  <c r="CA1536" i="1"/>
  <c r="CA1537" i="1"/>
  <c r="CA1538" i="1"/>
  <c r="CA1539" i="1"/>
  <c r="CA1540" i="1"/>
  <c r="CA1541" i="1"/>
  <c r="CA1542" i="1"/>
  <c r="CA1543" i="1"/>
  <c r="CA1544" i="1"/>
  <c r="CA1545" i="1"/>
  <c r="CA1546" i="1"/>
  <c r="CA1547" i="1"/>
  <c r="CA1548" i="1"/>
  <c r="CA1549" i="1"/>
  <c r="CA1550" i="1"/>
  <c r="CA1551" i="1"/>
  <c r="CA1552" i="1"/>
  <c r="CA1553" i="1"/>
  <c r="CA1554" i="1"/>
  <c r="CA1555" i="1"/>
  <c r="CA1556" i="1"/>
  <c r="CA1557" i="1"/>
  <c r="CA1558" i="1"/>
  <c r="CA1559" i="1"/>
  <c r="CA1560" i="1"/>
  <c r="CA1561" i="1"/>
  <c r="CA1562" i="1"/>
  <c r="CA1563" i="1"/>
  <c r="CA1564" i="1"/>
  <c r="CA1565" i="1"/>
  <c r="CA1566" i="1"/>
  <c r="CA1567" i="1"/>
  <c r="CA1568" i="1"/>
  <c r="CA1569" i="1"/>
  <c r="CA1842" i="1"/>
  <c r="CA1191" i="1"/>
  <c r="CA1843" i="1"/>
  <c r="CA1844" i="1"/>
  <c r="CA1856" i="1"/>
  <c r="CA1192" i="1"/>
  <c r="CA1855" i="1"/>
  <c r="CA1857" i="1"/>
  <c r="CA1853" i="1"/>
  <c r="CA1193" i="1"/>
  <c r="CA1840" i="1"/>
  <c r="CA1189" i="1"/>
  <c r="CA1190" i="1"/>
  <c r="CA1841" i="1"/>
  <c r="CA1854" i="1"/>
  <c r="CA1585" i="1"/>
  <c r="CA1586" i="1"/>
  <c r="CA1587" i="1"/>
  <c r="CA1588" i="1"/>
  <c r="CA1589" i="1"/>
  <c r="CA1590" i="1"/>
  <c r="CA537" i="1"/>
  <c r="CA538" i="1"/>
  <c r="CA992" i="1"/>
  <c r="CA993" i="1"/>
  <c r="CA535" i="1"/>
  <c r="CA533" i="1"/>
  <c r="CA539" i="1"/>
  <c r="CA994" i="1"/>
  <c r="CA536" i="1"/>
  <c r="CA988" i="1"/>
  <c r="CA540" i="1"/>
  <c r="CA534" i="1"/>
  <c r="CA989" i="1"/>
  <c r="CA990" i="1"/>
  <c r="CA995" i="1"/>
  <c r="CA991" i="1"/>
  <c r="CA1607" i="1"/>
  <c r="CA1608" i="1"/>
  <c r="CA1609" i="1"/>
  <c r="CA1610" i="1"/>
  <c r="CA1611" i="1"/>
  <c r="CA1612" i="1"/>
  <c r="CA1613" i="1"/>
  <c r="CA1614" i="1"/>
  <c r="CA1615" i="1"/>
  <c r="CA1731" i="1"/>
  <c r="CA1728" i="1"/>
  <c r="CA1727" i="1"/>
  <c r="CA1729" i="1"/>
  <c r="CA1730" i="1"/>
  <c r="CA1732" i="1"/>
  <c r="CA1733" i="1"/>
  <c r="CA999" i="1"/>
  <c r="CA1000" i="1"/>
  <c r="CA1003" i="1"/>
  <c r="CA1004" i="1"/>
  <c r="CA1001" i="1"/>
  <c r="CA1005" i="1"/>
  <c r="CA1002" i="1"/>
  <c r="CA1630" i="1"/>
  <c r="CA1631" i="1"/>
  <c r="CA1632" i="1"/>
  <c r="CA1633" i="1"/>
  <c r="CA1634" i="1"/>
  <c r="CA1635" i="1"/>
  <c r="CA1636" i="1"/>
  <c r="CA1637" i="1"/>
  <c r="CA1638" i="1"/>
  <c r="CA1639" i="1"/>
  <c r="CA1640" i="1"/>
  <c r="CA1641" i="1"/>
  <c r="CA1642" i="1"/>
  <c r="CA1643" i="1"/>
  <c r="CA1644" i="1"/>
  <c r="CA1645" i="1"/>
  <c r="CA1646" i="1"/>
  <c r="CA1647" i="1"/>
  <c r="CA1648" i="1"/>
  <c r="CA1649" i="1"/>
  <c r="CA1650" i="1"/>
  <c r="CA1651" i="1"/>
  <c r="CA1652" i="1"/>
  <c r="CA1653" i="1"/>
  <c r="CA1654" i="1"/>
  <c r="CA1655" i="1"/>
  <c r="CA1656" i="1"/>
  <c r="CA1657" i="1"/>
  <c r="CA1658" i="1"/>
  <c r="CA1659" i="1"/>
  <c r="CA1660" i="1"/>
  <c r="CA1661" i="1"/>
  <c r="CA1662" i="1"/>
  <c r="CA1663" i="1"/>
  <c r="CA1664" i="1"/>
  <c r="CA1665" i="1"/>
  <c r="CA1666" i="1"/>
  <c r="CA1667" i="1"/>
  <c r="CA1668" i="1"/>
  <c r="CA1669" i="1"/>
  <c r="CA1670" i="1"/>
  <c r="CA1671" i="1"/>
  <c r="CA1672" i="1"/>
  <c r="CA1673" i="1"/>
  <c r="CA1674" i="1"/>
  <c r="CA1675" i="1"/>
  <c r="CA1676" i="1"/>
  <c r="CA1677" i="1"/>
  <c r="CA1678" i="1"/>
  <c r="CA1679" i="1"/>
  <c r="CA1680" i="1"/>
  <c r="CA1681" i="1"/>
  <c r="CA1682" i="1"/>
  <c r="CA1683" i="1"/>
  <c r="CA1684" i="1"/>
  <c r="CA1685" i="1"/>
  <c r="CA1686" i="1"/>
  <c r="CA1687" i="1"/>
  <c r="CA1688" i="1"/>
  <c r="CA1689" i="1"/>
  <c r="CA1690" i="1"/>
  <c r="CA1691" i="1"/>
  <c r="CA1692" i="1"/>
  <c r="CA1693" i="1"/>
  <c r="CA1694" i="1"/>
  <c r="CA1695" i="1"/>
  <c r="CA1696" i="1"/>
  <c r="CA1697" i="1"/>
  <c r="CA1698" i="1"/>
  <c r="CA1699" i="1"/>
  <c r="CA1700" i="1"/>
  <c r="CA1701" i="1"/>
  <c r="CA1702" i="1"/>
  <c r="CA1703" i="1"/>
  <c r="CA1704" i="1"/>
  <c r="CA2034" i="1"/>
  <c r="CA1778" i="1"/>
  <c r="CA1779" i="1"/>
  <c r="CA1777" i="1"/>
  <c r="CA1493" i="1"/>
  <c r="CA1205" i="1"/>
  <c r="CA1204" i="1"/>
  <c r="CA1203" i="1"/>
  <c r="CA2071" i="1"/>
  <c r="CA1495" i="1"/>
  <c r="CA2053" i="1"/>
  <c r="CA1494" i="1"/>
  <c r="CA860" i="1"/>
  <c r="CA861" i="1"/>
  <c r="CA862" i="1"/>
  <c r="CA1629" i="1"/>
  <c r="CA1628" i="1"/>
  <c r="CA1437" i="1"/>
  <c r="CA1436" i="1"/>
  <c r="CA285" i="1"/>
  <c r="CA1627" i="1"/>
  <c r="CA609" i="1"/>
  <c r="CA1714" i="1"/>
  <c r="CA1435" i="1"/>
  <c r="CA608" i="1"/>
  <c r="CA284" i="1"/>
  <c r="CA1713" i="1"/>
  <c r="CA283" i="1"/>
  <c r="CA1715" i="1"/>
  <c r="CA580" i="1"/>
  <c r="CA1735" i="1"/>
  <c r="CA1736" i="1"/>
  <c r="CA1737" i="1"/>
  <c r="CA1738" i="1"/>
  <c r="CA1739" i="1"/>
  <c r="CA1740" i="1"/>
  <c r="CA1741" i="1"/>
  <c r="CA1742" i="1"/>
  <c r="CA1743" i="1"/>
  <c r="CA1744" i="1"/>
  <c r="CA1745" i="1"/>
  <c r="CA1746" i="1"/>
  <c r="CA1747" i="1"/>
  <c r="CA1748" i="1"/>
  <c r="CA1749" i="1"/>
  <c r="CA1750" i="1"/>
  <c r="CA1751" i="1"/>
  <c r="CA1752" i="1"/>
  <c r="CA1753" i="1"/>
  <c r="CA1754" i="1"/>
  <c r="CA1755" i="1"/>
  <c r="CA1756" i="1"/>
  <c r="CA1757" i="1"/>
  <c r="CA1758" i="1"/>
  <c r="CA1759" i="1"/>
  <c r="CA1760" i="1"/>
  <c r="CA1761" i="1"/>
  <c r="CA1762" i="1"/>
  <c r="CA1763" i="1"/>
  <c r="CA1764" i="1"/>
  <c r="CA1765" i="1"/>
  <c r="CA1766" i="1"/>
  <c r="CA1767" i="1"/>
  <c r="CA1768" i="1"/>
  <c r="CA1769" i="1"/>
  <c r="CA1770" i="1"/>
  <c r="CA1771" i="1"/>
  <c r="CA1772" i="1"/>
  <c r="CA1773" i="1"/>
  <c r="CA1774" i="1"/>
  <c r="CA1832" i="1"/>
  <c r="CA1868" i="1"/>
  <c r="CA1871" i="1"/>
  <c r="CA1833" i="1"/>
  <c r="CA1835" i="1"/>
  <c r="CA1872" i="1"/>
  <c r="CA1869" i="1"/>
  <c r="CA1834" i="1"/>
  <c r="CA1870" i="1"/>
  <c r="CA1836" i="1"/>
  <c r="CA1831" i="1"/>
  <c r="CA1830" i="1"/>
  <c r="CA1866" i="1"/>
  <c r="CA1867" i="1"/>
  <c r="CA1424" i="1"/>
  <c r="CA1427" i="1"/>
  <c r="CA1425" i="1"/>
  <c r="CA295" i="1"/>
  <c r="CA292" i="1"/>
  <c r="CA296" i="1"/>
  <c r="CA1428" i="1"/>
  <c r="CA293" i="1"/>
  <c r="CA294" i="1"/>
  <c r="CA1426" i="1"/>
  <c r="CA1799" i="1"/>
  <c r="CA1800" i="1"/>
  <c r="CA1801" i="1"/>
  <c r="CA1802" i="1"/>
  <c r="CA1803" i="1"/>
  <c r="CA1804" i="1"/>
  <c r="CA1805" i="1"/>
  <c r="CA1806" i="1"/>
  <c r="CA1807" i="1"/>
  <c r="CA1808" i="1"/>
  <c r="CA1809" i="1"/>
  <c r="CA1810" i="1"/>
  <c r="CA1811" i="1"/>
  <c r="CA1812" i="1"/>
  <c r="CA1813" i="1"/>
  <c r="CA1814" i="1"/>
  <c r="CA1815" i="1"/>
  <c r="CA1816" i="1"/>
  <c r="CA1817" i="1"/>
  <c r="CA1818" i="1"/>
  <c r="CA1620" i="1"/>
  <c r="CA1621" i="1"/>
  <c r="CA883" i="1"/>
  <c r="CA881" i="1"/>
  <c r="CA882" i="1"/>
  <c r="CA884" i="1"/>
  <c r="CA1624" i="1"/>
  <c r="CA879" i="1"/>
  <c r="CA880" i="1"/>
  <c r="CA885" i="1"/>
  <c r="CA1622" i="1"/>
  <c r="CA1625" i="1"/>
  <c r="CA1626" i="1"/>
  <c r="CA1623" i="1"/>
  <c r="CA1594" i="1"/>
  <c r="CA1595" i="1"/>
  <c r="CA1598" i="1"/>
  <c r="CA1596" i="1"/>
  <c r="CA1599" i="1"/>
  <c r="CA1597" i="1"/>
  <c r="CA1600" i="1"/>
  <c r="CA1298" i="1"/>
  <c r="CA1723" i="1"/>
  <c r="CA1299" i="1"/>
  <c r="CA1304" i="1"/>
  <c r="CA1300" i="1"/>
  <c r="CA1709" i="1"/>
  <c r="CA1819" i="1"/>
  <c r="CA1710" i="1"/>
  <c r="CA1707" i="1"/>
  <c r="CA1293" i="1"/>
  <c r="CA1301" i="1"/>
  <c r="CA1724" i="1"/>
  <c r="CA1296" i="1"/>
  <c r="CA1294" i="1"/>
  <c r="CA1302" i="1"/>
  <c r="CA1711" i="1"/>
  <c r="CA1314" i="1"/>
  <c r="CA1719" i="1"/>
  <c r="CA1312" i="1"/>
  <c r="CA1705" i="1"/>
  <c r="CA1712" i="1"/>
  <c r="CA1345" i="1"/>
  <c r="CA1346" i="1"/>
  <c r="CA1347" i="1"/>
  <c r="CA1295" i="1"/>
  <c r="CA1725" i="1"/>
  <c r="CA1313" i="1"/>
  <c r="CA1822" i="1"/>
  <c r="CA1014" i="1"/>
  <c r="CA1303" i="1"/>
  <c r="CA1016" i="1"/>
  <c r="CA1720" i="1"/>
  <c r="CA1017" i="1"/>
  <c r="CA1297" i="1"/>
  <c r="CA1708" i="1"/>
  <c r="CA1820" i="1"/>
  <c r="CA1018" i="1"/>
  <c r="CA1019" i="1"/>
  <c r="CA1015" i="1"/>
  <c r="CA1305" i="1"/>
  <c r="CA1011" i="1"/>
  <c r="CA1020" i="1"/>
  <c r="CA1035" i="1"/>
  <c r="CA1823" i="1"/>
  <c r="CA1012" i="1"/>
  <c r="CA1721" i="1"/>
  <c r="CA1706" i="1"/>
  <c r="CA1013" i="1"/>
  <c r="CA1824" i="1"/>
  <c r="CA1722" i="1"/>
  <c r="CA1726" i="1"/>
  <c r="CA1825" i="1"/>
  <c r="CA1826" i="1"/>
  <c r="CA1827" i="1"/>
  <c r="CA1828" i="1"/>
  <c r="CA1821" i="1"/>
  <c r="CA1829" i="1"/>
  <c r="CA368" i="1"/>
  <c r="CA688" i="1"/>
  <c r="CA689" i="1"/>
  <c r="CA369" i="1"/>
  <c r="CA370" i="1"/>
  <c r="CA690" i="1"/>
  <c r="CA1903" i="1"/>
  <c r="CA1904" i="1"/>
  <c r="CA1905" i="1"/>
  <c r="CA1906" i="1"/>
  <c r="CA1907" i="1"/>
  <c r="CA1908" i="1"/>
  <c r="CA1909" i="1"/>
  <c r="CA1910" i="1"/>
  <c r="CA1911" i="1"/>
  <c r="CA1912" i="1"/>
  <c r="CA1913" i="1"/>
  <c r="CA1914" i="1"/>
  <c r="CA1915" i="1"/>
  <c r="CA1916" i="1"/>
  <c r="CA1917" i="1"/>
  <c r="CA1918" i="1"/>
  <c r="CA1919" i="1"/>
  <c r="CA1920" i="1"/>
  <c r="CA1921" i="1"/>
  <c r="CA1922" i="1"/>
  <c r="CA1923" i="1"/>
  <c r="CA1924" i="1"/>
  <c r="CA1925" i="1"/>
  <c r="CA1926" i="1"/>
  <c r="CA1927" i="1"/>
  <c r="CA1928" i="1"/>
  <c r="CA1929" i="1"/>
  <c r="CA1930" i="1"/>
  <c r="CA1931" i="1"/>
  <c r="CA1932" i="1"/>
  <c r="CA1933" i="1"/>
  <c r="CA1934" i="1"/>
  <c r="CA1935" i="1"/>
  <c r="CA1936" i="1"/>
  <c r="CA1937" i="1"/>
  <c r="CA1938" i="1"/>
  <c r="CA1939" i="1"/>
  <c r="CA1940" i="1"/>
  <c r="CA1941" i="1"/>
  <c r="CA1942" i="1"/>
  <c r="CA1943" i="1"/>
  <c r="CA1944" i="1"/>
  <c r="CA1945" i="1"/>
  <c r="CA1946" i="1"/>
  <c r="CA1947" i="1"/>
  <c r="CA1948" i="1"/>
  <c r="CA1949" i="1"/>
  <c r="CA1950" i="1"/>
  <c r="CA1951" i="1"/>
  <c r="CA1952" i="1"/>
  <c r="CA1953" i="1"/>
  <c r="CA1954" i="1"/>
  <c r="CA1955" i="1"/>
  <c r="CA1956" i="1"/>
  <c r="CA1957" i="1"/>
  <c r="CA1958" i="1"/>
  <c r="CA1959" i="1"/>
  <c r="CA1960" i="1"/>
  <c r="CA1961" i="1"/>
  <c r="CA1962" i="1"/>
  <c r="CA1963" i="1"/>
  <c r="CA1964" i="1"/>
  <c r="CA1965" i="1"/>
  <c r="CA1966" i="1"/>
  <c r="CA1967" i="1"/>
  <c r="CA1968" i="1"/>
  <c r="CA1969" i="1"/>
  <c r="CA1970" i="1"/>
  <c r="CA1971" i="1"/>
  <c r="CA1972" i="1"/>
  <c r="CA1973" i="1"/>
  <c r="CA1974" i="1"/>
  <c r="CA1975" i="1"/>
  <c r="CA1976" i="1"/>
  <c r="CA1977" i="1"/>
  <c r="CA1978" i="1"/>
  <c r="CA1979" i="1"/>
  <c r="CA1980" i="1"/>
  <c r="CA1981" i="1"/>
  <c r="CA1862" i="1"/>
  <c r="CA1863" i="1"/>
  <c r="CA1858" i="1"/>
  <c r="CA1864" i="1"/>
  <c r="CA1860" i="1"/>
  <c r="CA1859" i="1"/>
  <c r="CA1865" i="1"/>
  <c r="CA1499" i="1"/>
  <c r="CA1496" i="1"/>
  <c r="CA1497" i="1"/>
  <c r="CA1861" i="1"/>
  <c r="CA1500" i="1"/>
  <c r="CA1498" i="1"/>
  <c r="CA1995" i="1"/>
  <c r="CA1996" i="1"/>
  <c r="CA1997" i="1"/>
  <c r="CA1998" i="1"/>
  <c r="CA1999" i="1"/>
  <c r="CA2000" i="1"/>
  <c r="CA2001" i="1"/>
  <c r="CA2002" i="1"/>
  <c r="CA2003" i="1"/>
  <c r="CA2004" i="1"/>
  <c r="CA224" i="1"/>
  <c r="CA223" i="1"/>
  <c r="CA225" i="1"/>
  <c r="CA2008" i="1"/>
  <c r="CA2009" i="1"/>
  <c r="CA2010" i="1"/>
  <c r="CA2011" i="1"/>
  <c r="CA2012" i="1"/>
  <c r="CA2013" i="1"/>
  <c r="CA2014" i="1"/>
  <c r="CA2015" i="1"/>
  <c r="CA2016" i="1"/>
  <c r="CA2017" i="1"/>
  <c r="CA2018" i="1"/>
  <c r="CA2019" i="1"/>
  <c r="CA2020" i="1"/>
  <c r="CA2021" i="1"/>
  <c r="CA2022" i="1"/>
  <c r="CA2023" i="1"/>
  <c r="CA2024" i="1"/>
  <c r="CA2025" i="1"/>
  <c r="CA2026" i="1"/>
  <c r="CA2027" i="1"/>
  <c r="CA2028" i="1"/>
  <c r="CA2029" i="1"/>
  <c r="CA287" i="1"/>
  <c r="CA286" i="1"/>
  <c r="CA2032" i="1"/>
  <c r="CA2033" i="1"/>
  <c r="CA288" i="1"/>
  <c r="CA2035" i="1"/>
  <c r="CA2036" i="1"/>
  <c r="CA2037" i="1"/>
  <c r="CA2038" i="1"/>
  <c r="CA2039" i="1"/>
  <c r="CA2040" i="1"/>
  <c r="CA2041" i="1"/>
  <c r="CA2042" i="1"/>
  <c r="CA2043" i="1"/>
  <c r="CA2044" i="1"/>
  <c r="CA2045" i="1"/>
  <c r="CA2046" i="1"/>
  <c r="CA2047" i="1"/>
  <c r="CA2048" i="1"/>
  <c r="CA2049" i="1"/>
  <c r="CA2050" i="1"/>
  <c r="CA2051" i="1"/>
  <c r="CA2052" i="1"/>
  <c r="CA680" i="1"/>
  <c r="CA2054" i="1"/>
  <c r="CA2055" i="1"/>
  <c r="CA2056" i="1"/>
  <c r="CA2057" i="1"/>
  <c r="CA2058" i="1"/>
  <c r="CA2059" i="1"/>
  <c r="CA2060" i="1"/>
  <c r="CA2061" i="1"/>
  <c r="CA2062" i="1"/>
  <c r="CA2063" i="1"/>
  <c r="CA2064" i="1"/>
  <c r="CA2065" i="1"/>
  <c r="CA2066" i="1"/>
  <c r="CA2067" i="1"/>
  <c r="CA2068" i="1"/>
  <c r="CA2069" i="1"/>
  <c r="CA2070" i="1"/>
  <c r="CA684" i="1"/>
  <c r="CA2072" i="1"/>
  <c r="CA2073" i="1"/>
  <c r="CA2074" i="1"/>
  <c r="CA780" i="1"/>
  <c r="CA2076" i="1"/>
  <c r="CA2077" i="1"/>
  <c r="CA2078" i="1"/>
  <c r="CA777" i="1"/>
  <c r="CA2080" i="1"/>
  <c r="CA2081" i="1"/>
  <c r="CA715" i="1"/>
  <c r="CA2083" i="1"/>
  <c r="CA779" i="1"/>
  <c r="CA781" i="1"/>
  <c r="CA2086" i="1"/>
  <c r="CA2087" i="1"/>
  <c r="CA2088" i="1"/>
  <c r="CA2089" i="1"/>
  <c r="CA2090" i="1"/>
  <c r="CA2091" i="1"/>
  <c r="CA778" i="1"/>
  <c r="CA2093" i="1"/>
  <c r="CA2094" i="1"/>
  <c r="CA2095" i="1"/>
  <c r="CA2096" i="1"/>
  <c r="CA2097" i="1"/>
  <c r="CA681" i="1"/>
  <c r="CA2099" i="1"/>
  <c r="CA2100" i="1"/>
  <c r="CA2101" i="1"/>
  <c r="CA2102" i="1"/>
  <c r="CA2103" i="1"/>
  <c r="CA2104" i="1"/>
  <c r="CA2105" i="1"/>
  <c r="CA2106" i="1"/>
  <c r="CA682" i="1"/>
  <c r="CA2108" i="1"/>
  <c r="CA685" i="1"/>
  <c r="CA2110" i="1"/>
  <c r="CA719" i="1"/>
  <c r="CA2112" i="1"/>
  <c r="CA2113" i="1"/>
  <c r="CA2114" i="1"/>
  <c r="CA2115" i="1"/>
  <c r="CA2116" i="1"/>
  <c r="CA2117" i="1"/>
  <c r="CA2118" i="1"/>
  <c r="CA2119" i="1"/>
  <c r="CA716" i="1"/>
  <c r="CA2121" i="1"/>
  <c r="CA2122" i="1"/>
  <c r="CA2123" i="1"/>
  <c r="CA2124" i="1"/>
  <c r="CA720" i="1"/>
  <c r="CA2126" i="1"/>
  <c r="CA721" i="1"/>
  <c r="CA1888" i="1"/>
  <c r="CA2129" i="1"/>
  <c r="CA2130" i="1"/>
  <c r="CA2131" i="1"/>
  <c r="CA2132" i="1"/>
  <c r="CA2133" i="1"/>
  <c r="CA717" i="1"/>
  <c r="CA2135" i="1"/>
  <c r="CA2136" i="1"/>
  <c r="CA686" i="1"/>
  <c r="CA718" i="1"/>
  <c r="CA2139" i="1"/>
  <c r="CA722" i="1"/>
  <c r="CA683" i="1"/>
  <c r="CA2142" i="1"/>
  <c r="CA687" i="1"/>
  <c r="CA2144" i="1"/>
  <c r="CA2145" i="1"/>
  <c r="CA2146" i="1"/>
  <c r="CA2147" i="1"/>
  <c r="CA2148" i="1"/>
  <c r="CA2149" i="1"/>
  <c r="CA1128" i="1"/>
  <c r="CA2151" i="1"/>
  <c r="CA2152" i="1"/>
  <c r="CA2153" i="1"/>
  <c r="CA2154" i="1"/>
  <c r="CA1129" i="1"/>
  <c r="CA1873" i="1"/>
  <c r="CA2157" i="1"/>
  <c r="CA1281" i="1"/>
  <c r="CA2159" i="1"/>
  <c r="CA2160" i="1"/>
  <c r="CA2161" i="1"/>
  <c r="CA2162" i="1"/>
  <c r="CA2163" i="1"/>
  <c r="CA2164" i="1"/>
  <c r="CA2165" i="1"/>
  <c r="CA1890" i="1"/>
  <c r="CA2167" i="1"/>
  <c r="CA2168" i="1"/>
  <c r="CA1282" i="1"/>
  <c r="CA2170" i="1"/>
  <c r="CA2171" i="1"/>
  <c r="CA1889" i="1"/>
  <c r="CA2173" i="1"/>
  <c r="CA2174" i="1"/>
  <c r="CA2175" i="1"/>
  <c r="CA1896" i="1"/>
  <c r="CA2177" i="1"/>
  <c r="CA2178" i="1"/>
  <c r="CA1283" i="1"/>
  <c r="CA2180" i="1"/>
  <c r="CA2181" i="1"/>
  <c r="CA2182" i="1"/>
  <c r="CA2183" i="1"/>
  <c r="CA1874" i="1"/>
  <c r="CA2185" i="1"/>
  <c r="CA2186" i="1"/>
  <c r="CA1876" i="1"/>
  <c r="CA2188" i="1"/>
  <c r="CA2189" i="1"/>
  <c r="CA2190" i="1"/>
  <c r="CA1899" i="1"/>
  <c r="CA1877" i="1"/>
  <c r="CA1897" i="1"/>
  <c r="CA1875" i="1"/>
  <c r="CA1603" i="1"/>
  <c r="CA2196" i="1"/>
  <c r="CA1130" i="1"/>
  <c r="CA2198" i="1"/>
  <c r="CA727" i="1"/>
  <c r="CA1284" i="1"/>
  <c r="CA1990" i="1"/>
  <c r="CA1898" i="1"/>
  <c r="CA1900" i="1"/>
  <c r="CA1285" i="1"/>
  <c r="CA729" i="1"/>
  <c r="CA1286" i="1"/>
  <c r="CA1278" i="1"/>
  <c r="CA1287" i="1"/>
  <c r="CA1988" i="1"/>
  <c r="CA1288" i="1"/>
  <c r="CA1102" i="1"/>
  <c r="CA1602" i="1"/>
  <c r="CA2213" i="1"/>
  <c r="CA1131" i="1"/>
  <c r="CA1289" i="1"/>
  <c r="CA1111" i="1"/>
  <c r="CA1290" i="1"/>
  <c r="CA2218" i="1"/>
  <c r="CA1991" i="1"/>
  <c r="CA1112" i="1"/>
  <c r="CA1291" i="1"/>
  <c r="CA1279" i="1"/>
  <c r="CA1132" i="1"/>
  <c r="CA1133" i="1"/>
  <c r="CA1116" i="1"/>
  <c r="CA1117" i="1"/>
  <c r="CA1118" i="1"/>
  <c r="CA2228" i="1"/>
  <c r="CA1292" i="1"/>
  <c r="CA1119" i="1"/>
  <c r="CA1134" i="1"/>
  <c r="CA1135" i="1"/>
  <c r="CA1120" i="1"/>
  <c r="CA730" i="1"/>
  <c r="CA1407" i="1"/>
  <c r="CA728" i="1"/>
  <c r="CA1280" i="1"/>
  <c r="CA1121" i="1"/>
  <c r="CA1122" i="1"/>
  <c r="CA1136" i="1"/>
  <c r="CA1408" i="1"/>
  <c r="CA1409" i="1"/>
  <c r="CA1410" i="1"/>
  <c r="CA1992" i="1"/>
  <c r="CA1411" i="1"/>
  <c r="CA726" i="1"/>
  <c r="CA1412" i="1"/>
  <c r="CA1123" i="1"/>
  <c r="CA1413" i="1"/>
  <c r="CA2250" i="1"/>
  <c r="CA2251" i="1"/>
  <c r="CA1364" i="1"/>
  <c r="CA1113" i="1"/>
  <c r="CA1402" i="1"/>
  <c r="CA1989" i="1"/>
  <c r="CA2120" i="1"/>
  <c r="CA1414" i="1"/>
  <c r="CA1403" i="1"/>
  <c r="CA1114" i="1"/>
  <c r="CA1124" i="1"/>
  <c r="CA1601" i="1"/>
  <c r="CA1415" i="1"/>
  <c r="CA1404" i="1"/>
  <c r="CA1592" i="1"/>
  <c r="CA1591" i="1"/>
  <c r="CA1405" i="1"/>
  <c r="CA2109" i="1"/>
  <c r="CA2111" i="1"/>
  <c r="CA2269" i="1"/>
  <c r="CA1593" i="1"/>
  <c r="CA1115" i="1"/>
  <c r="CA1137" i="1"/>
  <c r="CA1406" i="1"/>
  <c r="CA1126" i="1"/>
  <c r="CA1127" i="1"/>
  <c r="CA2276" i="1"/>
  <c r="CA1138" i="1"/>
  <c r="CA1139" i="1"/>
  <c r="CA1125" i="1"/>
  <c r="CA2280" i="1"/>
  <c r="CA2281" i="1"/>
  <c r="CA2282" i="1"/>
  <c r="CA2283" i="1"/>
  <c r="CA2284" i="1"/>
  <c r="CA2285" i="1"/>
  <c r="CA2286" i="1"/>
  <c r="CA2287" i="1"/>
  <c r="CA2288" i="1"/>
  <c r="CA2289" i="1"/>
  <c r="CA2290" i="1"/>
  <c r="CA2291" i="1"/>
  <c r="CA2292" i="1"/>
  <c r="CA2293" i="1"/>
  <c r="CA2294" i="1"/>
  <c r="CA2295" i="1"/>
  <c r="CA2296" i="1"/>
  <c r="CA2297" i="1"/>
  <c r="CA2298" i="1"/>
  <c r="CA2299" i="1"/>
  <c r="CA2300" i="1"/>
  <c r="CA2301" i="1"/>
  <c r="CA2302" i="1"/>
  <c r="CA2303" i="1"/>
  <c r="CA2304" i="1"/>
  <c r="CA2305" i="1"/>
  <c r="CA2306" i="1"/>
  <c r="CA2307" i="1"/>
  <c r="CA2308" i="1"/>
  <c r="CA2309" i="1"/>
  <c r="CA2310" i="1"/>
  <c r="CA2311" i="1"/>
  <c r="CA2312" i="1"/>
  <c r="CA2313" i="1"/>
  <c r="CA2314" i="1"/>
  <c r="CA2315" i="1"/>
  <c r="CA2316" i="1"/>
  <c r="CA2317" i="1"/>
  <c r="CA2318" i="1"/>
  <c r="CA2319" i="1"/>
  <c r="CA2320" i="1"/>
  <c r="CA2321" i="1"/>
  <c r="CA2322" i="1"/>
  <c r="CA2323" i="1"/>
  <c r="CA2324" i="1"/>
  <c r="CA2325" i="1"/>
  <c r="CA2326" i="1"/>
  <c r="CA2327" i="1"/>
  <c r="CA2328" i="1"/>
  <c r="CA2329" i="1"/>
  <c r="CA2330" i="1"/>
  <c r="CA2331" i="1"/>
  <c r="CA2332" i="1"/>
  <c r="CA26" i="1"/>
  <c r="CA27" i="1"/>
  <c r="CA1430" i="1"/>
  <c r="CA29" i="1"/>
  <c r="CA1429" i="1"/>
  <c r="CA1431" i="1"/>
  <c r="CA32" i="1"/>
  <c r="CA33" i="1"/>
  <c r="CA34" i="1"/>
  <c r="CA35" i="1"/>
  <c r="CA36" i="1"/>
  <c r="CA37" i="1"/>
  <c r="CA38" i="1"/>
  <c r="CA39" i="1"/>
  <c r="CA40" i="1"/>
  <c r="CA41" i="1"/>
  <c r="CA42" i="1"/>
  <c r="CA43" i="1"/>
  <c r="CA44" i="1"/>
  <c r="CA45" i="1"/>
  <c r="CA46" i="1"/>
  <c r="CA47" i="1"/>
  <c r="CA48" i="1"/>
  <c r="CA49" i="1"/>
  <c r="CA50" i="1"/>
  <c r="CA51" i="1"/>
  <c r="CA52" i="1"/>
  <c r="CA53" i="1"/>
  <c r="CA54" i="1"/>
  <c r="CA55" i="1"/>
  <c r="CA56" i="1"/>
  <c r="CA57" i="1"/>
  <c r="CA58" i="1"/>
  <c r="CA59" i="1"/>
  <c r="CA60" i="1"/>
  <c r="CA61" i="1"/>
  <c r="CA62" i="1"/>
  <c r="CA63" i="1"/>
  <c r="CA64" i="1"/>
  <c r="CA65" i="1"/>
  <c r="CA66" i="1"/>
  <c r="CA67" i="1"/>
  <c r="CA68" i="1"/>
  <c r="CA69" i="1"/>
  <c r="CA70" i="1"/>
  <c r="CA71" i="1"/>
  <c r="CA72" i="1"/>
  <c r="CA73" i="1"/>
  <c r="CA74" i="1"/>
  <c r="CA75" i="1"/>
  <c r="CA76" i="1"/>
  <c r="CA77" i="1"/>
  <c r="CA78" i="1"/>
  <c r="CA79" i="1"/>
  <c r="CA80" i="1"/>
  <c r="CA81" i="1"/>
  <c r="CA82" i="1"/>
  <c r="CA83" i="1"/>
  <c r="CA84" i="1"/>
  <c r="CA85" i="1"/>
  <c r="CA86" i="1"/>
  <c r="CA87" i="1"/>
  <c r="CA88" i="1"/>
  <c r="CA89" i="1"/>
  <c r="CA90" i="1"/>
  <c r="CA91" i="1"/>
  <c r="CA92" i="1"/>
  <c r="CA93" i="1"/>
  <c r="CA94" i="1"/>
  <c r="CA95" i="1"/>
  <c r="CA96" i="1"/>
  <c r="CA97" i="1"/>
  <c r="CA98" i="1"/>
  <c r="CA99" i="1"/>
  <c r="CA100" i="1"/>
  <c r="CA101" i="1"/>
  <c r="CA102" i="1"/>
  <c r="CA103" i="1"/>
  <c r="CA104" i="1"/>
  <c r="CA105" i="1"/>
  <c r="CA106" i="1"/>
  <c r="CA107" i="1"/>
  <c r="CA108" i="1"/>
  <c r="CA109" i="1"/>
  <c r="CA110" i="1"/>
  <c r="CA111" i="1"/>
  <c r="CA112" i="1"/>
  <c r="CA113" i="1"/>
  <c r="CA114" i="1"/>
  <c r="CA115" i="1"/>
  <c r="CA116" i="1"/>
  <c r="CA117" i="1"/>
  <c r="CA118" i="1"/>
  <c r="CA119" i="1"/>
  <c r="CA120" i="1"/>
  <c r="CA121" i="1"/>
  <c r="CA122" i="1"/>
  <c r="CA123" i="1"/>
  <c r="CA124" i="1"/>
  <c r="CA125" i="1"/>
  <c r="CA126" i="1"/>
  <c r="CA127" i="1"/>
  <c r="CA128" i="1"/>
  <c r="CA129" i="1"/>
  <c r="CA130" i="1"/>
  <c r="CA131" i="1"/>
  <c r="CA132" i="1"/>
  <c r="CA133" i="1"/>
  <c r="CA134" i="1"/>
  <c r="CA135" i="1"/>
  <c r="CA136" i="1"/>
  <c r="CA137" i="1"/>
  <c r="CA138" i="1"/>
  <c r="CA139" i="1"/>
  <c r="CA140" i="1"/>
  <c r="CA141" i="1"/>
  <c r="CA142" i="1"/>
  <c r="CA143" i="1"/>
  <c r="CA144" i="1"/>
  <c r="CA145" i="1"/>
  <c r="CA146" i="1"/>
  <c r="CA147" i="1"/>
  <c r="CA148" i="1"/>
  <c r="CA149" i="1"/>
  <c r="CA150" i="1"/>
  <c r="CA151" i="1"/>
  <c r="CA152" i="1"/>
  <c r="CA153" i="1"/>
  <c r="CA154" i="1"/>
  <c r="CA155" i="1"/>
  <c r="CA156" i="1"/>
  <c r="CA157" i="1"/>
  <c r="CA158" i="1"/>
  <c r="CA159" i="1"/>
  <c r="CA160" i="1"/>
  <c r="CA161" i="1"/>
  <c r="CA162" i="1"/>
  <c r="CA163" i="1"/>
  <c r="CA164" i="1"/>
  <c r="CA165" i="1"/>
  <c r="CA166" i="1"/>
  <c r="CA167" i="1"/>
  <c r="CA168" i="1"/>
  <c r="CA169" i="1"/>
  <c r="CA170" i="1"/>
  <c r="CA171" i="1"/>
  <c r="CA172" i="1"/>
  <c r="CA173" i="1"/>
  <c r="CA174" i="1"/>
  <c r="CA175" i="1"/>
  <c r="CA3" i="1"/>
  <c r="CA4" i="1"/>
  <c r="CA5" i="1"/>
  <c r="CA6" i="1"/>
  <c r="CA2277" i="1"/>
  <c r="CA2278" i="1"/>
  <c r="CA1507" i="1"/>
  <c r="CA14" i="1"/>
  <c r="CA1508" i="1"/>
  <c r="CA2209" i="1"/>
  <c r="CA1506" i="1"/>
  <c r="CA2211" i="1"/>
  <c r="CA12" i="1"/>
  <c r="CA13" i="1"/>
  <c r="CA2210" i="1"/>
  <c r="CA19" i="1"/>
  <c r="CA20" i="1"/>
  <c r="CA21" i="1"/>
  <c r="CA22" i="1"/>
  <c r="CA23" i="1"/>
  <c r="CA24" i="1"/>
  <c r="CA25" i="1"/>
  <c r="CA2" i="1"/>
  <c r="BW25" i="1"/>
  <c r="BW26" i="1"/>
  <c r="BW27" i="1"/>
  <c r="BW1430" i="1"/>
  <c r="BW29" i="1"/>
  <c r="BW1429" i="1"/>
  <c r="BW1431" i="1"/>
  <c r="BW32" i="1"/>
  <c r="BW33" i="1"/>
  <c r="BW34" i="1"/>
  <c r="BW35" i="1"/>
  <c r="BW36" i="1"/>
  <c r="BW37" i="1"/>
  <c r="BW38" i="1"/>
  <c r="BW39" i="1"/>
  <c r="BW40" i="1"/>
  <c r="BW41" i="1"/>
  <c r="BW42" i="1"/>
  <c r="BW43" i="1"/>
  <c r="BW44" i="1"/>
  <c r="BW45" i="1"/>
  <c r="BW46" i="1"/>
  <c r="BW47" i="1"/>
  <c r="BW48" i="1"/>
  <c r="BW49" i="1"/>
  <c r="BW50" i="1"/>
  <c r="BW51" i="1"/>
  <c r="BW52" i="1"/>
  <c r="BW53" i="1"/>
  <c r="BW54" i="1"/>
  <c r="BW55" i="1"/>
  <c r="BW56" i="1"/>
  <c r="BW57" i="1"/>
  <c r="BW58" i="1"/>
  <c r="BW59" i="1"/>
  <c r="BW60" i="1"/>
  <c r="BW61" i="1"/>
  <c r="BW62" i="1"/>
  <c r="BW63" i="1"/>
  <c r="BW64" i="1"/>
  <c r="BW65" i="1"/>
  <c r="BW66" i="1"/>
  <c r="BW67" i="1"/>
  <c r="BW68" i="1"/>
  <c r="BW69" i="1"/>
  <c r="BW70" i="1"/>
  <c r="BW71" i="1"/>
  <c r="BW72" i="1"/>
  <c r="BW73" i="1"/>
  <c r="BW74" i="1"/>
  <c r="BW75" i="1"/>
  <c r="BW76" i="1"/>
  <c r="BW77" i="1"/>
  <c r="BW78" i="1"/>
  <c r="BW79" i="1"/>
  <c r="BW80" i="1"/>
  <c r="BW81" i="1"/>
  <c r="BW82" i="1"/>
  <c r="BW83" i="1"/>
  <c r="BW84" i="1"/>
  <c r="BW85" i="1"/>
  <c r="BW86" i="1"/>
  <c r="BW87" i="1"/>
  <c r="BW88" i="1"/>
  <c r="BW89" i="1"/>
  <c r="BW90" i="1"/>
  <c r="BW91" i="1"/>
  <c r="BW92" i="1"/>
  <c r="BW93" i="1"/>
  <c r="BW94" i="1"/>
  <c r="BW95" i="1"/>
  <c r="BW96" i="1"/>
  <c r="BW97" i="1"/>
  <c r="BW98" i="1"/>
  <c r="BW99" i="1"/>
  <c r="BW100" i="1"/>
  <c r="BW101" i="1"/>
  <c r="BW102" i="1"/>
  <c r="BW103" i="1"/>
  <c r="BW104" i="1"/>
  <c r="BW105" i="1"/>
  <c r="BW106" i="1"/>
  <c r="BW107" i="1"/>
  <c r="BW108" i="1"/>
  <c r="BW109" i="1"/>
  <c r="BW110" i="1"/>
  <c r="BW111" i="1"/>
  <c r="BW112" i="1"/>
  <c r="BW113" i="1"/>
  <c r="BW114" i="1"/>
  <c r="BW115" i="1"/>
  <c r="BW116" i="1"/>
  <c r="BW117" i="1"/>
  <c r="BW118" i="1"/>
  <c r="BW119" i="1"/>
  <c r="BW120" i="1"/>
  <c r="BW121" i="1"/>
  <c r="BW122" i="1"/>
  <c r="BW123" i="1"/>
  <c r="BW124" i="1"/>
  <c r="BW125" i="1"/>
  <c r="BW126" i="1"/>
  <c r="BW127" i="1"/>
  <c r="BW128" i="1"/>
  <c r="BW129" i="1"/>
  <c r="BW130" i="1"/>
  <c r="BW131" i="1"/>
  <c r="BW132" i="1"/>
  <c r="BW133" i="1"/>
  <c r="BW134" i="1"/>
  <c r="BW135" i="1"/>
  <c r="BW136" i="1"/>
  <c r="BW137" i="1"/>
  <c r="BW138" i="1"/>
  <c r="BW139" i="1"/>
  <c r="BW140" i="1"/>
  <c r="BW141" i="1"/>
  <c r="BW142" i="1"/>
  <c r="BW143" i="1"/>
  <c r="BW144" i="1"/>
  <c r="BW145" i="1"/>
  <c r="BW146" i="1"/>
  <c r="BW147" i="1"/>
  <c r="BW148" i="1"/>
  <c r="BW149" i="1"/>
  <c r="BW150" i="1"/>
  <c r="BW151" i="1"/>
  <c r="BW152" i="1"/>
  <c r="BW153" i="1"/>
  <c r="BW154" i="1"/>
  <c r="BW155" i="1"/>
  <c r="BW156" i="1"/>
  <c r="BW157" i="1"/>
  <c r="BW158" i="1"/>
  <c r="BW159" i="1"/>
  <c r="BW160" i="1"/>
  <c r="BW161" i="1"/>
  <c r="BW162" i="1"/>
  <c r="BW163" i="1"/>
  <c r="BW164" i="1"/>
  <c r="BW165" i="1"/>
  <c r="BW166" i="1"/>
  <c r="BW167" i="1"/>
  <c r="BW168" i="1"/>
  <c r="BW169" i="1"/>
  <c r="BW170" i="1"/>
  <c r="BW171" i="1"/>
  <c r="BW172" i="1"/>
  <c r="BW173" i="1"/>
  <c r="BW174" i="1"/>
  <c r="BW175" i="1"/>
  <c r="BW176" i="1"/>
  <c r="BW177" i="1"/>
  <c r="BW178" i="1"/>
  <c r="BW179" i="1"/>
  <c r="BW180" i="1"/>
  <c r="BW181" i="1"/>
  <c r="BW182" i="1"/>
  <c r="BW183" i="1"/>
  <c r="BW184" i="1"/>
  <c r="BW185" i="1"/>
  <c r="BW186" i="1"/>
  <c r="BW187" i="1"/>
  <c r="BW188" i="1"/>
  <c r="BW222" i="1"/>
  <c r="BW220" i="1"/>
  <c r="BW759" i="1"/>
  <c r="BW221" i="1"/>
  <c r="BW761" i="1"/>
  <c r="BW760" i="1"/>
  <c r="BW195" i="1"/>
  <c r="BW196" i="1"/>
  <c r="BW197" i="1"/>
  <c r="BW198" i="1"/>
  <c r="BW1275" i="1"/>
  <c r="BW200" i="1"/>
  <c r="BW201" i="1"/>
  <c r="BW1276" i="1"/>
  <c r="BW203" i="1"/>
  <c r="BW204" i="1"/>
  <c r="BW205" i="1"/>
  <c r="BW1277" i="1"/>
  <c r="BW271" i="1"/>
  <c r="BW270" i="1"/>
  <c r="BW1039" i="1"/>
  <c r="BW1040" i="1"/>
  <c r="BW692" i="1"/>
  <c r="BW269" i="1"/>
  <c r="BW693" i="1"/>
  <c r="BW762" i="1"/>
  <c r="BW1041" i="1"/>
  <c r="BW763" i="1"/>
  <c r="BW290" i="1"/>
  <c r="BW291" i="1"/>
  <c r="BW764" i="1"/>
  <c r="BW289" i="1"/>
  <c r="BW691" i="1"/>
  <c r="BW275" i="1"/>
  <c r="BW2274" i="1"/>
  <c r="BW2275" i="1"/>
  <c r="BW2273" i="1"/>
  <c r="BW277" i="1"/>
  <c r="BW276" i="1"/>
  <c r="BW228" i="1"/>
  <c r="BW229" i="1"/>
  <c r="BW230" i="1"/>
  <c r="BW231" i="1"/>
  <c r="BW232" i="1"/>
  <c r="BW233" i="1"/>
  <c r="BW234" i="1"/>
  <c r="BW235" i="1"/>
  <c r="BW236" i="1"/>
  <c r="BW237" i="1"/>
  <c r="BW238" i="1"/>
  <c r="BW239" i="1"/>
  <c r="BW240" i="1"/>
  <c r="BW241" i="1"/>
  <c r="BW242" i="1"/>
  <c r="BW243" i="1"/>
  <c r="BW244" i="1"/>
  <c r="BW245" i="1"/>
  <c r="BW246" i="1"/>
  <c r="BW247" i="1"/>
  <c r="BW248" i="1"/>
  <c r="BW249" i="1"/>
  <c r="BW250" i="1"/>
  <c r="BW251" i="1"/>
  <c r="BW252" i="1"/>
  <c r="BW253" i="1"/>
  <c r="BW254" i="1"/>
  <c r="BW255" i="1"/>
  <c r="BW256" i="1"/>
  <c r="BW257" i="1"/>
  <c r="BW258" i="1"/>
  <c r="BW259" i="1"/>
  <c r="BW260" i="1"/>
  <c r="BW261" i="1"/>
  <c r="BW262" i="1"/>
  <c r="BW263" i="1"/>
  <c r="BW264" i="1"/>
  <c r="BW265" i="1"/>
  <c r="BW699" i="1"/>
  <c r="BW783" i="1"/>
  <c r="BW784" i="1"/>
  <c r="BW1177" i="1"/>
  <c r="BW782" i="1"/>
  <c r="BW698" i="1"/>
  <c r="BW697" i="1"/>
  <c r="BW1178" i="1"/>
  <c r="BW1179" i="1"/>
  <c r="BW2265" i="1"/>
  <c r="BW2263" i="1"/>
  <c r="BW2266" i="1"/>
  <c r="BW1982" i="1"/>
  <c r="BW1984" i="1"/>
  <c r="BW1985" i="1"/>
  <c r="BW2264" i="1"/>
  <c r="BW2267" i="1"/>
  <c r="BW2268" i="1"/>
  <c r="BW1983" i="1"/>
  <c r="BW1986" i="1"/>
  <c r="BW1987" i="1"/>
  <c r="BW2241" i="1"/>
  <c r="BW2261" i="1"/>
  <c r="BW846" i="1"/>
  <c r="BW847" i="1"/>
  <c r="BW2262" i="1"/>
  <c r="BW850" i="1"/>
  <c r="BW1901" i="1"/>
  <c r="BW2242" i="1"/>
  <c r="BW851" i="1"/>
  <c r="BW2245" i="1"/>
  <c r="BW848" i="1"/>
  <c r="BW852" i="1"/>
  <c r="BW853" i="1"/>
  <c r="BW1902" i="1"/>
  <c r="BW849" i="1"/>
  <c r="BW2246" i="1"/>
  <c r="BW2247" i="1"/>
  <c r="BW2243" i="1"/>
  <c r="BW2248" i="1"/>
  <c r="BW2244" i="1"/>
  <c r="BW307" i="1"/>
  <c r="BW308" i="1"/>
  <c r="BW309" i="1"/>
  <c r="BW310" i="1"/>
  <c r="BW311" i="1"/>
  <c r="BW312" i="1"/>
  <c r="BW313" i="1"/>
  <c r="BW314" i="1"/>
  <c r="BW315" i="1"/>
  <c r="BW316" i="1"/>
  <c r="BW317" i="1"/>
  <c r="BW318" i="1"/>
  <c r="BW319" i="1"/>
  <c r="BW320" i="1"/>
  <c r="BW321" i="1"/>
  <c r="BW322" i="1"/>
  <c r="BW323" i="1"/>
  <c r="BW324" i="1"/>
  <c r="BW325" i="1"/>
  <c r="BW326" i="1"/>
  <c r="BW327" i="1"/>
  <c r="BW328" i="1"/>
  <c r="BW329" i="1"/>
  <c r="BW330" i="1"/>
  <c r="BW331" i="1"/>
  <c r="BW332" i="1"/>
  <c r="BW333" i="1"/>
  <c r="BW334" i="1"/>
  <c r="BW335" i="1"/>
  <c r="BW336" i="1"/>
  <c r="BW1488" i="1"/>
  <c r="BW1485" i="1"/>
  <c r="BW1489" i="1"/>
  <c r="BW1486" i="1"/>
  <c r="BW1487" i="1"/>
  <c r="BW342" i="1"/>
  <c r="BW343" i="1"/>
  <c r="BW344" i="1"/>
  <c r="BW345" i="1"/>
  <c r="BW346" i="1"/>
  <c r="BW347" i="1"/>
  <c r="BW892" i="1"/>
  <c r="BW893" i="1"/>
  <c r="BW543" i="1"/>
  <c r="BW545" i="1"/>
  <c r="BW546" i="1"/>
  <c r="BW544" i="1"/>
  <c r="BW566" i="1"/>
  <c r="BW541" i="1"/>
  <c r="BW569" i="1"/>
  <c r="BW886" i="1"/>
  <c r="BW887" i="1"/>
  <c r="BW31" i="1"/>
  <c r="BW189" i="1"/>
  <c r="BW192" i="1"/>
  <c r="BW193" i="1"/>
  <c r="BW194" i="1"/>
  <c r="BW199" i="1"/>
  <c r="BW190" i="1"/>
  <c r="BW542" i="1"/>
  <c r="BW191" i="1"/>
  <c r="BW888" i="1"/>
  <c r="BW889" i="1"/>
  <c r="BW890" i="1"/>
  <c r="BW891" i="1"/>
  <c r="BW372" i="1"/>
  <c r="BW373" i="1"/>
  <c r="BW374" i="1"/>
  <c r="BW375" i="1"/>
  <c r="BW376" i="1"/>
  <c r="BW377" i="1"/>
  <c r="BW378" i="1"/>
  <c r="BW379" i="1"/>
  <c r="BW380" i="1"/>
  <c r="BW381" i="1"/>
  <c r="BW382" i="1"/>
  <c r="BW383" i="1"/>
  <c r="BW384" i="1"/>
  <c r="BW385" i="1"/>
  <c r="BW386" i="1"/>
  <c r="BW387" i="1"/>
  <c r="BW388" i="1"/>
  <c r="BW389" i="1"/>
  <c r="BW390" i="1"/>
  <c r="BW391" i="1"/>
  <c r="BW392" i="1"/>
  <c r="BW393" i="1"/>
  <c r="BW394" i="1"/>
  <c r="BW395" i="1"/>
  <c r="BW396" i="1"/>
  <c r="BW397" i="1"/>
  <c r="BW398" i="1"/>
  <c r="BW399" i="1"/>
  <c r="BW400" i="1"/>
  <c r="BW401" i="1"/>
  <c r="BW402" i="1"/>
  <c r="BW403" i="1"/>
  <c r="BW404" i="1"/>
  <c r="BW405" i="1"/>
  <c r="BW406" i="1"/>
  <c r="BW407" i="1"/>
  <c r="BW408" i="1"/>
  <c r="BW409" i="1"/>
  <c r="BW410" i="1"/>
  <c r="BW411" i="1"/>
  <c r="BW412" i="1"/>
  <c r="BW413" i="1"/>
  <c r="BW414" i="1"/>
  <c r="BW415" i="1"/>
  <c r="BW416" i="1"/>
  <c r="BW417" i="1"/>
  <c r="BW418" i="1"/>
  <c r="BW419" i="1"/>
  <c r="BW420" i="1"/>
  <c r="BW421" i="1"/>
  <c r="BW422" i="1"/>
  <c r="BW423" i="1"/>
  <c r="BW424" i="1"/>
  <c r="BW425" i="1"/>
  <c r="BW426" i="1"/>
  <c r="BW427" i="1"/>
  <c r="BW428" i="1"/>
  <c r="BW429" i="1"/>
  <c r="BW430" i="1"/>
  <c r="BW431" i="1"/>
  <c r="BW432" i="1"/>
  <c r="BW433" i="1"/>
  <c r="BW434" i="1"/>
  <c r="BW435" i="1"/>
  <c r="BW436" i="1"/>
  <c r="BW437" i="1"/>
  <c r="BW438" i="1"/>
  <c r="BW439" i="1"/>
  <c r="BW440" i="1"/>
  <c r="BW441" i="1"/>
  <c r="BW442" i="1"/>
  <c r="BW443" i="1"/>
  <c r="BW444" i="1"/>
  <c r="BW445" i="1"/>
  <c r="BW446" i="1"/>
  <c r="BW447" i="1"/>
  <c r="BW448" i="1"/>
  <c r="BW449" i="1"/>
  <c r="BW450" i="1"/>
  <c r="BW451" i="1"/>
  <c r="BW452" i="1"/>
  <c r="BW453" i="1"/>
  <c r="BW454" i="1"/>
  <c r="BW455" i="1"/>
  <c r="BW456" i="1"/>
  <c r="BW457" i="1"/>
  <c r="BW458" i="1"/>
  <c r="BW459" i="1"/>
  <c r="BW460" i="1"/>
  <c r="BW461" i="1"/>
  <c r="BW462" i="1"/>
  <c r="BW463" i="1"/>
  <c r="BW464" i="1"/>
  <c r="BW465" i="1"/>
  <c r="BW466" i="1"/>
  <c r="BW467" i="1"/>
  <c r="BW468" i="1"/>
  <c r="BW469" i="1"/>
  <c r="BW470" i="1"/>
  <c r="BW471" i="1"/>
  <c r="BW472" i="1"/>
  <c r="BW473" i="1"/>
  <c r="BW474" i="1"/>
  <c r="BW475" i="1"/>
  <c r="BW476" i="1"/>
  <c r="BW477" i="1"/>
  <c r="BW478" i="1"/>
  <c r="BW479" i="1"/>
  <c r="BW480" i="1"/>
  <c r="BW481" i="1"/>
  <c r="BW482" i="1"/>
  <c r="BW483" i="1"/>
  <c r="BW484" i="1"/>
  <c r="BW485" i="1"/>
  <c r="BW486" i="1"/>
  <c r="BW487" i="1"/>
  <c r="BW488" i="1"/>
  <c r="BW489" i="1"/>
  <c r="BW490" i="1"/>
  <c r="BW491" i="1"/>
  <c r="BW492" i="1"/>
  <c r="BW493" i="1"/>
  <c r="BW494" i="1"/>
  <c r="BW495" i="1"/>
  <c r="BW496" i="1"/>
  <c r="BW497" i="1"/>
  <c r="BW498" i="1"/>
  <c r="BW499" i="1"/>
  <c r="BW500" i="1"/>
  <c r="BW501" i="1"/>
  <c r="BW502" i="1"/>
  <c r="BW503" i="1"/>
  <c r="BW504" i="1"/>
  <c r="BW505" i="1"/>
  <c r="BW506" i="1"/>
  <c r="BW507" i="1"/>
  <c r="BW508" i="1"/>
  <c r="BW509" i="1"/>
  <c r="BW510" i="1"/>
  <c r="BW511" i="1"/>
  <c r="BW512" i="1"/>
  <c r="BW513" i="1"/>
  <c r="BW514" i="1"/>
  <c r="BW515" i="1"/>
  <c r="BW516" i="1"/>
  <c r="BW517" i="1"/>
  <c r="BW518" i="1"/>
  <c r="BW519" i="1"/>
  <c r="BW520" i="1"/>
  <c r="BW521" i="1"/>
  <c r="BW522" i="1"/>
  <c r="BW523" i="1"/>
  <c r="BW524" i="1"/>
  <c r="BW1776" i="1"/>
  <c r="BW2128" i="1"/>
  <c r="BW1838" i="1"/>
  <c r="BW1837" i="1"/>
  <c r="BW1787" i="1"/>
  <c r="BW1775" i="1"/>
  <c r="BW1734" i="1"/>
  <c r="BW1786" i="1"/>
  <c r="BW2125" i="1"/>
  <c r="BW1839" i="1"/>
  <c r="BW2127" i="1"/>
  <c r="BW1788" i="1"/>
  <c r="BW1504" i="1"/>
  <c r="BW1505" i="1"/>
  <c r="BW1503" i="1"/>
  <c r="BW1501" i="1"/>
  <c r="BW2204" i="1"/>
  <c r="BW2205" i="1"/>
  <c r="BW1502" i="1"/>
  <c r="BW2207" i="1"/>
  <c r="BW2208" i="1"/>
  <c r="BW2206" i="1"/>
  <c r="BW547" i="1"/>
  <c r="BW548" i="1"/>
  <c r="BW549" i="1"/>
  <c r="BW550" i="1"/>
  <c r="BW551" i="1"/>
  <c r="BW552" i="1"/>
  <c r="BW553" i="1"/>
  <c r="BW554" i="1"/>
  <c r="BW555" i="1"/>
  <c r="BW556" i="1"/>
  <c r="BW557" i="1"/>
  <c r="BW558" i="1"/>
  <c r="BW559" i="1"/>
  <c r="BW560" i="1"/>
  <c r="BW561" i="1"/>
  <c r="BW562" i="1"/>
  <c r="BW563" i="1"/>
  <c r="BW564" i="1"/>
  <c r="BW565" i="1"/>
  <c r="BW751" i="1"/>
  <c r="BW567" i="1"/>
  <c r="BW568" i="1"/>
  <c r="BW752" i="1"/>
  <c r="BW570" i="1"/>
  <c r="BW753" i="1"/>
  <c r="BW677" i="1"/>
  <c r="BW573" i="1"/>
  <c r="BW574" i="1"/>
  <c r="BW678" i="1"/>
  <c r="BW576" i="1"/>
  <c r="BW577" i="1"/>
  <c r="BW578" i="1"/>
  <c r="BW579" i="1"/>
  <c r="BW679" i="1"/>
  <c r="BW581" i="1"/>
  <c r="BW582" i="1"/>
  <c r="BW583" i="1"/>
  <c r="BW584" i="1"/>
  <c r="BW585" i="1"/>
  <c r="BW586" i="1"/>
  <c r="BW587" i="1"/>
  <c r="BW588" i="1"/>
  <c r="BW589" i="1"/>
  <c r="BW590" i="1"/>
  <c r="BW591" i="1"/>
  <c r="BW592" i="1"/>
  <c r="BW593" i="1"/>
  <c r="BW594" i="1"/>
  <c r="BW595" i="1"/>
  <c r="BW596" i="1"/>
  <c r="BW597" i="1"/>
  <c r="BW598" i="1"/>
  <c r="BW599" i="1"/>
  <c r="BW600" i="1"/>
  <c r="BW601" i="1"/>
  <c r="BW602" i="1"/>
  <c r="BW603" i="1"/>
  <c r="BW604" i="1"/>
  <c r="BW605" i="1"/>
  <c r="BW606" i="1"/>
  <c r="BW607" i="1"/>
  <c r="BW1420" i="1"/>
  <c r="BW1421" i="1"/>
  <c r="BW1422" i="1"/>
  <c r="BW1418" i="1"/>
  <c r="BW1423" i="1"/>
  <c r="BW1416" i="1"/>
  <c r="BW1417" i="1"/>
  <c r="BW1419" i="1"/>
  <c r="BW616" i="1"/>
  <c r="BW617" i="1"/>
  <c r="BW618" i="1"/>
  <c r="BW619" i="1"/>
  <c r="BW620" i="1"/>
  <c r="BW621" i="1"/>
  <c r="BW622" i="1"/>
  <c r="BW623" i="1"/>
  <c r="BW624" i="1"/>
  <c r="BW625" i="1"/>
  <c r="BW626" i="1"/>
  <c r="BW627" i="1"/>
  <c r="BW628" i="1"/>
  <c r="BW629" i="1"/>
  <c r="BW630" i="1"/>
  <c r="BW631" i="1"/>
  <c r="BW632" i="1"/>
  <c r="BW633" i="1"/>
  <c r="BW634" i="1"/>
  <c r="BW635" i="1"/>
  <c r="BW636" i="1"/>
  <c r="BW637" i="1"/>
  <c r="BW638" i="1"/>
  <c r="BW639" i="1"/>
  <c r="BW640" i="1"/>
  <c r="BW641" i="1"/>
  <c r="BW642" i="1"/>
  <c r="BW643" i="1"/>
  <c r="BW644" i="1"/>
  <c r="BW645" i="1"/>
  <c r="BW646" i="1"/>
  <c r="BW647" i="1"/>
  <c r="BW648" i="1"/>
  <c r="BW649" i="1"/>
  <c r="BW650" i="1"/>
  <c r="BW651" i="1"/>
  <c r="BW652" i="1"/>
  <c r="BW653" i="1"/>
  <c r="BW654" i="1"/>
  <c r="BW655" i="1"/>
  <c r="BW656" i="1"/>
  <c r="BW657" i="1"/>
  <c r="BW658" i="1"/>
  <c r="BW659" i="1"/>
  <c r="BW660" i="1"/>
  <c r="BW661" i="1"/>
  <c r="BW662" i="1"/>
  <c r="BW663" i="1"/>
  <c r="BW664" i="1"/>
  <c r="BW665" i="1"/>
  <c r="BW666" i="1"/>
  <c r="BW667" i="1"/>
  <c r="BW668" i="1"/>
  <c r="BW669" i="1"/>
  <c r="BW670" i="1"/>
  <c r="BW671" i="1"/>
  <c r="BW672" i="1"/>
  <c r="BW673" i="1"/>
  <c r="BW674" i="1"/>
  <c r="BW675" i="1"/>
  <c r="BW1892" i="1"/>
  <c r="BW1891" i="1"/>
  <c r="BW1795" i="1"/>
  <c r="BW1796" i="1"/>
  <c r="BW1794" i="1"/>
  <c r="BW1893" i="1"/>
  <c r="BW1797" i="1"/>
  <c r="BW1894" i="1"/>
  <c r="BW1798" i="1"/>
  <c r="BW1895" i="1"/>
  <c r="BW1045" i="1"/>
  <c r="BW1059" i="1"/>
  <c r="BW1520" i="1"/>
  <c r="BW1046" i="1"/>
  <c r="BW1056" i="1"/>
  <c r="BW1060" i="1"/>
  <c r="BW1061" i="1"/>
  <c r="BW1521" i="1"/>
  <c r="BW1522" i="1"/>
  <c r="BW1057" i="1"/>
  <c r="BW1530" i="1"/>
  <c r="BW1531" i="1"/>
  <c r="BW1523" i="1"/>
  <c r="BW1532" i="1"/>
  <c r="BW1524" i="1"/>
  <c r="BW1062" i="1"/>
  <c r="BW1525" i="1"/>
  <c r="BW1058" i="1"/>
  <c r="BW1526" i="1"/>
  <c r="BW1527" i="1"/>
  <c r="BW1533" i="1"/>
  <c r="BW1528" i="1"/>
  <c r="BW1570" i="1"/>
  <c r="BW708" i="1"/>
  <c r="BW1571" i="1"/>
  <c r="BW709" i="1"/>
  <c r="BW703" i="1"/>
  <c r="BW704" i="1"/>
  <c r="BW705" i="1"/>
  <c r="BW710" i="1"/>
  <c r="BW711" i="1"/>
  <c r="BW770" i="1"/>
  <c r="BW707" i="1"/>
  <c r="BW1180" i="1"/>
  <c r="BW706" i="1"/>
  <c r="BW1184" i="1"/>
  <c r="BW1185" i="1"/>
  <c r="BW771" i="1"/>
  <c r="BW1186" i="1"/>
  <c r="BW1187" i="1"/>
  <c r="BW1181" i="1"/>
  <c r="BW765" i="1"/>
  <c r="BW766" i="1"/>
  <c r="BW1182" i="1"/>
  <c r="BW767" i="1"/>
  <c r="BW768" i="1"/>
  <c r="BW1188" i="1"/>
  <c r="BW772" i="1"/>
  <c r="BW1183" i="1"/>
  <c r="BW769" i="1"/>
  <c r="BW773" i="1"/>
  <c r="BW1572" i="1"/>
  <c r="BW1529" i="1"/>
  <c r="BW1573" i="1"/>
  <c r="BW740" i="1"/>
  <c r="BW741" i="1"/>
  <c r="BW742" i="1"/>
  <c r="BW743" i="1"/>
  <c r="BW744" i="1"/>
  <c r="BW745" i="1"/>
  <c r="BW746" i="1"/>
  <c r="BW747" i="1"/>
  <c r="BW748" i="1"/>
  <c r="BW1492" i="1"/>
  <c r="BW1491" i="1"/>
  <c r="BW1434" i="1"/>
  <c r="BW1199" i="1"/>
  <c r="BW1198" i="1"/>
  <c r="BW1433" i="1"/>
  <c r="BW724" i="1"/>
  <c r="BW725" i="1"/>
  <c r="BW735" i="1"/>
  <c r="BW694" i="1"/>
  <c r="BW696" i="1"/>
  <c r="BW695" i="1"/>
  <c r="BW723" i="1"/>
  <c r="BW1197" i="1"/>
  <c r="BW734" i="1"/>
  <c r="BW1490" i="1"/>
  <c r="BW1432" i="1"/>
  <c r="BW736" i="1"/>
  <c r="BW341" i="1"/>
  <c r="BW1438" i="1"/>
  <c r="BW366" i="1"/>
  <c r="BW1207" i="1"/>
  <c r="BW367" i="1"/>
  <c r="BW365" i="1"/>
  <c r="BW1206" i="1"/>
  <c r="BW865" i="1"/>
  <c r="BW863" i="1"/>
  <c r="BW864" i="1"/>
  <c r="BW348" i="1"/>
  <c r="BW349" i="1"/>
  <c r="BW857" i="1"/>
  <c r="BW858" i="1"/>
  <c r="BW859" i="1"/>
  <c r="BW1274" i="1"/>
  <c r="BW1439" i="1"/>
  <c r="BW1484" i="1"/>
  <c r="BW785" i="1"/>
  <c r="BW786" i="1"/>
  <c r="BW787" i="1"/>
  <c r="BW788" i="1"/>
  <c r="BW789" i="1"/>
  <c r="BW790" i="1"/>
  <c r="BW791" i="1"/>
  <c r="BW792" i="1"/>
  <c r="BW793" i="1"/>
  <c r="BW794" i="1"/>
  <c r="BW795" i="1"/>
  <c r="BW796" i="1"/>
  <c r="BW797" i="1"/>
  <c r="BW798" i="1"/>
  <c r="BW799" i="1"/>
  <c r="BW800" i="1"/>
  <c r="BW801" i="1"/>
  <c r="BW802" i="1"/>
  <c r="BW803" i="1"/>
  <c r="BW804" i="1"/>
  <c r="BW805" i="1"/>
  <c r="BW806" i="1"/>
  <c r="BW807" i="1"/>
  <c r="BW808" i="1"/>
  <c r="BW809" i="1"/>
  <c r="BW810" i="1"/>
  <c r="BW811" i="1"/>
  <c r="BW812" i="1"/>
  <c r="BW813" i="1"/>
  <c r="BW814" i="1"/>
  <c r="BW815" i="1"/>
  <c r="BW816" i="1"/>
  <c r="BW817" i="1"/>
  <c r="BW818" i="1"/>
  <c r="BW819" i="1"/>
  <c r="BW820" i="1"/>
  <c r="BW821" i="1"/>
  <c r="BW822" i="1"/>
  <c r="BW823" i="1"/>
  <c r="BW824" i="1"/>
  <c r="BW825" i="1"/>
  <c r="BW826" i="1"/>
  <c r="BW827" i="1"/>
  <c r="BW828" i="1"/>
  <c r="BW829" i="1"/>
  <c r="BW830" i="1"/>
  <c r="BW831" i="1"/>
  <c r="BW832" i="1"/>
  <c r="BW833" i="1"/>
  <c r="BW834" i="1"/>
  <c r="BW835" i="1"/>
  <c r="BW836" i="1"/>
  <c r="BW837" i="1"/>
  <c r="BW838" i="1"/>
  <c r="BW839" i="1"/>
  <c r="BW840" i="1"/>
  <c r="BW841" i="1"/>
  <c r="BW842" i="1"/>
  <c r="BW843" i="1"/>
  <c r="BW844" i="1"/>
  <c r="BW845" i="1"/>
  <c r="BW2217" i="1"/>
  <c r="BW2212" i="1"/>
  <c r="BW2231" i="1"/>
  <c r="BW2226" i="1"/>
  <c r="BW2134" i="1"/>
  <c r="BW2156" i="1"/>
  <c r="BW2249" i="1"/>
  <c r="BW2137" i="1"/>
  <c r="BW2234" i="1"/>
  <c r="BW2255" i="1"/>
  <c r="BW2158" i="1"/>
  <c r="BW2238" i="1"/>
  <c r="BW2227" i="1"/>
  <c r="BW2219" i="1"/>
  <c r="BW2007" i="1"/>
  <c r="BW2252" i="1"/>
  <c r="BW1993" i="1"/>
  <c r="BW2030" i="1"/>
  <c r="BW2214" i="1"/>
  <c r="BW2192" i="1"/>
  <c r="BW2235" i="1"/>
  <c r="BW2193" i="1"/>
  <c r="BW2138" i="1"/>
  <c r="BW2239" i="1"/>
  <c r="BW2179" i="1"/>
  <c r="BW1994" i="1"/>
  <c r="BW2140" i="1"/>
  <c r="BW2031" i="1"/>
  <c r="BW2184" i="1"/>
  <c r="BW2232" i="1"/>
  <c r="BW2220" i="1"/>
  <c r="BW2166" i="1"/>
  <c r="BW2229" i="1"/>
  <c r="BW2194" i="1"/>
  <c r="BW2169" i="1"/>
  <c r="BW2236" i="1"/>
  <c r="BW2253" i="1"/>
  <c r="BW2215" i="1"/>
  <c r="BW2187" i="1"/>
  <c r="BW2233" i="1"/>
  <c r="BW2005" i="1"/>
  <c r="BW2006" i="1"/>
  <c r="BW2240" i="1"/>
  <c r="BW2191" i="1"/>
  <c r="BW2141" i="1"/>
  <c r="BW2143" i="1"/>
  <c r="BW2172" i="1"/>
  <c r="BW2176" i="1"/>
  <c r="BW2150" i="1"/>
  <c r="BW2230" i="1"/>
  <c r="BW2216" i="1"/>
  <c r="BW2237" i="1"/>
  <c r="BW2155" i="1"/>
  <c r="BW2256" i="1"/>
  <c r="BW2257" i="1"/>
  <c r="BW2254" i="1"/>
  <c r="BW902" i="1"/>
  <c r="BW903" i="1"/>
  <c r="BW904" i="1"/>
  <c r="BW905" i="1"/>
  <c r="BW906" i="1"/>
  <c r="BW907" i="1"/>
  <c r="BW908" i="1"/>
  <c r="BW909" i="1"/>
  <c r="BW910" i="1"/>
  <c r="BW911" i="1"/>
  <c r="BW912" i="1"/>
  <c r="BW913" i="1"/>
  <c r="BW914" i="1"/>
  <c r="BW915" i="1"/>
  <c r="BW916" i="1"/>
  <c r="BW917" i="1"/>
  <c r="BW918" i="1"/>
  <c r="BW919" i="1"/>
  <c r="BW920" i="1"/>
  <c r="BW921" i="1"/>
  <c r="BW922" i="1"/>
  <c r="BW923" i="1"/>
  <c r="BW924" i="1"/>
  <c r="BW925" i="1"/>
  <c r="BW926" i="1"/>
  <c r="BW927" i="1"/>
  <c r="BW928" i="1"/>
  <c r="BW929" i="1"/>
  <c r="BW930" i="1"/>
  <c r="BW931" i="1"/>
  <c r="BW932" i="1"/>
  <c r="BW933" i="1"/>
  <c r="BW934" i="1"/>
  <c r="BW935" i="1"/>
  <c r="BW936" i="1"/>
  <c r="BW937" i="1"/>
  <c r="BW938" i="1"/>
  <c r="BW939" i="1"/>
  <c r="BW940" i="1"/>
  <c r="BW941" i="1"/>
  <c r="BW942" i="1"/>
  <c r="BW943" i="1"/>
  <c r="BW944" i="1"/>
  <c r="BW945" i="1"/>
  <c r="BW946" i="1"/>
  <c r="BW947" i="1"/>
  <c r="BW948" i="1"/>
  <c r="BW949" i="1"/>
  <c r="BW950" i="1"/>
  <c r="BW951" i="1"/>
  <c r="BW952" i="1"/>
  <c r="BW953" i="1"/>
  <c r="BW954" i="1"/>
  <c r="BW955" i="1"/>
  <c r="BW956" i="1"/>
  <c r="BW957" i="1"/>
  <c r="BW958" i="1"/>
  <c r="BW959" i="1"/>
  <c r="BW960" i="1"/>
  <c r="BW961" i="1"/>
  <c r="BW962" i="1"/>
  <c r="BW963" i="1"/>
  <c r="BW964" i="1"/>
  <c r="BW965" i="1"/>
  <c r="BW966" i="1"/>
  <c r="BW967" i="1"/>
  <c r="BW968" i="1"/>
  <c r="BW969" i="1"/>
  <c r="BW970" i="1"/>
  <c r="BW971" i="1"/>
  <c r="BW972" i="1"/>
  <c r="BW973" i="1"/>
  <c r="BW974" i="1"/>
  <c r="BW975" i="1"/>
  <c r="BW1070" i="1"/>
  <c r="BW1074" i="1"/>
  <c r="BW1075" i="1"/>
  <c r="BW1076" i="1"/>
  <c r="BW1072" i="1"/>
  <c r="BW1358" i="1"/>
  <c r="BW1359" i="1"/>
  <c r="BW1077" i="1"/>
  <c r="BW1847" i="1"/>
  <c r="BW1849" i="1"/>
  <c r="BW1360" i="1"/>
  <c r="BW1850" i="1"/>
  <c r="BW1361" i="1"/>
  <c r="BW1073" i="1"/>
  <c r="BW1851" i="1"/>
  <c r="BW1071" i="1"/>
  <c r="BW1852" i="1"/>
  <c r="BW1362" i="1"/>
  <c r="BW1848" i="1"/>
  <c r="BW1845" i="1"/>
  <c r="BW1363" i="1"/>
  <c r="BW1356" i="1"/>
  <c r="BW1846" i="1"/>
  <c r="BW1357" i="1"/>
  <c r="BW876" i="1"/>
  <c r="BW877" i="1"/>
  <c r="BW878" i="1"/>
  <c r="BW875" i="1"/>
  <c r="BW872" i="1"/>
  <c r="BW873" i="1"/>
  <c r="BW1067" i="1"/>
  <c r="BW2195" i="1"/>
  <c r="BW874" i="1"/>
  <c r="BW1068" i="1"/>
  <c r="BW2197" i="1"/>
  <c r="BW1063" i="1"/>
  <c r="BW1064" i="1"/>
  <c r="BW1066" i="1"/>
  <c r="BW1069" i="1"/>
  <c r="BW2199" i="1"/>
  <c r="BW1065" i="1"/>
  <c r="BW2201" i="1"/>
  <c r="BW2202" i="1"/>
  <c r="BW2203" i="1"/>
  <c r="BW2200" i="1"/>
  <c r="BW1021" i="1"/>
  <c r="BW1022" i="1"/>
  <c r="BW1023" i="1"/>
  <c r="BW1024" i="1"/>
  <c r="BW1025" i="1"/>
  <c r="BW1026" i="1"/>
  <c r="BW1027" i="1"/>
  <c r="BW1028" i="1"/>
  <c r="BW1029" i="1"/>
  <c r="BW1030" i="1"/>
  <c r="BW1031" i="1"/>
  <c r="BW1032" i="1"/>
  <c r="BW1033" i="1"/>
  <c r="BW1034" i="1"/>
  <c r="BW1716" i="1"/>
  <c r="BW1717" i="1"/>
  <c r="BW1718" i="1"/>
  <c r="BW856" i="1"/>
  <c r="BW28" i="1"/>
  <c r="BW17" i="1"/>
  <c r="BW15" i="1"/>
  <c r="BW854" i="1"/>
  <c r="BW16" i="1"/>
  <c r="BW30" i="1"/>
  <c r="BW855" i="1"/>
  <c r="BW18" i="1"/>
  <c r="BW1047" i="1"/>
  <c r="BW1048" i="1"/>
  <c r="BW1049" i="1"/>
  <c r="BW1050" i="1"/>
  <c r="BW1051" i="1"/>
  <c r="BW1052" i="1"/>
  <c r="BW1053" i="1"/>
  <c r="BW1054" i="1"/>
  <c r="BW1055" i="1"/>
  <c r="BW1512" i="1"/>
  <c r="BW1514" i="1"/>
  <c r="BW1515" i="1"/>
  <c r="BW1516" i="1"/>
  <c r="BW1517" i="1"/>
  <c r="BW1518" i="1"/>
  <c r="BW1149" i="1"/>
  <c r="BW1140" i="1"/>
  <c r="BW1150" i="1"/>
  <c r="BW1153" i="1"/>
  <c r="BW1155" i="1"/>
  <c r="BW1519" i="1"/>
  <c r="BW1513" i="1"/>
  <c r="BW1509" i="1"/>
  <c r="BW1141" i="1"/>
  <c r="BW1175" i="1"/>
  <c r="BW1143" i="1"/>
  <c r="BW1510" i="1"/>
  <c r="BW1176" i="1"/>
  <c r="BW1142" i="1"/>
  <c r="BW1145" i="1"/>
  <c r="BW1511" i="1"/>
  <c r="BW1078" i="1"/>
  <c r="BW1079" i="1"/>
  <c r="BW1080" i="1"/>
  <c r="BW1081" i="1"/>
  <c r="BW1082" i="1"/>
  <c r="BW1083" i="1"/>
  <c r="BW1084" i="1"/>
  <c r="BW1085" i="1"/>
  <c r="BW1086" i="1"/>
  <c r="BW1087" i="1"/>
  <c r="BW1088" i="1"/>
  <c r="BW1089" i="1"/>
  <c r="BW1090" i="1"/>
  <c r="BW1091" i="1"/>
  <c r="BW1092" i="1"/>
  <c r="BW1093" i="1"/>
  <c r="BW213" i="1"/>
  <c r="BW1036" i="1"/>
  <c r="BW1038" i="1"/>
  <c r="BW303" i="1"/>
  <c r="BW212" i="1"/>
  <c r="BW214" i="1"/>
  <c r="BW305" i="1"/>
  <c r="BW304" i="1"/>
  <c r="BW1037" i="1"/>
  <c r="BW1103" i="1"/>
  <c r="BW1104" i="1"/>
  <c r="BW1105" i="1"/>
  <c r="BW1106" i="1"/>
  <c r="BW1107" i="1"/>
  <c r="BW1108" i="1"/>
  <c r="BW1109" i="1"/>
  <c r="BW1110" i="1"/>
  <c r="BW733" i="1"/>
  <c r="BW901" i="1"/>
  <c r="BW732" i="1"/>
  <c r="BW731" i="1"/>
  <c r="BW976" i="1"/>
  <c r="BW977" i="1"/>
  <c r="BW900" i="1"/>
  <c r="BW978" i="1"/>
  <c r="BW979" i="1"/>
  <c r="BW358" i="1"/>
  <c r="BW1604" i="1"/>
  <c r="BW1617" i="1"/>
  <c r="BW1605" i="1"/>
  <c r="BW1618" i="1"/>
  <c r="BW1619" i="1"/>
  <c r="BW1606" i="1"/>
  <c r="BW612" i="1"/>
  <c r="BW613" i="1"/>
  <c r="BW614" i="1"/>
  <c r="BW362" i="1"/>
  <c r="BW610" i="1"/>
  <c r="BW615" i="1"/>
  <c r="BW676" i="1"/>
  <c r="BW1616" i="1"/>
  <c r="BW611" i="1"/>
  <c r="BW359" i="1"/>
  <c r="BW360" i="1"/>
  <c r="BW361" i="1"/>
  <c r="BW363" i="1"/>
  <c r="BW364" i="1"/>
  <c r="BW2085" i="1"/>
  <c r="BW2092" i="1"/>
  <c r="BW2098" i="1"/>
  <c r="BW1144" i="1"/>
  <c r="BW2107" i="1"/>
  <c r="BW1146" i="1"/>
  <c r="BW1147" i="1"/>
  <c r="BW1148" i="1"/>
  <c r="BW2082" i="1"/>
  <c r="BW2075" i="1"/>
  <c r="BW1151" i="1"/>
  <c r="BW1152" i="1"/>
  <c r="BW2079" i="1"/>
  <c r="BW1154" i="1"/>
  <c r="BW2084" i="1"/>
  <c r="BW1156" i="1"/>
  <c r="BW1157" i="1"/>
  <c r="BW1158" i="1"/>
  <c r="BW1159" i="1"/>
  <c r="BW1160" i="1"/>
  <c r="BW1161" i="1"/>
  <c r="BW1162" i="1"/>
  <c r="BW1163" i="1"/>
  <c r="BW1164" i="1"/>
  <c r="BW1165" i="1"/>
  <c r="BW1166" i="1"/>
  <c r="BW1167" i="1"/>
  <c r="BW1168" i="1"/>
  <c r="BW1169" i="1"/>
  <c r="BW1170" i="1"/>
  <c r="BW1171" i="1"/>
  <c r="BW1172" i="1"/>
  <c r="BW1173" i="1"/>
  <c r="BW1174" i="1"/>
  <c r="BW338" i="1"/>
  <c r="BW280" i="1"/>
  <c r="BW281" i="1"/>
  <c r="BW339" i="1"/>
  <c r="BW340" i="1"/>
  <c r="BW278" i="1"/>
  <c r="BW282" i="1"/>
  <c r="BW279" i="1"/>
  <c r="BW356" i="1"/>
  <c r="BW357" i="1"/>
  <c r="BW353" i="1"/>
  <c r="BW355" i="1"/>
  <c r="BW354" i="1"/>
  <c r="BW306" i="1"/>
  <c r="BW337" i="1"/>
  <c r="BW218" i="1"/>
  <c r="BW216" i="1"/>
  <c r="BW268" i="1"/>
  <c r="BW530" i="1"/>
  <c r="BW532" i="1"/>
  <c r="BW531" i="1"/>
  <c r="BW219" i="1"/>
  <c r="BW215" i="1"/>
  <c r="BW217" i="1"/>
  <c r="BW352" i="1"/>
  <c r="BW776" i="1"/>
  <c r="BW351" i="1"/>
  <c r="BW350" i="1"/>
  <c r="BW896" i="1"/>
  <c r="BW775" i="1"/>
  <c r="BW894" i="1"/>
  <c r="BW895" i="1"/>
  <c r="BW774" i="1"/>
  <c r="BW1208" i="1"/>
  <c r="BW1209" i="1"/>
  <c r="BW1210" i="1"/>
  <c r="BW1211" i="1"/>
  <c r="BW1212" i="1"/>
  <c r="BW1213" i="1"/>
  <c r="BW1214" i="1"/>
  <c r="BW1215" i="1"/>
  <c r="BW1216" i="1"/>
  <c r="BW1217" i="1"/>
  <c r="BW1218" i="1"/>
  <c r="BW1219" i="1"/>
  <c r="BW1220" i="1"/>
  <c r="BW1221" i="1"/>
  <c r="BW1222" i="1"/>
  <c r="BW1223" i="1"/>
  <c r="BW1224" i="1"/>
  <c r="BW1225" i="1"/>
  <c r="BW1226" i="1"/>
  <c r="BW1227" i="1"/>
  <c r="BW1228" i="1"/>
  <c r="BW1229" i="1"/>
  <c r="BW1230" i="1"/>
  <c r="BW1231" i="1"/>
  <c r="BW1232" i="1"/>
  <c r="BW1233" i="1"/>
  <c r="BW1234" i="1"/>
  <c r="BW1235" i="1"/>
  <c r="BW1236" i="1"/>
  <c r="BW1237" i="1"/>
  <c r="BW1238" i="1"/>
  <c r="BW1239" i="1"/>
  <c r="BW1240" i="1"/>
  <c r="BW1241" i="1"/>
  <c r="BW1242" i="1"/>
  <c r="BW1243" i="1"/>
  <c r="BW1244" i="1"/>
  <c r="BW1245" i="1"/>
  <c r="BW1246" i="1"/>
  <c r="BW1247" i="1"/>
  <c r="BW1248" i="1"/>
  <c r="BW1249" i="1"/>
  <c r="BW1250" i="1"/>
  <c r="BW1251" i="1"/>
  <c r="BW1252" i="1"/>
  <c r="BW1253" i="1"/>
  <c r="BW1254" i="1"/>
  <c r="BW1255" i="1"/>
  <c r="BW1256" i="1"/>
  <c r="BW1257" i="1"/>
  <c r="BW1258" i="1"/>
  <c r="BW1259" i="1"/>
  <c r="BW1260" i="1"/>
  <c r="BW1261" i="1"/>
  <c r="BW1262" i="1"/>
  <c r="BW1263" i="1"/>
  <c r="BW1264" i="1"/>
  <c r="BW1265" i="1"/>
  <c r="BW1266" i="1"/>
  <c r="BW1267" i="1"/>
  <c r="BW1268" i="1"/>
  <c r="BW1269" i="1"/>
  <c r="BW1270" i="1"/>
  <c r="BW1271" i="1"/>
  <c r="BW1272" i="1"/>
  <c r="BW1273" i="1"/>
  <c r="BW1579" i="1"/>
  <c r="BW749" i="1"/>
  <c r="BW737" i="1"/>
  <c r="BW738" i="1"/>
  <c r="BW1576" i="1"/>
  <c r="BW1580" i="1"/>
  <c r="BW750" i="1"/>
  <c r="BW1577" i="1"/>
  <c r="BW1581" i="1"/>
  <c r="BW1582" i="1"/>
  <c r="BW1583" i="1"/>
  <c r="BW1097" i="1"/>
  <c r="BW1094" i="1"/>
  <c r="BW1098" i="1"/>
  <c r="BW1095" i="1"/>
  <c r="BW1096" i="1"/>
  <c r="BW226" i="1"/>
  <c r="BW208" i="1"/>
  <c r="BW209" i="1"/>
  <c r="BW266" i="1"/>
  <c r="BW210" i="1"/>
  <c r="BW202" i="1"/>
  <c r="BW206" i="1"/>
  <c r="BW267" i="1"/>
  <c r="BW1584" i="1"/>
  <c r="BW207" i="1"/>
  <c r="BW211" i="1"/>
  <c r="BW227" i="1"/>
  <c r="BW1574" i="1"/>
  <c r="BW1575" i="1"/>
  <c r="BW1578" i="1"/>
  <c r="BW739" i="1"/>
  <c r="BW1306" i="1"/>
  <c r="BW1307" i="1"/>
  <c r="BW1308" i="1"/>
  <c r="BW1309" i="1"/>
  <c r="BW1310" i="1"/>
  <c r="BW1311" i="1"/>
  <c r="BW526" i="1"/>
  <c r="BW525" i="1"/>
  <c r="BW371" i="1"/>
  <c r="BW1315" i="1"/>
  <c r="BW1316" i="1"/>
  <c r="BW1317" i="1"/>
  <c r="BW1318" i="1"/>
  <c r="BW1319" i="1"/>
  <c r="BW1320" i="1"/>
  <c r="BW1321" i="1"/>
  <c r="BW1322" i="1"/>
  <c r="BW1323" i="1"/>
  <c r="BW1324" i="1"/>
  <c r="BW1325" i="1"/>
  <c r="BW1326" i="1"/>
  <c r="BW1327" i="1"/>
  <c r="BW1328" i="1"/>
  <c r="BW1329" i="1"/>
  <c r="BW1330" i="1"/>
  <c r="BW1331" i="1"/>
  <c r="BW1332" i="1"/>
  <c r="BW1333" i="1"/>
  <c r="BW1334" i="1"/>
  <c r="BW1335" i="1"/>
  <c r="BW1336" i="1"/>
  <c r="BW1337" i="1"/>
  <c r="BW1338" i="1"/>
  <c r="BW1339" i="1"/>
  <c r="BW1340" i="1"/>
  <c r="BW1341" i="1"/>
  <c r="BW1342" i="1"/>
  <c r="BW1343" i="1"/>
  <c r="BW1344" i="1"/>
  <c r="BW1792" i="1"/>
  <c r="BW1793" i="1"/>
  <c r="BW2224" i="1"/>
  <c r="BW2225" i="1"/>
  <c r="BW2221" i="1"/>
  <c r="BW1789" i="1"/>
  <c r="BW2222" i="1"/>
  <c r="BW1791" i="1"/>
  <c r="BW1883" i="1"/>
  <c r="BW1884" i="1"/>
  <c r="BW2223" i="1"/>
  <c r="BW1790" i="1"/>
  <c r="BW1885" i="1"/>
  <c r="BW1878" i="1"/>
  <c r="BW1886" i="1"/>
  <c r="BW1879" i="1"/>
  <c r="BW1887" i="1"/>
  <c r="BW1880" i="1"/>
  <c r="BW1881" i="1"/>
  <c r="BW1882" i="1"/>
  <c r="BW1365" i="1"/>
  <c r="BW1366" i="1"/>
  <c r="BW1367" i="1"/>
  <c r="BW1368" i="1"/>
  <c r="BW1369" i="1"/>
  <c r="BW1370" i="1"/>
  <c r="BW1371" i="1"/>
  <c r="BW1372" i="1"/>
  <c r="BW1373" i="1"/>
  <c r="BW1374" i="1"/>
  <c r="BW1375" i="1"/>
  <c r="BW1376" i="1"/>
  <c r="BW1377" i="1"/>
  <c r="BW1378" i="1"/>
  <c r="BW1379" i="1"/>
  <c r="BW1380" i="1"/>
  <c r="BW1381" i="1"/>
  <c r="BW1382" i="1"/>
  <c r="BW1383" i="1"/>
  <c r="BW1384" i="1"/>
  <c r="BW1385" i="1"/>
  <c r="BW1386" i="1"/>
  <c r="BW1387" i="1"/>
  <c r="BW1388" i="1"/>
  <c r="BW1389" i="1"/>
  <c r="BW1390" i="1"/>
  <c r="BW1391" i="1"/>
  <c r="BW1392" i="1"/>
  <c r="BW1393" i="1"/>
  <c r="BW1394" i="1"/>
  <c r="BW1395" i="1"/>
  <c r="BW1396" i="1"/>
  <c r="BW1397" i="1"/>
  <c r="BW1398" i="1"/>
  <c r="BW1399" i="1"/>
  <c r="BW1400" i="1"/>
  <c r="BW1401" i="1"/>
  <c r="BW754" i="1"/>
  <c r="BW755" i="1"/>
  <c r="BW997" i="1"/>
  <c r="BW998" i="1"/>
  <c r="BW1348" i="1"/>
  <c r="BW1349" i="1"/>
  <c r="BW1350" i="1"/>
  <c r="BW1351" i="1"/>
  <c r="BW1784" i="1"/>
  <c r="BW1785" i="1"/>
  <c r="BW1355" i="1"/>
  <c r="BW1354" i="1"/>
  <c r="BW982" i="1"/>
  <c r="BW757" i="1"/>
  <c r="BW758" i="1"/>
  <c r="BW985" i="1"/>
  <c r="BW1009" i="1"/>
  <c r="BW1007" i="1"/>
  <c r="BW1782" i="1"/>
  <c r="BW1202" i="1"/>
  <c r="BW1781" i="1"/>
  <c r="BW1201" i="1"/>
  <c r="BW1010" i="1"/>
  <c r="BW980" i="1"/>
  <c r="BW1780" i="1"/>
  <c r="BW756" i="1"/>
  <c r="BW1008" i="1"/>
  <c r="BW996" i="1"/>
  <c r="BW1006" i="1"/>
  <c r="BW981" i="1"/>
  <c r="BW1200" i="1"/>
  <c r="BW1352" i="1"/>
  <c r="BW1783" i="1"/>
  <c r="BW986" i="1"/>
  <c r="BW987" i="1"/>
  <c r="BW1353" i="1"/>
  <c r="BW983" i="1"/>
  <c r="BW984" i="1"/>
  <c r="BW1440" i="1"/>
  <c r="BW1441" i="1"/>
  <c r="BW1442" i="1"/>
  <c r="BW1443" i="1"/>
  <c r="BW1444" i="1"/>
  <c r="BW1445" i="1"/>
  <c r="BW1446" i="1"/>
  <c r="BW1447" i="1"/>
  <c r="BW1448" i="1"/>
  <c r="BW1449" i="1"/>
  <c r="BW1450" i="1"/>
  <c r="BW1451" i="1"/>
  <c r="BW1452" i="1"/>
  <c r="BW1453" i="1"/>
  <c r="BW1454" i="1"/>
  <c r="BW1455" i="1"/>
  <c r="BW1456" i="1"/>
  <c r="BW1457" i="1"/>
  <c r="BW1458" i="1"/>
  <c r="BW1459" i="1"/>
  <c r="BW1460" i="1"/>
  <c r="BW1461" i="1"/>
  <c r="BW1462" i="1"/>
  <c r="BW1463" i="1"/>
  <c r="BW1464" i="1"/>
  <c r="BW1465" i="1"/>
  <c r="BW1466" i="1"/>
  <c r="BW1467" i="1"/>
  <c r="BW1468" i="1"/>
  <c r="BW1469" i="1"/>
  <c r="BW1470" i="1"/>
  <c r="BW1471" i="1"/>
  <c r="BW1472" i="1"/>
  <c r="BW1473" i="1"/>
  <c r="BW1474" i="1"/>
  <c r="BW1475" i="1"/>
  <c r="BW1476" i="1"/>
  <c r="BW1477" i="1"/>
  <c r="BW1478" i="1"/>
  <c r="BW1479" i="1"/>
  <c r="BW1480" i="1"/>
  <c r="BW1481" i="1"/>
  <c r="BW1482" i="1"/>
  <c r="BW1483" i="1"/>
  <c r="BW10" i="1"/>
  <c r="BW7" i="1"/>
  <c r="BW11" i="1"/>
  <c r="BW8" i="1"/>
  <c r="BW9" i="1"/>
  <c r="BW527" i="1"/>
  <c r="BW529" i="1"/>
  <c r="BW898" i="1"/>
  <c r="BW899" i="1"/>
  <c r="BW713" i="1"/>
  <c r="BW868" i="1"/>
  <c r="BW701" i="1"/>
  <c r="BW297" i="1"/>
  <c r="BW867" i="1"/>
  <c r="BW702" i="1"/>
  <c r="BW866" i="1"/>
  <c r="BW897" i="1"/>
  <c r="BW572" i="1"/>
  <c r="BW700" i="1"/>
  <c r="BW299" i="1"/>
  <c r="BW298" i="1"/>
  <c r="BW575" i="1"/>
  <c r="BW571" i="1"/>
  <c r="BW528" i="1"/>
  <c r="BW714" i="1"/>
  <c r="BW301" i="1"/>
  <c r="BW712" i="1"/>
  <c r="BW273" i="1"/>
  <c r="BW274" i="1"/>
  <c r="BW272" i="1"/>
  <c r="BW300" i="1"/>
  <c r="BW302" i="1"/>
  <c r="BW2259" i="1"/>
  <c r="BW1101" i="1"/>
  <c r="BW1100" i="1"/>
  <c r="BW871" i="1"/>
  <c r="BW2260" i="1"/>
  <c r="BW870" i="1"/>
  <c r="BW869" i="1"/>
  <c r="BW1044" i="1"/>
  <c r="BW1042" i="1"/>
  <c r="BW2258" i="1"/>
  <c r="BW1196" i="1"/>
  <c r="BW1043" i="1"/>
  <c r="BW1194" i="1"/>
  <c r="BW1195" i="1"/>
  <c r="BW1099" i="1"/>
  <c r="BW2270" i="1"/>
  <c r="BW2271" i="1"/>
  <c r="BW2272" i="1"/>
  <c r="BW1534" i="1"/>
  <c r="BW1535" i="1"/>
  <c r="BW1536" i="1"/>
  <c r="BW1537" i="1"/>
  <c r="BW1538" i="1"/>
  <c r="BW1539" i="1"/>
  <c r="BW1540" i="1"/>
  <c r="BW1541" i="1"/>
  <c r="BW1542" i="1"/>
  <c r="BW1543" i="1"/>
  <c r="BW1544" i="1"/>
  <c r="BW1545" i="1"/>
  <c r="BW1546" i="1"/>
  <c r="BW1547" i="1"/>
  <c r="BW1548" i="1"/>
  <c r="BW1549" i="1"/>
  <c r="BW1550" i="1"/>
  <c r="BW1551" i="1"/>
  <c r="BW1552" i="1"/>
  <c r="BW1553" i="1"/>
  <c r="BW1554" i="1"/>
  <c r="BW1555" i="1"/>
  <c r="BW1556" i="1"/>
  <c r="BW1557" i="1"/>
  <c r="BW1558" i="1"/>
  <c r="BW1559" i="1"/>
  <c r="BW1560" i="1"/>
  <c r="BW1561" i="1"/>
  <c r="BW1562" i="1"/>
  <c r="BW1563" i="1"/>
  <c r="BW1564" i="1"/>
  <c r="BW1565" i="1"/>
  <c r="BW1566" i="1"/>
  <c r="BW1567" i="1"/>
  <c r="BW1568" i="1"/>
  <c r="BW1569" i="1"/>
  <c r="BW1842" i="1"/>
  <c r="BW1191" i="1"/>
  <c r="BW1843" i="1"/>
  <c r="BW1844" i="1"/>
  <c r="BW1856" i="1"/>
  <c r="BW1192" i="1"/>
  <c r="BW1855" i="1"/>
  <c r="BW1857" i="1"/>
  <c r="BW1853" i="1"/>
  <c r="BW1193" i="1"/>
  <c r="BW1840" i="1"/>
  <c r="BW1189" i="1"/>
  <c r="BW1190" i="1"/>
  <c r="BW1841" i="1"/>
  <c r="BW1854" i="1"/>
  <c r="BW1585" i="1"/>
  <c r="BW1586" i="1"/>
  <c r="BW1587" i="1"/>
  <c r="BW1588" i="1"/>
  <c r="BW1589" i="1"/>
  <c r="BW1590" i="1"/>
  <c r="BW537" i="1"/>
  <c r="BW538" i="1"/>
  <c r="BW992" i="1"/>
  <c r="BW993" i="1"/>
  <c r="BW535" i="1"/>
  <c r="BW533" i="1"/>
  <c r="BW539" i="1"/>
  <c r="BW994" i="1"/>
  <c r="BW536" i="1"/>
  <c r="BW988" i="1"/>
  <c r="BW540" i="1"/>
  <c r="BW534" i="1"/>
  <c r="BW989" i="1"/>
  <c r="BW990" i="1"/>
  <c r="BW995" i="1"/>
  <c r="BW991" i="1"/>
  <c r="BW1607" i="1"/>
  <c r="BW1608" i="1"/>
  <c r="BW1609" i="1"/>
  <c r="BW1610" i="1"/>
  <c r="BW1611" i="1"/>
  <c r="BW1612" i="1"/>
  <c r="BW1613" i="1"/>
  <c r="BW1614" i="1"/>
  <c r="BW1615" i="1"/>
  <c r="BW1731" i="1"/>
  <c r="BW1728" i="1"/>
  <c r="BW1727" i="1"/>
  <c r="BW1729" i="1"/>
  <c r="BW1730" i="1"/>
  <c r="BW1732" i="1"/>
  <c r="BW1733" i="1"/>
  <c r="BW999" i="1"/>
  <c r="BW1000" i="1"/>
  <c r="BW1003" i="1"/>
  <c r="BW1004" i="1"/>
  <c r="BW1001" i="1"/>
  <c r="BW1005" i="1"/>
  <c r="BW1002" i="1"/>
  <c r="BW1630" i="1"/>
  <c r="BW1631" i="1"/>
  <c r="BW1632" i="1"/>
  <c r="BW1633" i="1"/>
  <c r="BW1634" i="1"/>
  <c r="BW1635" i="1"/>
  <c r="BW1636" i="1"/>
  <c r="BW1637" i="1"/>
  <c r="BW1638" i="1"/>
  <c r="BW1639" i="1"/>
  <c r="BW1640" i="1"/>
  <c r="BW1641" i="1"/>
  <c r="BW1642" i="1"/>
  <c r="BW1643" i="1"/>
  <c r="BW1644" i="1"/>
  <c r="BW1645" i="1"/>
  <c r="BW1646" i="1"/>
  <c r="BW1647" i="1"/>
  <c r="BW1648" i="1"/>
  <c r="BW1649" i="1"/>
  <c r="BW1650" i="1"/>
  <c r="BW1651" i="1"/>
  <c r="BW1652" i="1"/>
  <c r="BW1653" i="1"/>
  <c r="BW1654" i="1"/>
  <c r="BW1655" i="1"/>
  <c r="BW1656" i="1"/>
  <c r="BW1657" i="1"/>
  <c r="BW1658" i="1"/>
  <c r="BW1659" i="1"/>
  <c r="BW1660" i="1"/>
  <c r="BW1661" i="1"/>
  <c r="BW1662" i="1"/>
  <c r="BW1663" i="1"/>
  <c r="BW1664" i="1"/>
  <c r="BW1665" i="1"/>
  <c r="BW1666" i="1"/>
  <c r="BW1667" i="1"/>
  <c r="BW1668" i="1"/>
  <c r="BW1669" i="1"/>
  <c r="BW1670" i="1"/>
  <c r="BW1671" i="1"/>
  <c r="BW1672" i="1"/>
  <c r="BW1673" i="1"/>
  <c r="BW1674" i="1"/>
  <c r="BW1675" i="1"/>
  <c r="BW1676" i="1"/>
  <c r="BW1677" i="1"/>
  <c r="BW1678" i="1"/>
  <c r="BW1679" i="1"/>
  <c r="BW1680" i="1"/>
  <c r="BW1681" i="1"/>
  <c r="BW1682" i="1"/>
  <c r="BW1683" i="1"/>
  <c r="BW1684" i="1"/>
  <c r="BW1685" i="1"/>
  <c r="BW1686" i="1"/>
  <c r="BW1687" i="1"/>
  <c r="BW1688" i="1"/>
  <c r="BW1689" i="1"/>
  <c r="BW1690" i="1"/>
  <c r="BW1691" i="1"/>
  <c r="BW1692" i="1"/>
  <c r="BW1693" i="1"/>
  <c r="BW1694" i="1"/>
  <c r="BW1695" i="1"/>
  <c r="BW1696" i="1"/>
  <c r="BW1697" i="1"/>
  <c r="BW1698" i="1"/>
  <c r="BW1699" i="1"/>
  <c r="BW1700" i="1"/>
  <c r="BW1701" i="1"/>
  <c r="BW1702" i="1"/>
  <c r="BW1703" i="1"/>
  <c r="BW1704" i="1"/>
  <c r="BW2034" i="1"/>
  <c r="BW1778" i="1"/>
  <c r="BW1779" i="1"/>
  <c r="BW1777" i="1"/>
  <c r="BW1493" i="1"/>
  <c r="BW1205" i="1"/>
  <c r="BW1204" i="1"/>
  <c r="BW1203" i="1"/>
  <c r="BW2071" i="1"/>
  <c r="BW1495" i="1"/>
  <c r="BW2053" i="1"/>
  <c r="BW1494" i="1"/>
  <c r="BW860" i="1"/>
  <c r="BW861" i="1"/>
  <c r="BW862" i="1"/>
  <c r="BW1629" i="1"/>
  <c r="BW1628" i="1"/>
  <c r="BW1437" i="1"/>
  <c r="BW1436" i="1"/>
  <c r="BW285" i="1"/>
  <c r="BW1627" i="1"/>
  <c r="BW609" i="1"/>
  <c r="BW1714" i="1"/>
  <c r="BW1435" i="1"/>
  <c r="BW608" i="1"/>
  <c r="BW284" i="1"/>
  <c r="BW1713" i="1"/>
  <c r="BW283" i="1"/>
  <c r="BW1715" i="1"/>
  <c r="BW580" i="1"/>
  <c r="BW1735" i="1"/>
  <c r="BW1736" i="1"/>
  <c r="BW1737" i="1"/>
  <c r="BW1738" i="1"/>
  <c r="BW1739" i="1"/>
  <c r="BW1740" i="1"/>
  <c r="BW1741" i="1"/>
  <c r="BW1742" i="1"/>
  <c r="BW1743" i="1"/>
  <c r="BW1744" i="1"/>
  <c r="BW1745" i="1"/>
  <c r="BW1746" i="1"/>
  <c r="BW1747" i="1"/>
  <c r="BW1748" i="1"/>
  <c r="BW1749" i="1"/>
  <c r="BW1750" i="1"/>
  <c r="BW1751" i="1"/>
  <c r="BW1752" i="1"/>
  <c r="BW1753" i="1"/>
  <c r="BW1754" i="1"/>
  <c r="BW1755" i="1"/>
  <c r="BW1756" i="1"/>
  <c r="BW1757" i="1"/>
  <c r="BW1758" i="1"/>
  <c r="BW1759" i="1"/>
  <c r="BW1760" i="1"/>
  <c r="BW1761" i="1"/>
  <c r="BW1762" i="1"/>
  <c r="BW1763" i="1"/>
  <c r="BW1764" i="1"/>
  <c r="BW1765" i="1"/>
  <c r="BW1766" i="1"/>
  <c r="BW1767" i="1"/>
  <c r="BW1768" i="1"/>
  <c r="BW1769" i="1"/>
  <c r="BW1770" i="1"/>
  <c r="BW1771" i="1"/>
  <c r="BW1772" i="1"/>
  <c r="BW1773" i="1"/>
  <c r="BW1774" i="1"/>
  <c r="BW1832" i="1"/>
  <c r="BW1868" i="1"/>
  <c r="BW1871" i="1"/>
  <c r="BW1833" i="1"/>
  <c r="BW1835" i="1"/>
  <c r="BW1872" i="1"/>
  <c r="BW1869" i="1"/>
  <c r="BW1834" i="1"/>
  <c r="BW1870" i="1"/>
  <c r="BW1836" i="1"/>
  <c r="BW1831" i="1"/>
  <c r="BW1830" i="1"/>
  <c r="BW1866" i="1"/>
  <c r="BW1867" i="1"/>
  <c r="BW1424" i="1"/>
  <c r="BW1427" i="1"/>
  <c r="BW1425" i="1"/>
  <c r="BW295" i="1"/>
  <c r="BW292" i="1"/>
  <c r="BW296" i="1"/>
  <c r="BW1428" i="1"/>
  <c r="BW293" i="1"/>
  <c r="BW294" i="1"/>
  <c r="BW1426" i="1"/>
  <c r="BW1799" i="1"/>
  <c r="BW1800" i="1"/>
  <c r="BW1801" i="1"/>
  <c r="BW1802" i="1"/>
  <c r="BW1803" i="1"/>
  <c r="BW1804" i="1"/>
  <c r="BW1805" i="1"/>
  <c r="BW1806" i="1"/>
  <c r="BW1807" i="1"/>
  <c r="BW1808" i="1"/>
  <c r="BW1809" i="1"/>
  <c r="BW1810" i="1"/>
  <c r="BW1811" i="1"/>
  <c r="BW1812" i="1"/>
  <c r="BW1813" i="1"/>
  <c r="BW1814" i="1"/>
  <c r="BW1815" i="1"/>
  <c r="BW1816" i="1"/>
  <c r="BW1817" i="1"/>
  <c r="BW1818" i="1"/>
  <c r="BW1620" i="1"/>
  <c r="BW1621" i="1"/>
  <c r="BW883" i="1"/>
  <c r="BW881" i="1"/>
  <c r="BW882" i="1"/>
  <c r="BW884" i="1"/>
  <c r="BW1624" i="1"/>
  <c r="BW879" i="1"/>
  <c r="BW880" i="1"/>
  <c r="BW885" i="1"/>
  <c r="BW1622" i="1"/>
  <c r="BW1625" i="1"/>
  <c r="BW1626" i="1"/>
  <c r="BW1623" i="1"/>
  <c r="BW1594" i="1"/>
  <c r="BW1595" i="1"/>
  <c r="BW1598" i="1"/>
  <c r="BW1596" i="1"/>
  <c r="BW1599" i="1"/>
  <c r="BW1597" i="1"/>
  <c r="BW1600" i="1"/>
  <c r="BW1298" i="1"/>
  <c r="BW1723" i="1"/>
  <c r="BW1299" i="1"/>
  <c r="BW1304" i="1"/>
  <c r="BW1300" i="1"/>
  <c r="BW1709" i="1"/>
  <c r="BW1819" i="1"/>
  <c r="BW1710" i="1"/>
  <c r="BW1707" i="1"/>
  <c r="BW1293" i="1"/>
  <c r="BW1301" i="1"/>
  <c r="BW1724" i="1"/>
  <c r="BW1296" i="1"/>
  <c r="BW1294" i="1"/>
  <c r="BW1302" i="1"/>
  <c r="BW1711" i="1"/>
  <c r="BW1314" i="1"/>
  <c r="BW1719" i="1"/>
  <c r="BW1312" i="1"/>
  <c r="BW1705" i="1"/>
  <c r="BW1712" i="1"/>
  <c r="BW1345" i="1"/>
  <c r="BW1346" i="1"/>
  <c r="BW1347" i="1"/>
  <c r="BW1295" i="1"/>
  <c r="BW1725" i="1"/>
  <c r="BW1313" i="1"/>
  <c r="BW1822" i="1"/>
  <c r="BW1014" i="1"/>
  <c r="BW1303" i="1"/>
  <c r="BW1016" i="1"/>
  <c r="BW1720" i="1"/>
  <c r="BW1017" i="1"/>
  <c r="BW1297" i="1"/>
  <c r="BW1708" i="1"/>
  <c r="BW1820" i="1"/>
  <c r="BW1018" i="1"/>
  <c r="BW1019" i="1"/>
  <c r="BW1015" i="1"/>
  <c r="BW1305" i="1"/>
  <c r="BW1011" i="1"/>
  <c r="BW1020" i="1"/>
  <c r="BW1035" i="1"/>
  <c r="BW1823" i="1"/>
  <c r="BW1012" i="1"/>
  <c r="BW1721" i="1"/>
  <c r="BW1706" i="1"/>
  <c r="BW1013" i="1"/>
  <c r="BW1824" i="1"/>
  <c r="BW1722" i="1"/>
  <c r="BW1726" i="1"/>
  <c r="BW1825" i="1"/>
  <c r="BW1826" i="1"/>
  <c r="BW1827" i="1"/>
  <c r="BW1828" i="1"/>
  <c r="BW1821" i="1"/>
  <c r="BW1829" i="1"/>
  <c r="BW368" i="1"/>
  <c r="BW688" i="1"/>
  <c r="BW689" i="1"/>
  <c r="BW369" i="1"/>
  <c r="BW370" i="1"/>
  <c r="BW690" i="1"/>
  <c r="BW1903" i="1"/>
  <c r="BW1904" i="1"/>
  <c r="BW1905" i="1"/>
  <c r="BW1906" i="1"/>
  <c r="BW1907" i="1"/>
  <c r="BW1908" i="1"/>
  <c r="BW1909" i="1"/>
  <c r="BW1910" i="1"/>
  <c r="BW1911" i="1"/>
  <c r="BW1912" i="1"/>
  <c r="BW1913" i="1"/>
  <c r="BW1914" i="1"/>
  <c r="BW1915" i="1"/>
  <c r="BW1916" i="1"/>
  <c r="BW1917" i="1"/>
  <c r="BW1918" i="1"/>
  <c r="BW1919" i="1"/>
  <c r="BW1920" i="1"/>
  <c r="BW1921" i="1"/>
  <c r="BW1922" i="1"/>
  <c r="BW1923" i="1"/>
  <c r="BW1924" i="1"/>
  <c r="BW1925" i="1"/>
  <c r="BW1926" i="1"/>
  <c r="BW1927" i="1"/>
  <c r="BW1928" i="1"/>
  <c r="BW1929" i="1"/>
  <c r="BW1930" i="1"/>
  <c r="BW1931" i="1"/>
  <c r="BW1932" i="1"/>
  <c r="BW1933" i="1"/>
  <c r="BW1934" i="1"/>
  <c r="BW1935" i="1"/>
  <c r="BW1936" i="1"/>
  <c r="BW1937" i="1"/>
  <c r="BW1938" i="1"/>
  <c r="BW1939" i="1"/>
  <c r="BW1940" i="1"/>
  <c r="BW1941" i="1"/>
  <c r="BW1942" i="1"/>
  <c r="BW1943" i="1"/>
  <c r="BW1944" i="1"/>
  <c r="BW1945" i="1"/>
  <c r="BW1946" i="1"/>
  <c r="BW1947" i="1"/>
  <c r="BW1948" i="1"/>
  <c r="BW1949" i="1"/>
  <c r="BW1950" i="1"/>
  <c r="BW1951" i="1"/>
  <c r="BW1952" i="1"/>
  <c r="BW1953" i="1"/>
  <c r="BW1954" i="1"/>
  <c r="BW1955" i="1"/>
  <c r="BW1956" i="1"/>
  <c r="BW1957" i="1"/>
  <c r="BW1958" i="1"/>
  <c r="BW1959" i="1"/>
  <c r="BW1960" i="1"/>
  <c r="BW1961" i="1"/>
  <c r="BW1962" i="1"/>
  <c r="BW1963" i="1"/>
  <c r="BW1964" i="1"/>
  <c r="BW1965" i="1"/>
  <c r="BW1966" i="1"/>
  <c r="BW1967" i="1"/>
  <c r="BW1968" i="1"/>
  <c r="BW1969" i="1"/>
  <c r="BW1970" i="1"/>
  <c r="BW1971" i="1"/>
  <c r="BW1972" i="1"/>
  <c r="BW1973" i="1"/>
  <c r="BW1974" i="1"/>
  <c r="BW1975" i="1"/>
  <c r="BW1976" i="1"/>
  <c r="BW1977" i="1"/>
  <c r="BW1978" i="1"/>
  <c r="BW1979" i="1"/>
  <c r="BW1980" i="1"/>
  <c r="BW1981" i="1"/>
  <c r="BW1862" i="1"/>
  <c r="BW1863" i="1"/>
  <c r="BW1858" i="1"/>
  <c r="BW1864" i="1"/>
  <c r="BW1860" i="1"/>
  <c r="BW1859" i="1"/>
  <c r="BW1865" i="1"/>
  <c r="BW1499" i="1"/>
  <c r="BW1496" i="1"/>
  <c r="BW1497" i="1"/>
  <c r="BW1861" i="1"/>
  <c r="BW1500" i="1"/>
  <c r="BW1498" i="1"/>
  <c r="BW1995" i="1"/>
  <c r="BW1996" i="1"/>
  <c r="BW1997" i="1"/>
  <c r="BW1998" i="1"/>
  <c r="BW1999" i="1"/>
  <c r="BW2000" i="1"/>
  <c r="BW2001" i="1"/>
  <c r="BW2002" i="1"/>
  <c r="BW2003" i="1"/>
  <c r="BW2004" i="1"/>
  <c r="BW224" i="1"/>
  <c r="BW223" i="1"/>
  <c r="BW225" i="1"/>
  <c r="BW2008" i="1"/>
  <c r="BW2009" i="1"/>
  <c r="BW2010" i="1"/>
  <c r="BW2011" i="1"/>
  <c r="BW2012" i="1"/>
  <c r="BW2013" i="1"/>
  <c r="BW2014" i="1"/>
  <c r="BW2015" i="1"/>
  <c r="BW2016" i="1"/>
  <c r="BW2017" i="1"/>
  <c r="BW2018" i="1"/>
  <c r="BW2019" i="1"/>
  <c r="BW2020" i="1"/>
  <c r="BW2021" i="1"/>
  <c r="BW2022" i="1"/>
  <c r="BW2023" i="1"/>
  <c r="BW2024" i="1"/>
  <c r="BW2025" i="1"/>
  <c r="BW2026" i="1"/>
  <c r="BW2027" i="1"/>
  <c r="BW2028" i="1"/>
  <c r="BW2029" i="1"/>
  <c r="BW287" i="1"/>
  <c r="BW286" i="1"/>
  <c r="BW2032" i="1"/>
  <c r="BW2033" i="1"/>
  <c r="BW288" i="1"/>
  <c r="BW2035" i="1"/>
  <c r="BW2036" i="1"/>
  <c r="BW2037" i="1"/>
  <c r="BW2038" i="1"/>
  <c r="BW2039" i="1"/>
  <c r="BW2040" i="1"/>
  <c r="BW2041" i="1"/>
  <c r="BW2042" i="1"/>
  <c r="BW2043" i="1"/>
  <c r="BW2044" i="1"/>
  <c r="BW2045" i="1"/>
  <c r="BW2046" i="1"/>
  <c r="BW2047" i="1"/>
  <c r="BW2048" i="1"/>
  <c r="BW2049" i="1"/>
  <c r="BW2050" i="1"/>
  <c r="BW2051" i="1"/>
  <c r="BW2052" i="1"/>
  <c r="BW680" i="1"/>
  <c r="BW2054" i="1"/>
  <c r="BW2055" i="1"/>
  <c r="BW2056" i="1"/>
  <c r="BW2057" i="1"/>
  <c r="BW2058" i="1"/>
  <c r="BW2059" i="1"/>
  <c r="BW2060" i="1"/>
  <c r="BW2061" i="1"/>
  <c r="BW2062" i="1"/>
  <c r="BW2063" i="1"/>
  <c r="BW2064" i="1"/>
  <c r="BW2065" i="1"/>
  <c r="BW2066" i="1"/>
  <c r="BW2067" i="1"/>
  <c r="BW2068" i="1"/>
  <c r="BW2069" i="1"/>
  <c r="BW2070" i="1"/>
  <c r="BW684" i="1"/>
  <c r="BW2072" i="1"/>
  <c r="BW2073" i="1"/>
  <c r="BW2074" i="1"/>
  <c r="BW780" i="1"/>
  <c r="BW2076" i="1"/>
  <c r="BW2077" i="1"/>
  <c r="BW2078" i="1"/>
  <c r="BW777" i="1"/>
  <c r="BW2080" i="1"/>
  <c r="BW2081" i="1"/>
  <c r="BW715" i="1"/>
  <c r="BW2083" i="1"/>
  <c r="BW779" i="1"/>
  <c r="BW781" i="1"/>
  <c r="BW2086" i="1"/>
  <c r="BW2087" i="1"/>
  <c r="BW2088" i="1"/>
  <c r="BW2089" i="1"/>
  <c r="BW2090" i="1"/>
  <c r="BW2091" i="1"/>
  <c r="BW778" i="1"/>
  <c r="BW2093" i="1"/>
  <c r="BW2094" i="1"/>
  <c r="BW2095" i="1"/>
  <c r="BW2096" i="1"/>
  <c r="BW2097" i="1"/>
  <c r="BW681" i="1"/>
  <c r="BW2099" i="1"/>
  <c r="BW2100" i="1"/>
  <c r="BW2101" i="1"/>
  <c r="BW2102" i="1"/>
  <c r="BW2103" i="1"/>
  <c r="BW2104" i="1"/>
  <c r="BW2105" i="1"/>
  <c r="BW2106" i="1"/>
  <c r="BW682" i="1"/>
  <c r="BW2108" i="1"/>
  <c r="BW685" i="1"/>
  <c r="BW2110" i="1"/>
  <c r="BW719" i="1"/>
  <c r="BW2112" i="1"/>
  <c r="BW2113" i="1"/>
  <c r="BW2114" i="1"/>
  <c r="BW2115" i="1"/>
  <c r="BW2116" i="1"/>
  <c r="BW2117" i="1"/>
  <c r="BW2118" i="1"/>
  <c r="BW2119" i="1"/>
  <c r="BW716" i="1"/>
  <c r="BW2121" i="1"/>
  <c r="BW2122" i="1"/>
  <c r="BW2123" i="1"/>
  <c r="BW2124" i="1"/>
  <c r="BW720" i="1"/>
  <c r="BW2126" i="1"/>
  <c r="BW721" i="1"/>
  <c r="BW1888" i="1"/>
  <c r="BW2129" i="1"/>
  <c r="BW2130" i="1"/>
  <c r="BW2131" i="1"/>
  <c r="BW2132" i="1"/>
  <c r="BW2133" i="1"/>
  <c r="BW717" i="1"/>
  <c r="BW2135" i="1"/>
  <c r="BW2136" i="1"/>
  <c r="BW686" i="1"/>
  <c r="BW718" i="1"/>
  <c r="BW2139" i="1"/>
  <c r="BW722" i="1"/>
  <c r="BW683" i="1"/>
  <c r="BW2142" i="1"/>
  <c r="BW687" i="1"/>
  <c r="BW2144" i="1"/>
  <c r="BW2145" i="1"/>
  <c r="BW2146" i="1"/>
  <c r="BW2147" i="1"/>
  <c r="BW2148" i="1"/>
  <c r="BW2149" i="1"/>
  <c r="BW1128" i="1"/>
  <c r="BW2151" i="1"/>
  <c r="BW2152" i="1"/>
  <c r="BW2153" i="1"/>
  <c r="BW2154" i="1"/>
  <c r="BW1129" i="1"/>
  <c r="BW1873" i="1"/>
  <c r="BW2157" i="1"/>
  <c r="BW1281" i="1"/>
  <c r="BW2159" i="1"/>
  <c r="BW2160" i="1"/>
  <c r="BW2161" i="1"/>
  <c r="BW2162" i="1"/>
  <c r="BW2163" i="1"/>
  <c r="BW2164" i="1"/>
  <c r="BW2165" i="1"/>
  <c r="BW1890" i="1"/>
  <c r="BW2167" i="1"/>
  <c r="BW2168" i="1"/>
  <c r="BW1282" i="1"/>
  <c r="BW2170" i="1"/>
  <c r="BW2171" i="1"/>
  <c r="BW1889" i="1"/>
  <c r="BW2173" i="1"/>
  <c r="BW2174" i="1"/>
  <c r="BW2175" i="1"/>
  <c r="BW1896" i="1"/>
  <c r="BW2177" i="1"/>
  <c r="BW2178" i="1"/>
  <c r="BW1283" i="1"/>
  <c r="BW2180" i="1"/>
  <c r="BW2181" i="1"/>
  <c r="BW2182" i="1"/>
  <c r="BW2183" i="1"/>
  <c r="BW1874" i="1"/>
  <c r="BW2185" i="1"/>
  <c r="BW2186" i="1"/>
  <c r="BW1876" i="1"/>
  <c r="BW2188" i="1"/>
  <c r="BW2189" i="1"/>
  <c r="BW2190" i="1"/>
  <c r="BW1899" i="1"/>
  <c r="BW1877" i="1"/>
  <c r="BW1897" i="1"/>
  <c r="BW1875" i="1"/>
  <c r="BW1603" i="1"/>
  <c r="BW2196" i="1"/>
  <c r="BW1130" i="1"/>
  <c r="BW2198" i="1"/>
  <c r="BW727" i="1"/>
  <c r="BW1284" i="1"/>
  <c r="BW1990" i="1"/>
  <c r="BW1898" i="1"/>
  <c r="BW1900" i="1"/>
  <c r="BW1285" i="1"/>
  <c r="BW729" i="1"/>
  <c r="BW1286" i="1"/>
  <c r="BW1278" i="1"/>
  <c r="BW1287" i="1"/>
  <c r="BW1988" i="1"/>
  <c r="BW1288" i="1"/>
  <c r="BW1102" i="1"/>
  <c r="BW1602" i="1"/>
  <c r="BW2213" i="1"/>
  <c r="BW1131" i="1"/>
  <c r="BW1289" i="1"/>
  <c r="BW1111" i="1"/>
  <c r="BW1290" i="1"/>
  <c r="BW2218" i="1"/>
  <c r="BW1991" i="1"/>
  <c r="BW1112" i="1"/>
  <c r="BW1291" i="1"/>
  <c r="BW1279" i="1"/>
  <c r="BW1132" i="1"/>
  <c r="BW1133" i="1"/>
  <c r="BW1116" i="1"/>
  <c r="BW1117" i="1"/>
  <c r="BW1118" i="1"/>
  <c r="BW2228" i="1"/>
  <c r="BW1292" i="1"/>
  <c r="BW1119" i="1"/>
  <c r="BW1134" i="1"/>
  <c r="BW1135" i="1"/>
  <c r="BW1120" i="1"/>
  <c r="BW730" i="1"/>
  <c r="BW1407" i="1"/>
  <c r="BW728" i="1"/>
  <c r="BW1280" i="1"/>
  <c r="BW1121" i="1"/>
  <c r="BW1122" i="1"/>
  <c r="BW1136" i="1"/>
  <c r="BW1408" i="1"/>
  <c r="BW1409" i="1"/>
  <c r="BW1410" i="1"/>
  <c r="BW1992" i="1"/>
  <c r="BW1411" i="1"/>
  <c r="BW726" i="1"/>
  <c r="BW1412" i="1"/>
  <c r="BW1123" i="1"/>
  <c r="BW1413" i="1"/>
  <c r="BW2250" i="1"/>
  <c r="BW2251" i="1"/>
  <c r="BW1364" i="1"/>
  <c r="BW1113" i="1"/>
  <c r="BW1402" i="1"/>
  <c r="BW1989" i="1"/>
  <c r="BW2120" i="1"/>
  <c r="BW1414" i="1"/>
  <c r="BW1403" i="1"/>
  <c r="BW1114" i="1"/>
  <c r="BW1124" i="1"/>
  <c r="BW1601" i="1"/>
  <c r="BW1415" i="1"/>
  <c r="BW1404" i="1"/>
  <c r="BW1592" i="1"/>
  <c r="BW1591" i="1"/>
  <c r="BW1405" i="1"/>
  <c r="BW2109" i="1"/>
  <c r="BW2111" i="1"/>
  <c r="BW2269" i="1"/>
  <c r="BW1593" i="1"/>
  <c r="BW1115" i="1"/>
  <c r="BW1137" i="1"/>
  <c r="BW1406" i="1"/>
  <c r="BW1126" i="1"/>
  <c r="BW1127" i="1"/>
  <c r="BW2276" i="1"/>
  <c r="BW1138" i="1"/>
  <c r="BW1139" i="1"/>
  <c r="BW1125" i="1"/>
  <c r="BW2280" i="1"/>
  <c r="BW2281" i="1"/>
  <c r="BW2282" i="1"/>
  <c r="BW2283" i="1"/>
  <c r="BW2284" i="1"/>
  <c r="BW2285" i="1"/>
  <c r="BW2286" i="1"/>
  <c r="BW2287" i="1"/>
  <c r="BW2288" i="1"/>
  <c r="BW2289" i="1"/>
  <c r="BW2290" i="1"/>
  <c r="BW2291" i="1"/>
  <c r="BW2292" i="1"/>
  <c r="BW2293" i="1"/>
  <c r="BW2294" i="1"/>
  <c r="BW2295" i="1"/>
  <c r="BW2296" i="1"/>
  <c r="BW2297" i="1"/>
  <c r="BW2298" i="1"/>
  <c r="BW2299" i="1"/>
  <c r="BW2300" i="1"/>
  <c r="BW2301" i="1"/>
  <c r="BW2302" i="1"/>
  <c r="BW2303" i="1"/>
  <c r="BW2304" i="1"/>
  <c r="BW2305" i="1"/>
  <c r="BW2306" i="1"/>
  <c r="BW2307" i="1"/>
  <c r="BW2308" i="1"/>
  <c r="BW2309" i="1"/>
  <c r="BW2310" i="1"/>
  <c r="BW2311" i="1"/>
  <c r="BW2312" i="1"/>
  <c r="BW2313" i="1"/>
  <c r="BW2314" i="1"/>
  <c r="BW2315" i="1"/>
  <c r="BW2316" i="1"/>
  <c r="BW2317" i="1"/>
  <c r="BW2318" i="1"/>
  <c r="BW2319" i="1"/>
  <c r="BW2320" i="1"/>
  <c r="BW2321" i="1"/>
  <c r="BW2322" i="1"/>
  <c r="BW2323" i="1"/>
  <c r="BW2324" i="1"/>
  <c r="BW2325" i="1"/>
  <c r="BW2326" i="1"/>
  <c r="BW2327" i="1"/>
  <c r="BW2328" i="1"/>
  <c r="BW2329" i="1"/>
  <c r="BW2330" i="1"/>
  <c r="BW2331" i="1"/>
  <c r="BW2332" i="1"/>
  <c r="BW2278" i="1"/>
  <c r="BW1507" i="1"/>
  <c r="BW14" i="1"/>
  <c r="BW1508" i="1"/>
  <c r="BW2209" i="1"/>
  <c r="BW1506" i="1"/>
  <c r="BW2211" i="1"/>
  <c r="BW12" i="1"/>
  <c r="BW13" i="1"/>
  <c r="BW2210" i="1"/>
  <c r="BW19" i="1"/>
  <c r="BW20" i="1"/>
  <c r="BW21" i="1"/>
  <c r="BW22" i="1"/>
  <c r="BW23" i="1"/>
  <c r="BW24" i="1"/>
  <c r="BW3" i="1"/>
  <c r="BW4" i="1"/>
  <c r="BW5" i="1"/>
  <c r="BW6" i="1"/>
  <c r="BW2" i="1"/>
  <c r="BB211" i="1"/>
  <c r="BB227" i="1"/>
  <c r="BB1574" i="1"/>
  <c r="BB1575" i="1"/>
  <c r="BB1578" i="1"/>
  <c r="BB739" i="1"/>
  <c r="BB1306" i="1"/>
  <c r="BB1307" i="1"/>
  <c r="BB1308" i="1"/>
  <c r="BB1309" i="1"/>
  <c r="BB1310" i="1"/>
  <c r="BB1311" i="1"/>
  <c r="BB526" i="1"/>
  <c r="BB525" i="1"/>
  <c r="BB371" i="1"/>
  <c r="BB1315" i="1"/>
  <c r="BB1316" i="1"/>
  <c r="BB1317" i="1"/>
  <c r="BB1318" i="1"/>
  <c r="BB1319" i="1"/>
  <c r="BB1320" i="1"/>
  <c r="BB1321" i="1"/>
  <c r="BB1322" i="1"/>
  <c r="BB1323" i="1"/>
  <c r="BB1324" i="1"/>
  <c r="BB1325" i="1"/>
  <c r="BB1326" i="1"/>
  <c r="BB1327" i="1"/>
  <c r="BB1328" i="1"/>
  <c r="BB1329" i="1"/>
  <c r="BB1330" i="1"/>
  <c r="BB1331" i="1"/>
  <c r="BB1332" i="1"/>
  <c r="BB1333" i="1"/>
  <c r="BB1334" i="1"/>
  <c r="BB1335" i="1"/>
  <c r="BB1336" i="1"/>
  <c r="BB1337" i="1"/>
  <c r="BB1338" i="1"/>
  <c r="BB1339" i="1"/>
  <c r="BB1340" i="1"/>
  <c r="BB1341" i="1"/>
  <c r="BB1342" i="1"/>
  <c r="BB1343" i="1"/>
  <c r="BB1344" i="1"/>
  <c r="BB1792" i="1"/>
  <c r="BB1793" i="1"/>
  <c r="BB2224" i="1"/>
  <c r="BB2225" i="1"/>
  <c r="BB2221" i="1"/>
  <c r="BB1789" i="1"/>
  <c r="BB2222" i="1"/>
  <c r="BB1791" i="1"/>
  <c r="BB1883" i="1"/>
  <c r="BB1884" i="1"/>
  <c r="BB2223" i="1"/>
  <c r="BB1790" i="1"/>
  <c r="BB1885" i="1"/>
  <c r="BB1878" i="1"/>
  <c r="BB1886" i="1"/>
  <c r="BB1879" i="1"/>
  <c r="BB1887" i="1"/>
  <c r="BB1880" i="1"/>
  <c r="BB1881" i="1"/>
  <c r="BB1882" i="1"/>
  <c r="BB1365" i="1"/>
  <c r="BB1366" i="1"/>
  <c r="BB1367" i="1"/>
  <c r="BB1368" i="1"/>
  <c r="BB1369" i="1"/>
  <c r="BB1370" i="1"/>
  <c r="BB1371" i="1"/>
  <c r="BB1372" i="1"/>
  <c r="BB1373" i="1"/>
  <c r="BB1374" i="1"/>
  <c r="BB1375" i="1"/>
  <c r="BB1376" i="1"/>
  <c r="BB1377" i="1"/>
  <c r="BB1378" i="1"/>
  <c r="BB1379" i="1"/>
  <c r="BB1380" i="1"/>
  <c r="BB1381" i="1"/>
  <c r="BB1382" i="1"/>
  <c r="BB1383" i="1"/>
  <c r="BB1384" i="1"/>
  <c r="BB1385" i="1"/>
  <c r="BB1386" i="1"/>
  <c r="BB1387" i="1"/>
  <c r="BB1388" i="1"/>
  <c r="BB1389" i="1"/>
  <c r="BB1390" i="1"/>
  <c r="BB1391" i="1"/>
  <c r="BB1392" i="1"/>
  <c r="BB1393" i="1"/>
  <c r="BB1394" i="1"/>
  <c r="BB1395" i="1"/>
  <c r="BB1396" i="1"/>
  <c r="BB1397" i="1"/>
  <c r="BB1398" i="1"/>
  <c r="BB1399" i="1"/>
  <c r="BB1400" i="1"/>
  <c r="BB1401" i="1"/>
  <c r="BB754" i="1"/>
  <c r="BB755" i="1"/>
  <c r="BB997" i="1"/>
  <c r="BB998" i="1"/>
  <c r="BB1348" i="1"/>
  <c r="BB1349" i="1"/>
  <c r="BB1350" i="1"/>
  <c r="BB1351" i="1"/>
  <c r="BB1784" i="1"/>
  <c r="BB1785" i="1"/>
  <c r="BB1355" i="1"/>
  <c r="BB1354" i="1"/>
  <c r="BB982" i="1"/>
  <c r="BB757" i="1"/>
  <c r="BB758" i="1"/>
  <c r="BB985" i="1"/>
  <c r="BB1009" i="1"/>
  <c r="BB1007" i="1"/>
  <c r="BB1782" i="1"/>
  <c r="BB1202" i="1"/>
  <c r="BB1781" i="1"/>
  <c r="BB1201" i="1"/>
  <c r="BB1010" i="1"/>
  <c r="BB980" i="1"/>
  <c r="BB1780" i="1"/>
  <c r="BB756" i="1"/>
  <c r="BB1008" i="1"/>
  <c r="BB996" i="1"/>
  <c r="BB1006" i="1"/>
  <c r="BB981" i="1"/>
  <c r="BB1200" i="1"/>
  <c r="BB1352" i="1"/>
  <c r="BB1783" i="1"/>
  <c r="BB986" i="1"/>
  <c r="BB987" i="1"/>
  <c r="BB1353" i="1"/>
  <c r="BB983" i="1"/>
  <c r="BB984" i="1"/>
  <c r="BB1440" i="1"/>
  <c r="BB1441" i="1"/>
  <c r="BB1442" i="1"/>
  <c r="BB1443" i="1"/>
  <c r="BB1444" i="1"/>
  <c r="BB1445" i="1"/>
  <c r="BB1446" i="1"/>
  <c r="BB1447" i="1"/>
  <c r="BB1448" i="1"/>
  <c r="BB1449" i="1"/>
  <c r="BB1450" i="1"/>
  <c r="BB1451" i="1"/>
  <c r="BB1452" i="1"/>
  <c r="BB1453" i="1"/>
  <c r="BB1454" i="1"/>
  <c r="BB1455" i="1"/>
  <c r="BB1456" i="1"/>
  <c r="BB1457" i="1"/>
  <c r="BB1458" i="1"/>
  <c r="BB1459" i="1"/>
  <c r="BB1460" i="1"/>
  <c r="BB1461" i="1"/>
  <c r="BB1462" i="1"/>
  <c r="BB1463" i="1"/>
  <c r="BB1464" i="1"/>
  <c r="BB1465" i="1"/>
  <c r="BB1466" i="1"/>
  <c r="BB1467" i="1"/>
  <c r="BB1468" i="1"/>
  <c r="BB1469" i="1"/>
  <c r="BB1470" i="1"/>
  <c r="BB1471" i="1"/>
  <c r="BB1472" i="1"/>
  <c r="BB1473" i="1"/>
  <c r="BB1474" i="1"/>
  <c r="BB1475" i="1"/>
  <c r="BB1476" i="1"/>
  <c r="BB1477" i="1"/>
  <c r="BB1478" i="1"/>
  <c r="BB1479" i="1"/>
  <c r="BB1480" i="1"/>
  <c r="BB1481" i="1"/>
  <c r="BB1482" i="1"/>
  <c r="BB1483" i="1"/>
  <c r="BB10" i="1"/>
  <c r="BB7" i="1"/>
  <c r="BB11" i="1"/>
  <c r="BB8" i="1"/>
  <c r="BB9" i="1"/>
  <c r="BB527" i="1"/>
  <c r="BB529" i="1"/>
  <c r="BB898" i="1"/>
  <c r="BB899" i="1"/>
  <c r="BB713" i="1"/>
  <c r="BB868" i="1"/>
  <c r="BB701" i="1"/>
  <c r="BB297" i="1"/>
  <c r="BB867" i="1"/>
  <c r="BB702" i="1"/>
  <c r="BB866" i="1"/>
  <c r="BB897" i="1"/>
  <c r="BB572" i="1"/>
  <c r="BB700" i="1"/>
  <c r="BB299" i="1"/>
  <c r="BB298" i="1"/>
  <c r="BB575" i="1"/>
  <c r="BB571" i="1"/>
  <c r="BB528" i="1"/>
  <c r="BB714" i="1"/>
  <c r="BB301" i="1"/>
  <c r="BB712" i="1"/>
  <c r="BB273" i="1"/>
  <c r="BB274" i="1"/>
  <c r="BB272" i="1"/>
  <c r="BB300" i="1"/>
  <c r="BB302" i="1"/>
  <c r="BB2259" i="1"/>
  <c r="BB1101" i="1"/>
  <c r="BB1100" i="1"/>
  <c r="BB871" i="1"/>
  <c r="BB2260" i="1"/>
  <c r="BB870" i="1"/>
  <c r="BB869" i="1"/>
  <c r="BB1044" i="1"/>
  <c r="BB1042" i="1"/>
  <c r="BB2258" i="1"/>
  <c r="BB1196" i="1"/>
  <c r="BB1043" i="1"/>
  <c r="BB1194" i="1"/>
  <c r="BB1195" i="1"/>
  <c r="BB1099" i="1"/>
  <c r="BB2270" i="1"/>
  <c r="BB2271" i="1"/>
  <c r="BB2272" i="1"/>
  <c r="BB1534" i="1"/>
  <c r="BB1535" i="1"/>
  <c r="BB1536" i="1"/>
  <c r="BB1537" i="1"/>
  <c r="BB1538" i="1"/>
  <c r="BB1539" i="1"/>
  <c r="BB1540" i="1"/>
  <c r="BB1541" i="1"/>
  <c r="BB1542" i="1"/>
  <c r="BB1543" i="1"/>
  <c r="BB1544" i="1"/>
  <c r="BB1545" i="1"/>
  <c r="BB1546" i="1"/>
  <c r="BB1547" i="1"/>
  <c r="BB1548" i="1"/>
  <c r="BB1549" i="1"/>
  <c r="BB1550" i="1"/>
  <c r="BB1551" i="1"/>
  <c r="BB1552" i="1"/>
  <c r="BB1553" i="1"/>
  <c r="BB1554" i="1"/>
  <c r="BB1555" i="1"/>
  <c r="BB1556" i="1"/>
  <c r="BB1557" i="1"/>
  <c r="BB1558" i="1"/>
  <c r="BB1559" i="1"/>
  <c r="BB1560" i="1"/>
  <c r="BB1561" i="1"/>
  <c r="BB1562" i="1"/>
  <c r="BB1563" i="1"/>
  <c r="BB1564" i="1"/>
  <c r="BB1565" i="1"/>
  <c r="BB1566" i="1"/>
  <c r="BB1567" i="1"/>
  <c r="BB1568" i="1"/>
  <c r="BB1569" i="1"/>
  <c r="BB1842" i="1"/>
  <c r="BB1191" i="1"/>
  <c r="BB1843" i="1"/>
  <c r="BB1844" i="1"/>
  <c r="BB1856" i="1"/>
  <c r="BB1192" i="1"/>
  <c r="BB1855" i="1"/>
  <c r="BB1857" i="1"/>
  <c r="BB1853" i="1"/>
  <c r="BB1193" i="1"/>
  <c r="BB1840" i="1"/>
  <c r="BB1189" i="1"/>
  <c r="BB1190" i="1"/>
  <c r="BB1841" i="1"/>
  <c r="BB1854" i="1"/>
  <c r="BB1585" i="1"/>
  <c r="BB1586" i="1"/>
  <c r="BB1587" i="1"/>
  <c r="BB1588" i="1"/>
  <c r="BB1589" i="1"/>
  <c r="BB1590" i="1"/>
  <c r="BB537" i="1"/>
  <c r="BB538" i="1"/>
  <c r="BB992" i="1"/>
  <c r="BB993" i="1"/>
  <c r="BB535" i="1"/>
  <c r="BB533" i="1"/>
  <c r="BB539" i="1"/>
  <c r="BB994" i="1"/>
  <c r="BB536" i="1"/>
  <c r="BB988" i="1"/>
  <c r="BB540" i="1"/>
  <c r="BB534" i="1"/>
  <c r="BB989" i="1"/>
  <c r="BB990" i="1"/>
  <c r="BB995" i="1"/>
  <c r="BB991" i="1"/>
  <c r="BB1607" i="1"/>
  <c r="BB1608" i="1"/>
  <c r="BB1609" i="1"/>
  <c r="BB1610" i="1"/>
  <c r="BB1611" i="1"/>
  <c r="BB1612" i="1"/>
  <c r="BB1613" i="1"/>
  <c r="BB1614" i="1"/>
  <c r="BB1615" i="1"/>
  <c r="BB1731" i="1"/>
  <c r="BB1728" i="1"/>
  <c r="BB1727" i="1"/>
  <c r="BB1729" i="1"/>
  <c r="BB1730" i="1"/>
  <c r="BB1732" i="1"/>
  <c r="BB1733" i="1"/>
  <c r="BB999" i="1"/>
  <c r="BB1000" i="1"/>
  <c r="BB1003" i="1"/>
  <c r="BB1004" i="1"/>
  <c r="BB1001" i="1"/>
  <c r="BB1005" i="1"/>
  <c r="BB1002" i="1"/>
  <c r="BB1630" i="1"/>
  <c r="BB1631" i="1"/>
  <c r="BB1632" i="1"/>
  <c r="BB1633" i="1"/>
  <c r="BB1634" i="1"/>
  <c r="BB1635" i="1"/>
  <c r="BB1636" i="1"/>
  <c r="BB1637" i="1"/>
  <c r="BB1638" i="1"/>
  <c r="BB1639" i="1"/>
  <c r="BB1640" i="1"/>
  <c r="BB1641" i="1"/>
  <c r="BB1642" i="1"/>
  <c r="BB1643" i="1"/>
  <c r="BB1644" i="1"/>
  <c r="BB1645" i="1"/>
  <c r="BB1646" i="1"/>
  <c r="BB1647" i="1"/>
  <c r="BB1648" i="1"/>
  <c r="BB1649" i="1"/>
  <c r="BB1650" i="1"/>
  <c r="BB1651" i="1"/>
  <c r="BB1652" i="1"/>
  <c r="BB1653" i="1"/>
  <c r="BB1654" i="1"/>
  <c r="BB1655" i="1"/>
  <c r="BB1656" i="1"/>
  <c r="BB1657" i="1"/>
  <c r="BB1658" i="1"/>
  <c r="BB1659" i="1"/>
  <c r="BB1660" i="1"/>
  <c r="BB1661" i="1"/>
  <c r="BB1662" i="1"/>
  <c r="BB1663" i="1"/>
  <c r="BB1664" i="1"/>
  <c r="BB1665" i="1"/>
  <c r="BB1666" i="1"/>
  <c r="BB1667" i="1"/>
  <c r="BB1668" i="1"/>
  <c r="BB1669" i="1"/>
  <c r="BB1670" i="1"/>
  <c r="BB1671" i="1"/>
  <c r="BB1672" i="1"/>
  <c r="BB1673" i="1"/>
  <c r="BB1674" i="1"/>
  <c r="BB1675" i="1"/>
  <c r="BB1676" i="1"/>
  <c r="BB1677" i="1"/>
  <c r="BB1678" i="1"/>
  <c r="BB1679" i="1"/>
  <c r="BB1680" i="1"/>
  <c r="BB1681" i="1"/>
  <c r="BB1682" i="1"/>
  <c r="BB1683" i="1"/>
  <c r="BB1684" i="1"/>
  <c r="BB1685" i="1"/>
  <c r="BB1686" i="1"/>
  <c r="BB1687" i="1"/>
  <c r="BB1688" i="1"/>
  <c r="BB1689" i="1"/>
  <c r="BB1690" i="1"/>
  <c r="BB1691" i="1"/>
  <c r="BB1692" i="1"/>
  <c r="BB1693" i="1"/>
  <c r="BB1694" i="1"/>
  <c r="BB1695" i="1"/>
  <c r="BB1696" i="1"/>
  <c r="BB1697" i="1"/>
  <c r="BB1698" i="1"/>
  <c r="BB1699" i="1"/>
  <c r="BB1700" i="1"/>
  <c r="BB1701" i="1"/>
  <c r="BB1702" i="1"/>
  <c r="BB1703" i="1"/>
  <c r="BB1704" i="1"/>
  <c r="BB2034" i="1"/>
  <c r="BB1778" i="1"/>
  <c r="BB1779" i="1"/>
  <c r="BB1777" i="1"/>
  <c r="BB1493" i="1"/>
  <c r="BB1205" i="1"/>
  <c r="BB1204" i="1"/>
  <c r="BB1203" i="1"/>
  <c r="BB2071" i="1"/>
  <c r="BB1495" i="1"/>
  <c r="BB2053" i="1"/>
  <c r="BB1494" i="1"/>
  <c r="BB860" i="1"/>
  <c r="BB861" i="1"/>
  <c r="BB862" i="1"/>
  <c r="BB1629" i="1"/>
  <c r="BB1628" i="1"/>
  <c r="BB1437" i="1"/>
  <c r="BB1436" i="1"/>
  <c r="BB285" i="1"/>
  <c r="BB1627" i="1"/>
  <c r="BB609" i="1"/>
  <c r="BB1714" i="1"/>
  <c r="BB1435" i="1"/>
  <c r="BB608" i="1"/>
  <c r="BB284" i="1"/>
  <c r="BB1713" i="1"/>
  <c r="BB283" i="1"/>
  <c r="BB1715" i="1"/>
  <c r="BB580" i="1"/>
  <c r="BB1735" i="1"/>
  <c r="BB1736" i="1"/>
  <c r="BB1737" i="1"/>
  <c r="BB1738" i="1"/>
  <c r="BB1739" i="1"/>
  <c r="BB1740" i="1"/>
  <c r="BB1741" i="1"/>
  <c r="BB1742" i="1"/>
  <c r="BB1743" i="1"/>
  <c r="BB1744" i="1"/>
  <c r="BB1745" i="1"/>
  <c r="BB1746" i="1"/>
  <c r="BB1747" i="1"/>
  <c r="BB1748" i="1"/>
  <c r="BB1749" i="1"/>
  <c r="BB1750" i="1"/>
  <c r="BB1751" i="1"/>
  <c r="BB1752" i="1"/>
  <c r="BB1753" i="1"/>
  <c r="BB1754" i="1"/>
  <c r="BB1755" i="1"/>
  <c r="BB1756" i="1"/>
  <c r="BB1757" i="1"/>
  <c r="BB1758" i="1"/>
  <c r="BB1759" i="1"/>
  <c r="BB1760" i="1"/>
  <c r="BB1761" i="1"/>
  <c r="BB1762" i="1"/>
  <c r="BB1763" i="1"/>
  <c r="BB1764" i="1"/>
  <c r="BB1765" i="1"/>
  <c r="BB1766" i="1"/>
  <c r="BB1767" i="1"/>
  <c r="BB1768" i="1"/>
  <c r="BB1769" i="1"/>
  <c r="BB1770" i="1"/>
  <c r="BB1771" i="1"/>
  <c r="BB1772" i="1"/>
  <c r="BB1773" i="1"/>
  <c r="BB1774" i="1"/>
  <c r="BB1832" i="1"/>
  <c r="BB1868" i="1"/>
  <c r="BB1871" i="1"/>
  <c r="BB1833" i="1"/>
  <c r="BB1835" i="1"/>
  <c r="BB1872" i="1"/>
  <c r="BB1869" i="1"/>
  <c r="BB1834" i="1"/>
  <c r="BB1870" i="1"/>
  <c r="BB1836" i="1"/>
  <c r="BB1831" i="1"/>
  <c r="BB1830" i="1"/>
  <c r="BB1866" i="1"/>
  <c r="BB1867" i="1"/>
  <c r="BB1424" i="1"/>
  <c r="BB1427" i="1"/>
  <c r="BB1425" i="1"/>
  <c r="BB295" i="1"/>
  <c r="BB292" i="1"/>
  <c r="BB296" i="1"/>
  <c r="BB1428" i="1"/>
  <c r="BB293" i="1"/>
  <c r="BB294" i="1"/>
  <c r="BB1426" i="1"/>
  <c r="BB1799" i="1"/>
  <c r="BB1800" i="1"/>
  <c r="BB1801" i="1"/>
  <c r="BB1802" i="1"/>
  <c r="BB1803" i="1"/>
  <c r="BB1804" i="1"/>
  <c r="BB1805" i="1"/>
  <c r="BB1806" i="1"/>
  <c r="BB1807" i="1"/>
  <c r="BB1808" i="1"/>
  <c r="BB1809" i="1"/>
  <c r="BB1810" i="1"/>
  <c r="BB1811" i="1"/>
  <c r="BB1812" i="1"/>
  <c r="BB1813" i="1"/>
  <c r="BB1814" i="1"/>
  <c r="BB1815" i="1"/>
  <c r="BB1816" i="1"/>
  <c r="BB1817" i="1"/>
  <c r="BB1818" i="1"/>
  <c r="BB1620" i="1"/>
  <c r="BB1621" i="1"/>
  <c r="BB883" i="1"/>
  <c r="BB881" i="1"/>
  <c r="BB882" i="1"/>
  <c r="BB884" i="1"/>
  <c r="BB1624" i="1"/>
  <c r="BB879" i="1"/>
  <c r="BB880" i="1"/>
  <c r="BB885" i="1"/>
  <c r="BB1622" i="1"/>
  <c r="BB1625" i="1"/>
  <c r="BB1626" i="1"/>
  <c r="BB1623" i="1"/>
  <c r="BB1594" i="1"/>
  <c r="BB1595" i="1"/>
  <c r="BB1598" i="1"/>
  <c r="BB1596" i="1"/>
  <c r="BB1599" i="1"/>
  <c r="BB1597" i="1"/>
  <c r="BB1600" i="1"/>
  <c r="BB1298" i="1"/>
  <c r="BB1723" i="1"/>
  <c r="BB1299" i="1"/>
  <c r="BB1304" i="1"/>
  <c r="BB1300" i="1"/>
  <c r="BB1709" i="1"/>
  <c r="BB1819" i="1"/>
  <c r="BB1710" i="1"/>
  <c r="BB1707" i="1"/>
  <c r="BB1293" i="1"/>
  <c r="BB1301" i="1"/>
  <c r="BB1724" i="1"/>
  <c r="BB1296" i="1"/>
  <c r="BB1294" i="1"/>
  <c r="BB1302" i="1"/>
  <c r="BB1711" i="1"/>
  <c r="BB1314" i="1"/>
  <c r="BB1719" i="1"/>
  <c r="BB1312" i="1"/>
  <c r="BB1705" i="1"/>
  <c r="BB1712" i="1"/>
  <c r="BB1345" i="1"/>
  <c r="BB1346" i="1"/>
  <c r="BB1347" i="1"/>
  <c r="BB1295" i="1"/>
  <c r="BB1725" i="1"/>
  <c r="BB1313" i="1"/>
  <c r="BB1822" i="1"/>
  <c r="BB1014" i="1"/>
  <c r="BB1303" i="1"/>
  <c r="BB1016" i="1"/>
  <c r="BB1720" i="1"/>
  <c r="BB1017" i="1"/>
  <c r="BB1297" i="1"/>
  <c r="BB1708" i="1"/>
  <c r="BB1820" i="1"/>
  <c r="BB1018" i="1"/>
  <c r="BB1019" i="1"/>
  <c r="BB1015" i="1"/>
  <c r="BB1305" i="1"/>
  <c r="BB1011" i="1"/>
  <c r="BB1020" i="1"/>
  <c r="BB1035" i="1"/>
  <c r="BB1823" i="1"/>
  <c r="BB1012" i="1"/>
  <c r="BB1721" i="1"/>
  <c r="BB1706" i="1"/>
  <c r="BB1013" i="1"/>
  <c r="BB1824" i="1"/>
  <c r="BB1722" i="1"/>
  <c r="BB1726" i="1"/>
  <c r="BB1825" i="1"/>
  <c r="BB1826" i="1"/>
  <c r="BB1827" i="1"/>
  <c r="BB1828" i="1"/>
  <c r="BB1821" i="1"/>
  <c r="BB1829" i="1"/>
  <c r="BB368" i="1"/>
  <c r="BB688" i="1"/>
  <c r="BB689" i="1"/>
  <c r="BB369" i="1"/>
  <c r="BB370" i="1"/>
  <c r="BB690" i="1"/>
  <c r="BB1903" i="1"/>
  <c r="BB1904" i="1"/>
  <c r="BB1905" i="1"/>
  <c r="BB1906" i="1"/>
  <c r="BB1907" i="1"/>
  <c r="BB1908" i="1"/>
  <c r="BB1909" i="1"/>
  <c r="BB1910" i="1"/>
  <c r="BB1911" i="1"/>
  <c r="BB1912" i="1"/>
  <c r="BB1913" i="1"/>
  <c r="BB1914" i="1"/>
  <c r="BB1915" i="1"/>
  <c r="BB1916" i="1"/>
  <c r="BB1917" i="1"/>
  <c r="BB1918" i="1"/>
  <c r="BB1919" i="1"/>
  <c r="BB1920" i="1"/>
  <c r="BB1921" i="1"/>
  <c r="BB1922" i="1"/>
  <c r="BB1923" i="1"/>
  <c r="BB1924" i="1"/>
  <c r="BB1925" i="1"/>
  <c r="BB1926" i="1"/>
  <c r="BB1927" i="1"/>
  <c r="BB1928" i="1"/>
  <c r="BB1929" i="1"/>
  <c r="BB1930" i="1"/>
  <c r="BB1931" i="1"/>
  <c r="BB1932" i="1"/>
  <c r="BB1933" i="1"/>
  <c r="BB1934" i="1"/>
  <c r="BB1935" i="1"/>
  <c r="BB1936" i="1"/>
  <c r="BB1937" i="1"/>
  <c r="BB1938" i="1"/>
  <c r="BB1939" i="1"/>
  <c r="BB1940" i="1"/>
  <c r="BB1941" i="1"/>
  <c r="BB1942" i="1"/>
  <c r="BB1943" i="1"/>
  <c r="BB1944" i="1"/>
  <c r="BB1945" i="1"/>
  <c r="BB1946" i="1"/>
  <c r="BB1947" i="1"/>
  <c r="BB1948" i="1"/>
  <c r="BB1949" i="1"/>
  <c r="BB1950" i="1"/>
  <c r="BB1951" i="1"/>
  <c r="BB1952" i="1"/>
  <c r="BB1953" i="1"/>
  <c r="BB1954" i="1"/>
  <c r="BB1955" i="1"/>
  <c r="BB1956" i="1"/>
  <c r="BB1957" i="1"/>
  <c r="BB1958" i="1"/>
  <c r="BB1959" i="1"/>
  <c r="BB1960" i="1"/>
  <c r="BB1961" i="1"/>
  <c r="BB1962" i="1"/>
  <c r="BB1963" i="1"/>
  <c r="BB1964" i="1"/>
  <c r="BB1965" i="1"/>
  <c r="BB1966" i="1"/>
  <c r="BB1967" i="1"/>
  <c r="BB1968" i="1"/>
  <c r="BB1969" i="1"/>
  <c r="BB1970" i="1"/>
  <c r="BB1971" i="1"/>
  <c r="BB1972" i="1"/>
  <c r="BB1973" i="1"/>
  <c r="BB1974" i="1"/>
  <c r="BB1975" i="1"/>
  <c r="BB1976" i="1"/>
  <c r="BB1977" i="1"/>
  <c r="BB1978" i="1"/>
  <c r="BB1979" i="1"/>
  <c r="BB1980" i="1"/>
  <c r="BB1981" i="1"/>
  <c r="BB1862" i="1"/>
  <c r="BB1863" i="1"/>
  <c r="BB1858" i="1"/>
  <c r="BB1864" i="1"/>
  <c r="BB1860" i="1"/>
  <c r="BB1859" i="1"/>
  <c r="BB1865" i="1"/>
  <c r="BB1499" i="1"/>
  <c r="BB1496" i="1"/>
  <c r="BB1497" i="1"/>
  <c r="BB1861" i="1"/>
  <c r="BB1500" i="1"/>
  <c r="BB1498" i="1"/>
  <c r="BB1995" i="1"/>
  <c r="BB1996" i="1"/>
  <c r="BB1997" i="1"/>
  <c r="BB1998" i="1"/>
  <c r="BB1999" i="1"/>
  <c r="BB2000" i="1"/>
  <c r="BB2001" i="1"/>
  <c r="BB2002" i="1"/>
  <c r="BB2003" i="1"/>
  <c r="BB2004" i="1"/>
  <c r="BB224" i="1"/>
  <c r="BB223" i="1"/>
  <c r="BB225" i="1"/>
  <c r="BB2008" i="1"/>
  <c r="BB2009" i="1"/>
  <c r="BB2010" i="1"/>
  <c r="BB2011" i="1"/>
  <c r="BB2012" i="1"/>
  <c r="BB2013" i="1"/>
  <c r="BB2014" i="1"/>
  <c r="BB2015" i="1"/>
  <c r="BB2016" i="1"/>
  <c r="BB2017" i="1"/>
  <c r="BB2018" i="1"/>
  <c r="BB2019" i="1"/>
  <c r="BB2020" i="1"/>
  <c r="BB2021" i="1"/>
  <c r="BB2022" i="1"/>
  <c r="BB2023" i="1"/>
  <c r="BB2024" i="1"/>
  <c r="BB2025" i="1"/>
  <c r="BB2026" i="1"/>
  <c r="BB2027" i="1"/>
  <c r="BB2028" i="1"/>
  <c r="BB2029" i="1"/>
  <c r="BB287" i="1"/>
  <c r="BB286" i="1"/>
  <c r="BB2032" i="1"/>
  <c r="BB2033" i="1"/>
  <c r="BB288" i="1"/>
  <c r="BB2035" i="1"/>
  <c r="BB2036" i="1"/>
  <c r="BB2037" i="1"/>
  <c r="BB2038" i="1"/>
  <c r="BB2039" i="1"/>
  <c r="BB2040" i="1"/>
  <c r="BB2041" i="1"/>
  <c r="BB2042" i="1"/>
  <c r="BB2043" i="1"/>
  <c r="BB2044" i="1"/>
  <c r="BB2045" i="1"/>
  <c r="BB2046" i="1"/>
  <c r="BB2047" i="1"/>
  <c r="BB2048" i="1"/>
  <c r="BB2049" i="1"/>
  <c r="BB2050" i="1"/>
  <c r="BB2051" i="1"/>
  <c r="BB2052" i="1"/>
  <c r="BB680" i="1"/>
  <c r="BB2054" i="1"/>
  <c r="BB2055" i="1"/>
  <c r="BB2056" i="1"/>
  <c r="BB2057" i="1"/>
  <c r="BB2058" i="1"/>
  <c r="BB2059" i="1"/>
  <c r="BB2060" i="1"/>
  <c r="BB2061" i="1"/>
  <c r="BB2062" i="1"/>
  <c r="BB2063" i="1"/>
  <c r="BB2064" i="1"/>
  <c r="BB2065" i="1"/>
  <c r="BB2066" i="1"/>
  <c r="BB2067" i="1"/>
  <c r="BB2068" i="1"/>
  <c r="BB2069" i="1"/>
  <c r="BB2070" i="1"/>
  <c r="BB684" i="1"/>
  <c r="BB2072" i="1"/>
  <c r="BB2073" i="1"/>
  <c r="BB2074" i="1"/>
  <c r="BB780" i="1"/>
  <c r="BB2076" i="1"/>
  <c r="BB2077" i="1"/>
  <c r="BB2078" i="1"/>
  <c r="BB777" i="1"/>
  <c r="BB2080" i="1"/>
  <c r="BB2081" i="1"/>
  <c r="BB715" i="1"/>
  <c r="BB2083" i="1"/>
  <c r="BB779" i="1"/>
  <c r="BB781" i="1"/>
  <c r="BB2086" i="1"/>
  <c r="BB2087" i="1"/>
  <c r="BB2088" i="1"/>
  <c r="BB2089" i="1"/>
  <c r="BB2090" i="1"/>
  <c r="BB2091" i="1"/>
  <c r="BB778" i="1"/>
  <c r="BB2093" i="1"/>
  <c r="BB2094" i="1"/>
  <c r="BB2095" i="1"/>
  <c r="BB2096" i="1"/>
  <c r="BB2097" i="1"/>
  <c r="BB681" i="1"/>
  <c r="BB2099" i="1"/>
  <c r="BB2100" i="1"/>
  <c r="BB2101" i="1"/>
  <c r="BB2102" i="1"/>
  <c r="BB2103" i="1"/>
  <c r="BB2104" i="1"/>
  <c r="BB2105" i="1"/>
  <c r="BB2106" i="1"/>
  <c r="BB682" i="1"/>
  <c r="BB2108" i="1"/>
  <c r="BB685" i="1"/>
  <c r="BB2110" i="1"/>
  <c r="BB719" i="1"/>
  <c r="BB2112" i="1"/>
  <c r="BB2113" i="1"/>
  <c r="BB2114" i="1"/>
  <c r="BB2115" i="1"/>
  <c r="BB2116" i="1"/>
  <c r="BB2117" i="1"/>
  <c r="BB2118" i="1"/>
  <c r="BB2119" i="1"/>
  <c r="BB716" i="1"/>
  <c r="BB2121" i="1"/>
  <c r="BB2122" i="1"/>
  <c r="BB2123" i="1"/>
  <c r="BB2124" i="1"/>
  <c r="BB720" i="1"/>
  <c r="BB2126" i="1"/>
  <c r="BB721" i="1"/>
  <c r="BB1888" i="1"/>
  <c r="BB2129" i="1"/>
  <c r="BB2130" i="1"/>
  <c r="BB2131" i="1"/>
  <c r="BB2132" i="1"/>
  <c r="BB2133" i="1"/>
  <c r="BB717" i="1"/>
  <c r="BB2135" i="1"/>
  <c r="BB2136" i="1"/>
  <c r="BB686" i="1"/>
  <c r="BB718" i="1"/>
  <c r="BB2139" i="1"/>
  <c r="BB722" i="1"/>
  <c r="BB683" i="1"/>
  <c r="BB2142" i="1"/>
  <c r="BB687" i="1"/>
  <c r="BB2144" i="1"/>
  <c r="BB2145" i="1"/>
  <c r="BB2146" i="1"/>
  <c r="BB2147" i="1"/>
  <c r="BB2148" i="1"/>
  <c r="BB2149" i="1"/>
  <c r="BB1128" i="1"/>
  <c r="BB2151" i="1"/>
  <c r="BB2152" i="1"/>
  <c r="BB2153" i="1"/>
  <c r="BB2154" i="1"/>
  <c r="BB1129" i="1"/>
  <c r="BB1873" i="1"/>
  <c r="BB2157" i="1"/>
  <c r="BB1281" i="1"/>
  <c r="BB2159" i="1"/>
  <c r="BB2160" i="1"/>
  <c r="BB2161" i="1"/>
  <c r="BB2162" i="1"/>
  <c r="BB2163" i="1"/>
  <c r="BB2164" i="1"/>
  <c r="BB2165" i="1"/>
  <c r="BB1890" i="1"/>
  <c r="BB2167" i="1"/>
  <c r="BB2168" i="1"/>
  <c r="BB1282" i="1"/>
  <c r="BB2170" i="1"/>
  <c r="BB2171" i="1"/>
  <c r="BB1889" i="1"/>
  <c r="BB2173" i="1"/>
  <c r="BB2174" i="1"/>
  <c r="BB2175" i="1"/>
  <c r="BB1896" i="1"/>
  <c r="BB2177" i="1"/>
  <c r="BB2178" i="1"/>
  <c r="BB1283" i="1"/>
  <c r="BB2180" i="1"/>
  <c r="BB2181" i="1"/>
  <c r="BB2182" i="1"/>
  <c r="BB2183" i="1"/>
  <c r="BB1874" i="1"/>
  <c r="BB2185" i="1"/>
  <c r="BB2186" i="1"/>
  <c r="BB1876" i="1"/>
  <c r="BB2188" i="1"/>
  <c r="BB2189" i="1"/>
  <c r="BB2190" i="1"/>
  <c r="BB1899" i="1"/>
  <c r="BB1877" i="1"/>
  <c r="BB1897" i="1"/>
  <c r="BB1875" i="1"/>
  <c r="BB1603" i="1"/>
  <c r="BB2196" i="1"/>
  <c r="BB1130" i="1"/>
  <c r="BB2198" i="1"/>
  <c r="BB727" i="1"/>
  <c r="BB1284" i="1"/>
  <c r="BB1990" i="1"/>
  <c r="BB1898" i="1"/>
  <c r="BB1900" i="1"/>
  <c r="BB1285" i="1"/>
  <c r="BB729" i="1"/>
  <c r="BB1286" i="1"/>
  <c r="BB1278" i="1"/>
  <c r="BB1287" i="1"/>
  <c r="BB1988" i="1"/>
  <c r="BB1288" i="1"/>
  <c r="BB1102" i="1"/>
  <c r="BB1602" i="1"/>
  <c r="BB2213" i="1"/>
  <c r="BB1131" i="1"/>
  <c r="BB1289" i="1"/>
  <c r="BB1111" i="1"/>
  <c r="BB1290" i="1"/>
  <c r="BB2218" i="1"/>
  <c r="BB1991" i="1"/>
  <c r="BB1112" i="1"/>
  <c r="BB1291" i="1"/>
  <c r="BB1279" i="1"/>
  <c r="BB1132" i="1"/>
  <c r="BB1133" i="1"/>
  <c r="BB1116" i="1"/>
  <c r="BB1117" i="1"/>
  <c r="BB1118" i="1"/>
  <c r="BB2228" i="1"/>
  <c r="BB1292" i="1"/>
  <c r="BB1119" i="1"/>
  <c r="BB1134" i="1"/>
  <c r="BB1135" i="1"/>
  <c r="BB1120" i="1"/>
  <c r="BB730" i="1"/>
  <c r="BB1407" i="1"/>
  <c r="BB728" i="1"/>
  <c r="BB1280" i="1"/>
  <c r="BB1121" i="1"/>
  <c r="BB1122" i="1"/>
  <c r="BB1136" i="1"/>
  <c r="BB1408" i="1"/>
  <c r="BB1409" i="1"/>
  <c r="BB1410" i="1"/>
  <c r="BB1992" i="1"/>
  <c r="BB1411" i="1"/>
  <c r="BB726" i="1"/>
  <c r="BB1412" i="1"/>
  <c r="BB1123" i="1"/>
  <c r="BB1413" i="1"/>
  <c r="BB2250" i="1"/>
  <c r="BB2251" i="1"/>
  <c r="BB1364" i="1"/>
  <c r="BB1113" i="1"/>
  <c r="BB1402" i="1"/>
  <c r="BB1989" i="1"/>
  <c r="BB2120" i="1"/>
  <c r="BB1414" i="1"/>
  <c r="BB1403" i="1"/>
  <c r="BB1114" i="1"/>
  <c r="BB1124" i="1"/>
  <c r="BB1601" i="1"/>
  <c r="BB1415" i="1"/>
  <c r="BB1404" i="1"/>
  <c r="BB1592" i="1"/>
  <c r="BB1591" i="1"/>
  <c r="BB1405" i="1"/>
  <c r="BB2109" i="1"/>
  <c r="BB2111" i="1"/>
  <c r="BB2269" i="1"/>
  <c r="BB1593" i="1"/>
  <c r="BB1115" i="1"/>
  <c r="BB1137" i="1"/>
  <c r="BB1406" i="1"/>
  <c r="BB1126" i="1"/>
  <c r="BB1127" i="1"/>
  <c r="BB2276" i="1"/>
  <c r="BB1138" i="1"/>
  <c r="BB1139" i="1"/>
  <c r="BB1125" i="1"/>
  <c r="BB2280" i="1"/>
  <c r="BB2281" i="1"/>
  <c r="BB2282" i="1"/>
  <c r="BB2283" i="1"/>
  <c r="BB2284" i="1"/>
  <c r="BB2285" i="1"/>
  <c r="BB2286" i="1"/>
  <c r="BB2287" i="1"/>
  <c r="BB2288" i="1"/>
  <c r="BB2289" i="1"/>
  <c r="BB2290" i="1"/>
  <c r="BB2291" i="1"/>
  <c r="BB2292" i="1"/>
  <c r="BB2293" i="1"/>
  <c r="BB2294" i="1"/>
  <c r="BB2295" i="1"/>
  <c r="BB2296" i="1"/>
  <c r="BB2297" i="1"/>
  <c r="BB2298" i="1"/>
  <c r="BB2299" i="1"/>
  <c r="BB2300" i="1"/>
  <c r="BB2301" i="1"/>
  <c r="BB2302" i="1"/>
  <c r="BB2303" i="1"/>
  <c r="BB2304" i="1"/>
  <c r="BB2305" i="1"/>
  <c r="BB2306" i="1"/>
  <c r="BB2307" i="1"/>
  <c r="BB2308" i="1"/>
  <c r="BB2309" i="1"/>
  <c r="BB2310" i="1"/>
  <c r="BB2311" i="1"/>
  <c r="BB2312" i="1"/>
  <c r="BB2313" i="1"/>
  <c r="BB2314" i="1"/>
  <c r="BB2315" i="1"/>
  <c r="BB2316" i="1"/>
  <c r="BB2317" i="1"/>
  <c r="BB2318" i="1"/>
  <c r="BB2319" i="1"/>
  <c r="BB2320" i="1"/>
  <c r="BB2321" i="1"/>
  <c r="BB2322" i="1"/>
  <c r="BB2323" i="1"/>
  <c r="BB2324" i="1"/>
  <c r="BB2325" i="1"/>
  <c r="BB2326" i="1"/>
  <c r="BB2327" i="1"/>
  <c r="BB2328" i="1"/>
  <c r="BB2329" i="1"/>
  <c r="BB2330" i="1"/>
  <c r="BB2331" i="1"/>
  <c r="BB2332" i="1"/>
  <c r="BB3" i="1"/>
  <c r="BB4" i="1"/>
  <c r="BB5" i="1"/>
  <c r="BB6" i="1"/>
  <c r="BB2279" i="1"/>
  <c r="BB2277" i="1"/>
  <c r="BB2278" i="1"/>
  <c r="BB1507" i="1"/>
  <c r="BB14" i="1"/>
  <c r="BB1508" i="1"/>
  <c r="BB2209" i="1"/>
  <c r="BB1506" i="1"/>
  <c r="BB2211" i="1"/>
  <c r="BB12" i="1"/>
  <c r="BB13" i="1"/>
  <c r="BB2210" i="1"/>
  <c r="BB19" i="1"/>
  <c r="BB20" i="1"/>
  <c r="BB21" i="1"/>
  <c r="BB22" i="1"/>
  <c r="BB23" i="1"/>
  <c r="BB24" i="1"/>
  <c r="BB25" i="1"/>
  <c r="BB26" i="1"/>
  <c r="BB27" i="1"/>
  <c r="BB1430" i="1"/>
  <c r="BB29" i="1"/>
  <c r="BB1429" i="1"/>
  <c r="BB14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222" i="1"/>
  <c r="BB220" i="1"/>
  <c r="BB759" i="1"/>
  <c r="BB221" i="1"/>
  <c r="BB761" i="1"/>
  <c r="BB760" i="1"/>
  <c r="BB195" i="1"/>
  <c r="BB196" i="1"/>
  <c r="BB197" i="1"/>
  <c r="BB198" i="1"/>
  <c r="BB1275" i="1"/>
  <c r="BB200" i="1"/>
  <c r="BB201" i="1"/>
  <c r="BB1276" i="1"/>
  <c r="BB203" i="1"/>
  <c r="BB204" i="1"/>
  <c r="BB205" i="1"/>
  <c r="BB1277" i="1"/>
  <c r="BB271" i="1"/>
  <c r="BB270" i="1"/>
  <c r="BB1039" i="1"/>
  <c r="BB1040" i="1"/>
  <c r="BB692" i="1"/>
  <c r="BB269" i="1"/>
  <c r="BB693" i="1"/>
  <c r="BB762" i="1"/>
  <c r="BB1041" i="1"/>
  <c r="BB763" i="1"/>
  <c r="BB290" i="1"/>
  <c r="BB291" i="1"/>
  <c r="BB764" i="1"/>
  <c r="BB289" i="1"/>
  <c r="BB691" i="1"/>
  <c r="BB275" i="1"/>
  <c r="BB2274" i="1"/>
  <c r="BB2275" i="1"/>
  <c r="BB2273" i="1"/>
  <c r="BB277" i="1"/>
  <c r="BB276"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699" i="1"/>
  <c r="BB783" i="1"/>
  <c r="BB784" i="1"/>
  <c r="BB1177" i="1"/>
  <c r="BB782" i="1"/>
  <c r="BB698" i="1"/>
  <c r="BB697" i="1"/>
  <c r="BB1178" i="1"/>
  <c r="BB1179" i="1"/>
  <c r="BB2265" i="1"/>
  <c r="BB2263" i="1"/>
  <c r="BB2266" i="1"/>
  <c r="BB1982" i="1"/>
  <c r="BB1984" i="1"/>
  <c r="BB1985" i="1"/>
  <c r="BB2264" i="1"/>
  <c r="BB2267" i="1"/>
  <c r="BB2268" i="1"/>
  <c r="BB1983" i="1"/>
  <c r="BB1986" i="1"/>
  <c r="BB1987" i="1"/>
  <c r="BB2241" i="1"/>
  <c r="BB2261" i="1"/>
  <c r="BB846" i="1"/>
  <c r="BB847" i="1"/>
  <c r="BB2262" i="1"/>
  <c r="BB850" i="1"/>
  <c r="BB1901" i="1"/>
  <c r="BB2242" i="1"/>
  <c r="BB851" i="1"/>
  <c r="BB2245" i="1"/>
  <c r="BB848" i="1"/>
  <c r="BB852" i="1"/>
  <c r="BB853" i="1"/>
  <c r="BB1902" i="1"/>
  <c r="BB849" i="1"/>
  <c r="BB2246" i="1"/>
  <c r="BB2247" i="1"/>
  <c r="BB2243" i="1"/>
  <c r="BB2248" i="1"/>
  <c r="BB2244"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1488" i="1"/>
  <c r="BB1485" i="1"/>
  <c r="BB1489" i="1"/>
  <c r="BB1486" i="1"/>
  <c r="BB1487" i="1"/>
  <c r="BB342" i="1"/>
  <c r="BB343" i="1"/>
  <c r="BB344" i="1"/>
  <c r="BB345" i="1"/>
  <c r="BB346" i="1"/>
  <c r="BB347" i="1"/>
  <c r="BB892" i="1"/>
  <c r="BB893" i="1"/>
  <c r="BB543" i="1"/>
  <c r="BB545" i="1"/>
  <c r="BB546" i="1"/>
  <c r="BB544" i="1"/>
  <c r="BB566" i="1"/>
  <c r="BB541" i="1"/>
  <c r="BB569" i="1"/>
  <c r="BB886" i="1"/>
  <c r="BB887" i="1"/>
  <c r="BB31" i="1"/>
  <c r="BB189" i="1"/>
  <c r="BB192" i="1"/>
  <c r="BB193" i="1"/>
  <c r="BB194" i="1"/>
  <c r="BB199" i="1"/>
  <c r="BB190" i="1"/>
  <c r="BB542" i="1"/>
  <c r="BB191" i="1"/>
  <c r="BB888" i="1"/>
  <c r="BB889" i="1"/>
  <c r="BB890" i="1"/>
  <c r="BB89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1776" i="1"/>
  <c r="BB2128" i="1"/>
  <c r="BB1838" i="1"/>
  <c r="BB1837" i="1"/>
  <c r="BB1787" i="1"/>
  <c r="BB1775" i="1"/>
  <c r="BB1734" i="1"/>
  <c r="BB1786" i="1"/>
  <c r="BB2125" i="1"/>
  <c r="BB1839" i="1"/>
  <c r="BB2127" i="1"/>
  <c r="BB1788" i="1"/>
  <c r="BB1504" i="1"/>
  <c r="BB1505" i="1"/>
  <c r="BB1503" i="1"/>
  <c r="BB1501" i="1"/>
  <c r="BB2204" i="1"/>
  <c r="BB2205" i="1"/>
  <c r="BB1502" i="1"/>
  <c r="BB2207" i="1"/>
  <c r="BB2208" i="1"/>
  <c r="BB2206" i="1"/>
  <c r="BB547" i="1"/>
  <c r="BB548" i="1"/>
  <c r="BB549" i="1"/>
  <c r="BB550" i="1"/>
  <c r="BB551" i="1"/>
  <c r="BB552" i="1"/>
  <c r="BB553" i="1"/>
  <c r="BB554" i="1"/>
  <c r="BB555" i="1"/>
  <c r="BB556" i="1"/>
  <c r="BB557" i="1"/>
  <c r="BB558" i="1"/>
  <c r="BB559" i="1"/>
  <c r="BB560" i="1"/>
  <c r="BB561" i="1"/>
  <c r="BB562" i="1"/>
  <c r="BB563" i="1"/>
  <c r="BB564" i="1"/>
  <c r="BB565" i="1"/>
  <c r="BB751" i="1"/>
  <c r="BB567" i="1"/>
  <c r="BB568" i="1"/>
  <c r="BB752" i="1"/>
  <c r="BB570" i="1"/>
  <c r="BB753" i="1"/>
  <c r="BB677" i="1"/>
  <c r="BB573" i="1"/>
  <c r="BB574" i="1"/>
  <c r="BB678" i="1"/>
  <c r="BB576" i="1"/>
  <c r="BB577" i="1"/>
  <c r="BB578" i="1"/>
  <c r="BB579" i="1"/>
  <c r="BB679"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1420" i="1"/>
  <c r="BB1421" i="1"/>
  <c r="BB1422" i="1"/>
  <c r="BB1418" i="1"/>
  <c r="BB1423" i="1"/>
  <c r="BB1416" i="1"/>
  <c r="BB1417" i="1"/>
  <c r="BB1419"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1892" i="1"/>
  <c r="BB1891" i="1"/>
  <c r="BB1795" i="1"/>
  <c r="BB1796" i="1"/>
  <c r="BB1794" i="1"/>
  <c r="BB1893" i="1"/>
  <c r="BB1797" i="1"/>
  <c r="BB1894" i="1"/>
  <c r="BB1798" i="1"/>
  <c r="BB1895" i="1"/>
  <c r="BB1045" i="1"/>
  <c r="BB1059" i="1"/>
  <c r="BB1520" i="1"/>
  <c r="BB1046" i="1"/>
  <c r="BB1056" i="1"/>
  <c r="BB1060" i="1"/>
  <c r="BB1061" i="1"/>
  <c r="BB1521" i="1"/>
  <c r="BB1522" i="1"/>
  <c r="BB1057" i="1"/>
  <c r="BB1530" i="1"/>
  <c r="BB1531" i="1"/>
  <c r="BB1523" i="1"/>
  <c r="BB1532" i="1"/>
  <c r="BB1524" i="1"/>
  <c r="BB1062" i="1"/>
  <c r="BB1525" i="1"/>
  <c r="BB1058" i="1"/>
  <c r="BB1526" i="1"/>
  <c r="BB1527" i="1"/>
  <c r="BB1533" i="1"/>
  <c r="BB1528" i="1"/>
  <c r="BB1570" i="1"/>
  <c r="BB708" i="1"/>
  <c r="BB1571" i="1"/>
  <c r="BB709" i="1"/>
  <c r="BB703" i="1"/>
  <c r="BB704" i="1"/>
  <c r="BB705" i="1"/>
  <c r="BB710" i="1"/>
  <c r="BB711" i="1"/>
  <c r="BB770" i="1"/>
  <c r="BB707" i="1"/>
  <c r="BB1180" i="1"/>
  <c r="BB706" i="1"/>
  <c r="BB1184" i="1"/>
  <c r="BB1185" i="1"/>
  <c r="BB771" i="1"/>
  <c r="BB1186" i="1"/>
  <c r="BB1187" i="1"/>
  <c r="BB1181" i="1"/>
  <c r="BB765" i="1"/>
  <c r="BB766" i="1"/>
  <c r="BB1182" i="1"/>
  <c r="BB767" i="1"/>
  <c r="BB768" i="1"/>
  <c r="BB1188" i="1"/>
  <c r="BB772" i="1"/>
  <c r="BB1183" i="1"/>
  <c r="BB769" i="1"/>
  <c r="BB773" i="1"/>
  <c r="BB1572" i="1"/>
  <c r="BB1529" i="1"/>
  <c r="BB1573" i="1"/>
  <c r="BB740" i="1"/>
  <c r="BB741" i="1"/>
  <c r="BB742" i="1"/>
  <c r="BB743" i="1"/>
  <c r="BB744" i="1"/>
  <c r="BB745" i="1"/>
  <c r="BB746" i="1"/>
  <c r="BB747" i="1"/>
  <c r="BB748" i="1"/>
  <c r="BB1492" i="1"/>
  <c r="BB1491" i="1"/>
  <c r="BB1434" i="1"/>
  <c r="BB1199" i="1"/>
  <c r="BB1198" i="1"/>
  <c r="BB1433" i="1"/>
  <c r="BB724" i="1"/>
  <c r="BB725" i="1"/>
  <c r="BB735" i="1"/>
  <c r="BB694" i="1"/>
  <c r="BB696" i="1"/>
  <c r="BB695" i="1"/>
  <c r="BB723" i="1"/>
  <c r="BB1197" i="1"/>
  <c r="BB734" i="1"/>
  <c r="BB1490" i="1"/>
  <c r="BB1432" i="1"/>
  <c r="BB736" i="1"/>
  <c r="BB341" i="1"/>
  <c r="BB1438" i="1"/>
  <c r="BB366" i="1"/>
  <c r="BB1207" i="1"/>
  <c r="BB367" i="1"/>
  <c r="BB365" i="1"/>
  <c r="BB1206" i="1"/>
  <c r="BB865" i="1"/>
  <c r="BB863" i="1"/>
  <c r="BB864" i="1"/>
  <c r="BB348" i="1"/>
  <c r="BB349" i="1"/>
  <c r="BB857" i="1"/>
  <c r="BB858" i="1"/>
  <c r="BB859" i="1"/>
  <c r="BB1274" i="1"/>
  <c r="BB1439" i="1"/>
  <c r="BB14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2217" i="1"/>
  <c r="BB2212" i="1"/>
  <c r="BB2231" i="1"/>
  <c r="BB2226" i="1"/>
  <c r="BB2134" i="1"/>
  <c r="BB2156" i="1"/>
  <c r="BB2249" i="1"/>
  <c r="BB2137" i="1"/>
  <c r="BB2234" i="1"/>
  <c r="BB2255" i="1"/>
  <c r="BB2158" i="1"/>
  <c r="BB2238" i="1"/>
  <c r="BB2227" i="1"/>
  <c r="BB2219" i="1"/>
  <c r="BB2007" i="1"/>
  <c r="BB2252" i="1"/>
  <c r="BB1993" i="1"/>
  <c r="BB2030" i="1"/>
  <c r="BB2214" i="1"/>
  <c r="BB2192" i="1"/>
  <c r="BB2235" i="1"/>
  <c r="BB2193" i="1"/>
  <c r="BB2138" i="1"/>
  <c r="BB2239" i="1"/>
  <c r="BB2179" i="1"/>
  <c r="BB1994" i="1"/>
  <c r="BB2140" i="1"/>
  <c r="BB2031" i="1"/>
  <c r="BB2184" i="1"/>
  <c r="BB2232" i="1"/>
  <c r="BB2220" i="1"/>
  <c r="BB2166" i="1"/>
  <c r="BB2229" i="1"/>
  <c r="BB2194" i="1"/>
  <c r="BB2169" i="1"/>
  <c r="BB2236" i="1"/>
  <c r="BB2253" i="1"/>
  <c r="BB2215" i="1"/>
  <c r="BB2187" i="1"/>
  <c r="BB2233" i="1"/>
  <c r="BB2005" i="1"/>
  <c r="BB2006" i="1"/>
  <c r="BB2240" i="1"/>
  <c r="BB2191" i="1"/>
  <c r="BB2141" i="1"/>
  <c r="BB2143" i="1"/>
  <c r="BB2172" i="1"/>
  <c r="BB2176" i="1"/>
  <c r="BB2150" i="1"/>
  <c r="BB2230" i="1"/>
  <c r="BB2216" i="1"/>
  <c r="BB2237" i="1"/>
  <c r="BB2155" i="1"/>
  <c r="BB2256" i="1"/>
  <c r="BB2257" i="1"/>
  <c r="BB2254"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1070" i="1"/>
  <c r="BB1074" i="1"/>
  <c r="BB1075" i="1"/>
  <c r="BB1076" i="1"/>
  <c r="BB1072" i="1"/>
  <c r="BB1358" i="1"/>
  <c r="BB1359" i="1"/>
  <c r="BB1077" i="1"/>
  <c r="BB1847" i="1"/>
  <c r="BB1849" i="1"/>
  <c r="BB1360" i="1"/>
  <c r="BB1850" i="1"/>
  <c r="BB1361" i="1"/>
  <c r="BB1073" i="1"/>
  <c r="BB1851" i="1"/>
  <c r="BB1071" i="1"/>
  <c r="BB1852" i="1"/>
  <c r="BB1362" i="1"/>
  <c r="BB1848" i="1"/>
  <c r="BB1845" i="1"/>
  <c r="BB1363" i="1"/>
  <c r="BB1356" i="1"/>
  <c r="BB1846" i="1"/>
  <c r="BB1357" i="1"/>
  <c r="BB876" i="1"/>
  <c r="BB877" i="1"/>
  <c r="BB878" i="1"/>
  <c r="BB875" i="1"/>
  <c r="BB872" i="1"/>
  <c r="BB873" i="1"/>
  <c r="BB1067" i="1"/>
  <c r="BB2195" i="1"/>
  <c r="BB874" i="1"/>
  <c r="BB1068" i="1"/>
  <c r="BB2197" i="1"/>
  <c r="BB1063" i="1"/>
  <c r="BB1064" i="1"/>
  <c r="BB1066" i="1"/>
  <c r="BB1069" i="1"/>
  <c r="BB2199" i="1"/>
  <c r="BB1065" i="1"/>
  <c r="BB2201" i="1"/>
  <c r="BB2202" i="1"/>
  <c r="BB2203" i="1"/>
  <c r="BB2200" i="1"/>
  <c r="BB1021" i="1"/>
  <c r="BB1022" i="1"/>
  <c r="BB1023" i="1"/>
  <c r="BB1024" i="1"/>
  <c r="BB1025" i="1"/>
  <c r="BB1026" i="1"/>
  <c r="BB1027" i="1"/>
  <c r="BB1028" i="1"/>
  <c r="BB1029" i="1"/>
  <c r="BB1030" i="1"/>
  <c r="BB1031" i="1"/>
  <c r="BB1032" i="1"/>
  <c r="BB1033" i="1"/>
  <c r="BB1034" i="1"/>
  <c r="BB1716" i="1"/>
  <c r="BB1717" i="1"/>
  <c r="BB1718" i="1"/>
  <c r="BB856" i="1"/>
  <c r="BB28" i="1"/>
  <c r="BB17" i="1"/>
  <c r="BB15" i="1"/>
  <c r="BB854" i="1"/>
  <c r="BB16" i="1"/>
  <c r="BB30" i="1"/>
  <c r="BB855" i="1"/>
  <c r="BB18" i="1"/>
  <c r="BB1047" i="1"/>
  <c r="BB1048" i="1"/>
  <c r="BB1049" i="1"/>
  <c r="BB1050" i="1"/>
  <c r="BB1051" i="1"/>
  <c r="BB1052" i="1"/>
  <c r="BB1053" i="1"/>
  <c r="BB1054" i="1"/>
  <c r="BB1055" i="1"/>
  <c r="BB1512" i="1"/>
  <c r="BB1514" i="1"/>
  <c r="BB1515" i="1"/>
  <c r="BB1516" i="1"/>
  <c r="BB1517" i="1"/>
  <c r="BB1518" i="1"/>
  <c r="BB1149" i="1"/>
  <c r="BB1140" i="1"/>
  <c r="BB1150" i="1"/>
  <c r="BB1153" i="1"/>
  <c r="BB1155" i="1"/>
  <c r="BB1519" i="1"/>
  <c r="BB1513" i="1"/>
  <c r="BB1509" i="1"/>
  <c r="BB1141" i="1"/>
  <c r="BB1175" i="1"/>
  <c r="BB1143" i="1"/>
  <c r="BB1510" i="1"/>
  <c r="BB1176" i="1"/>
  <c r="BB1142" i="1"/>
  <c r="BB1145" i="1"/>
  <c r="BB1511" i="1"/>
  <c r="BB1078" i="1"/>
  <c r="BB1079" i="1"/>
  <c r="BB1080" i="1"/>
  <c r="BB1081" i="1"/>
  <c r="BB1082" i="1"/>
  <c r="BB1083" i="1"/>
  <c r="BB1084" i="1"/>
  <c r="BB1085" i="1"/>
  <c r="BB1086" i="1"/>
  <c r="BB1087" i="1"/>
  <c r="BB1088" i="1"/>
  <c r="BB1089" i="1"/>
  <c r="BB1090" i="1"/>
  <c r="BB1091" i="1"/>
  <c r="BB1092" i="1"/>
  <c r="BB1093" i="1"/>
  <c r="BB213" i="1"/>
  <c r="BB1036" i="1"/>
  <c r="BB1038" i="1"/>
  <c r="BB303" i="1"/>
  <c r="BB212" i="1"/>
  <c r="BB214" i="1"/>
  <c r="BB305" i="1"/>
  <c r="BB304" i="1"/>
  <c r="BB1037" i="1"/>
  <c r="BB1103" i="1"/>
  <c r="BB1104" i="1"/>
  <c r="BB1105" i="1"/>
  <c r="BB1106" i="1"/>
  <c r="BB1107" i="1"/>
  <c r="BB1108" i="1"/>
  <c r="BB1109" i="1"/>
  <c r="BB1110" i="1"/>
  <c r="BB733" i="1"/>
  <c r="BB901" i="1"/>
  <c r="BB732" i="1"/>
  <c r="BB731" i="1"/>
  <c r="BB976" i="1"/>
  <c r="BB977" i="1"/>
  <c r="BB900" i="1"/>
  <c r="BB978" i="1"/>
  <c r="BB979" i="1"/>
  <c r="BB358" i="1"/>
  <c r="BB1604" i="1"/>
  <c r="BB1617" i="1"/>
  <c r="BB1605" i="1"/>
  <c r="BB1618" i="1"/>
  <c r="BB1619" i="1"/>
  <c r="BB1606" i="1"/>
  <c r="BB612" i="1"/>
  <c r="BB613" i="1"/>
  <c r="BB614" i="1"/>
  <c r="BB362" i="1"/>
  <c r="BB610" i="1"/>
  <c r="BB615" i="1"/>
  <c r="BB676" i="1"/>
  <c r="BB1616" i="1"/>
  <c r="BB611" i="1"/>
  <c r="BB359" i="1"/>
  <c r="BB360" i="1"/>
  <c r="BB361" i="1"/>
  <c r="BB363" i="1"/>
  <c r="BB364" i="1"/>
  <c r="BB2085" i="1"/>
  <c r="BB2092" i="1"/>
  <c r="BB2098" i="1"/>
  <c r="BB1144" i="1"/>
  <c r="BB2107" i="1"/>
  <c r="BB1146" i="1"/>
  <c r="BB1147" i="1"/>
  <c r="BB1148" i="1"/>
  <c r="BB2082" i="1"/>
  <c r="BB2075" i="1"/>
  <c r="BB1151" i="1"/>
  <c r="BB1152" i="1"/>
  <c r="BB2079" i="1"/>
  <c r="BB1154" i="1"/>
  <c r="BB2084" i="1"/>
  <c r="BB1156" i="1"/>
  <c r="BB1157" i="1"/>
  <c r="BB1158" i="1"/>
  <c r="BB1159" i="1"/>
  <c r="BB1160" i="1"/>
  <c r="BB1161" i="1"/>
  <c r="BB1162" i="1"/>
  <c r="BB1163" i="1"/>
  <c r="BB1164" i="1"/>
  <c r="BB1165" i="1"/>
  <c r="BB1166" i="1"/>
  <c r="BB1167" i="1"/>
  <c r="BB1168" i="1"/>
  <c r="BB1169" i="1"/>
  <c r="BB1170" i="1"/>
  <c r="BB1171" i="1"/>
  <c r="BB1172" i="1"/>
  <c r="BB1173" i="1"/>
  <c r="BB1174" i="1"/>
  <c r="BB338" i="1"/>
  <c r="BB280" i="1"/>
  <c r="BB281" i="1"/>
  <c r="BB339" i="1"/>
  <c r="BB340" i="1"/>
  <c r="BB278" i="1"/>
  <c r="BB282" i="1"/>
  <c r="BB279" i="1"/>
  <c r="BB356" i="1"/>
  <c r="BB357" i="1"/>
  <c r="BB353" i="1"/>
  <c r="BB355" i="1"/>
  <c r="BB354" i="1"/>
  <c r="BB306" i="1"/>
  <c r="BB337" i="1"/>
  <c r="BB218" i="1"/>
  <c r="BB216" i="1"/>
  <c r="BB268" i="1"/>
  <c r="BB530" i="1"/>
  <c r="BB532" i="1"/>
  <c r="BB531" i="1"/>
  <c r="BB219" i="1"/>
  <c r="BB215" i="1"/>
  <c r="BB217" i="1"/>
  <c r="BB352" i="1"/>
  <c r="BB776" i="1"/>
  <c r="BB351" i="1"/>
  <c r="BB350" i="1"/>
  <c r="BB896" i="1"/>
  <c r="BB775" i="1"/>
  <c r="BB894" i="1"/>
  <c r="BB895" i="1"/>
  <c r="BB774" i="1"/>
  <c r="BB1208" i="1"/>
  <c r="BB1209" i="1"/>
  <c r="BB1210" i="1"/>
  <c r="BB1211" i="1"/>
  <c r="BB1212" i="1"/>
  <c r="BB1213" i="1"/>
  <c r="BB1214" i="1"/>
  <c r="BB1215" i="1"/>
  <c r="BB1216" i="1"/>
  <c r="BB1217" i="1"/>
  <c r="BB1218" i="1"/>
  <c r="BB1219" i="1"/>
  <c r="BB1220" i="1"/>
  <c r="BB1221" i="1"/>
  <c r="BB1222" i="1"/>
  <c r="BB1223" i="1"/>
  <c r="BB1224" i="1"/>
  <c r="BB1225" i="1"/>
  <c r="BB1226" i="1"/>
  <c r="BB1227" i="1"/>
  <c r="BB1228" i="1"/>
  <c r="BB1229" i="1"/>
  <c r="BB1230" i="1"/>
  <c r="BB1231" i="1"/>
  <c r="BB1232" i="1"/>
  <c r="BB1233" i="1"/>
  <c r="BB1234" i="1"/>
  <c r="BB1235" i="1"/>
  <c r="BB1236" i="1"/>
  <c r="BB1237" i="1"/>
  <c r="BB1238" i="1"/>
  <c r="BB1239" i="1"/>
  <c r="BB1240" i="1"/>
  <c r="BB1241" i="1"/>
  <c r="BB1242" i="1"/>
  <c r="BB1243" i="1"/>
  <c r="BB1244" i="1"/>
  <c r="BB1245" i="1"/>
  <c r="BB1246" i="1"/>
  <c r="BB1247" i="1"/>
  <c r="BB1248" i="1"/>
  <c r="BB1249" i="1"/>
  <c r="BB1250" i="1"/>
  <c r="BB1251" i="1"/>
  <c r="BB1252" i="1"/>
  <c r="BB1253" i="1"/>
  <c r="BB1254" i="1"/>
  <c r="BB1255" i="1"/>
  <c r="BB1256" i="1"/>
  <c r="BB1257" i="1"/>
  <c r="BB1258" i="1"/>
  <c r="BB1259" i="1"/>
  <c r="BB1260" i="1"/>
  <c r="BB1261" i="1"/>
  <c r="BB1262" i="1"/>
  <c r="BB1263" i="1"/>
  <c r="BB1264" i="1"/>
  <c r="BB1265" i="1"/>
  <c r="BB1266" i="1"/>
  <c r="BB1267" i="1"/>
  <c r="BB1268" i="1"/>
  <c r="BB1269" i="1"/>
  <c r="BB1270" i="1"/>
  <c r="BB1271" i="1"/>
  <c r="BB1272" i="1"/>
  <c r="BB1273" i="1"/>
  <c r="BB1579" i="1"/>
  <c r="BB749" i="1"/>
  <c r="BB737" i="1"/>
  <c r="BB738" i="1"/>
  <c r="BB1576" i="1"/>
  <c r="BB1580" i="1"/>
  <c r="BB750" i="1"/>
  <c r="BB1577" i="1"/>
  <c r="BB1581" i="1"/>
  <c r="BB1582" i="1"/>
  <c r="BB1583" i="1"/>
  <c r="BB1097" i="1"/>
  <c r="BB1094" i="1"/>
  <c r="BB1098" i="1"/>
  <c r="BB1095" i="1"/>
  <c r="BB1096" i="1"/>
  <c r="BB226" i="1"/>
  <c r="BB208" i="1"/>
  <c r="BB209" i="1"/>
  <c r="BB266" i="1"/>
  <c r="BB210" i="1"/>
  <c r="BB202" i="1"/>
  <c r="BB206" i="1"/>
  <c r="BB267" i="1"/>
  <c r="BB1584" i="1"/>
  <c r="BB207" i="1"/>
  <c r="B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tc={EE2D119D-FA23-46EB-BA48-5CD8284AD1F6}</author>
  </authors>
  <commentList>
    <comment ref="BA1" authorId="0" shapeId="0" xr:uid="{EE2D119D-FA23-46EB-BA48-5CD8284AD1F6}">
      <text>
        <t>[Threaded comment]
Your version of Excel allows you to read this threaded comment; however, any edits to it will get removed if the file is opened in a newer version of Excel. Learn more: https://go.microsoft.com/fwlink/?linkid=870924
Comment:
    Just secondary</t>
      </text>
    </comment>
  </commentList>
</comments>
</file>

<file path=xl/sharedStrings.xml><?xml version="1.0" encoding="utf-8"?>
<sst xmlns="http://schemas.openxmlformats.org/spreadsheetml/2006/main" count="71438" uniqueCount="1139">
  <si>
    <t>Title</t>
  </si>
  <si>
    <t>Journal</t>
  </si>
  <si>
    <t>Family</t>
  </si>
  <si>
    <t>Species</t>
  </si>
  <si>
    <t>ClimaticZone</t>
  </si>
  <si>
    <t xml:space="preserve">Climatic </t>
  </si>
  <si>
    <t>Habitat</t>
  </si>
  <si>
    <t>LifeStage</t>
  </si>
  <si>
    <t>WildType</t>
  </si>
  <si>
    <t>Development</t>
  </si>
  <si>
    <t>CO2Treatment</t>
  </si>
  <si>
    <t>TempTreatment</t>
  </si>
  <si>
    <t>CO2ppmCS.E.</t>
  </si>
  <si>
    <t>CO2ppmC S.D.</t>
  </si>
  <si>
    <t>pH scale</t>
  </si>
  <si>
    <t>pH C</t>
  </si>
  <si>
    <t>pH C S.E.</t>
  </si>
  <si>
    <t>pH C S.D.</t>
  </si>
  <si>
    <t>CO2ppmI S.E.</t>
  </si>
  <si>
    <t>CO2ppmI S.D.</t>
  </si>
  <si>
    <t>Ph I</t>
  </si>
  <si>
    <t>Ph I S.E.</t>
  </si>
  <si>
    <t>Ph I S.D.</t>
  </si>
  <si>
    <t>TempC</t>
  </si>
  <si>
    <t>TempC S.E.</t>
  </si>
  <si>
    <t>TempC S.D.</t>
  </si>
  <si>
    <t>TempI S.E.</t>
  </si>
  <si>
    <t>TempI S.D.</t>
  </si>
  <si>
    <t>DiffpCO2</t>
  </si>
  <si>
    <t>DiffT</t>
  </si>
  <si>
    <t>Other Factor</t>
  </si>
  <si>
    <t>Metric</t>
  </si>
  <si>
    <t>Metric Type</t>
  </si>
  <si>
    <t>Unit</t>
  </si>
  <si>
    <t>Level</t>
  </si>
  <si>
    <t>ControlMeanTransformed</t>
  </si>
  <si>
    <t>ControlSE</t>
  </si>
  <si>
    <t xml:space="preserve">TreatmentMeanTransformed </t>
  </si>
  <si>
    <t>TreatmentSE</t>
  </si>
  <si>
    <t>AcclimationDays</t>
  </si>
  <si>
    <t>NbTank</t>
  </si>
  <si>
    <t>ei</t>
  </si>
  <si>
    <t>vei</t>
  </si>
  <si>
    <t>in</t>
  </si>
  <si>
    <t>Christensen AB, Nguyen HD, Byrne M</t>
  </si>
  <si>
    <t>Journal of Experimental Marine Biology and Ecology</t>
  </si>
  <si>
    <t>Echinodermata</t>
  </si>
  <si>
    <t>Ophionereididae</t>
  </si>
  <si>
    <t>Ophionereis schayeri</t>
  </si>
  <si>
    <t>Temperate</t>
  </si>
  <si>
    <t>benthic</t>
  </si>
  <si>
    <t>ADULT</t>
  </si>
  <si>
    <t>YES</t>
  </si>
  <si>
    <t>LARVAL</t>
  </si>
  <si>
    <t>NO</t>
  </si>
  <si>
    <t>pH</t>
  </si>
  <si>
    <t>NA</t>
  </si>
  <si>
    <t>NBS</t>
  </si>
  <si>
    <t>MO2</t>
  </si>
  <si>
    <t>Oxygen consumption rate</t>
  </si>
  <si>
    <t>ambiguous</t>
  </si>
  <si>
    <t>mgO2 g-1 h-1</t>
  </si>
  <si>
    <t>Routine respiration</t>
  </si>
  <si>
    <t>Individual level</t>
  </si>
  <si>
    <t>TpH</t>
  </si>
  <si>
    <t>T</t>
  </si>
  <si>
    <t>Cole VJ, Parker LM, O'Connor SJ, O'Connor WA, Scanes E, Byrne M, Ross PM</t>
  </si>
  <si>
    <t>Marine Biology</t>
  </si>
  <si>
    <t>Mollusca</t>
  </si>
  <si>
    <t>Ostreidae </t>
  </si>
  <si>
    <t>Ostrea angasi</t>
  </si>
  <si>
    <t>pelagic</t>
  </si>
  <si>
    <t>LARVA</t>
  </si>
  <si>
    <t>Ambient salinity</t>
  </si>
  <si>
    <t>Number of algal cells cleared/12 hr</t>
  </si>
  <si>
    <t>Feeding</t>
  </si>
  <si>
    <t>mL-1</t>
  </si>
  <si>
    <t>Behavior</t>
  </si>
  <si>
    <t>Ambient salinity + full diet</t>
  </si>
  <si>
    <t xml:space="preserve">Mortality </t>
  </si>
  <si>
    <t>survival</t>
  </si>
  <si>
    <t>positive</t>
  </si>
  <si>
    <t>%</t>
  </si>
  <si>
    <t>Survival</t>
  </si>
  <si>
    <t>Population level</t>
  </si>
  <si>
    <t>Abnormalities</t>
  </si>
  <si>
    <t>Normal</t>
  </si>
  <si>
    <t>Lots of 0 in here (AP and AQ) but again those are the data - no abnormality found. Abnormality transformed into % normality.</t>
  </si>
  <si>
    <t>Mortality</t>
  </si>
  <si>
    <t>Shell length</t>
  </si>
  <si>
    <t>Length</t>
  </si>
  <si>
    <t>µm</t>
  </si>
  <si>
    <t>Growth</t>
  </si>
  <si>
    <t>Collard M, Rastrick SPS, Calosi P, Demolder Y, Dille J ,  Findlay HS, Hall-Spencer JM, Milazzo M, Moulin L, Widdicombe S, Dehairs F, Dubois P</t>
  </si>
  <si>
    <t>ICES Journal of Marine Science</t>
  </si>
  <si>
    <t>Parechinidae </t>
  </si>
  <si>
    <t>Paracentrotus lividus </t>
  </si>
  <si>
    <t>Ambital plates (Force at fracture)</t>
  </si>
  <si>
    <t>Crushing force</t>
  </si>
  <si>
    <t>F (N)</t>
  </si>
  <si>
    <t>Biomechanics</t>
  </si>
  <si>
    <t>Foster T, Gilmour JP, Chua CM, Falter J, Mccullouch M</t>
  </si>
  <si>
    <t>Coral Reefs</t>
  </si>
  <si>
    <t>Cnidaria</t>
  </si>
  <si>
    <t>Acropoidae</t>
  </si>
  <si>
    <t>Acropora spicifera</t>
  </si>
  <si>
    <t>Tropical, Indo-Pacific, Great Barrier Reef</t>
  </si>
  <si>
    <t>Tropical</t>
  </si>
  <si>
    <t>JUVENILE</t>
  </si>
  <si>
    <t>total</t>
  </si>
  <si>
    <t>Skeletal weigth</t>
  </si>
  <si>
    <t>µg</t>
  </si>
  <si>
    <t>Post-settlement survival</t>
  </si>
  <si>
    <t>Settlement</t>
  </si>
  <si>
    <t>out</t>
  </si>
  <si>
    <t>Hale R, Calosi P, McNeill L, Mieszkowska N, Widdicombe S</t>
  </si>
  <si>
    <t>Oikos</t>
  </si>
  <si>
    <t>JUVENILE/ADULT</t>
  </si>
  <si>
    <t>NIST</t>
  </si>
  <si>
    <t>Number of individuals (Echinodermata)</t>
  </si>
  <si>
    <t>Number of individuals</t>
  </si>
  <si>
    <t>number</t>
  </si>
  <si>
    <t>Community level</t>
  </si>
  <si>
    <t>lots of 0 in the SE response here because error was smaller than the symbol used</t>
  </si>
  <si>
    <t>Rissoidae</t>
  </si>
  <si>
    <t>Rissoa parva</t>
  </si>
  <si>
    <t>Number of individuals (the gastropod Rissoa parva)</t>
  </si>
  <si>
    <t>Biodiversity</t>
  </si>
  <si>
    <t>Rissoa interrupta</t>
  </si>
  <si>
    <t>Number of individuals (the gastropod Rissoa interrupta)</t>
  </si>
  <si>
    <t>Number of individuals (Mollusca)</t>
  </si>
  <si>
    <t>Arthropoda</t>
  </si>
  <si>
    <t>Stenothoidae </t>
  </si>
  <si>
    <t xml:space="preserve"> Stenothoe monoculoides</t>
  </si>
  <si>
    <t>DIRECT</t>
  </si>
  <si>
    <t>Numbers of individuals (the gammaridean Stenothoe monoculoides)</t>
  </si>
  <si>
    <t>Annelida</t>
  </si>
  <si>
    <t>Numbers of individuals (ragworm nereid juveniles)</t>
  </si>
  <si>
    <t>Number of species (Mollusca)</t>
  </si>
  <si>
    <t>Number of species</t>
  </si>
  <si>
    <t>out because only kept global species richness across the 3 taxa</t>
  </si>
  <si>
    <t>Number of individuals (Arthropoda)</t>
  </si>
  <si>
    <t>Number of species (Arthropoda)</t>
  </si>
  <si>
    <t>Calliopioidea </t>
  </si>
  <si>
    <t>Calliopius laeviusculus</t>
  </si>
  <si>
    <t>Numbers of individuals (the gammaridean amphipod Calliopius laevisculus)</t>
  </si>
  <si>
    <t>Gastropoda</t>
  </si>
  <si>
    <t>Number of individuals (the unidentifiable gastropods)</t>
  </si>
  <si>
    <t>The species evenness of the communities (Annelida)</t>
  </si>
  <si>
    <t>evenness</t>
  </si>
  <si>
    <t>out because only kept eveness value across the 3 taxa</t>
  </si>
  <si>
    <t>Fauna community</t>
  </si>
  <si>
    <t>Several</t>
  </si>
  <si>
    <t xml:space="preserve">several </t>
  </si>
  <si>
    <t>species richness</t>
  </si>
  <si>
    <t>Nematoda</t>
  </si>
  <si>
    <t>Numbers of individuals (Nematodes)</t>
  </si>
  <si>
    <t>Number of individuals (Annelida)</t>
  </si>
  <si>
    <t>The species evenness of the communities (Arthropoda)</t>
  </si>
  <si>
    <t>Nereididae</t>
  </si>
  <si>
    <t>Platynereis dumerilii</t>
  </si>
  <si>
    <t>Numbers of individuals (the ragworm Platynereis dumerlii)</t>
  </si>
  <si>
    <t>Number of species (Annelida)</t>
  </si>
  <si>
    <t>Number of individuals (gammaridean female Aoridae)</t>
  </si>
  <si>
    <t>The species evenness of the communities (Mollusca)</t>
  </si>
  <si>
    <t>Lannig G, Eilers S, Pörtner HO, Sokolova IM, Bock C</t>
  </si>
  <si>
    <t>Marine Drugs</t>
  </si>
  <si>
    <t>Ostreidae</t>
  </si>
  <si>
    <t>Crassostrea gigas</t>
  </si>
  <si>
    <t>standard metabolic rate (SMR)</t>
  </si>
  <si>
    <t>µmol O2 h-1 g-1 dry mass</t>
  </si>
  <si>
    <t>CO2 values reported in kPa</t>
  </si>
  <si>
    <t xml:space="preserve">YES </t>
  </si>
  <si>
    <t>Padilla-Gamiño JL, Kelly MW, Evans TJ, Hofmann GE</t>
  </si>
  <si>
    <t>Proceedings of the Royal Society B</t>
  </si>
  <si>
    <t>Strongylocentrotidae</t>
  </si>
  <si>
    <t>Strongylocentrotus purpuratus</t>
  </si>
  <si>
    <t>Subtropical</t>
  </si>
  <si>
    <t xml:space="preserve">Total larval length </t>
  </si>
  <si>
    <t>length</t>
  </si>
  <si>
    <t>mm</t>
  </si>
  <si>
    <t xml:space="preserve">Total larva length </t>
  </si>
  <si>
    <t>Respiration</t>
  </si>
  <si>
    <t>pmol O2/hr/larva</t>
  </si>
  <si>
    <t>Pedersen SA, Hanssen AJ</t>
  </si>
  <si>
    <t>Ecology and Evolution</t>
  </si>
  <si>
    <t>Calanidae </t>
  </si>
  <si>
    <t>Calanus finmarchicus</t>
  </si>
  <si>
    <t>Egg production</t>
  </si>
  <si>
    <t>egg female-1 day-1</t>
  </si>
  <si>
    <t>Reproduction</t>
  </si>
  <si>
    <t>Lipidic sac size</t>
  </si>
  <si>
    <t>Lipid content</t>
  </si>
  <si>
    <t>mm3</t>
  </si>
  <si>
    <t>Physiology</t>
  </si>
  <si>
    <t>EMBRYO</t>
  </si>
  <si>
    <t>Hatching</t>
  </si>
  <si>
    <t>developmental success</t>
  </si>
  <si>
    <t>Body volume</t>
  </si>
  <si>
    <t>Putnam HM, Mayfield AB, Fan TY, Chen CS, Gates RD</t>
  </si>
  <si>
    <t>Marine Biology </t>
  </si>
  <si>
    <t>Pocilloporidae</t>
  </si>
  <si>
    <t>Pocillopora damicornis </t>
  </si>
  <si>
    <t>nmol O2 larva-1 min-1</t>
  </si>
  <si>
    <t xml:space="preserve">Survival </t>
  </si>
  <si>
    <t>RNA/DNA</t>
  </si>
  <si>
    <t>RNA/DNA ratio</t>
  </si>
  <si>
    <t>ratio</t>
  </si>
  <si>
    <t>host hsp70 xpression</t>
  </si>
  <si>
    <t>Heat shock protein 70</t>
  </si>
  <si>
    <t>Larval size</t>
  </si>
  <si>
    <t>mm2</t>
  </si>
  <si>
    <t>Rivest EB, Hofmann GE</t>
  </si>
  <si>
    <t>Plos One</t>
  </si>
  <si>
    <t>Pocillopora damicornis</t>
  </si>
  <si>
    <t>O2 comsumption (Day 11)</t>
  </si>
  <si>
    <t>nmol larva-1 min-1</t>
  </si>
  <si>
    <t>CS activity (Day 11)</t>
  </si>
  <si>
    <t>Enzyme activity</t>
  </si>
  <si>
    <t>µmol larva-1 min-1</t>
  </si>
  <si>
    <t>Sarmento VC, Parreira Santos PJ, Hale R, Ingels J, Widdicombe S</t>
  </si>
  <si>
    <t>ICES journal of Marine Science</t>
  </si>
  <si>
    <t>ovigerous female</t>
  </si>
  <si>
    <t>female/male</t>
  </si>
  <si>
    <t>female/male ratio</t>
  </si>
  <si>
    <t>Copepodite</t>
  </si>
  <si>
    <t>Life-stage</t>
  </si>
  <si>
    <t>Shaw EC, Carpenter RC, Lantz CA, Edmunds PJ</t>
  </si>
  <si>
    <t>Acroporidae</t>
  </si>
  <si>
    <t>Acropora pulchra </t>
  </si>
  <si>
    <t>mean of all colonies</t>
  </si>
  <si>
    <t>calcification rate</t>
  </si>
  <si>
    <t>Calcification rate</t>
  </si>
  <si>
    <t>CaCO3 cm−2 day−1</t>
  </si>
  <si>
    <t>Calcification</t>
  </si>
  <si>
    <t>Small DP, Calosi P, Boothroyd D, Widdicombe S, Spicer J</t>
  </si>
  <si>
    <t>Physiological and Biochemical Zoology</t>
  </si>
  <si>
    <t>Nephropidae</t>
  </si>
  <si>
    <t>Homarus americanus</t>
  </si>
  <si>
    <t>Stage lV</t>
  </si>
  <si>
    <t>Carapace [Ca2+]</t>
  </si>
  <si>
    <t>Calcium content</t>
  </si>
  <si>
    <t>(mmol mg-1)</t>
  </si>
  <si>
    <t>Walther K, Anger K, Pörtner HO</t>
  </si>
  <si>
    <t>Marine ecology progress series</t>
  </si>
  <si>
    <t>Oregoniidae</t>
  </si>
  <si>
    <t>Hyas araneus</t>
  </si>
  <si>
    <t>Location: Helgoland</t>
  </si>
  <si>
    <t>Developmental period zoea 2</t>
  </si>
  <si>
    <t>Developmental time</t>
  </si>
  <si>
    <t>days</t>
  </si>
  <si>
    <t>Location: Svalbard</t>
  </si>
  <si>
    <t>dry weight M14</t>
  </si>
  <si>
    <t>Weight</t>
  </si>
  <si>
    <t>µg ind-1</t>
  </si>
  <si>
    <t>C:N ratio</t>
  </si>
  <si>
    <t>Melatunan S, Calosi P, Rundle SD, Widdicombe S &amp; Moody AJ</t>
  </si>
  <si>
    <t>Marine Ecology Progress Series</t>
  </si>
  <si>
    <t>Littorinidae</t>
  </si>
  <si>
    <t>Littorina littorea</t>
  </si>
  <si>
    <t>water loss</t>
  </si>
  <si>
    <t>aspect ratio (% change)</t>
  </si>
  <si>
    <t>growth rate</t>
  </si>
  <si>
    <t>out because positive and negative value</t>
  </si>
  <si>
    <t>Gazeau F, Alliouane S, Bock C, Bramanti L, López Correa M, Gentile M, Hirse T, Pörtner HO, Ziveri P</t>
  </si>
  <si>
    <t>Frontiers in Marine Science</t>
  </si>
  <si>
    <t>Mytilidae</t>
  </si>
  <si>
    <t>Mytilus galloprovincialis</t>
  </si>
  <si>
    <t>Net calcification</t>
  </si>
  <si>
    <t>µmol CaCO3 gDW-1 h-1</t>
  </si>
  <si>
    <t>Shell length cummulated growth</t>
  </si>
  <si>
    <t>Excretion rate</t>
  </si>
  <si>
    <t>Excretion</t>
  </si>
  <si>
    <t>µmol N gDW-1 h-1</t>
  </si>
  <si>
    <t>Respiration rate</t>
  </si>
  <si>
    <t>µmol O2 gDW-1 h-1</t>
  </si>
  <si>
    <t>Haemolymph pCO2</t>
  </si>
  <si>
    <t>mm Hg</t>
  </si>
  <si>
    <t>Rodolfo-Metalpa R, Martin S, Ferrier-Pagès C, Gattuso JP</t>
  </si>
  <si>
    <t>Biogeosciences</t>
  </si>
  <si>
    <t>Scleractinia incertae sedis</t>
  </si>
  <si>
    <t>Cladocora caespitosa</t>
  </si>
  <si>
    <t>summer</t>
  </si>
  <si>
    <t>nmol O2 cm-2h-1</t>
  </si>
  <si>
    <t>summer and manually averaged dark and light calcification</t>
  </si>
  <si>
    <t>nmol CaO3 cm-2h-1</t>
  </si>
  <si>
    <t>Burnell OW, Russell BD, Irving AD, Connel SD</t>
  </si>
  <si>
    <t>Temnopleuridae</t>
  </si>
  <si>
    <t>Amblypneustes pallidus</t>
  </si>
  <si>
    <t>Ambient nutrients</t>
  </si>
  <si>
    <t>Grazing</t>
  </si>
  <si>
    <t>mg g¯¹</t>
  </si>
  <si>
    <t>Fonseca JG, Laranjeiro F, Freitas DB, Oliveira IB, Rocha RJM, Machado J, Hinzmann M, Barroso CM, Galante-Oliveira S</t>
  </si>
  <si>
    <t>Science of the total Environment</t>
  </si>
  <si>
    <t>Nassariidae</t>
  </si>
  <si>
    <t>Tritia reticulata</t>
  </si>
  <si>
    <t>Activity</t>
  </si>
  <si>
    <t>s min-1</t>
  </si>
  <si>
    <t>Calosi P, Turner LM, Hawkins M, Bertolini C, Nightingale G, Truebano M, Spicer JI</t>
  </si>
  <si>
    <t>Integrative and Comparative Biology</t>
  </si>
  <si>
    <t>Gammaridae</t>
  </si>
  <si>
    <t>Echinogammarus marinus</t>
  </si>
  <si>
    <t>Naþ/Kþ-ATPase activity</t>
  </si>
  <si>
    <t>nmolmg¯¹protein h¯¹</t>
  </si>
  <si>
    <t>UTT Pleopod Beating</t>
  </si>
  <si>
    <t>Critical thermal maximum</t>
  </si>
  <si>
    <t>(°C)</t>
  </si>
  <si>
    <t>Garcia E, Clemente S, Hernandez JC</t>
  </si>
  <si>
    <t>Marine Environmental Research</t>
  </si>
  <si>
    <t>Parechinidae</t>
  </si>
  <si>
    <t>Paracentrotus lividus</t>
  </si>
  <si>
    <t>Density</t>
  </si>
  <si>
    <t>larvae/ml</t>
  </si>
  <si>
    <t>Li S, Huang J, Liu C, Liu Y, Zheng G, Xie L, Zhang R</t>
  </si>
  <si>
    <t>Environmental Science and Technology</t>
  </si>
  <si>
    <t>Pteriidae</t>
  </si>
  <si>
    <t>Pinctada fucata</t>
  </si>
  <si>
    <t>Net calcificiation rate</t>
  </si>
  <si>
    <t>µmol CaCO₃ g¯¹d¯¹</t>
  </si>
  <si>
    <t>Gibbin EM, Chakravarti LJ, Jarrold MD, Christen F, Turpin V, N'siala GM, Blier PU, Calosi P</t>
  </si>
  <si>
    <t>The Company of Biologists</t>
  </si>
  <si>
    <t>Dorvilleidae</t>
  </si>
  <si>
    <t>Ophryotrocha labronica</t>
  </si>
  <si>
    <t>F6 generation</t>
  </si>
  <si>
    <t>ETS activity</t>
  </si>
  <si>
    <t>x10-1 U mg-1 protein</t>
  </si>
  <si>
    <t>trans generational experiment with no time indication hence acclimation is missing</t>
  </si>
  <si>
    <t>Fecundity</t>
  </si>
  <si>
    <t>number of eggs</t>
  </si>
  <si>
    <t>chaetigers</t>
  </si>
  <si>
    <t>chaetigers day¯¹ (F6)</t>
  </si>
  <si>
    <t>Matoo OB, Ivanina AV, Ullstad C, Beniash E, Sokolova IM</t>
  </si>
  <si>
    <t>Comparative Biochemistry and Physiology, Part A</t>
  </si>
  <si>
    <t>Veneridae</t>
  </si>
  <si>
    <t>Mercenaria mercenaria</t>
  </si>
  <si>
    <t>15 weeks</t>
  </si>
  <si>
    <t>antioxidant capacity</t>
  </si>
  <si>
    <t>Cuᵣₑ equivalents, µmol g¯¹ protein</t>
  </si>
  <si>
    <t>oxidative stress markers</t>
  </si>
  <si>
    <t>Oxidative stress marker</t>
  </si>
  <si>
    <t>negative</t>
  </si>
  <si>
    <t>nmol mg-1 protein</t>
  </si>
  <si>
    <t>inversed ratio because negative metric</t>
  </si>
  <si>
    <t>Crassostrea virginica</t>
  </si>
  <si>
    <t>8 weeks</t>
  </si>
  <si>
    <t>Oxygen consumption rates</t>
  </si>
  <si>
    <t xml:space="preserve">MO₂µmolO₂h¯¹g¯¹ </t>
  </si>
  <si>
    <t>Movilla J, Calvo E, Coma R, Serrano E, Lopez-Sanz A, Pelejero C</t>
  </si>
  <si>
    <t>Dendrophylliidae</t>
  </si>
  <si>
    <t>Leptopsammia pruvoti</t>
  </si>
  <si>
    <t>annual cycle</t>
  </si>
  <si>
    <t>(mg Ca CO₃ g¯¹d¯¹)</t>
  </si>
  <si>
    <t xml:space="preserve">Calcification </t>
  </si>
  <si>
    <t>Temperature was fluctuating throughout the experiment - mean was calculated</t>
  </si>
  <si>
    <t>Protein content</t>
  </si>
  <si>
    <t>µg * mg OM-1</t>
  </si>
  <si>
    <t>Astroides calycularis</t>
  </si>
  <si>
    <t>Skeletal microdensity</t>
  </si>
  <si>
    <t>(g cm³)</t>
  </si>
  <si>
    <t>Ong EZ, Briffa M, Moens T, Van Colen C</t>
  </si>
  <si>
    <t>Cardiidae</t>
  </si>
  <si>
    <t>Cerastoderma edule</t>
  </si>
  <si>
    <t>Calcification rate (6 week)</t>
  </si>
  <si>
    <t xml:space="preserve"> (µmol g¯¹DWh¯¹)</t>
  </si>
  <si>
    <t>inversed ratio because 2 negative values of a positive metric</t>
  </si>
  <si>
    <t>condition factor</t>
  </si>
  <si>
    <t>(%)</t>
  </si>
  <si>
    <t>Survival proportion (3 week)</t>
  </si>
  <si>
    <t>O₂ consumption (6 week)</t>
  </si>
  <si>
    <t xml:space="preserve"> (µmol O₂ g¯¹DWh¯¹)</t>
  </si>
  <si>
    <t>Clearance rate (6 week)</t>
  </si>
  <si>
    <t xml:space="preserve"> (I g¯¹DWh¯¹)</t>
  </si>
  <si>
    <t>Pistevos JCA, Calosi P, Widdicombe S, Bishop JDD</t>
  </si>
  <si>
    <t>Bryozoa</t>
  </si>
  <si>
    <t>Hippothoidae</t>
  </si>
  <si>
    <t>Celleporella hyalina</t>
  </si>
  <si>
    <t>average clone 1-4</t>
  </si>
  <si>
    <t>specific growth rate</t>
  </si>
  <si>
    <t>colony condition</t>
  </si>
  <si>
    <t>Reproductive investement</t>
  </si>
  <si>
    <t>Wolfe K, Dworjanyn SA, Byrne M</t>
  </si>
  <si>
    <t>Global Change Biology</t>
  </si>
  <si>
    <t>Echinometridae</t>
  </si>
  <si>
    <t>Heliocidaris erythrogramma</t>
  </si>
  <si>
    <t>Test diameter</t>
  </si>
  <si>
    <t>Size</t>
  </si>
  <si>
    <t>Legrand E, Riera P, Lutier M, Coudret J, Grall J, Martin S</t>
  </si>
  <si>
    <t>Psammechinus miliaris</t>
  </si>
  <si>
    <t>Summer</t>
  </si>
  <si>
    <t>μmol NH4+  gDW -1 h-1</t>
  </si>
  <si>
    <t xml:space="preserve">Respiration </t>
  </si>
  <si>
    <t>μmol O2 gDW -1 h-1</t>
  </si>
  <si>
    <t>Trochidae</t>
  </si>
  <si>
    <t>Gibbula magus</t>
  </si>
  <si>
    <t>μmol CaCO3 gDW -1 h-1</t>
  </si>
  <si>
    <t>Jujubinus exasperatus</t>
  </si>
  <si>
    <t>Harrington AM, Harrington RJ, Bouchard DA, Hamlin HJ</t>
  </si>
  <si>
    <t>Journal of crustacean biology</t>
  </si>
  <si>
    <t>Round 1</t>
  </si>
  <si>
    <t>critical thermal maximum</t>
  </si>
  <si>
    <t>Celsius</t>
  </si>
  <si>
    <t>Navarro JM, Duarte C, Manriquez PH, Lardies MA, Torres R, Acuna K, Vargas CA, Lagos NA</t>
  </si>
  <si>
    <t>Mytilus chilensis</t>
  </si>
  <si>
    <t>SFG</t>
  </si>
  <si>
    <t>scope for growth</t>
  </si>
  <si>
    <t>J h-1 ind-1</t>
  </si>
  <si>
    <t>absorption rate</t>
  </si>
  <si>
    <t>mg-1 ind-1</t>
  </si>
  <si>
    <t>oxygen uptake</t>
  </si>
  <si>
    <t>μL h-1 ind-1</t>
  </si>
  <si>
    <t>absorption efficiency</t>
  </si>
  <si>
    <t>ammonia excretion</t>
  </si>
  <si>
    <t>μg NH4-N h-1 ind-1</t>
  </si>
  <si>
    <t>Anlauf H, D´Croz L, O`Dea A</t>
  </si>
  <si>
    <t>Poritidae</t>
  </si>
  <si>
    <t>Porites panamensis</t>
  </si>
  <si>
    <t>POSTLARVA</t>
  </si>
  <si>
    <t>biomass</t>
  </si>
  <si>
    <t>µg*polyp-1</t>
  </si>
  <si>
    <t>skeletal mass</t>
  </si>
  <si>
    <t>% total planulae</t>
  </si>
  <si>
    <t>Sheppard Brennand H, Soars N, Dworjanyn SA, Davis AR, Byrne M</t>
  </si>
  <si>
    <t>Toxopneustidae</t>
  </si>
  <si>
    <t>Tripneustes gratilla</t>
  </si>
  <si>
    <t>Arm asymmetry</t>
  </si>
  <si>
    <t>Arm length</t>
  </si>
  <si>
    <t>Lardies MA, Benitez S, Osores S, Vargas CA, Duarte C, Lohrmann KB, Lagos NA</t>
  </si>
  <si>
    <t>Aquaculture</t>
  </si>
  <si>
    <t>Pectinidae</t>
  </si>
  <si>
    <t>Argopecten purpuratus</t>
  </si>
  <si>
    <t>Ingestion rate</t>
  </si>
  <si>
    <t>mg ch*g-1*h-1</t>
  </si>
  <si>
    <t>standard metabolic rate</t>
  </si>
  <si>
    <t>mg O2 h-1 g-1</t>
  </si>
  <si>
    <t>g*d-1</t>
  </si>
  <si>
    <t>Mackenzie CL, Ormondroyd GA, Curling SF, Ball RJ, Whiteley NM, Malham SK</t>
  </si>
  <si>
    <t>PLoS ONE</t>
  </si>
  <si>
    <t>Mytilus edulis</t>
  </si>
  <si>
    <t>maxiumum load</t>
  </si>
  <si>
    <t>N</t>
  </si>
  <si>
    <t>calcite:aragonite</t>
  </si>
  <si>
    <t>Parker LM, O’Connor WA, Byrne M, Dove M, Coleman RA, Pörtner HO, Scanes E, Virtue P, Gibbs M, Ross PM</t>
  </si>
  <si>
    <t>Saccostrea glomerata</t>
  </si>
  <si>
    <t>total spawned lipid content gonad</t>
  </si>
  <si>
    <t>mg</t>
  </si>
  <si>
    <t>total lipid content of eggs</t>
  </si>
  <si>
    <t>ng</t>
  </si>
  <si>
    <t>x 10^6</t>
  </si>
  <si>
    <t>shell length</t>
  </si>
  <si>
    <t>μm</t>
  </si>
  <si>
    <t xml:space="preserve">Growth </t>
  </si>
  <si>
    <t>egg diameter</t>
  </si>
  <si>
    <t>Egg size</t>
  </si>
  <si>
    <t>pHe</t>
  </si>
  <si>
    <t>Haemolymph pH</t>
  </si>
  <si>
    <t>females</t>
  </si>
  <si>
    <t>Duarte C, Navarro JM, Acuna K, Torres R, Manriquez PH, Lardies MA, Vargas CA, Lagos NA, Aquilera V</t>
  </si>
  <si>
    <t xml:space="preserve">Journal of Sea Research </t>
  </si>
  <si>
    <t>Net calcification rate</t>
  </si>
  <si>
    <t>mg per mussel*d-1</t>
  </si>
  <si>
    <t>Total body weight increase</t>
  </si>
  <si>
    <t>% per mussel*d-1</t>
  </si>
  <si>
    <t>Domenici P, Torres R, Manriquez PH</t>
  </si>
  <si>
    <t>Journal of Experimental Biology</t>
  </si>
  <si>
    <t>Muricidae </t>
  </si>
  <si>
    <t>Concholepas concholepas</t>
  </si>
  <si>
    <t>route finding</t>
  </si>
  <si>
    <t>proportion</t>
  </si>
  <si>
    <t>Absolute lateralization</t>
  </si>
  <si>
    <t>unit</t>
  </si>
  <si>
    <t>cm</t>
  </si>
  <si>
    <t>Byrne M, Soars N, Selvykumaraswamy P, Dworjanyn SA, Davis AR</t>
  </si>
  <si>
    <t>manually averaged sperm to egg ratio</t>
  </si>
  <si>
    <t>Fertilization</t>
  </si>
  <si>
    <t>Zittier ZMC, Hirse T, Pörtner HO</t>
  </si>
  <si>
    <t>Polar</t>
  </si>
  <si>
    <t>12 day stable conditions</t>
  </si>
  <si>
    <t>Activity capacity/Righting Response (RR)</t>
  </si>
  <si>
    <t>time to right</t>
  </si>
  <si>
    <t>sec</t>
  </si>
  <si>
    <t>pCO2 Haemolymph</t>
  </si>
  <si>
    <t>kPa</t>
  </si>
  <si>
    <t>Cahiers de Biologie Marine</t>
  </si>
  <si>
    <t>Spine Number</t>
  </si>
  <si>
    <t>Wisshak M, Schönberg CHL, Form A, Freiwald A</t>
  </si>
  <si>
    <t>Aquatic Biology</t>
  </si>
  <si>
    <t>Porifera</t>
  </si>
  <si>
    <t>Clionaidae</t>
  </si>
  <si>
    <t>Cliona orientalis</t>
  </si>
  <si>
    <t>Shell damage</t>
  </si>
  <si>
    <t>kg m^-2 yr^-1</t>
  </si>
  <si>
    <t>shell damage</t>
  </si>
  <si>
    <t>Health score</t>
  </si>
  <si>
    <t>% of before</t>
  </si>
  <si>
    <t>Horwitz R, Norin T, Watson SA, Pistevos JCA, Beldade R, Hacquart S, Gattuso JP, Rodolfo-Metalpa R, Vidal-Dupiol J, Killen SS, Mills SZ</t>
  </si>
  <si>
    <t>Scientific reports</t>
  </si>
  <si>
    <t>Aplysiidae</t>
  </si>
  <si>
    <t>Stylocheilus striatus</t>
  </si>
  <si>
    <t>Acclimated throughout development</t>
  </si>
  <si>
    <t>Time to foraging choice</t>
  </si>
  <si>
    <t>min</t>
  </si>
  <si>
    <t>Locomotion speed</t>
  </si>
  <si>
    <t>Speed</t>
  </si>
  <si>
    <t>cm *min-1</t>
  </si>
  <si>
    <t>Metabolic rate</t>
  </si>
  <si>
    <t>mg O2 h-1</t>
  </si>
  <si>
    <t>Visconti G, Gianguzza F, Butera E, Costa V, Vizzini S, Byrne M, Gianguzza P</t>
  </si>
  <si>
    <t>Arbaciidae</t>
  </si>
  <si>
    <t>Arbacia lixula</t>
  </si>
  <si>
    <t>Eastern Atlantic, Western Mediterranean</t>
  </si>
  <si>
    <t>Asymmetry</t>
  </si>
  <si>
    <t>Body length</t>
  </si>
  <si>
    <t>Van Colen C, Jansson A, Saunier A, Lacoue-Labathe T, Vincx M</t>
  </si>
  <si>
    <t>Marine Pollution Bulletin</t>
  </si>
  <si>
    <t>Tellinidae</t>
  </si>
  <si>
    <t>Limecola balthica</t>
  </si>
  <si>
    <t>Gulf of Finland</t>
  </si>
  <si>
    <t>Southern North Sea</t>
  </si>
  <si>
    <t>Bay of Biscay</t>
  </si>
  <si>
    <t>Hatching size</t>
  </si>
  <si>
    <t>Towle EK, Enochs IC, Langdon C</t>
  </si>
  <si>
    <t>Acropora cervicornis</t>
  </si>
  <si>
    <t>Fed individuals</t>
  </si>
  <si>
    <t>Lipid content fed</t>
  </si>
  <si>
    <t>mg cm^-2</t>
  </si>
  <si>
    <t>Feeding rate</t>
  </si>
  <si>
    <t>mg cm^-2 d^-1</t>
  </si>
  <si>
    <t>Schutter M, Nozawa Y, Kurihara H</t>
  </si>
  <si>
    <t>Journal of Marine Science and Engineering</t>
  </si>
  <si>
    <t>Acropora hyacinthus</t>
  </si>
  <si>
    <t>location Kochi</t>
  </si>
  <si>
    <t>abnormalities</t>
  </si>
  <si>
    <t>CO2 and pH values from start of the experiment used (does vary a lot to end of experiment)</t>
  </si>
  <si>
    <t>location Lyudao</t>
  </si>
  <si>
    <t>Merulinidae</t>
  </si>
  <si>
    <t>Platygyra contorta</t>
  </si>
  <si>
    <t>Rivest EB, Chen CS, Fan TY, Li HH, Hofmann GE</t>
  </si>
  <si>
    <t>Moorea</t>
  </si>
  <si>
    <t>length (change after 1 day)</t>
  </si>
  <si>
    <t>Taiwan</t>
  </si>
  <si>
    <t>Total protein (change after 1 d)</t>
  </si>
  <si>
    <t>µg larva^-1</t>
  </si>
  <si>
    <t>Symbiont density (change after 1 d)</t>
  </si>
  <si>
    <t>Symbiont density</t>
  </si>
  <si>
    <t>x10^3 cells larva^-1</t>
  </si>
  <si>
    <t>Byrne M, Smith AM, West S, Collard M, Dubois P, Graba-Iandry A, Dworjanyn SA</t>
  </si>
  <si>
    <t>Test thickness</t>
  </si>
  <si>
    <t>Schram JB, Schoenrock KM, McClintock JB, Amsler CD, Angus RA</t>
  </si>
  <si>
    <t>Calliostomatidae</t>
  </si>
  <si>
    <t>Margarella antarctica</t>
  </si>
  <si>
    <t>s</t>
  </si>
  <si>
    <t>Maximum escape speed</t>
  </si>
  <si>
    <t>cm s^-1</t>
  </si>
  <si>
    <t>Nacellidae</t>
  </si>
  <si>
    <t>Nacella concinna</t>
  </si>
  <si>
    <t>Schalkhausser B, Bock C, Pörtner HO, Lannig G</t>
  </si>
  <si>
    <t>Pecten maximus</t>
  </si>
  <si>
    <t>CO2 is in kPa in this paper, converted them to uatm</t>
  </si>
  <si>
    <t>haemolymph blood pH</t>
  </si>
  <si>
    <t>Russell BD, Connell SD, Findlay HS, Tait K, Widdicombe S, Mieszkowska N</t>
  </si>
  <si>
    <t>Philosophical transactions of the royal society</t>
  </si>
  <si>
    <t>Cover biofilm consumed</t>
  </si>
  <si>
    <t>Oxygen consumption</t>
  </si>
  <si>
    <t>µmol O2 gDW^-1 h^-1</t>
  </si>
  <si>
    <t>Poore AGB, Graba-Landry A, Favret M, Sheppard Brennand H, Byrne M, Dworjanyn SA</t>
  </si>
  <si>
    <t>Oecologia</t>
  </si>
  <si>
    <t>Amphithoidae</t>
  </si>
  <si>
    <t>Peramphithoe parmerong</t>
  </si>
  <si>
    <t>Final size</t>
  </si>
  <si>
    <t>Pecorino D, Barker MF, Dworjanyn SA, Byrne M, Lamare MD</t>
  </si>
  <si>
    <t>Diadematidae</t>
  </si>
  <si>
    <t>Centrostephanus rodgersii</t>
  </si>
  <si>
    <t>Population from Australia</t>
  </si>
  <si>
    <t>Gastrulation</t>
  </si>
  <si>
    <t>Population from New Zealand</t>
  </si>
  <si>
    <t>Noisette F, Bordeyne F, Davoult D, Martin S</t>
  </si>
  <si>
    <t>Limnology and Oceanography</t>
  </si>
  <si>
    <t>Calyptraeidae</t>
  </si>
  <si>
    <t>Crepidula fornicata</t>
  </si>
  <si>
    <t>manually averaged small and large individuals</t>
  </si>
  <si>
    <t>µmol CaCO3 g^-1 DW h^-1</t>
  </si>
  <si>
    <t>Filtration</t>
  </si>
  <si>
    <t>mL SW g^-1 DW min^-1</t>
  </si>
  <si>
    <t>µmol NH4+ g^-1 DW h^-1</t>
  </si>
  <si>
    <t xml:space="preserve">Physiology </t>
  </si>
  <si>
    <t>µmol O2 g^-1 DW h^-1</t>
  </si>
  <si>
    <t>Ivanina AV, Dickinson GH, Matoo OB, Bagwe R, Dickinson A, Beniash E, Sokolova IM</t>
  </si>
  <si>
    <t>Microhardness</t>
  </si>
  <si>
    <t>Hardness</t>
  </si>
  <si>
    <t>VHM</t>
  </si>
  <si>
    <t>proteins</t>
  </si>
  <si>
    <t>mg g-1</t>
  </si>
  <si>
    <t>Adenylate energy charge</t>
  </si>
  <si>
    <t>Carbonic anhydrase in gills</t>
  </si>
  <si>
    <t>U g-1 protein</t>
  </si>
  <si>
    <t>Kahn FU, Hu M, Kong H, Shang Y, Wang T, Wang X, Xu R, Lu W, Wang Y</t>
  </si>
  <si>
    <t>Chemosphere</t>
  </si>
  <si>
    <t>Mytilus coruscus</t>
  </si>
  <si>
    <t>6mg L-1 O2</t>
  </si>
  <si>
    <t>Trypsin activity</t>
  </si>
  <si>
    <t>U mg P</t>
  </si>
  <si>
    <t>Byrne M, Gonzalez-Bernat M, Doo S, Foo S, Soars N, Lamare M</t>
  </si>
  <si>
    <t>Asterinidae </t>
  </si>
  <si>
    <t>Patiriella regularis</t>
  </si>
  <si>
    <t>Byrne M, Foo S, Soars NA, Wolfe KDL, Nguyen HD, Hardy N, Dworjanyn SA</t>
  </si>
  <si>
    <t>Echinometridae </t>
  </si>
  <si>
    <t>Heliocidaris tuberculata</t>
  </si>
  <si>
    <t xml:space="preserve">Arm asymmetry </t>
  </si>
  <si>
    <t>Normal gastrulae</t>
  </si>
  <si>
    <t>Durrant HMS, Clark GF, Dworjanyn SA, Byrne M, Johnston EL</t>
  </si>
  <si>
    <t>Lepraliellidae </t>
  </si>
  <si>
    <t>Celleporaria nodulosa</t>
  </si>
  <si>
    <t>growth increase</t>
  </si>
  <si>
    <t>Leung JYS, Russell BD, Connell SD</t>
  </si>
  <si>
    <t>Science of the total environment</t>
  </si>
  <si>
    <t>Austrocochlea concamerata</t>
  </si>
  <si>
    <t>Energy budget</t>
  </si>
  <si>
    <t>Scope for growth</t>
  </si>
  <si>
    <t>j g h</t>
  </si>
  <si>
    <t>Mechanical resilience</t>
  </si>
  <si>
    <t>H/E</t>
  </si>
  <si>
    <t>J g h</t>
  </si>
  <si>
    <t>Findlay HS, Kendall MA, Spicer JI, Widdicombe S</t>
  </si>
  <si>
    <t>Archaeobalanidae </t>
  </si>
  <si>
    <t>Semibalanus balanoides</t>
  </si>
  <si>
    <t>mean daily growth rate</t>
  </si>
  <si>
    <t>µm*d-1</t>
  </si>
  <si>
    <t>Elminius modestus</t>
  </si>
  <si>
    <t>µmol*mg shell-1*d-1</t>
  </si>
  <si>
    <t>Gooding RA, Harley CDG, Tang E</t>
  </si>
  <si>
    <t>PNAS</t>
  </si>
  <si>
    <t>Asteriidae</t>
  </si>
  <si>
    <t>Pisaster ochraceus</t>
  </si>
  <si>
    <t>calcified mass</t>
  </si>
  <si>
    <t>feeding rate</t>
  </si>
  <si>
    <t>mussels*sea star-1*day-1</t>
  </si>
  <si>
    <t>Hardy NA,  Byrne M</t>
  </si>
  <si>
    <t>Heliocidari</t>
  </si>
  <si>
    <t>Harvey BP, Moore PJ</t>
  </si>
  <si>
    <t>Muricidae</t>
  </si>
  <si>
    <t>Nucella lapillus</t>
  </si>
  <si>
    <t>Tissue production</t>
  </si>
  <si>
    <t>mg*g AFDW-1*d-1</t>
  </si>
  <si>
    <t>Hernroth B, Nilsson Sköld H, Wiklander K, Jutfelt F, Baden S</t>
  </si>
  <si>
    <t>Fish and Shellfish Immunology</t>
  </si>
  <si>
    <t xml:space="preserve">Nephrops Norvegicus </t>
  </si>
  <si>
    <t>Apoptotic cells</t>
  </si>
  <si>
    <t>total hemocyte counts</t>
  </si>
  <si>
    <t>Ko GWK, Dineshram R, Campanati C, Chan VBS, Havenhand J, Thiyagarajan V</t>
  </si>
  <si>
    <t>mm*d-1*10^2</t>
  </si>
  <si>
    <t>Lipid index</t>
  </si>
  <si>
    <t>Metamorphosis</t>
  </si>
  <si>
    <t>µm*d-1*10^3</t>
  </si>
  <si>
    <t>Lagos NA, Benitey S, Duarte C, Lardies MA, Broitman BR, Tapia C, Tapia P, Widdicombe S, Vargas CA</t>
  </si>
  <si>
    <t>Aquaculture Environmental Interaction</t>
  </si>
  <si>
    <t>mm*d-1</t>
  </si>
  <si>
    <t>Pitts KA, Campbell JE, Figueiredo J, Fogarty ND</t>
  </si>
  <si>
    <t>Coral reefs</t>
  </si>
  <si>
    <t>Orbicella faveolata</t>
  </si>
  <si>
    <t>settlement</t>
  </si>
  <si>
    <t>0 in AS and AT as no individuals settled</t>
  </si>
  <si>
    <t>Cross A+B</t>
  </si>
  <si>
    <t>Bylenga CH, Cummings VJ, Ryan KG</t>
  </si>
  <si>
    <t>Laternulidae </t>
  </si>
  <si>
    <t>Laternula elliptica</t>
  </si>
  <si>
    <t>Growth at PII</t>
  </si>
  <si>
    <t xml:space="preserve">Malformation </t>
  </si>
  <si>
    <t>% area</t>
  </si>
  <si>
    <t>Byrne M, Ho M, Wong E, Soars NA, Selvakumaraswamy P, Shepard-Brennand H, Dworjanyn SA, Davis AR</t>
  </si>
  <si>
    <t>Halotidae</t>
  </si>
  <si>
    <t>Haliotis coccoradiata</t>
  </si>
  <si>
    <t>calcified larvae</t>
  </si>
  <si>
    <t>Alma L, Kram KE, Holtgrieve GW, Barbarino A, Fiamengo CJ, Padilla-Gamino JL</t>
  </si>
  <si>
    <t>Comparative Biochemistry and Physiology Part A</t>
  </si>
  <si>
    <t>Crassadoma gigantea</t>
  </si>
  <si>
    <t>mega pascals N mm² -1</t>
  </si>
  <si>
    <t>total lipids in adductor muscle</t>
  </si>
  <si>
    <t>Leung JYS, Nagelkerken I, Russell BD, Farreira CM, Connell SD</t>
  </si>
  <si>
    <t>Phasianellidae</t>
  </si>
  <si>
    <t>Phasianella australis</t>
  </si>
  <si>
    <t>Stevenson A, Archer SK, Schultz Ja, Dunham JAS, Marliave JB, Martone P, Harley CDG</t>
  </si>
  <si>
    <t>Aphrocallistidae</t>
  </si>
  <si>
    <t>Aphrocallistes vastus</t>
  </si>
  <si>
    <t>Pumping strength</t>
  </si>
  <si>
    <t>Max breaking force per volume</t>
  </si>
  <si>
    <t>N/mm3</t>
  </si>
  <si>
    <t>van Colen C, Ong EZ, Briffa M, Wethey DS, Abatih E, Moens T, Woodin SA</t>
  </si>
  <si>
    <t>Nature climate change</t>
  </si>
  <si>
    <t>Semelidae</t>
  </si>
  <si>
    <t>Scrobicularia plana</t>
  </si>
  <si>
    <t>Total duration deposit feeding</t>
  </si>
  <si>
    <t>Zakroff CJ, Mooney TA</t>
  </si>
  <si>
    <t>Frontiers in Physiology</t>
  </si>
  <si>
    <t>Loliginidae</t>
  </si>
  <si>
    <t>Doryteuthis pealeii</t>
  </si>
  <si>
    <t>Time to 50% hatching</t>
  </si>
  <si>
    <t>Yolk-sac volume</t>
  </si>
  <si>
    <t>Yolk area</t>
  </si>
  <si>
    <t>Dorsal mantle length</t>
  </si>
  <si>
    <t>Leiva NV, Manriquez PH, Aguilera VM, Gonzalez MT</t>
  </si>
  <si>
    <t>International Journal for Parasitology</t>
  </si>
  <si>
    <t>Plathyelminthes</t>
  </si>
  <si>
    <t>Echinostomatidae</t>
  </si>
  <si>
    <t>Echinostomatidae sp</t>
  </si>
  <si>
    <t xml:space="preserve">Tropical </t>
  </si>
  <si>
    <t>0 in Aq</t>
  </si>
  <si>
    <t>0 in Aq and at</t>
  </si>
  <si>
    <t>Mean larval emergence</t>
  </si>
  <si>
    <t>Philophthalmidae</t>
  </si>
  <si>
    <t>Philophthalmidae sp</t>
  </si>
  <si>
    <t>0 in AP</t>
  </si>
  <si>
    <t>Rivest EB, Kelly MW, DeBiasse MB, Hofmann GE</t>
  </si>
  <si>
    <t>Larval area</t>
  </si>
  <si>
    <t>mm²</t>
  </si>
  <si>
    <t xml:space="preserve">Individual level </t>
  </si>
  <si>
    <t>Symbiodinum density</t>
  </si>
  <si>
    <t>x10³ cells larva-1</t>
  </si>
  <si>
    <t>Total protein</t>
  </si>
  <si>
    <t>µg larva-1</t>
  </si>
  <si>
    <t>Lemasson AJ, Hall-Spencer JM, Fletchere S, Provstgaard-Morys S, Knights AM</t>
  </si>
  <si>
    <t>Magallana gigas</t>
  </si>
  <si>
    <t>Clearance rate</t>
  </si>
  <si>
    <t>L h-1 gDW-1</t>
  </si>
  <si>
    <t>Ostrea edulis</t>
  </si>
  <si>
    <t>Mean SMR</t>
  </si>
  <si>
    <t>mg O2 h-1 gDW-1</t>
  </si>
  <si>
    <t>Lemasson AJ, Hall-Spencer JM, Kuri V, Knights AM</t>
  </si>
  <si>
    <t>Chatzinikolaou E, Grigoriou P, Martini E, Sterioti A</t>
  </si>
  <si>
    <t>Mediterranean Marine Science</t>
  </si>
  <si>
    <t>Hexaplex trunculus</t>
  </si>
  <si>
    <t xml:space="preserve">Response time </t>
  </si>
  <si>
    <t>cm min-1</t>
  </si>
  <si>
    <t>no error in AT because n is 1</t>
  </si>
  <si>
    <t>Dworjanyn SA, Byrne M</t>
  </si>
  <si>
    <t>gonad index</t>
  </si>
  <si>
    <t>treatment value is 0</t>
  </si>
  <si>
    <t>Wet weight</t>
  </si>
  <si>
    <t>g</t>
  </si>
  <si>
    <t>internal pH</t>
  </si>
  <si>
    <t>Garcia E, Hernandez JC, Clemente S</t>
  </si>
  <si>
    <t>Marine Environmental research</t>
  </si>
  <si>
    <t>Sphaerechinus granularis</t>
  </si>
  <si>
    <t>Diadema africanum</t>
  </si>
  <si>
    <t>if fertilization in AP is 100% there is no error in this paper; if treatment se in AT is 0 then the error is to small to measure from the graph</t>
  </si>
  <si>
    <t>Glandon HL, Kilbourne KH, Schijf J, Miller TJ</t>
  </si>
  <si>
    <t>Portunidae</t>
  </si>
  <si>
    <t>Callinectes sapidus</t>
  </si>
  <si>
    <t>Ca</t>
  </si>
  <si>
    <t>carapace weight HMC</t>
  </si>
  <si>
    <t>Gravinese PM, Enochs IC, Manzello DP, van Woesik R</t>
  </si>
  <si>
    <t>Estuarine, Coastal and Shelf Science</t>
  </si>
  <si>
    <t>Menippidae</t>
  </si>
  <si>
    <t>Menippe mercenaria</t>
  </si>
  <si>
    <t>Molt stage duration Z5</t>
  </si>
  <si>
    <t>Kong H, Clements JC, Dupont S, Wang T, Huang X, Shang Y, Huang W, Chen J, Hu M, Wang Y</t>
  </si>
  <si>
    <t>No predator</t>
  </si>
  <si>
    <t>force of total byssal threads</t>
  </si>
  <si>
    <t>Weight of byssal threads</t>
  </si>
  <si>
    <t>Byssal threads</t>
  </si>
  <si>
    <t xml:space="preserve">Clustering </t>
  </si>
  <si>
    <t>Legrand E, Riera P, Bohner O, Coudret J, Schlicklin F, Derrien M, Martin S</t>
  </si>
  <si>
    <t>Steromphala pennanti</t>
  </si>
  <si>
    <t>µmol O2 g DW-1 h-1</t>
  </si>
  <si>
    <t>Patellidae</t>
  </si>
  <si>
    <t>Patella ulyssiponensis</t>
  </si>
  <si>
    <t>Mos B, Dworjanyn SA, Mamo LT, Kelaher BP</t>
  </si>
  <si>
    <t>Sciene of the total environment</t>
  </si>
  <si>
    <t>greywacke substrate</t>
  </si>
  <si>
    <t>Basso L, Hendriks IE, Duarte CM</t>
  </si>
  <si>
    <t>Estuaries and Coasts</t>
  </si>
  <si>
    <t>Pinnidae</t>
  </si>
  <si>
    <t>Pinna nobilis</t>
  </si>
  <si>
    <t>UNCLEAR</t>
  </si>
  <si>
    <t>µmol O2 g DW-1 min-1</t>
  </si>
  <si>
    <t>grow efficiency</t>
  </si>
  <si>
    <t>mm day-1</t>
  </si>
  <si>
    <t>Büschner JV, Form AU, Riebesell U</t>
  </si>
  <si>
    <t>Caryophyllidae</t>
  </si>
  <si>
    <t>Lophelia pertusa</t>
  </si>
  <si>
    <t>high food</t>
  </si>
  <si>
    <t>% d-1</t>
  </si>
  <si>
    <t>Eklöf JS, Alsterberg C, Havenhand JN, Sundbäck K, Wood HL, Gamfeldt L</t>
  </si>
  <si>
    <t>Ecology letters</t>
  </si>
  <si>
    <t>Gammarus locusta</t>
  </si>
  <si>
    <t>weight</t>
  </si>
  <si>
    <t>g DW 0.1²</t>
  </si>
  <si>
    <t>individuals per 0.1m²</t>
  </si>
  <si>
    <t>Rissoa sp</t>
  </si>
  <si>
    <t>Karelitz SE, Uthicke S, Foo SA, Barker MF, Byrne M, Pecorino D, Lamare MD</t>
  </si>
  <si>
    <t>Global change biology</t>
  </si>
  <si>
    <t>Odontasteridae</t>
  </si>
  <si>
    <t>Odontaster validus</t>
  </si>
  <si>
    <t>Normal development</t>
  </si>
  <si>
    <t>treatment value is 0 and error is 0 means no individual had normal development</t>
  </si>
  <si>
    <t>Clypeasteridae</t>
  </si>
  <si>
    <t>Arachnoides placenta</t>
  </si>
  <si>
    <t>Fellaster zelandiae</t>
  </si>
  <si>
    <t>Echinidae</t>
  </si>
  <si>
    <t>Sterechinus neumayeri</t>
  </si>
  <si>
    <t>Asterinidae</t>
  </si>
  <si>
    <t>Fertilized eggs</t>
  </si>
  <si>
    <t>Keppel EA, Scrosati RA, Courtenay SC</t>
  </si>
  <si>
    <t>Marine Biology Research</t>
  </si>
  <si>
    <t>Asterias rubens</t>
  </si>
  <si>
    <t>growth rate in length</t>
  </si>
  <si>
    <t>mm week-1</t>
  </si>
  <si>
    <t>Calcified mass/soft tissue dry mass</t>
  </si>
  <si>
    <t>Li C, Meng Y, He C, Chan VBS, Yao H, Thiyagarajan V</t>
  </si>
  <si>
    <t>Biofouling</t>
  </si>
  <si>
    <t>Serpulidae</t>
  </si>
  <si>
    <t>Hydroides elegans</t>
  </si>
  <si>
    <t>Tube volume</t>
  </si>
  <si>
    <t>mm³</t>
  </si>
  <si>
    <t>Manriquez PH, Jara ME, Seguel ME, Torres R, Alarcon Em Lee MR</t>
  </si>
  <si>
    <t>% g day-1</t>
  </si>
  <si>
    <t>Total body weight change</t>
  </si>
  <si>
    <t>mg O2 g-1 h-1</t>
  </si>
  <si>
    <t>Sampaio E, Rodil IF, Vaz-Pinto F, Fernandez A, Arenas F</t>
  </si>
  <si>
    <t>Gibbula umbilicalis</t>
  </si>
  <si>
    <t>Consumption rate</t>
  </si>
  <si>
    <t>g algae * mg ind -1 * day-1</t>
  </si>
  <si>
    <t>Melitidae</t>
  </si>
  <si>
    <t>Melita palmata</t>
  </si>
  <si>
    <t>Tate RD, Benkendorff K, Ab Lah R, Kelaher BP</t>
  </si>
  <si>
    <t>Dicathais orbita</t>
  </si>
  <si>
    <t>oysters day-1</t>
  </si>
  <si>
    <t>Valles-Regino R, Tate R, Kelaher B, Savins D, Dowell A, Benkendorff K</t>
  </si>
  <si>
    <t>Marine drugs</t>
  </si>
  <si>
    <t>total lipid</t>
  </si>
  <si>
    <t>mg g tissue -1</t>
  </si>
  <si>
    <t>Byrne M, Ho MA, Koleits L, Price C, King CK, Virtue P, Tilbrook B, Lamare M</t>
  </si>
  <si>
    <t>Arm assymetry</t>
  </si>
  <si>
    <t>Rosa R, Trübenbach K, Pimentel MS, Boavida-Portugal J, Faleiro F, Baptista M, Dionisio G, Calado R, Pörtner HO, Repolho T</t>
  </si>
  <si>
    <t>Loligo vulgaris</t>
  </si>
  <si>
    <t>winter eggs</t>
  </si>
  <si>
    <t>% day-1</t>
  </si>
  <si>
    <t>development time</t>
  </si>
  <si>
    <t>LT100</t>
  </si>
  <si>
    <t>°C</t>
  </si>
  <si>
    <t>heat shock protein levels</t>
  </si>
  <si>
    <t>ng mg-1 wet mass</t>
  </si>
  <si>
    <t>Chua CM, Leggat W, Moya A, Baird AH</t>
  </si>
  <si>
    <t>Acropora millepora</t>
  </si>
  <si>
    <t>Acropora tenuis</t>
  </si>
  <si>
    <t>Time to motile stage</t>
  </si>
  <si>
    <t>h</t>
  </si>
  <si>
    <t>manually averaged date</t>
  </si>
  <si>
    <t>Harms L, Frickenhaus S, Schiffer M, Mark FC, Storch D, Held C, Pörtner HO, Lucassen M</t>
  </si>
  <si>
    <t>BMC Genomics</t>
  </si>
  <si>
    <t>hemolymph pH</t>
  </si>
  <si>
    <t>NBS scale</t>
  </si>
  <si>
    <t>Nguyen HD, Byrne M</t>
  </si>
  <si>
    <t>Parvulastra exigua</t>
  </si>
  <si>
    <t>Diameter</t>
  </si>
  <si>
    <t>Stubler AD, Furman BT, Peterson BJ</t>
  </si>
  <si>
    <t>Porites furcata</t>
  </si>
  <si>
    <t>Living corals, sponge absent</t>
  </si>
  <si>
    <t>mg CaCO3 cm² day-1</t>
  </si>
  <si>
    <t>Coral survival</t>
  </si>
  <si>
    <t>Pansch C, Nasrolahi A, Appelhans YS, Wahl M</t>
  </si>
  <si>
    <t>Balanidae</t>
  </si>
  <si>
    <t>Amphibalanus improvisus</t>
  </si>
  <si>
    <t xml:space="preserve">larval duration </t>
  </si>
  <si>
    <t>Edmunds PJ, Brown D, Moriarty V</t>
  </si>
  <si>
    <t>Porites rus</t>
  </si>
  <si>
    <t>mg cm-2 d-1</t>
  </si>
  <si>
    <t>CO2 is stated in Pa, calculated to uatm</t>
  </si>
  <si>
    <t>Porites spp</t>
  </si>
  <si>
    <t>Ericson JA, Ho MA, Miskelly A, King CK, Virtue P, Tilbrook B, Byrne M</t>
  </si>
  <si>
    <t>Polar Biology</t>
  </si>
  <si>
    <t>Normal Blastulae</t>
  </si>
  <si>
    <t>Zhang T, Qu Yi, Zhang Q, Tang J, Cao R, Dong Z, Wang Q, Zhao J</t>
  </si>
  <si>
    <t>Science of the Total Environment</t>
  </si>
  <si>
    <t>Tegulidae</t>
  </si>
  <si>
    <t>Trochus niloticus</t>
  </si>
  <si>
    <t>Lipid peroxidation</t>
  </si>
  <si>
    <t>nmol MDA/mg P</t>
  </si>
  <si>
    <t>mg O2/g/h</t>
  </si>
  <si>
    <t>SOD activity</t>
  </si>
  <si>
    <t>U/mg P</t>
  </si>
  <si>
    <t>Jiang L, Sun YF, Zhang YY, Tian Y, Lei XM, Zhou GW, Yuan T, Yuan XC, Liu S, Huang H</t>
  </si>
  <si>
    <t>Malondialdehyde</t>
  </si>
  <si>
    <t>nmol/mg/P</t>
  </si>
  <si>
    <t>Lee TH, McGill RAR, Fitzer S</t>
  </si>
  <si>
    <t>normal food</t>
  </si>
  <si>
    <t>Calcite content in shell</t>
  </si>
  <si>
    <t>13C VPDB permill</t>
  </si>
  <si>
    <t>Khan FU, Chen H, Gu H, Wang T, Dupont S, Kong H, Shang Y, Wang X, Lu W, Hu M, Wang Y</t>
  </si>
  <si>
    <t>high oxygen</t>
  </si>
  <si>
    <t>Total antioxidant capacity</t>
  </si>
  <si>
    <t>Levas S, Grottoli AG, Warner ME, Cai WJ, Bauer J, Schoepf V, Baumann JH, Matsui Y, Gearing C, Melman TF, Hoadley KD, Pettay DT, Hu X, Li Q, Xu H, Wang Y</t>
  </si>
  <si>
    <t>Day respiration</t>
  </si>
  <si>
    <t>umolO2/min/AFDW</t>
  </si>
  <si>
    <t>Turbinaria reniformis</t>
  </si>
  <si>
    <t>Schoepf V, Grottoli AG, Warner ME, Cai WJ, Melman TF, Hoadley KD, Pettay DT, Hu X, Li Q, Xu H, Wang Y, Matsui Y, Baumann JH</t>
  </si>
  <si>
    <t>second half</t>
  </si>
  <si>
    <t>mg/day/cm2</t>
  </si>
  <si>
    <t>Montipora monasteriata</t>
  </si>
  <si>
    <t>x10^3 cells/cm2</t>
  </si>
  <si>
    <t>Tissue biomass</t>
  </si>
  <si>
    <t>mg/cm2</t>
  </si>
  <si>
    <t>Arnberg M, Calosi P, Spicer JI, Tandberg AHS, Nilsen M, Westerlund S, Bechmann RK</t>
  </si>
  <si>
    <t>Pandalidae</t>
  </si>
  <si>
    <t>Pandalus Borealis</t>
  </si>
  <si>
    <t>Stage IV</t>
  </si>
  <si>
    <t>Larval stage</t>
  </si>
  <si>
    <t>Time to first hatch</t>
  </si>
  <si>
    <t>nmolO2/h/mg DW</t>
  </si>
  <si>
    <t>Hatching success</t>
  </si>
  <si>
    <t>number of artemia eaten</t>
  </si>
  <si>
    <t>ind/h</t>
  </si>
  <si>
    <t>Baragi LV, Anil AC</t>
  </si>
  <si>
    <t>Balanus amphitrite</t>
  </si>
  <si>
    <t>non-acclimated food</t>
  </si>
  <si>
    <t>non-acclimated food, cyprid instar</t>
  </si>
  <si>
    <t>RNA:DNA ratio</t>
  </si>
  <si>
    <t>larval length</t>
  </si>
  <si>
    <t>um</t>
  </si>
  <si>
    <t>Comeau S, Carpenter RC, Edmunds PJ</t>
  </si>
  <si>
    <t>high light level</t>
  </si>
  <si>
    <t>mg CaCO3/d/cm2</t>
  </si>
  <si>
    <t>Biomass</t>
  </si>
  <si>
    <t>Kavousi J, Reimer JD, Tanaka Y, Nakamura T</t>
  </si>
  <si>
    <t>Acropora digitifera</t>
  </si>
  <si>
    <t>pooled data</t>
  </si>
  <si>
    <t>Montipora digitata</t>
  </si>
  <si>
    <t>Porites clindrica</t>
  </si>
  <si>
    <t>log 10 transformed</t>
  </si>
  <si>
    <t>Burdett HL, Carruthers M, Donohue PJC, Wicks LC, Hennige SJ, Roberts JM, Kamenos NA</t>
  </si>
  <si>
    <t>DMSP concentration (intracellular concentration)</t>
  </si>
  <si>
    <t>antioxidant</t>
  </si>
  <si>
    <t>mmol/g biomass/nmol/L</t>
  </si>
  <si>
    <t>Gianguzza P, Visconti G, Gianguzza F, Vizzini S, Sara G, Dupont S</t>
  </si>
  <si>
    <t>Fertilization success</t>
  </si>
  <si>
    <t>0s as non fertilized</t>
  </si>
  <si>
    <t>0s as all died</t>
  </si>
  <si>
    <t>Kamya PZ, Dworjanyn SA, Hardy N, Mos B, Uthicke S, Byrne M</t>
  </si>
  <si>
    <t>Acanthasteridae</t>
  </si>
  <si>
    <t>Acanthaster planci</t>
  </si>
  <si>
    <t>10 days</t>
  </si>
  <si>
    <t>Normal larvae</t>
  </si>
  <si>
    <t>Length:width ratio</t>
  </si>
  <si>
    <t>Anthony KNR, Kline DI, Biaz-Pulido G, Hoeght-Guldberg O</t>
  </si>
  <si>
    <t>Porites lobata</t>
  </si>
  <si>
    <t>Net productivity</t>
  </si>
  <si>
    <t>umol O2/cm/d</t>
  </si>
  <si>
    <t>Acropora intermedia</t>
  </si>
  <si>
    <t>% weight increase per month</t>
  </si>
  <si>
    <t>48h</t>
  </si>
  <si>
    <t>veliger stage</t>
  </si>
  <si>
    <t>Byrne M, Soars NA, Ho MA, Wong E, McElroy D, Selvakumaraswamy P, Dworjanyn SA, Davis AR</t>
  </si>
  <si>
    <t>Gibbs MC, Parker LM, Scanes E, Byrne M, Oçonnor WA, Ross PM</t>
  </si>
  <si>
    <t>Triacylglyceride</t>
  </si>
  <si>
    <t>Enrique-Navarro A, Huertas IE, Cobo MJL, Prieto L</t>
  </si>
  <si>
    <t>Cepheidae</t>
  </si>
  <si>
    <t>Cotylorhiza tuberculata</t>
  </si>
  <si>
    <t>Growth by budding</t>
  </si>
  <si>
    <t>statolith volume</t>
  </si>
  <si>
    <t>um3</t>
  </si>
  <si>
    <t>Lemasson AJ, Knights AM</t>
  </si>
  <si>
    <t>Magellana gigas</t>
  </si>
  <si>
    <t>Shell strength</t>
  </si>
  <si>
    <t>Condition index</t>
  </si>
  <si>
    <t>Force required to induce muscle tear</t>
  </si>
  <si>
    <t>Mean growth rate</t>
  </si>
  <si>
    <t>um/d</t>
  </si>
  <si>
    <t>umol/g shell/d</t>
  </si>
  <si>
    <t>Carey N, Dupont S, Lundve B, Digwart JD</t>
  </si>
  <si>
    <t>different size classes were merged in the paper</t>
  </si>
  <si>
    <t>Mass specific oxygen uptake</t>
  </si>
  <si>
    <t>mg O2/h/g</t>
  </si>
  <si>
    <t>Ophiothricidae</t>
  </si>
  <si>
    <t>Ophiothrix fragilis</t>
  </si>
  <si>
    <t>Amphitoidae</t>
  </si>
  <si>
    <t>Amphiura filiformis</t>
  </si>
  <si>
    <t>Lenz EA, Edmunds PJ</t>
  </si>
  <si>
    <t>manualy averaged branches and plates in high light level</t>
  </si>
  <si>
    <t>mg/cm</t>
  </si>
  <si>
    <t>mg/cm/d</t>
  </si>
  <si>
    <t>Baria MVB, Kurihara H, Harii S</t>
  </si>
  <si>
    <t>Zoological science</t>
  </si>
  <si>
    <t>Fungiidae</t>
  </si>
  <si>
    <t>Fungia fungites</t>
  </si>
  <si>
    <t>Lithophyllon repanda</t>
  </si>
  <si>
    <t>Jiang L, Zhou GW, Zhang YY, Lei XM, Yuan T, Guo ML, Yuan XC, Lian JS, Liu S, Huang H</t>
  </si>
  <si>
    <t>Platygyra daedalea</t>
  </si>
  <si>
    <t>Schram, Schoenrock, McClintock, Amsler, Angus</t>
  </si>
  <si>
    <t>Change in wet weight</t>
  </si>
  <si>
    <t>Hiebenthal, Philipp, Eisenhauer, Wahl</t>
  </si>
  <si>
    <t>shell growth</t>
  </si>
  <si>
    <t>mm/week</t>
  </si>
  <si>
    <t>Pardo, Costa</t>
  </si>
  <si>
    <t>Ocyodidae</t>
  </si>
  <si>
    <t>Leptuca thayeri</t>
  </si>
  <si>
    <t>Egg volume</t>
  </si>
  <si>
    <t>yes that pCO2 level is correct, they measured pCO2 within egg masses of crustaceans - that is what it is apparently</t>
  </si>
  <si>
    <t>Glandon, Paynter, Rowe, Miller</t>
  </si>
  <si>
    <t>Journal of Shellfish Research</t>
  </si>
  <si>
    <t>umol O2 mg-1 h-1</t>
  </si>
  <si>
    <t>Chakravarti, Jarrold, Gibbin, Christen, Massamba-N'Siala, Blier, Calosi</t>
  </si>
  <si>
    <t>Evolutionary Applications</t>
  </si>
  <si>
    <t>parents at control level</t>
  </si>
  <si>
    <t>CS activity</t>
  </si>
  <si>
    <t>x10-1 U mg protein-1</t>
  </si>
  <si>
    <t>Wood, Spicer, Lowe, Widdicombe</t>
  </si>
  <si>
    <t>Ophiuridae</t>
  </si>
  <si>
    <t>Ophiura ophiura</t>
  </si>
  <si>
    <t>Bahr, Rodgers, Jokiel</t>
  </si>
  <si>
    <t>Leptastrea purpurea</t>
  </si>
  <si>
    <t>Gnet</t>
  </si>
  <si>
    <t>% DW changed</t>
  </si>
  <si>
    <t>Leung, Russell, Coleman, Kelaher, Connell</t>
  </si>
  <si>
    <t>Turbinidae</t>
  </si>
  <si>
    <t>Turbo undulatus</t>
  </si>
  <si>
    <t>Organ:Flesh ratio</t>
  </si>
  <si>
    <t>Newcomb, George, O'Donnell, Carrington</t>
  </si>
  <si>
    <t>Conservation Physiology</t>
  </si>
  <si>
    <t>Mytilus trossulus</t>
  </si>
  <si>
    <t xml:space="preserve">Force </t>
  </si>
  <si>
    <t>Wood, Spicer, Kendall, Lowe, Widdicombe</t>
  </si>
  <si>
    <t>Ophiocten sericeum</t>
  </si>
  <si>
    <t>Montipora capitata</t>
  </si>
  <si>
    <t>Melatunan, Calosi, Rundle, Moody, Widdicombe</t>
  </si>
  <si>
    <t>ATP</t>
  </si>
  <si>
    <t>umol/g</t>
  </si>
  <si>
    <t>Kroeker, Gaylord, Hill, Hosfeld, Miller, Sanford</t>
  </si>
  <si>
    <t xml:space="preserve">change in volume </t>
  </si>
  <si>
    <t>mg/cm3</t>
  </si>
  <si>
    <t>Nardi, Benedetti, d'Errico, Fattorini, Regoli</t>
  </si>
  <si>
    <t>Aquatic Toxicology</t>
  </si>
  <si>
    <t>digestive gland</t>
  </si>
  <si>
    <t>Catalase activity</t>
  </si>
  <si>
    <t>Tanedo, Villanueva, Torres, Ravago-Gatanco, Diego-McGlone</t>
  </si>
  <si>
    <t>Favites colemani</t>
  </si>
  <si>
    <t>Growth rate</t>
  </si>
  <si>
    <t>%/d</t>
  </si>
  <si>
    <t>Walther, Sartoris, Pörtner</t>
  </si>
  <si>
    <t>megalopa M14, svalbard</t>
  </si>
  <si>
    <t>calcium content</t>
  </si>
  <si>
    <t>mg/l/mg FW</t>
  </si>
  <si>
    <t>Turnover time</t>
  </si>
  <si>
    <t>chaetigers day¯¹</t>
  </si>
  <si>
    <t>Wang, Russell, Ding, Dong</t>
  </si>
  <si>
    <t>Cellana toreuma</t>
  </si>
  <si>
    <t>Q10</t>
  </si>
  <si>
    <t>Temperature coefficient</t>
  </si>
  <si>
    <t>Dong, Sun</t>
  </si>
  <si>
    <t>Ulmaridae</t>
  </si>
  <si>
    <t>Aurelia coerulea</t>
  </si>
  <si>
    <t>megalopa M14, helgoland</t>
  </si>
  <si>
    <t>Cameron, Reymond, Müller-Lundin, Westfield, Grabowski, Westphal, Ries</t>
  </si>
  <si>
    <t>Lopes, Faleiro, Rosa, Pimentel, Trubenbach, Repolho, Diniz, Rosa</t>
  </si>
  <si>
    <t>Veretillum cynomorium</t>
  </si>
  <si>
    <t>umol O2 g-1 h-1</t>
  </si>
  <si>
    <t>change in fluorescence</t>
  </si>
  <si>
    <t>Dark respiration</t>
  </si>
  <si>
    <t>Swiney,Long, Foy</t>
  </si>
  <si>
    <t>Lithodidae</t>
  </si>
  <si>
    <t>Paralithodes camtschaticus</t>
  </si>
  <si>
    <t>Increase in carapace length</t>
  </si>
  <si>
    <t>Jiang, Zhang, Guo, Guo, Zhang, Zhou, Cai, Lian, Qian, Huang</t>
  </si>
  <si>
    <t>Armstrong, Allen, Beltrand, Dubousquet, Stillman, Mills</t>
  </si>
  <si>
    <t>Comparing the effect of elevated pCO2 and temperature on the fertilization and early development of two species of oysters.</t>
  </si>
  <si>
    <t>Parker, Ross, O'Connor</t>
  </si>
  <si>
    <t>treatment fertilization</t>
  </si>
  <si>
    <t>mg O2 mg-1 h-1</t>
  </si>
  <si>
    <t>Number of lines crossed</t>
  </si>
  <si>
    <t>Extrapallial pH</t>
  </si>
  <si>
    <t>Lischka, Riebesell</t>
  </si>
  <si>
    <t>Limacinidae</t>
  </si>
  <si>
    <t>Limacina retroversa</t>
  </si>
  <si>
    <t>Limacina helicina</t>
  </si>
  <si>
    <t>Metric is still negative but must be positive</t>
  </si>
  <si>
    <t>Sparks, Foo, Uthicke, Byrne, Lamare</t>
  </si>
  <si>
    <t>Settlement success</t>
  </si>
  <si>
    <t>Comparing the effect of elevated pCO2 and temperature on the reproduction and early development of two species of oysters</t>
  </si>
  <si>
    <t>mean transformed + 1 to be able to calculate effect size</t>
  </si>
  <si>
    <t>Hu, Li, Sui, Li, Wang, Lu, Dupont</t>
  </si>
  <si>
    <t>gill tissue</t>
  </si>
  <si>
    <t>I.U. g-1 fresh mass</t>
  </si>
  <si>
    <t>HSP70</t>
  </si>
  <si>
    <t>Leung, Connell, Nagelkerken, Russell</t>
  </si>
  <si>
    <t>Thalotia conica</t>
  </si>
  <si>
    <t>subtidal</t>
  </si>
  <si>
    <t>Vickers hardness</t>
  </si>
  <si>
    <t xml:space="preserve">Fecundity </t>
  </si>
  <si>
    <t>Bulla quoyii</t>
  </si>
  <si>
    <t>Intermoult duration 2</t>
  </si>
  <si>
    <t>degree days</t>
  </si>
  <si>
    <t>Source_file</t>
  </si>
  <si>
    <t>ES_ID</t>
  </si>
  <si>
    <t>pos</t>
  </si>
  <si>
    <t>Study_ID</t>
  </si>
  <si>
    <t>Num_ID</t>
  </si>
  <si>
    <t>Include</t>
  </si>
  <si>
    <t>Author</t>
  </si>
  <si>
    <t>Link</t>
  </si>
  <si>
    <t>Year</t>
  </si>
  <si>
    <t>Country</t>
  </si>
  <si>
    <t>Site</t>
  </si>
  <si>
    <t>Ecosytem</t>
  </si>
  <si>
    <t>Ecosystem_category</t>
  </si>
  <si>
    <t>Ecosystem_type</t>
  </si>
  <si>
    <t>Biota_Group</t>
  </si>
  <si>
    <t>Broad_subgroup</t>
  </si>
  <si>
    <t>Group</t>
  </si>
  <si>
    <t>Latitude</t>
  </si>
  <si>
    <t>Longitude</t>
  </si>
  <si>
    <t>Treatment</t>
  </si>
  <si>
    <t>Duration</t>
  </si>
  <si>
    <t>Replication unit</t>
  </si>
  <si>
    <t>N_C</t>
  </si>
  <si>
    <t>N_T</t>
  </si>
  <si>
    <t>Other.moderators</t>
  </si>
  <si>
    <t>C_value_CO2</t>
  </si>
  <si>
    <t>T_value_CO2</t>
  </si>
  <si>
    <t>Common_id</t>
  </si>
  <si>
    <t>CO2_LOG</t>
  </si>
  <si>
    <t>Response_Biota</t>
  </si>
  <si>
    <t>Response_category</t>
  </si>
  <si>
    <t>Old_Biota_Group</t>
  </si>
  <si>
    <t>Biota_C_sd</t>
  </si>
  <si>
    <t>Biota_C</t>
  </si>
  <si>
    <t>Biota_T</t>
  </si>
  <si>
    <t>Biota_T_sd</t>
  </si>
  <si>
    <t>Behaviour</t>
  </si>
  <si>
    <t>Old_Response_category</t>
  </si>
  <si>
    <t>Zooplankton</t>
  </si>
  <si>
    <t>Meroplankton</t>
  </si>
  <si>
    <t>Already in database</t>
  </si>
  <si>
    <t>Not yet</t>
  </si>
  <si>
    <t>Already</t>
  </si>
  <si>
    <t>Planktonic?</t>
  </si>
  <si>
    <t>Notes</t>
  </si>
  <si>
    <t>EMBRYONIC-plankton (used chatgpt for quick filtering)</t>
  </si>
  <si>
    <t>Marine</t>
  </si>
  <si>
    <t>Common_ID</t>
  </si>
  <si>
    <t>Temp_I</t>
  </si>
  <si>
    <t>already in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</si>
</sst>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 fontId="0" fillId="0" borderId="0" xfId="0" applyNumberFormat="1"/>
    <xf numFmtId="0" fontId="16" fillId="0" borderId="0" xfId="0" applyFont="1"/>
    <xf numFmtId="0" fontId="16" fillId="33" borderId="0" xfId="0" applyFont="1" applyFill="1"/>
    <xf numFmtId="0" fontId="16" fillId="34" borderId="0" xfId="0" applyFont="1" applyFill="1"/>
    <xf numFmtId="0" fontId="16" fillId="35" borderId="0" xfId="0" applyFont="1" applyFill="1"/>
    <xf numFmtId="0" fontId="16" fillId="36" borderId="0" xfId="0" applyFont="1" applyFill="1"/>
    <xf numFmtId="0" fontId="16" fillId="37" borderId="0" xfId="0" applyFont="1" applyFill="1"/>
    <xf numFmtId="0" fontId="0" fillId="38" borderId="0" xfId="0" applyFill="1"/>
    <xf numFmtId="16" fontId="0" fillId="38" borderId="0" xfId="0" applyNumberFormat="1" applyFill="1"/>
    <xf numFmtId="0" fontId="16" fillId="39"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is Esturas" id="{5652A64C-D17E-4713-98DE-58446F452E29}"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A1" dT="2025-09-22T07:17:38.43" personId="{5652A64C-D17E-4713-98DE-58446F452E29}" id="{EE2D119D-FA23-46EB-BA48-5CD8284AD1F6}">
    <text>Just secondary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0521-FA41-4D86-87F2-B26C1B127C62}">
  <sheetPr filterMode="1"/>
  <dimension ref="A1:CF2332"/>
  <sheetViews>
    <sheetView tabSelected="1" topLeftCell="C1" zoomScale="163" workbookViewId="0">
      <selection activeCell="BR16" sqref="BR16"/>
    </sheetView>
  </sheetViews>
  <sheetFormatPr baseColWidth="10" defaultColWidth="8.83203125" defaultRowHeight="15" x14ac:dyDescent="0.2"/>
  <cols>
    <col min="1" max="2" width="10.5" customWidth="1"/>
    <col min="3" max="3" width="59.6640625" customWidth="1"/>
    <col min="8" max="8" width="64.83203125" customWidth="1"/>
    <col min="13" max="13" width="8.6640625" customWidth="1"/>
    <col min="14" max="14" width="22.5" customWidth="1"/>
    <col min="21" max="21" width="14.33203125" customWidth="1"/>
    <col min="22" max="22" width="17.6640625" customWidth="1"/>
    <col min="26" max="33" width="8.6640625" customWidth="1"/>
    <col min="41" max="46" width="8.6640625" customWidth="1"/>
    <col min="48" max="52" width="8.6640625" customWidth="1"/>
    <col min="63" max="63" width="15.33203125" customWidth="1"/>
    <col min="64" max="64" width="31.1640625" customWidth="1"/>
    <col min="65" max="65" width="25.1640625" customWidth="1"/>
    <col min="66" max="66" width="14.83203125" customWidth="1"/>
  </cols>
  <sheetData>
    <row r="1" spans="1:84" s="2" customFormat="1" x14ac:dyDescent="0.2">
      <c r="A1" s="2" t="s">
        <v>1089</v>
      </c>
      <c r="B1" s="2" t="s">
        <v>1090</v>
      </c>
      <c r="C1" s="2" t="s">
        <v>1136</v>
      </c>
      <c r="D1" s="3" t="s">
        <v>1092</v>
      </c>
      <c r="E1" s="4" t="s">
        <v>1091</v>
      </c>
      <c r="F1" s="4" t="s">
        <v>1093</v>
      </c>
      <c r="G1" s="3" t="s">
        <v>1094</v>
      </c>
      <c r="H1" s="3" t="s">
        <v>1095</v>
      </c>
      <c r="I1" s="2" t="s">
        <v>1096</v>
      </c>
      <c r="J1" s="3" t="s">
        <v>1097</v>
      </c>
      <c r="K1" s="3" t="s">
        <v>0</v>
      </c>
      <c r="L1" s="2" t="s">
        <v>1098</v>
      </c>
      <c r="M1" s="5" t="s">
        <v>1</v>
      </c>
      <c r="N1" s="2" t="s">
        <v>1099</v>
      </c>
      <c r="O1" s="2" t="s">
        <v>1100</v>
      </c>
      <c r="P1" s="2" t="s">
        <v>1101</v>
      </c>
      <c r="Q1" s="2" t="s">
        <v>1102</v>
      </c>
      <c r="R1" s="2" t="s">
        <v>1103</v>
      </c>
      <c r="S1" s="2" t="s">
        <v>1104</v>
      </c>
      <c r="T1" s="3" t="s">
        <v>1105</v>
      </c>
      <c r="U1" s="5" t="s">
        <v>2</v>
      </c>
      <c r="V1" s="3" t="s">
        <v>3</v>
      </c>
      <c r="W1" s="10" t="s">
        <v>1132</v>
      </c>
      <c r="X1" s="2" t="s">
        <v>1106</v>
      </c>
      <c r="Y1" s="2" t="s">
        <v>1107</v>
      </c>
      <c r="Z1" s="5" t="s">
        <v>4</v>
      </c>
      <c r="AA1" s="5" t="s">
        <v>5</v>
      </c>
      <c r="AB1" s="5" t="s">
        <v>6</v>
      </c>
      <c r="AC1" s="5" t="s">
        <v>7</v>
      </c>
      <c r="AD1" s="5" t="s">
        <v>8</v>
      </c>
      <c r="AE1" s="5" t="s">
        <v>9</v>
      </c>
      <c r="AF1" s="5" t="s">
        <v>10</v>
      </c>
      <c r="AG1" s="5" t="s">
        <v>11</v>
      </c>
      <c r="AH1" s="3" t="s">
        <v>1108</v>
      </c>
      <c r="AI1" s="2" t="s">
        <v>1109</v>
      </c>
      <c r="AJ1" s="2" t="s">
        <v>1110</v>
      </c>
      <c r="AK1" s="3" t="s">
        <v>1111</v>
      </c>
      <c r="AL1" s="3" t="s">
        <v>1112</v>
      </c>
      <c r="AM1" s="3" t="s">
        <v>1113</v>
      </c>
      <c r="AN1" s="3" t="s">
        <v>1114</v>
      </c>
      <c r="AO1" s="5" t="s">
        <v>12</v>
      </c>
      <c r="AP1" s="5" t="s">
        <v>13</v>
      </c>
      <c r="AQ1" s="5" t="s">
        <v>14</v>
      </c>
      <c r="AR1" s="5" t="s">
        <v>15</v>
      </c>
      <c r="AS1" s="5" t="s">
        <v>16</v>
      </c>
      <c r="AT1" s="5" t="s">
        <v>17</v>
      </c>
      <c r="AU1" s="3" t="s">
        <v>1115</v>
      </c>
      <c r="AV1" s="5" t="s">
        <v>18</v>
      </c>
      <c r="AW1" s="5" t="s">
        <v>19</v>
      </c>
      <c r="AX1" s="5" t="s">
        <v>20</v>
      </c>
      <c r="AY1" s="5" t="s">
        <v>21</v>
      </c>
      <c r="AZ1" s="5" t="s">
        <v>22</v>
      </c>
      <c r="BA1" s="6" t="s">
        <v>1116</v>
      </c>
      <c r="BB1" s="3" t="s">
        <v>1117</v>
      </c>
      <c r="BC1" s="3" t="s">
        <v>23</v>
      </c>
      <c r="BD1" s="5" t="s">
        <v>24</v>
      </c>
      <c r="BE1" s="5" t="s">
        <v>25</v>
      </c>
      <c r="BF1" s="3" t="s">
        <v>1137</v>
      </c>
      <c r="BG1" s="5" t="s">
        <v>26</v>
      </c>
      <c r="BH1" s="5" t="s">
        <v>27</v>
      </c>
      <c r="BI1" s="5" t="s">
        <v>28</v>
      </c>
      <c r="BJ1" s="5" t="s">
        <v>29</v>
      </c>
      <c r="BK1" s="5" t="s">
        <v>30</v>
      </c>
      <c r="BL1" s="5" t="s">
        <v>31</v>
      </c>
      <c r="BM1" s="3" t="s">
        <v>1118</v>
      </c>
      <c r="BN1" s="5" t="s">
        <v>32</v>
      </c>
      <c r="BO1" s="5" t="s">
        <v>33</v>
      </c>
      <c r="BP1" s="3" t="s">
        <v>1126</v>
      </c>
      <c r="BQ1" s="3" t="s">
        <v>1119</v>
      </c>
      <c r="BR1" s="5" t="s">
        <v>34</v>
      </c>
      <c r="BS1" s="3" t="s">
        <v>1120</v>
      </c>
      <c r="BT1" s="3" t="s">
        <v>1122</v>
      </c>
      <c r="BU1" s="5" t="s">
        <v>35</v>
      </c>
      <c r="BV1" s="5" t="s">
        <v>36</v>
      </c>
      <c r="BW1" s="3" t="s">
        <v>1121</v>
      </c>
      <c r="BX1" s="3" t="s">
        <v>1123</v>
      </c>
      <c r="BY1" s="5" t="s">
        <v>37</v>
      </c>
      <c r="BZ1" s="5" t="s">
        <v>38</v>
      </c>
      <c r="CA1" s="3" t="s">
        <v>1124</v>
      </c>
      <c r="CB1" s="5" t="s">
        <v>39</v>
      </c>
      <c r="CC1" s="2" t="s">
        <v>40</v>
      </c>
      <c r="CD1" s="7" t="s">
        <v>41</v>
      </c>
      <c r="CE1" s="7" t="s">
        <v>42</v>
      </c>
      <c r="CF1" s="2" t="s">
        <v>1133</v>
      </c>
    </row>
    <row r="2" spans="1:84" hidden="1" x14ac:dyDescent="0.2">
      <c r="D2">
        <v>1</v>
      </c>
      <c r="G2" t="s">
        <v>43</v>
      </c>
      <c r="H2" t="s">
        <v>44</v>
      </c>
      <c r="J2">
        <v>2011</v>
      </c>
      <c r="M2" t="s">
        <v>45</v>
      </c>
      <c r="T2" t="s">
        <v>46</v>
      </c>
      <c r="U2" t="s">
        <v>47</v>
      </c>
      <c r="V2" t="s">
        <v>48</v>
      </c>
      <c r="Z2" t="s">
        <v>49</v>
      </c>
      <c r="AA2" t="s">
        <v>49</v>
      </c>
      <c r="AB2" t="s">
        <v>50</v>
      </c>
      <c r="AC2" t="s">
        <v>51</v>
      </c>
      <c r="AD2" t="s">
        <v>52</v>
      </c>
      <c r="AE2" t="s">
        <v>53</v>
      </c>
      <c r="AF2" t="s">
        <v>52</v>
      </c>
      <c r="AG2" t="s">
        <v>54</v>
      </c>
      <c r="AH2" t="s">
        <v>55</v>
      </c>
      <c r="AK2">
        <v>10</v>
      </c>
      <c r="AL2">
        <v>10</v>
      </c>
      <c r="AN2">
        <v>323</v>
      </c>
      <c r="AO2">
        <v>15</v>
      </c>
      <c r="AP2" t="s">
        <v>56</v>
      </c>
      <c r="AQ2" t="s">
        <v>57</v>
      </c>
      <c r="AR2">
        <v>8.1999999999999993</v>
      </c>
      <c r="AS2" t="s">
        <v>56</v>
      </c>
      <c r="AT2" t="s">
        <v>56</v>
      </c>
      <c r="AU2">
        <v>1053</v>
      </c>
      <c r="AV2">
        <v>11</v>
      </c>
      <c r="AW2" t="s">
        <v>56</v>
      </c>
      <c r="AX2">
        <v>7.8</v>
      </c>
      <c r="AY2" t="s">
        <v>56</v>
      </c>
      <c r="AZ2" t="s">
        <v>56</v>
      </c>
      <c r="BB2">
        <f>LOG(AU2)</f>
        <v>3.0224283711854865</v>
      </c>
      <c r="BC2">
        <v>19</v>
      </c>
      <c r="BD2" t="s">
        <v>56</v>
      </c>
      <c r="BE2" t="s">
        <v>56</v>
      </c>
      <c r="BF2">
        <v>19</v>
      </c>
      <c r="BG2" t="s">
        <v>56</v>
      </c>
      <c r="BH2" t="s">
        <v>56</v>
      </c>
      <c r="BI2">
        <v>730</v>
      </c>
      <c r="BJ2">
        <v>0</v>
      </c>
      <c r="BK2" t="s">
        <v>56</v>
      </c>
      <c r="BL2" t="s">
        <v>58</v>
      </c>
      <c r="BM2" t="s">
        <v>59</v>
      </c>
      <c r="BN2" t="s">
        <v>60</v>
      </c>
      <c r="BO2" t="s">
        <v>61</v>
      </c>
      <c r="BP2" t="s">
        <v>62</v>
      </c>
      <c r="BR2" t="s">
        <v>63</v>
      </c>
      <c r="BT2">
        <v>0.03</v>
      </c>
      <c r="BU2">
        <v>2.5000000000000001E-2</v>
      </c>
      <c r="BV2">
        <v>0</v>
      </c>
      <c r="BW2">
        <f>BV2*SQRT(AK2)</f>
        <v>0</v>
      </c>
      <c r="BX2">
        <v>0.02</v>
      </c>
      <c r="BY2">
        <v>1.9E-2</v>
      </c>
      <c r="BZ2">
        <v>0</v>
      </c>
      <c r="CA2">
        <f>BZ2*SQRT(AL2)</f>
        <v>0</v>
      </c>
      <c r="CB2">
        <v>14</v>
      </c>
      <c r="CC2">
        <v>4</v>
      </c>
      <c r="CD2">
        <v>-0.27400000000000002</v>
      </c>
      <c r="CE2">
        <v>3.9300000000000002E-2</v>
      </c>
    </row>
    <row r="3" spans="1:84" hidden="1" x14ac:dyDescent="0.2">
      <c r="D3">
        <v>1</v>
      </c>
      <c r="G3" t="s">
        <v>43</v>
      </c>
      <c r="H3" t="s">
        <v>44</v>
      </c>
      <c r="J3">
        <v>2011</v>
      </c>
      <c r="M3" t="s">
        <v>45</v>
      </c>
      <c r="T3" t="s">
        <v>46</v>
      </c>
      <c r="U3" t="s">
        <v>47</v>
      </c>
      <c r="V3" t="s">
        <v>48</v>
      </c>
      <c r="Z3" t="s">
        <v>49</v>
      </c>
      <c r="AA3" t="s">
        <v>49</v>
      </c>
      <c r="AB3" t="s">
        <v>50</v>
      </c>
      <c r="AC3" t="s">
        <v>51</v>
      </c>
      <c r="AD3" t="s">
        <v>52</v>
      </c>
      <c r="AE3" t="s">
        <v>53</v>
      </c>
      <c r="AF3" t="s">
        <v>52</v>
      </c>
      <c r="AG3" t="s">
        <v>52</v>
      </c>
      <c r="AH3" t="s">
        <v>64</v>
      </c>
      <c r="AK3">
        <v>10</v>
      </c>
      <c r="AL3">
        <v>10</v>
      </c>
      <c r="AN3">
        <v>323</v>
      </c>
      <c r="AO3">
        <v>15</v>
      </c>
      <c r="AP3" t="s">
        <v>56</v>
      </c>
      <c r="AQ3" t="s">
        <v>57</v>
      </c>
      <c r="AR3">
        <v>8.1999999999999993</v>
      </c>
      <c r="AS3" t="s">
        <v>56</v>
      </c>
      <c r="AT3" t="s">
        <v>56</v>
      </c>
      <c r="AU3">
        <v>1107</v>
      </c>
      <c r="AV3">
        <v>11</v>
      </c>
      <c r="AW3" t="s">
        <v>56</v>
      </c>
      <c r="AX3">
        <v>7.8</v>
      </c>
      <c r="AY3" t="s">
        <v>56</v>
      </c>
      <c r="AZ3" t="s">
        <v>56</v>
      </c>
      <c r="BB3">
        <f t="shared" ref="BB3:BB6" si="0">LOG(AU3)</f>
        <v>3.0441476208787228</v>
      </c>
      <c r="BC3">
        <v>19</v>
      </c>
      <c r="BD3" t="s">
        <v>56</v>
      </c>
      <c r="BE3" t="s">
        <v>56</v>
      </c>
      <c r="BF3">
        <v>25</v>
      </c>
      <c r="BG3" t="s">
        <v>56</v>
      </c>
      <c r="BH3" t="s">
        <v>56</v>
      </c>
      <c r="BI3">
        <v>784</v>
      </c>
      <c r="BJ3">
        <v>6</v>
      </c>
      <c r="BK3" t="s">
        <v>56</v>
      </c>
      <c r="BL3" t="s">
        <v>58</v>
      </c>
      <c r="BM3" t="s">
        <v>59</v>
      </c>
      <c r="BN3" t="s">
        <v>60</v>
      </c>
      <c r="BO3" t="s">
        <v>61</v>
      </c>
      <c r="BP3" t="s">
        <v>62</v>
      </c>
      <c r="BR3" t="s">
        <v>63</v>
      </c>
      <c r="BT3">
        <v>0.03</v>
      </c>
      <c r="BU3">
        <v>2.5000000000000001E-2</v>
      </c>
      <c r="BV3">
        <v>0</v>
      </c>
      <c r="BW3">
        <f t="shared" ref="BW3:BW6" si="1">BV3*SQRT(AK3)</f>
        <v>0</v>
      </c>
      <c r="BX3">
        <v>0.03</v>
      </c>
      <c r="BY3">
        <v>3.2000000000000001E-2</v>
      </c>
      <c r="BZ3">
        <v>0</v>
      </c>
      <c r="CA3">
        <f t="shared" ref="CA3:CA6" si="2">BZ3*SQRT(AL3)</f>
        <v>0</v>
      </c>
      <c r="CB3">
        <v>14</v>
      </c>
      <c r="CC3">
        <v>4</v>
      </c>
      <c r="CD3">
        <v>0.247</v>
      </c>
      <c r="CE3">
        <v>2.3199999999999998E-2</v>
      </c>
    </row>
    <row r="4" spans="1:84" hidden="1" x14ac:dyDescent="0.2">
      <c r="D4">
        <v>1</v>
      </c>
      <c r="G4" t="s">
        <v>43</v>
      </c>
      <c r="H4" t="s">
        <v>44</v>
      </c>
      <c r="J4">
        <v>2011</v>
      </c>
      <c r="M4" t="s">
        <v>45</v>
      </c>
      <c r="T4" t="s">
        <v>46</v>
      </c>
      <c r="U4" t="s">
        <v>47</v>
      </c>
      <c r="V4" t="s">
        <v>48</v>
      </c>
      <c r="Z4" t="s">
        <v>49</v>
      </c>
      <c r="AA4" t="s">
        <v>49</v>
      </c>
      <c r="AB4" t="s">
        <v>50</v>
      </c>
      <c r="AC4" t="s">
        <v>51</v>
      </c>
      <c r="AD4" t="s">
        <v>52</v>
      </c>
      <c r="AE4" t="s">
        <v>53</v>
      </c>
      <c r="AF4" t="s">
        <v>52</v>
      </c>
      <c r="AG4" t="s">
        <v>54</v>
      </c>
      <c r="AH4" t="s">
        <v>55</v>
      </c>
      <c r="AK4">
        <v>10</v>
      </c>
      <c r="AL4">
        <v>10</v>
      </c>
      <c r="AN4">
        <v>323</v>
      </c>
      <c r="AO4">
        <v>15</v>
      </c>
      <c r="AP4" t="s">
        <v>56</v>
      </c>
      <c r="AQ4" t="s">
        <v>57</v>
      </c>
      <c r="AR4">
        <v>8.1999999999999993</v>
      </c>
      <c r="AS4" t="s">
        <v>56</v>
      </c>
      <c r="AT4" t="s">
        <v>56</v>
      </c>
      <c r="AU4">
        <v>1731</v>
      </c>
      <c r="AV4">
        <v>18</v>
      </c>
      <c r="AW4" t="s">
        <v>56</v>
      </c>
      <c r="AX4">
        <v>7.6</v>
      </c>
      <c r="AY4" t="s">
        <v>56</v>
      </c>
      <c r="AZ4" t="s">
        <v>56</v>
      </c>
      <c r="BB4">
        <f t="shared" si="0"/>
        <v>3.238297067875394</v>
      </c>
      <c r="BC4">
        <v>19</v>
      </c>
      <c r="BD4" t="s">
        <v>56</v>
      </c>
      <c r="BE4" t="s">
        <v>56</v>
      </c>
      <c r="BF4">
        <v>19</v>
      </c>
      <c r="BG4" t="s">
        <v>56</v>
      </c>
      <c r="BH4" t="s">
        <v>56</v>
      </c>
      <c r="BI4">
        <v>1408</v>
      </c>
      <c r="BJ4">
        <v>0</v>
      </c>
      <c r="BK4" t="s">
        <v>56</v>
      </c>
      <c r="BL4" t="s">
        <v>58</v>
      </c>
      <c r="BM4" t="s">
        <v>59</v>
      </c>
      <c r="BN4" t="s">
        <v>60</v>
      </c>
      <c r="BO4" t="s">
        <v>61</v>
      </c>
      <c r="BP4" t="s">
        <v>62</v>
      </c>
      <c r="BR4" t="s">
        <v>63</v>
      </c>
      <c r="BT4">
        <v>0.03</v>
      </c>
      <c r="BU4">
        <v>2.5000000000000001E-2</v>
      </c>
      <c r="BV4">
        <v>0</v>
      </c>
      <c r="BW4">
        <f t="shared" si="1"/>
        <v>0</v>
      </c>
      <c r="BX4">
        <v>0.04</v>
      </c>
      <c r="BY4">
        <v>3.9E-2</v>
      </c>
      <c r="BZ4">
        <v>0.01</v>
      </c>
      <c r="CA4">
        <f t="shared" si="2"/>
        <v>3.1622776601683798E-2</v>
      </c>
      <c r="CB4">
        <v>14</v>
      </c>
      <c r="CC4">
        <v>4</v>
      </c>
      <c r="CD4">
        <v>0.44500000000000001</v>
      </c>
      <c r="CE4">
        <v>3.0800000000000001E-2</v>
      </c>
    </row>
    <row r="5" spans="1:84" hidden="1" x14ac:dyDescent="0.2">
      <c r="D5">
        <v>1</v>
      </c>
      <c r="G5" t="s">
        <v>43</v>
      </c>
      <c r="H5" t="s">
        <v>44</v>
      </c>
      <c r="J5">
        <v>2011</v>
      </c>
      <c r="M5" t="s">
        <v>45</v>
      </c>
      <c r="T5" t="s">
        <v>46</v>
      </c>
      <c r="U5" t="s">
        <v>47</v>
      </c>
      <c r="V5" t="s">
        <v>48</v>
      </c>
      <c r="Z5" t="s">
        <v>49</v>
      </c>
      <c r="AA5" t="s">
        <v>49</v>
      </c>
      <c r="AB5" t="s">
        <v>50</v>
      </c>
      <c r="AC5" t="s">
        <v>51</v>
      </c>
      <c r="AD5" t="s">
        <v>52</v>
      </c>
      <c r="AE5" t="s">
        <v>53</v>
      </c>
      <c r="AF5" t="s">
        <v>52</v>
      </c>
      <c r="AG5" t="s">
        <v>52</v>
      </c>
      <c r="AH5" t="s">
        <v>64</v>
      </c>
      <c r="AK5">
        <v>10</v>
      </c>
      <c r="AL5">
        <v>9</v>
      </c>
      <c r="AN5">
        <v>323</v>
      </c>
      <c r="AO5">
        <v>15</v>
      </c>
      <c r="AP5" t="s">
        <v>56</v>
      </c>
      <c r="AQ5" t="s">
        <v>57</v>
      </c>
      <c r="AR5">
        <v>8.1999999999999993</v>
      </c>
      <c r="AS5" t="s">
        <v>56</v>
      </c>
      <c r="AT5" t="s">
        <v>56</v>
      </c>
      <c r="AU5">
        <v>1831</v>
      </c>
      <c r="AV5">
        <v>19</v>
      </c>
      <c r="AW5" t="s">
        <v>56</v>
      </c>
      <c r="AX5">
        <v>7.6</v>
      </c>
      <c r="AY5" t="s">
        <v>56</v>
      </c>
      <c r="AZ5" t="s">
        <v>56</v>
      </c>
      <c r="BB5">
        <f t="shared" si="0"/>
        <v>3.2626883443016963</v>
      </c>
      <c r="BC5">
        <v>19</v>
      </c>
      <c r="BD5" t="s">
        <v>56</v>
      </c>
      <c r="BE5" t="s">
        <v>56</v>
      </c>
      <c r="BF5">
        <v>25</v>
      </c>
      <c r="BG5" t="s">
        <v>56</v>
      </c>
      <c r="BH5" t="s">
        <v>56</v>
      </c>
      <c r="BI5">
        <v>1508</v>
      </c>
      <c r="BJ5">
        <v>6</v>
      </c>
      <c r="BK5" t="s">
        <v>56</v>
      </c>
      <c r="BL5" t="s">
        <v>58</v>
      </c>
      <c r="BM5" t="s">
        <v>59</v>
      </c>
      <c r="BN5" t="s">
        <v>60</v>
      </c>
      <c r="BO5" t="s">
        <v>61</v>
      </c>
      <c r="BP5" t="s">
        <v>62</v>
      </c>
      <c r="BR5" t="s">
        <v>63</v>
      </c>
      <c r="BT5">
        <v>0.03</v>
      </c>
      <c r="BU5">
        <v>2.5000000000000001E-2</v>
      </c>
      <c r="BV5">
        <v>0</v>
      </c>
      <c r="BW5">
        <f t="shared" si="1"/>
        <v>0</v>
      </c>
      <c r="BX5">
        <v>0.04</v>
      </c>
      <c r="BY5">
        <v>4.2000000000000003E-2</v>
      </c>
      <c r="BZ5">
        <v>0.01</v>
      </c>
      <c r="CA5">
        <f t="shared" si="2"/>
        <v>0.03</v>
      </c>
      <c r="CB5">
        <v>14</v>
      </c>
      <c r="CC5">
        <v>4</v>
      </c>
      <c r="CD5">
        <v>0.51900000000000002</v>
      </c>
      <c r="CE5">
        <v>3.4799999999999998E-2</v>
      </c>
    </row>
    <row r="6" spans="1:84" hidden="1" x14ac:dyDescent="0.2">
      <c r="D6">
        <v>1</v>
      </c>
      <c r="G6" t="s">
        <v>43</v>
      </c>
      <c r="H6" t="s">
        <v>44</v>
      </c>
      <c r="J6">
        <v>2011</v>
      </c>
      <c r="M6" t="s">
        <v>45</v>
      </c>
      <c r="T6" t="s">
        <v>46</v>
      </c>
      <c r="U6" t="s">
        <v>47</v>
      </c>
      <c r="V6" t="s">
        <v>48</v>
      </c>
      <c r="Z6" t="s">
        <v>49</v>
      </c>
      <c r="AA6" t="s">
        <v>49</v>
      </c>
      <c r="AB6" t="s">
        <v>50</v>
      </c>
      <c r="AC6" t="s">
        <v>51</v>
      </c>
      <c r="AD6" t="s">
        <v>52</v>
      </c>
      <c r="AE6" t="s">
        <v>53</v>
      </c>
      <c r="AF6" t="s">
        <v>54</v>
      </c>
      <c r="AG6" t="s">
        <v>52</v>
      </c>
      <c r="AH6" t="s">
        <v>65</v>
      </c>
      <c r="AK6">
        <v>10</v>
      </c>
      <c r="AL6">
        <v>10</v>
      </c>
      <c r="AN6">
        <v>323</v>
      </c>
      <c r="AO6">
        <v>15</v>
      </c>
      <c r="AP6" t="s">
        <v>56</v>
      </c>
      <c r="AQ6" t="s">
        <v>57</v>
      </c>
      <c r="AR6">
        <v>8.1999999999999993</v>
      </c>
      <c r="AS6" t="s">
        <v>56</v>
      </c>
      <c r="AT6" t="s">
        <v>56</v>
      </c>
      <c r="AU6">
        <v>331</v>
      </c>
      <c r="AV6">
        <v>15</v>
      </c>
      <c r="AW6" t="s">
        <v>56</v>
      </c>
      <c r="AX6">
        <v>8.1999999999999993</v>
      </c>
      <c r="AY6" t="s">
        <v>56</v>
      </c>
      <c r="AZ6" t="s">
        <v>56</v>
      </c>
      <c r="BB6">
        <f t="shared" si="0"/>
        <v>2.5198279937757189</v>
      </c>
      <c r="BC6">
        <v>19</v>
      </c>
      <c r="BD6" t="s">
        <v>56</v>
      </c>
      <c r="BE6" t="s">
        <v>56</v>
      </c>
      <c r="BF6">
        <v>25</v>
      </c>
      <c r="BG6" t="s">
        <v>56</v>
      </c>
      <c r="BH6" t="s">
        <v>56</v>
      </c>
      <c r="BI6">
        <v>8</v>
      </c>
      <c r="BJ6">
        <v>6</v>
      </c>
      <c r="BK6" t="s">
        <v>56</v>
      </c>
      <c r="BL6" t="s">
        <v>58</v>
      </c>
      <c r="BM6" t="s">
        <v>59</v>
      </c>
      <c r="BN6" t="s">
        <v>60</v>
      </c>
      <c r="BO6" t="s">
        <v>61</v>
      </c>
      <c r="BP6" t="s">
        <v>62</v>
      </c>
      <c r="BR6" t="s">
        <v>63</v>
      </c>
      <c r="BT6">
        <v>0.03</v>
      </c>
      <c r="BU6">
        <v>2.5000000000000001E-2</v>
      </c>
      <c r="BV6">
        <v>0</v>
      </c>
      <c r="BW6">
        <f t="shared" si="1"/>
        <v>0</v>
      </c>
      <c r="BX6">
        <v>0.05</v>
      </c>
      <c r="BY6">
        <v>4.4999999999999998E-2</v>
      </c>
      <c r="BZ6">
        <v>0.01</v>
      </c>
      <c r="CA6">
        <f t="shared" si="2"/>
        <v>3.1622776601683798E-2</v>
      </c>
      <c r="CB6">
        <v>14</v>
      </c>
      <c r="CC6">
        <v>4</v>
      </c>
      <c r="CD6">
        <v>0.58799999999999997</v>
      </c>
      <c r="CE6">
        <v>3.2199999999999999E-2</v>
      </c>
    </row>
    <row r="7" spans="1:84" hidden="1" x14ac:dyDescent="0.2">
      <c r="B7" t="str">
        <f>ROW()-1&amp;"_AltersInvert"</f>
        <v>6_AltersInvert</v>
      </c>
      <c r="C7" t="str">
        <f>D7&amp;"_"&amp;
SUBSTITUTE(TRIM(V7)," ","_")&amp;"_"&amp;
TRIM(AC7)&amp;"_"&amp;
"CO2"&amp;TEXT(AN7,"0.00")&amp;"_"&amp;
"pH"&amp;TEXT(AR7,"0.00")&amp;"_"&amp;
"T"&amp;TEXT(BC7,"0.##")</f>
        <v>111_Sterechinus_neumayeri_LARVA_CO2437.00_pH7.99_T-0.9</v>
      </c>
      <c r="D7">
        <v>111</v>
      </c>
      <c r="G7" t="s">
        <v>43</v>
      </c>
      <c r="H7" t="s">
        <v>830</v>
      </c>
      <c r="J7">
        <v>2013</v>
      </c>
      <c r="M7" t="s">
        <v>789</v>
      </c>
      <c r="P7" t="s">
        <v>1135</v>
      </c>
      <c r="R7" t="s">
        <v>1127</v>
      </c>
      <c r="S7" t="s">
        <v>1128</v>
      </c>
      <c r="T7" t="s">
        <v>46</v>
      </c>
      <c r="U7" t="s">
        <v>797</v>
      </c>
      <c r="V7" t="s">
        <v>798</v>
      </c>
      <c r="Z7" t="s">
        <v>475</v>
      </c>
      <c r="AA7" t="s">
        <v>475</v>
      </c>
      <c r="AB7" t="s">
        <v>71</v>
      </c>
      <c r="AC7" t="s">
        <v>72</v>
      </c>
      <c r="AD7" t="s">
        <v>52</v>
      </c>
      <c r="AE7" t="s">
        <v>53</v>
      </c>
      <c r="AF7" t="s">
        <v>52</v>
      </c>
      <c r="AG7" t="s">
        <v>54</v>
      </c>
      <c r="AH7" t="s">
        <v>55</v>
      </c>
      <c r="AK7">
        <v>32</v>
      </c>
      <c r="AL7">
        <v>32</v>
      </c>
      <c r="AM7" t="s">
        <v>342</v>
      </c>
      <c r="AN7">
        <v>437</v>
      </c>
      <c r="AO7">
        <v>4</v>
      </c>
      <c r="AP7" t="s">
        <v>56</v>
      </c>
      <c r="AQ7" t="s">
        <v>118</v>
      </c>
      <c r="AR7">
        <v>7.99</v>
      </c>
      <c r="AS7">
        <v>0.01</v>
      </c>
      <c r="AT7" t="s">
        <v>56</v>
      </c>
      <c r="AU7">
        <v>1399</v>
      </c>
      <c r="AV7">
        <v>12</v>
      </c>
      <c r="AW7" t="s">
        <v>56</v>
      </c>
      <c r="AX7">
        <v>7.62</v>
      </c>
      <c r="AY7">
        <v>0.01</v>
      </c>
      <c r="AZ7" t="s">
        <v>56</v>
      </c>
      <c r="BB7">
        <f>LOG(AU7)</f>
        <v>3.1458177144918276</v>
      </c>
      <c r="BC7">
        <v>-0.9</v>
      </c>
      <c r="BD7">
        <v>0.1</v>
      </c>
      <c r="BE7" t="s">
        <v>56</v>
      </c>
      <c r="BF7">
        <v>-0.9</v>
      </c>
      <c r="BG7">
        <v>0.1</v>
      </c>
      <c r="BH7" t="s">
        <v>56</v>
      </c>
      <c r="BI7">
        <v>962</v>
      </c>
      <c r="BJ7">
        <v>0</v>
      </c>
      <c r="BK7" t="s">
        <v>56</v>
      </c>
      <c r="BL7" t="s">
        <v>831</v>
      </c>
      <c r="BM7" t="s">
        <v>86</v>
      </c>
      <c r="BN7" t="s">
        <v>340</v>
      </c>
      <c r="BO7" t="s">
        <v>180</v>
      </c>
      <c r="BP7" t="s">
        <v>9</v>
      </c>
      <c r="BQ7" t="s">
        <v>9</v>
      </c>
      <c r="BR7" t="s">
        <v>63</v>
      </c>
      <c r="BT7">
        <v>0.01</v>
      </c>
      <c r="BU7">
        <v>9.2770000000000005E-3</v>
      </c>
      <c r="BV7">
        <v>0</v>
      </c>
      <c r="BW7">
        <f>BV7*SQRT(AK7)</f>
        <v>0</v>
      </c>
      <c r="BX7">
        <v>0.02</v>
      </c>
      <c r="BY7">
        <v>1.5943599999999999E-2</v>
      </c>
      <c r="BZ7">
        <v>0</v>
      </c>
      <c r="CA7">
        <f>BZ7*SQRT(AL7)</f>
        <v>0</v>
      </c>
      <c r="CB7">
        <v>21</v>
      </c>
      <c r="CC7">
        <v>12</v>
      </c>
      <c r="CD7">
        <v>-0.54200000000000004</v>
      </c>
      <c r="CE7">
        <v>2.2499999999999999E-2</v>
      </c>
      <c r="CF7" s="8"/>
    </row>
    <row r="8" spans="1:84" hidden="1" x14ac:dyDescent="0.2">
      <c r="B8" t="str">
        <f>ROW()-1&amp;"_AltersInvert"</f>
        <v>7_AltersInvert</v>
      </c>
      <c r="C8" t="str">
        <f>D8&amp;"_"&amp;
SUBSTITUTE(TRIM(V8)," ","_")&amp;"_"&amp;
TRIM(AC8)&amp;"_"&amp;
"CO2"&amp;TEXT(AN8,"0.00")&amp;"_"&amp;
"pH"&amp;TEXT(AR8,"0.00")&amp;"_"&amp;
"T"&amp;TEXT(BC8,"0.##")</f>
        <v>111_Sterechinus_neumayeri_LARVA_CO2437.00_pH7.99_T-0.9</v>
      </c>
      <c r="D8">
        <v>111</v>
      </c>
      <c r="G8" t="s">
        <v>43</v>
      </c>
      <c r="H8" t="s">
        <v>830</v>
      </c>
      <c r="J8">
        <v>2013</v>
      </c>
      <c r="M8" t="s">
        <v>789</v>
      </c>
      <c r="P8" t="s">
        <v>1135</v>
      </c>
      <c r="R8" t="s">
        <v>1127</v>
      </c>
      <c r="S8" t="s">
        <v>1128</v>
      </c>
      <c r="T8" t="s">
        <v>46</v>
      </c>
      <c r="U8" t="s">
        <v>797</v>
      </c>
      <c r="V8" t="s">
        <v>798</v>
      </c>
      <c r="Z8" t="s">
        <v>475</v>
      </c>
      <c r="AA8" t="s">
        <v>475</v>
      </c>
      <c r="AB8" t="s">
        <v>71</v>
      </c>
      <c r="AC8" t="s">
        <v>72</v>
      </c>
      <c r="AD8" t="s">
        <v>52</v>
      </c>
      <c r="AE8" t="s">
        <v>53</v>
      </c>
      <c r="AF8" t="s">
        <v>52</v>
      </c>
      <c r="AG8" t="s">
        <v>54</v>
      </c>
      <c r="AH8" t="s">
        <v>55</v>
      </c>
      <c r="AK8">
        <v>32</v>
      </c>
      <c r="AL8">
        <v>32</v>
      </c>
      <c r="AM8" t="s">
        <v>342</v>
      </c>
      <c r="AN8">
        <v>437</v>
      </c>
      <c r="AO8">
        <v>4</v>
      </c>
      <c r="AP8" t="s">
        <v>56</v>
      </c>
      <c r="AQ8" t="s">
        <v>118</v>
      </c>
      <c r="AR8">
        <v>7.99</v>
      </c>
      <c r="AS8">
        <v>0.01</v>
      </c>
      <c r="AT8" t="s">
        <v>56</v>
      </c>
      <c r="AU8">
        <v>897</v>
      </c>
      <c r="AV8">
        <v>11</v>
      </c>
      <c r="AW8" t="s">
        <v>56</v>
      </c>
      <c r="AX8">
        <v>7.82</v>
      </c>
      <c r="AY8">
        <v>0.01</v>
      </c>
      <c r="AZ8" t="s">
        <v>56</v>
      </c>
      <c r="BB8">
        <f>LOG(AU8)</f>
        <v>2.9527924430440922</v>
      </c>
      <c r="BC8">
        <v>-0.9</v>
      </c>
      <c r="BD8">
        <v>0.1</v>
      </c>
      <c r="BE8" t="s">
        <v>56</v>
      </c>
      <c r="BF8">
        <v>-1</v>
      </c>
      <c r="BG8">
        <v>0.1</v>
      </c>
      <c r="BH8" t="s">
        <v>56</v>
      </c>
      <c r="BI8">
        <v>461</v>
      </c>
      <c r="BJ8">
        <v>-0.1</v>
      </c>
      <c r="BK8" t="s">
        <v>56</v>
      </c>
      <c r="BL8" t="s">
        <v>831</v>
      </c>
      <c r="BM8" t="s">
        <v>86</v>
      </c>
      <c r="BN8" t="s">
        <v>340</v>
      </c>
      <c r="BO8" t="s">
        <v>180</v>
      </c>
      <c r="BP8" t="s">
        <v>9</v>
      </c>
      <c r="BQ8" t="s">
        <v>9</v>
      </c>
      <c r="BR8" t="s">
        <v>63</v>
      </c>
      <c r="BT8">
        <v>0.01</v>
      </c>
      <c r="BU8">
        <v>9.2770000000000005E-3</v>
      </c>
      <c r="BV8">
        <v>0</v>
      </c>
      <c r="BW8">
        <f>BV8*SQRT(AK8)</f>
        <v>0</v>
      </c>
      <c r="BX8">
        <v>0.01</v>
      </c>
      <c r="BY8">
        <v>1.12169E-2</v>
      </c>
      <c r="BZ8">
        <v>0</v>
      </c>
      <c r="CA8">
        <f>BZ8*SQRT(AL8)</f>
        <v>0</v>
      </c>
      <c r="CB8">
        <v>21</v>
      </c>
      <c r="CC8">
        <v>12</v>
      </c>
      <c r="CD8">
        <v>-0.19</v>
      </c>
      <c r="CE8">
        <v>3.49E-2</v>
      </c>
    </row>
    <row r="9" spans="1:84" hidden="1" x14ac:dyDescent="0.2">
      <c r="B9" t="str">
        <f>ROW()-1&amp;"_AltersInvert"</f>
        <v>8_AltersInvert</v>
      </c>
      <c r="C9" t="str">
        <f>D9&amp;"_"&amp;
SUBSTITUTE(TRIM(V9)," ","_")&amp;"_"&amp;
TRIM(AC9)&amp;"_"&amp;
"CO2"&amp;TEXT(AN9,"0.00")&amp;"_"&amp;
"pH"&amp;TEXT(AR9,"0.00")&amp;"_"&amp;
"T"&amp;TEXT(BC9,"0.##")</f>
        <v>111_Sterechinus_neumayeri_LARVA_CO2437.00_pH7.99_T-0.9</v>
      </c>
      <c r="D9">
        <v>111</v>
      </c>
      <c r="G9" t="s">
        <v>43</v>
      </c>
      <c r="H9" t="s">
        <v>830</v>
      </c>
      <c r="J9">
        <v>2013</v>
      </c>
      <c r="M9" t="s">
        <v>789</v>
      </c>
      <c r="P9" t="s">
        <v>1135</v>
      </c>
      <c r="R9" t="s">
        <v>1127</v>
      </c>
      <c r="S9" t="s">
        <v>1128</v>
      </c>
      <c r="T9" t="s">
        <v>46</v>
      </c>
      <c r="U9" t="s">
        <v>797</v>
      </c>
      <c r="V9" t="s">
        <v>798</v>
      </c>
      <c r="Z9" t="s">
        <v>475</v>
      </c>
      <c r="AA9" t="s">
        <v>475</v>
      </c>
      <c r="AB9" t="s">
        <v>71</v>
      </c>
      <c r="AC9" t="s">
        <v>72</v>
      </c>
      <c r="AD9" t="s">
        <v>52</v>
      </c>
      <c r="AE9" t="s">
        <v>53</v>
      </c>
      <c r="AF9" t="s">
        <v>54</v>
      </c>
      <c r="AG9" t="s">
        <v>52</v>
      </c>
      <c r="AH9" t="s">
        <v>65</v>
      </c>
      <c r="AK9">
        <v>32</v>
      </c>
      <c r="AL9">
        <v>32</v>
      </c>
      <c r="AM9" t="s">
        <v>342</v>
      </c>
      <c r="AN9">
        <v>437</v>
      </c>
      <c r="AO9">
        <v>4</v>
      </c>
      <c r="AP9" t="s">
        <v>56</v>
      </c>
      <c r="AQ9" t="s">
        <v>118</v>
      </c>
      <c r="AR9">
        <v>7.99</v>
      </c>
      <c r="AS9">
        <v>0.01</v>
      </c>
      <c r="AT9" t="s">
        <v>56</v>
      </c>
      <c r="AU9">
        <v>416</v>
      </c>
      <c r="AV9">
        <v>3</v>
      </c>
      <c r="AW9" t="s">
        <v>56</v>
      </c>
      <c r="AX9">
        <v>8.02</v>
      </c>
      <c r="AY9">
        <v>0.01</v>
      </c>
      <c r="AZ9" t="s">
        <v>56</v>
      </c>
      <c r="BB9">
        <f>LOG(AU9)</f>
        <v>2.6190933306267428</v>
      </c>
      <c r="BC9">
        <v>-0.9</v>
      </c>
      <c r="BD9">
        <v>0.1</v>
      </c>
      <c r="BE9" t="s">
        <v>56</v>
      </c>
      <c r="BF9">
        <v>0.9</v>
      </c>
      <c r="BG9">
        <v>0.1</v>
      </c>
      <c r="BH9" t="s">
        <v>56</v>
      </c>
      <c r="BI9">
        <v>-21</v>
      </c>
      <c r="BJ9">
        <v>1.8</v>
      </c>
      <c r="BK9" t="s">
        <v>56</v>
      </c>
      <c r="BL9" t="s">
        <v>831</v>
      </c>
      <c r="BM9" t="s">
        <v>86</v>
      </c>
      <c r="BN9" t="s">
        <v>340</v>
      </c>
      <c r="BO9" t="s">
        <v>180</v>
      </c>
      <c r="BP9" t="s">
        <v>9</v>
      </c>
      <c r="BQ9" t="s">
        <v>9</v>
      </c>
      <c r="BR9" t="s">
        <v>63</v>
      </c>
      <c r="BT9">
        <v>0.01</v>
      </c>
      <c r="BU9">
        <v>9.2770000000000005E-3</v>
      </c>
      <c r="BV9">
        <v>0</v>
      </c>
      <c r="BW9">
        <f>BV9*SQRT(AK9)</f>
        <v>0</v>
      </c>
      <c r="BX9">
        <v>0.01</v>
      </c>
      <c r="BY9">
        <v>1.0123500000000001E-2</v>
      </c>
      <c r="BZ9">
        <v>0</v>
      </c>
      <c r="CA9">
        <f>BZ9*SQRT(AL9)</f>
        <v>0</v>
      </c>
      <c r="CB9">
        <v>21</v>
      </c>
      <c r="CC9">
        <v>12</v>
      </c>
      <c r="CD9">
        <v>-8.6999999999999994E-2</v>
      </c>
      <c r="CE9">
        <v>2.3199999999999998E-2</v>
      </c>
    </row>
    <row r="10" spans="1:84" hidden="1" x14ac:dyDescent="0.2">
      <c r="B10" t="str">
        <f>ROW()-1&amp;"_AltersInvert"</f>
        <v>9_AltersInvert</v>
      </c>
      <c r="C10" t="str">
        <f>D10&amp;"_"&amp;
SUBSTITUTE(TRIM(V10)," ","_")&amp;"_"&amp;
TRIM(AC10)&amp;"_"&amp;
"CO2"&amp;TEXT(AN10,"0.00")&amp;"_"&amp;
"pH"&amp;TEXT(AR10,"0.00")&amp;"_"&amp;
"T"&amp;TEXT(BC10,"0.##")</f>
        <v>111_Sterechinus_neumayeri_LARVA_CO2437.00_pH7.99_T-0.9</v>
      </c>
      <c r="D10">
        <v>111</v>
      </c>
      <c r="G10" t="s">
        <v>43</v>
      </c>
      <c r="H10" t="s">
        <v>830</v>
      </c>
      <c r="J10">
        <v>2013</v>
      </c>
      <c r="M10" t="s">
        <v>789</v>
      </c>
      <c r="P10" t="s">
        <v>1135</v>
      </c>
      <c r="R10" t="s">
        <v>1127</v>
      </c>
      <c r="S10" t="s">
        <v>1128</v>
      </c>
      <c r="T10" t="s">
        <v>46</v>
      </c>
      <c r="U10" t="s">
        <v>797</v>
      </c>
      <c r="V10" t="s">
        <v>798</v>
      </c>
      <c r="Z10" t="s">
        <v>475</v>
      </c>
      <c r="AA10" t="s">
        <v>475</v>
      </c>
      <c r="AB10" t="s">
        <v>71</v>
      </c>
      <c r="AC10" t="s">
        <v>72</v>
      </c>
      <c r="AD10" t="s">
        <v>52</v>
      </c>
      <c r="AE10" t="s">
        <v>53</v>
      </c>
      <c r="AF10" t="s">
        <v>52</v>
      </c>
      <c r="AG10" t="s">
        <v>52</v>
      </c>
      <c r="AH10" t="s">
        <v>64</v>
      </c>
      <c r="AK10">
        <v>32</v>
      </c>
      <c r="AL10">
        <v>32</v>
      </c>
      <c r="AM10" t="s">
        <v>342</v>
      </c>
      <c r="AN10">
        <v>437</v>
      </c>
      <c r="AO10">
        <v>4</v>
      </c>
      <c r="AP10" t="s">
        <v>56</v>
      </c>
      <c r="AQ10" t="s">
        <v>118</v>
      </c>
      <c r="AR10">
        <v>7.99</v>
      </c>
      <c r="AS10">
        <v>0.01</v>
      </c>
      <c r="AT10" t="s">
        <v>56</v>
      </c>
      <c r="AU10">
        <v>1355</v>
      </c>
      <c r="AV10">
        <v>5</v>
      </c>
      <c r="AW10" t="s">
        <v>56</v>
      </c>
      <c r="AX10">
        <v>7.63</v>
      </c>
      <c r="AY10">
        <v>0.01</v>
      </c>
      <c r="AZ10" t="s">
        <v>56</v>
      </c>
      <c r="BB10">
        <f>LOG(AU10)</f>
        <v>3.1319392952104246</v>
      </c>
      <c r="BC10">
        <v>-0.9</v>
      </c>
      <c r="BD10">
        <v>0.1</v>
      </c>
      <c r="BE10" t="s">
        <v>56</v>
      </c>
      <c r="BF10">
        <v>1</v>
      </c>
      <c r="BG10">
        <v>0.1</v>
      </c>
      <c r="BH10" t="s">
        <v>56</v>
      </c>
      <c r="BI10">
        <v>918</v>
      </c>
      <c r="BJ10">
        <v>1.9</v>
      </c>
      <c r="BK10" t="s">
        <v>56</v>
      </c>
      <c r="BL10" t="s">
        <v>831</v>
      </c>
      <c r="BM10" t="s">
        <v>86</v>
      </c>
      <c r="BN10" t="s">
        <v>340</v>
      </c>
      <c r="BO10" t="s">
        <v>180</v>
      </c>
      <c r="BP10" t="s">
        <v>9</v>
      </c>
      <c r="BQ10" t="s">
        <v>9</v>
      </c>
      <c r="BR10" t="s">
        <v>63</v>
      </c>
      <c r="BT10">
        <v>0.01</v>
      </c>
      <c r="BU10">
        <v>9.2770000000000005E-3</v>
      </c>
      <c r="BV10">
        <v>0</v>
      </c>
      <c r="BW10">
        <f>BV10*SQRT(AK10)</f>
        <v>0</v>
      </c>
      <c r="BX10">
        <v>0.02</v>
      </c>
      <c r="BY10">
        <v>1.6578499999999999E-2</v>
      </c>
      <c r="BZ10">
        <v>0</v>
      </c>
      <c r="CA10">
        <f>BZ10*SQRT(AL10)</f>
        <v>0</v>
      </c>
      <c r="CB10">
        <v>21</v>
      </c>
      <c r="CC10">
        <v>12</v>
      </c>
      <c r="CD10">
        <v>-0.58099999999999996</v>
      </c>
      <c r="CE10">
        <v>3.5200000000000002E-2</v>
      </c>
      <c r="CF10" s="8"/>
    </row>
    <row r="11" spans="1:84" hidden="1" x14ac:dyDescent="0.2">
      <c r="B11" t="str">
        <f>ROW()-1&amp;"_AltersInvert"</f>
        <v>10_AltersInvert</v>
      </c>
      <c r="C11" t="str">
        <f>D11&amp;"_"&amp;
SUBSTITUTE(TRIM(V11)," ","_")&amp;"_"&amp;
TRIM(AC11)&amp;"_"&amp;
"CO2"&amp;TEXT(AN11,"0.00")&amp;"_"&amp;
"pH"&amp;TEXT(AR11,"0.00")&amp;"_"&amp;
"T"&amp;TEXT(BC11,"0.##")</f>
        <v>111_Sterechinus_neumayeri_LARVA_CO2437.00_pH7.99_T-0.9</v>
      </c>
      <c r="D11">
        <v>111</v>
      </c>
      <c r="G11" t="s">
        <v>43</v>
      </c>
      <c r="H11" t="s">
        <v>830</v>
      </c>
      <c r="J11">
        <v>2013</v>
      </c>
      <c r="M11" t="s">
        <v>789</v>
      </c>
      <c r="P11" t="s">
        <v>1135</v>
      </c>
      <c r="R11" t="s">
        <v>1127</v>
      </c>
      <c r="S11" t="s">
        <v>1128</v>
      </c>
      <c r="T11" t="s">
        <v>46</v>
      </c>
      <c r="U11" t="s">
        <v>797</v>
      </c>
      <c r="V11" t="s">
        <v>798</v>
      </c>
      <c r="Z11" t="s">
        <v>475</v>
      </c>
      <c r="AA11" t="s">
        <v>475</v>
      </c>
      <c r="AB11" t="s">
        <v>71</v>
      </c>
      <c r="AC11" t="s">
        <v>72</v>
      </c>
      <c r="AD11" t="s">
        <v>52</v>
      </c>
      <c r="AE11" t="s">
        <v>53</v>
      </c>
      <c r="AF11" t="s">
        <v>52</v>
      </c>
      <c r="AG11" t="s">
        <v>52</v>
      </c>
      <c r="AH11" t="s">
        <v>64</v>
      </c>
      <c r="AK11">
        <v>32</v>
      </c>
      <c r="AL11">
        <v>32</v>
      </c>
      <c r="AM11" t="s">
        <v>342</v>
      </c>
      <c r="AN11">
        <v>437</v>
      </c>
      <c r="AO11">
        <v>4</v>
      </c>
      <c r="AP11" t="s">
        <v>56</v>
      </c>
      <c r="AQ11" t="s">
        <v>118</v>
      </c>
      <c r="AR11">
        <v>7.99</v>
      </c>
      <c r="AS11">
        <v>0.01</v>
      </c>
      <c r="AT11" t="s">
        <v>56</v>
      </c>
      <c r="AU11">
        <v>839</v>
      </c>
      <c r="AV11">
        <v>4</v>
      </c>
      <c r="AW11" t="s">
        <v>56</v>
      </c>
      <c r="AX11">
        <v>7.82</v>
      </c>
      <c r="AY11">
        <v>0.01</v>
      </c>
      <c r="AZ11" t="s">
        <v>56</v>
      </c>
      <c r="BB11">
        <f>LOG(AU11)</f>
        <v>2.9237619608287004</v>
      </c>
      <c r="BC11">
        <v>-0.9</v>
      </c>
      <c r="BD11">
        <v>0.1</v>
      </c>
      <c r="BE11" t="s">
        <v>56</v>
      </c>
      <c r="BF11">
        <v>1.1000000000000001</v>
      </c>
      <c r="BG11">
        <v>0.2</v>
      </c>
      <c r="BH11" t="s">
        <v>56</v>
      </c>
      <c r="BI11">
        <v>402</v>
      </c>
      <c r="BJ11">
        <v>2</v>
      </c>
      <c r="BK11" t="s">
        <v>56</v>
      </c>
      <c r="BL11" t="s">
        <v>831</v>
      </c>
      <c r="BM11" t="s">
        <v>86</v>
      </c>
      <c r="BN11" t="s">
        <v>340</v>
      </c>
      <c r="BO11" t="s">
        <v>180</v>
      </c>
      <c r="BP11" t="s">
        <v>9</v>
      </c>
      <c r="BQ11" t="s">
        <v>9</v>
      </c>
      <c r="BR11" t="s">
        <v>63</v>
      </c>
      <c r="BT11">
        <v>0.01</v>
      </c>
      <c r="BU11">
        <v>9.2770000000000005E-3</v>
      </c>
      <c r="BV11">
        <v>0</v>
      </c>
      <c r="BW11">
        <f>BV11*SQRT(AK11)</f>
        <v>0</v>
      </c>
      <c r="BX11">
        <v>0.01</v>
      </c>
      <c r="BY11">
        <v>1.3474399999999999E-2</v>
      </c>
      <c r="BZ11">
        <v>0</v>
      </c>
      <c r="CA11">
        <f>BZ11*SQRT(AL11)</f>
        <v>0</v>
      </c>
      <c r="CB11">
        <v>21</v>
      </c>
      <c r="CC11">
        <v>12</v>
      </c>
      <c r="CD11">
        <v>-0.373</v>
      </c>
      <c r="CE11">
        <v>2.4500000000000001E-2</v>
      </c>
    </row>
    <row r="12" spans="1:84" hidden="1" x14ac:dyDescent="0.2">
      <c r="B12" t="str">
        <f>ROW()-1&amp;"_AltersInvert"</f>
        <v>11_AltersInvert</v>
      </c>
      <c r="C12" t="str">
        <f>D12&amp;"_"&amp;
SUBSTITUTE(TRIM(V12)," ","_")&amp;"_"&amp;
TRIM(AC12)&amp;"_"&amp;
"CO2"&amp;TEXT(AN12,"0.00")&amp;"_"&amp;
"pH"&amp;TEXT(AR12,"0.00")&amp;"_"&amp;
"T"&amp;TEXT(BC12,"0.##")</f>
        <v>2_Ostrea_angasi_LARVA_CO2388.00_pH8.20_T26.</v>
      </c>
      <c r="D12">
        <v>2</v>
      </c>
      <c r="G12" t="s">
        <v>43</v>
      </c>
      <c r="H12" t="s">
        <v>66</v>
      </c>
      <c r="J12">
        <v>2016</v>
      </c>
      <c r="M12" t="s">
        <v>67</v>
      </c>
      <c r="P12" t="s">
        <v>1135</v>
      </c>
      <c r="R12" t="s">
        <v>1127</v>
      </c>
      <c r="S12" t="s">
        <v>1128</v>
      </c>
      <c r="T12" t="s">
        <v>68</v>
      </c>
      <c r="U12" t="s">
        <v>69</v>
      </c>
      <c r="V12" t="s">
        <v>70</v>
      </c>
      <c r="Z12" t="s">
        <v>49</v>
      </c>
      <c r="AA12" t="s">
        <v>49</v>
      </c>
      <c r="AB12" t="s">
        <v>71</v>
      </c>
      <c r="AC12" t="s">
        <v>72</v>
      </c>
      <c r="AD12" t="s">
        <v>52</v>
      </c>
      <c r="AE12" t="s">
        <v>53</v>
      </c>
      <c r="AF12" t="s">
        <v>52</v>
      </c>
      <c r="AG12" t="s">
        <v>54</v>
      </c>
      <c r="AH12" t="s">
        <v>55</v>
      </c>
      <c r="AK12">
        <v>3</v>
      </c>
      <c r="AL12">
        <v>3</v>
      </c>
      <c r="AM12" t="s">
        <v>87</v>
      </c>
      <c r="AN12">
        <v>388</v>
      </c>
      <c r="AO12">
        <v>7</v>
      </c>
      <c r="AP12" t="s">
        <v>56</v>
      </c>
      <c r="AQ12" t="s">
        <v>57</v>
      </c>
      <c r="AR12">
        <v>8.1999999999999993</v>
      </c>
      <c r="AS12" t="s">
        <v>56</v>
      </c>
      <c r="AT12" t="s">
        <v>56</v>
      </c>
      <c r="AU12">
        <v>1158</v>
      </c>
      <c r="AV12">
        <v>20</v>
      </c>
      <c r="AW12" t="s">
        <v>56</v>
      </c>
      <c r="AX12">
        <v>7.79</v>
      </c>
      <c r="AY12" t="s">
        <v>56</v>
      </c>
      <c r="AZ12" t="s">
        <v>56</v>
      </c>
      <c r="BB12">
        <f>LOG(AU12)</f>
        <v>3.0637085593914173</v>
      </c>
      <c r="BC12">
        <v>26</v>
      </c>
      <c r="BD12" t="s">
        <v>56</v>
      </c>
      <c r="BE12" t="s">
        <v>56</v>
      </c>
      <c r="BF12">
        <v>26</v>
      </c>
      <c r="BG12" t="s">
        <v>56</v>
      </c>
      <c r="BH12" t="s">
        <v>56</v>
      </c>
      <c r="BI12">
        <v>770</v>
      </c>
      <c r="BJ12">
        <v>0</v>
      </c>
      <c r="BK12" t="s">
        <v>78</v>
      </c>
      <c r="BL12" t="s">
        <v>85</v>
      </c>
      <c r="BM12" t="s">
        <v>86</v>
      </c>
      <c r="BN12" t="s">
        <v>81</v>
      </c>
      <c r="BO12" t="s">
        <v>82</v>
      </c>
      <c r="BP12" t="s">
        <v>9</v>
      </c>
      <c r="BQ12" t="s">
        <v>9</v>
      </c>
      <c r="BR12" t="s">
        <v>84</v>
      </c>
      <c r="BT12">
        <v>0</v>
      </c>
      <c r="BU12">
        <v>100</v>
      </c>
      <c r="BV12">
        <v>0</v>
      </c>
      <c r="BW12">
        <f>BV12*SQRT(AK12)</f>
        <v>0</v>
      </c>
      <c r="BX12">
        <v>1.43</v>
      </c>
      <c r="BY12">
        <v>98.574561399999993</v>
      </c>
      <c r="BZ12">
        <v>1.32</v>
      </c>
      <c r="CA12">
        <f>BZ12*SQRT(AL12)</f>
        <v>2.2863070659909179</v>
      </c>
      <c r="CB12">
        <v>4</v>
      </c>
      <c r="CC12">
        <v>3</v>
      </c>
      <c r="CD12">
        <v>-1.4E-2</v>
      </c>
      <c r="CE12">
        <v>2.0000000000000001E-4</v>
      </c>
    </row>
    <row r="13" spans="1:84" hidden="1" x14ac:dyDescent="0.2">
      <c r="B13" t="str">
        <f>ROW()-1&amp;"_AltersInvert"</f>
        <v>12_AltersInvert</v>
      </c>
      <c r="C13" t="str">
        <f>D13&amp;"_"&amp;
SUBSTITUTE(TRIM(V13)," ","_")&amp;"_"&amp;
TRIM(AC13)&amp;"_"&amp;
"CO2"&amp;TEXT(AN13,"0.00")&amp;"_"&amp;
"pH"&amp;TEXT(AR13,"0.00")&amp;"_"&amp;
"T"&amp;TEXT(BC13,"0.##")</f>
        <v>2_Ostrea_angasi_LARVA_CO2388.00_pH8.20_T26.</v>
      </c>
      <c r="D13">
        <v>2</v>
      </c>
      <c r="G13" t="s">
        <v>43</v>
      </c>
      <c r="H13" t="s">
        <v>66</v>
      </c>
      <c r="J13">
        <v>2016</v>
      </c>
      <c r="M13" t="s">
        <v>67</v>
      </c>
      <c r="P13" t="s">
        <v>1135</v>
      </c>
      <c r="R13" t="s">
        <v>1127</v>
      </c>
      <c r="S13" t="s">
        <v>1128</v>
      </c>
      <c r="T13" t="s">
        <v>68</v>
      </c>
      <c r="U13" t="s">
        <v>69</v>
      </c>
      <c r="V13" t="s">
        <v>70</v>
      </c>
      <c r="Z13" t="s">
        <v>49</v>
      </c>
      <c r="AA13" t="s">
        <v>49</v>
      </c>
      <c r="AB13" t="s">
        <v>71</v>
      </c>
      <c r="AC13" t="s">
        <v>72</v>
      </c>
      <c r="AD13" t="s">
        <v>52</v>
      </c>
      <c r="AE13" t="s">
        <v>53</v>
      </c>
      <c r="AF13" t="s">
        <v>54</v>
      </c>
      <c r="AG13" t="s">
        <v>52</v>
      </c>
      <c r="AH13" t="s">
        <v>65</v>
      </c>
      <c r="AK13">
        <v>3</v>
      </c>
      <c r="AL13">
        <v>3</v>
      </c>
      <c r="AM13" t="s">
        <v>87</v>
      </c>
      <c r="AN13">
        <v>388</v>
      </c>
      <c r="AO13">
        <v>7</v>
      </c>
      <c r="AP13" t="s">
        <v>56</v>
      </c>
      <c r="AQ13" t="s">
        <v>57</v>
      </c>
      <c r="AR13">
        <v>8.1999999999999993</v>
      </c>
      <c r="AS13" t="s">
        <v>56</v>
      </c>
      <c r="AT13" t="s">
        <v>56</v>
      </c>
      <c r="AU13">
        <v>394</v>
      </c>
      <c r="AV13">
        <v>7</v>
      </c>
      <c r="AW13" t="s">
        <v>56</v>
      </c>
      <c r="AX13">
        <v>8.1999999999999993</v>
      </c>
      <c r="AY13" t="s">
        <v>56</v>
      </c>
      <c r="AZ13" t="s">
        <v>56</v>
      </c>
      <c r="BB13">
        <f>LOG(AU13)</f>
        <v>2.5954962218255742</v>
      </c>
      <c r="BC13">
        <v>26</v>
      </c>
      <c r="BD13" t="s">
        <v>56</v>
      </c>
      <c r="BE13" t="s">
        <v>56</v>
      </c>
      <c r="BF13">
        <v>30</v>
      </c>
      <c r="BG13" t="s">
        <v>56</v>
      </c>
      <c r="BH13" t="s">
        <v>56</v>
      </c>
      <c r="BI13">
        <v>6</v>
      </c>
      <c r="BJ13">
        <v>4</v>
      </c>
      <c r="BK13" t="s">
        <v>78</v>
      </c>
      <c r="BL13" t="s">
        <v>85</v>
      </c>
      <c r="BM13" t="s">
        <v>86</v>
      </c>
      <c r="BN13" t="s">
        <v>81</v>
      </c>
      <c r="BO13" t="s">
        <v>82</v>
      </c>
      <c r="BP13" t="s">
        <v>9</v>
      </c>
      <c r="BQ13" t="s">
        <v>9</v>
      </c>
      <c r="BR13" t="s">
        <v>84</v>
      </c>
      <c r="BT13">
        <v>0</v>
      </c>
      <c r="BU13">
        <v>100</v>
      </c>
      <c r="BV13">
        <v>0</v>
      </c>
      <c r="BW13">
        <f>BV13*SQRT(AK13)</f>
        <v>0</v>
      </c>
      <c r="BX13">
        <v>1.39</v>
      </c>
      <c r="BY13">
        <v>98.611111100000002</v>
      </c>
      <c r="BZ13">
        <v>1.2778</v>
      </c>
      <c r="CA13">
        <f>BZ13*SQRT(AL13)</f>
        <v>2.2132145219115116</v>
      </c>
      <c r="CB13">
        <v>4</v>
      </c>
      <c r="CC13">
        <v>3</v>
      </c>
      <c r="CD13">
        <v>-1.4E-2</v>
      </c>
      <c r="CE13">
        <v>2.0000000000000001E-4</v>
      </c>
    </row>
    <row r="14" spans="1:84" hidden="1" x14ac:dyDescent="0.2">
      <c r="B14" t="str">
        <f>ROW()-1&amp;"_AltersInvert"</f>
        <v>13_AltersInvert</v>
      </c>
      <c r="C14" t="str">
        <f>D14&amp;"_"&amp;
SUBSTITUTE(TRIM(V14)," ","_")&amp;"_"&amp;
TRIM(AC14)&amp;"_"&amp;
"CO2"&amp;TEXT(AN14,"0.00")&amp;"_"&amp;
"pH"&amp;TEXT(AR14,"0.00")&amp;"_"&amp;
"T"&amp;TEXT(BC14,"0.##")</f>
        <v>2_Ostrea_angasi_LARVA_CO2388.00_pH8.20_T26.</v>
      </c>
      <c r="D14">
        <v>2</v>
      </c>
      <c r="G14" t="s">
        <v>43</v>
      </c>
      <c r="H14" t="s">
        <v>66</v>
      </c>
      <c r="J14">
        <v>2016</v>
      </c>
      <c r="M14" t="s">
        <v>67</v>
      </c>
      <c r="P14" t="s">
        <v>1135</v>
      </c>
      <c r="R14" t="s">
        <v>1127</v>
      </c>
      <c r="S14" t="s">
        <v>1128</v>
      </c>
      <c r="T14" t="s">
        <v>68</v>
      </c>
      <c r="U14" t="s">
        <v>69</v>
      </c>
      <c r="V14" t="s">
        <v>70</v>
      </c>
      <c r="Z14" t="s">
        <v>49</v>
      </c>
      <c r="AA14" t="s">
        <v>49</v>
      </c>
      <c r="AB14" t="s">
        <v>71</v>
      </c>
      <c r="AC14" t="s">
        <v>72</v>
      </c>
      <c r="AD14" t="s">
        <v>52</v>
      </c>
      <c r="AE14" t="s">
        <v>53</v>
      </c>
      <c r="AF14" t="s">
        <v>52</v>
      </c>
      <c r="AG14" t="s">
        <v>52</v>
      </c>
      <c r="AH14" t="s">
        <v>64</v>
      </c>
      <c r="AK14">
        <v>3</v>
      </c>
      <c r="AL14">
        <v>3</v>
      </c>
      <c r="AM14" t="s">
        <v>87</v>
      </c>
      <c r="AN14">
        <v>388</v>
      </c>
      <c r="AO14">
        <v>7</v>
      </c>
      <c r="AP14" t="s">
        <v>56</v>
      </c>
      <c r="AQ14" t="s">
        <v>57</v>
      </c>
      <c r="AR14">
        <v>8.1999999999999993</v>
      </c>
      <c r="AS14" t="s">
        <v>56</v>
      </c>
      <c r="AT14" t="s">
        <v>56</v>
      </c>
      <c r="AU14">
        <v>1194</v>
      </c>
      <c r="AV14">
        <v>20</v>
      </c>
      <c r="AW14" t="s">
        <v>56</v>
      </c>
      <c r="AX14">
        <v>7.79</v>
      </c>
      <c r="AY14" t="s">
        <v>56</v>
      </c>
      <c r="AZ14" t="s">
        <v>56</v>
      </c>
      <c r="BB14">
        <f>LOG(AU14)</f>
        <v>3.0770043267933502</v>
      </c>
      <c r="BC14">
        <v>26</v>
      </c>
      <c r="BD14" t="s">
        <v>56</v>
      </c>
      <c r="BE14" t="s">
        <v>56</v>
      </c>
      <c r="BF14">
        <v>30</v>
      </c>
      <c r="BG14" t="s">
        <v>56</v>
      </c>
      <c r="BH14" t="s">
        <v>56</v>
      </c>
      <c r="BI14">
        <v>805</v>
      </c>
      <c r="BJ14">
        <v>4</v>
      </c>
      <c r="BK14" t="s">
        <v>78</v>
      </c>
      <c r="BL14" t="s">
        <v>85</v>
      </c>
      <c r="BM14" t="s">
        <v>86</v>
      </c>
      <c r="BN14" t="s">
        <v>81</v>
      </c>
      <c r="BO14" t="s">
        <v>82</v>
      </c>
      <c r="BP14" t="s">
        <v>9</v>
      </c>
      <c r="BQ14" t="s">
        <v>9</v>
      </c>
      <c r="BR14" t="s">
        <v>84</v>
      </c>
      <c r="BT14">
        <v>0</v>
      </c>
      <c r="BU14">
        <v>100</v>
      </c>
      <c r="BV14">
        <v>0</v>
      </c>
      <c r="BW14">
        <f>BV14*SQRT(AK14)</f>
        <v>0</v>
      </c>
      <c r="BX14">
        <v>13.38</v>
      </c>
      <c r="BY14">
        <v>86.622806999999995</v>
      </c>
      <c r="BZ14">
        <v>2.6316000000000002</v>
      </c>
      <c r="CA14">
        <f>BZ14*SQRT(AL14)</f>
        <v>4.5580649051982576</v>
      </c>
      <c r="CB14">
        <v>4</v>
      </c>
      <c r="CC14">
        <v>3</v>
      </c>
      <c r="CD14">
        <v>-0.14399999999999999</v>
      </c>
      <c r="CE14">
        <v>8.9999999999999998E-4</v>
      </c>
    </row>
    <row r="15" spans="1:84" hidden="1" x14ac:dyDescent="0.2">
      <c r="B15" t="str">
        <f>ROW()-1&amp;"_AltersInvert"</f>
        <v>14_AltersInvert</v>
      </c>
      <c r="C15" t="str">
        <f>D15&amp;"_"&amp;
SUBSTITUTE(TRIM(V15)," ","_")&amp;"_"&amp;
TRIM(AC15)&amp;"_"&amp;
"CO2"&amp;TEXT(AN15,"0.00")&amp;"_"&amp;
"pH"&amp;TEXT(AR15,"0.00")&amp;"_"&amp;
"T"&amp;TEXT(BC15,"0.##")</f>
        <v>67_Semibalanus_balanoides_LARVA_CO2409.00_pH8.05_T14.4</v>
      </c>
      <c r="D15">
        <v>67</v>
      </c>
      <c r="G15" t="s">
        <v>43</v>
      </c>
      <c r="H15" t="s">
        <v>622</v>
      </c>
      <c r="J15">
        <v>2009</v>
      </c>
      <c r="M15" t="s">
        <v>67</v>
      </c>
      <c r="P15" t="s">
        <v>1135</v>
      </c>
      <c r="R15" t="s">
        <v>1127</v>
      </c>
      <c r="S15" t="s">
        <v>1128</v>
      </c>
      <c r="T15" t="s">
        <v>131</v>
      </c>
      <c r="U15" t="s">
        <v>623</v>
      </c>
      <c r="V15" t="s">
        <v>624</v>
      </c>
      <c r="Z15" t="s">
        <v>49</v>
      </c>
      <c r="AA15" t="s">
        <v>49</v>
      </c>
      <c r="AB15" t="s">
        <v>71</v>
      </c>
      <c r="AC15" t="s">
        <v>72</v>
      </c>
      <c r="AD15" t="s">
        <v>52</v>
      </c>
      <c r="AE15" t="s">
        <v>53</v>
      </c>
      <c r="AF15" t="s">
        <v>52</v>
      </c>
      <c r="AG15" t="s">
        <v>54</v>
      </c>
      <c r="AH15" t="s">
        <v>55</v>
      </c>
      <c r="AK15">
        <v>5</v>
      </c>
      <c r="AL15">
        <v>5</v>
      </c>
      <c r="AN15">
        <v>409</v>
      </c>
      <c r="AO15" t="s">
        <v>56</v>
      </c>
      <c r="AP15" t="s">
        <v>56</v>
      </c>
      <c r="AQ15" t="s">
        <v>57</v>
      </c>
      <c r="AR15">
        <v>8.0500000000000007</v>
      </c>
      <c r="AS15" t="s">
        <v>56</v>
      </c>
      <c r="AT15" t="s">
        <v>56</v>
      </c>
      <c r="AU15">
        <v>1132</v>
      </c>
      <c r="AV15" t="s">
        <v>56</v>
      </c>
      <c r="AW15" t="s">
        <v>56</v>
      </c>
      <c r="AX15">
        <v>7.73</v>
      </c>
      <c r="AY15" t="s">
        <v>56</v>
      </c>
      <c r="AZ15" t="s">
        <v>56</v>
      </c>
      <c r="BB15">
        <f>LOG(AU15)</f>
        <v>3.0538464268522527</v>
      </c>
      <c r="BC15">
        <v>14.4</v>
      </c>
      <c r="BD15" t="s">
        <v>56</v>
      </c>
      <c r="BE15" t="s">
        <v>56</v>
      </c>
      <c r="BF15">
        <v>14.7</v>
      </c>
      <c r="BG15" t="s">
        <v>56</v>
      </c>
      <c r="BH15" t="s">
        <v>56</v>
      </c>
      <c r="BI15">
        <v>723</v>
      </c>
      <c r="BJ15">
        <v>0.3</v>
      </c>
      <c r="BK15" t="s">
        <v>56</v>
      </c>
      <c r="BL15" t="s">
        <v>458</v>
      </c>
      <c r="BM15" t="s">
        <v>232</v>
      </c>
      <c r="BN15" t="s">
        <v>81</v>
      </c>
      <c r="BO15" t="s">
        <v>628</v>
      </c>
      <c r="BP15" t="s">
        <v>234</v>
      </c>
      <c r="BQ15" t="s">
        <v>194</v>
      </c>
      <c r="BR15" t="s">
        <v>63</v>
      </c>
      <c r="BT15">
        <v>0.03</v>
      </c>
      <c r="BU15">
        <v>2.8000000000000001E-2</v>
      </c>
      <c r="BV15">
        <v>0</v>
      </c>
      <c r="BW15">
        <f>BV15*SQRT(AK15)</f>
        <v>0</v>
      </c>
      <c r="BX15">
        <v>0.02</v>
      </c>
      <c r="BY15">
        <v>2.1999999999999999E-2</v>
      </c>
      <c r="BZ15">
        <v>0</v>
      </c>
      <c r="CA15">
        <f>BZ15*SQRT(AL15)</f>
        <v>0</v>
      </c>
      <c r="CB15">
        <v>30</v>
      </c>
      <c r="CC15">
        <v>2</v>
      </c>
      <c r="CD15">
        <v>-0.24099999999999999</v>
      </c>
      <c r="CE15">
        <v>4.7999999999999996E-3</v>
      </c>
      <c r="CF15" s="8"/>
    </row>
    <row r="16" spans="1:84" hidden="1" x14ac:dyDescent="0.2">
      <c r="B16" t="str">
        <f>ROW()-1&amp;"_AltersInvert"</f>
        <v>15_AltersInvert</v>
      </c>
      <c r="C16" t="str">
        <f>D16&amp;"_"&amp;
SUBSTITUTE(TRIM(V16)," ","_")&amp;"_"&amp;
TRIM(AC16)&amp;"_"&amp;
"CO2"&amp;TEXT(AN16,"0.00")&amp;"_"&amp;
"pH"&amp;TEXT(AR16,"0.00")&amp;"_"&amp;
"T"&amp;TEXT(BC16,"0.##")</f>
        <v>67_Elminius_modestus_LARVA_CO2413.00_pH7.96_T14.7</v>
      </c>
      <c r="D16">
        <v>67</v>
      </c>
      <c r="G16" t="s">
        <v>43</v>
      </c>
      <c r="H16" t="s">
        <v>622</v>
      </c>
      <c r="J16">
        <v>2009</v>
      </c>
      <c r="M16" t="s">
        <v>67</v>
      </c>
      <c r="P16" t="s">
        <v>1135</v>
      </c>
      <c r="R16" t="s">
        <v>1127</v>
      </c>
      <c r="S16" t="s">
        <v>1128</v>
      </c>
      <c r="T16" t="s">
        <v>131</v>
      </c>
      <c r="U16" t="s">
        <v>623</v>
      </c>
      <c r="V16" t="s">
        <v>627</v>
      </c>
      <c r="Z16" t="s">
        <v>49</v>
      </c>
      <c r="AA16" t="s">
        <v>49</v>
      </c>
      <c r="AB16" t="s">
        <v>71</v>
      </c>
      <c r="AC16" t="s">
        <v>72</v>
      </c>
      <c r="AD16" t="s">
        <v>52</v>
      </c>
      <c r="AE16" t="s">
        <v>53</v>
      </c>
      <c r="AF16" t="s">
        <v>52</v>
      </c>
      <c r="AG16" t="s">
        <v>54</v>
      </c>
      <c r="AH16" t="s">
        <v>55</v>
      </c>
      <c r="AK16">
        <v>5</v>
      </c>
      <c r="AL16">
        <v>5</v>
      </c>
      <c r="AN16">
        <v>413</v>
      </c>
      <c r="AO16" t="s">
        <v>56</v>
      </c>
      <c r="AP16" t="s">
        <v>56</v>
      </c>
      <c r="AQ16" t="s">
        <v>57</v>
      </c>
      <c r="AR16">
        <v>7.96</v>
      </c>
      <c r="AS16" t="s">
        <v>56</v>
      </c>
      <c r="AT16" t="s">
        <v>56</v>
      </c>
      <c r="AU16">
        <v>1076</v>
      </c>
      <c r="AV16" t="s">
        <v>56</v>
      </c>
      <c r="AW16" t="s">
        <v>56</v>
      </c>
      <c r="AX16">
        <v>7.73</v>
      </c>
      <c r="AY16" t="s">
        <v>56</v>
      </c>
      <c r="AZ16" t="s">
        <v>56</v>
      </c>
      <c r="BB16">
        <f>LOG(AU16)</f>
        <v>3.0318122713303706</v>
      </c>
      <c r="BC16">
        <v>14.7</v>
      </c>
      <c r="BD16" t="s">
        <v>56</v>
      </c>
      <c r="BE16" t="s">
        <v>56</v>
      </c>
      <c r="BF16">
        <v>15</v>
      </c>
      <c r="BG16" t="s">
        <v>56</v>
      </c>
      <c r="BH16" t="s">
        <v>56</v>
      </c>
      <c r="BI16">
        <v>663</v>
      </c>
      <c r="BJ16">
        <v>0.3</v>
      </c>
      <c r="BK16" t="s">
        <v>56</v>
      </c>
      <c r="BL16" t="s">
        <v>458</v>
      </c>
      <c r="BM16" t="s">
        <v>232</v>
      </c>
      <c r="BN16" t="s">
        <v>81</v>
      </c>
      <c r="BO16" t="s">
        <v>628</v>
      </c>
      <c r="BP16" t="s">
        <v>234</v>
      </c>
      <c r="BQ16" t="s">
        <v>194</v>
      </c>
      <c r="BR16" t="s">
        <v>63</v>
      </c>
      <c r="BT16">
        <v>0.03</v>
      </c>
      <c r="BU16">
        <v>3.2000000000000001E-2</v>
      </c>
      <c r="BV16">
        <v>0</v>
      </c>
      <c r="BW16">
        <f>BV16*SQRT(AK16)</f>
        <v>0</v>
      </c>
      <c r="BX16">
        <v>0.03</v>
      </c>
      <c r="BY16">
        <v>3.1E-2</v>
      </c>
      <c r="BZ16">
        <v>0</v>
      </c>
      <c r="CA16">
        <f>BZ16*SQRT(AL16)</f>
        <v>0</v>
      </c>
      <c r="CB16">
        <v>30</v>
      </c>
      <c r="CC16">
        <v>2</v>
      </c>
      <c r="CD16">
        <v>-3.2000000000000001E-2</v>
      </c>
      <c r="CE16">
        <v>4.7000000000000002E-3</v>
      </c>
      <c r="CF16" s="8"/>
    </row>
    <row r="17" spans="2:84" hidden="1" x14ac:dyDescent="0.2">
      <c r="B17" t="str">
        <f>ROW()-1&amp;"_AltersInvert"</f>
        <v>16_AltersInvert</v>
      </c>
      <c r="C17" t="str">
        <f>D17&amp;"_"&amp;
SUBSTITUTE(TRIM(V17)," ","_")&amp;"_"&amp;
TRIM(AC17)&amp;"_"&amp;
"CO2"&amp;TEXT(AN17,"0.00")&amp;"_"&amp;
"pH"&amp;TEXT(AR17,"0.00")&amp;"_"&amp;
"T"&amp;TEXT(BC17,"0.##")</f>
        <v>67_Semibalanus_balanoides_LARVA_CO2409.00_pH8.05_T14.4</v>
      </c>
      <c r="D17">
        <v>67</v>
      </c>
      <c r="G17" t="s">
        <v>43</v>
      </c>
      <c r="H17" t="s">
        <v>622</v>
      </c>
      <c r="J17">
        <v>2009</v>
      </c>
      <c r="M17" t="s">
        <v>67</v>
      </c>
      <c r="P17" t="s">
        <v>1135</v>
      </c>
      <c r="R17" t="s">
        <v>1127</v>
      </c>
      <c r="S17" t="s">
        <v>1128</v>
      </c>
      <c r="T17" t="s">
        <v>131</v>
      </c>
      <c r="U17" t="s">
        <v>623</v>
      </c>
      <c r="V17" t="s">
        <v>624</v>
      </c>
      <c r="Z17" t="s">
        <v>49</v>
      </c>
      <c r="AA17" t="s">
        <v>49</v>
      </c>
      <c r="AB17" t="s">
        <v>71</v>
      </c>
      <c r="AC17" t="s">
        <v>72</v>
      </c>
      <c r="AD17" t="s">
        <v>52</v>
      </c>
      <c r="AE17" t="s">
        <v>53</v>
      </c>
      <c r="AF17" t="s">
        <v>54</v>
      </c>
      <c r="AG17" t="s">
        <v>52</v>
      </c>
      <c r="AH17" t="s">
        <v>65</v>
      </c>
      <c r="AK17">
        <v>5</v>
      </c>
      <c r="AL17">
        <v>5</v>
      </c>
      <c r="AN17">
        <v>409</v>
      </c>
      <c r="AO17" t="s">
        <v>56</v>
      </c>
      <c r="AP17" t="s">
        <v>56</v>
      </c>
      <c r="AQ17" t="s">
        <v>57</v>
      </c>
      <c r="AR17">
        <v>8.0500000000000007</v>
      </c>
      <c r="AS17" t="s">
        <v>56</v>
      </c>
      <c r="AT17" t="s">
        <v>56</v>
      </c>
      <c r="AU17">
        <v>423</v>
      </c>
      <c r="AV17" t="s">
        <v>56</v>
      </c>
      <c r="AW17" t="s">
        <v>56</v>
      </c>
      <c r="AX17">
        <v>8.07</v>
      </c>
      <c r="AY17" t="s">
        <v>56</v>
      </c>
      <c r="AZ17" t="s">
        <v>56</v>
      </c>
      <c r="BB17">
        <f>LOG(AU17)</f>
        <v>2.6263403673750423</v>
      </c>
      <c r="BC17">
        <v>14.4</v>
      </c>
      <c r="BD17" t="s">
        <v>56</v>
      </c>
      <c r="BE17" t="s">
        <v>56</v>
      </c>
      <c r="BF17">
        <v>19.8</v>
      </c>
      <c r="BG17" t="s">
        <v>56</v>
      </c>
      <c r="BH17" t="s">
        <v>56</v>
      </c>
      <c r="BI17">
        <v>14</v>
      </c>
      <c r="BJ17">
        <v>5.4</v>
      </c>
      <c r="BK17" t="s">
        <v>56</v>
      </c>
      <c r="BL17" t="s">
        <v>458</v>
      </c>
      <c r="BM17" t="s">
        <v>232</v>
      </c>
      <c r="BN17" t="s">
        <v>81</v>
      </c>
      <c r="BO17" t="s">
        <v>628</v>
      </c>
      <c r="BP17" t="s">
        <v>234</v>
      </c>
      <c r="BQ17" t="s">
        <v>194</v>
      </c>
      <c r="BR17" t="s">
        <v>63</v>
      </c>
      <c r="BT17">
        <v>0.03</v>
      </c>
      <c r="BU17">
        <v>2.8000000000000001E-2</v>
      </c>
      <c r="BV17">
        <v>0</v>
      </c>
      <c r="BW17">
        <f>BV17*SQRT(AK17)</f>
        <v>0</v>
      </c>
      <c r="BX17">
        <v>0.02</v>
      </c>
      <c r="BY17">
        <v>1.9E-2</v>
      </c>
      <c r="BZ17">
        <v>0</v>
      </c>
      <c r="CA17">
        <f>BZ17*SQRT(AL17)</f>
        <v>0</v>
      </c>
      <c r="CB17">
        <v>30</v>
      </c>
      <c r="CC17">
        <v>2</v>
      </c>
      <c r="CD17">
        <v>-0.38800000000000001</v>
      </c>
      <c r="CE17">
        <v>4.8999999999999998E-3</v>
      </c>
      <c r="CF17" s="8"/>
    </row>
    <row r="18" spans="2:84" hidden="1" x14ac:dyDescent="0.2">
      <c r="B18" t="str">
        <f>ROW()-1&amp;"_AltersInvert"</f>
        <v>17_AltersInvert</v>
      </c>
      <c r="C18" t="str">
        <f>D18&amp;"_"&amp;
SUBSTITUTE(TRIM(V18)," ","_")&amp;"_"&amp;
TRIM(AC18)&amp;"_"&amp;
"CO2"&amp;TEXT(AN18,"0.00")&amp;"_"&amp;
"pH"&amp;TEXT(AR18,"0.00")&amp;"_"&amp;
"T"&amp;TEXT(BC18,"0.##")</f>
        <v>67_Elminius_modestus_LARVA_CO2413.00_pH7.96_T14.7</v>
      </c>
      <c r="D18">
        <v>67</v>
      </c>
      <c r="G18" t="s">
        <v>43</v>
      </c>
      <c r="H18" t="s">
        <v>622</v>
      </c>
      <c r="J18">
        <v>2009</v>
      </c>
      <c r="M18" t="s">
        <v>67</v>
      </c>
      <c r="P18" t="s">
        <v>1135</v>
      </c>
      <c r="R18" t="s">
        <v>1127</v>
      </c>
      <c r="S18" t="s">
        <v>1128</v>
      </c>
      <c r="T18" t="s">
        <v>131</v>
      </c>
      <c r="U18" t="s">
        <v>623</v>
      </c>
      <c r="V18" t="s">
        <v>627</v>
      </c>
      <c r="Z18" t="s">
        <v>49</v>
      </c>
      <c r="AA18" t="s">
        <v>49</v>
      </c>
      <c r="AB18" t="s">
        <v>71</v>
      </c>
      <c r="AC18" t="s">
        <v>72</v>
      </c>
      <c r="AD18" t="s">
        <v>52</v>
      </c>
      <c r="AE18" t="s">
        <v>53</v>
      </c>
      <c r="AF18" t="s">
        <v>54</v>
      </c>
      <c r="AG18" t="s">
        <v>52</v>
      </c>
      <c r="AH18" t="s">
        <v>65</v>
      </c>
      <c r="AK18">
        <v>5</v>
      </c>
      <c r="AL18">
        <v>5</v>
      </c>
      <c r="AN18">
        <v>413</v>
      </c>
      <c r="AO18" t="s">
        <v>56</v>
      </c>
      <c r="AP18" t="s">
        <v>56</v>
      </c>
      <c r="AQ18" t="s">
        <v>57</v>
      </c>
      <c r="AR18">
        <v>7.96</v>
      </c>
      <c r="AS18" t="s">
        <v>56</v>
      </c>
      <c r="AT18" t="s">
        <v>56</v>
      </c>
      <c r="AU18">
        <v>412</v>
      </c>
      <c r="AV18" t="s">
        <v>56</v>
      </c>
      <c r="AW18" t="s">
        <v>56</v>
      </c>
      <c r="AX18">
        <v>7.98</v>
      </c>
      <c r="AY18" t="s">
        <v>56</v>
      </c>
      <c r="AZ18" t="s">
        <v>56</v>
      </c>
      <c r="BB18">
        <f>LOG(AU18)</f>
        <v>2.6148972160331345</v>
      </c>
      <c r="BC18">
        <v>14.7</v>
      </c>
      <c r="BD18" t="s">
        <v>56</v>
      </c>
      <c r="BE18" t="s">
        <v>56</v>
      </c>
      <c r="BF18">
        <v>19.7</v>
      </c>
      <c r="BG18" t="s">
        <v>56</v>
      </c>
      <c r="BH18" t="s">
        <v>56</v>
      </c>
      <c r="BI18">
        <v>-1</v>
      </c>
      <c r="BJ18">
        <v>5</v>
      </c>
      <c r="BK18" t="s">
        <v>56</v>
      </c>
      <c r="BL18" t="s">
        <v>458</v>
      </c>
      <c r="BM18" t="s">
        <v>232</v>
      </c>
      <c r="BN18" t="s">
        <v>81</v>
      </c>
      <c r="BO18" t="s">
        <v>628</v>
      </c>
      <c r="BP18" t="s">
        <v>234</v>
      </c>
      <c r="BQ18" t="s">
        <v>194</v>
      </c>
      <c r="BR18" t="s">
        <v>63</v>
      </c>
      <c r="BT18">
        <v>0.03</v>
      </c>
      <c r="BU18">
        <v>3.2000000000000001E-2</v>
      </c>
      <c r="BV18">
        <v>0</v>
      </c>
      <c r="BW18">
        <f>BV18*SQRT(AK18)</f>
        <v>0</v>
      </c>
      <c r="BX18">
        <v>0.04</v>
      </c>
      <c r="BY18">
        <v>3.5000000000000003E-2</v>
      </c>
      <c r="BZ18">
        <v>0</v>
      </c>
      <c r="CA18">
        <f>BZ18*SQRT(AL18)</f>
        <v>0</v>
      </c>
      <c r="CB18">
        <v>30</v>
      </c>
      <c r="CC18">
        <v>2</v>
      </c>
      <c r="CD18">
        <v>0.09</v>
      </c>
      <c r="CE18">
        <v>4.4999999999999997E-3</v>
      </c>
      <c r="CF18" s="8"/>
    </row>
    <row r="19" spans="2:84" hidden="1" x14ac:dyDescent="0.2">
      <c r="D19">
        <v>3</v>
      </c>
      <c r="G19" t="s">
        <v>43</v>
      </c>
      <c r="H19" t="s">
        <v>93</v>
      </c>
      <c r="J19">
        <v>2016</v>
      </c>
      <c r="M19" t="s">
        <v>94</v>
      </c>
      <c r="T19" t="s">
        <v>46</v>
      </c>
      <c r="U19" t="s">
        <v>95</v>
      </c>
      <c r="V19" t="s">
        <v>96</v>
      </c>
      <c r="Z19" t="s">
        <v>49</v>
      </c>
      <c r="AA19" t="s">
        <v>49</v>
      </c>
      <c r="AB19" t="s">
        <v>50</v>
      </c>
      <c r="AC19" t="s">
        <v>51</v>
      </c>
      <c r="AD19" t="s">
        <v>54</v>
      </c>
      <c r="AE19" t="s">
        <v>53</v>
      </c>
      <c r="AF19" t="s">
        <v>54</v>
      </c>
      <c r="AG19" t="s">
        <v>52</v>
      </c>
      <c r="AH19" t="s">
        <v>65</v>
      </c>
      <c r="AK19">
        <v>10</v>
      </c>
      <c r="AL19">
        <v>12</v>
      </c>
      <c r="AN19">
        <v>508</v>
      </c>
      <c r="AO19" t="s">
        <v>56</v>
      </c>
      <c r="AP19">
        <v>55</v>
      </c>
      <c r="AQ19" t="s">
        <v>57</v>
      </c>
      <c r="AR19">
        <v>8.06</v>
      </c>
      <c r="AS19" t="s">
        <v>56</v>
      </c>
      <c r="AT19">
        <v>0</v>
      </c>
      <c r="AU19">
        <v>537</v>
      </c>
      <c r="AV19" t="s">
        <v>56</v>
      </c>
      <c r="AW19">
        <v>94</v>
      </c>
      <c r="AX19">
        <v>8.0299999999999994</v>
      </c>
      <c r="AY19" t="s">
        <v>56</v>
      </c>
      <c r="AZ19">
        <v>0.06</v>
      </c>
      <c r="BB19">
        <f>LOG(AU19)</f>
        <v>2.7299742856995555</v>
      </c>
      <c r="BC19">
        <v>13.1</v>
      </c>
      <c r="BD19" t="s">
        <v>56</v>
      </c>
      <c r="BE19">
        <v>1.6</v>
      </c>
      <c r="BF19">
        <v>15.6</v>
      </c>
      <c r="BG19" t="s">
        <v>56</v>
      </c>
      <c r="BH19">
        <v>2</v>
      </c>
      <c r="BI19">
        <v>28</v>
      </c>
      <c r="BJ19">
        <v>2.5</v>
      </c>
      <c r="BK19" t="s">
        <v>56</v>
      </c>
      <c r="BL19" t="s">
        <v>97</v>
      </c>
      <c r="BM19" t="s">
        <v>98</v>
      </c>
      <c r="BN19" t="s">
        <v>81</v>
      </c>
      <c r="BO19" t="s">
        <v>99</v>
      </c>
      <c r="BP19" t="s">
        <v>100</v>
      </c>
      <c r="BR19" t="s">
        <v>63</v>
      </c>
      <c r="BT19">
        <v>11.5</v>
      </c>
      <c r="BU19">
        <v>11.5</v>
      </c>
      <c r="BV19">
        <v>1.17</v>
      </c>
      <c r="BW19">
        <f>BV19*SQRT(AK19)</f>
        <v>3.6998648623970039</v>
      </c>
      <c r="BX19">
        <v>12.4</v>
      </c>
      <c r="BY19">
        <v>12.4</v>
      </c>
      <c r="BZ19">
        <v>1.47</v>
      </c>
      <c r="CA19">
        <f>BZ19*SQRT(AL19)</f>
        <v>5.0922293742524989</v>
      </c>
      <c r="CB19">
        <v>365</v>
      </c>
      <c r="CC19">
        <v>4</v>
      </c>
      <c r="CD19">
        <v>7.4999999999999997E-2</v>
      </c>
      <c r="CE19">
        <v>2.4400000000000002E-2</v>
      </c>
    </row>
    <row r="20" spans="2:84" hidden="1" x14ac:dyDescent="0.2">
      <c r="D20">
        <v>3</v>
      </c>
      <c r="G20" t="s">
        <v>43</v>
      </c>
      <c r="H20" t="s">
        <v>93</v>
      </c>
      <c r="J20">
        <v>2016</v>
      </c>
      <c r="M20" t="s">
        <v>94</v>
      </c>
      <c r="T20" t="s">
        <v>46</v>
      </c>
      <c r="U20" t="s">
        <v>95</v>
      </c>
      <c r="V20" t="s">
        <v>96</v>
      </c>
      <c r="Z20" t="s">
        <v>49</v>
      </c>
      <c r="AA20" t="s">
        <v>49</v>
      </c>
      <c r="AB20" t="s">
        <v>50</v>
      </c>
      <c r="AC20" t="s">
        <v>51</v>
      </c>
      <c r="AD20" t="s">
        <v>54</v>
      </c>
      <c r="AE20" t="s">
        <v>53</v>
      </c>
      <c r="AF20" t="s">
        <v>52</v>
      </c>
      <c r="AG20" t="s">
        <v>54</v>
      </c>
      <c r="AH20" t="s">
        <v>55</v>
      </c>
      <c r="AK20">
        <v>10</v>
      </c>
      <c r="AL20">
        <v>12</v>
      </c>
      <c r="AN20">
        <v>508</v>
      </c>
      <c r="AO20" t="s">
        <v>56</v>
      </c>
      <c r="AP20">
        <v>55</v>
      </c>
      <c r="AQ20" t="s">
        <v>57</v>
      </c>
      <c r="AR20">
        <v>8.06</v>
      </c>
      <c r="AS20" t="s">
        <v>56</v>
      </c>
      <c r="AT20">
        <v>0</v>
      </c>
      <c r="AU20">
        <v>694</v>
      </c>
      <c r="AV20" t="s">
        <v>56</v>
      </c>
      <c r="AW20">
        <v>140</v>
      </c>
      <c r="AX20">
        <v>7.94</v>
      </c>
      <c r="AY20" t="s">
        <v>56</v>
      </c>
      <c r="AZ20">
        <v>7.0000000000000007E-2</v>
      </c>
      <c r="BB20">
        <f>LOG(AU20)</f>
        <v>2.8413594704548548</v>
      </c>
      <c r="BC20">
        <v>13.1</v>
      </c>
      <c r="BD20" t="s">
        <v>56</v>
      </c>
      <c r="BE20">
        <v>1.6</v>
      </c>
      <c r="BF20">
        <v>12.9</v>
      </c>
      <c r="BG20" t="s">
        <v>56</v>
      </c>
      <c r="BH20">
        <v>1.6</v>
      </c>
      <c r="BI20">
        <v>186</v>
      </c>
      <c r="BJ20">
        <v>-0.2</v>
      </c>
      <c r="BK20" t="s">
        <v>56</v>
      </c>
      <c r="BL20" t="s">
        <v>97</v>
      </c>
      <c r="BM20" t="s">
        <v>98</v>
      </c>
      <c r="BN20" t="s">
        <v>81</v>
      </c>
      <c r="BO20" t="s">
        <v>99</v>
      </c>
      <c r="BP20" t="s">
        <v>100</v>
      </c>
      <c r="BR20" t="s">
        <v>63</v>
      </c>
      <c r="BT20">
        <v>11.5</v>
      </c>
      <c r="BU20">
        <v>11.5</v>
      </c>
      <c r="BV20">
        <v>1.17</v>
      </c>
      <c r="BW20">
        <f>BV20*SQRT(AK20)</f>
        <v>3.6998648623970039</v>
      </c>
      <c r="BX20">
        <v>12.7</v>
      </c>
      <c r="BY20">
        <v>12.7</v>
      </c>
      <c r="BZ20">
        <v>1.21</v>
      </c>
      <c r="CA20">
        <f>BZ20*SQRT(AL20)</f>
        <v>4.1915629543166828</v>
      </c>
      <c r="CB20">
        <v>365</v>
      </c>
      <c r="CC20">
        <v>4</v>
      </c>
      <c r="CD20">
        <v>9.9000000000000005E-2</v>
      </c>
      <c r="CE20">
        <v>1.95E-2</v>
      </c>
    </row>
    <row r="21" spans="2:84" hidden="1" x14ac:dyDescent="0.2">
      <c r="D21">
        <v>3</v>
      </c>
      <c r="G21" t="s">
        <v>43</v>
      </c>
      <c r="H21" t="s">
        <v>93</v>
      </c>
      <c r="J21">
        <v>2016</v>
      </c>
      <c r="M21" t="s">
        <v>94</v>
      </c>
      <c r="T21" t="s">
        <v>46</v>
      </c>
      <c r="U21" t="s">
        <v>95</v>
      </c>
      <c r="V21" t="s">
        <v>96</v>
      </c>
      <c r="Z21" t="s">
        <v>49</v>
      </c>
      <c r="AA21" t="s">
        <v>49</v>
      </c>
      <c r="AB21" t="s">
        <v>50</v>
      </c>
      <c r="AC21" t="s">
        <v>51</v>
      </c>
      <c r="AD21" t="s">
        <v>54</v>
      </c>
      <c r="AE21" t="s">
        <v>53</v>
      </c>
      <c r="AF21" t="s">
        <v>52</v>
      </c>
      <c r="AG21" t="s">
        <v>54</v>
      </c>
      <c r="AH21" t="s">
        <v>55</v>
      </c>
      <c r="AK21">
        <v>10</v>
      </c>
      <c r="AL21">
        <v>12</v>
      </c>
      <c r="AN21">
        <v>508</v>
      </c>
      <c r="AO21" t="s">
        <v>56</v>
      </c>
      <c r="AP21">
        <v>55</v>
      </c>
      <c r="AQ21" t="s">
        <v>57</v>
      </c>
      <c r="AR21">
        <v>8.06</v>
      </c>
      <c r="AS21" t="s">
        <v>56</v>
      </c>
      <c r="AT21">
        <v>0</v>
      </c>
      <c r="AU21">
        <v>1016</v>
      </c>
      <c r="AV21" t="s">
        <v>56</v>
      </c>
      <c r="AW21">
        <v>225</v>
      </c>
      <c r="AX21">
        <v>7.78</v>
      </c>
      <c r="AY21" t="s">
        <v>56</v>
      </c>
      <c r="AZ21">
        <v>0.09</v>
      </c>
      <c r="BB21">
        <f>LOG(AU21)</f>
        <v>3.0068937079479006</v>
      </c>
      <c r="BC21">
        <v>13.1</v>
      </c>
      <c r="BD21" t="s">
        <v>56</v>
      </c>
      <c r="BE21">
        <v>1.6</v>
      </c>
      <c r="BF21">
        <v>12.7</v>
      </c>
      <c r="BG21" t="s">
        <v>56</v>
      </c>
      <c r="BH21">
        <v>1.7</v>
      </c>
      <c r="BI21">
        <v>508</v>
      </c>
      <c r="BJ21">
        <v>-0.3</v>
      </c>
      <c r="BK21" t="s">
        <v>56</v>
      </c>
      <c r="BL21" t="s">
        <v>97</v>
      </c>
      <c r="BM21" t="s">
        <v>98</v>
      </c>
      <c r="BN21" t="s">
        <v>81</v>
      </c>
      <c r="BO21" t="s">
        <v>99</v>
      </c>
      <c r="BP21" t="s">
        <v>100</v>
      </c>
      <c r="BR21" t="s">
        <v>63</v>
      </c>
      <c r="BT21">
        <v>11.5</v>
      </c>
      <c r="BU21">
        <v>11.5</v>
      </c>
      <c r="BV21">
        <v>1.17</v>
      </c>
      <c r="BW21">
        <f>BV21*SQRT(AK21)</f>
        <v>3.6998648623970039</v>
      </c>
      <c r="BX21">
        <v>13.4</v>
      </c>
      <c r="BY21">
        <v>13.4</v>
      </c>
      <c r="BZ21">
        <v>1.24</v>
      </c>
      <c r="CA21">
        <f>BZ21*SQRT(AL21)</f>
        <v>4.295486002770815</v>
      </c>
      <c r="CB21">
        <v>365</v>
      </c>
      <c r="CC21">
        <v>4</v>
      </c>
      <c r="CD21">
        <v>0.153</v>
      </c>
      <c r="CE21">
        <v>1.89E-2</v>
      </c>
    </row>
    <row r="22" spans="2:84" hidden="1" x14ac:dyDescent="0.2">
      <c r="D22">
        <v>3</v>
      </c>
      <c r="G22" t="s">
        <v>43</v>
      </c>
      <c r="H22" t="s">
        <v>93</v>
      </c>
      <c r="J22">
        <v>2016</v>
      </c>
      <c r="M22" t="s">
        <v>94</v>
      </c>
      <c r="T22" t="s">
        <v>46</v>
      </c>
      <c r="U22" t="s">
        <v>95</v>
      </c>
      <c r="V22" t="s">
        <v>96</v>
      </c>
      <c r="Z22" t="s">
        <v>49</v>
      </c>
      <c r="AA22" t="s">
        <v>49</v>
      </c>
      <c r="AB22" t="s">
        <v>50</v>
      </c>
      <c r="AC22" t="s">
        <v>51</v>
      </c>
      <c r="AD22" t="s">
        <v>54</v>
      </c>
      <c r="AE22" t="s">
        <v>53</v>
      </c>
      <c r="AF22" t="s">
        <v>52</v>
      </c>
      <c r="AG22" t="s">
        <v>52</v>
      </c>
      <c r="AH22" t="s">
        <v>64</v>
      </c>
      <c r="AK22">
        <v>10</v>
      </c>
      <c r="AL22">
        <v>11</v>
      </c>
      <c r="AN22">
        <v>508</v>
      </c>
      <c r="AO22" t="s">
        <v>56</v>
      </c>
      <c r="AP22">
        <v>55</v>
      </c>
      <c r="AQ22" t="s">
        <v>57</v>
      </c>
      <c r="AR22">
        <v>8.06</v>
      </c>
      <c r="AS22" t="s">
        <v>56</v>
      </c>
      <c r="AT22">
        <v>0</v>
      </c>
      <c r="AU22">
        <v>695</v>
      </c>
      <c r="AV22" t="s">
        <v>56</v>
      </c>
      <c r="AW22">
        <v>134</v>
      </c>
      <c r="AX22">
        <v>7.93</v>
      </c>
      <c r="AY22" t="s">
        <v>56</v>
      </c>
      <c r="AZ22">
        <v>0.08</v>
      </c>
      <c r="BB22">
        <f>LOG(AU22)</f>
        <v>2.8419848045901137</v>
      </c>
      <c r="BC22">
        <v>13.1</v>
      </c>
      <c r="BD22" t="s">
        <v>56</v>
      </c>
      <c r="BE22">
        <v>1.6</v>
      </c>
      <c r="BF22">
        <v>15.6</v>
      </c>
      <c r="BG22" t="s">
        <v>56</v>
      </c>
      <c r="BH22">
        <v>1.8</v>
      </c>
      <c r="BI22">
        <v>186</v>
      </c>
      <c r="BJ22">
        <v>2.6</v>
      </c>
      <c r="BK22" t="s">
        <v>56</v>
      </c>
      <c r="BL22" t="s">
        <v>97</v>
      </c>
      <c r="BM22" t="s">
        <v>98</v>
      </c>
      <c r="BN22" t="s">
        <v>81</v>
      </c>
      <c r="BO22" t="s">
        <v>99</v>
      </c>
      <c r="BP22" t="s">
        <v>100</v>
      </c>
      <c r="BR22" t="s">
        <v>63</v>
      </c>
      <c r="BT22">
        <v>11.5</v>
      </c>
      <c r="BU22">
        <v>11.5</v>
      </c>
      <c r="BV22">
        <v>1.17</v>
      </c>
      <c r="BW22">
        <f>BV22*SQRT(AK22)</f>
        <v>3.6998648623970039</v>
      </c>
      <c r="BX22">
        <v>13.5</v>
      </c>
      <c r="BY22">
        <v>13.5</v>
      </c>
      <c r="BZ22">
        <v>1.24</v>
      </c>
      <c r="CA22">
        <f>BZ22*SQRT(AL22)</f>
        <v>4.112614740040696</v>
      </c>
      <c r="CB22">
        <v>365</v>
      </c>
      <c r="CC22">
        <v>4</v>
      </c>
      <c r="CD22">
        <v>0.16</v>
      </c>
      <c r="CE22">
        <v>1.8700000000000001E-2</v>
      </c>
    </row>
    <row r="23" spans="2:84" hidden="1" x14ac:dyDescent="0.2">
      <c r="D23">
        <v>5</v>
      </c>
      <c r="G23" t="s">
        <v>43</v>
      </c>
      <c r="H23" t="s">
        <v>101</v>
      </c>
      <c r="J23">
        <v>2015</v>
      </c>
      <c r="M23" t="s">
        <v>102</v>
      </c>
      <c r="T23" t="s">
        <v>103</v>
      </c>
      <c r="U23" t="s">
        <v>104</v>
      </c>
      <c r="V23" t="s">
        <v>105</v>
      </c>
      <c r="Z23" t="s">
        <v>106</v>
      </c>
      <c r="AA23" t="s">
        <v>107</v>
      </c>
      <c r="AB23" t="s">
        <v>50</v>
      </c>
      <c r="AC23" t="s">
        <v>108</v>
      </c>
      <c r="AD23" t="s">
        <v>52</v>
      </c>
      <c r="AE23" t="s">
        <v>53</v>
      </c>
      <c r="AF23" t="s">
        <v>52</v>
      </c>
      <c r="AG23" t="s">
        <v>54</v>
      </c>
      <c r="AH23" t="s">
        <v>55</v>
      </c>
      <c r="AK23">
        <v>5</v>
      </c>
      <c r="AL23">
        <v>5</v>
      </c>
      <c r="AN23">
        <v>242</v>
      </c>
      <c r="AO23" t="s">
        <v>56</v>
      </c>
      <c r="AP23">
        <v>22</v>
      </c>
      <c r="AQ23" t="s">
        <v>109</v>
      </c>
      <c r="AR23">
        <v>8.2200000000000006</v>
      </c>
      <c r="AS23" t="s">
        <v>56</v>
      </c>
      <c r="AT23">
        <v>0.05</v>
      </c>
      <c r="AU23">
        <v>872</v>
      </c>
      <c r="AV23" t="s">
        <v>56</v>
      </c>
      <c r="AW23">
        <v>58</v>
      </c>
      <c r="AX23">
        <v>7.77</v>
      </c>
      <c r="AY23" t="s">
        <v>56</v>
      </c>
      <c r="AZ23">
        <v>0.06</v>
      </c>
      <c r="BB23">
        <f>LOG(AU23)</f>
        <v>2.9405164849325671</v>
      </c>
      <c r="BC23">
        <v>24.4</v>
      </c>
      <c r="BD23" t="s">
        <v>56</v>
      </c>
      <c r="BE23">
        <v>0.5</v>
      </c>
      <c r="BF23">
        <v>24.1</v>
      </c>
      <c r="BG23" t="s">
        <v>56</v>
      </c>
      <c r="BH23">
        <v>0.6</v>
      </c>
      <c r="BI23">
        <v>630</v>
      </c>
      <c r="BJ23">
        <v>-0.3</v>
      </c>
      <c r="BK23" t="s">
        <v>56</v>
      </c>
      <c r="BL23" t="s">
        <v>110</v>
      </c>
      <c r="BM23" t="s">
        <v>110</v>
      </c>
      <c r="BN23" t="s">
        <v>60</v>
      </c>
      <c r="BO23" t="s">
        <v>111</v>
      </c>
      <c r="BP23" t="s">
        <v>92</v>
      </c>
      <c r="BR23" t="s">
        <v>63</v>
      </c>
      <c r="BT23">
        <v>267.51</v>
      </c>
      <c r="BU23">
        <v>267.50547</v>
      </c>
      <c r="BV23">
        <v>29.87</v>
      </c>
      <c r="BW23">
        <f>BV23*SQRT(AK23)</f>
        <v>66.79135048791872</v>
      </c>
      <c r="BX23">
        <v>104.38</v>
      </c>
      <c r="BY23">
        <v>104.37636759999999</v>
      </c>
      <c r="BZ23">
        <v>16.850000000000001</v>
      </c>
      <c r="CA23">
        <f>BZ23*SQRT(AL23)</f>
        <v>37.67774542087146</v>
      </c>
      <c r="CB23">
        <v>31</v>
      </c>
      <c r="CC23">
        <v>4</v>
      </c>
      <c r="CD23">
        <v>-0.94099999999999995</v>
      </c>
      <c r="CE23">
        <v>3.85E-2</v>
      </c>
    </row>
    <row r="24" spans="2:84" hidden="1" x14ac:dyDescent="0.2">
      <c r="D24">
        <v>5</v>
      </c>
      <c r="G24" t="s">
        <v>43</v>
      </c>
      <c r="H24" t="s">
        <v>101</v>
      </c>
      <c r="J24">
        <v>2015</v>
      </c>
      <c r="M24" t="s">
        <v>102</v>
      </c>
      <c r="T24" t="s">
        <v>103</v>
      </c>
      <c r="U24" t="s">
        <v>104</v>
      </c>
      <c r="V24" t="s">
        <v>105</v>
      </c>
      <c r="Z24" t="s">
        <v>106</v>
      </c>
      <c r="AA24" t="s">
        <v>107</v>
      </c>
      <c r="AB24" t="s">
        <v>50</v>
      </c>
      <c r="AC24" t="s">
        <v>108</v>
      </c>
      <c r="AD24" t="s">
        <v>52</v>
      </c>
      <c r="AE24" t="s">
        <v>53</v>
      </c>
      <c r="AF24" t="s">
        <v>52</v>
      </c>
      <c r="AG24" t="s">
        <v>52</v>
      </c>
      <c r="AH24" t="s">
        <v>64</v>
      </c>
      <c r="AK24">
        <v>5</v>
      </c>
      <c r="AL24">
        <v>5</v>
      </c>
      <c r="AN24">
        <v>242</v>
      </c>
      <c r="AO24" t="s">
        <v>56</v>
      </c>
      <c r="AP24">
        <v>22</v>
      </c>
      <c r="AQ24" t="s">
        <v>109</v>
      </c>
      <c r="AR24">
        <v>8.2200000000000006</v>
      </c>
      <c r="AS24" t="s">
        <v>56</v>
      </c>
      <c r="AT24">
        <v>0.05</v>
      </c>
      <c r="AU24">
        <v>976</v>
      </c>
      <c r="AV24" t="s">
        <v>56</v>
      </c>
      <c r="AW24">
        <v>103</v>
      </c>
      <c r="AX24">
        <v>7.75</v>
      </c>
      <c r="AY24" t="s">
        <v>56</v>
      </c>
      <c r="AZ24">
        <v>0.08</v>
      </c>
      <c r="BB24">
        <f>LOG(AU24)</f>
        <v>2.9894498176666917</v>
      </c>
      <c r="BC24">
        <v>24.4</v>
      </c>
      <c r="BD24" t="s">
        <v>56</v>
      </c>
      <c r="BE24">
        <v>0.5</v>
      </c>
      <c r="BF24">
        <v>27.4</v>
      </c>
      <c r="BG24" t="s">
        <v>56</v>
      </c>
      <c r="BH24">
        <v>0.9</v>
      </c>
      <c r="BI24">
        <v>734</v>
      </c>
      <c r="BJ24">
        <v>3</v>
      </c>
      <c r="BK24" t="s">
        <v>56</v>
      </c>
      <c r="BL24" t="s">
        <v>110</v>
      </c>
      <c r="BM24" t="s">
        <v>110</v>
      </c>
      <c r="BN24" t="s">
        <v>60</v>
      </c>
      <c r="BO24" t="s">
        <v>111</v>
      </c>
      <c r="BP24" t="s">
        <v>92</v>
      </c>
      <c r="BR24" t="s">
        <v>63</v>
      </c>
      <c r="BT24">
        <v>267.51</v>
      </c>
      <c r="BU24">
        <v>267.50547</v>
      </c>
      <c r="BV24">
        <v>29.87</v>
      </c>
      <c r="BW24">
        <f>BV24*SQRT(AK24)</f>
        <v>66.79135048791872</v>
      </c>
      <c r="BX24">
        <v>138.84</v>
      </c>
      <c r="BY24">
        <v>138.84026259999999</v>
      </c>
      <c r="BZ24">
        <v>6.89</v>
      </c>
      <c r="CA24">
        <f>BZ24*SQRT(AL24)</f>
        <v>15.406508364973551</v>
      </c>
      <c r="CB24">
        <v>31</v>
      </c>
      <c r="CC24">
        <v>4</v>
      </c>
      <c r="CD24">
        <v>-0.65600000000000003</v>
      </c>
      <c r="CE24">
        <v>1.49E-2</v>
      </c>
    </row>
    <row r="25" spans="2:84" hidden="1" x14ac:dyDescent="0.2">
      <c r="D25">
        <v>5</v>
      </c>
      <c r="G25" t="s">
        <v>43</v>
      </c>
      <c r="H25" t="s">
        <v>101</v>
      </c>
      <c r="J25">
        <v>2015</v>
      </c>
      <c r="M25" t="s">
        <v>102</v>
      </c>
      <c r="T25" t="s">
        <v>103</v>
      </c>
      <c r="U25" t="s">
        <v>104</v>
      </c>
      <c r="V25" t="s">
        <v>105</v>
      </c>
      <c r="Z25" t="s">
        <v>106</v>
      </c>
      <c r="AA25" t="s">
        <v>107</v>
      </c>
      <c r="AB25" t="s">
        <v>50</v>
      </c>
      <c r="AC25" t="s">
        <v>108</v>
      </c>
      <c r="AD25" t="s">
        <v>52</v>
      </c>
      <c r="AE25" t="s">
        <v>53</v>
      </c>
      <c r="AF25" t="s">
        <v>54</v>
      </c>
      <c r="AG25" t="s">
        <v>52</v>
      </c>
      <c r="AH25" t="s">
        <v>65</v>
      </c>
      <c r="AK25">
        <v>5</v>
      </c>
      <c r="AL25">
        <v>5</v>
      </c>
      <c r="AN25">
        <v>242</v>
      </c>
      <c r="AO25" t="s">
        <v>56</v>
      </c>
      <c r="AP25">
        <v>22</v>
      </c>
      <c r="AQ25" t="s">
        <v>109</v>
      </c>
      <c r="AR25">
        <v>8.2200000000000006</v>
      </c>
      <c r="AS25" t="s">
        <v>56</v>
      </c>
      <c r="AT25">
        <v>0.05</v>
      </c>
      <c r="AU25">
        <v>275</v>
      </c>
      <c r="AV25" t="s">
        <v>56</v>
      </c>
      <c r="AW25">
        <v>24</v>
      </c>
      <c r="AX25">
        <v>8.18</v>
      </c>
      <c r="AY25" t="s">
        <v>56</v>
      </c>
      <c r="AZ25">
        <v>0.05</v>
      </c>
      <c r="BB25">
        <f>LOG(AU25)</f>
        <v>2.4393326938302629</v>
      </c>
      <c r="BC25">
        <v>24.4</v>
      </c>
      <c r="BD25" t="s">
        <v>56</v>
      </c>
      <c r="BE25">
        <v>0.5</v>
      </c>
      <c r="BF25">
        <v>27.6</v>
      </c>
      <c r="BG25" t="s">
        <v>56</v>
      </c>
      <c r="BH25">
        <v>0.8</v>
      </c>
      <c r="BI25">
        <v>33</v>
      </c>
      <c r="BJ25">
        <v>3.2</v>
      </c>
      <c r="BK25" t="s">
        <v>56</v>
      </c>
      <c r="BL25" t="s">
        <v>110</v>
      </c>
      <c r="BM25" t="s">
        <v>110</v>
      </c>
      <c r="BN25" t="s">
        <v>60</v>
      </c>
      <c r="BO25" t="s">
        <v>111</v>
      </c>
      <c r="BP25" t="s">
        <v>92</v>
      </c>
      <c r="BR25" t="s">
        <v>63</v>
      </c>
      <c r="BT25">
        <v>267.51</v>
      </c>
      <c r="BU25">
        <v>267.50547</v>
      </c>
      <c r="BV25">
        <v>29.87</v>
      </c>
      <c r="BW25">
        <f>BV25*SQRT(AK25)</f>
        <v>66.79135048791872</v>
      </c>
      <c r="BX25">
        <v>243</v>
      </c>
      <c r="BY25">
        <v>242.99781179999999</v>
      </c>
      <c r="BZ25">
        <v>36.76</v>
      </c>
      <c r="CA25">
        <f>BZ25*SQRT(AL25)</f>
        <v>82.197858852892267</v>
      </c>
      <c r="CB25">
        <v>31</v>
      </c>
      <c r="CC25">
        <v>4</v>
      </c>
      <c r="CD25">
        <v>-9.6000000000000002E-2</v>
      </c>
      <c r="CE25">
        <v>3.5400000000000001E-2</v>
      </c>
    </row>
    <row r="26" spans="2:84" hidden="1" x14ac:dyDescent="0.2">
      <c r="D26">
        <v>5</v>
      </c>
      <c r="G26" t="s">
        <v>43</v>
      </c>
      <c r="H26" t="s">
        <v>101</v>
      </c>
      <c r="J26">
        <v>2015</v>
      </c>
      <c r="M26" t="s">
        <v>102</v>
      </c>
      <c r="T26" t="s">
        <v>103</v>
      </c>
      <c r="U26" t="s">
        <v>104</v>
      </c>
      <c r="V26" t="s">
        <v>105</v>
      </c>
      <c r="Z26" t="s">
        <v>106</v>
      </c>
      <c r="AA26" t="s">
        <v>107</v>
      </c>
      <c r="AB26" t="s">
        <v>50</v>
      </c>
      <c r="AC26" t="s">
        <v>108</v>
      </c>
      <c r="AD26" t="s">
        <v>52</v>
      </c>
      <c r="AE26" t="s">
        <v>53</v>
      </c>
      <c r="AF26" t="s">
        <v>52</v>
      </c>
      <c r="AG26" t="s">
        <v>54</v>
      </c>
      <c r="AH26" t="s">
        <v>55</v>
      </c>
      <c r="AK26">
        <v>4</v>
      </c>
      <c r="AL26">
        <v>4</v>
      </c>
      <c r="AN26">
        <v>242</v>
      </c>
      <c r="AO26" t="s">
        <v>56</v>
      </c>
      <c r="AP26">
        <v>22</v>
      </c>
      <c r="AQ26" t="s">
        <v>109</v>
      </c>
      <c r="AR26">
        <v>8.2200000000000006</v>
      </c>
      <c r="AS26" t="s">
        <v>56</v>
      </c>
      <c r="AT26">
        <v>0.05</v>
      </c>
      <c r="AU26">
        <v>872</v>
      </c>
      <c r="AV26" t="s">
        <v>56</v>
      </c>
      <c r="AW26">
        <v>58</v>
      </c>
      <c r="AX26">
        <v>7.77</v>
      </c>
      <c r="AY26" t="s">
        <v>56</v>
      </c>
      <c r="AZ26">
        <v>0.06</v>
      </c>
      <c r="BB26">
        <f>LOG(AU26)</f>
        <v>2.9405164849325671</v>
      </c>
      <c r="BC26">
        <v>24.4</v>
      </c>
      <c r="BD26" t="s">
        <v>56</v>
      </c>
      <c r="BE26">
        <v>0.5</v>
      </c>
      <c r="BF26">
        <v>24.1</v>
      </c>
      <c r="BG26" t="s">
        <v>56</v>
      </c>
      <c r="BH26">
        <v>0.6</v>
      </c>
      <c r="BI26">
        <v>630</v>
      </c>
      <c r="BJ26">
        <v>-0.3</v>
      </c>
      <c r="BK26" t="s">
        <v>112</v>
      </c>
      <c r="BL26" t="s">
        <v>80</v>
      </c>
      <c r="BM26" t="s">
        <v>83</v>
      </c>
      <c r="BN26" t="s">
        <v>81</v>
      </c>
      <c r="BO26" t="s">
        <v>82</v>
      </c>
      <c r="BP26" t="s">
        <v>83</v>
      </c>
      <c r="BR26" t="s">
        <v>84</v>
      </c>
      <c r="BT26">
        <v>63.4</v>
      </c>
      <c r="BU26">
        <v>63.402062000000001</v>
      </c>
      <c r="BV26">
        <v>7.04</v>
      </c>
      <c r="BW26">
        <f>BV26*SQRT(AK26)</f>
        <v>14.08</v>
      </c>
      <c r="BX26">
        <v>59.45</v>
      </c>
      <c r="BY26">
        <v>59.4501718</v>
      </c>
      <c r="BZ26">
        <v>12.71</v>
      </c>
      <c r="CA26">
        <f>BZ26*SQRT(AL26)</f>
        <v>25.42</v>
      </c>
      <c r="CB26">
        <v>28</v>
      </c>
      <c r="CC26">
        <v>4</v>
      </c>
      <c r="CD26">
        <v>-6.4000000000000001E-2</v>
      </c>
      <c r="CE26">
        <v>5.8099999999999999E-2</v>
      </c>
    </row>
    <row r="27" spans="2:84" hidden="1" x14ac:dyDescent="0.2">
      <c r="D27">
        <v>5</v>
      </c>
      <c r="G27" t="s">
        <v>43</v>
      </c>
      <c r="H27" t="s">
        <v>101</v>
      </c>
      <c r="J27">
        <v>2015</v>
      </c>
      <c r="M27" t="s">
        <v>102</v>
      </c>
      <c r="T27" t="s">
        <v>103</v>
      </c>
      <c r="U27" t="s">
        <v>104</v>
      </c>
      <c r="V27" t="s">
        <v>105</v>
      </c>
      <c r="Z27" t="s">
        <v>106</v>
      </c>
      <c r="AA27" t="s">
        <v>107</v>
      </c>
      <c r="AB27" t="s">
        <v>50</v>
      </c>
      <c r="AC27" t="s">
        <v>108</v>
      </c>
      <c r="AD27" t="s">
        <v>52</v>
      </c>
      <c r="AE27" t="s">
        <v>53</v>
      </c>
      <c r="AF27" t="s">
        <v>54</v>
      </c>
      <c r="AG27" t="s">
        <v>52</v>
      </c>
      <c r="AH27" t="s">
        <v>65</v>
      </c>
      <c r="AK27">
        <v>4</v>
      </c>
      <c r="AL27">
        <v>4</v>
      </c>
      <c r="AN27">
        <v>242</v>
      </c>
      <c r="AO27" t="s">
        <v>56</v>
      </c>
      <c r="AP27">
        <v>22</v>
      </c>
      <c r="AQ27" t="s">
        <v>109</v>
      </c>
      <c r="AR27">
        <v>8.2200000000000006</v>
      </c>
      <c r="AS27" t="s">
        <v>56</v>
      </c>
      <c r="AT27">
        <v>0.05</v>
      </c>
      <c r="AU27">
        <v>275</v>
      </c>
      <c r="AV27" t="s">
        <v>56</v>
      </c>
      <c r="AW27">
        <v>24</v>
      </c>
      <c r="AX27">
        <v>8.18</v>
      </c>
      <c r="AY27" t="s">
        <v>56</v>
      </c>
      <c r="AZ27">
        <v>0.05</v>
      </c>
      <c r="BB27">
        <f>LOG(AU27)</f>
        <v>2.4393326938302629</v>
      </c>
      <c r="BC27">
        <v>24.4</v>
      </c>
      <c r="BD27" t="s">
        <v>56</v>
      </c>
      <c r="BE27">
        <v>0.5</v>
      </c>
      <c r="BF27">
        <v>27.6</v>
      </c>
      <c r="BG27" t="s">
        <v>56</v>
      </c>
      <c r="BH27">
        <v>0.8</v>
      </c>
      <c r="BI27">
        <v>33</v>
      </c>
      <c r="BJ27">
        <v>3.2</v>
      </c>
      <c r="BK27" t="s">
        <v>112</v>
      </c>
      <c r="BL27" t="s">
        <v>80</v>
      </c>
      <c r="BM27" t="s">
        <v>83</v>
      </c>
      <c r="BN27" t="s">
        <v>81</v>
      </c>
      <c r="BO27" t="s">
        <v>82</v>
      </c>
      <c r="BP27" t="s">
        <v>83</v>
      </c>
      <c r="BR27" t="s">
        <v>84</v>
      </c>
      <c r="BT27">
        <v>63.4</v>
      </c>
      <c r="BU27">
        <v>63.402062000000001</v>
      </c>
      <c r="BV27">
        <v>7.04</v>
      </c>
      <c r="BW27">
        <f>BV27*SQRT(AK27)</f>
        <v>14.08</v>
      </c>
      <c r="BX27">
        <v>62.71</v>
      </c>
      <c r="BY27">
        <v>62.7147766</v>
      </c>
      <c r="BZ27">
        <v>7.73</v>
      </c>
      <c r="CA27">
        <f>BZ27*SQRT(AL27)</f>
        <v>15.46</v>
      </c>
      <c r="CB27">
        <v>28</v>
      </c>
      <c r="CC27">
        <v>4</v>
      </c>
      <c r="CD27">
        <v>-1.0999999999999999E-2</v>
      </c>
      <c r="CE27">
        <v>2.75E-2</v>
      </c>
    </row>
    <row r="28" spans="2:84" hidden="1" x14ac:dyDescent="0.2">
      <c r="B28" t="str">
        <f>ROW()-1&amp;"_AltersInvert"</f>
        <v>27_AltersInvert</v>
      </c>
      <c r="C28" t="str">
        <f>D28&amp;"_"&amp;
SUBSTITUTE(TRIM(V28)," ","_")&amp;"_"&amp;
TRIM(AC28)&amp;"_"&amp;
"CO2"&amp;TEXT(AN28,"0.00")&amp;"_"&amp;
"pH"&amp;TEXT(AR28,"0.00")&amp;"_"&amp;
"T"&amp;TEXT(BC28,"0.##")</f>
        <v>67_Semibalanus_balanoides_LARVA_CO2409.00_pH8.05_T14.4</v>
      </c>
      <c r="D28">
        <v>67</v>
      </c>
      <c r="G28" t="s">
        <v>43</v>
      </c>
      <c r="H28" t="s">
        <v>622</v>
      </c>
      <c r="J28">
        <v>2009</v>
      </c>
      <c r="M28" t="s">
        <v>67</v>
      </c>
      <c r="P28" t="s">
        <v>1135</v>
      </c>
      <c r="R28" t="s">
        <v>1127</v>
      </c>
      <c r="S28" t="s">
        <v>1128</v>
      </c>
      <c r="T28" t="s">
        <v>131</v>
      </c>
      <c r="U28" t="s">
        <v>623</v>
      </c>
      <c r="V28" t="s">
        <v>624</v>
      </c>
      <c r="Z28" t="s">
        <v>49</v>
      </c>
      <c r="AA28" t="s">
        <v>49</v>
      </c>
      <c r="AB28" t="s">
        <v>71</v>
      </c>
      <c r="AC28" t="s">
        <v>72</v>
      </c>
      <c r="AD28" t="s">
        <v>52</v>
      </c>
      <c r="AE28" t="s">
        <v>53</v>
      </c>
      <c r="AF28" t="s">
        <v>52</v>
      </c>
      <c r="AG28" t="s">
        <v>52</v>
      </c>
      <c r="AH28" t="s">
        <v>64</v>
      </c>
      <c r="AK28">
        <v>5</v>
      </c>
      <c r="AL28">
        <v>5</v>
      </c>
      <c r="AN28">
        <v>409</v>
      </c>
      <c r="AO28" t="s">
        <v>56</v>
      </c>
      <c r="AP28" t="s">
        <v>56</v>
      </c>
      <c r="AQ28" t="s">
        <v>57</v>
      </c>
      <c r="AR28">
        <v>8.0500000000000007</v>
      </c>
      <c r="AS28" t="s">
        <v>56</v>
      </c>
      <c r="AT28" t="s">
        <v>56</v>
      </c>
      <c r="AU28">
        <v>1109</v>
      </c>
      <c r="AV28" t="s">
        <v>56</v>
      </c>
      <c r="AW28" t="s">
        <v>56</v>
      </c>
      <c r="AX28">
        <v>7.71</v>
      </c>
      <c r="AY28" t="s">
        <v>56</v>
      </c>
      <c r="AZ28" t="s">
        <v>56</v>
      </c>
      <c r="BB28">
        <f>LOG(AU28)</f>
        <v>3.0449315461491602</v>
      </c>
      <c r="BC28">
        <v>14.4</v>
      </c>
      <c r="BD28" t="s">
        <v>56</v>
      </c>
      <c r="BE28" t="s">
        <v>56</v>
      </c>
      <c r="BF28">
        <v>19.7</v>
      </c>
      <c r="BG28" t="s">
        <v>56</v>
      </c>
      <c r="BH28" t="s">
        <v>56</v>
      </c>
      <c r="BI28">
        <v>700</v>
      </c>
      <c r="BJ28">
        <v>5.3</v>
      </c>
      <c r="BK28" t="s">
        <v>56</v>
      </c>
      <c r="BL28" t="s">
        <v>458</v>
      </c>
      <c r="BM28" t="s">
        <v>232</v>
      </c>
      <c r="BN28" t="s">
        <v>81</v>
      </c>
      <c r="BO28" t="s">
        <v>628</v>
      </c>
      <c r="BP28" t="s">
        <v>234</v>
      </c>
      <c r="BQ28" t="s">
        <v>194</v>
      </c>
      <c r="BR28" t="s">
        <v>63</v>
      </c>
      <c r="BT28">
        <v>0.03</v>
      </c>
      <c r="BU28">
        <v>2.8000000000000001E-2</v>
      </c>
      <c r="BV28">
        <v>0</v>
      </c>
      <c r="BW28">
        <f>BV28*SQRT(AK28)</f>
        <v>0</v>
      </c>
      <c r="BX28">
        <v>0.02</v>
      </c>
      <c r="BY28">
        <v>1.7999999999999999E-2</v>
      </c>
      <c r="BZ28">
        <v>0</v>
      </c>
      <c r="CA28">
        <f>BZ28*SQRT(AL28)</f>
        <v>0</v>
      </c>
      <c r="CB28">
        <v>30</v>
      </c>
      <c r="CC28">
        <v>2</v>
      </c>
      <c r="CD28">
        <v>-0.442</v>
      </c>
      <c r="CE28">
        <v>4.7000000000000002E-3</v>
      </c>
      <c r="CF28" s="8"/>
    </row>
    <row r="29" spans="2:84" hidden="1" x14ac:dyDescent="0.2">
      <c r="D29">
        <v>5</v>
      </c>
      <c r="G29" t="s">
        <v>43</v>
      </c>
      <c r="H29" t="s">
        <v>101</v>
      </c>
      <c r="J29">
        <v>2015</v>
      </c>
      <c r="M29" t="s">
        <v>102</v>
      </c>
      <c r="T29" t="s">
        <v>103</v>
      </c>
      <c r="U29" t="s">
        <v>104</v>
      </c>
      <c r="V29" t="s">
        <v>105</v>
      </c>
      <c r="Z29" t="s">
        <v>106</v>
      </c>
      <c r="AA29" t="s">
        <v>107</v>
      </c>
      <c r="AB29" t="s">
        <v>50</v>
      </c>
      <c r="AC29" t="s">
        <v>108</v>
      </c>
      <c r="AD29" t="s">
        <v>52</v>
      </c>
      <c r="AE29" t="s">
        <v>53</v>
      </c>
      <c r="AF29" t="s">
        <v>52</v>
      </c>
      <c r="AG29" t="s">
        <v>52</v>
      </c>
      <c r="AH29" t="s">
        <v>64</v>
      </c>
      <c r="AK29">
        <v>4</v>
      </c>
      <c r="AL29">
        <v>4</v>
      </c>
      <c r="AN29">
        <v>242</v>
      </c>
      <c r="AO29" t="s">
        <v>56</v>
      </c>
      <c r="AP29">
        <v>22</v>
      </c>
      <c r="AQ29" t="s">
        <v>109</v>
      </c>
      <c r="AR29">
        <v>8.2200000000000006</v>
      </c>
      <c r="AS29" t="s">
        <v>56</v>
      </c>
      <c r="AT29">
        <v>0.05</v>
      </c>
      <c r="AU29">
        <v>976</v>
      </c>
      <c r="AV29" t="s">
        <v>56</v>
      </c>
      <c r="AW29">
        <v>103</v>
      </c>
      <c r="AX29">
        <v>7.75</v>
      </c>
      <c r="AY29" t="s">
        <v>56</v>
      </c>
      <c r="AZ29">
        <v>0.08</v>
      </c>
      <c r="BB29">
        <f>LOG(AU29)</f>
        <v>2.9894498176666917</v>
      </c>
      <c r="BC29">
        <v>24.4</v>
      </c>
      <c r="BD29" t="s">
        <v>56</v>
      </c>
      <c r="BE29">
        <v>0.5</v>
      </c>
      <c r="BF29">
        <v>27.4</v>
      </c>
      <c r="BG29" t="s">
        <v>56</v>
      </c>
      <c r="BH29">
        <v>0.9</v>
      </c>
      <c r="BI29">
        <v>734</v>
      </c>
      <c r="BJ29">
        <v>3</v>
      </c>
      <c r="BK29" t="s">
        <v>112</v>
      </c>
      <c r="BL29" t="s">
        <v>83</v>
      </c>
      <c r="BM29" t="s">
        <v>83</v>
      </c>
      <c r="BN29" t="s">
        <v>81</v>
      </c>
      <c r="BO29" t="s">
        <v>82</v>
      </c>
      <c r="BP29" t="s">
        <v>83</v>
      </c>
      <c r="BR29" t="s">
        <v>84</v>
      </c>
      <c r="BT29">
        <v>63.4</v>
      </c>
      <c r="BU29">
        <v>63.402062000000001</v>
      </c>
      <c r="BV29">
        <v>7.04</v>
      </c>
      <c r="BW29">
        <f>BV29*SQRT(AK29)</f>
        <v>14.08</v>
      </c>
      <c r="BX29">
        <v>69.59</v>
      </c>
      <c r="BY29">
        <v>69.587628899999999</v>
      </c>
      <c r="BZ29">
        <v>7.73</v>
      </c>
      <c r="CA29">
        <f>BZ29*SQRT(AL29)</f>
        <v>15.46</v>
      </c>
      <c r="CB29">
        <v>28</v>
      </c>
      <c r="CC29">
        <v>4</v>
      </c>
      <c r="CD29">
        <v>9.2999999999999999E-2</v>
      </c>
      <c r="CE29">
        <v>2.47E-2</v>
      </c>
    </row>
    <row r="30" spans="2:84" hidden="1" x14ac:dyDescent="0.2">
      <c r="B30" t="str">
        <f>ROW()-1&amp;"_AltersInvert"</f>
        <v>29_AltersInvert</v>
      </c>
      <c r="C30" t="str">
        <f>D30&amp;"_"&amp;
SUBSTITUTE(TRIM(V30)," ","_")&amp;"_"&amp;
TRIM(AC30)&amp;"_"&amp;
"CO2"&amp;TEXT(AN30,"0.00")&amp;"_"&amp;
"pH"&amp;TEXT(AR30,"0.00")&amp;"_"&amp;
"T"&amp;TEXT(BC30,"0.##")</f>
        <v>67_Elminius_modestus_LARVA_CO2413.00_pH7.96_T14.7</v>
      </c>
      <c r="D30">
        <v>67</v>
      </c>
      <c r="G30" t="s">
        <v>43</v>
      </c>
      <c r="H30" t="s">
        <v>622</v>
      </c>
      <c r="J30">
        <v>2009</v>
      </c>
      <c r="M30" t="s">
        <v>67</v>
      </c>
      <c r="P30" t="s">
        <v>1135</v>
      </c>
      <c r="R30" t="s">
        <v>1127</v>
      </c>
      <c r="S30" t="s">
        <v>1128</v>
      </c>
      <c r="T30" t="s">
        <v>131</v>
      </c>
      <c r="U30" t="s">
        <v>623</v>
      </c>
      <c r="V30" t="s">
        <v>627</v>
      </c>
      <c r="Z30" t="s">
        <v>49</v>
      </c>
      <c r="AA30" t="s">
        <v>49</v>
      </c>
      <c r="AB30" t="s">
        <v>71</v>
      </c>
      <c r="AC30" t="s">
        <v>72</v>
      </c>
      <c r="AD30" t="s">
        <v>52</v>
      </c>
      <c r="AE30" t="s">
        <v>53</v>
      </c>
      <c r="AF30" t="s">
        <v>52</v>
      </c>
      <c r="AG30" t="s">
        <v>52</v>
      </c>
      <c r="AH30" t="s">
        <v>64</v>
      </c>
      <c r="AK30">
        <v>5</v>
      </c>
      <c r="AL30">
        <v>5</v>
      </c>
      <c r="AN30">
        <v>413</v>
      </c>
      <c r="AO30" t="s">
        <v>56</v>
      </c>
      <c r="AP30" t="s">
        <v>56</v>
      </c>
      <c r="AQ30" t="s">
        <v>57</v>
      </c>
      <c r="AR30">
        <v>7.96</v>
      </c>
      <c r="AS30" t="s">
        <v>56</v>
      </c>
      <c r="AT30" t="s">
        <v>56</v>
      </c>
      <c r="AU30">
        <v>1075</v>
      </c>
      <c r="AV30" t="s">
        <v>56</v>
      </c>
      <c r="AW30" t="s">
        <v>56</v>
      </c>
      <c r="AX30">
        <v>7.73</v>
      </c>
      <c r="AY30" t="s">
        <v>56</v>
      </c>
      <c r="AZ30" t="s">
        <v>56</v>
      </c>
      <c r="BB30">
        <f>LOG(AU30)</f>
        <v>3.0314084642516241</v>
      </c>
      <c r="BC30">
        <v>14.7</v>
      </c>
      <c r="BD30" t="s">
        <v>56</v>
      </c>
      <c r="BE30" t="s">
        <v>56</v>
      </c>
      <c r="BF30">
        <v>20</v>
      </c>
      <c r="BG30" t="s">
        <v>56</v>
      </c>
      <c r="BH30" t="s">
        <v>56</v>
      </c>
      <c r="BI30">
        <v>662</v>
      </c>
      <c r="BJ30">
        <v>5.4</v>
      </c>
      <c r="BK30" t="s">
        <v>56</v>
      </c>
      <c r="BL30" t="s">
        <v>458</v>
      </c>
      <c r="BM30" t="s">
        <v>232</v>
      </c>
      <c r="BN30" t="s">
        <v>81</v>
      </c>
      <c r="BO30" t="s">
        <v>628</v>
      </c>
      <c r="BP30" t="s">
        <v>234</v>
      </c>
      <c r="BQ30" t="s">
        <v>194</v>
      </c>
      <c r="BR30" t="s">
        <v>63</v>
      </c>
      <c r="BT30">
        <v>0.03</v>
      </c>
      <c r="BU30">
        <v>3.2000000000000001E-2</v>
      </c>
      <c r="BV30">
        <v>0</v>
      </c>
      <c r="BW30">
        <f>BV30*SQRT(AK30)</f>
        <v>0</v>
      </c>
      <c r="BX30">
        <v>0.03</v>
      </c>
      <c r="BY30">
        <v>3.1E-2</v>
      </c>
      <c r="BZ30">
        <v>0</v>
      </c>
      <c r="CA30">
        <f>BZ30*SQRT(AL30)</f>
        <v>0</v>
      </c>
      <c r="CB30">
        <v>30</v>
      </c>
      <c r="CC30">
        <v>2</v>
      </c>
      <c r="CD30">
        <v>-3.2000000000000001E-2</v>
      </c>
      <c r="CE30">
        <v>4.4000000000000003E-3</v>
      </c>
      <c r="CF30" s="8"/>
    </row>
    <row r="31" spans="2:84" hidden="1" x14ac:dyDescent="0.2">
      <c r="B31" t="str">
        <f>ROW()-1&amp;"_AltersInvert"</f>
        <v>30_AltersInvert</v>
      </c>
      <c r="C31" t="str">
        <f>D31&amp;"_"&amp;
SUBSTITUTE(TRIM(V31)," ","_")&amp;"_"&amp;
TRIM(AC31)&amp;"_"&amp;
"CO2"&amp;TEXT(AN31,"0.00")&amp;"_"&amp;
"pH"&amp;TEXT(AR31,"0.00")&amp;"_"&amp;
"T"&amp;TEXT(BC31,"0.##")</f>
        <v>23_Paracentrotus_lividus_LARVA_CO2311.00_pH8.10_T18.8</v>
      </c>
      <c r="D31">
        <v>23</v>
      </c>
      <c r="G31" t="s">
        <v>43</v>
      </c>
      <c r="H31" t="s">
        <v>307</v>
      </c>
      <c r="J31">
        <v>2015</v>
      </c>
      <c r="M31" t="s">
        <v>308</v>
      </c>
      <c r="P31" t="s">
        <v>1135</v>
      </c>
      <c r="R31" t="s">
        <v>1127</v>
      </c>
      <c r="S31" t="s">
        <v>1128</v>
      </c>
      <c r="T31" t="s">
        <v>46</v>
      </c>
      <c r="U31" t="s">
        <v>309</v>
      </c>
      <c r="V31" t="s">
        <v>310</v>
      </c>
      <c r="Z31" t="s">
        <v>49</v>
      </c>
      <c r="AA31" t="s">
        <v>49</v>
      </c>
      <c r="AB31" t="s">
        <v>71</v>
      </c>
      <c r="AC31" t="s">
        <v>72</v>
      </c>
      <c r="AD31" t="s">
        <v>52</v>
      </c>
      <c r="AE31" t="s">
        <v>53</v>
      </c>
      <c r="AF31" t="s">
        <v>52</v>
      </c>
      <c r="AG31" t="s">
        <v>54</v>
      </c>
      <c r="AH31" t="s">
        <v>55</v>
      </c>
      <c r="AK31">
        <v>15</v>
      </c>
      <c r="AL31">
        <v>15</v>
      </c>
      <c r="AN31">
        <v>311</v>
      </c>
      <c r="AO31" t="s">
        <v>56</v>
      </c>
      <c r="AP31" t="s">
        <v>56</v>
      </c>
      <c r="AQ31" t="s">
        <v>57</v>
      </c>
      <c r="AR31">
        <v>8.1</v>
      </c>
      <c r="AS31" t="s">
        <v>56</v>
      </c>
      <c r="AT31">
        <v>0</v>
      </c>
      <c r="AU31">
        <v>1850</v>
      </c>
      <c r="AV31" t="s">
        <v>56</v>
      </c>
      <c r="AW31" t="s">
        <v>56</v>
      </c>
      <c r="AX31">
        <v>7.4</v>
      </c>
      <c r="AY31" t="s">
        <v>56</v>
      </c>
      <c r="AZ31">
        <v>0.1</v>
      </c>
      <c r="BB31">
        <f>LOG(AU31)</f>
        <v>3.2671717284030137</v>
      </c>
      <c r="BC31">
        <v>18.8</v>
      </c>
      <c r="BD31" t="s">
        <v>56</v>
      </c>
      <c r="BE31">
        <v>0.2</v>
      </c>
      <c r="BF31">
        <v>18.8</v>
      </c>
      <c r="BG31" t="s">
        <v>56</v>
      </c>
      <c r="BH31">
        <v>0.2</v>
      </c>
      <c r="BI31">
        <v>1539</v>
      </c>
      <c r="BJ31">
        <v>0</v>
      </c>
      <c r="BK31" t="s">
        <v>56</v>
      </c>
      <c r="BL31" t="s">
        <v>262</v>
      </c>
      <c r="BM31" t="s">
        <v>262</v>
      </c>
      <c r="BN31" t="s">
        <v>81</v>
      </c>
      <c r="BO31" t="s">
        <v>180</v>
      </c>
      <c r="BP31" t="s">
        <v>92</v>
      </c>
      <c r="BQ31" t="s">
        <v>92</v>
      </c>
      <c r="BR31" t="s">
        <v>63</v>
      </c>
      <c r="BT31">
        <v>0.48</v>
      </c>
      <c r="BU31">
        <v>0.48</v>
      </c>
      <c r="BV31">
        <v>0</v>
      </c>
      <c r="BW31">
        <f>BV31*SQRT(AK31)</f>
        <v>0</v>
      </c>
      <c r="BX31">
        <v>0.35</v>
      </c>
      <c r="BY31">
        <v>0.35</v>
      </c>
      <c r="BZ31">
        <v>0.01</v>
      </c>
      <c r="CA31">
        <f>BZ31*SQRT(AL31)</f>
        <v>3.8729833462074169E-2</v>
      </c>
      <c r="CB31">
        <v>30</v>
      </c>
      <c r="CC31">
        <v>5</v>
      </c>
      <c r="CD31">
        <v>-0.316</v>
      </c>
      <c r="CE31">
        <v>5.0000000000000001E-4</v>
      </c>
    </row>
    <row r="32" spans="2:84" hidden="1" x14ac:dyDescent="0.2">
      <c r="D32">
        <v>6</v>
      </c>
      <c r="G32" t="s">
        <v>114</v>
      </c>
      <c r="H32" t="s">
        <v>115</v>
      </c>
      <c r="J32">
        <v>2011</v>
      </c>
      <c r="M32" t="s">
        <v>116</v>
      </c>
      <c r="T32" t="s">
        <v>46</v>
      </c>
      <c r="U32" t="s">
        <v>56</v>
      </c>
      <c r="V32" t="s">
        <v>56</v>
      </c>
      <c r="Z32" t="s">
        <v>49</v>
      </c>
      <c r="AA32" t="s">
        <v>49</v>
      </c>
      <c r="AB32" t="s">
        <v>50</v>
      </c>
      <c r="AC32" t="s">
        <v>117</v>
      </c>
      <c r="AD32" t="s">
        <v>52</v>
      </c>
      <c r="AE32" t="s">
        <v>56</v>
      </c>
      <c r="AF32" t="s">
        <v>52</v>
      </c>
      <c r="AG32" t="s">
        <v>52</v>
      </c>
      <c r="AH32" t="s">
        <v>64</v>
      </c>
      <c r="AK32">
        <v>5</v>
      </c>
      <c r="AL32">
        <v>5</v>
      </c>
      <c r="AM32" t="s">
        <v>123</v>
      </c>
      <c r="AN32">
        <v>729</v>
      </c>
      <c r="AO32" t="s">
        <v>56</v>
      </c>
      <c r="AP32">
        <v>160</v>
      </c>
      <c r="AQ32" t="s">
        <v>118</v>
      </c>
      <c r="AR32">
        <v>7.86</v>
      </c>
      <c r="AS32" t="s">
        <v>56</v>
      </c>
      <c r="AT32">
        <v>0.09</v>
      </c>
      <c r="AU32">
        <v>3010</v>
      </c>
      <c r="AV32" t="s">
        <v>56</v>
      </c>
      <c r="AW32">
        <v>4141</v>
      </c>
      <c r="AX32">
        <v>6.66</v>
      </c>
      <c r="AY32" t="s">
        <v>56</v>
      </c>
      <c r="AZ32">
        <v>0.19</v>
      </c>
      <c r="BB32">
        <f>LOG(AU32)</f>
        <v>3.4785664955938436</v>
      </c>
      <c r="BC32">
        <v>11.8</v>
      </c>
      <c r="BD32" t="s">
        <v>56</v>
      </c>
      <c r="BE32">
        <v>0.4</v>
      </c>
      <c r="BF32">
        <v>15.5</v>
      </c>
      <c r="BG32" t="s">
        <v>56</v>
      </c>
      <c r="BH32">
        <v>1.5</v>
      </c>
      <c r="BI32">
        <v>2281</v>
      </c>
      <c r="BJ32">
        <v>4</v>
      </c>
      <c r="BK32" t="s">
        <v>119</v>
      </c>
      <c r="BL32" t="s">
        <v>120</v>
      </c>
      <c r="BM32" t="s">
        <v>120</v>
      </c>
      <c r="BN32" t="s">
        <v>81</v>
      </c>
      <c r="BO32" t="s">
        <v>121</v>
      </c>
      <c r="BP32" t="s">
        <v>83</v>
      </c>
      <c r="BR32" t="s">
        <v>122</v>
      </c>
      <c r="BT32">
        <v>6.78</v>
      </c>
      <c r="BU32">
        <v>6.7764709999999999</v>
      </c>
      <c r="BV32">
        <v>2.8E-3</v>
      </c>
      <c r="BW32">
        <f>BV32*SQRT(AK32)</f>
        <v>6.2609903369994111E-3</v>
      </c>
      <c r="BX32">
        <v>0</v>
      </c>
      <c r="BY32">
        <v>6.7764699999999997E-2</v>
      </c>
      <c r="BZ32">
        <v>0.01</v>
      </c>
      <c r="CA32">
        <f>BZ32*SQRT(AL32)</f>
        <v>2.2360679774997897E-2</v>
      </c>
      <c r="CB32">
        <v>60</v>
      </c>
      <c r="CC32">
        <v>5</v>
      </c>
      <c r="CD32">
        <v>-4.6050000000000004</v>
      </c>
      <c r="CE32">
        <v>1.1299999999999999E-2</v>
      </c>
    </row>
    <row r="33" spans="4:83" hidden="1" x14ac:dyDescent="0.2">
      <c r="D33">
        <v>6</v>
      </c>
      <c r="G33" t="s">
        <v>114</v>
      </c>
      <c r="H33" t="s">
        <v>115</v>
      </c>
      <c r="J33">
        <v>2011</v>
      </c>
      <c r="M33" t="s">
        <v>116</v>
      </c>
      <c r="T33" t="s">
        <v>68</v>
      </c>
      <c r="U33" t="s">
        <v>124</v>
      </c>
      <c r="V33" t="s">
        <v>125</v>
      </c>
      <c r="Z33" t="s">
        <v>49</v>
      </c>
      <c r="AA33" t="s">
        <v>49</v>
      </c>
      <c r="AB33" t="s">
        <v>50</v>
      </c>
      <c r="AC33" t="s">
        <v>117</v>
      </c>
      <c r="AD33" t="s">
        <v>52</v>
      </c>
      <c r="AE33" t="s">
        <v>53</v>
      </c>
      <c r="AF33" t="s">
        <v>52</v>
      </c>
      <c r="AG33" t="s">
        <v>52</v>
      </c>
      <c r="AH33" t="s">
        <v>64</v>
      </c>
      <c r="AK33">
        <v>5</v>
      </c>
      <c r="AL33">
        <v>5</v>
      </c>
      <c r="AM33" t="s">
        <v>123</v>
      </c>
      <c r="AN33">
        <v>729</v>
      </c>
      <c r="AO33" t="s">
        <v>56</v>
      </c>
      <c r="AP33">
        <v>160</v>
      </c>
      <c r="AQ33" t="s">
        <v>118</v>
      </c>
      <c r="AR33">
        <v>7.86</v>
      </c>
      <c r="AS33" t="s">
        <v>56</v>
      </c>
      <c r="AT33">
        <v>0.09</v>
      </c>
      <c r="AU33">
        <v>3010</v>
      </c>
      <c r="AV33" t="s">
        <v>56</v>
      </c>
      <c r="AW33">
        <v>4141</v>
      </c>
      <c r="AX33">
        <v>6.66</v>
      </c>
      <c r="AY33" t="s">
        <v>56</v>
      </c>
      <c r="AZ33">
        <v>0.19</v>
      </c>
      <c r="BB33">
        <f>LOG(AU33)</f>
        <v>3.4785664955938436</v>
      </c>
      <c r="BC33">
        <v>11.8</v>
      </c>
      <c r="BD33" t="s">
        <v>56</v>
      </c>
      <c r="BE33">
        <v>0.4</v>
      </c>
      <c r="BF33">
        <v>15.5</v>
      </c>
      <c r="BG33" t="s">
        <v>56</v>
      </c>
      <c r="BH33">
        <v>1.5</v>
      </c>
      <c r="BI33">
        <v>2281</v>
      </c>
      <c r="BJ33">
        <v>4</v>
      </c>
      <c r="BK33" t="s">
        <v>126</v>
      </c>
      <c r="BL33" t="s">
        <v>120</v>
      </c>
      <c r="BM33" t="s">
        <v>120</v>
      </c>
      <c r="BN33" t="s">
        <v>81</v>
      </c>
      <c r="BO33" t="s">
        <v>121</v>
      </c>
      <c r="BP33" t="s">
        <v>127</v>
      </c>
      <c r="BR33" t="s">
        <v>122</v>
      </c>
      <c r="BT33">
        <v>9.32</v>
      </c>
      <c r="BU33">
        <v>9.3162099999999999</v>
      </c>
      <c r="BV33">
        <v>4.1002280000000004</v>
      </c>
      <c r="BW33">
        <f>BV33*SQRT(AK33)</f>
        <v>9.1683885312480093</v>
      </c>
      <c r="BX33">
        <v>0</v>
      </c>
      <c r="BY33">
        <v>9.3162099999999998E-2</v>
      </c>
      <c r="BZ33">
        <v>0</v>
      </c>
      <c r="CA33">
        <f>BZ33*SQRT(AL33)</f>
        <v>0</v>
      </c>
      <c r="CB33">
        <v>60</v>
      </c>
      <c r="CC33">
        <v>5</v>
      </c>
      <c r="CD33">
        <v>-4.6050000000000004</v>
      </c>
      <c r="CE33">
        <v>0.19370000000000001</v>
      </c>
    </row>
    <row r="34" spans="4:83" hidden="1" x14ac:dyDescent="0.2">
      <c r="D34">
        <v>6</v>
      </c>
      <c r="G34" t="s">
        <v>114</v>
      </c>
      <c r="H34" t="s">
        <v>115</v>
      </c>
      <c r="J34">
        <v>2011</v>
      </c>
      <c r="M34" t="s">
        <v>116</v>
      </c>
      <c r="T34" t="s">
        <v>68</v>
      </c>
      <c r="U34" t="s">
        <v>124</v>
      </c>
      <c r="V34" t="s">
        <v>128</v>
      </c>
      <c r="Z34" t="s">
        <v>49</v>
      </c>
      <c r="AA34" t="s">
        <v>49</v>
      </c>
      <c r="AB34" t="s">
        <v>50</v>
      </c>
      <c r="AC34" t="s">
        <v>117</v>
      </c>
      <c r="AD34" t="s">
        <v>52</v>
      </c>
      <c r="AE34" t="s">
        <v>53</v>
      </c>
      <c r="AF34" t="s">
        <v>52</v>
      </c>
      <c r="AG34" t="s">
        <v>52</v>
      </c>
      <c r="AH34" t="s">
        <v>64</v>
      </c>
      <c r="AK34">
        <v>5</v>
      </c>
      <c r="AL34">
        <v>5</v>
      </c>
      <c r="AM34" t="s">
        <v>123</v>
      </c>
      <c r="AN34">
        <v>729</v>
      </c>
      <c r="AO34" t="s">
        <v>56</v>
      </c>
      <c r="AP34">
        <v>160</v>
      </c>
      <c r="AQ34" t="s">
        <v>118</v>
      </c>
      <c r="AR34">
        <v>7.86</v>
      </c>
      <c r="AS34" t="s">
        <v>56</v>
      </c>
      <c r="AT34">
        <v>0.09</v>
      </c>
      <c r="AU34">
        <v>3010</v>
      </c>
      <c r="AV34" t="s">
        <v>56</v>
      </c>
      <c r="AW34">
        <v>4141</v>
      </c>
      <c r="AX34">
        <v>6.66</v>
      </c>
      <c r="AY34" t="s">
        <v>56</v>
      </c>
      <c r="AZ34">
        <v>0.19</v>
      </c>
      <c r="BB34">
        <f>LOG(AU34)</f>
        <v>3.4785664955938436</v>
      </c>
      <c r="BC34">
        <v>11.8</v>
      </c>
      <c r="BD34" t="s">
        <v>56</v>
      </c>
      <c r="BE34">
        <v>0.4</v>
      </c>
      <c r="BF34">
        <v>15.5</v>
      </c>
      <c r="BG34" t="s">
        <v>56</v>
      </c>
      <c r="BH34">
        <v>1.5</v>
      </c>
      <c r="BI34">
        <v>2281</v>
      </c>
      <c r="BJ34">
        <v>4</v>
      </c>
      <c r="BK34" t="s">
        <v>129</v>
      </c>
      <c r="BL34" t="s">
        <v>120</v>
      </c>
      <c r="BM34" t="s">
        <v>120</v>
      </c>
      <c r="BN34" t="s">
        <v>81</v>
      </c>
      <c r="BO34" t="s">
        <v>121</v>
      </c>
      <c r="BP34" t="s">
        <v>127</v>
      </c>
      <c r="BR34" t="s">
        <v>122</v>
      </c>
      <c r="BT34">
        <v>7.47</v>
      </c>
      <c r="BU34">
        <v>7.4654379999999998</v>
      </c>
      <c r="BV34">
        <v>4.1889399999999997</v>
      </c>
      <c r="BW34">
        <f>BV34*SQRT(AK34)</f>
        <v>9.3667545936679684</v>
      </c>
      <c r="BX34">
        <v>0</v>
      </c>
      <c r="BY34">
        <v>7.4654399999999996E-2</v>
      </c>
      <c r="BZ34">
        <v>0</v>
      </c>
      <c r="CA34">
        <f>BZ34*SQRT(AL34)</f>
        <v>0</v>
      </c>
      <c r="CB34">
        <v>60</v>
      </c>
      <c r="CC34">
        <v>5</v>
      </c>
      <c r="CD34">
        <v>-4.6050000000000004</v>
      </c>
      <c r="CE34">
        <v>0.31480000000000002</v>
      </c>
    </row>
    <row r="35" spans="4:83" hidden="1" x14ac:dyDescent="0.2">
      <c r="D35">
        <v>6</v>
      </c>
      <c r="G35" t="s">
        <v>114</v>
      </c>
      <c r="H35" t="s">
        <v>115</v>
      </c>
      <c r="J35">
        <v>2011</v>
      </c>
      <c r="M35" t="s">
        <v>116</v>
      </c>
      <c r="T35" t="s">
        <v>68</v>
      </c>
      <c r="U35" t="s">
        <v>56</v>
      </c>
      <c r="V35" t="s">
        <v>56</v>
      </c>
      <c r="Z35" t="s">
        <v>49</v>
      </c>
      <c r="AA35" t="s">
        <v>49</v>
      </c>
      <c r="AB35" t="s">
        <v>50</v>
      </c>
      <c r="AC35" t="s">
        <v>117</v>
      </c>
      <c r="AD35" t="s">
        <v>52</v>
      </c>
      <c r="AE35" t="s">
        <v>53</v>
      </c>
      <c r="AF35" t="s">
        <v>52</v>
      </c>
      <c r="AG35" t="s">
        <v>54</v>
      </c>
      <c r="AH35" t="s">
        <v>55</v>
      </c>
      <c r="AK35">
        <v>5</v>
      </c>
      <c r="AL35">
        <v>5</v>
      </c>
      <c r="AM35" t="s">
        <v>123</v>
      </c>
      <c r="AN35">
        <v>729</v>
      </c>
      <c r="AO35" t="s">
        <v>56</v>
      </c>
      <c r="AP35">
        <v>160</v>
      </c>
      <c r="AQ35" t="s">
        <v>118</v>
      </c>
      <c r="AR35">
        <v>7.86</v>
      </c>
      <c r="AS35" t="s">
        <v>56</v>
      </c>
      <c r="AT35">
        <v>0.09</v>
      </c>
      <c r="AU35">
        <v>2269</v>
      </c>
      <c r="AV35" t="s">
        <v>56</v>
      </c>
      <c r="AW35">
        <v>3127</v>
      </c>
      <c r="AX35">
        <v>6.81</v>
      </c>
      <c r="AY35" t="s">
        <v>56</v>
      </c>
      <c r="AZ35">
        <v>0.23</v>
      </c>
      <c r="BB35">
        <f>LOG(AU35)</f>
        <v>3.355834495884936</v>
      </c>
      <c r="BC35">
        <v>11.8</v>
      </c>
      <c r="BD35" t="s">
        <v>56</v>
      </c>
      <c r="BE35">
        <v>0.4</v>
      </c>
      <c r="BF35">
        <v>11.5</v>
      </c>
      <c r="BG35" t="s">
        <v>56</v>
      </c>
      <c r="BH35">
        <v>0.4</v>
      </c>
      <c r="BI35">
        <v>1540</v>
      </c>
      <c r="BJ35">
        <v>0</v>
      </c>
      <c r="BK35" t="s">
        <v>130</v>
      </c>
      <c r="BL35" t="s">
        <v>120</v>
      </c>
      <c r="BM35" t="s">
        <v>120</v>
      </c>
      <c r="BN35" t="s">
        <v>81</v>
      </c>
      <c r="BO35" t="s">
        <v>121</v>
      </c>
      <c r="BP35" t="s">
        <v>83</v>
      </c>
      <c r="BR35" t="s">
        <v>122</v>
      </c>
      <c r="BT35">
        <v>35.020000000000003</v>
      </c>
      <c r="BU35">
        <v>35.022025999999997</v>
      </c>
      <c r="BV35">
        <v>7.9295150000000003</v>
      </c>
      <c r="BW35">
        <f>BV35*SQRT(AK35)</f>
        <v>17.730934568604248</v>
      </c>
      <c r="BX35">
        <v>0</v>
      </c>
      <c r="BY35">
        <v>0.35022029999999998</v>
      </c>
      <c r="BZ35">
        <v>0</v>
      </c>
      <c r="CA35">
        <f>BZ35*SQRT(AL35)</f>
        <v>0</v>
      </c>
      <c r="CB35">
        <v>60</v>
      </c>
      <c r="CC35">
        <v>5</v>
      </c>
      <c r="CD35">
        <v>-4.6050000000000004</v>
      </c>
      <c r="CE35">
        <v>5.1299999999999998E-2</v>
      </c>
    </row>
    <row r="36" spans="4:83" hidden="1" x14ac:dyDescent="0.2">
      <c r="D36">
        <v>6</v>
      </c>
      <c r="G36" t="s">
        <v>43</v>
      </c>
      <c r="H36" t="s">
        <v>115</v>
      </c>
      <c r="J36">
        <v>2011</v>
      </c>
      <c r="M36" t="s">
        <v>116</v>
      </c>
      <c r="T36" t="s">
        <v>68</v>
      </c>
      <c r="U36" t="s">
        <v>124</v>
      </c>
      <c r="V36" t="s">
        <v>128</v>
      </c>
      <c r="Z36" t="s">
        <v>49</v>
      </c>
      <c r="AA36" t="s">
        <v>49</v>
      </c>
      <c r="AB36" t="s">
        <v>50</v>
      </c>
      <c r="AC36" t="s">
        <v>117</v>
      </c>
      <c r="AD36" t="s">
        <v>52</v>
      </c>
      <c r="AE36" t="s">
        <v>53</v>
      </c>
      <c r="AF36" t="s">
        <v>52</v>
      </c>
      <c r="AG36" t="s">
        <v>54</v>
      </c>
      <c r="AH36" t="s">
        <v>55</v>
      </c>
      <c r="AK36">
        <v>5</v>
      </c>
      <c r="AL36">
        <v>5</v>
      </c>
      <c r="AM36" t="s">
        <v>123</v>
      </c>
      <c r="AN36">
        <v>729</v>
      </c>
      <c r="AO36" t="s">
        <v>56</v>
      </c>
      <c r="AP36">
        <v>160</v>
      </c>
      <c r="AQ36" t="s">
        <v>118</v>
      </c>
      <c r="AR36">
        <v>7.86</v>
      </c>
      <c r="AS36" t="s">
        <v>56</v>
      </c>
      <c r="AT36">
        <v>0.09</v>
      </c>
      <c r="AU36">
        <v>2269</v>
      </c>
      <c r="AV36" t="s">
        <v>56</v>
      </c>
      <c r="AW36">
        <v>3127</v>
      </c>
      <c r="AX36">
        <v>6.81</v>
      </c>
      <c r="AY36" t="s">
        <v>56</v>
      </c>
      <c r="AZ36">
        <v>0.23</v>
      </c>
      <c r="BB36">
        <f>LOG(AU36)</f>
        <v>3.355834495884936</v>
      </c>
      <c r="BC36">
        <v>11.8</v>
      </c>
      <c r="BD36" t="s">
        <v>56</v>
      </c>
      <c r="BE36">
        <v>0.4</v>
      </c>
      <c r="BF36">
        <v>11.5</v>
      </c>
      <c r="BG36" t="s">
        <v>56</v>
      </c>
      <c r="BH36">
        <v>0.4</v>
      </c>
      <c r="BI36">
        <v>1540</v>
      </c>
      <c r="BJ36">
        <v>-0.3</v>
      </c>
      <c r="BK36" t="s">
        <v>129</v>
      </c>
      <c r="BL36" t="s">
        <v>120</v>
      </c>
      <c r="BM36" t="s">
        <v>120</v>
      </c>
      <c r="BN36" t="s">
        <v>81</v>
      </c>
      <c r="BO36" t="s">
        <v>121</v>
      </c>
      <c r="BP36" t="s">
        <v>83</v>
      </c>
      <c r="BR36" t="s">
        <v>122</v>
      </c>
      <c r="BT36">
        <v>7.47</v>
      </c>
      <c r="BU36">
        <v>7.4654379999999998</v>
      </c>
      <c r="BV36">
        <v>4.1889399999999997</v>
      </c>
      <c r="BW36">
        <f>BV36*SQRT(AK36)</f>
        <v>9.3667545936679684</v>
      </c>
      <c r="BX36">
        <v>0.41</v>
      </c>
      <c r="BY36">
        <v>0.41474650000000002</v>
      </c>
      <c r="BZ36">
        <v>0</v>
      </c>
      <c r="CA36">
        <f>BZ36*SQRT(AL36)</f>
        <v>0</v>
      </c>
      <c r="CB36">
        <v>60</v>
      </c>
      <c r="CC36">
        <v>5</v>
      </c>
      <c r="CD36">
        <v>-2.89</v>
      </c>
      <c r="CE36">
        <v>0.31480000000000002</v>
      </c>
    </row>
    <row r="37" spans="4:83" hidden="1" x14ac:dyDescent="0.2">
      <c r="D37">
        <v>6</v>
      </c>
      <c r="G37" t="s">
        <v>43</v>
      </c>
      <c r="H37" t="s">
        <v>115</v>
      </c>
      <c r="J37">
        <v>2011</v>
      </c>
      <c r="M37" t="s">
        <v>116</v>
      </c>
      <c r="T37" t="s">
        <v>68</v>
      </c>
      <c r="U37" t="s">
        <v>124</v>
      </c>
      <c r="V37" t="s">
        <v>128</v>
      </c>
      <c r="Z37" t="s">
        <v>49</v>
      </c>
      <c r="AA37" t="s">
        <v>49</v>
      </c>
      <c r="AB37" t="s">
        <v>50</v>
      </c>
      <c r="AC37" t="s">
        <v>117</v>
      </c>
      <c r="AD37" t="s">
        <v>52</v>
      </c>
      <c r="AE37" t="s">
        <v>53</v>
      </c>
      <c r="AF37" t="s">
        <v>52</v>
      </c>
      <c r="AG37" t="s">
        <v>52</v>
      </c>
      <c r="AH37" t="s">
        <v>64</v>
      </c>
      <c r="AK37">
        <v>5</v>
      </c>
      <c r="AL37">
        <v>5</v>
      </c>
      <c r="AM37" t="s">
        <v>123</v>
      </c>
      <c r="AN37">
        <v>729</v>
      </c>
      <c r="AO37" t="s">
        <v>56</v>
      </c>
      <c r="AP37">
        <v>160</v>
      </c>
      <c r="AQ37" t="s">
        <v>118</v>
      </c>
      <c r="AR37">
        <v>7.86</v>
      </c>
      <c r="AS37" t="s">
        <v>56</v>
      </c>
      <c r="AT37">
        <v>0.09</v>
      </c>
      <c r="AU37">
        <v>2612</v>
      </c>
      <c r="AV37" t="s">
        <v>56</v>
      </c>
      <c r="AW37">
        <v>547</v>
      </c>
      <c r="AX37">
        <v>7.37</v>
      </c>
      <c r="AY37" t="s">
        <v>56</v>
      </c>
      <c r="AZ37">
        <v>0.1</v>
      </c>
      <c r="BB37">
        <f>LOG(AU37)</f>
        <v>3.4169731726030363</v>
      </c>
      <c r="BC37">
        <v>11.8</v>
      </c>
      <c r="BD37" t="s">
        <v>56</v>
      </c>
      <c r="BE37">
        <v>0.4</v>
      </c>
      <c r="BF37">
        <v>15.8</v>
      </c>
      <c r="BG37" t="s">
        <v>56</v>
      </c>
      <c r="BH37">
        <v>0.3</v>
      </c>
      <c r="BI37">
        <v>1882</v>
      </c>
      <c r="BJ37">
        <v>4</v>
      </c>
      <c r="BK37" t="s">
        <v>129</v>
      </c>
      <c r="BL37" t="s">
        <v>120</v>
      </c>
      <c r="BM37" t="s">
        <v>120</v>
      </c>
      <c r="BN37" t="s">
        <v>81</v>
      </c>
      <c r="BO37" t="s">
        <v>121</v>
      </c>
      <c r="BP37" t="s">
        <v>83</v>
      </c>
      <c r="BR37" t="s">
        <v>122</v>
      </c>
      <c r="BT37">
        <v>7.47</v>
      </c>
      <c r="BU37">
        <v>7.4654379999999998</v>
      </c>
      <c r="BV37">
        <v>4.1889399999999997</v>
      </c>
      <c r="BW37">
        <f>BV37*SQRT(AK37)</f>
        <v>9.3667545936679684</v>
      </c>
      <c r="BX37">
        <v>0.41</v>
      </c>
      <c r="BY37">
        <v>0.41474650000000002</v>
      </c>
      <c r="BZ37">
        <v>0</v>
      </c>
      <c r="CA37">
        <f>BZ37*SQRT(AL37)</f>
        <v>0</v>
      </c>
      <c r="CB37">
        <v>60</v>
      </c>
      <c r="CC37">
        <v>5</v>
      </c>
      <c r="CD37">
        <v>-2.89</v>
      </c>
      <c r="CE37">
        <v>0.31480000000000002</v>
      </c>
    </row>
    <row r="38" spans="4:83" hidden="1" x14ac:dyDescent="0.2">
      <c r="D38">
        <v>6</v>
      </c>
      <c r="G38" t="s">
        <v>43</v>
      </c>
      <c r="H38" t="s">
        <v>115</v>
      </c>
      <c r="J38">
        <v>2011</v>
      </c>
      <c r="M38" t="s">
        <v>116</v>
      </c>
      <c r="T38" t="s">
        <v>131</v>
      </c>
      <c r="U38" t="s">
        <v>132</v>
      </c>
      <c r="V38" t="s">
        <v>133</v>
      </c>
      <c r="Z38" t="s">
        <v>49</v>
      </c>
      <c r="AA38" t="s">
        <v>49</v>
      </c>
      <c r="AB38" t="s">
        <v>50</v>
      </c>
      <c r="AC38" t="s">
        <v>117</v>
      </c>
      <c r="AD38" t="s">
        <v>52</v>
      </c>
      <c r="AE38" t="s">
        <v>134</v>
      </c>
      <c r="AF38" t="s">
        <v>52</v>
      </c>
      <c r="AG38" t="s">
        <v>52</v>
      </c>
      <c r="AH38" t="s">
        <v>64</v>
      </c>
      <c r="AK38">
        <v>5</v>
      </c>
      <c r="AL38">
        <v>5</v>
      </c>
      <c r="AM38" t="s">
        <v>123</v>
      </c>
      <c r="AN38">
        <v>729</v>
      </c>
      <c r="AO38" t="s">
        <v>56</v>
      </c>
      <c r="AP38">
        <v>160</v>
      </c>
      <c r="AQ38" t="s">
        <v>118</v>
      </c>
      <c r="AR38">
        <v>7.86</v>
      </c>
      <c r="AS38" t="s">
        <v>56</v>
      </c>
      <c r="AT38">
        <v>0.09</v>
      </c>
      <c r="AU38">
        <v>3010</v>
      </c>
      <c r="AV38" t="s">
        <v>56</v>
      </c>
      <c r="AW38">
        <v>4141</v>
      </c>
      <c r="AX38">
        <v>6.66</v>
      </c>
      <c r="AY38" t="s">
        <v>56</v>
      </c>
      <c r="AZ38">
        <v>0.19</v>
      </c>
      <c r="BB38">
        <f>LOG(AU38)</f>
        <v>3.4785664955938436</v>
      </c>
      <c r="BC38">
        <v>11.8</v>
      </c>
      <c r="BD38" t="s">
        <v>56</v>
      </c>
      <c r="BE38">
        <v>0.4</v>
      </c>
      <c r="BF38">
        <v>15.5</v>
      </c>
      <c r="BG38" t="s">
        <v>56</v>
      </c>
      <c r="BH38">
        <v>1.5</v>
      </c>
      <c r="BI38">
        <v>2281</v>
      </c>
      <c r="BJ38">
        <v>3.7</v>
      </c>
      <c r="BK38" t="s">
        <v>135</v>
      </c>
      <c r="BL38" t="s">
        <v>120</v>
      </c>
      <c r="BM38" t="s">
        <v>120</v>
      </c>
      <c r="BN38" t="s">
        <v>81</v>
      </c>
      <c r="BO38" t="s">
        <v>121</v>
      </c>
      <c r="BP38" t="s">
        <v>83</v>
      </c>
      <c r="BR38" t="s">
        <v>122</v>
      </c>
      <c r="BT38">
        <v>36.369999999999997</v>
      </c>
      <c r="BU38">
        <v>36.367815999999998</v>
      </c>
      <c r="BV38">
        <v>24.459769999999999</v>
      </c>
      <c r="BW38">
        <f>BV38*SQRT(AK38)</f>
        <v>54.693708434010034</v>
      </c>
      <c r="BX38">
        <v>2.57</v>
      </c>
      <c r="BY38">
        <v>2.5747125999999998</v>
      </c>
      <c r="BZ38">
        <v>0</v>
      </c>
      <c r="CA38">
        <f>BZ38*SQRT(AL38)</f>
        <v>0</v>
      </c>
      <c r="CB38">
        <v>60</v>
      </c>
      <c r="CC38">
        <v>5</v>
      </c>
      <c r="CD38">
        <v>-2.6480000000000001</v>
      </c>
      <c r="CE38">
        <v>0.45229999999999998</v>
      </c>
    </row>
    <row r="39" spans="4:83" hidden="1" x14ac:dyDescent="0.2">
      <c r="D39">
        <v>6</v>
      </c>
      <c r="G39" t="s">
        <v>43</v>
      </c>
      <c r="H39" t="s">
        <v>115</v>
      </c>
      <c r="J39">
        <v>2011</v>
      </c>
      <c r="M39" t="s">
        <v>116</v>
      </c>
      <c r="T39" t="s">
        <v>131</v>
      </c>
      <c r="U39" t="s">
        <v>132</v>
      </c>
      <c r="V39" t="s">
        <v>133</v>
      </c>
      <c r="Z39" t="s">
        <v>49</v>
      </c>
      <c r="AA39" t="s">
        <v>49</v>
      </c>
      <c r="AB39" t="s">
        <v>50</v>
      </c>
      <c r="AC39" t="s">
        <v>117</v>
      </c>
      <c r="AD39" t="s">
        <v>52</v>
      </c>
      <c r="AE39" t="s">
        <v>134</v>
      </c>
      <c r="AF39" t="s">
        <v>52</v>
      </c>
      <c r="AG39" t="s">
        <v>52</v>
      </c>
      <c r="AH39" t="s">
        <v>64</v>
      </c>
      <c r="AK39">
        <v>5</v>
      </c>
      <c r="AL39">
        <v>5</v>
      </c>
      <c r="AM39" t="s">
        <v>123</v>
      </c>
      <c r="AN39">
        <v>729</v>
      </c>
      <c r="AO39" t="s">
        <v>56</v>
      </c>
      <c r="AP39">
        <v>160</v>
      </c>
      <c r="AQ39" t="s">
        <v>118</v>
      </c>
      <c r="AR39">
        <v>7.86</v>
      </c>
      <c r="AS39" t="s">
        <v>56</v>
      </c>
      <c r="AT39">
        <v>0.09</v>
      </c>
      <c r="AU39">
        <v>2612</v>
      </c>
      <c r="AV39" t="s">
        <v>56</v>
      </c>
      <c r="AW39">
        <v>547</v>
      </c>
      <c r="AX39">
        <v>7.37</v>
      </c>
      <c r="AY39" t="s">
        <v>56</v>
      </c>
      <c r="AZ39">
        <v>0.1</v>
      </c>
      <c r="BB39">
        <f>LOG(AU39)</f>
        <v>3.4169731726030363</v>
      </c>
      <c r="BC39">
        <v>11.8</v>
      </c>
      <c r="BD39" t="s">
        <v>56</v>
      </c>
      <c r="BE39">
        <v>0.4</v>
      </c>
      <c r="BF39">
        <v>15.8</v>
      </c>
      <c r="BG39" t="s">
        <v>56</v>
      </c>
      <c r="BH39">
        <v>0.3</v>
      </c>
      <c r="BI39">
        <v>1882</v>
      </c>
      <c r="BJ39">
        <v>4</v>
      </c>
      <c r="BK39" t="s">
        <v>135</v>
      </c>
      <c r="BL39" t="s">
        <v>120</v>
      </c>
      <c r="BM39" t="s">
        <v>120</v>
      </c>
      <c r="BN39" t="s">
        <v>81</v>
      </c>
      <c r="BO39" t="s">
        <v>121</v>
      </c>
      <c r="BP39" t="s">
        <v>83</v>
      </c>
      <c r="BR39" t="s">
        <v>122</v>
      </c>
      <c r="BT39">
        <v>36.369999999999997</v>
      </c>
      <c r="BU39">
        <v>36.367815999999998</v>
      </c>
      <c r="BV39">
        <v>24.459769999999999</v>
      </c>
      <c r="BW39">
        <f>BV39*SQRT(AK39)</f>
        <v>54.693708434010034</v>
      </c>
      <c r="BX39">
        <v>2.57</v>
      </c>
      <c r="BY39">
        <v>2.5747125999999998</v>
      </c>
      <c r="BZ39">
        <v>0</v>
      </c>
      <c r="CA39">
        <f>BZ39*SQRT(AL39)</f>
        <v>0</v>
      </c>
      <c r="CB39">
        <v>60</v>
      </c>
      <c r="CC39">
        <v>5</v>
      </c>
      <c r="CD39">
        <v>-2.6480000000000001</v>
      </c>
      <c r="CE39">
        <v>0.45229999999999998</v>
      </c>
    </row>
    <row r="40" spans="4:83" hidden="1" x14ac:dyDescent="0.2">
      <c r="D40">
        <v>6</v>
      </c>
      <c r="G40" t="s">
        <v>43</v>
      </c>
      <c r="H40" t="s">
        <v>115</v>
      </c>
      <c r="J40">
        <v>2011</v>
      </c>
      <c r="M40" t="s">
        <v>116</v>
      </c>
      <c r="T40" t="s">
        <v>136</v>
      </c>
      <c r="U40" t="s">
        <v>56</v>
      </c>
      <c r="V40" t="s">
        <v>136</v>
      </c>
      <c r="Z40" t="s">
        <v>49</v>
      </c>
      <c r="AA40" t="s">
        <v>49</v>
      </c>
      <c r="AB40" t="s">
        <v>50</v>
      </c>
      <c r="AC40" t="s">
        <v>108</v>
      </c>
      <c r="AD40" t="s">
        <v>52</v>
      </c>
      <c r="AE40" t="s">
        <v>53</v>
      </c>
      <c r="AF40" t="s">
        <v>52</v>
      </c>
      <c r="AG40" t="s">
        <v>52</v>
      </c>
      <c r="AH40" t="s">
        <v>64</v>
      </c>
      <c r="AK40">
        <v>5</v>
      </c>
      <c r="AL40">
        <v>5</v>
      </c>
      <c r="AM40" t="s">
        <v>123</v>
      </c>
      <c r="AN40">
        <v>729</v>
      </c>
      <c r="AO40" t="s">
        <v>56</v>
      </c>
      <c r="AP40">
        <v>160</v>
      </c>
      <c r="AQ40" t="s">
        <v>118</v>
      </c>
      <c r="AR40">
        <v>7.86</v>
      </c>
      <c r="AS40" t="s">
        <v>56</v>
      </c>
      <c r="AT40">
        <v>0.09</v>
      </c>
      <c r="AU40">
        <v>1423</v>
      </c>
      <c r="AV40" t="s">
        <v>56</v>
      </c>
      <c r="AW40">
        <v>389</v>
      </c>
      <c r="AX40">
        <v>7.61</v>
      </c>
      <c r="AY40" t="s">
        <v>56</v>
      </c>
      <c r="AZ40">
        <v>0.15</v>
      </c>
      <c r="BB40">
        <f>LOG(AU40)</f>
        <v>3.1532049000842841</v>
      </c>
      <c r="BC40">
        <v>11.8</v>
      </c>
      <c r="BD40" t="s">
        <v>56</v>
      </c>
      <c r="BE40">
        <v>0.4</v>
      </c>
      <c r="BF40">
        <v>16</v>
      </c>
      <c r="BG40" t="s">
        <v>56</v>
      </c>
      <c r="BH40">
        <v>0.6</v>
      </c>
      <c r="BI40">
        <v>694</v>
      </c>
      <c r="BJ40">
        <v>4.2</v>
      </c>
      <c r="BK40" t="s">
        <v>137</v>
      </c>
      <c r="BL40" t="s">
        <v>120</v>
      </c>
      <c r="BM40" t="s">
        <v>120</v>
      </c>
      <c r="BN40" t="s">
        <v>81</v>
      </c>
      <c r="BO40" t="s">
        <v>121</v>
      </c>
      <c r="BP40" t="s">
        <v>83</v>
      </c>
      <c r="BR40" t="s">
        <v>122</v>
      </c>
      <c r="BT40">
        <v>81.97</v>
      </c>
      <c r="BU40">
        <v>81.967213000000001</v>
      </c>
      <c r="BV40">
        <v>74.590164000000001</v>
      </c>
      <c r="BW40">
        <f>BV40*SQRT(AK40)</f>
        <v>166.78867715685763</v>
      </c>
      <c r="BX40">
        <v>6.56</v>
      </c>
      <c r="BY40">
        <v>6.5573769999999998</v>
      </c>
      <c r="BZ40">
        <v>0</v>
      </c>
      <c r="CA40">
        <f>BZ40*SQRT(AL40)</f>
        <v>0</v>
      </c>
      <c r="CB40">
        <v>60</v>
      </c>
      <c r="CC40">
        <v>5</v>
      </c>
      <c r="CD40">
        <v>-2.5259999999999998</v>
      </c>
      <c r="CE40">
        <v>0.82809999999999995</v>
      </c>
    </row>
    <row r="41" spans="4:83" hidden="1" x14ac:dyDescent="0.2">
      <c r="D41">
        <v>6</v>
      </c>
      <c r="G41" t="s">
        <v>43</v>
      </c>
      <c r="H41" t="s">
        <v>115</v>
      </c>
      <c r="J41">
        <v>2011</v>
      </c>
      <c r="M41" t="s">
        <v>116</v>
      </c>
      <c r="T41" t="s">
        <v>68</v>
      </c>
      <c r="U41" t="s">
        <v>124</v>
      </c>
      <c r="V41" t="s">
        <v>128</v>
      </c>
      <c r="Z41" t="s">
        <v>49</v>
      </c>
      <c r="AA41" t="s">
        <v>49</v>
      </c>
      <c r="AB41" t="s">
        <v>50</v>
      </c>
      <c r="AC41" t="s">
        <v>117</v>
      </c>
      <c r="AD41" t="s">
        <v>52</v>
      </c>
      <c r="AE41" t="s">
        <v>53</v>
      </c>
      <c r="AF41" t="s">
        <v>52</v>
      </c>
      <c r="AG41" t="s">
        <v>54</v>
      </c>
      <c r="AH41" t="s">
        <v>55</v>
      </c>
      <c r="AK41">
        <v>5</v>
      </c>
      <c r="AL41">
        <v>5</v>
      </c>
      <c r="AM41" t="s">
        <v>123</v>
      </c>
      <c r="AN41">
        <v>729</v>
      </c>
      <c r="AO41" t="s">
        <v>56</v>
      </c>
      <c r="AP41">
        <v>160</v>
      </c>
      <c r="AQ41" t="s">
        <v>118</v>
      </c>
      <c r="AR41">
        <v>7.86</v>
      </c>
      <c r="AS41" t="s">
        <v>56</v>
      </c>
      <c r="AT41">
        <v>0.09</v>
      </c>
      <c r="AU41">
        <v>2729</v>
      </c>
      <c r="AV41" t="s">
        <v>56</v>
      </c>
      <c r="AW41">
        <v>499</v>
      </c>
      <c r="AX41">
        <v>7.35</v>
      </c>
      <c r="AY41" t="s">
        <v>56</v>
      </c>
      <c r="AZ41">
        <v>7.0000000000000007E-2</v>
      </c>
      <c r="BB41">
        <f>LOG(AU41)</f>
        <v>3.4360035356698964</v>
      </c>
      <c r="BC41">
        <v>11.8</v>
      </c>
      <c r="BD41" t="s">
        <v>56</v>
      </c>
      <c r="BE41">
        <v>0.4</v>
      </c>
      <c r="BF41">
        <v>11.7</v>
      </c>
      <c r="BG41" t="s">
        <v>56</v>
      </c>
      <c r="BH41">
        <v>0.4</v>
      </c>
      <c r="BI41">
        <v>2000</v>
      </c>
      <c r="BJ41">
        <v>-0.1</v>
      </c>
      <c r="BK41" t="s">
        <v>129</v>
      </c>
      <c r="BL41" t="s">
        <v>120</v>
      </c>
      <c r="BM41" t="s">
        <v>120</v>
      </c>
      <c r="BN41" t="s">
        <v>81</v>
      </c>
      <c r="BO41" t="s">
        <v>121</v>
      </c>
      <c r="BP41" t="s">
        <v>83</v>
      </c>
      <c r="BR41" t="s">
        <v>122</v>
      </c>
      <c r="BT41">
        <v>7.47</v>
      </c>
      <c r="BU41">
        <v>7.4654379999999998</v>
      </c>
      <c r="BV41">
        <v>4.1889399999999997</v>
      </c>
      <c r="BW41">
        <f>BV41*SQRT(AK41)</f>
        <v>9.3667545936679684</v>
      </c>
      <c r="BX41">
        <v>0.66</v>
      </c>
      <c r="BY41">
        <v>0.66359449999999998</v>
      </c>
      <c r="BZ41">
        <v>0.12</v>
      </c>
      <c r="CA41">
        <f>BZ41*SQRT(AL41)</f>
        <v>0.26832815729997478</v>
      </c>
      <c r="CB41">
        <v>60</v>
      </c>
      <c r="CC41">
        <v>5</v>
      </c>
      <c r="CD41">
        <v>-2.42</v>
      </c>
      <c r="CE41">
        <v>0.35</v>
      </c>
    </row>
    <row r="42" spans="4:83" hidden="1" x14ac:dyDescent="0.2">
      <c r="D42">
        <v>6</v>
      </c>
      <c r="G42" t="s">
        <v>43</v>
      </c>
      <c r="H42" t="s">
        <v>115</v>
      </c>
      <c r="J42">
        <v>2011</v>
      </c>
      <c r="M42" t="s">
        <v>116</v>
      </c>
      <c r="T42" t="s">
        <v>136</v>
      </c>
      <c r="U42" t="s">
        <v>56</v>
      </c>
      <c r="V42" t="s">
        <v>136</v>
      </c>
      <c r="Z42" t="s">
        <v>49</v>
      </c>
      <c r="AA42" t="s">
        <v>49</v>
      </c>
      <c r="AB42" t="s">
        <v>50</v>
      </c>
      <c r="AC42" t="s">
        <v>108</v>
      </c>
      <c r="AD42" t="s">
        <v>52</v>
      </c>
      <c r="AE42" t="s">
        <v>53</v>
      </c>
      <c r="AF42" t="s">
        <v>52</v>
      </c>
      <c r="AG42" t="s">
        <v>52</v>
      </c>
      <c r="AH42" t="s">
        <v>64</v>
      </c>
      <c r="AK42">
        <v>5</v>
      </c>
      <c r="AL42">
        <v>5</v>
      </c>
      <c r="AM42" t="s">
        <v>123</v>
      </c>
      <c r="AN42">
        <v>729</v>
      </c>
      <c r="AO42" t="s">
        <v>56</v>
      </c>
      <c r="AP42">
        <v>160</v>
      </c>
      <c r="AQ42" t="s">
        <v>118</v>
      </c>
      <c r="AR42">
        <v>7.86</v>
      </c>
      <c r="AS42" t="s">
        <v>56</v>
      </c>
      <c r="AT42">
        <v>0.09</v>
      </c>
      <c r="AU42">
        <v>3010</v>
      </c>
      <c r="AV42" t="s">
        <v>56</v>
      </c>
      <c r="AW42">
        <v>4141</v>
      </c>
      <c r="AX42">
        <v>6.66</v>
      </c>
      <c r="AY42" t="s">
        <v>56</v>
      </c>
      <c r="AZ42">
        <v>0.19</v>
      </c>
      <c r="BB42">
        <f>LOG(AU42)</f>
        <v>3.4785664955938436</v>
      </c>
      <c r="BC42">
        <v>11.8</v>
      </c>
      <c r="BD42" t="s">
        <v>56</v>
      </c>
      <c r="BE42">
        <v>0.4</v>
      </c>
      <c r="BF42">
        <v>15.5</v>
      </c>
      <c r="BG42" t="s">
        <v>56</v>
      </c>
      <c r="BH42">
        <v>1.5</v>
      </c>
      <c r="BI42">
        <v>2281</v>
      </c>
      <c r="BJ42">
        <v>3.7</v>
      </c>
      <c r="BK42" t="s">
        <v>137</v>
      </c>
      <c r="BL42" t="s">
        <v>120</v>
      </c>
      <c r="BM42" t="s">
        <v>120</v>
      </c>
      <c r="BN42" t="s">
        <v>81</v>
      </c>
      <c r="BO42" t="s">
        <v>121</v>
      </c>
      <c r="BP42" t="s">
        <v>83</v>
      </c>
      <c r="BR42" t="s">
        <v>122</v>
      </c>
      <c r="BT42">
        <v>81.97</v>
      </c>
      <c r="BU42">
        <v>81.967213000000001</v>
      </c>
      <c r="BV42">
        <v>74.590164000000001</v>
      </c>
      <c r="BW42">
        <f>BV42*SQRT(AK42)</f>
        <v>166.78867715685763</v>
      </c>
      <c r="BX42">
        <v>7.38</v>
      </c>
      <c r="BY42">
        <v>7.3770492000000001</v>
      </c>
      <c r="BZ42">
        <v>0</v>
      </c>
      <c r="CA42">
        <f>BZ42*SQRT(AL42)</f>
        <v>0</v>
      </c>
      <c r="CB42">
        <v>60</v>
      </c>
      <c r="CC42">
        <v>5</v>
      </c>
      <c r="CD42">
        <v>-2.4079999999999999</v>
      </c>
      <c r="CE42">
        <v>0.82809999999999995</v>
      </c>
    </row>
    <row r="43" spans="4:83" hidden="1" x14ac:dyDescent="0.2">
      <c r="D43">
        <v>6</v>
      </c>
      <c r="G43" t="s">
        <v>43</v>
      </c>
      <c r="H43" t="s">
        <v>115</v>
      </c>
      <c r="J43">
        <v>2011</v>
      </c>
      <c r="M43" t="s">
        <v>116</v>
      </c>
      <c r="T43" t="s">
        <v>136</v>
      </c>
      <c r="U43" t="s">
        <v>56</v>
      </c>
      <c r="V43" t="s">
        <v>136</v>
      </c>
      <c r="Z43" t="s">
        <v>49</v>
      </c>
      <c r="AA43" t="s">
        <v>49</v>
      </c>
      <c r="AB43" t="s">
        <v>50</v>
      </c>
      <c r="AC43" t="s">
        <v>108</v>
      </c>
      <c r="AD43" t="s">
        <v>52</v>
      </c>
      <c r="AE43" t="s">
        <v>53</v>
      </c>
      <c r="AF43" t="s">
        <v>52</v>
      </c>
      <c r="AG43" t="s">
        <v>52</v>
      </c>
      <c r="AH43" t="s">
        <v>64</v>
      </c>
      <c r="AK43">
        <v>5</v>
      </c>
      <c r="AL43">
        <v>5</v>
      </c>
      <c r="AM43" t="s">
        <v>123</v>
      </c>
      <c r="AN43">
        <v>729</v>
      </c>
      <c r="AO43" t="s">
        <v>56</v>
      </c>
      <c r="AP43">
        <v>160</v>
      </c>
      <c r="AQ43" t="s">
        <v>118</v>
      </c>
      <c r="AR43">
        <v>7.86</v>
      </c>
      <c r="AS43" t="s">
        <v>56</v>
      </c>
      <c r="AT43">
        <v>0.09</v>
      </c>
      <c r="AU43">
        <v>2612</v>
      </c>
      <c r="AV43" t="s">
        <v>56</v>
      </c>
      <c r="AW43">
        <v>547</v>
      </c>
      <c r="AX43">
        <v>7.37</v>
      </c>
      <c r="AY43" t="s">
        <v>56</v>
      </c>
      <c r="AZ43">
        <v>0.1</v>
      </c>
      <c r="BB43">
        <f>LOG(AU43)</f>
        <v>3.4169731726030363</v>
      </c>
      <c r="BC43">
        <v>11.8</v>
      </c>
      <c r="BD43" t="s">
        <v>56</v>
      </c>
      <c r="BE43">
        <v>0.4</v>
      </c>
      <c r="BF43">
        <v>15.8</v>
      </c>
      <c r="BG43" t="s">
        <v>56</v>
      </c>
      <c r="BH43">
        <v>0.3</v>
      </c>
      <c r="BI43">
        <v>1882</v>
      </c>
      <c r="BJ43">
        <v>4</v>
      </c>
      <c r="BK43" t="s">
        <v>137</v>
      </c>
      <c r="BL43" t="s">
        <v>120</v>
      </c>
      <c r="BM43" t="s">
        <v>120</v>
      </c>
      <c r="BN43" t="s">
        <v>81</v>
      </c>
      <c r="BO43" t="s">
        <v>121</v>
      </c>
      <c r="BP43" t="s">
        <v>83</v>
      </c>
      <c r="BR43" t="s">
        <v>122</v>
      </c>
      <c r="BT43">
        <v>81.97</v>
      </c>
      <c r="BU43">
        <v>81.967213000000001</v>
      </c>
      <c r="BV43">
        <v>74.590164000000001</v>
      </c>
      <c r="BW43">
        <f>BV43*SQRT(AK43)</f>
        <v>166.78867715685763</v>
      </c>
      <c r="BX43">
        <v>7.38</v>
      </c>
      <c r="BY43">
        <v>7.3770492000000001</v>
      </c>
      <c r="BZ43">
        <v>0</v>
      </c>
      <c r="CA43">
        <f>BZ43*SQRT(AL43)</f>
        <v>0</v>
      </c>
      <c r="CB43">
        <v>60</v>
      </c>
      <c r="CC43">
        <v>5</v>
      </c>
      <c r="CD43">
        <v>-2.4079999999999999</v>
      </c>
      <c r="CE43">
        <v>0.82809999999999995</v>
      </c>
    </row>
    <row r="44" spans="4:83" hidden="1" x14ac:dyDescent="0.2">
      <c r="D44">
        <v>6</v>
      </c>
      <c r="G44" t="s">
        <v>114</v>
      </c>
      <c r="H44" t="s">
        <v>115</v>
      </c>
      <c r="J44">
        <v>2011</v>
      </c>
      <c r="M44" t="s">
        <v>116</v>
      </c>
      <c r="T44" t="s">
        <v>68</v>
      </c>
      <c r="U44" t="s">
        <v>56</v>
      </c>
      <c r="V44" t="s">
        <v>56</v>
      </c>
      <c r="Z44" t="s">
        <v>49</v>
      </c>
      <c r="AA44" t="s">
        <v>49</v>
      </c>
      <c r="AB44" t="s">
        <v>50</v>
      </c>
      <c r="AC44" t="s">
        <v>117</v>
      </c>
      <c r="AD44" t="s">
        <v>52</v>
      </c>
      <c r="AE44" t="s">
        <v>53</v>
      </c>
      <c r="AF44" t="s">
        <v>52</v>
      </c>
      <c r="AG44" t="s">
        <v>52</v>
      </c>
      <c r="AH44" t="s">
        <v>64</v>
      </c>
      <c r="AK44">
        <v>5</v>
      </c>
      <c r="AL44">
        <v>5</v>
      </c>
      <c r="AM44" t="s">
        <v>140</v>
      </c>
      <c r="AN44">
        <v>729</v>
      </c>
      <c r="AO44" t="s">
        <v>56</v>
      </c>
      <c r="AP44">
        <v>160</v>
      </c>
      <c r="AQ44" t="s">
        <v>118</v>
      </c>
      <c r="AR44">
        <v>7.86</v>
      </c>
      <c r="AS44" t="s">
        <v>56</v>
      </c>
      <c r="AT44">
        <v>0.09</v>
      </c>
      <c r="AU44">
        <v>3010</v>
      </c>
      <c r="AV44" t="s">
        <v>56</v>
      </c>
      <c r="AW44">
        <v>4141</v>
      </c>
      <c r="AX44">
        <v>6.66</v>
      </c>
      <c r="AY44" t="s">
        <v>56</v>
      </c>
      <c r="AZ44">
        <v>0.19</v>
      </c>
      <c r="BB44">
        <f>LOG(AU44)</f>
        <v>3.4785664955938436</v>
      </c>
      <c r="BC44">
        <v>11.8</v>
      </c>
      <c r="BD44" t="s">
        <v>56</v>
      </c>
      <c r="BE44">
        <v>0.4</v>
      </c>
      <c r="BF44">
        <v>15.5</v>
      </c>
      <c r="BG44" t="s">
        <v>56</v>
      </c>
      <c r="BH44">
        <v>1.5</v>
      </c>
      <c r="BI44">
        <v>2281</v>
      </c>
      <c r="BJ44">
        <v>3.7</v>
      </c>
      <c r="BK44" t="s">
        <v>138</v>
      </c>
      <c r="BL44" t="s">
        <v>138</v>
      </c>
      <c r="BM44" t="s">
        <v>139</v>
      </c>
      <c r="BN44" t="s">
        <v>81</v>
      </c>
      <c r="BO44" t="s">
        <v>121</v>
      </c>
      <c r="BP44" t="s">
        <v>127</v>
      </c>
      <c r="BR44" t="s">
        <v>122</v>
      </c>
      <c r="BT44">
        <v>9.1199999999999992</v>
      </c>
      <c r="BU44">
        <v>9.1232229999999994</v>
      </c>
      <c r="BV44">
        <v>0.71</v>
      </c>
      <c r="BW44">
        <f>BV44*SQRT(AK44)</f>
        <v>1.5876082640248508</v>
      </c>
      <c r="BX44">
        <v>1.07</v>
      </c>
      <c r="BY44">
        <v>1.0663507000000001</v>
      </c>
      <c r="BZ44">
        <v>0.53</v>
      </c>
      <c r="CA44">
        <f>BZ44*SQRT(AL44)</f>
        <v>1.1851160280748887</v>
      </c>
      <c r="CB44">
        <v>60</v>
      </c>
      <c r="CC44">
        <v>5</v>
      </c>
      <c r="CD44">
        <v>-2.1469999999999998</v>
      </c>
      <c r="CE44">
        <v>0.25609999999999999</v>
      </c>
    </row>
    <row r="45" spans="4:83" hidden="1" x14ac:dyDescent="0.2">
      <c r="D45">
        <v>6</v>
      </c>
      <c r="G45" t="s">
        <v>114</v>
      </c>
      <c r="H45" t="s">
        <v>115</v>
      </c>
      <c r="J45">
        <v>2011</v>
      </c>
      <c r="M45" t="s">
        <v>116</v>
      </c>
      <c r="T45" t="s">
        <v>68</v>
      </c>
      <c r="U45" t="s">
        <v>56</v>
      </c>
      <c r="V45" t="s">
        <v>56</v>
      </c>
      <c r="Z45" t="s">
        <v>49</v>
      </c>
      <c r="AA45" t="s">
        <v>49</v>
      </c>
      <c r="AB45" t="s">
        <v>50</v>
      </c>
      <c r="AC45" t="s">
        <v>117</v>
      </c>
      <c r="AD45" t="s">
        <v>52</v>
      </c>
      <c r="AE45" t="s">
        <v>53</v>
      </c>
      <c r="AF45" t="s">
        <v>52</v>
      </c>
      <c r="AG45" t="s">
        <v>54</v>
      </c>
      <c r="AH45" t="s">
        <v>55</v>
      </c>
      <c r="AK45">
        <v>5</v>
      </c>
      <c r="AL45">
        <v>5</v>
      </c>
      <c r="AM45" t="s">
        <v>140</v>
      </c>
      <c r="AN45">
        <v>729</v>
      </c>
      <c r="AO45" t="s">
        <v>56</v>
      </c>
      <c r="AP45">
        <v>160</v>
      </c>
      <c r="AQ45" t="s">
        <v>118</v>
      </c>
      <c r="AR45">
        <v>7.86</v>
      </c>
      <c r="AS45" t="s">
        <v>56</v>
      </c>
      <c r="AT45">
        <v>0.09</v>
      </c>
      <c r="AU45">
        <v>2269</v>
      </c>
      <c r="AV45" t="s">
        <v>56</v>
      </c>
      <c r="AW45">
        <v>3127</v>
      </c>
      <c r="AX45">
        <v>6.81</v>
      </c>
      <c r="AY45" t="s">
        <v>56</v>
      </c>
      <c r="AZ45">
        <v>0.23</v>
      </c>
      <c r="BB45">
        <f>LOG(AU45)</f>
        <v>3.355834495884936</v>
      </c>
      <c r="BC45">
        <v>11.8</v>
      </c>
      <c r="BD45" t="s">
        <v>56</v>
      </c>
      <c r="BE45">
        <v>0.4</v>
      </c>
      <c r="BF45">
        <v>11.5</v>
      </c>
      <c r="BG45" t="s">
        <v>56</v>
      </c>
      <c r="BH45">
        <v>0.4</v>
      </c>
      <c r="BI45">
        <v>1540</v>
      </c>
      <c r="BJ45">
        <v>-0.3</v>
      </c>
      <c r="BK45" t="s">
        <v>138</v>
      </c>
      <c r="BL45" t="s">
        <v>138</v>
      </c>
      <c r="BM45" t="s">
        <v>139</v>
      </c>
      <c r="BN45" t="s">
        <v>81</v>
      </c>
      <c r="BO45" t="s">
        <v>121</v>
      </c>
      <c r="BP45" t="s">
        <v>127</v>
      </c>
      <c r="BR45" t="s">
        <v>122</v>
      </c>
      <c r="BT45">
        <v>9.1199999999999992</v>
      </c>
      <c r="BU45">
        <v>9.1232229999999994</v>
      </c>
      <c r="BV45">
        <v>0.71</v>
      </c>
      <c r="BW45">
        <f>BV45*SQRT(AK45)</f>
        <v>1.5876082640248508</v>
      </c>
      <c r="BX45">
        <v>1.1299999999999999</v>
      </c>
      <c r="BY45">
        <v>1.1255923999999999</v>
      </c>
      <c r="BZ45">
        <v>0</v>
      </c>
      <c r="CA45">
        <f>BZ45*SQRT(AL45)</f>
        <v>0</v>
      </c>
      <c r="CB45">
        <v>60</v>
      </c>
      <c r="CC45">
        <v>5</v>
      </c>
      <c r="CD45">
        <v>-2.093</v>
      </c>
      <c r="CE45">
        <v>6.1000000000000004E-3</v>
      </c>
    </row>
    <row r="46" spans="4:83" hidden="1" x14ac:dyDescent="0.2">
      <c r="D46">
        <v>6</v>
      </c>
      <c r="G46" t="s">
        <v>43</v>
      </c>
      <c r="H46" t="s">
        <v>115</v>
      </c>
      <c r="J46">
        <v>2011</v>
      </c>
      <c r="M46" t="s">
        <v>116</v>
      </c>
      <c r="T46" t="s">
        <v>131</v>
      </c>
      <c r="U46" t="s">
        <v>132</v>
      </c>
      <c r="V46" t="s">
        <v>133</v>
      </c>
      <c r="Z46" t="s">
        <v>49</v>
      </c>
      <c r="AA46" t="s">
        <v>49</v>
      </c>
      <c r="AB46" t="s">
        <v>50</v>
      </c>
      <c r="AC46" t="s">
        <v>117</v>
      </c>
      <c r="AD46" t="s">
        <v>52</v>
      </c>
      <c r="AE46" t="s">
        <v>134</v>
      </c>
      <c r="AF46" t="s">
        <v>52</v>
      </c>
      <c r="AG46" t="s">
        <v>54</v>
      </c>
      <c r="AH46" t="s">
        <v>55</v>
      </c>
      <c r="AK46">
        <v>5</v>
      </c>
      <c r="AL46">
        <v>5</v>
      </c>
      <c r="AM46" t="s">
        <v>123</v>
      </c>
      <c r="AN46">
        <v>729</v>
      </c>
      <c r="AO46" t="s">
        <v>56</v>
      </c>
      <c r="AP46">
        <v>160</v>
      </c>
      <c r="AQ46" t="s">
        <v>118</v>
      </c>
      <c r="AR46">
        <v>7.86</v>
      </c>
      <c r="AS46" t="s">
        <v>56</v>
      </c>
      <c r="AT46">
        <v>0.09</v>
      </c>
      <c r="AU46">
        <v>2269</v>
      </c>
      <c r="AV46" t="s">
        <v>56</v>
      </c>
      <c r="AW46">
        <v>3127</v>
      </c>
      <c r="AX46">
        <v>6.81</v>
      </c>
      <c r="AY46" t="s">
        <v>56</v>
      </c>
      <c r="AZ46">
        <v>0.23</v>
      </c>
      <c r="BB46">
        <f>LOG(AU46)</f>
        <v>3.355834495884936</v>
      </c>
      <c r="BC46">
        <v>11.8</v>
      </c>
      <c r="BD46" t="s">
        <v>56</v>
      </c>
      <c r="BE46">
        <v>0.4</v>
      </c>
      <c r="BF46">
        <v>11.5</v>
      </c>
      <c r="BG46" t="s">
        <v>56</v>
      </c>
      <c r="BH46">
        <v>0.4</v>
      </c>
      <c r="BI46">
        <v>1540</v>
      </c>
      <c r="BJ46">
        <v>-0.3</v>
      </c>
      <c r="BK46" t="s">
        <v>135</v>
      </c>
      <c r="BL46" t="s">
        <v>120</v>
      </c>
      <c r="BM46" t="s">
        <v>120</v>
      </c>
      <c r="BN46" t="s">
        <v>81</v>
      </c>
      <c r="BO46" t="s">
        <v>121</v>
      </c>
      <c r="BP46" t="s">
        <v>83</v>
      </c>
      <c r="BR46" t="s">
        <v>122</v>
      </c>
      <c r="BT46">
        <v>36.369999999999997</v>
      </c>
      <c r="BU46">
        <v>36.367815999999998</v>
      </c>
      <c r="BV46">
        <v>24.459769999999999</v>
      </c>
      <c r="BW46">
        <f>BV46*SQRT(AK46)</f>
        <v>54.693708434010034</v>
      </c>
      <c r="BX46">
        <v>4.51</v>
      </c>
      <c r="BY46">
        <v>4.5057470999999998</v>
      </c>
      <c r="BZ46">
        <v>0</v>
      </c>
      <c r="CA46">
        <f>BZ46*SQRT(AL46)</f>
        <v>0</v>
      </c>
      <c r="CB46">
        <v>60</v>
      </c>
      <c r="CC46">
        <v>5</v>
      </c>
      <c r="CD46">
        <v>-2.0880000000000001</v>
      </c>
      <c r="CE46">
        <v>0.45229999999999998</v>
      </c>
    </row>
    <row r="47" spans="4:83" hidden="1" x14ac:dyDescent="0.2">
      <c r="D47">
        <v>6</v>
      </c>
      <c r="G47" t="s">
        <v>43</v>
      </c>
      <c r="H47" t="s">
        <v>115</v>
      </c>
      <c r="J47">
        <v>2011</v>
      </c>
      <c r="M47" t="s">
        <v>116</v>
      </c>
      <c r="T47" t="s">
        <v>131</v>
      </c>
      <c r="U47" t="s">
        <v>56</v>
      </c>
      <c r="V47" t="s">
        <v>56</v>
      </c>
      <c r="Z47" t="s">
        <v>49</v>
      </c>
      <c r="AA47" t="s">
        <v>49</v>
      </c>
      <c r="AB47" t="s">
        <v>50</v>
      </c>
      <c r="AC47" t="s">
        <v>117</v>
      </c>
      <c r="AD47" t="s">
        <v>52</v>
      </c>
      <c r="AE47" t="s">
        <v>53</v>
      </c>
      <c r="AF47" t="s">
        <v>52</v>
      </c>
      <c r="AG47" t="s">
        <v>52</v>
      </c>
      <c r="AH47" t="s">
        <v>64</v>
      </c>
      <c r="AK47">
        <v>5</v>
      </c>
      <c r="AL47">
        <v>5</v>
      </c>
      <c r="AM47" t="s">
        <v>123</v>
      </c>
      <c r="AN47">
        <v>729</v>
      </c>
      <c r="AO47" t="s">
        <v>56</v>
      </c>
      <c r="AP47">
        <v>160</v>
      </c>
      <c r="AQ47" t="s">
        <v>118</v>
      </c>
      <c r="AR47">
        <v>7.86</v>
      </c>
      <c r="AS47" t="s">
        <v>56</v>
      </c>
      <c r="AT47">
        <v>0.09</v>
      </c>
      <c r="AU47">
        <v>3010</v>
      </c>
      <c r="AV47" t="s">
        <v>56</v>
      </c>
      <c r="AW47">
        <v>4141</v>
      </c>
      <c r="AX47">
        <v>6.66</v>
      </c>
      <c r="AY47" t="s">
        <v>56</v>
      </c>
      <c r="AZ47">
        <v>0.19</v>
      </c>
      <c r="BB47">
        <f>LOG(AU47)</f>
        <v>3.4785664955938436</v>
      </c>
      <c r="BC47">
        <v>11.8</v>
      </c>
      <c r="BD47" t="s">
        <v>56</v>
      </c>
      <c r="BE47">
        <v>0.4</v>
      </c>
      <c r="BF47">
        <v>15.5</v>
      </c>
      <c r="BG47" t="s">
        <v>56</v>
      </c>
      <c r="BH47">
        <v>1.5</v>
      </c>
      <c r="BI47">
        <v>2281</v>
      </c>
      <c r="BJ47">
        <v>3.7</v>
      </c>
      <c r="BK47" t="s">
        <v>141</v>
      </c>
      <c r="BL47" t="s">
        <v>120</v>
      </c>
      <c r="BM47" t="s">
        <v>120</v>
      </c>
      <c r="BN47" t="s">
        <v>81</v>
      </c>
      <c r="BO47" t="s">
        <v>121</v>
      </c>
      <c r="BP47" t="s">
        <v>83</v>
      </c>
      <c r="BR47" t="s">
        <v>122</v>
      </c>
      <c r="BT47">
        <v>182.17</v>
      </c>
      <c r="BU47">
        <v>182.16867500000001</v>
      </c>
      <c r="BV47">
        <v>63.614457999999999</v>
      </c>
      <c r="BW47">
        <f>BV47*SQRT(AK47)</f>
        <v>142.24625243980532</v>
      </c>
      <c r="BX47">
        <v>23.13</v>
      </c>
      <c r="BY47">
        <v>23.1325301</v>
      </c>
      <c r="BZ47">
        <v>5.78</v>
      </c>
      <c r="CA47">
        <f>BZ47*SQRT(AL47)</f>
        <v>12.924472909948786</v>
      </c>
      <c r="CB47">
        <v>60</v>
      </c>
      <c r="CC47">
        <v>5</v>
      </c>
      <c r="CD47">
        <v>-2.0640000000000001</v>
      </c>
      <c r="CE47">
        <v>0.18440000000000001</v>
      </c>
    </row>
    <row r="48" spans="4:83" hidden="1" x14ac:dyDescent="0.2">
      <c r="D48">
        <v>6</v>
      </c>
      <c r="G48" t="s">
        <v>43</v>
      </c>
      <c r="H48" t="s">
        <v>115</v>
      </c>
      <c r="J48">
        <v>2011</v>
      </c>
      <c r="M48" t="s">
        <v>116</v>
      </c>
      <c r="T48" t="s">
        <v>68</v>
      </c>
      <c r="U48" t="s">
        <v>124</v>
      </c>
      <c r="V48" t="s">
        <v>125</v>
      </c>
      <c r="Z48" t="s">
        <v>49</v>
      </c>
      <c r="AA48" t="s">
        <v>49</v>
      </c>
      <c r="AB48" t="s">
        <v>50</v>
      </c>
      <c r="AC48" t="s">
        <v>117</v>
      </c>
      <c r="AD48" t="s">
        <v>52</v>
      </c>
      <c r="AE48" t="s">
        <v>53</v>
      </c>
      <c r="AF48" t="s">
        <v>52</v>
      </c>
      <c r="AG48" t="s">
        <v>54</v>
      </c>
      <c r="AH48" t="s">
        <v>55</v>
      </c>
      <c r="AK48">
        <v>5</v>
      </c>
      <c r="AL48">
        <v>5</v>
      </c>
      <c r="AM48" t="s">
        <v>123</v>
      </c>
      <c r="AN48">
        <v>729</v>
      </c>
      <c r="AO48" t="s">
        <v>56</v>
      </c>
      <c r="AP48">
        <v>160</v>
      </c>
      <c r="AQ48" t="s">
        <v>118</v>
      </c>
      <c r="AR48">
        <v>7.86</v>
      </c>
      <c r="AS48" t="s">
        <v>56</v>
      </c>
      <c r="AT48">
        <v>0.09</v>
      </c>
      <c r="AU48">
        <v>2269</v>
      </c>
      <c r="AV48" t="s">
        <v>56</v>
      </c>
      <c r="AW48">
        <v>3127</v>
      </c>
      <c r="AX48">
        <v>6.81</v>
      </c>
      <c r="AY48" t="s">
        <v>56</v>
      </c>
      <c r="AZ48">
        <v>0.23</v>
      </c>
      <c r="BB48">
        <f>LOG(AU48)</f>
        <v>3.355834495884936</v>
      </c>
      <c r="BC48">
        <v>11.8</v>
      </c>
      <c r="BD48" t="s">
        <v>56</v>
      </c>
      <c r="BE48">
        <v>0.4</v>
      </c>
      <c r="BF48">
        <v>11.5</v>
      </c>
      <c r="BG48" t="s">
        <v>56</v>
      </c>
      <c r="BH48">
        <v>0.4</v>
      </c>
      <c r="BI48">
        <v>1540</v>
      </c>
      <c r="BJ48">
        <v>-0.3</v>
      </c>
      <c r="BK48" t="s">
        <v>126</v>
      </c>
      <c r="BL48" t="s">
        <v>120</v>
      </c>
      <c r="BM48" t="s">
        <v>120</v>
      </c>
      <c r="BN48" t="s">
        <v>81</v>
      </c>
      <c r="BO48" t="s">
        <v>121</v>
      </c>
      <c r="BP48" t="s">
        <v>83</v>
      </c>
      <c r="BR48" t="s">
        <v>122</v>
      </c>
      <c r="BT48">
        <v>9.32</v>
      </c>
      <c r="BU48">
        <v>9.3162099999999999</v>
      </c>
      <c r="BV48">
        <v>4.1002280000000004</v>
      </c>
      <c r="BW48">
        <f>BV48*SQRT(AK48)</f>
        <v>9.1683885312480093</v>
      </c>
      <c r="BX48">
        <v>1.21</v>
      </c>
      <c r="BY48">
        <v>1.2147427</v>
      </c>
      <c r="BZ48">
        <v>0</v>
      </c>
      <c r="CA48">
        <f>BZ48*SQRT(AL48)</f>
        <v>0</v>
      </c>
      <c r="CB48">
        <v>60</v>
      </c>
      <c r="CC48">
        <v>5</v>
      </c>
      <c r="CD48">
        <v>-2.0369999999999999</v>
      </c>
      <c r="CE48">
        <v>0.19370000000000001</v>
      </c>
    </row>
    <row r="49" spans="4:83" hidden="1" x14ac:dyDescent="0.2">
      <c r="D49">
        <v>6</v>
      </c>
      <c r="G49" t="s">
        <v>43</v>
      </c>
      <c r="H49" t="s">
        <v>115</v>
      </c>
      <c r="J49">
        <v>2011</v>
      </c>
      <c r="M49" t="s">
        <v>116</v>
      </c>
      <c r="T49" t="s">
        <v>68</v>
      </c>
      <c r="U49" t="s">
        <v>56</v>
      </c>
      <c r="V49" t="s">
        <v>56</v>
      </c>
      <c r="Z49" t="s">
        <v>49</v>
      </c>
      <c r="AA49" t="s">
        <v>49</v>
      </c>
      <c r="AB49" t="s">
        <v>50</v>
      </c>
      <c r="AC49" t="s">
        <v>117</v>
      </c>
      <c r="AD49" t="s">
        <v>52</v>
      </c>
      <c r="AE49" t="s">
        <v>53</v>
      </c>
      <c r="AF49" t="s">
        <v>52</v>
      </c>
      <c r="AG49" t="s">
        <v>52</v>
      </c>
      <c r="AH49" t="s">
        <v>64</v>
      </c>
      <c r="AK49">
        <v>5</v>
      </c>
      <c r="AL49">
        <v>5</v>
      </c>
      <c r="AM49" t="s">
        <v>123</v>
      </c>
      <c r="AN49">
        <v>729</v>
      </c>
      <c r="AO49" t="s">
        <v>56</v>
      </c>
      <c r="AP49">
        <v>160</v>
      </c>
      <c r="AQ49" t="s">
        <v>118</v>
      </c>
      <c r="AR49">
        <v>7.86</v>
      </c>
      <c r="AS49" t="s">
        <v>56</v>
      </c>
      <c r="AT49">
        <v>0.09</v>
      </c>
      <c r="AU49">
        <v>3010</v>
      </c>
      <c r="AV49" t="s">
        <v>56</v>
      </c>
      <c r="AW49">
        <v>4141</v>
      </c>
      <c r="AX49">
        <v>6.66</v>
      </c>
      <c r="AY49" t="s">
        <v>56</v>
      </c>
      <c r="AZ49">
        <v>0.19</v>
      </c>
      <c r="BB49">
        <f>LOG(AU49)</f>
        <v>3.4785664955938436</v>
      </c>
      <c r="BC49">
        <v>11.8</v>
      </c>
      <c r="BD49" t="s">
        <v>56</v>
      </c>
      <c r="BE49">
        <v>0.4</v>
      </c>
      <c r="BF49">
        <v>15.5</v>
      </c>
      <c r="BG49" t="s">
        <v>56</v>
      </c>
      <c r="BH49">
        <v>1.5</v>
      </c>
      <c r="BI49">
        <v>2281</v>
      </c>
      <c r="BJ49">
        <v>3.7</v>
      </c>
      <c r="BK49" t="s">
        <v>130</v>
      </c>
      <c r="BL49" t="s">
        <v>120</v>
      </c>
      <c r="BM49" t="s">
        <v>120</v>
      </c>
      <c r="BN49" t="s">
        <v>81</v>
      </c>
      <c r="BO49" t="s">
        <v>121</v>
      </c>
      <c r="BP49" t="s">
        <v>83</v>
      </c>
      <c r="BR49" t="s">
        <v>122</v>
      </c>
      <c r="BT49">
        <v>35.020000000000003</v>
      </c>
      <c r="BU49">
        <v>35.022025999999997</v>
      </c>
      <c r="BV49">
        <v>7.9295150000000003</v>
      </c>
      <c r="BW49">
        <f>BV49*SQRT(AK49)</f>
        <v>17.730934568604248</v>
      </c>
      <c r="BX49">
        <v>5.29</v>
      </c>
      <c r="BY49">
        <v>5.2863436000000004</v>
      </c>
      <c r="BZ49">
        <v>0</v>
      </c>
      <c r="CA49">
        <f>BZ49*SQRT(AL49)</f>
        <v>0</v>
      </c>
      <c r="CB49">
        <v>60</v>
      </c>
      <c r="CC49">
        <v>5</v>
      </c>
      <c r="CD49">
        <v>-1.891</v>
      </c>
      <c r="CE49">
        <v>5.1299999999999998E-2</v>
      </c>
    </row>
    <row r="50" spans="4:83" hidden="1" x14ac:dyDescent="0.2">
      <c r="D50">
        <v>6</v>
      </c>
      <c r="G50" t="s">
        <v>43</v>
      </c>
      <c r="H50" t="s">
        <v>115</v>
      </c>
      <c r="J50">
        <v>2011</v>
      </c>
      <c r="M50" t="s">
        <v>116</v>
      </c>
      <c r="T50" t="s">
        <v>68</v>
      </c>
      <c r="U50" t="s">
        <v>124</v>
      </c>
      <c r="V50" t="s">
        <v>125</v>
      </c>
      <c r="Z50" t="s">
        <v>49</v>
      </c>
      <c r="AA50" t="s">
        <v>49</v>
      </c>
      <c r="AB50" t="s">
        <v>50</v>
      </c>
      <c r="AC50" t="s">
        <v>117</v>
      </c>
      <c r="AD50" t="s">
        <v>52</v>
      </c>
      <c r="AE50" t="s">
        <v>53</v>
      </c>
      <c r="AF50" t="s">
        <v>52</v>
      </c>
      <c r="AG50" t="s">
        <v>52</v>
      </c>
      <c r="AH50" t="s">
        <v>64</v>
      </c>
      <c r="AK50">
        <v>5</v>
      </c>
      <c r="AL50">
        <v>5</v>
      </c>
      <c r="AM50" t="s">
        <v>123</v>
      </c>
      <c r="AN50">
        <v>729</v>
      </c>
      <c r="AO50" t="s">
        <v>56</v>
      </c>
      <c r="AP50">
        <v>160</v>
      </c>
      <c r="AQ50" t="s">
        <v>118</v>
      </c>
      <c r="AR50">
        <v>7.86</v>
      </c>
      <c r="AS50" t="s">
        <v>56</v>
      </c>
      <c r="AT50">
        <v>0.09</v>
      </c>
      <c r="AU50">
        <v>2612</v>
      </c>
      <c r="AV50" t="s">
        <v>56</v>
      </c>
      <c r="AW50">
        <v>547</v>
      </c>
      <c r="AX50">
        <v>7.37</v>
      </c>
      <c r="AY50" t="s">
        <v>56</v>
      </c>
      <c r="AZ50">
        <v>0.1</v>
      </c>
      <c r="BB50">
        <f>LOG(AU50)</f>
        <v>3.4169731726030363</v>
      </c>
      <c r="BC50">
        <v>11.8</v>
      </c>
      <c r="BD50" t="s">
        <v>56</v>
      </c>
      <c r="BE50">
        <v>0.4</v>
      </c>
      <c r="BF50">
        <v>15.8</v>
      </c>
      <c r="BG50" t="s">
        <v>56</v>
      </c>
      <c r="BH50">
        <v>0.3</v>
      </c>
      <c r="BI50">
        <v>1882</v>
      </c>
      <c r="BJ50">
        <v>4</v>
      </c>
      <c r="BK50" t="s">
        <v>126</v>
      </c>
      <c r="BL50" t="s">
        <v>120</v>
      </c>
      <c r="BM50" t="s">
        <v>120</v>
      </c>
      <c r="BN50" t="s">
        <v>81</v>
      </c>
      <c r="BO50" t="s">
        <v>121</v>
      </c>
      <c r="BP50" t="s">
        <v>83</v>
      </c>
      <c r="BR50" t="s">
        <v>122</v>
      </c>
      <c r="BT50">
        <v>9.32</v>
      </c>
      <c r="BU50">
        <v>9.3162099999999999</v>
      </c>
      <c r="BV50">
        <v>4.1002280000000004</v>
      </c>
      <c r="BW50">
        <f>BV50*SQRT(AK50)</f>
        <v>9.1683885312480093</v>
      </c>
      <c r="BX50">
        <v>1.44</v>
      </c>
      <c r="BY50">
        <v>1.4423657000000001</v>
      </c>
      <c r="BZ50">
        <v>0</v>
      </c>
      <c r="CA50">
        <f>BZ50*SQRT(AL50)</f>
        <v>0</v>
      </c>
      <c r="CB50">
        <v>60</v>
      </c>
      <c r="CC50">
        <v>5</v>
      </c>
      <c r="CD50">
        <v>-1.865</v>
      </c>
      <c r="CE50">
        <v>0.19370000000000001</v>
      </c>
    </row>
    <row r="51" spans="4:83" hidden="1" x14ac:dyDescent="0.2">
      <c r="D51">
        <v>6</v>
      </c>
      <c r="G51" t="s">
        <v>43</v>
      </c>
      <c r="H51" t="s">
        <v>115</v>
      </c>
      <c r="J51">
        <v>2011</v>
      </c>
      <c r="M51" t="s">
        <v>116</v>
      </c>
      <c r="T51" t="s">
        <v>136</v>
      </c>
      <c r="U51" t="s">
        <v>56</v>
      </c>
      <c r="V51" t="s">
        <v>136</v>
      </c>
      <c r="Z51" t="s">
        <v>49</v>
      </c>
      <c r="AA51" t="s">
        <v>49</v>
      </c>
      <c r="AB51" t="s">
        <v>50</v>
      </c>
      <c r="AC51" t="s">
        <v>108</v>
      </c>
      <c r="AD51" t="s">
        <v>52</v>
      </c>
      <c r="AE51" t="s">
        <v>53</v>
      </c>
      <c r="AF51" t="s">
        <v>52</v>
      </c>
      <c r="AG51" t="s">
        <v>54</v>
      </c>
      <c r="AH51" t="s">
        <v>55</v>
      </c>
      <c r="AK51">
        <v>5</v>
      </c>
      <c r="AL51">
        <v>5</v>
      </c>
      <c r="AM51" t="s">
        <v>123</v>
      </c>
      <c r="AN51">
        <v>729</v>
      </c>
      <c r="AO51" t="s">
        <v>56</v>
      </c>
      <c r="AP51">
        <v>160</v>
      </c>
      <c r="AQ51" t="s">
        <v>118</v>
      </c>
      <c r="AR51">
        <v>7.86</v>
      </c>
      <c r="AS51" t="s">
        <v>56</v>
      </c>
      <c r="AT51">
        <v>0.09</v>
      </c>
      <c r="AU51">
        <v>1296</v>
      </c>
      <c r="AV51" t="s">
        <v>56</v>
      </c>
      <c r="AW51">
        <v>245</v>
      </c>
      <c r="AX51">
        <v>7.66</v>
      </c>
      <c r="AY51" t="s">
        <v>56</v>
      </c>
      <c r="AZ51">
        <v>0.08</v>
      </c>
      <c r="BB51">
        <f>LOG(AU51)</f>
        <v>3.1126050015345745</v>
      </c>
      <c r="BC51">
        <v>11.8</v>
      </c>
      <c r="BD51" t="s">
        <v>56</v>
      </c>
      <c r="BE51">
        <v>0.4</v>
      </c>
      <c r="BF51">
        <v>11.9</v>
      </c>
      <c r="BG51" t="s">
        <v>56</v>
      </c>
      <c r="BH51">
        <v>0.4</v>
      </c>
      <c r="BI51">
        <v>566</v>
      </c>
      <c r="BJ51">
        <v>0.2</v>
      </c>
      <c r="BK51" t="s">
        <v>137</v>
      </c>
      <c r="BL51" t="s">
        <v>120</v>
      </c>
      <c r="BM51" t="s">
        <v>120</v>
      </c>
      <c r="BN51" t="s">
        <v>81</v>
      </c>
      <c r="BO51" t="s">
        <v>121</v>
      </c>
      <c r="BP51" t="s">
        <v>83</v>
      </c>
      <c r="BR51" t="s">
        <v>122</v>
      </c>
      <c r="BT51">
        <v>81.97</v>
      </c>
      <c r="BU51">
        <v>81.967213000000001</v>
      </c>
      <c r="BV51">
        <v>74.590164000000001</v>
      </c>
      <c r="BW51">
        <f>BV51*SQRT(AK51)</f>
        <v>166.78867715685763</v>
      </c>
      <c r="BX51">
        <v>13.11</v>
      </c>
      <c r="BY51">
        <v>13.114754100000001</v>
      </c>
      <c r="BZ51">
        <v>0</v>
      </c>
      <c r="CA51">
        <f>BZ51*SQRT(AL51)</f>
        <v>0</v>
      </c>
      <c r="CB51">
        <v>60</v>
      </c>
      <c r="CC51">
        <v>5</v>
      </c>
      <c r="CD51">
        <v>-1.833</v>
      </c>
      <c r="CE51">
        <v>0.82809999999999995</v>
      </c>
    </row>
    <row r="52" spans="4:83" hidden="1" x14ac:dyDescent="0.2">
      <c r="D52">
        <v>6</v>
      </c>
      <c r="G52" t="s">
        <v>43</v>
      </c>
      <c r="H52" t="s">
        <v>115</v>
      </c>
      <c r="J52">
        <v>2011</v>
      </c>
      <c r="M52" t="s">
        <v>116</v>
      </c>
      <c r="T52" t="s">
        <v>136</v>
      </c>
      <c r="U52" t="s">
        <v>56</v>
      </c>
      <c r="V52" t="s">
        <v>136</v>
      </c>
      <c r="Z52" t="s">
        <v>49</v>
      </c>
      <c r="AA52" t="s">
        <v>49</v>
      </c>
      <c r="AB52" t="s">
        <v>50</v>
      </c>
      <c r="AC52" t="s">
        <v>108</v>
      </c>
      <c r="AD52" t="s">
        <v>52</v>
      </c>
      <c r="AE52" t="s">
        <v>53</v>
      </c>
      <c r="AF52" t="s">
        <v>54</v>
      </c>
      <c r="AG52" t="s">
        <v>52</v>
      </c>
      <c r="AH52" t="s">
        <v>65</v>
      </c>
      <c r="AK52">
        <v>5</v>
      </c>
      <c r="AL52">
        <v>5</v>
      </c>
      <c r="AM52" t="s">
        <v>123</v>
      </c>
      <c r="AN52">
        <v>729</v>
      </c>
      <c r="AO52" t="s">
        <v>56</v>
      </c>
      <c r="AP52">
        <v>160</v>
      </c>
      <c r="AQ52" t="s">
        <v>118</v>
      </c>
      <c r="AR52">
        <v>7.86</v>
      </c>
      <c r="AS52" t="s">
        <v>56</v>
      </c>
      <c r="AT52">
        <v>0.09</v>
      </c>
      <c r="AU52">
        <v>822</v>
      </c>
      <c r="AV52" t="s">
        <v>56</v>
      </c>
      <c r="AW52">
        <v>743</v>
      </c>
      <c r="AX52">
        <v>7.85</v>
      </c>
      <c r="AY52" t="s">
        <v>56</v>
      </c>
      <c r="AZ52">
        <v>0.13</v>
      </c>
      <c r="BB52">
        <f>LOG(AU52)</f>
        <v>2.9148718175400505</v>
      </c>
      <c r="BC52">
        <v>11.8</v>
      </c>
      <c r="BD52" t="s">
        <v>56</v>
      </c>
      <c r="BE52">
        <v>0.4</v>
      </c>
      <c r="BF52">
        <v>16</v>
      </c>
      <c r="BG52" t="s">
        <v>56</v>
      </c>
      <c r="BH52">
        <v>0.4</v>
      </c>
      <c r="BI52">
        <v>93</v>
      </c>
      <c r="BJ52">
        <v>4.3</v>
      </c>
      <c r="BK52" t="s">
        <v>137</v>
      </c>
      <c r="BL52" t="s">
        <v>120</v>
      </c>
      <c r="BM52" t="s">
        <v>120</v>
      </c>
      <c r="BN52" t="s">
        <v>81</v>
      </c>
      <c r="BO52" t="s">
        <v>121</v>
      </c>
      <c r="BP52" t="s">
        <v>83</v>
      </c>
      <c r="BR52" t="s">
        <v>122</v>
      </c>
      <c r="BT52">
        <v>81.97</v>
      </c>
      <c r="BU52">
        <v>81.967213000000001</v>
      </c>
      <c r="BV52">
        <v>74.590164000000001</v>
      </c>
      <c r="BW52">
        <f>BV52*SQRT(AK52)</f>
        <v>166.78867715685763</v>
      </c>
      <c r="BX52">
        <v>14.75</v>
      </c>
      <c r="BY52">
        <v>14.7540984</v>
      </c>
      <c r="BZ52">
        <v>4.92</v>
      </c>
      <c r="CA52">
        <f>BZ52*SQRT(AL52)</f>
        <v>11.001454449298965</v>
      </c>
      <c r="CB52">
        <v>60</v>
      </c>
      <c r="CC52">
        <v>5</v>
      </c>
      <c r="CD52">
        <v>-1.7150000000000001</v>
      </c>
      <c r="CE52">
        <v>0.93920000000000003</v>
      </c>
    </row>
    <row r="53" spans="4:83" hidden="1" x14ac:dyDescent="0.2">
      <c r="D53">
        <v>6</v>
      </c>
      <c r="G53" t="s">
        <v>43</v>
      </c>
      <c r="H53" t="s">
        <v>115</v>
      </c>
      <c r="J53">
        <v>2011</v>
      </c>
      <c r="M53" t="s">
        <v>116</v>
      </c>
      <c r="T53" t="s">
        <v>68</v>
      </c>
      <c r="U53" t="s">
        <v>124</v>
      </c>
      <c r="V53" t="s">
        <v>125</v>
      </c>
      <c r="Z53" t="s">
        <v>49</v>
      </c>
      <c r="AA53" t="s">
        <v>49</v>
      </c>
      <c r="AB53" t="s">
        <v>50</v>
      </c>
      <c r="AC53" t="s">
        <v>117</v>
      </c>
      <c r="AD53" t="s">
        <v>52</v>
      </c>
      <c r="AE53" t="s">
        <v>53</v>
      </c>
      <c r="AF53" t="s">
        <v>52</v>
      </c>
      <c r="AG53" t="s">
        <v>54</v>
      </c>
      <c r="AH53" t="s">
        <v>55</v>
      </c>
      <c r="AK53">
        <v>5</v>
      </c>
      <c r="AL53">
        <v>5</v>
      </c>
      <c r="AM53" t="s">
        <v>123</v>
      </c>
      <c r="AN53">
        <v>729</v>
      </c>
      <c r="AO53" t="s">
        <v>56</v>
      </c>
      <c r="AP53">
        <v>160</v>
      </c>
      <c r="AQ53" t="s">
        <v>118</v>
      </c>
      <c r="AR53">
        <v>7.86</v>
      </c>
      <c r="AS53" t="s">
        <v>56</v>
      </c>
      <c r="AT53">
        <v>0.09</v>
      </c>
      <c r="AU53">
        <v>2729</v>
      </c>
      <c r="AV53" t="s">
        <v>56</v>
      </c>
      <c r="AW53">
        <v>499</v>
      </c>
      <c r="AX53">
        <v>7.35</v>
      </c>
      <c r="AY53" t="s">
        <v>56</v>
      </c>
      <c r="AZ53">
        <v>7.0000000000000007E-2</v>
      </c>
      <c r="BB53">
        <f>LOG(AU53)</f>
        <v>3.4360035356698964</v>
      </c>
      <c r="BC53">
        <v>11.8</v>
      </c>
      <c r="BD53" t="s">
        <v>56</v>
      </c>
      <c r="BE53">
        <v>0.4</v>
      </c>
      <c r="BF53">
        <v>11.7</v>
      </c>
      <c r="BG53" t="s">
        <v>56</v>
      </c>
      <c r="BH53">
        <v>0.4</v>
      </c>
      <c r="BI53">
        <v>2000</v>
      </c>
      <c r="BJ53">
        <v>-0.1</v>
      </c>
      <c r="BK53" t="s">
        <v>126</v>
      </c>
      <c r="BL53" t="s">
        <v>120</v>
      </c>
      <c r="BM53" t="s">
        <v>120</v>
      </c>
      <c r="BN53" t="s">
        <v>81</v>
      </c>
      <c r="BO53" t="s">
        <v>121</v>
      </c>
      <c r="BP53" t="s">
        <v>83</v>
      </c>
      <c r="BR53" t="s">
        <v>122</v>
      </c>
      <c r="BT53">
        <v>9.32</v>
      </c>
      <c r="BU53">
        <v>9.3162099999999999</v>
      </c>
      <c r="BV53">
        <v>4.1002280000000004</v>
      </c>
      <c r="BW53">
        <f>BV53*SQRT(AK53)</f>
        <v>9.1683885312480093</v>
      </c>
      <c r="BX53">
        <v>1.72</v>
      </c>
      <c r="BY53">
        <v>1.7157142000000001</v>
      </c>
      <c r="BZ53">
        <v>0</v>
      </c>
      <c r="CA53">
        <f>BZ53*SQRT(AL53)</f>
        <v>0</v>
      </c>
      <c r="CB53">
        <v>60</v>
      </c>
      <c r="CC53">
        <v>5</v>
      </c>
      <c r="CD53">
        <v>-1.6919999999999999</v>
      </c>
      <c r="CE53">
        <v>0.19370000000000001</v>
      </c>
    </row>
    <row r="54" spans="4:83" hidden="1" x14ac:dyDescent="0.2">
      <c r="D54">
        <v>6</v>
      </c>
      <c r="G54" t="s">
        <v>114</v>
      </c>
      <c r="H54" t="s">
        <v>115</v>
      </c>
      <c r="J54">
        <v>2011</v>
      </c>
      <c r="M54" t="s">
        <v>116</v>
      </c>
      <c r="T54" t="s">
        <v>131</v>
      </c>
      <c r="U54" t="s">
        <v>56</v>
      </c>
      <c r="V54" t="s">
        <v>56</v>
      </c>
      <c r="Z54" t="s">
        <v>49</v>
      </c>
      <c r="AA54" t="s">
        <v>49</v>
      </c>
      <c r="AB54" t="s">
        <v>50</v>
      </c>
      <c r="AC54" t="s">
        <v>117</v>
      </c>
      <c r="AD54" t="s">
        <v>52</v>
      </c>
      <c r="AE54" t="s">
        <v>53</v>
      </c>
      <c r="AF54" t="s">
        <v>52</v>
      </c>
      <c r="AG54" t="s">
        <v>52</v>
      </c>
      <c r="AH54" t="s">
        <v>64</v>
      </c>
      <c r="AK54">
        <v>5</v>
      </c>
      <c r="AL54">
        <v>5</v>
      </c>
      <c r="AM54" t="s">
        <v>140</v>
      </c>
      <c r="AN54">
        <v>729</v>
      </c>
      <c r="AO54" t="s">
        <v>56</v>
      </c>
      <c r="AP54">
        <v>160</v>
      </c>
      <c r="AQ54" t="s">
        <v>118</v>
      </c>
      <c r="AR54">
        <v>7.86</v>
      </c>
      <c r="AS54" t="s">
        <v>56</v>
      </c>
      <c r="AT54">
        <v>0.09</v>
      </c>
      <c r="AU54">
        <v>3010</v>
      </c>
      <c r="AV54" t="s">
        <v>56</v>
      </c>
      <c r="AW54">
        <v>4141</v>
      </c>
      <c r="AX54">
        <v>6.66</v>
      </c>
      <c r="AY54" t="s">
        <v>56</v>
      </c>
      <c r="AZ54">
        <v>0.19</v>
      </c>
      <c r="BB54">
        <f>LOG(AU54)</f>
        <v>3.4785664955938436</v>
      </c>
      <c r="BC54">
        <v>11.8</v>
      </c>
      <c r="BD54" t="s">
        <v>56</v>
      </c>
      <c r="BE54">
        <v>0.4</v>
      </c>
      <c r="BF54">
        <v>15.5</v>
      </c>
      <c r="BG54" t="s">
        <v>56</v>
      </c>
      <c r="BH54">
        <v>1.5</v>
      </c>
      <c r="BI54">
        <v>2281</v>
      </c>
      <c r="BJ54">
        <v>3.7</v>
      </c>
      <c r="BK54" t="s">
        <v>142</v>
      </c>
      <c r="BL54" t="s">
        <v>142</v>
      </c>
      <c r="BM54" t="s">
        <v>139</v>
      </c>
      <c r="BN54" t="s">
        <v>81</v>
      </c>
      <c r="BO54" t="s">
        <v>121</v>
      </c>
      <c r="BP54" t="s">
        <v>127</v>
      </c>
      <c r="BR54" t="s">
        <v>122</v>
      </c>
      <c r="BT54">
        <v>12.44</v>
      </c>
      <c r="BU54">
        <v>12.441805</v>
      </c>
      <c r="BV54">
        <v>1.2</v>
      </c>
      <c r="BW54">
        <f>BV54*SQRT(AK54)</f>
        <v>2.6832815729997477</v>
      </c>
      <c r="BX54">
        <v>3.33</v>
      </c>
      <c r="BY54">
        <v>3.3349169000000001</v>
      </c>
      <c r="BZ54">
        <v>1.33</v>
      </c>
      <c r="CA54">
        <f>BZ54*SQRT(AL54)</f>
        <v>2.9739704100747204</v>
      </c>
      <c r="CB54">
        <v>60</v>
      </c>
      <c r="CC54">
        <v>5</v>
      </c>
      <c r="CD54">
        <v>-1.3169999999999999</v>
      </c>
      <c r="CE54">
        <v>0.16719999999999999</v>
      </c>
    </row>
    <row r="55" spans="4:83" hidden="1" x14ac:dyDescent="0.2">
      <c r="D55">
        <v>6</v>
      </c>
      <c r="G55" t="s">
        <v>43</v>
      </c>
      <c r="H55" t="s">
        <v>115</v>
      </c>
      <c r="J55">
        <v>2011</v>
      </c>
      <c r="M55" t="s">
        <v>116</v>
      </c>
      <c r="T55" t="s">
        <v>68</v>
      </c>
      <c r="U55" t="s">
        <v>124</v>
      </c>
      <c r="V55" t="s">
        <v>128</v>
      </c>
      <c r="Z55" t="s">
        <v>49</v>
      </c>
      <c r="AA55" t="s">
        <v>49</v>
      </c>
      <c r="AB55" t="s">
        <v>50</v>
      </c>
      <c r="AC55" t="s">
        <v>117</v>
      </c>
      <c r="AD55" t="s">
        <v>52</v>
      </c>
      <c r="AE55" t="s">
        <v>53</v>
      </c>
      <c r="AF55" t="s">
        <v>52</v>
      </c>
      <c r="AG55" t="s">
        <v>52</v>
      </c>
      <c r="AH55" t="s">
        <v>64</v>
      </c>
      <c r="AK55">
        <v>5</v>
      </c>
      <c r="AL55">
        <v>5</v>
      </c>
      <c r="AM55" t="s">
        <v>123</v>
      </c>
      <c r="AN55">
        <v>729</v>
      </c>
      <c r="AO55" t="s">
        <v>56</v>
      </c>
      <c r="AP55">
        <v>160</v>
      </c>
      <c r="AQ55" t="s">
        <v>118</v>
      </c>
      <c r="AR55">
        <v>7.86</v>
      </c>
      <c r="AS55" t="s">
        <v>56</v>
      </c>
      <c r="AT55">
        <v>0.09</v>
      </c>
      <c r="AU55">
        <v>1423</v>
      </c>
      <c r="AV55" t="s">
        <v>56</v>
      </c>
      <c r="AW55">
        <v>389</v>
      </c>
      <c r="AX55">
        <v>7.61</v>
      </c>
      <c r="AY55" t="s">
        <v>56</v>
      </c>
      <c r="AZ55">
        <v>0.15</v>
      </c>
      <c r="BB55">
        <f>LOG(AU55)</f>
        <v>3.1532049000842841</v>
      </c>
      <c r="BC55">
        <v>11.8</v>
      </c>
      <c r="BD55" t="s">
        <v>56</v>
      </c>
      <c r="BE55">
        <v>0.4</v>
      </c>
      <c r="BF55">
        <v>16</v>
      </c>
      <c r="BG55" t="s">
        <v>56</v>
      </c>
      <c r="BH55">
        <v>0.6</v>
      </c>
      <c r="BI55">
        <v>694</v>
      </c>
      <c r="BJ55">
        <v>4.2</v>
      </c>
      <c r="BK55" t="s">
        <v>129</v>
      </c>
      <c r="BL55" t="s">
        <v>120</v>
      </c>
      <c r="BM55" t="s">
        <v>120</v>
      </c>
      <c r="BN55" t="s">
        <v>81</v>
      </c>
      <c r="BO55" t="s">
        <v>121</v>
      </c>
      <c r="BP55" t="s">
        <v>83</v>
      </c>
      <c r="BR55" t="s">
        <v>122</v>
      </c>
      <c r="BT55">
        <v>7.47</v>
      </c>
      <c r="BU55">
        <v>7.4654379999999998</v>
      </c>
      <c r="BV55">
        <v>4.1889399999999997</v>
      </c>
      <c r="BW55">
        <f>BV55*SQRT(AK55)</f>
        <v>9.3667545936679684</v>
      </c>
      <c r="BX55">
        <v>2.2000000000000002</v>
      </c>
      <c r="BY55">
        <v>2.1981567000000002</v>
      </c>
      <c r="BZ55">
        <v>1.37</v>
      </c>
      <c r="CA55">
        <f>BZ55*SQRT(AL55)</f>
        <v>3.0634131291747124</v>
      </c>
      <c r="CB55">
        <v>60</v>
      </c>
      <c r="CC55">
        <v>5</v>
      </c>
      <c r="CD55">
        <v>-1.2230000000000001</v>
      </c>
      <c r="CE55">
        <v>0.70250000000000001</v>
      </c>
    </row>
    <row r="56" spans="4:83" hidden="1" x14ac:dyDescent="0.2">
      <c r="D56">
        <v>6</v>
      </c>
      <c r="G56" t="s">
        <v>43</v>
      </c>
      <c r="H56" t="s">
        <v>115</v>
      </c>
      <c r="J56">
        <v>2011</v>
      </c>
      <c r="M56" t="s">
        <v>116</v>
      </c>
      <c r="T56" t="s">
        <v>136</v>
      </c>
      <c r="U56" t="s">
        <v>56</v>
      </c>
      <c r="V56" t="s">
        <v>136</v>
      </c>
      <c r="Z56" t="s">
        <v>49</v>
      </c>
      <c r="AA56" t="s">
        <v>49</v>
      </c>
      <c r="AB56" t="s">
        <v>50</v>
      </c>
      <c r="AC56" t="s">
        <v>108</v>
      </c>
      <c r="AD56" t="s">
        <v>52</v>
      </c>
      <c r="AE56" t="s">
        <v>53</v>
      </c>
      <c r="AF56" t="s">
        <v>52</v>
      </c>
      <c r="AG56" t="s">
        <v>54</v>
      </c>
      <c r="AH56" t="s">
        <v>55</v>
      </c>
      <c r="AK56">
        <v>5</v>
      </c>
      <c r="AL56">
        <v>5</v>
      </c>
      <c r="AM56" t="s">
        <v>123</v>
      </c>
      <c r="AN56">
        <v>729</v>
      </c>
      <c r="AO56" t="s">
        <v>56</v>
      </c>
      <c r="AP56">
        <v>160</v>
      </c>
      <c r="AQ56" t="s">
        <v>118</v>
      </c>
      <c r="AR56">
        <v>7.86</v>
      </c>
      <c r="AS56" t="s">
        <v>56</v>
      </c>
      <c r="AT56">
        <v>0.09</v>
      </c>
      <c r="AU56">
        <v>2729</v>
      </c>
      <c r="AV56" t="s">
        <v>56</v>
      </c>
      <c r="AW56">
        <v>499</v>
      </c>
      <c r="AX56">
        <v>7.35</v>
      </c>
      <c r="AY56" t="s">
        <v>56</v>
      </c>
      <c r="AZ56">
        <v>7.0000000000000007E-2</v>
      </c>
      <c r="BB56">
        <f>LOG(AU56)</f>
        <v>3.4360035356698964</v>
      </c>
      <c r="BC56">
        <v>11.8</v>
      </c>
      <c r="BD56" t="s">
        <v>56</v>
      </c>
      <c r="BE56">
        <v>0.4</v>
      </c>
      <c r="BF56">
        <v>11.7</v>
      </c>
      <c r="BG56" t="s">
        <v>56</v>
      </c>
      <c r="BH56">
        <v>0.4</v>
      </c>
      <c r="BI56">
        <v>2000</v>
      </c>
      <c r="BJ56">
        <v>-0.1</v>
      </c>
      <c r="BK56" t="s">
        <v>137</v>
      </c>
      <c r="BL56" t="s">
        <v>120</v>
      </c>
      <c r="BM56" t="s">
        <v>120</v>
      </c>
      <c r="BN56" t="s">
        <v>81</v>
      </c>
      <c r="BO56" t="s">
        <v>121</v>
      </c>
      <c r="BP56" t="s">
        <v>83</v>
      </c>
      <c r="BR56" t="s">
        <v>122</v>
      </c>
      <c r="BT56">
        <v>81.97</v>
      </c>
      <c r="BU56">
        <v>81.967213000000001</v>
      </c>
      <c r="BV56">
        <v>74.590164000000001</v>
      </c>
      <c r="BW56">
        <f>BV56*SQRT(AK56)</f>
        <v>166.78867715685763</v>
      </c>
      <c r="BX56">
        <v>26.23</v>
      </c>
      <c r="BY56">
        <v>26.229508200000001</v>
      </c>
      <c r="BZ56">
        <v>13.11</v>
      </c>
      <c r="CA56">
        <f>BZ56*SQRT(AL56)</f>
        <v>29.314851185022242</v>
      </c>
      <c r="CB56">
        <v>60</v>
      </c>
      <c r="CC56">
        <v>5</v>
      </c>
      <c r="CD56">
        <v>-1.139</v>
      </c>
      <c r="CE56">
        <v>1.0781000000000001</v>
      </c>
    </row>
    <row r="57" spans="4:83" hidden="1" x14ac:dyDescent="0.2">
      <c r="D57">
        <v>6</v>
      </c>
      <c r="G57" t="s">
        <v>43</v>
      </c>
      <c r="H57" t="s">
        <v>115</v>
      </c>
      <c r="J57">
        <v>2011</v>
      </c>
      <c r="M57" t="s">
        <v>116</v>
      </c>
      <c r="T57" t="s">
        <v>131</v>
      </c>
      <c r="U57" t="s">
        <v>143</v>
      </c>
      <c r="V57" t="s">
        <v>144</v>
      </c>
      <c r="Z57" t="s">
        <v>49</v>
      </c>
      <c r="AA57" t="s">
        <v>49</v>
      </c>
      <c r="AB57" t="s">
        <v>50</v>
      </c>
      <c r="AC57" t="s">
        <v>117</v>
      </c>
      <c r="AD57" t="s">
        <v>52</v>
      </c>
      <c r="AE57" t="s">
        <v>134</v>
      </c>
      <c r="AF57" t="s">
        <v>52</v>
      </c>
      <c r="AG57" t="s">
        <v>52</v>
      </c>
      <c r="AH57" t="s">
        <v>64</v>
      </c>
      <c r="AK57">
        <v>5</v>
      </c>
      <c r="AL57">
        <v>5</v>
      </c>
      <c r="AM57" t="s">
        <v>123</v>
      </c>
      <c r="AN57">
        <v>729</v>
      </c>
      <c r="AO57" t="s">
        <v>56</v>
      </c>
      <c r="AP57">
        <v>160</v>
      </c>
      <c r="AQ57" t="s">
        <v>118</v>
      </c>
      <c r="AR57">
        <v>7.86</v>
      </c>
      <c r="AS57" t="s">
        <v>56</v>
      </c>
      <c r="AT57">
        <v>0.09</v>
      </c>
      <c r="AU57">
        <v>3010</v>
      </c>
      <c r="AV57" t="s">
        <v>56</v>
      </c>
      <c r="AW57">
        <v>4141</v>
      </c>
      <c r="AX57">
        <v>6.66</v>
      </c>
      <c r="AY57" t="s">
        <v>56</v>
      </c>
      <c r="AZ57">
        <v>0.19</v>
      </c>
      <c r="BB57">
        <f>LOG(AU57)</f>
        <v>3.4785664955938436</v>
      </c>
      <c r="BC57">
        <v>11.8</v>
      </c>
      <c r="BD57" t="s">
        <v>56</v>
      </c>
      <c r="BE57">
        <v>0.4</v>
      </c>
      <c r="BF57">
        <v>15.5</v>
      </c>
      <c r="BG57" t="s">
        <v>56</v>
      </c>
      <c r="BH57">
        <v>1.5</v>
      </c>
      <c r="BI57">
        <v>2281</v>
      </c>
      <c r="BJ57">
        <v>3.7</v>
      </c>
      <c r="BK57" t="s">
        <v>145</v>
      </c>
      <c r="BL57" t="s">
        <v>120</v>
      </c>
      <c r="BM57" t="s">
        <v>120</v>
      </c>
      <c r="BN57" t="s">
        <v>81</v>
      </c>
      <c r="BO57" t="s">
        <v>121</v>
      </c>
      <c r="BP57" t="s">
        <v>83</v>
      </c>
      <c r="BR57" t="s">
        <v>122</v>
      </c>
      <c r="BT57">
        <v>21.78</v>
      </c>
      <c r="BU57">
        <v>21.784231999999999</v>
      </c>
      <c r="BV57">
        <v>5.0829880000000003</v>
      </c>
      <c r="BW57">
        <f>BV57*SQRT(AK57)</f>
        <v>11.365906696815703</v>
      </c>
      <c r="BX57">
        <v>7.26</v>
      </c>
      <c r="BY57">
        <v>7.2614108000000002</v>
      </c>
      <c r="BZ57">
        <v>0</v>
      </c>
      <c r="CA57">
        <f>BZ57*SQRT(AL57)</f>
        <v>0</v>
      </c>
      <c r="CB57">
        <v>60</v>
      </c>
      <c r="CC57">
        <v>5</v>
      </c>
      <c r="CD57">
        <v>-1.099</v>
      </c>
      <c r="CE57">
        <v>5.4399999999999997E-2</v>
      </c>
    </row>
    <row r="58" spans="4:83" hidden="1" x14ac:dyDescent="0.2">
      <c r="D58">
        <v>6</v>
      </c>
      <c r="G58" t="s">
        <v>43</v>
      </c>
      <c r="H58" t="s">
        <v>115</v>
      </c>
      <c r="J58">
        <v>2011</v>
      </c>
      <c r="M58" t="s">
        <v>116</v>
      </c>
      <c r="T58" t="s">
        <v>68</v>
      </c>
      <c r="U58" t="s">
        <v>56</v>
      </c>
      <c r="V58" t="s">
        <v>146</v>
      </c>
      <c r="Z58" t="s">
        <v>49</v>
      </c>
      <c r="AA58" t="s">
        <v>49</v>
      </c>
      <c r="AB58" t="s">
        <v>50</v>
      </c>
      <c r="AC58" t="s">
        <v>117</v>
      </c>
      <c r="AD58" t="s">
        <v>52</v>
      </c>
      <c r="AE58" t="s">
        <v>53</v>
      </c>
      <c r="AF58" t="s">
        <v>52</v>
      </c>
      <c r="AG58" t="s">
        <v>54</v>
      </c>
      <c r="AH58" t="s">
        <v>55</v>
      </c>
      <c r="AK58">
        <v>5</v>
      </c>
      <c r="AL58">
        <v>5</v>
      </c>
      <c r="AM58" t="s">
        <v>123</v>
      </c>
      <c r="AN58">
        <v>729</v>
      </c>
      <c r="AO58" t="s">
        <v>56</v>
      </c>
      <c r="AP58">
        <v>160</v>
      </c>
      <c r="AQ58" t="s">
        <v>118</v>
      </c>
      <c r="AR58">
        <v>7.86</v>
      </c>
      <c r="AS58" t="s">
        <v>56</v>
      </c>
      <c r="AT58">
        <v>0.09</v>
      </c>
      <c r="AU58">
        <v>2269</v>
      </c>
      <c r="AV58" t="s">
        <v>56</v>
      </c>
      <c r="AW58">
        <v>3127</v>
      </c>
      <c r="AX58">
        <v>6.81</v>
      </c>
      <c r="AY58" t="s">
        <v>56</v>
      </c>
      <c r="AZ58">
        <v>0.23</v>
      </c>
      <c r="BB58">
        <f>LOG(AU58)</f>
        <v>3.355834495884936</v>
      </c>
      <c r="BC58">
        <v>11.8</v>
      </c>
      <c r="BD58" t="s">
        <v>56</v>
      </c>
      <c r="BE58">
        <v>0.4</v>
      </c>
      <c r="BF58">
        <v>11.5</v>
      </c>
      <c r="BG58" t="s">
        <v>56</v>
      </c>
      <c r="BH58">
        <v>0.4</v>
      </c>
      <c r="BI58">
        <v>1540</v>
      </c>
      <c r="BJ58">
        <v>-0.3</v>
      </c>
      <c r="BK58" t="s">
        <v>147</v>
      </c>
      <c r="BL58" t="s">
        <v>120</v>
      </c>
      <c r="BM58" t="s">
        <v>120</v>
      </c>
      <c r="BN58" t="s">
        <v>81</v>
      </c>
      <c r="BO58" t="s">
        <v>121</v>
      </c>
      <c r="BP58" t="s">
        <v>83</v>
      </c>
      <c r="BR58" t="s">
        <v>122</v>
      </c>
      <c r="BT58">
        <v>1.91</v>
      </c>
      <c r="BU58">
        <v>1.91344</v>
      </c>
      <c r="BV58">
        <v>2.8E-3</v>
      </c>
      <c r="BW58">
        <f>BV58*SQRT(AK58)</f>
        <v>6.2609903369994111E-3</v>
      </c>
      <c r="BX58">
        <v>0.73</v>
      </c>
      <c r="BY58">
        <v>0.72892939999999995</v>
      </c>
      <c r="BZ58">
        <v>0.01</v>
      </c>
      <c r="CA58">
        <f>BZ58*SQRT(AL58)</f>
        <v>2.2360679774997897E-2</v>
      </c>
      <c r="CB58">
        <v>60</v>
      </c>
      <c r="CC58">
        <v>5</v>
      </c>
      <c r="CD58">
        <v>-0.96499999999999997</v>
      </c>
      <c r="CE58">
        <v>1E-4</v>
      </c>
    </row>
    <row r="59" spans="4:83" hidden="1" x14ac:dyDescent="0.2">
      <c r="D59">
        <v>6</v>
      </c>
      <c r="G59" t="s">
        <v>43</v>
      </c>
      <c r="H59" t="s">
        <v>115</v>
      </c>
      <c r="J59">
        <v>2011</v>
      </c>
      <c r="M59" t="s">
        <v>116</v>
      </c>
      <c r="T59" t="s">
        <v>131</v>
      </c>
      <c r="U59" t="s">
        <v>143</v>
      </c>
      <c r="V59" t="s">
        <v>144</v>
      </c>
      <c r="Z59" t="s">
        <v>49</v>
      </c>
      <c r="AA59" t="s">
        <v>49</v>
      </c>
      <c r="AB59" t="s">
        <v>50</v>
      </c>
      <c r="AC59" t="s">
        <v>117</v>
      </c>
      <c r="AD59" t="s">
        <v>52</v>
      </c>
      <c r="AE59" t="s">
        <v>134</v>
      </c>
      <c r="AF59" t="s">
        <v>52</v>
      </c>
      <c r="AG59" t="s">
        <v>54</v>
      </c>
      <c r="AH59" t="s">
        <v>55</v>
      </c>
      <c r="AK59">
        <v>5</v>
      </c>
      <c r="AL59">
        <v>5</v>
      </c>
      <c r="AM59" t="s">
        <v>123</v>
      </c>
      <c r="AN59">
        <v>729</v>
      </c>
      <c r="AO59" t="s">
        <v>56</v>
      </c>
      <c r="AP59">
        <v>160</v>
      </c>
      <c r="AQ59" t="s">
        <v>118</v>
      </c>
      <c r="AR59">
        <v>7.86</v>
      </c>
      <c r="AS59" t="s">
        <v>56</v>
      </c>
      <c r="AT59">
        <v>0.09</v>
      </c>
      <c r="AU59">
        <v>2269</v>
      </c>
      <c r="AV59" t="s">
        <v>56</v>
      </c>
      <c r="AW59">
        <v>3127</v>
      </c>
      <c r="AX59">
        <v>6.81</v>
      </c>
      <c r="AY59" t="s">
        <v>56</v>
      </c>
      <c r="AZ59">
        <v>0.23</v>
      </c>
      <c r="BB59">
        <f>LOG(AU59)</f>
        <v>3.355834495884936</v>
      </c>
      <c r="BC59">
        <v>11.8</v>
      </c>
      <c r="BD59" t="s">
        <v>56</v>
      </c>
      <c r="BE59">
        <v>0.4</v>
      </c>
      <c r="BF59">
        <v>11.5</v>
      </c>
      <c r="BG59" t="s">
        <v>56</v>
      </c>
      <c r="BH59">
        <v>0.4</v>
      </c>
      <c r="BI59">
        <v>1540</v>
      </c>
      <c r="BJ59">
        <v>-0.3</v>
      </c>
      <c r="BK59" t="s">
        <v>145</v>
      </c>
      <c r="BL59" t="s">
        <v>120</v>
      </c>
      <c r="BM59" t="s">
        <v>120</v>
      </c>
      <c r="BN59" t="s">
        <v>81</v>
      </c>
      <c r="BO59" t="s">
        <v>121</v>
      </c>
      <c r="BP59" t="s">
        <v>83</v>
      </c>
      <c r="BR59" t="s">
        <v>122</v>
      </c>
      <c r="BT59">
        <v>21.78</v>
      </c>
      <c r="BU59">
        <v>21.784231999999999</v>
      </c>
      <c r="BV59">
        <v>5.0829880000000003</v>
      </c>
      <c r="BW59">
        <f>BV59*SQRT(AK59)</f>
        <v>11.365906696815703</v>
      </c>
      <c r="BX59">
        <v>8.7100000000000009</v>
      </c>
      <c r="BY59">
        <v>8.7136928999999999</v>
      </c>
      <c r="BZ59">
        <v>0</v>
      </c>
      <c r="CA59">
        <f>BZ59*SQRT(AL59)</f>
        <v>0</v>
      </c>
      <c r="CB59">
        <v>60</v>
      </c>
      <c r="CC59">
        <v>5</v>
      </c>
      <c r="CD59">
        <v>-0.91600000000000004</v>
      </c>
      <c r="CE59">
        <v>5.4399999999999997E-2</v>
      </c>
    </row>
    <row r="60" spans="4:83" hidden="1" x14ac:dyDescent="0.2">
      <c r="D60">
        <v>6</v>
      </c>
      <c r="G60" t="s">
        <v>43</v>
      </c>
      <c r="H60" t="s">
        <v>115</v>
      </c>
      <c r="J60">
        <v>2011</v>
      </c>
      <c r="M60" t="s">
        <v>116</v>
      </c>
      <c r="T60" t="s">
        <v>131</v>
      </c>
      <c r="U60" t="s">
        <v>132</v>
      </c>
      <c r="V60" t="s">
        <v>133</v>
      </c>
      <c r="Z60" t="s">
        <v>49</v>
      </c>
      <c r="AA60" t="s">
        <v>49</v>
      </c>
      <c r="AB60" t="s">
        <v>50</v>
      </c>
      <c r="AC60" t="s">
        <v>117</v>
      </c>
      <c r="AD60" t="s">
        <v>52</v>
      </c>
      <c r="AE60" t="s">
        <v>134</v>
      </c>
      <c r="AF60" t="s">
        <v>54</v>
      </c>
      <c r="AG60" t="s">
        <v>52</v>
      </c>
      <c r="AH60" t="s">
        <v>65</v>
      </c>
      <c r="AK60">
        <v>5</v>
      </c>
      <c r="AL60">
        <v>5</v>
      </c>
      <c r="AM60" t="s">
        <v>123</v>
      </c>
      <c r="AN60">
        <v>729</v>
      </c>
      <c r="AO60" t="s">
        <v>56</v>
      </c>
      <c r="AP60">
        <v>160</v>
      </c>
      <c r="AQ60" t="s">
        <v>118</v>
      </c>
      <c r="AR60">
        <v>7.86</v>
      </c>
      <c r="AS60" t="s">
        <v>56</v>
      </c>
      <c r="AT60">
        <v>0.09</v>
      </c>
      <c r="AU60">
        <v>822</v>
      </c>
      <c r="AV60" t="s">
        <v>56</v>
      </c>
      <c r="AW60">
        <v>743</v>
      </c>
      <c r="AX60">
        <v>7.85</v>
      </c>
      <c r="AY60" t="s">
        <v>56</v>
      </c>
      <c r="AZ60">
        <v>0.13</v>
      </c>
      <c r="BB60">
        <f>LOG(AU60)</f>
        <v>2.9148718175400505</v>
      </c>
      <c r="BC60">
        <v>11.8</v>
      </c>
      <c r="BD60" t="s">
        <v>56</v>
      </c>
      <c r="BE60">
        <v>0.4</v>
      </c>
      <c r="BF60">
        <v>16</v>
      </c>
      <c r="BG60" t="s">
        <v>56</v>
      </c>
      <c r="BH60">
        <v>0.4</v>
      </c>
      <c r="BI60">
        <v>93</v>
      </c>
      <c r="BJ60">
        <v>4.3</v>
      </c>
      <c r="BK60" t="s">
        <v>135</v>
      </c>
      <c r="BL60" t="s">
        <v>120</v>
      </c>
      <c r="BM60" t="s">
        <v>120</v>
      </c>
      <c r="BN60" t="s">
        <v>81</v>
      </c>
      <c r="BO60" t="s">
        <v>121</v>
      </c>
      <c r="BP60" t="s">
        <v>83</v>
      </c>
      <c r="BR60" t="s">
        <v>122</v>
      </c>
      <c r="BT60">
        <v>36.369999999999997</v>
      </c>
      <c r="BU60">
        <v>36.367815999999998</v>
      </c>
      <c r="BV60">
        <v>24.459769999999999</v>
      </c>
      <c r="BW60">
        <f>BV60*SQRT(AK60)</f>
        <v>54.693708434010034</v>
      </c>
      <c r="BX60">
        <v>15.13</v>
      </c>
      <c r="BY60">
        <v>15.1264368</v>
      </c>
      <c r="BZ60">
        <v>21.24</v>
      </c>
      <c r="CA60">
        <f>BZ60*SQRT(AL60)</f>
        <v>47.494083842095534</v>
      </c>
      <c r="CB60">
        <v>60</v>
      </c>
      <c r="CC60">
        <v>5</v>
      </c>
      <c r="CD60">
        <v>-0.877</v>
      </c>
      <c r="CE60">
        <v>2.4243000000000001</v>
      </c>
    </row>
    <row r="61" spans="4:83" hidden="1" x14ac:dyDescent="0.2">
      <c r="D61">
        <v>6</v>
      </c>
      <c r="G61" t="s">
        <v>114</v>
      </c>
      <c r="H61" t="s">
        <v>115</v>
      </c>
      <c r="J61">
        <v>2011</v>
      </c>
      <c r="M61" t="s">
        <v>116</v>
      </c>
      <c r="T61" t="s">
        <v>136</v>
      </c>
      <c r="U61" t="s">
        <v>56</v>
      </c>
      <c r="V61" t="s">
        <v>56</v>
      </c>
      <c r="Z61" t="s">
        <v>49</v>
      </c>
      <c r="AA61" t="s">
        <v>49</v>
      </c>
      <c r="AB61" t="s">
        <v>50</v>
      </c>
      <c r="AC61" t="s">
        <v>117</v>
      </c>
      <c r="AD61" t="s">
        <v>52</v>
      </c>
      <c r="AE61" t="s">
        <v>53</v>
      </c>
      <c r="AF61" t="s">
        <v>52</v>
      </c>
      <c r="AG61" t="s">
        <v>52</v>
      </c>
      <c r="AH61" t="s">
        <v>64</v>
      </c>
      <c r="AK61">
        <v>5</v>
      </c>
      <c r="AL61">
        <v>5</v>
      </c>
      <c r="AM61" t="s">
        <v>150</v>
      </c>
      <c r="AN61">
        <v>729</v>
      </c>
      <c r="AO61" t="s">
        <v>56</v>
      </c>
      <c r="AP61">
        <v>160</v>
      </c>
      <c r="AQ61" t="s">
        <v>118</v>
      </c>
      <c r="AR61">
        <v>7.86</v>
      </c>
      <c r="AS61" t="s">
        <v>56</v>
      </c>
      <c r="AT61">
        <v>0.09</v>
      </c>
      <c r="AU61">
        <v>2612</v>
      </c>
      <c r="AV61" t="s">
        <v>56</v>
      </c>
      <c r="AW61">
        <v>547</v>
      </c>
      <c r="AX61">
        <v>7.37</v>
      </c>
      <c r="AY61" t="s">
        <v>56</v>
      </c>
      <c r="AZ61">
        <v>0.1</v>
      </c>
      <c r="BB61">
        <f>LOG(AU61)</f>
        <v>3.4169731726030363</v>
      </c>
      <c r="BC61">
        <v>11.8</v>
      </c>
      <c r="BD61" t="s">
        <v>56</v>
      </c>
      <c r="BE61">
        <v>0.4</v>
      </c>
      <c r="BF61">
        <v>15.8</v>
      </c>
      <c r="BG61" t="s">
        <v>56</v>
      </c>
      <c r="BH61">
        <v>0.3</v>
      </c>
      <c r="BI61">
        <v>1882</v>
      </c>
      <c r="BJ61">
        <v>4</v>
      </c>
      <c r="BK61" t="s">
        <v>148</v>
      </c>
      <c r="BL61" t="s">
        <v>148</v>
      </c>
      <c r="BM61" t="s">
        <v>149</v>
      </c>
      <c r="BN61" t="s">
        <v>81</v>
      </c>
      <c r="BO61" t="s">
        <v>56</v>
      </c>
      <c r="BP61" t="s">
        <v>127</v>
      </c>
      <c r="BR61" t="s">
        <v>122</v>
      </c>
      <c r="BT61">
        <v>0.81</v>
      </c>
      <c r="BU61">
        <v>0.80974500000000005</v>
      </c>
      <c r="BV61">
        <v>0.04</v>
      </c>
      <c r="BW61">
        <f>BV61*SQRT(AK61)</f>
        <v>8.9442719099991588E-2</v>
      </c>
      <c r="BX61">
        <v>0.39</v>
      </c>
      <c r="BY61">
        <v>0.38515080000000002</v>
      </c>
      <c r="BZ61">
        <v>0.18</v>
      </c>
      <c r="CA61">
        <f>BZ61*SQRT(AL61)</f>
        <v>0.40249223594996214</v>
      </c>
      <c r="CB61">
        <v>60</v>
      </c>
      <c r="CC61">
        <v>5</v>
      </c>
      <c r="CD61">
        <v>-0.74299999999999999</v>
      </c>
      <c r="CE61">
        <v>0.21260000000000001</v>
      </c>
    </row>
    <row r="62" spans="4:83" hidden="1" x14ac:dyDescent="0.2">
      <c r="D62">
        <v>6</v>
      </c>
      <c r="G62" t="s">
        <v>43</v>
      </c>
      <c r="H62" t="s">
        <v>115</v>
      </c>
      <c r="J62">
        <v>2011</v>
      </c>
      <c r="M62" t="s">
        <v>116</v>
      </c>
      <c r="T62" t="s">
        <v>151</v>
      </c>
      <c r="U62" t="s">
        <v>152</v>
      </c>
      <c r="V62" t="s">
        <v>153</v>
      </c>
      <c r="Z62" t="s">
        <v>49</v>
      </c>
      <c r="AA62" t="s">
        <v>49</v>
      </c>
      <c r="AB62" t="s">
        <v>50</v>
      </c>
      <c r="AC62" t="s">
        <v>117</v>
      </c>
      <c r="AD62" t="s">
        <v>52</v>
      </c>
      <c r="AE62" t="s">
        <v>56</v>
      </c>
      <c r="AF62" t="s">
        <v>52</v>
      </c>
      <c r="AG62" t="s">
        <v>52</v>
      </c>
      <c r="AH62" t="s">
        <v>64</v>
      </c>
      <c r="AK62">
        <v>5</v>
      </c>
      <c r="AL62">
        <v>5</v>
      </c>
      <c r="AM62" t="s">
        <v>123</v>
      </c>
      <c r="AN62">
        <v>729</v>
      </c>
      <c r="AO62" t="s">
        <v>56</v>
      </c>
      <c r="AP62">
        <v>160</v>
      </c>
      <c r="AQ62" t="s">
        <v>118</v>
      </c>
      <c r="AR62">
        <v>7.86</v>
      </c>
      <c r="AS62" t="s">
        <v>56</v>
      </c>
      <c r="AT62">
        <v>0.09</v>
      </c>
      <c r="AU62">
        <v>3010</v>
      </c>
      <c r="AV62" t="s">
        <v>56</v>
      </c>
      <c r="AW62">
        <v>4141</v>
      </c>
      <c r="AX62">
        <v>6.66</v>
      </c>
      <c r="AY62" t="s">
        <v>56</v>
      </c>
      <c r="AZ62">
        <v>0.19</v>
      </c>
      <c r="BB62">
        <f>LOG(AU62)</f>
        <v>3.4785664955938436</v>
      </c>
      <c r="BC62">
        <v>11.8</v>
      </c>
      <c r="BD62" t="s">
        <v>56</v>
      </c>
      <c r="BE62">
        <v>0.4</v>
      </c>
      <c r="BF62">
        <v>15.5</v>
      </c>
      <c r="BG62" t="s">
        <v>56</v>
      </c>
      <c r="BH62">
        <v>1.5</v>
      </c>
      <c r="BI62">
        <v>2281</v>
      </c>
      <c r="BJ62">
        <v>3.7</v>
      </c>
      <c r="BK62" t="s">
        <v>56</v>
      </c>
      <c r="BL62" t="s">
        <v>154</v>
      </c>
      <c r="BM62" t="s">
        <v>154</v>
      </c>
      <c r="BN62" t="s">
        <v>81</v>
      </c>
      <c r="BO62" t="s">
        <v>121</v>
      </c>
      <c r="BP62" t="s">
        <v>127</v>
      </c>
      <c r="BR62" t="s">
        <v>122</v>
      </c>
      <c r="BT62">
        <v>37.6</v>
      </c>
      <c r="BU62">
        <v>37.596567</v>
      </c>
      <c r="BV62">
        <v>3.2188840000000001</v>
      </c>
      <c r="BW62">
        <f>BV62*SQRT(AK62)</f>
        <v>7.1976434356864338</v>
      </c>
      <c r="BX62">
        <v>18.54</v>
      </c>
      <c r="BY62">
        <v>18.540772499999999</v>
      </c>
      <c r="BZ62">
        <v>0</v>
      </c>
      <c r="CA62">
        <f>BZ62*SQRT(AL62)</f>
        <v>0</v>
      </c>
      <c r="CB62">
        <v>60</v>
      </c>
      <c r="CC62">
        <v>5</v>
      </c>
      <c r="CD62">
        <v>-0.70699999999999996</v>
      </c>
      <c r="CE62">
        <v>7.3000000000000001E-3</v>
      </c>
    </row>
    <row r="63" spans="4:83" hidden="1" x14ac:dyDescent="0.2">
      <c r="D63">
        <v>6</v>
      </c>
      <c r="G63" t="s">
        <v>43</v>
      </c>
      <c r="H63" t="s">
        <v>115</v>
      </c>
      <c r="J63">
        <v>2011</v>
      </c>
      <c r="M63" t="s">
        <v>116</v>
      </c>
      <c r="T63" t="s">
        <v>151</v>
      </c>
      <c r="U63" t="s">
        <v>152</v>
      </c>
      <c r="V63" t="s">
        <v>153</v>
      </c>
      <c r="Z63" t="s">
        <v>49</v>
      </c>
      <c r="AA63" t="s">
        <v>49</v>
      </c>
      <c r="AB63" t="s">
        <v>50</v>
      </c>
      <c r="AC63" t="s">
        <v>117</v>
      </c>
      <c r="AD63" t="s">
        <v>52</v>
      </c>
      <c r="AE63" t="s">
        <v>56</v>
      </c>
      <c r="AF63" t="s">
        <v>52</v>
      </c>
      <c r="AG63" t="s">
        <v>54</v>
      </c>
      <c r="AH63" t="s">
        <v>55</v>
      </c>
      <c r="AK63">
        <v>5</v>
      </c>
      <c r="AL63">
        <v>5</v>
      </c>
      <c r="AM63" t="s">
        <v>123</v>
      </c>
      <c r="AN63">
        <v>729</v>
      </c>
      <c r="AO63" t="s">
        <v>56</v>
      </c>
      <c r="AP63">
        <v>160</v>
      </c>
      <c r="AQ63" t="s">
        <v>118</v>
      </c>
      <c r="AR63">
        <v>7.86</v>
      </c>
      <c r="AS63" t="s">
        <v>56</v>
      </c>
      <c r="AT63">
        <v>0.09</v>
      </c>
      <c r="AU63">
        <v>2269</v>
      </c>
      <c r="AV63" t="s">
        <v>56</v>
      </c>
      <c r="AW63">
        <v>3127</v>
      </c>
      <c r="AX63">
        <v>6.81</v>
      </c>
      <c r="AY63" t="s">
        <v>56</v>
      </c>
      <c r="AZ63">
        <v>0.23</v>
      </c>
      <c r="BB63">
        <f>LOG(AU63)</f>
        <v>3.355834495884936</v>
      </c>
      <c r="BC63">
        <v>11.8</v>
      </c>
      <c r="BD63" t="s">
        <v>56</v>
      </c>
      <c r="BE63">
        <v>0.4</v>
      </c>
      <c r="BF63">
        <v>11.5</v>
      </c>
      <c r="BG63" t="s">
        <v>56</v>
      </c>
      <c r="BH63">
        <v>0.4</v>
      </c>
      <c r="BI63">
        <v>1540</v>
      </c>
      <c r="BJ63">
        <v>-0.3</v>
      </c>
      <c r="BK63" t="s">
        <v>56</v>
      </c>
      <c r="BL63" t="s">
        <v>149</v>
      </c>
      <c r="BM63" t="s">
        <v>149</v>
      </c>
      <c r="BN63" t="s">
        <v>81</v>
      </c>
      <c r="BO63" t="s">
        <v>56</v>
      </c>
      <c r="BP63" t="s">
        <v>127</v>
      </c>
      <c r="BR63" t="s">
        <v>122</v>
      </c>
      <c r="BT63">
        <v>0.76</v>
      </c>
      <c r="BU63">
        <v>0.75955099999999998</v>
      </c>
      <c r="BV63">
        <v>8.5392999999999997E-2</v>
      </c>
      <c r="BW63">
        <f>BV63*SQRT(AK63)</f>
        <v>0.19094455280263956</v>
      </c>
      <c r="BX63">
        <v>0.38</v>
      </c>
      <c r="BY63">
        <v>0.38426969999999999</v>
      </c>
      <c r="BZ63">
        <v>0.16</v>
      </c>
      <c r="CA63">
        <f>BZ63*SQRT(AL63)</f>
        <v>0.35777087639996635</v>
      </c>
      <c r="CB63">
        <v>60</v>
      </c>
      <c r="CC63">
        <v>5</v>
      </c>
      <c r="CD63">
        <v>-0.68100000000000005</v>
      </c>
      <c r="CE63">
        <v>0.17549999999999999</v>
      </c>
    </row>
    <row r="64" spans="4:83" hidden="1" x14ac:dyDescent="0.2">
      <c r="D64">
        <v>6</v>
      </c>
      <c r="G64" t="s">
        <v>43</v>
      </c>
      <c r="H64" t="s">
        <v>115</v>
      </c>
      <c r="J64">
        <v>2011</v>
      </c>
      <c r="M64" t="s">
        <v>116</v>
      </c>
      <c r="T64" t="s">
        <v>151</v>
      </c>
      <c r="U64" t="s">
        <v>152</v>
      </c>
      <c r="V64" t="s">
        <v>153</v>
      </c>
      <c r="Z64" t="s">
        <v>49</v>
      </c>
      <c r="AA64" t="s">
        <v>49</v>
      </c>
      <c r="AB64" t="s">
        <v>50</v>
      </c>
      <c r="AC64" t="s">
        <v>117</v>
      </c>
      <c r="AD64" t="s">
        <v>52</v>
      </c>
      <c r="AE64" t="s">
        <v>56</v>
      </c>
      <c r="AF64" t="s">
        <v>52</v>
      </c>
      <c r="AG64" t="s">
        <v>52</v>
      </c>
      <c r="AH64" t="s">
        <v>64</v>
      </c>
      <c r="AK64">
        <v>5</v>
      </c>
      <c r="AL64">
        <v>5</v>
      </c>
      <c r="AM64" t="s">
        <v>123</v>
      </c>
      <c r="AN64">
        <v>729</v>
      </c>
      <c r="AO64" t="s">
        <v>56</v>
      </c>
      <c r="AP64">
        <v>160</v>
      </c>
      <c r="AQ64" t="s">
        <v>118</v>
      </c>
      <c r="AR64">
        <v>7.86</v>
      </c>
      <c r="AS64" t="s">
        <v>56</v>
      </c>
      <c r="AT64">
        <v>0.09</v>
      </c>
      <c r="AU64">
        <v>3010</v>
      </c>
      <c r="AV64" t="s">
        <v>56</v>
      </c>
      <c r="AW64">
        <v>4141</v>
      </c>
      <c r="AX64">
        <v>6.66</v>
      </c>
      <c r="AY64" t="s">
        <v>56</v>
      </c>
      <c r="AZ64">
        <v>0.19</v>
      </c>
      <c r="BB64">
        <f>LOG(AU64)</f>
        <v>3.4785664955938436</v>
      </c>
      <c r="BC64">
        <v>11.8</v>
      </c>
      <c r="BD64" t="s">
        <v>56</v>
      </c>
      <c r="BE64">
        <v>0.4</v>
      </c>
      <c r="BF64">
        <v>15.5</v>
      </c>
      <c r="BG64" t="s">
        <v>56</v>
      </c>
      <c r="BH64">
        <v>1.5</v>
      </c>
      <c r="BI64">
        <v>2281</v>
      </c>
      <c r="BJ64">
        <v>3.7</v>
      </c>
      <c r="BK64" t="s">
        <v>56</v>
      </c>
      <c r="BL64" t="s">
        <v>149</v>
      </c>
      <c r="BM64" t="s">
        <v>149</v>
      </c>
      <c r="BN64" t="s">
        <v>81</v>
      </c>
      <c r="BO64" t="s">
        <v>56</v>
      </c>
      <c r="BP64" t="s">
        <v>127</v>
      </c>
      <c r="BR64" t="s">
        <v>122</v>
      </c>
      <c r="BT64">
        <v>0.76</v>
      </c>
      <c r="BU64">
        <v>0.75955099999999998</v>
      </c>
      <c r="BV64">
        <v>8.5392999999999997E-2</v>
      </c>
      <c r="BW64">
        <f>BV64*SQRT(AK64)</f>
        <v>0.19094455280263956</v>
      </c>
      <c r="BX64">
        <v>0.43</v>
      </c>
      <c r="BY64">
        <v>0.42921350000000003</v>
      </c>
      <c r="BZ64">
        <v>0.09</v>
      </c>
      <c r="CA64">
        <f>BZ64*SQRT(AL64)</f>
        <v>0.20124611797498107</v>
      </c>
      <c r="CB64">
        <v>60</v>
      </c>
      <c r="CC64">
        <v>5</v>
      </c>
      <c r="CD64">
        <v>-0.57099999999999995</v>
      </c>
      <c r="CE64">
        <v>5.6500000000000002E-2</v>
      </c>
    </row>
    <row r="65" spans="4:83" hidden="1" x14ac:dyDescent="0.2">
      <c r="D65">
        <v>6</v>
      </c>
      <c r="G65" t="s">
        <v>43</v>
      </c>
      <c r="H65" t="s">
        <v>115</v>
      </c>
      <c r="J65">
        <v>2011</v>
      </c>
      <c r="M65" t="s">
        <v>116</v>
      </c>
      <c r="T65" t="s">
        <v>68</v>
      </c>
      <c r="U65" t="s">
        <v>56</v>
      </c>
      <c r="V65" t="s">
        <v>56</v>
      </c>
      <c r="Z65" t="s">
        <v>49</v>
      </c>
      <c r="AA65" t="s">
        <v>49</v>
      </c>
      <c r="AB65" t="s">
        <v>50</v>
      </c>
      <c r="AC65" t="s">
        <v>117</v>
      </c>
      <c r="AD65" t="s">
        <v>52</v>
      </c>
      <c r="AE65" t="s">
        <v>53</v>
      </c>
      <c r="AF65" t="s">
        <v>52</v>
      </c>
      <c r="AG65" t="s">
        <v>54</v>
      </c>
      <c r="AH65" t="s">
        <v>55</v>
      </c>
      <c r="AK65">
        <v>5</v>
      </c>
      <c r="AL65">
        <v>5</v>
      </c>
      <c r="AM65" t="s">
        <v>123</v>
      </c>
      <c r="AN65">
        <v>729</v>
      </c>
      <c r="AO65" t="s">
        <v>56</v>
      </c>
      <c r="AP65">
        <v>160</v>
      </c>
      <c r="AQ65" t="s">
        <v>118</v>
      </c>
      <c r="AR65">
        <v>7.86</v>
      </c>
      <c r="AS65" t="s">
        <v>56</v>
      </c>
      <c r="AT65">
        <v>0.09</v>
      </c>
      <c r="AU65">
        <v>2729</v>
      </c>
      <c r="AV65" t="s">
        <v>56</v>
      </c>
      <c r="AW65">
        <v>499</v>
      </c>
      <c r="AX65">
        <v>7.35</v>
      </c>
      <c r="AY65" t="s">
        <v>56</v>
      </c>
      <c r="AZ65">
        <v>7.0000000000000007E-2</v>
      </c>
      <c r="BB65">
        <f>LOG(AU65)</f>
        <v>3.4360035356698964</v>
      </c>
      <c r="BC65">
        <v>11.8</v>
      </c>
      <c r="BD65" t="s">
        <v>56</v>
      </c>
      <c r="BE65">
        <v>0.4</v>
      </c>
      <c r="BF65">
        <v>11.7</v>
      </c>
      <c r="BG65" t="s">
        <v>56</v>
      </c>
      <c r="BH65">
        <v>0.4</v>
      </c>
      <c r="BI65">
        <v>2000</v>
      </c>
      <c r="BJ65">
        <v>-0.1</v>
      </c>
      <c r="BK65" t="s">
        <v>130</v>
      </c>
      <c r="BL65" t="s">
        <v>120</v>
      </c>
      <c r="BM65" t="s">
        <v>120</v>
      </c>
      <c r="BN65" t="s">
        <v>81</v>
      </c>
      <c r="BO65" t="s">
        <v>121</v>
      </c>
      <c r="BP65" t="s">
        <v>83</v>
      </c>
      <c r="BR65" t="s">
        <v>122</v>
      </c>
      <c r="BT65">
        <v>35.020000000000003</v>
      </c>
      <c r="BU65">
        <v>35.022025999999997</v>
      </c>
      <c r="BV65">
        <v>7.9295150000000003</v>
      </c>
      <c r="BW65">
        <f>BV65*SQRT(AK65)</f>
        <v>17.730934568604248</v>
      </c>
      <c r="BX65">
        <v>19.82</v>
      </c>
      <c r="BY65">
        <v>19.823788499999999</v>
      </c>
      <c r="BZ65">
        <v>9.25</v>
      </c>
      <c r="CA65">
        <f>BZ65*SQRT(AL65)</f>
        <v>20.683628791873055</v>
      </c>
      <c r="CB65">
        <v>60</v>
      </c>
      <c r="CC65">
        <v>5</v>
      </c>
      <c r="CD65">
        <v>-0.56899999999999995</v>
      </c>
      <c r="CE65">
        <v>0.26900000000000002</v>
      </c>
    </row>
    <row r="66" spans="4:83" hidden="1" x14ac:dyDescent="0.2">
      <c r="D66">
        <v>6</v>
      </c>
      <c r="G66" t="s">
        <v>43</v>
      </c>
      <c r="H66" t="s">
        <v>115</v>
      </c>
      <c r="J66">
        <v>2011</v>
      </c>
      <c r="M66" t="s">
        <v>116</v>
      </c>
      <c r="T66" t="s">
        <v>131</v>
      </c>
      <c r="U66" t="s">
        <v>56</v>
      </c>
      <c r="V66" t="s">
        <v>56</v>
      </c>
      <c r="Z66" t="s">
        <v>49</v>
      </c>
      <c r="AA66" t="s">
        <v>49</v>
      </c>
      <c r="AB66" t="s">
        <v>50</v>
      </c>
      <c r="AC66" t="s">
        <v>117</v>
      </c>
      <c r="AD66" t="s">
        <v>52</v>
      </c>
      <c r="AE66" t="s">
        <v>53</v>
      </c>
      <c r="AF66" t="s">
        <v>52</v>
      </c>
      <c r="AG66" t="s">
        <v>54</v>
      </c>
      <c r="AH66" t="s">
        <v>55</v>
      </c>
      <c r="AK66">
        <v>5</v>
      </c>
      <c r="AL66">
        <v>5</v>
      </c>
      <c r="AM66" t="s">
        <v>123</v>
      </c>
      <c r="AN66">
        <v>729</v>
      </c>
      <c r="AO66" t="s">
        <v>56</v>
      </c>
      <c r="AP66">
        <v>160</v>
      </c>
      <c r="AQ66" t="s">
        <v>118</v>
      </c>
      <c r="AR66">
        <v>7.86</v>
      </c>
      <c r="AS66" t="s">
        <v>56</v>
      </c>
      <c r="AT66">
        <v>0.09</v>
      </c>
      <c r="AU66">
        <v>2269</v>
      </c>
      <c r="AV66" t="s">
        <v>56</v>
      </c>
      <c r="AW66">
        <v>3127</v>
      </c>
      <c r="AX66">
        <v>6.81</v>
      </c>
      <c r="AY66" t="s">
        <v>56</v>
      </c>
      <c r="AZ66">
        <v>0.23</v>
      </c>
      <c r="BB66">
        <f>LOG(AU66)</f>
        <v>3.355834495884936</v>
      </c>
      <c r="BC66">
        <v>11.8</v>
      </c>
      <c r="BD66" t="s">
        <v>56</v>
      </c>
      <c r="BE66">
        <v>0.4</v>
      </c>
      <c r="BF66">
        <v>11.5</v>
      </c>
      <c r="BG66" t="s">
        <v>56</v>
      </c>
      <c r="BH66">
        <v>0.4</v>
      </c>
      <c r="BI66">
        <v>1540</v>
      </c>
      <c r="BJ66">
        <v>-0.3</v>
      </c>
      <c r="BK66" t="s">
        <v>141</v>
      </c>
      <c r="BL66" t="s">
        <v>120</v>
      </c>
      <c r="BM66" t="s">
        <v>120</v>
      </c>
      <c r="BN66" t="s">
        <v>81</v>
      </c>
      <c r="BO66" t="s">
        <v>121</v>
      </c>
      <c r="BP66" t="s">
        <v>83</v>
      </c>
      <c r="BR66" t="s">
        <v>122</v>
      </c>
      <c r="BT66">
        <v>182.17</v>
      </c>
      <c r="BU66">
        <v>182.16867500000001</v>
      </c>
      <c r="BV66">
        <v>63.614457999999999</v>
      </c>
      <c r="BW66">
        <f>BV66*SQRT(AK66)</f>
        <v>142.24625243980532</v>
      </c>
      <c r="BX66">
        <v>103.13</v>
      </c>
      <c r="BY66">
        <v>103.1325301</v>
      </c>
      <c r="BZ66">
        <v>141.69</v>
      </c>
      <c r="CA66">
        <f>BZ66*SQRT(AL66)</f>
        <v>316.82847173194523</v>
      </c>
      <c r="CB66">
        <v>60</v>
      </c>
      <c r="CC66">
        <v>5</v>
      </c>
      <c r="CD66">
        <v>-0.56899999999999995</v>
      </c>
      <c r="CE66">
        <v>2.0093999999999999</v>
      </c>
    </row>
    <row r="67" spans="4:83" hidden="1" x14ac:dyDescent="0.2">
      <c r="D67">
        <v>6</v>
      </c>
      <c r="G67" t="s">
        <v>43</v>
      </c>
      <c r="H67" t="s">
        <v>115</v>
      </c>
      <c r="J67">
        <v>2011</v>
      </c>
      <c r="M67" t="s">
        <v>116</v>
      </c>
      <c r="T67" t="s">
        <v>68</v>
      </c>
      <c r="U67" t="s">
        <v>56</v>
      </c>
      <c r="V67" t="s">
        <v>146</v>
      </c>
      <c r="Z67" t="s">
        <v>49</v>
      </c>
      <c r="AA67" t="s">
        <v>49</v>
      </c>
      <c r="AB67" t="s">
        <v>50</v>
      </c>
      <c r="AC67" t="s">
        <v>117</v>
      </c>
      <c r="AD67" t="s">
        <v>52</v>
      </c>
      <c r="AE67" t="s">
        <v>53</v>
      </c>
      <c r="AF67" t="s">
        <v>52</v>
      </c>
      <c r="AG67" t="s">
        <v>52</v>
      </c>
      <c r="AH67" t="s">
        <v>64</v>
      </c>
      <c r="AK67">
        <v>5</v>
      </c>
      <c r="AL67">
        <v>5</v>
      </c>
      <c r="AM67" t="s">
        <v>123</v>
      </c>
      <c r="AN67">
        <v>729</v>
      </c>
      <c r="AO67" t="s">
        <v>56</v>
      </c>
      <c r="AP67">
        <v>160</v>
      </c>
      <c r="AQ67" t="s">
        <v>118</v>
      </c>
      <c r="AR67">
        <v>7.86</v>
      </c>
      <c r="AS67" t="s">
        <v>56</v>
      </c>
      <c r="AT67">
        <v>0.09</v>
      </c>
      <c r="AU67">
        <v>3010</v>
      </c>
      <c r="AV67" t="s">
        <v>56</v>
      </c>
      <c r="AW67">
        <v>4141</v>
      </c>
      <c r="AX67">
        <v>6.66</v>
      </c>
      <c r="AY67" t="s">
        <v>56</v>
      </c>
      <c r="AZ67">
        <v>0.19</v>
      </c>
      <c r="BB67">
        <f>LOG(AU67)</f>
        <v>3.4785664955938436</v>
      </c>
      <c r="BC67">
        <v>11.8</v>
      </c>
      <c r="BD67" t="s">
        <v>56</v>
      </c>
      <c r="BE67">
        <v>0.4</v>
      </c>
      <c r="BF67">
        <v>15.5</v>
      </c>
      <c r="BG67" t="s">
        <v>56</v>
      </c>
      <c r="BH67">
        <v>1.5</v>
      </c>
      <c r="BI67">
        <v>2281</v>
      </c>
      <c r="BJ67">
        <v>3.7</v>
      </c>
      <c r="BK67" t="s">
        <v>147</v>
      </c>
      <c r="BL67" t="s">
        <v>120</v>
      </c>
      <c r="BM67" t="s">
        <v>120</v>
      </c>
      <c r="BN67" t="s">
        <v>81</v>
      </c>
      <c r="BO67" t="s">
        <v>121</v>
      </c>
      <c r="BP67" t="s">
        <v>83</v>
      </c>
      <c r="BR67" t="s">
        <v>122</v>
      </c>
      <c r="BT67">
        <v>1.91</v>
      </c>
      <c r="BU67">
        <v>1.91344</v>
      </c>
      <c r="BV67">
        <v>2.8E-3</v>
      </c>
      <c r="BW67">
        <f>BV67*SQRT(AK67)</f>
        <v>6.2609903369994111E-3</v>
      </c>
      <c r="BX67">
        <v>1.0900000000000001</v>
      </c>
      <c r="BY67">
        <v>1.0933941</v>
      </c>
      <c r="BZ67">
        <v>0.01</v>
      </c>
      <c r="CA67">
        <f>BZ67*SQRT(AL67)</f>
        <v>2.2360679774997897E-2</v>
      </c>
      <c r="CB67">
        <v>60</v>
      </c>
      <c r="CC67">
        <v>5</v>
      </c>
      <c r="CD67">
        <v>-0.56000000000000005</v>
      </c>
      <c r="CE67">
        <v>1E-4</v>
      </c>
    </row>
    <row r="68" spans="4:83" hidden="1" x14ac:dyDescent="0.2">
      <c r="D68">
        <v>6</v>
      </c>
      <c r="G68" t="s">
        <v>43</v>
      </c>
      <c r="H68" t="s">
        <v>115</v>
      </c>
      <c r="J68">
        <v>2011</v>
      </c>
      <c r="M68" t="s">
        <v>116</v>
      </c>
      <c r="T68" t="s">
        <v>131</v>
      </c>
      <c r="U68" t="s">
        <v>56</v>
      </c>
      <c r="V68" t="s">
        <v>56</v>
      </c>
      <c r="Z68" t="s">
        <v>49</v>
      </c>
      <c r="AA68" t="s">
        <v>49</v>
      </c>
      <c r="AB68" t="s">
        <v>50</v>
      </c>
      <c r="AC68" t="s">
        <v>117</v>
      </c>
      <c r="AD68" t="s">
        <v>52</v>
      </c>
      <c r="AE68" t="s">
        <v>53</v>
      </c>
      <c r="AF68" t="s">
        <v>52</v>
      </c>
      <c r="AG68" t="s">
        <v>52</v>
      </c>
      <c r="AH68" t="s">
        <v>64</v>
      </c>
      <c r="AK68">
        <v>5</v>
      </c>
      <c r="AL68">
        <v>5</v>
      </c>
      <c r="AM68" t="s">
        <v>123</v>
      </c>
      <c r="AN68">
        <v>729</v>
      </c>
      <c r="AO68" t="s">
        <v>56</v>
      </c>
      <c r="AP68">
        <v>160</v>
      </c>
      <c r="AQ68" t="s">
        <v>118</v>
      </c>
      <c r="AR68">
        <v>7.86</v>
      </c>
      <c r="AS68" t="s">
        <v>56</v>
      </c>
      <c r="AT68">
        <v>0.09</v>
      </c>
      <c r="AU68">
        <v>1423</v>
      </c>
      <c r="AV68" t="s">
        <v>56</v>
      </c>
      <c r="AW68">
        <v>389</v>
      </c>
      <c r="AX68">
        <v>7.61</v>
      </c>
      <c r="AY68" t="s">
        <v>56</v>
      </c>
      <c r="AZ68">
        <v>0.15</v>
      </c>
      <c r="BB68">
        <f>LOG(AU68)</f>
        <v>3.1532049000842841</v>
      </c>
      <c r="BC68">
        <v>11.8</v>
      </c>
      <c r="BD68" t="s">
        <v>56</v>
      </c>
      <c r="BE68">
        <v>0.4</v>
      </c>
      <c r="BF68">
        <v>16</v>
      </c>
      <c r="BG68" t="s">
        <v>56</v>
      </c>
      <c r="BH68">
        <v>0.6</v>
      </c>
      <c r="BI68">
        <v>694</v>
      </c>
      <c r="BJ68">
        <v>4.2</v>
      </c>
      <c r="BK68" t="s">
        <v>141</v>
      </c>
      <c r="BL68" t="s">
        <v>120</v>
      </c>
      <c r="BM68" t="s">
        <v>120</v>
      </c>
      <c r="BN68" t="s">
        <v>81</v>
      </c>
      <c r="BO68" t="s">
        <v>121</v>
      </c>
      <c r="BP68" t="s">
        <v>83</v>
      </c>
      <c r="BR68" t="s">
        <v>122</v>
      </c>
      <c r="BT68">
        <v>182.17</v>
      </c>
      <c r="BU68">
        <v>182.16867500000001</v>
      </c>
      <c r="BV68">
        <v>63.614457999999999</v>
      </c>
      <c r="BW68">
        <f>BV68*SQRT(AK68)</f>
        <v>142.24625243980532</v>
      </c>
      <c r="BX68">
        <v>104.1</v>
      </c>
      <c r="BY68">
        <v>104.0963855</v>
      </c>
      <c r="BZ68">
        <v>56.87</v>
      </c>
      <c r="CA68">
        <f>BZ68*SQRT(AL68)</f>
        <v>127.16518588041303</v>
      </c>
      <c r="CB68">
        <v>60</v>
      </c>
      <c r="CC68">
        <v>5</v>
      </c>
      <c r="CD68">
        <v>-0.56000000000000005</v>
      </c>
      <c r="CE68">
        <v>0.4204</v>
      </c>
    </row>
    <row r="69" spans="4:83" hidden="1" x14ac:dyDescent="0.2">
      <c r="D69">
        <v>6</v>
      </c>
      <c r="G69" t="s">
        <v>43</v>
      </c>
      <c r="H69" t="s">
        <v>115</v>
      </c>
      <c r="J69">
        <v>2011</v>
      </c>
      <c r="M69" t="s">
        <v>116</v>
      </c>
      <c r="T69" t="s">
        <v>151</v>
      </c>
      <c r="U69" t="s">
        <v>152</v>
      </c>
      <c r="V69" t="s">
        <v>153</v>
      </c>
      <c r="Z69" t="s">
        <v>49</v>
      </c>
      <c r="AA69" t="s">
        <v>49</v>
      </c>
      <c r="AB69" t="s">
        <v>50</v>
      </c>
      <c r="AC69" t="s">
        <v>117</v>
      </c>
      <c r="AD69" t="s">
        <v>52</v>
      </c>
      <c r="AE69" t="s">
        <v>56</v>
      </c>
      <c r="AF69" t="s">
        <v>52</v>
      </c>
      <c r="AG69" t="s">
        <v>54</v>
      </c>
      <c r="AH69" t="s">
        <v>55</v>
      </c>
      <c r="AK69">
        <v>5</v>
      </c>
      <c r="AL69">
        <v>5</v>
      </c>
      <c r="AM69" t="s">
        <v>123</v>
      </c>
      <c r="AN69">
        <v>729</v>
      </c>
      <c r="AO69" t="s">
        <v>56</v>
      </c>
      <c r="AP69">
        <v>160</v>
      </c>
      <c r="AQ69" t="s">
        <v>118</v>
      </c>
      <c r="AR69">
        <v>7.86</v>
      </c>
      <c r="AS69" t="s">
        <v>56</v>
      </c>
      <c r="AT69">
        <v>0.09</v>
      </c>
      <c r="AU69">
        <v>2269</v>
      </c>
      <c r="AV69" t="s">
        <v>56</v>
      </c>
      <c r="AW69">
        <v>3127</v>
      </c>
      <c r="AX69">
        <v>6.81</v>
      </c>
      <c r="AY69" t="s">
        <v>56</v>
      </c>
      <c r="AZ69">
        <v>0.23</v>
      </c>
      <c r="BB69">
        <f>LOG(AU69)</f>
        <v>3.355834495884936</v>
      </c>
      <c r="BC69">
        <v>11.8</v>
      </c>
      <c r="BD69" t="s">
        <v>56</v>
      </c>
      <c r="BE69">
        <v>0.4</v>
      </c>
      <c r="BF69">
        <v>11.5</v>
      </c>
      <c r="BG69" t="s">
        <v>56</v>
      </c>
      <c r="BH69">
        <v>0.4</v>
      </c>
      <c r="BI69">
        <v>1540</v>
      </c>
      <c r="BJ69">
        <v>-0.3</v>
      </c>
      <c r="BK69" t="s">
        <v>56</v>
      </c>
      <c r="BL69" t="s">
        <v>154</v>
      </c>
      <c r="BM69" t="s">
        <v>154</v>
      </c>
      <c r="BN69" t="s">
        <v>81</v>
      </c>
      <c r="BO69" t="s">
        <v>121</v>
      </c>
      <c r="BP69" t="s">
        <v>127</v>
      </c>
      <c r="BR69" t="s">
        <v>122</v>
      </c>
      <c r="BT69">
        <v>37.6</v>
      </c>
      <c r="BU69">
        <v>37.596567</v>
      </c>
      <c r="BV69">
        <v>3.2188840000000001</v>
      </c>
      <c r="BW69">
        <f>BV69*SQRT(AK69)</f>
        <v>7.1976434356864338</v>
      </c>
      <c r="BX69">
        <v>22.79</v>
      </c>
      <c r="BY69">
        <v>22.789699599999999</v>
      </c>
      <c r="BZ69">
        <v>2.96</v>
      </c>
      <c r="CA69">
        <f>BZ69*SQRT(AL69)</f>
        <v>6.6187612133993774</v>
      </c>
      <c r="CB69">
        <v>60</v>
      </c>
      <c r="CC69">
        <v>5</v>
      </c>
      <c r="CD69">
        <v>-0.501</v>
      </c>
      <c r="CE69">
        <v>2.4199999999999999E-2</v>
      </c>
    </row>
    <row r="70" spans="4:83" hidden="1" x14ac:dyDescent="0.2">
      <c r="D70">
        <v>6</v>
      </c>
      <c r="G70" t="s">
        <v>43</v>
      </c>
      <c r="H70" t="s">
        <v>115</v>
      </c>
      <c r="J70">
        <v>2011</v>
      </c>
      <c r="M70" t="s">
        <v>116</v>
      </c>
      <c r="T70" t="s">
        <v>155</v>
      </c>
      <c r="U70" t="s">
        <v>56</v>
      </c>
      <c r="V70" t="s">
        <v>56</v>
      </c>
      <c r="Z70" t="s">
        <v>49</v>
      </c>
      <c r="AA70" t="s">
        <v>49</v>
      </c>
      <c r="AB70" t="s">
        <v>50</v>
      </c>
      <c r="AC70" t="s">
        <v>117</v>
      </c>
      <c r="AD70" t="s">
        <v>52</v>
      </c>
      <c r="AE70" t="s">
        <v>53</v>
      </c>
      <c r="AF70" t="s">
        <v>52</v>
      </c>
      <c r="AG70" t="s">
        <v>52</v>
      </c>
      <c r="AH70" t="s">
        <v>64</v>
      </c>
      <c r="AK70">
        <v>5</v>
      </c>
      <c r="AL70">
        <v>5</v>
      </c>
      <c r="AM70" t="s">
        <v>123</v>
      </c>
      <c r="AN70">
        <v>729</v>
      </c>
      <c r="AO70" t="s">
        <v>56</v>
      </c>
      <c r="AP70">
        <v>160</v>
      </c>
      <c r="AQ70" t="s">
        <v>118</v>
      </c>
      <c r="AR70">
        <v>7.86</v>
      </c>
      <c r="AS70" t="s">
        <v>56</v>
      </c>
      <c r="AT70">
        <v>0.09</v>
      </c>
      <c r="AU70">
        <v>1423</v>
      </c>
      <c r="AV70" t="s">
        <v>56</v>
      </c>
      <c r="AW70">
        <v>389</v>
      </c>
      <c r="AX70">
        <v>7.61</v>
      </c>
      <c r="AY70" t="s">
        <v>56</v>
      </c>
      <c r="AZ70">
        <v>0.15</v>
      </c>
      <c r="BB70">
        <f>LOG(AU70)</f>
        <v>3.1532049000842841</v>
      </c>
      <c r="BC70">
        <v>11.8</v>
      </c>
      <c r="BD70" t="s">
        <v>56</v>
      </c>
      <c r="BE70">
        <v>0.4</v>
      </c>
      <c r="BF70">
        <v>16</v>
      </c>
      <c r="BG70" t="s">
        <v>56</v>
      </c>
      <c r="BH70">
        <v>0.6</v>
      </c>
      <c r="BI70">
        <v>694</v>
      </c>
      <c r="BJ70">
        <v>4.2</v>
      </c>
      <c r="BK70" t="s">
        <v>156</v>
      </c>
      <c r="BL70" t="s">
        <v>120</v>
      </c>
      <c r="BM70" t="s">
        <v>120</v>
      </c>
      <c r="BN70" t="s">
        <v>81</v>
      </c>
      <c r="BO70" t="s">
        <v>121</v>
      </c>
      <c r="BP70" t="s">
        <v>83</v>
      </c>
      <c r="BR70" t="s">
        <v>122</v>
      </c>
      <c r="BT70">
        <v>45.72</v>
      </c>
      <c r="BU70">
        <v>45.715591000000003</v>
      </c>
      <c r="BV70">
        <v>30.585951000000001</v>
      </c>
      <c r="BW70">
        <f>BV70*SQRT(AK70)</f>
        <v>68.392265592477671</v>
      </c>
      <c r="BX70">
        <v>27.86</v>
      </c>
      <c r="BY70">
        <v>27.862935499999999</v>
      </c>
      <c r="BZ70">
        <v>0</v>
      </c>
      <c r="CA70">
        <f>BZ70*SQRT(AL70)</f>
        <v>0</v>
      </c>
      <c r="CB70">
        <v>60</v>
      </c>
      <c r="CC70">
        <v>5</v>
      </c>
      <c r="CD70">
        <v>-0.495</v>
      </c>
      <c r="CE70">
        <v>0.4476</v>
      </c>
    </row>
    <row r="71" spans="4:83" hidden="1" x14ac:dyDescent="0.2">
      <c r="D71">
        <v>6</v>
      </c>
      <c r="G71" t="s">
        <v>43</v>
      </c>
      <c r="H71" t="s">
        <v>115</v>
      </c>
      <c r="J71">
        <v>2011</v>
      </c>
      <c r="M71" t="s">
        <v>116</v>
      </c>
      <c r="T71" t="s">
        <v>68</v>
      </c>
      <c r="U71" t="s">
        <v>124</v>
      </c>
      <c r="V71" t="s">
        <v>125</v>
      </c>
      <c r="Z71" t="s">
        <v>49</v>
      </c>
      <c r="AA71" t="s">
        <v>49</v>
      </c>
      <c r="AB71" t="s">
        <v>50</v>
      </c>
      <c r="AC71" t="s">
        <v>117</v>
      </c>
      <c r="AD71" t="s">
        <v>52</v>
      </c>
      <c r="AE71" t="s">
        <v>53</v>
      </c>
      <c r="AF71" t="s">
        <v>52</v>
      </c>
      <c r="AG71" t="s">
        <v>52</v>
      </c>
      <c r="AH71" t="s">
        <v>64</v>
      </c>
      <c r="AK71">
        <v>5</v>
      </c>
      <c r="AL71">
        <v>5</v>
      </c>
      <c r="AM71" t="s">
        <v>123</v>
      </c>
      <c r="AN71">
        <v>729</v>
      </c>
      <c r="AO71" t="s">
        <v>56</v>
      </c>
      <c r="AP71">
        <v>160</v>
      </c>
      <c r="AQ71" t="s">
        <v>118</v>
      </c>
      <c r="AR71">
        <v>7.86</v>
      </c>
      <c r="AS71" t="s">
        <v>56</v>
      </c>
      <c r="AT71">
        <v>0.09</v>
      </c>
      <c r="AU71">
        <v>1423</v>
      </c>
      <c r="AV71" t="s">
        <v>56</v>
      </c>
      <c r="AW71">
        <v>389</v>
      </c>
      <c r="AX71">
        <v>7.61</v>
      </c>
      <c r="AY71" t="s">
        <v>56</v>
      </c>
      <c r="AZ71">
        <v>0.15</v>
      </c>
      <c r="BB71">
        <f>LOG(AU71)</f>
        <v>3.1532049000842841</v>
      </c>
      <c r="BC71">
        <v>11.8</v>
      </c>
      <c r="BD71" t="s">
        <v>56</v>
      </c>
      <c r="BE71">
        <v>0.4</v>
      </c>
      <c r="BF71">
        <v>16</v>
      </c>
      <c r="BG71" t="s">
        <v>56</v>
      </c>
      <c r="BH71">
        <v>0.6</v>
      </c>
      <c r="BI71">
        <v>694</v>
      </c>
      <c r="BJ71">
        <v>4.2</v>
      </c>
      <c r="BK71" t="s">
        <v>126</v>
      </c>
      <c r="BL71" t="s">
        <v>120</v>
      </c>
      <c r="BM71" t="s">
        <v>120</v>
      </c>
      <c r="BN71" t="s">
        <v>81</v>
      </c>
      <c r="BO71" t="s">
        <v>121</v>
      </c>
      <c r="BP71" t="s">
        <v>83</v>
      </c>
      <c r="BR71" t="s">
        <v>122</v>
      </c>
      <c r="BT71">
        <v>9.32</v>
      </c>
      <c r="BU71">
        <v>9.3162099999999999</v>
      </c>
      <c r="BV71">
        <v>4.1002280000000004</v>
      </c>
      <c r="BW71">
        <f>BV71*SQRT(AK71)</f>
        <v>9.1683885312480093</v>
      </c>
      <c r="BX71">
        <v>5.79</v>
      </c>
      <c r="BY71">
        <v>5.7855420000000004</v>
      </c>
      <c r="BZ71">
        <v>7.11</v>
      </c>
      <c r="CA71">
        <f>BZ71*SQRT(AL71)</f>
        <v>15.898443320023507</v>
      </c>
      <c r="CB71">
        <v>60</v>
      </c>
      <c r="CC71">
        <v>5</v>
      </c>
      <c r="CD71">
        <v>-0.47599999999999998</v>
      </c>
      <c r="CE71">
        <v>1.7027000000000001</v>
      </c>
    </row>
    <row r="72" spans="4:83" hidden="1" x14ac:dyDescent="0.2">
      <c r="D72">
        <v>6</v>
      </c>
      <c r="G72" t="s">
        <v>43</v>
      </c>
      <c r="H72" t="s">
        <v>115</v>
      </c>
      <c r="J72">
        <v>2011</v>
      </c>
      <c r="M72" t="s">
        <v>116</v>
      </c>
      <c r="T72" t="s">
        <v>46</v>
      </c>
      <c r="U72" t="s">
        <v>56</v>
      </c>
      <c r="V72" t="s">
        <v>56</v>
      </c>
      <c r="Z72" t="s">
        <v>49</v>
      </c>
      <c r="AA72" t="s">
        <v>49</v>
      </c>
      <c r="AB72" t="s">
        <v>50</v>
      </c>
      <c r="AC72" t="s">
        <v>117</v>
      </c>
      <c r="AD72" t="s">
        <v>52</v>
      </c>
      <c r="AE72" t="s">
        <v>56</v>
      </c>
      <c r="AF72" t="s">
        <v>52</v>
      </c>
      <c r="AG72" t="s">
        <v>54</v>
      </c>
      <c r="AH72" t="s">
        <v>55</v>
      </c>
      <c r="AK72">
        <v>5</v>
      </c>
      <c r="AL72">
        <v>5</v>
      </c>
      <c r="AM72" t="s">
        <v>123</v>
      </c>
      <c r="AN72">
        <v>729</v>
      </c>
      <c r="AO72" t="s">
        <v>56</v>
      </c>
      <c r="AP72">
        <v>160</v>
      </c>
      <c r="AQ72" t="s">
        <v>118</v>
      </c>
      <c r="AR72">
        <v>7.86</v>
      </c>
      <c r="AS72" t="s">
        <v>56</v>
      </c>
      <c r="AT72">
        <v>0.09</v>
      </c>
      <c r="AU72">
        <v>2269</v>
      </c>
      <c r="AV72" t="s">
        <v>56</v>
      </c>
      <c r="AW72">
        <v>3127</v>
      </c>
      <c r="AX72">
        <v>6.81</v>
      </c>
      <c r="AY72" t="s">
        <v>56</v>
      </c>
      <c r="AZ72">
        <v>0.23</v>
      </c>
      <c r="BB72">
        <f>LOG(AU72)</f>
        <v>3.355834495884936</v>
      </c>
      <c r="BC72">
        <v>11.8</v>
      </c>
      <c r="BD72" t="s">
        <v>56</v>
      </c>
      <c r="BE72">
        <v>0.4</v>
      </c>
      <c r="BF72">
        <v>11.5</v>
      </c>
      <c r="BG72" t="s">
        <v>56</v>
      </c>
      <c r="BH72">
        <v>0.4</v>
      </c>
      <c r="BI72">
        <v>1540</v>
      </c>
      <c r="BJ72">
        <v>-0.3</v>
      </c>
      <c r="BK72" t="s">
        <v>119</v>
      </c>
      <c r="BL72" t="s">
        <v>120</v>
      </c>
      <c r="BM72" t="s">
        <v>120</v>
      </c>
      <c r="BN72" t="s">
        <v>81</v>
      </c>
      <c r="BO72" t="s">
        <v>121</v>
      </c>
      <c r="BP72" t="s">
        <v>83</v>
      </c>
      <c r="BR72" t="s">
        <v>122</v>
      </c>
      <c r="BT72">
        <v>6.78</v>
      </c>
      <c r="BU72">
        <v>6.7764709999999999</v>
      </c>
      <c r="BV72">
        <v>2.8E-3</v>
      </c>
      <c r="BW72">
        <f>BV72*SQRT(AK72)</f>
        <v>6.2609903369994111E-3</v>
      </c>
      <c r="BX72">
        <v>4.24</v>
      </c>
      <c r="BY72">
        <v>4.2352941</v>
      </c>
      <c r="BZ72">
        <v>0.01</v>
      </c>
      <c r="CA72">
        <f>BZ72*SQRT(AL72)</f>
        <v>2.2360679774997897E-2</v>
      </c>
      <c r="CB72">
        <v>60</v>
      </c>
      <c r="CC72">
        <v>5</v>
      </c>
      <c r="CD72">
        <v>-0.47</v>
      </c>
      <c r="CE72">
        <v>1E-4</v>
      </c>
    </row>
    <row r="73" spans="4:83" hidden="1" x14ac:dyDescent="0.2">
      <c r="D73">
        <v>6</v>
      </c>
      <c r="G73" t="s">
        <v>43</v>
      </c>
      <c r="H73" t="s">
        <v>115</v>
      </c>
      <c r="J73">
        <v>2011</v>
      </c>
      <c r="M73" t="s">
        <v>116</v>
      </c>
      <c r="T73" t="s">
        <v>136</v>
      </c>
      <c r="U73" t="s">
        <v>56</v>
      </c>
      <c r="V73" t="s">
        <v>56</v>
      </c>
      <c r="Z73" t="s">
        <v>49</v>
      </c>
      <c r="AA73" t="s">
        <v>49</v>
      </c>
      <c r="AB73" t="s">
        <v>50</v>
      </c>
      <c r="AC73" t="s">
        <v>117</v>
      </c>
      <c r="AD73" t="s">
        <v>52</v>
      </c>
      <c r="AE73" t="s">
        <v>53</v>
      </c>
      <c r="AF73" t="s">
        <v>52</v>
      </c>
      <c r="AG73" t="s">
        <v>52</v>
      </c>
      <c r="AH73" t="s">
        <v>64</v>
      </c>
      <c r="AK73">
        <v>5</v>
      </c>
      <c r="AL73">
        <v>5</v>
      </c>
      <c r="AM73" t="s">
        <v>123</v>
      </c>
      <c r="AN73">
        <v>729</v>
      </c>
      <c r="AO73" t="s">
        <v>56</v>
      </c>
      <c r="AP73">
        <v>160</v>
      </c>
      <c r="AQ73" t="s">
        <v>118</v>
      </c>
      <c r="AR73">
        <v>7.86</v>
      </c>
      <c r="AS73" t="s">
        <v>56</v>
      </c>
      <c r="AT73">
        <v>0.09</v>
      </c>
      <c r="AU73">
        <v>3010</v>
      </c>
      <c r="AV73" t="s">
        <v>56</v>
      </c>
      <c r="AW73">
        <v>4141</v>
      </c>
      <c r="AX73">
        <v>6.66</v>
      </c>
      <c r="AY73" t="s">
        <v>56</v>
      </c>
      <c r="AZ73">
        <v>0.19</v>
      </c>
      <c r="BB73">
        <f>LOG(AU73)</f>
        <v>3.4785664955938436</v>
      </c>
      <c r="BC73">
        <v>11.8</v>
      </c>
      <c r="BD73" t="s">
        <v>56</v>
      </c>
      <c r="BE73">
        <v>0.4</v>
      </c>
      <c r="BF73">
        <v>15.5</v>
      </c>
      <c r="BG73" t="s">
        <v>56</v>
      </c>
      <c r="BH73">
        <v>1.5</v>
      </c>
      <c r="BI73">
        <v>2281</v>
      </c>
      <c r="BJ73">
        <v>3.7</v>
      </c>
      <c r="BK73" t="s">
        <v>157</v>
      </c>
      <c r="BL73" t="s">
        <v>120</v>
      </c>
      <c r="BM73" t="s">
        <v>120</v>
      </c>
      <c r="BN73" t="s">
        <v>81</v>
      </c>
      <c r="BO73" t="s">
        <v>121</v>
      </c>
      <c r="BP73" t="s">
        <v>83</v>
      </c>
      <c r="BR73" t="s">
        <v>122</v>
      </c>
      <c r="BT73">
        <v>73.930000000000007</v>
      </c>
      <c r="BU73">
        <v>73.932584000000006</v>
      </c>
      <c r="BV73">
        <v>2.8E-3</v>
      </c>
      <c r="BW73">
        <f>BV73*SQRT(AK73)</f>
        <v>6.2609903369994111E-3</v>
      </c>
      <c r="BX73">
        <v>48.76</v>
      </c>
      <c r="BY73">
        <v>48.764044900000002</v>
      </c>
      <c r="BZ73">
        <v>0.01</v>
      </c>
      <c r="CA73">
        <f>BZ73*SQRT(AL73)</f>
        <v>2.2360679774997897E-2</v>
      </c>
      <c r="CB73">
        <v>60</v>
      </c>
      <c r="CC73">
        <v>5</v>
      </c>
      <c r="CD73">
        <v>-0.41599999999999998</v>
      </c>
      <c r="CE73">
        <v>1E-4</v>
      </c>
    </row>
    <row r="74" spans="4:83" hidden="1" x14ac:dyDescent="0.2">
      <c r="D74">
        <v>6</v>
      </c>
      <c r="G74" t="s">
        <v>43</v>
      </c>
      <c r="H74" t="s">
        <v>115</v>
      </c>
      <c r="J74">
        <v>2011</v>
      </c>
      <c r="M74" t="s">
        <v>116</v>
      </c>
      <c r="T74" t="s">
        <v>68</v>
      </c>
      <c r="U74" t="s">
        <v>56</v>
      </c>
      <c r="V74" t="s">
        <v>56</v>
      </c>
      <c r="Z74" t="s">
        <v>49</v>
      </c>
      <c r="AA74" t="s">
        <v>49</v>
      </c>
      <c r="AB74" t="s">
        <v>50</v>
      </c>
      <c r="AC74" t="s">
        <v>117</v>
      </c>
      <c r="AD74" t="s">
        <v>52</v>
      </c>
      <c r="AE74" t="s">
        <v>53</v>
      </c>
      <c r="AF74" t="s">
        <v>52</v>
      </c>
      <c r="AG74" t="s">
        <v>52</v>
      </c>
      <c r="AH74" t="s">
        <v>64</v>
      </c>
      <c r="AK74">
        <v>5</v>
      </c>
      <c r="AL74">
        <v>5</v>
      </c>
      <c r="AM74" t="s">
        <v>123</v>
      </c>
      <c r="AN74">
        <v>729</v>
      </c>
      <c r="AO74" t="s">
        <v>56</v>
      </c>
      <c r="AP74">
        <v>160</v>
      </c>
      <c r="AQ74" t="s">
        <v>118</v>
      </c>
      <c r="AR74">
        <v>7.86</v>
      </c>
      <c r="AS74" t="s">
        <v>56</v>
      </c>
      <c r="AT74">
        <v>0.09</v>
      </c>
      <c r="AU74">
        <v>2612</v>
      </c>
      <c r="AV74" t="s">
        <v>56</v>
      </c>
      <c r="AW74">
        <v>547</v>
      </c>
      <c r="AX74">
        <v>7.37</v>
      </c>
      <c r="AY74" t="s">
        <v>56</v>
      </c>
      <c r="AZ74">
        <v>0.1</v>
      </c>
      <c r="BB74">
        <f>LOG(AU74)</f>
        <v>3.4169731726030363</v>
      </c>
      <c r="BC74">
        <v>11.8</v>
      </c>
      <c r="BD74" t="s">
        <v>56</v>
      </c>
      <c r="BE74">
        <v>0.4</v>
      </c>
      <c r="BF74">
        <v>15.8</v>
      </c>
      <c r="BG74" t="s">
        <v>56</v>
      </c>
      <c r="BH74">
        <v>0.3</v>
      </c>
      <c r="BI74">
        <v>1882</v>
      </c>
      <c r="BJ74">
        <v>4</v>
      </c>
      <c r="BK74" t="s">
        <v>130</v>
      </c>
      <c r="BL74" t="s">
        <v>120</v>
      </c>
      <c r="BM74" t="s">
        <v>120</v>
      </c>
      <c r="BN74" t="s">
        <v>81</v>
      </c>
      <c r="BO74" t="s">
        <v>121</v>
      </c>
      <c r="BP74" t="s">
        <v>83</v>
      </c>
      <c r="BR74" t="s">
        <v>122</v>
      </c>
      <c r="BT74">
        <v>35.020000000000003</v>
      </c>
      <c r="BU74">
        <v>35.022025999999997</v>
      </c>
      <c r="BV74">
        <v>7.9295150000000003</v>
      </c>
      <c r="BW74">
        <f>BV74*SQRT(AK74)</f>
        <v>17.730934568604248</v>
      </c>
      <c r="BX74">
        <v>23.13</v>
      </c>
      <c r="BY74">
        <v>23.127753299999998</v>
      </c>
      <c r="BZ74">
        <v>0</v>
      </c>
      <c r="CA74">
        <f>BZ74*SQRT(AL74)</f>
        <v>0</v>
      </c>
      <c r="CB74">
        <v>60</v>
      </c>
      <c r="CC74">
        <v>5</v>
      </c>
      <c r="CD74">
        <v>-0.41499999999999998</v>
      </c>
      <c r="CE74">
        <v>5.1299999999999998E-2</v>
      </c>
    </row>
    <row r="75" spans="4:83" hidden="1" x14ac:dyDescent="0.2">
      <c r="D75">
        <v>6</v>
      </c>
      <c r="G75" t="s">
        <v>114</v>
      </c>
      <c r="H75" t="s">
        <v>115</v>
      </c>
      <c r="J75">
        <v>2011</v>
      </c>
      <c r="M75" t="s">
        <v>116</v>
      </c>
      <c r="T75" t="s">
        <v>68</v>
      </c>
      <c r="U75" t="s">
        <v>56</v>
      </c>
      <c r="V75" t="s">
        <v>56</v>
      </c>
      <c r="Z75" t="s">
        <v>49</v>
      </c>
      <c r="AA75" t="s">
        <v>49</v>
      </c>
      <c r="AB75" t="s">
        <v>50</v>
      </c>
      <c r="AC75" t="s">
        <v>117</v>
      </c>
      <c r="AD75" t="s">
        <v>52</v>
      </c>
      <c r="AE75" t="s">
        <v>53</v>
      </c>
      <c r="AF75" t="s">
        <v>52</v>
      </c>
      <c r="AG75" t="s">
        <v>54</v>
      </c>
      <c r="AH75" t="s">
        <v>55</v>
      </c>
      <c r="AK75">
        <v>5</v>
      </c>
      <c r="AL75">
        <v>5</v>
      </c>
      <c r="AM75" t="s">
        <v>140</v>
      </c>
      <c r="AN75">
        <v>729</v>
      </c>
      <c r="AO75" t="s">
        <v>56</v>
      </c>
      <c r="AP75">
        <v>160</v>
      </c>
      <c r="AQ75" t="s">
        <v>118</v>
      </c>
      <c r="AR75">
        <v>7.86</v>
      </c>
      <c r="AS75" t="s">
        <v>56</v>
      </c>
      <c r="AT75">
        <v>0.09</v>
      </c>
      <c r="AU75">
        <v>2729</v>
      </c>
      <c r="AV75" t="s">
        <v>56</v>
      </c>
      <c r="AW75">
        <v>499</v>
      </c>
      <c r="AX75">
        <v>7.35</v>
      </c>
      <c r="AY75" t="s">
        <v>56</v>
      </c>
      <c r="AZ75">
        <v>7.0000000000000007E-2</v>
      </c>
      <c r="BB75">
        <f>LOG(AU75)</f>
        <v>3.4360035356698964</v>
      </c>
      <c r="BC75">
        <v>11.8</v>
      </c>
      <c r="BD75" t="s">
        <v>56</v>
      </c>
      <c r="BE75">
        <v>0.4</v>
      </c>
      <c r="BF75">
        <v>11.7</v>
      </c>
      <c r="BG75" t="s">
        <v>56</v>
      </c>
      <c r="BH75">
        <v>0.4</v>
      </c>
      <c r="BI75">
        <v>2000</v>
      </c>
      <c r="BJ75">
        <v>-0.1</v>
      </c>
      <c r="BK75" t="s">
        <v>138</v>
      </c>
      <c r="BL75" t="s">
        <v>138</v>
      </c>
      <c r="BM75" t="s">
        <v>139</v>
      </c>
      <c r="BN75" t="s">
        <v>81</v>
      </c>
      <c r="BO75" t="s">
        <v>121</v>
      </c>
      <c r="BP75" t="s">
        <v>127</v>
      </c>
      <c r="BR75" t="s">
        <v>122</v>
      </c>
      <c r="BT75">
        <v>9.1199999999999992</v>
      </c>
      <c r="BU75">
        <v>9.1232229999999994</v>
      </c>
      <c r="BV75">
        <v>0.71</v>
      </c>
      <c r="BW75">
        <f>BV75*SQRT(AK75)</f>
        <v>1.5876082640248508</v>
      </c>
      <c r="BX75">
        <v>6.04</v>
      </c>
      <c r="BY75">
        <v>6.0426539999999997</v>
      </c>
      <c r="BZ75">
        <v>3.2</v>
      </c>
      <c r="CA75">
        <f>BZ75*SQRT(AL75)</f>
        <v>7.1554175279993277</v>
      </c>
      <c r="CB75">
        <v>60</v>
      </c>
      <c r="CC75">
        <v>5</v>
      </c>
      <c r="CD75">
        <v>-0.41199999999999998</v>
      </c>
      <c r="CE75">
        <v>0.2863</v>
      </c>
    </row>
    <row r="76" spans="4:83" hidden="1" x14ac:dyDescent="0.2">
      <c r="D76">
        <v>6</v>
      </c>
      <c r="G76" t="s">
        <v>43</v>
      </c>
      <c r="H76" t="s">
        <v>115</v>
      </c>
      <c r="J76">
        <v>2011</v>
      </c>
      <c r="M76" t="s">
        <v>116</v>
      </c>
      <c r="T76" t="s">
        <v>131</v>
      </c>
      <c r="U76" t="s">
        <v>132</v>
      </c>
      <c r="V76" t="s">
        <v>133</v>
      </c>
      <c r="Z76" t="s">
        <v>49</v>
      </c>
      <c r="AA76" t="s">
        <v>49</v>
      </c>
      <c r="AB76" t="s">
        <v>50</v>
      </c>
      <c r="AC76" t="s">
        <v>117</v>
      </c>
      <c r="AD76" t="s">
        <v>52</v>
      </c>
      <c r="AE76" t="s">
        <v>134</v>
      </c>
      <c r="AF76" t="s">
        <v>52</v>
      </c>
      <c r="AG76" t="s">
        <v>54</v>
      </c>
      <c r="AH76" t="s">
        <v>55</v>
      </c>
      <c r="AK76">
        <v>5</v>
      </c>
      <c r="AL76">
        <v>5</v>
      </c>
      <c r="AM76" t="s">
        <v>123</v>
      </c>
      <c r="AN76">
        <v>729</v>
      </c>
      <c r="AO76" t="s">
        <v>56</v>
      </c>
      <c r="AP76">
        <v>160</v>
      </c>
      <c r="AQ76" t="s">
        <v>118</v>
      </c>
      <c r="AR76">
        <v>7.86</v>
      </c>
      <c r="AS76" t="s">
        <v>56</v>
      </c>
      <c r="AT76">
        <v>0.09</v>
      </c>
      <c r="AU76">
        <v>2729</v>
      </c>
      <c r="AV76" t="s">
        <v>56</v>
      </c>
      <c r="AW76">
        <v>499</v>
      </c>
      <c r="AX76">
        <v>7.35</v>
      </c>
      <c r="AY76" t="s">
        <v>56</v>
      </c>
      <c r="AZ76">
        <v>7.0000000000000007E-2</v>
      </c>
      <c r="BB76">
        <f>LOG(AU76)</f>
        <v>3.4360035356698964</v>
      </c>
      <c r="BC76">
        <v>11.8</v>
      </c>
      <c r="BD76" t="s">
        <v>56</v>
      </c>
      <c r="BE76">
        <v>0.4</v>
      </c>
      <c r="BF76">
        <v>11.7</v>
      </c>
      <c r="BG76" t="s">
        <v>56</v>
      </c>
      <c r="BH76">
        <v>0.4</v>
      </c>
      <c r="BI76">
        <v>2000</v>
      </c>
      <c r="BJ76">
        <v>-0.1</v>
      </c>
      <c r="BK76" t="s">
        <v>135</v>
      </c>
      <c r="BL76" t="s">
        <v>120</v>
      </c>
      <c r="BM76" t="s">
        <v>120</v>
      </c>
      <c r="BN76" t="s">
        <v>81</v>
      </c>
      <c r="BO76" t="s">
        <v>121</v>
      </c>
      <c r="BP76" t="s">
        <v>83</v>
      </c>
      <c r="BR76" t="s">
        <v>122</v>
      </c>
      <c r="BT76">
        <v>36.369999999999997</v>
      </c>
      <c r="BU76">
        <v>36.367815999999998</v>
      </c>
      <c r="BV76">
        <v>24.459769999999999</v>
      </c>
      <c r="BW76">
        <f>BV76*SQRT(AK76)</f>
        <v>54.693708434010034</v>
      </c>
      <c r="BX76">
        <v>25.43</v>
      </c>
      <c r="BY76">
        <v>25.425287399999998</v>
      </c>
      <c r="BZ76">
        <v>22.21</v>
      </c>
      <c r="CA76">
        <f>BZ76*SQRT(AL76)</f>
        <v>49.663069780270334</v>
      </c>
      <c r="CB76">
        <v>60</v>
      </c>
      <c r="CC76">
        <v>5</v>
      </c>
      <c r="CD76">
        <v>-0.35799999999999998</v>
      </c>
      <c r="CE76">
        <v>1.2152000000000001</v>
      </c>
    </row>
    <row r="77" spans="4:83" hidden="1" x14ac:dyDescent="0.2">
      <c r="D77">
        <v>6</v>
      </c>
      <c r="G77" t="s">
        <v>114</v>
      </c>
      <c r="H77" t="s">
        <v>115</v>
      </c>
      <c r="J77">
        <v>2011</v>
      </c>
      <c r="M77" t="s">
        <v>116</v>
      </c>
      <c r="T77" t="s">
        <v>131</v>
      </c>
      <c r="U77" t="s">
        <v>56</v>
      </c>
      <c r="V77" t="s">
        <v>56</v>
      </c>
      <c r="Z77" t="s">
        <v>49</v>
      </c>
      <c r="AA77" t="s">
        <v>49</v>
      </c>
      <c r="AB77" t="s">
        <v>50</v>
      </c>
      <c r="AC77" t="s">
        <v>117</v>
      </c>
      <c r="AD77" t="s">
        <v>52</v>
      </c>
      <c r="AE77" t="s">
        <v>53</v>
      </c>
      <c r="AF77" t="s">
        <v>52</v>
      </c>
      <c r="AG77" t="s">
        <v>54</v>
      </c>
      <c r="AH77" t="s">
        <v>55</v>
      </c>
      <c r="AK77">
        <v>5</v>
      </c>
      <c r="AL77">
        <v>5</v>
      </c>
      <c r="AM77" t="s">
        <v>140</v>
      </c>
      <c r="AN77">
        <v>729</v>
      </c>
      <c r="AO77" t="s">
        <v>56</v>
      </c>
      <c r="AP77">
        <v>160</v>
      </c>
      <c r="AQ77" t="s">
        <v>118</v>
      </c>
      <c r="AR77">
        <v>7.86</v>
      </c>
      <c r="AS77" t="s">
        <v>56</v>
      </c>
      <c r="AT77">
        <v>0.09</v>
      </c>
      <c r="AU77">
        <v>2269</v>
      </c>
      <c r="AV77" t="s">
        <v>56</v>
      </c>
      <c r="AW77">
        <v>3127</v>
      </c>
      <c r="AX77">
        <v>6.81</v>
      </c>
      <c r="AY77" t="s">
        <v>56</v>
      </c>
      <c r="AZ77">
        <v>0.23</v>
      </c>
      <c r="BB77">
        <f>LOG(AU77)</f>
        <v>3.355834495884936</v>
      </c>
      <c r="BC77">
        <v>11.8</v>
      </c>
      <c r="BD77" t="s">
        <v>56</v>
      </c>
      <c r="BE77">
        <v>0.4</v>
      </c>
      <c r="BF77">
        <v>11.5</v>
      </c>
      <c r="BG77" t="s">
        <v>56</v>
      </c>
      <c r="BH77">
        <v>0.4</v>
      </c>
      <c r="BI77">
        <v>1540</v>
      </c>
      <c r="BJ77">
        <v>-0.3</v>
      </c>
      <c r="BK77" t="s">
        <v>142</v>
      </c>
      <c r="BL77" t="s">
        <v>142</v>
      </c>
      <c r="BM77" t="s">
        <v>139</v>
      </c>
      <c r="BN77" t="s">
        <v>81</v>
      </c>
      <c r="BO77" t="s">
        <v>121</v>
      </c>
      <c r="BP77" t="s">
        <v>127</v>
      </c>
      <c r="BR77" t="s">
        <v>122</v>
      </c>
      <c r="BT77">
        <v>12.44</v>
      </c>
      <c r="BU77">
        <v>12.441805</v>
      </c>
      <c r="BV77">
        <v>1.2</v>
      </c>
      <c r="BW77">
        <f>BV77*SQRT(AK77)</f>
        <v>2.6832815729997477</v>
      </c>
      <c r="BX77">
        <v>8.85</v>
      </c>
      <c r="BY77">
        <v>8.8503562999999996</v>
      </c>
      <c r="BZ77">
        <v>0.98</v>
      </c>
      <c r="CA77">
        <f>BZ77*SQRT(AL77)</f>
        <v>2.1913466179497938</v>
      </c>
      <c r="CB77">
        <v>60</v>
      </c>
      <c r="CC77">
        <v>5</v>
      </c>
      <c r="CD77">
        <v>-0.34100000000000003</v>
      </c>
      <c r="CE77">
        <v>2.1600000000000001E-2</v>
      </c>
    </row>
    <row r="78" spans="4:83" hidden="1" x14ac:dyDescent="0.2">
      <c r="D78">
        <v>6</v>
      </c>
      <c r="G78" t="s">
        <v>114</v>
      </c>
      <c r="H78" t="s">
        <v>115</v>
      </c>
      <c r="J78">
        <v>2011</v>
      </c>
      <c r="M78" t="s">
        <v>116</v>
      </c>
      <c r="T78" t="s">
        <v>131</v>
      </c>
      <c r="U78" t="s">
        <v>56</v>
      </c>
      <c r="V78" t="s">
        <v>56</v>
      </c>
      <c r="Z78" t="s">
        <v>49</v>
      </c>
      <c r="AA78" t="s">
        <v>49</v>
      </c>
      <c r="AB78" t="s">
        <v>50</v>
      </c>
      <c r="AC78" t="s">
        <v>117</v>
      </c>
      <c r="AD78" t="s">
        <v>52</v>
      </c>
      <c r="AE78" t="s">
        <v>53</v>
      </c>
      <c r="AF78" t="s">
        <v>52</v>
      </c>
      <c r="AG78" t="s">
        <v>52</v>
      </c>
      <c r="AH78" t="s">
        <v>64</v>
      </c>
      <c r="AK78">
        <v>5</v>
      </c>
      <c r="AL78">
        <v>5</v>
      </c>
      <c r="AM78" t="s">
        <v>140</v>
      </c>
      <c r="AN78">
        <v>729</v>
      </c>
      <c r="AO78" t="s">
        <v>56</v>
      </c>
      <c r="AP78">
        <v>160</v>
      </c>
      <c r="AQ78" t="s">
        <v>118</v>
      </c>
      <c r="AR78">
        <v>7.86</v>
      </c>
      <c r="AS78" t="s">
        <v>56</v>
      </c>
      <c r="AT78">
        <v>0.09</v>
      </c>
      <c r="AU78">
        <v>1423</v>
      </c>
      <c r="AV78" t="s">
        <v>56</v>
      </c>
      <c r="AW78">
        <v>389</v>
      </c>
      <c r="AX78">
        <v>7.61</v>
      </c>
      <c r="AY78" t="s">
        <v>56</v>
      </c>
      <c r="AZ78">
        <v>0.15</v>
      </c>
      <c r="BB78">
        <f>LOG(AU78)</f>
        <v>3.1532049000842841</v>
      </c>
      <c r="BC78">
        <v>11.8</v>
      </c>
      <c r="BD78" t="s">
        <v>56</v>
      </c>
      <c r="BE78">
        <v>0.4</v>
      </c>
      <c r="BF78">
        <v>16</v>
      </c>
      <c r="BG78" t="s">
        <v>56</v>
      </c>
      <c r="BH78">
        <v>0.6</v>
      </c>
      <c r="BI78">
        <v>694</v>
      </c>
      <c r="BJ78">
        <v>4.2</v>
      </c>
      <c r="BK78" t="s">
        <v>142</v>
      </c>
      <c r="BL78" t="s">
        <v>142</v>
      </c>
      <c r="BM78" t="s">
        <v>139</v>
      </c>
      <c r="BN78" t="s">
        <v>81</v>
      </c>
      <c r="BO78" t="s">
        <v>121</v>
      </c>
      <c r="BP78" t="s">
        <v>127</v>
      </c>
      <c r="BR78" t="s">
        <v>122</v>
      </c>
      <c r="BT78">
        <v>12.44</v>
      </c>
      <c r="BU78">
        <v>12.441805</v>
      </c>
      <c r="BV78">
        <v>1.2</v>
      </c>
      <c r="BW78">
        <f>BV78*SQRT(AK78)</f>
        <v>2.6832815729997477</v>
      </c>
      <c r="BX78">
        <v>8.94</v>
      </c>
      <c r="BY78">
        <v>8.935867</v>
      </c>
      <c r="BZ78">
        <v>2.91</v>
      </c>
      <c r="CA78">
        <f>BZ78*SQRT(AL78)</f>
        <v>6.5069578145243883</v>
      </c>
      <c r="CB78">
        <v>60</v>
      </c>
      <c r="CC78">
        <v>5</v>
      </c>
      <c r="CD78">
        <v>-0.33100000000000002</v>
      </c>
      <c r="CE78">
        <v>0.11509999999999999</v>
      </c>
    </row>
    <row r="79" spans="4:83" hidden="1" x14ac:dyDescent="0.2">
      <c r="D79">
        <v>6</v>
      </c>
      <c r="G79" t="s">
        <v>114</v>
      </c>
      <c r="H79" t="s">
        <v>115</v>
      </c>
      <c r="J79">
        <v>2011</v>
      </c>
      <c r="M79" t="s">
        <v>116</v>
      </c>
      <c r="T79" t="s">
        <v>131</v>
      </c>
      <c r="U79" t="s">
        <v>56</v>
      </c>
      <c r="V79" t="s">
        <v>56</v>
      </c>
      <c r="Z79" t="s">
        <v>49</v>
      </c>
      <c r="AA79" t="s">
        <v>49</v>
      </c>
      <c r="AB79" t="s">
        <v>50</v>
      </c>
      <c r="AC79" t="s">
        <v>117</v>
      </c>
      <c r="AD79" t="s">
        <v>52</v>
      </c>
      <c r="AE79" t="s">
        <v>53</v>
      </c>
      <c r="AF79" t="s">
        <v>54</v>
      </c>
      <c r="AG79" t="s">
        <v>52</v>
      </c>
      <c r="AH79" t="s">
        <v>65</v>
      </c>
      <c r="AK79">
        <v>5</v>
      </c>
      <c r="AL79">
        <v>5</v>
      </c>
      <c r="AM79" t="s">
        <v>150</v>
      </c>
      <c r="AN79">
        <v>729</v>
      </c>
      <c r="AO79" t="s">
        <v>56</v>
      </c>
      <c r="AP79">
        <v>160</v>
      </c>
      <c r="AQ79" t="s">
        <v>118</v>
      </c>
      <c r="AR79">
        <v>7.86</v>
      </c>
      <c r="AS79" t="s">
        <v>56</v>
      </c>
      <c r="AT79">
        <v>0.09</v>
      </c>
      <c r="AU79">
        <v>822</v>
      </c>
      <c r="AV79" t="s">
        <v>56</v>
      </c>
      <c r="AW79">
        <v>743</v>
      </c>
      <c r="AX79">
        <v>7.85</v>
      </c>
      <c r="AY79" t="s">
        <v>56</v>
      </c>
      <c r="AZ79">
        <v>0.13</v>
      </c>
      <c r="BB79">
        <f>LOG(AU79)</f>
        <v>2.9148718175400505</v>
      </c>
      <c r="BC79">
        <v>11.8</v>
      </c>
      <c r="BD79" t="s">
        <v>56</v>
      </c>
      <c r="BE79">
        <v>0.4</v>
      </c>
      <c r="BF79">
        <v>16</v>
      </c>
      <c r="BG79" t="s">
        <v>56</v>
      </c>
      <c r="BH79">
        <v>0.4</v>
      </c>
      <c r="BI79">
        <v>93</v>
      </c>
      <c r="BJ79">
        <v>4.3</v>
      </c>
      <c r="BK79" t="s">
        <v>158</v>
      </c>
      <c r="BL79" t="s">
        <v>158</v>
      </c>
      <c r="BM79" t="s">
        <v>149</v>
      </c>
      <c r="BN79" t="s">
        <v>81</v>
      </c>
      <c r="BO79" t="s">
        <v>56</v>
      </c>
      <c r="BP79" t="s">
        <v>127</v>
      </c>
      <c r="BR79" t="s">
        <v>122</v>
      </c>
      <c r="BT79">
        <v>0.64</v>
      </c>
      <c r="BU79">
        <v>0.64367799999999997</v>
      </c>
      <c r="BV79">
        <v>0.1</v>
      </c>
      <c r="BW79">
        <f>BV79*SQRT(AK79)</f>
        <v>0.22360679774997899</v>
      </c>
      <c r="BX79">
        <v>0.47</v>
      </c>
      <c r="BY79">
        <v>0.46666669999999999</v>
      </c>
      <c r="BZ79">
        <v>0.1</v>
      </c>
      <c r="CA79">
        <f>BZ79*SQRT(AL79)</f>
        <v>0.22360679774997899</v>
      </c>
      <c r="CB79">
        <v>60</v>
      </c>
      <c r="CC79">
        <v>5</v>
      </c>
      <c r="CD79">
        <v>-0.32200000000000001</v>
      </c>
      <c r="CE79">
        <v>7.4999999999999997E-2</v>
      </c>
    </row>
    <row r="80" spans="4:83" hidden="1" x14ac:dyDescent="0.2">
      <c r="D80">
        <v>6</v>
      </c>
      <c r="G80" t="s">
        <v>43</v>
      </c>
      <c r="H80" t="s">
        <v>115</v>
      </c>
      <c r="J80">
        <v>2011</v>
      </c>
      <c r="M80" t="s">
        <v>116</v>
      </c>
      <c r="T80" t="s">
        <v>136</v>
      </c>
      <c r="U80" t="s">
        <v>159</v>
      </c>
      <c r="V80" t="s">
        <v>160</v>
      </c>
      <c r="Z80" t="s">
        <v>49</v>
      </c>
      <c r="AA80" t="s">
        <v>49</v>
      </c>
      <c r="AB80" t="s">
        <v>50</v>
      </c>
      <c r="AC80" t="s">
        <v>117</v>
      </c>
      <c r="AD80" t="s">
        <v>52</v>
      </c>
      <c r="AE80" t="s">
        <v>53</v>
      </c>
      <c r="AF80" t="s">
        <v>52</v>
      </c>
      <c r="AG80" t="s">
        <v>52</v>
      </c>
      <c r="AH80" t="s">
        <v>64</v>
      </c>
      <c r="AK80">
        <v>5</v>
      </c>
      <c r="AL80">
        <v>5</v>
      </c>
      <c r="AM80" t="s">
        <v>123</v>
      </c>
      <c r="AN80">
        <v>729</v>
      </c>
      <c r="AO80" t="s">
        <v>56</v>
      </c>
      <c r="AP80">
        <v>160</v>
      </c>
      <c r="AQ80" t="s">
        <v>118</v>
      </c>
      <c r="AR80">
        <v>7.86</v>
      </c>
      <c r="AS80" t="s">
        <v>56</v>
      </c>
      <c r="AT80">
        <v>0.09</v>
      </c>
      <c r="AU80">
        <v>3010</v>
      </c>
      <c r="AV80" t="s">
        <v>56</v>
      </c>
      <c r="AW80">
        <v>4141</v>
      </c>
      <c r="AX80">
        <v>6.66</v>
      </c>
      <c r="AY80" t="s">
        <v>56</v>
      </c>
      <c r="AZ80">
        <v>0.19</v>
      </c>
      <c r="BB80">
        <f>LOG(AU80)</f>
        <v>3.4785664955938436</v>
      </c>
      <c r="BC80">
        <v>11.8</v>
      </c>
      <c r="BD80" t="s">
        <v>56</v>
      </c>
      <c r="BE80">
        <v>0.4</v>
      </c>
      <c r="BF80">
        <v>15.5</v>
      </c>
      <c r="BG80" t="s">
        <v>56</v>
      </c>
      <c r="BH80">
        <v>1.5</v>
      </c>
      <c r="BI80">
        <v>2281</v>
      </c>
      <c r="BJ80">
        <v>3.7</v>
      </c>
      <c r="BK80" t="s">
        <v>161</v>
      </c>
      <c r="BL80" t="s">
        <v>120</v>
      </c>
      <c r="BM80" t="s">
        <v>120</v>
      </c>
      <c r="BN80" t="s">
        <v>81</v>
      </c>
      <c r="BO80" t="s">
        <v>121</v>
      </c>
      <c r="BP80" t="s">
        <v>83</v>
      </c>
      <c r="BR80" t="s">
        <v>122</v>
      </c>
      <c r="BT80">
        <v>21</v>
      </c>
      <c r="BU80">
        <v>20.995671000000002</v>
      </c>
      <c r="BV80">
        <v>3.030303</v>
      </c>
      <c r="BW80">
        <f>BV80*SQRT(AK80)</f>
        <v>6.775963500421545</v>
      </c>
      <c r="BX80">
        <v>15.26</v>
      </c>
      <c r="BY80">
        <v>15.259740300000001</v>
      </c>
      <c r="BZ80">
        <v>6.39</v>
      </c>
      <c r="CA80">
        <f>BZ80*SQRT(AL80)</f>
        <v>14.288474376223656</v>
      </c>
      <c r="CB80">
        <v>60</v>
      </c>
      <c r="CC80">
        <v>5</v>
      </c>
      <c r="CD80">
        <v>-0.31900000000000001</v>
      </c>
      <c r="CE80">
        <v>0.19589999999999999</v>
      </c>
    </row>
    <row r="81" spans="4:83" hidden="1" x14ac:dyDescent="0.2">
      <c r="D81">
        <v>6</v>
      </c>
      <c r="G81" t="s">
        <v>43</v>
      </c>
      <c r="H81" t="s">
        <v>115</v>
      </c>
      <c r="J81">
        <v>2011</v>
      </c>
      <c r="M81" t="s">
        <v>116</v>
      </c>
      <c r="T81" t="s">
        <v>151</v>
      </c>
      <c r="U81" t="s">
        <v>152</v>
      </c>
      <c r="V81" t="s">
        <v>153</v>
      </c>
      <c r="Z81" t="s">
        <v>49</v>
      </c>
      <c r="AA81" t="s">
        <v>49</v>
      </c>
      <c r="AB81" t="s">
        <v>50</v>
      </c>
      <c r="AC81" t="s">
        <v>117</v>
      </c>
      <c r="AD81" t="s">
        <v>52</v>
      </c>
      <c r="AE81" t="s">
        <v>56</v>
      </c>
      <c r="AF81" t="s">
        <v>52</v>
      </c>
      <c r="AG81" t="s">
        <v>52</v>
      </c>
      <c r="AH81" t="s">
        <v>64</v>
      </c>
      <c r="AK81">
        <v>5</v>
      </c>
      <c r="AL81">
        <v>5</v>
      </c>
      <c r="AM81" t="s">
        <v>123</v>
      </c>
      <c r="AN81">
        <v>729</v>
      </c>
      <c r="AO81" t="s">
        <v>56</v>
      </c>
      <c r="AP81">
        <v>160</v>
      </c>
      <c r="AQ81" t="s">
        <v>118</v>
      </c>
      <c r="AR81">
        <v>7.86</v>
      </c>
      <c r="AS81" t="s">
        <v>56</v>
      </c>
      <c r="AT81">
        <v>0.09</v>
      </c>
      <c r="AU81">
        <v>2612</v>
      </c>
      <c r="AV81" t="s">
        <v>56</v>
      </c>
      <c r="AW81">
        <v>547</v>
      </c>
      <c r="AX81">
        <v>7.37</v>
      </c>
      <c r="AY81" t="s">
        <v>56</v>
      </c>
      <c r="AZ81">
        <v>0.1</v>
      </c>
      <c r="BB81">
        <f>LOG(AU81)</f>
        <v>3.4169731726030363</v>
      </c>
      <c r="BC81">
        <v>11.8</v>
      </c>
      <c r="BD81" t="s">
        <v>56</v>
      </c>
      <c r="BE81">
        <v>0.4</v>
      </c>
      <c r="BF81">
        <v>15.8</v>
      </c>
      <c r="BG81" t="s">
        <v>56</v>
      </c>
      <c r="BH81">
        <v>0.3</v>
      </c>
      <c r="BI81">
        <v>1882</v>
      </c>
      <c r="BJ81">
        <v>4</v>
      </c>
      <c r="BK81" t="s">
        <v>56</v>
      </c>
      <c r="BL81" t="s">
        <v>149</v>
      </c>
      <c r="BM81" t="s">
        <v>149</v>
      </c>
      <c r="BN81" t="s">
        <v>81</v>
      </c>
      <c r="BO81" t="s">
        <v>56</v>
      </c>
      <c r="BP81" t="s">
        <v>127</v>
      </c>
      <c r="BR81" t="s">
        <v>122</v>
      </c>
      <c r="BT81">
        <v>0.76</v>
      </c>
      <c r="BU81">
        <v>0.75955099999999998</v>
      </c>
      <c r="BV81">
        <v>8.5392999999999997E-2</v>
      </c>
      <c r="BW81">
        <f>BV81*SQRT(AK81)</f>
        <v>0.19094455280263956</v>
      </c>
      <c r="BX81">
        <v>0.56000000000000005</v>
      </c>
      <c r="BY81">
        <v>0.56404489999999996</v>
      </c>
      <c r="BZ81">
        <v>0.03</v>
      </c>
      <c r="CA81">
        <f>BZ81*SQRT(AL81)</f>
        <v>6.7082039324993695E-2</v>
      </c>
      <c r="CB81">
        <v>60</v>
      </c>
      <c r="CC81">
        <v>5</v>
      </c>
      <c r="CD81">
        <v>-0.29799999999999999</v>
      </c>
      <c r="CE81">
        <v>1.49E-2</v>
      </c>
    </row>
    <row r="82" spans="4:83" hidden="1" x14ac:dyDescent="0.2">
      <c r="D82">
        <v>6</v>
      </c>
      <c r="G82" t="s">
        <v>43</v>
      </c>
      <c r="H82" t="s">
        <v>115</v>
      </c>
      <c r="J82">
        <v>2011</v>
      </c>
      <c r="M82" t="s">
        <v>116</v>
      </c>
      <c r="T82" t="s">
        <v>46</v>
      </c>
      <c r="U82" t="s">
        <v>56</v>
      </c>
      <c r="V82" t="s">
        <v>56</v>
      </c>
      <c r="Z82" t="s">
        <v>49</v>
      </c>
      <c r="AA82" t="s">
        <v>49</v>
      </c>
      <c r="AB82" t="s">
        <v>50</v>
      </c>
      <c r="AC82" t="s">
        <v>117</v>
      </c>
      <c r="AD82" t="s">
        <v>52</v>
      </c>
      <c r="AE82" t="s">
        <v>56</v>
      </c>
      <c r="AF82" t="s">
        <v>52</v>
      </c>
      <c r="AG82" t="s">
        <v>54</v>
      </c>
      <c r="AH82" t="s">
        <v>55</v>
      </c>
      <c r="AK82">
        <v>5</v>
      </c>
      <c r="AL82">
        <v>5</v>
      </c>
      <c r="AM82" t="s">
        <v>123</v>
      </c>
      <c r="AN82">
        <v>729</v>
      </c>
      <c r="AO82" t="s">
        <v>56</v>
      </c>
      <c r="AP82">
        <v>160</v>
      </c>
      <c r="AQ82" t="s">
        <v>118</v>
      </c>
      <c r="AR82">
        <v>7.86</v>
      </c>
      <c r="AS82" t="s">
        <v>56</v>
      </c>
      <c r="AT82">
        <v>0.09</v>
      </c>
      <c r="AU82">
        <v>1296</v>
      </c>
      <c r="AV82" t="s">
        <v>56</v>
      </c>
      <c r="AW82">
        <v>245</v>
      </c>
      <c r="AX82">
        <v>7.66</v>
      </c>
      <c r="AY82" t="s">
        <v>56</v>
      </c>
      <c r="AZ82">
        <v>0.08</v>
      </c>
      <c r="BB82">
        <f>LOG(AU82)</f>
        <v>3.1126050015345745</v>
      </c>
      <c r="BC82">
        <v>11.8</v>
      </c>
      <c r="BD82" t="s">
        <v>56</v>
      </c>
      <c r="BE82">
        <v>0.4</v>
      </c>
      <c r="BF82">
        <v>11.9</v>
      </c>
      <c r="BG82" t="s">
        <v>56</v>
      </c>
      <c r="BH82">
        <v>0.4</v>
      </c>
      <c r="BI82">
        <v>566</v>
      </c>
      <c r="BJ82">
        <v>0.2</v>
      </c>
      <c r="BK82" t="s">
        <v>119</v>
      </c>
      <c r="BL82" t="s">
        <v>120</v>
      </c>
      <c r="BM82" t="s">
        <v>120</v>
      </c>
      <c r="BN82" t="s">
        <v>81</v>
      </c>
      <c r="BO82" t="s">
        <v>121</v>
      </c>
      <c r="BP82" t="s">
        <v>83</v>
      </c>
      <c r="BR82" t="s">
        <v>122</v>
      </c>
      <c r="BT82">
        <v>6.78</v>
      </c>
      <c r="BU82">
        <v>6.7764709999999999</v>
      </c>
      <c r="BV82">
        <v>2.8E-3</v>
      </c>
      <c r="BW82">
        <f>BV82*SQRT(AK82)</f>
        <v>6.2609903369994111E-3</v>
      </c>
      <c r="BX82">
        <v>5.08</v>
      </c>
      <c r="BY82">
        <v>5.0823529000000001</v>
      </c>
      <c r="BZ82">
        <v>0.01</v>
      </c>
      <c r="CA82">
        <f>BZ82*SQRT(AL82)</f>
        <v>2.2360679774997897E-2</v>
      </c>
      <c r="CB82">
        <v>60</v>
      </c>
      <c r="CC82">
        <v>5</v>
      </c>
      <c r="CD82">
        <v>-0.28799999999999998</v>
      </c>
      <c r="CE82">
        <v>1E-4</v>
      </c>
    </row>
    <row r="83" spans="4:83" hidden="1" x14ac:dyDescent="0.2">
      <c r="D83">
        <v>6</v>
      </c>
      <c r="G83" t="s">
        <v>114</v>
      </c>
      <c r="H83" t="s">
        <v>115</v>
      </c>
      <c r="J83">
        <v>2011</v>
      </c>
      <c r="M83" t="s">
        <v>116</v>
      </c>
      <c r="T83" t="s">
        <v>136</v>
      </c>
      <c r="U83" t="s">
        <v>56</v>
      </c>
      <c r="V83" t="s">
        <v>56</v>
      </c>
      <c r="Z83" t="s">
        <v>49</v>
      </c>
      <c r="AA83" t="s">
        <v>49</v>
      </c>
      <c r="AB83" t="s">
        <v>50</v>
      </c>
      <c r="AC83" t="s">
        <v>117</v>
      </c>
      <c r="AD83" t="s">
        <v>52</v>
      </c>
      <c r="AE83" t="s">
        <v>53</v>
      </c>
      <c r="AF83" t="s">
        <v>54</v>
      </c>
      <c r="AG83" t="s">
        <v>52</v>
      </c>
      <c r="AH83" t="s">
        <v>65</v>
      </c>
      <c r="AK83">
        <v>5</v>
      </c>
      <c r="AL83">
        <v>5</v>
      </c>
      <c r="AM83" t="s">
        <v>150</v>
      </c>
      <c r="AN83">
        <v>729</v>
      </c>
      <c r="AO83" t="s">
        <v>56</v>
      </c>
      <c r="AP83">
        <v>160</v>
      </c>
      <c r="AQ83" t="s">
        <v>118</v>
      </c>
      <c r="AR83">
        <v>7.86</v>
      </c>
      <c r="AS83" t="s">
        <v>56</v>
      </c>
      <c r="AT83">
        <v>0.09</v>
      </c>
      <c r="AU83">
        <v>822</v>
      </c>
      <c r="AV83" t="s">
        <v>56</v>
      </c>
      <c r="AW83">
        <v>743</v>
      </c>
      <c r="AX83">
        <v>7.85</v>
      </c>
      <c r="AY83" t="s">
        <v>56</v>
      </c>
      <c r="AZ83">
        <v>0.13</v>
      </c>
      <c r="BB83">
        <f>LOG(AU83)</f>
        <v>2.9148718175400505</v>
      </c>
      <c r="BC83">
        <v>11.8</v>
      </c>
      <c r="BD83" t="s">
        <v>56</v>
      </c>
      <c r="BE83">
        <v>0.4</v>
      </c>
      <c r="BF83">
        <v>16</v>
      </c>
      <c r="BG83" t="s">
        <v>56</v>
      </c>
      <c r="BH83">
        <v>0.4</v>
      </c>
      <c r="BI83">
        <v>93</v>
      </c>
      <c r="BJ83">
        <v>4.3</v>
      </c>
      <c r="BK83" t="s">
        <v>148</v>
      </c>
      <c r="BL83" t="s">
        <v>148</v>
      </c>
      <c r="BM83" t="s">
        <v>149</v>
      </c>
      <c r="BN83" t="s">
        <v>81</v>
      </c>
      <c r="BO83" t="s">
        <v>56</v>
      </c>
      <c r="BP83" t="s">
        <v>127</v>
      </c>
      <c r="BR83" t="s">
        <v>122</v>
      </c>
      <c r="BT83">
        <v>0.81</v>
      </c>
      <c r="BU83">
        <v>0.80974500000000005</v>
      </c>
      <c r="BV83">
        <v>0.04</v>
      </c>
      <c r="BW83">
        <f>BV83*SQRT(AK83)</f>
        <v>8.9442719099991588E-2</v>
      </c>
      <c r="BX83">
        <v>0.61</v>
      </c>
      <c r="BY83">
        <v>0.61252899999999999</v>
      </c>
      <c r="BZ83">
        <v>0.24</v>
      </c>
      <c r="CA83">
        <f>BZ83*SQRT(AL83)</f>
        <v>0.53665631459994956</v>
      </c>
      <c r="CB83">
        <v>60</v>
      </c>
      <c r="CC83">
        <v>5</v>
      </c>
      <c r="CD83">
        <v>-0.27900000000000003</v>
      </c>
      <c r="CE83">
        <v>0.15820000000000001</v>
      </c>
    </row>
    <row r="84" spans="4:83" hidden="1" x14ac:dyDescent="0.2">
      <c r="D84">
        <v>6</v>
      </c>
      <c r="G84" t="s">
        <v>114</v>
      </c>
      <c r="H84" t="s">
        <v>115</v>
      </c>
      <c r="J84">
        <v>2011</v>
      </c>
      <c r="M84" t="s">
        <v>116</v>
      </c>
      <c r="T84" t="s">
        <v>131</v>
      </c>
      <c r="U84" t="s">
        <v>56</v>
      </c>
      <c r="V84" t="s">
        <v>56</v>
      </c>
      <c r="Z84" t="s">
        <v>49</v>
      </c>
      <c r="AA84" t="s">
        <v>49</v>
      </c>
      <c r="AB84" t="s">
        <v>50</v>
      </c>
      <c r="AC84" t="s">
        <v>117</v>
      </c>
      <c r="AD84" t="s">
        <v>52</v>
      </c>
      <c r="AE84" t="s">
        <v>53</v>
      </c>
      <c r="AF84" t="s">
        <v>52</v>
      </c>
      <c r="AG84" t="s">
        <v>54</v>
      </c>
      <c r="AH84" t="s">
        <v>55</v>
      </c>
      <c r="AK84">
        <v>5</v>
      </c>
      <c r="AL84">
        <v>5</v>
      </c>
      <c r="AM84" t="s">
        <v>150</v>
      </c>
      <c r="AN84">
        <v>729</v>
      </c>
      <c r="AO84" t="s">
        <v>56</v>
      </c>
      <c r="AP84">
        <v>160</v>
      </c>
      <c r="AQ84" t="s">
        <v>118</v>
      </c>
      <c r="AR84">
        <v>7.86</v>
      </c>
      <c r="AS84" t="s">
        <v>56</v>
      </c>
      <c r="AT84">
        <v>0.09</v>
      </c>
      <c r="AU84">
        <v>1296</v>
      </c>
      <c r="AV84" t="s">
        <v>56</v>
      </c>
      <c r="AW84">
        <v>245</v>
      </c>
      <c r="AX84">
        <v>7.66</v>
      </c>
      <c r="AY84" t="s">
        <v>56</v>
      </c>
      <c r="AZ84">
        <v>0.08</v>
      </c>
      <c r="BB84">
        <f>LOG(AU84)</f>
        <v>3.1126050015345745</v>
      </c>
      <c r="BC84">
        <v>11.8</v>
      </c>
      <c r="BD84" t="s">
        <v>56</v>
      </c>
      <c r="BE84">
        <v>0.4</v>
      </c>
      <c r="BF84">
        <v>11.9</v>
      </c>
      <c r="BG84" t="s">
        <v>56</v>
      </c>
      <c r="BH84">
        <v>0.4</v>
      </c>
      <c r="BI84">
        <v>566</v>
      </c>
      <c r="BJ84">
        <v>0.2</v>
      </c>
      <c r="BK84" t="s">
        <v>158</v>
      </c>
      <c r="BL84" t="s">
        <v>158</v>
      </c>
      <c r="BM84" t="s">
        <v>149</v>
      </c>
      <c r="BN84" t="s">
        <v>81</v>
      </c>
      <c r="BO84" t="s">
        <v>56</v>
      </c>
      <c r="BP84" t="s">
        <v>127</v>
      </c>
      <c r="BR84" t="s">
        <v>122</v>
      </c>
      <c r="BT84">
        <v>0.64</v>
      </c>
      <c r="BU84">
        <v>0.64367799999999997</v>
      </c>
      <c r="BV84">
        <v>0.1</v>
      </c>
      <c r="BW84">
        <f>BV84*SQRT(AK84)</f>
        <v>0.22360679774997899</v>
      </c>
      <c r="BX84">
        <v>0.49</v>
      </c>
      <c r="BY84">
        <v>0.491954</v>
      </c>
      <c r="BZ84">
        <v>0.02</v>
      </c>
      <c r="CA84">
        <f>BZ84*SQRT(AL84)</f>
        <v>4.4721359549995794E-2</v>
      </c>
      <c r="CB84">
        <v>60</v>
      </c>
      <c r="CC84">
        <v>5</v>
      </c>
      <c r="CD84">
        <v>-0.26900000000000002</v>
      </c>
      <c r="CE84">
        <v>2.69E-2</v>
      </c>
    </row>
    <row r="85" spans="4:83" hidden="1" x14ac:dyDescent="0.2">
      <c r="D85">
        <v>6</v>
      </c>
      <c r="G85" t="s">
        <v>43</v>
      </c>
      <c r="H85" t="s">
        <v>115</v>
      </c>
      <c r="J85">
        <v>2011</v>
      </c>
      <c r="M85" t="s">
        <v>116</v>
      </c>
      <c r="T85" t="s">
        <v>151</v>
      </c>
      <c r="U85" t="s">
        <v>56</v>
      </c>
      <c r="V85" t="s">
        <v>56</v>
      </c>
      <c r="Z85" t="s">
        <v>49</v>
      </c>
      <c r="AA85" t="s">
        <v>49</v>
      </c>
      <c r="AB85" t="s">
        <v>50</v>
      </c>
      <c r="AC85" t="s">
        <v>117</v>
      </c>
      <c r="AD85" t="s">
        <v>52</v>
      </c>
      <c r="AE85" t="s">
        <v>56</v>
      </c>
      <c r="AF85" t="s">
        <v>52</v>
      </c>
      <c r="AG85" t="s">
        <v>52</v>
      </c>
      <c r="AH85" t="s">
        <v>64</v>
      </c>
      <c r="AK85">
        <v>5</v>
      </c>
      <c r="AL85">
        <v>5</v>
      </c>
      <c r="AM85" t="s">
        <v>123</v>
      </c>
      <c r="AN85">
        <v>729</v>
      </c>
      <c r="AO85" t="s">
        <v>56</v>
      </c>
      <c r="AP85">
        <v>160</v>
      </c>
      <c r="AQ85" t="s">
        <v>118</v>
      </c>
      <c r="AR85">
        <v>7.86</v>
      </c>
      <c r="AS85" t="s">
        <v>56</v>
      </c>
      <c r="AT85">
        <v>0.09</v>
      </c>
      <c r="AU85">
        <v>3010</v>
      </c>
      <c r="AV85" t="s">
        <v>56</v>
      </c>
      <c r="AW85">
        <v>4141</v>
      </c>
      <c r="AX85">
        <v>6.66</v>
      </c>
      <c r="AY85" t="s">
        <v>56</v>
      </c>
      <c r="AZ85">
        <v>0.19</v>
      </c>
      <c r="BB85">
        <f>LOG(AU85)</f>
        <v>3.4785664955938436</v>
      </c>
      <c r="BC85">
        <v>11.8</v>
      </c>
      <c r="BD85" t="s">
        <v>56</v>
      </c>
      <c r="BE85">
        <v>0.4</v>
      </c>
      <c r="BF85">
        <v>15.5</v>
      </c>
      <c r="BG85" t="s">
        <v>56</v>
      </c>
      <c r="BH85">
        <v>1.5</v>
      </c>
      <c r="BI85">
        <v>2281</v>
      </c>
      <c r="BJ85">
        <v>3.7</v>
      </c>
      <c r="BK85" t="s">
        <v>56</v>
      </c>
      <c r="BL85" t="s">
        <v>120</v>
      </c>
      <c r="BM85" t="s">
        <v>120</v>
      </c>
      <c r="BN85" t="s">
        <v>81</v>
      </c>
      <c r="BO85" t="s">
        <v>121</v>
      </c>
      <c r="BP85" t="s">
        <v>83</v>
      </c>
      <c r="BR85" t="s">
        <v>122</v>
      </c>
      <c r="BT85">
        <v>333.62</v>
      </c>
      <c r="BU85">
        <v>333.61702100000002</v>
      </c>
      <c r="BV85">
        <v>56.595745000000001</v>
      </c>
      <c r="BW85">
        <f>BV85*SQRT(AK85)</f>
        <v>126.55193305724384</v>
      </c>
      <c r="BX85">
        <v>256.17</v>
      </c>
      <c r="BY85">
        <v>256.1702128</v>
      </c>
      <c r="BZ85">
        <v>59.57</v>
      </c>
      <c r="CA85">
        <f>BZ85*SQRT(AL85)</f>
        <v>133.20256941966247</v>
      </c>
      <c r="CB85">
        <v>60</v>
      </c>
      <c r="CC85">
        <v>5</v>
      </c>
      <c r="CD85">
        <v>-0.26400000000000001</v>
      </c>
      <c r="CE85">
        <v>8.2900000000000001E-2</v>
      </c>
    </row>
    <row r="86" spans="4:83" hidden="1" x14ac:dyDescent="0.2">
      <c r="D86">
        <v>6</v>
      </c>
      <c r="G86" t="s">
        <v>114</v>
      </c>
      <c r="H86" t="s">
        <v>115</v>
      </c>
      <c r="J86">
        <v>2011</v>
      </c>
      <c r="M86" t="s">
        <v>116</v>
      </c>
      <c r="T86" t="s">
        <v>136</v>
      </c>
      <c r="U86" t="s">
        <v>56</v>
      </c>
      <c r="V86" t="s">
        <v>56</v>
      </c>
      <c r="Z86" t="s">
        <v>49</v>
      </c>
      <c r="AA86" t="s">
        <v>49</v>
      </c>
      <c r="AB86" t="s">
        <v>50</v>
      </c>
      <c r="AC86" t="s">
        <v>117</v>
      </c>
      <c r="AD86" t="s">
        <v>52</v>
      </c>
      <c r="AE86" t="s">
        <v>53</v>
      </c>
      <c r="AF86" t="s">
        <v>52</v>
      </c>
      <c r="AG86" t="s">
        <v>52</v>
      </c>
      <c r="AH86" t="s">
        <v>64</v>
      </c>
      <c r="AK86">
        <v>5</v>
      </c>
      <c r="AL86">
        <v>5</v>
      </c>
      <c r="AM86" t="s">
        <v>150</v>
      </c>
      <c r="AN86">
        <v>729</v>
      </c>
      <c r="AO86" t="s">
        <v>56</v>
      </c>
      <c r="AP86">
        <v>160</v>
      </c>
      <c r="AQ86" t="s">
        <v>118</v>
      </c>
      <c r="AR86">
        <v>7.86</v>
      </c>
      <c r="AS86" t="s">
        <v>56</v>
      </c>
      <c r="AT86">
        <v>0.09</v>
      </c>
      <c r="AU86">
        <v>1423</v>
      </c>
      <c r="AV86" t="s">
        <v>56</v>
      </c>
      <c r="AW86">
        <v>389</v>
      </c>
      <c r="AX86">
        <v>7.61</v>
      </c>
      <c r="AY86" t="s">
        <v>56</v>
      </c>
      <c r="AZ86">
        <v>0.15</v>
      </c>
      <c r="BB86">
        <f>LOG(AU86)</f>
        <v>3.1532049000842841</v>
      </c>
      <c r="BC86">
        <v>11.8</v>
      </c>
      <c r="BD86" t="s">
        <v>56</v>
      </c>
      <c r="BE86">
        <v>0.4</v>
      </c>
      <c r="BF86">
        <v>16</v>
      </c>
      <c r="BG86" t="s">
        <v>56</v>
      </c>
      <c r="BH86">
        <v>0.6</v>
      </c>
      <c r="BI86">
        <v>694</v>
      </c>
      <c r="BJ86">
        <v>4.2</v>
      </c>
      <c r="BK86" t="s">
        <v>148</v>
      </c>
      <c r="BL86" t="s">
        <v>148</v>
      </c>
      <c r="BM86" t="s">
        <v>149</v>
      </c>
      <c r="BN86" t="s">
        <v>81</v>
      </c>
      <c r="BO86" t="s">
        <v>56</v>
      </c>
      <c r="BP86" t="s">
        <v>127</v>
      </c>
      <c r="BR86" t="s">
        <v>122</v>
      </c>
      <c r="BT86">
        <v>0.81</v>
      </c>
      <c r="BU86">
        <v>0.80974500000000005</v>
      </c>
      <c r="BV86">
        <v>0.04</v>
      </c>
      <c r="BW86">
        <f>BV86*SQRT(AK86)</f>
        <v>8.9442719099991588E-2</v>
      </c>
      <c r="BX86">
        <v>0.62</v>
      </c>
      <c r="BY86">
        <v>0.62180970000000002</v>
      </c>
      <c r="BZ86">
        <v>0.28999999999999998</v>
      </c>
      <c r="CA86">
        <f>BZ86*SQRT(AL86)</f>
        <v>0.64845971347493903</v>
      </c>
      <c r="CB86">
        <v>60</v>
      </c>
      <c r="CC86">
        <v>5</v>
      </c>
      <c r="CD86">
        <v>-0.26400000000000001</v>
      </c>
      <c r="CE86">
        <v>0.224</v>
      </c>
    </row>
    <row r="87" spans="4:83" hidden="1" x14ac:dyDescent="0.2">
      <c r="D87">
        <v>6</v>
      </c>
      <c r="G87" t="s">
        <v>114</v>
      </c>
      <c r="H87" t="s">
        <v>115</v>
      </c>
      <c r="J87">
        <v>2011</v>
      </c>
      <c r="M87" t="s">
        <v>116</v>
      </c>
      <c r="T87" t="s">
        <v>131</v>
      </c>
      <c r="U87" t="s">
        <v>56</v>
      </c>
      <c r="V87" t="s">
        <v>56</v>
      </c>
      <c r="Z87" t="s">
        <v>49</v>
      </c>
      <c r="AA87" t="s">
        <v>49</v>
      </c>
      <c r="AB87" t="s">
        <v>50</v>
      </c>
      <c r="AC87" t="s">
        <v>117</v>
      </c>
      <c r="AD87" t="s">
        <v>52</v>
      </c>
      <c r="AE87" t="s">
        <v>53</v>
      </c>
      <c r="AF87" t="s">
        <v>52</v>
      </c>
      <c r="AG87" t="s">
        <v>52</v>
      </c>
      <c r="AH87" t="s">
        <v>64</v>
      </c>
      <c r="AK87">
        <v>5</v>
      </c>
      <c r="AL87">
        <v>5</v>
      </c>
      <c r="AM87" t="s">
        <v>150</v>
      </c>
      <c r="AN87">
        <v>729</v>
      </c>
      <c r="AO87" t="s">
        <v>56</v>
      </c>
      <c r="AP87">
        <v>160</v>
      </c>
      <c r="AQ87" t="s">
        <v>118</v>
      </c>
      <c r="AR87">
        <v>7.86</v>
      </c>
      <c r="AS87" t="s">
        <v>56</v>
      </c>
      <c r="AT87">
        <v>0.09</v>
      </c>
      <c r="AU87">
        <v>2612</v>
      </c>
      <c r="AV87" t="s">
        <v>56</v>
      </c>
      <c r="AW87">
        <v>547</v>
      </c>
      <c r="AX87">
        <v>7.37</v>
      </c>
      <c r="AY87" t="s">
        <v>56</v>
      </c>
      <c r="AZ87">
        <v>0.1</v>
      </c>
      <c r="BB87">
        <f>LOG(AU87)</f>
        <v>3.4169731726030363</v>
      </c>
      <c r="BC87">
        <v>11.8</v>
      </c>
      <c r="BD87" t="s">
        <v>56</v>
      </c>
      <c r="BE87">
        <v>0.4</v>
      </c>
      <c r="BF87">
        <v>15.8</v>
      </c>
      <c r="BG87" t="s">
        <v>56</v>
      </c>
      <c r="BH87">
        <v>0.3</v>
      </c>
      <c r="BI87">
        <v>1882</v>
      </c>
      <c r="BJ87">
        <v>4</v>
      </c>
      <c r="BK87" t="s">
        <v>158</v>
      </c>
      <c r="BL87" t="s">
        <v>158</v>
      </c>
      <c r="BM87" t="s">
        <v>149</v>
      </c>
      <c r="BN87" t="s">
        <v>81</v>
      </c>
      <c r="BO87" t="s">
        <v>56</v>
      </c>
      <c r="BP87" t="s">
        <v>127</v>
      </c>
      <c r="BR87" t="s">
        <v>122</v>
      </c>
      <c r="BT87">
        <v>0.64</v>
      </c>
      <c r="BU87">
        <v>0.64367799999999997</v>
      </c>
      <c r="BV87">
        <v>0.1</v>
      </c>
      <c r="BW87">
        <f>BV87*SQRT(AK87)</f>
        <v>0.22360679774997899</v>
      </c>
      <c r="BX87">
        <v>0.5</v>
      </c>
      <c r="BY87">
        <v>0.49655169999999998</v>
      </c>
      <c r="BZ87">
        <v>0.14000000000000001</v>
      </c>
      <c r="CA87">
        <f>BZ87*SQRT(AL87)</f>
        <v>0.31304951684997062</v>
      </c>
      <c r="CB87">
        <v>60</v>
      </c>
      <c r="CC87">
        <v>5</v>
      </c>
      <c r="CD87">
        <v>-0.26</v>
      </c>
      <c r="CE87">
        <v>0.1082</v>
      </c>
    </row>
    <row r="88" spans="4:83" hidden="1" x14ac:dyDescent="0.2">
      <c r="D88">
        <v>6</v>
      </c>
      <c r="G88" t="s">
        <v>114</v>
      </c>
      <c r="H88" t="s">
        <v>115</v>
      </c>
      <c r="J88">
        <v>2011</v>
      </c>
      <c r="M88" t="s">
        <v>116</v>
      </c>
      <c r="T88" t="s">
        <v>68</v>
      </c>
      <c r="U88" t="s">
        <v>56</v>
      </c>
      <c r="V88" t="s">
        <v>56</v>
      </c>
      <c r="Z88" t="s">
        <v>49</v>
      </c>
      <c r="AA88" t="s">
        <v>49</v>
      </c>
      <c r="AB88" t="s">
        <v>50</v>
      </c>
      <c r="AC88" t="s">
        <v>117</v>
      </c>
      <c r="AD88" t="s">
        <v>52</v>
      </c>
      <c r="AE88" t="s">
        <v>53</v>
      </c>
      <c r="AF88" t="s">
        <v>52</v>
      </c>
      <c r="AG88" t="s">
        <v>52</v>
      </c>
      <c r="AH88" t="s">
        <v>64</v>
      </c>
      <c r="AK88">
        <v>5</v>
      </c>
      <c r="AL88">
        <v>5</v>
      </c>
      <c r="AM88" t="s">
        <v>140</v>
      </c>
      <c r="AN88">
        <v>729</v>
      </c>
      <c r="AO88" t="s">
        <v>56</v>
      </c>
      <c r="AP88">
        <v>160</v>
      </c>
      <c r="AQ88" t="s">
        <v>118</v>
      </c>
      <c r="AR88">
        <v>7.86</v>
      </c>
      <c r="AS88" t="s">
        <v>56</v>
      </c>
      <c r="AT88">
        <v>0.09</v>
      </c>
      <c r="AU88">
        <v>2612</v>
      </c>
      <c r="AV88" t="s">
        <v>56</v>
      </c>
      <c r="AW88">
        <v>547</v>
      </c>
      <c r="AX88">
        <v>7.37</v>
      </c>
      <c r="AY88" t="s">
        <v>56</v>
      </c>
      <c r="AZ88">
        <v>0.1</v>
      </c>
      <c r="BB88">
        <f>LOG(AU88)</f>
        <v>3.4169731726030363</v>
      </c>
      <c r="BC88">
        <v>11.8</v>
      </c>
      <c r="BD88" t="s">
        <v>56</v>
      </c>
      <c r="BE88">
        <v>0.4</v>
      </c>
      <c r="BF88">
        <v>15.8</v>
      </c>
      <c r="BG88" t="s">
        <v>56</v>
      </c>
      <c r="BH88">
        <v>0.3</v>
      </c>
      <c r="BI88">
        <v>1882</v>
      </c>
      <c r="BJ88">
        <v>4</v>
      </c>
      <c r="BK88" t="s">
        <v>138</v>
      </c>
      <c r="BL88" t="s">
        <v>138</v>
      </c>
      <c r="BM88" t="s">
        <v>139</v>
      </c>
      <c r="BN88" t="s">
        <v>81</v>
      </c>
      <c r="BO88" t="s">
        <v>121</v>
      </c>
      <c r="BP88" t="s">
        <v>127</v>
      </c>
      <c r="BR88" t="s">
        <v>122</v>
      </c>
      <c r="BT88">
        <v>9.1199999999999992</v>
      </c>
      <c r="BU88">
        <v>9.1232229999999994</v>
      </c>
      <c r="BV88">
        <v>0.71</v>
      </c>
      <c r="BW88">
        <f>BV88*SQRT(AK88)</f>
        <v>1.5876082640248508</v>
      </c>
      <c r="BX88">
        <v>7.11</v>
      </c>
      <c r="BY88">
        <v>7.1090046999999998</v>
      </c>
      <c r="BZ88">
        <v>1.36</v>
      </c>
      <c r="CA88">
        <f>BZ88*SQRT(AL88)</f>
        <v>3.0410524493997144</v>
      </c>
      <c r="CB88">
        <v>60</v>
      </c>
      <c r="CC88">
        <v>5</v>
      </c>
      <c r="CD88">
        <v>-0.249</v>
      </c>
      <c r="CE88">
        <v>4.2799999999999998E-2</v>
      </c>
    </row>
    <row r="89" spans="4:83" hidden="1" x14ac:dyDescent="0.2">
      <c r="D89">
        <v>6</v>
      </c>
      <c r="G89" t="s">
        <v>114</v>
      </c>
      <c r="H89" t="s">
        <v>115</v>
      </c>
      <c r="J89">
        <v>2011</v>
      </c>
      <c r="M89" t="s">
        <v>116</v>
      </c>
      <c r="T89" t="s">
        <v>136</v>
      </c>
      <c r="U89" t="s">
        <v>56</v>
      </c>
      <c r="V89" t="s">
        <v>56</v>
      </c>
      <c r="Z89" t="s">
        <v>49</v>
      </c>
      <c r="AA89" t="s">
        <v>49</v>
      </c>
      <c r="AB89" t="s">
        <v>50</v>
      </c>
      <c r="AC89" t="s">
        <v>117</v>
      </c>
      <c r="AD89" t="s">
        <v>52</v>
      </c>
      <c r="AE89" t="s">
        <v>53</v>
      </c>
      <c r="AF89" t="s">
        <v>52</v>
      </c>
      <c r="AG89" t="s">
        <v>54</v>
      </c>
      <c r="AH89" t="s">
        <v>55</v>
      </c>
      <c r="AK89">
        <v>5</v>
      </c>
      <c r="AL89">
        <v>5</v>
      </c>
      <c r="AM89" t="s">
        <v>150</v>
      </c>
      <c r="AN89">
        <v>729</v>
      </c>
      <c r="AO89" t="s">
        <v>56</v>
      </c>
      <c r="AP89">
        <v>160</v>
      </c>
      <c r="AQ89" t="s">
        <v>118</v>
      </c>
      <c r="AR89">
        <v>7.86</v>
      </c>
      <c r="AS89" t="s">
        <v>56</v>
      </c>
      <c r="AT89">
        <v>0.09</v>
      </c>
      <c r="AU89">
        <v>2269</v>
      </c>
      <c r="AV89" t="s">
        <v>56</v>
      </c>
      <c r="AW89">
        <v>3127</v>
      </c>
      <c r="AX89">
        <v>6.81</v>
      </c>
      <c r="AY89" t="s">
        <v>56</v>
      </c>
      <c r="AZ89">
        <v>0.23</v>
      </c>
      <c r="BB89">
        <f>LOG(AU89)</f>
        <v>3.355834495884936</v>
      </c>
      <c r="BC89">
        <v>11.8</v>
      </c>
      <c r="BD89" t="s">
        <v>56</v>
      </c>
      <c r="BE89">
        <v>0.4</v>
      </c>
      <c r="BF89">
        <v>11.5</v>
      </c>
      <c r="BG89" t="s">
        <v>56</v>
      </c>
      <c r="BH89">
        <v>0.4</v>
      </c>
      <c r="BI89">
        <v>1540</v>
      </c>
      <c r="BJ89">
        <v>-0.3</v>
      </c>
      <c r="BK89" t="s">
        <v>148</v>
      </c>
      <c r="BL89" t="s">
        <v>148</v>
      </c>
      <c r="BM89" t="s">
        <v>149</v>
      </c>
      <c r="BN89" t="s">
        <v>81</v>
      </c>
      <c r="BO89" t="s">
        <v>56</v>
      </c>
      <c r="BP89" t="s">
        <v>127</v>
      </c>
      <c r="BR89" t="s">
        <v>122</v>
      </c>
      <c r="BT89">
        <v>0.81</v>
      </c>
      <c r="BU89">
        <v>0.80974500000000005</v>
      </c>
      <c r="BV89">
        <v>0.04</v>
      </c>
      <c r="BW89">
        <f>BV89*SQRT(AK89)</f>
        <v>8.9442719099991588E-2</v>
      </c>
      <c r="BX89">
        <v>0.64</v>
      </c>
      <c r="BY89">
        <v>0.64269140000000002</v>
      </c>
      <c r="BZ89">
        <v>0.03</v>
      </c>
      <c r="CA89">
        <f>BZ89*SQRT(AL89)</f>
        <v>6.7082039324993695E-2</v>
      </c>
      <c r="CB89">
        <v>60</v>
      </c>
      <c r="CC89">
        <v>5</v>
      </c>
      <c r="CD89">
        <v>-0.23100000000000001</v>
      </c>
      <c r="CE89">
        <v>5.8999999999999999E-3</v>
      </c>
    </row>
    <row r="90" spans="4:83" hidden="1" x14ac:dyDescent="0.2">
      <c r="D90">
        <v>6</v>
      </c>
      <c r="G90" t="s">
        <v>43</v>
      </c>
      <c r="H90" t="s">
        <v>115</v>
      </c>
      <c r="J90">
        <v>2011</v>
      </c>
      <c r="M90" t="s">
        <v>116</v>
      </c>
      <c r="T90" t="s">
        <v>151</v>
      </c>
      <c r="U90" t="s">
        <v>152</v>
      </c>
      <c r="V90" t="s">
        <v>153</v>
      </c>
      <c r="Z90" t="s">
        <v>49</v>
      </c>
      <c r="AA90" t="s">
        <v>49</v>
      </c>
      <c r="AB90" t="s">
        <v>50</v>
      </c>
      <c r="AC90" t="s">
        <v>117</v>
      </c>
      <c r="AD90" t="s">
        <v>52</v>
      </c>
      <c r="AE90" t="s">
        <v>56</v>
      </c>
      <c r="AF90" t="s">
        <v>52</v>
      </c>
      <c r="AG90" t="s">
        <v>54</v>
      </c>
      <c r="AH90" t="s">
        <v>55</v>
      </c>
      <c r="AK90">
        <v>5</v>
      </c>
      <c r="AL90">
        <v>5</v>
      </c>
      <c r="AM90" t="s">
        <v>123</v>
      </c>
      <c r="AN90">
        <v>729</v>
      </c>
      <c r="AO90" t="s">
        <v>56</v>
      </c>
      <c r="AP90">
        <v>160</v>
      </c>
      <c r="AQ90" t="s">
        <v>118</v>
      </c>
      <c r="AR90">
        <v>7.86</v>
      </c>
      <c r="AS90" t="s">
        <v>56</v>
      </c>
      <c r="AT90">
        <v>0.09</v>
      </c>
      <c r="AU90">
        <v>2729</v>
      </c>
      <c r="AV90" t="s">
        <v>56</v>
      </c>
      <c r="AW90">
        <v>499</v>
      </c>
      <c r="AX90">
        <v>7.35</v>
      </c>
      <c r="AY90" t="s">
        <v>56</v>
      </c>
      <c r="AZ90">
        <v>7.0000000000000007E-2</v>
      </c>
      <c r="BB90">
        <f>LOG(AU90)</f>
        <v>3.4360035356698964</v>
      </c>
      <c r="BC90">
        <v>11.8</v>
      </c>
      <c r="BD90" t="s">
        <v>56</v>
      </c>
      <c r="BE90">
        <v>0.4</v>
      </c>
      <c r="BF90">
        <v>11.7</v>
      </c>
      <c r="BG90" t="s">
        <v>56</v>
      </c>
      <c r="BH90">
        <v>0.4</v>
      </c>
      <c r="BI90">
        <v>2000</v>
      </c>
      <c r="BJ90">
        <v>-0.1</v>
      </c>
      <c r="BK90" t="s">
        <v>56</v>
      </c>
      <c r="BL90" t="s">
        <v>149</v>
      </c>
      <c r="BM90" t="s">
        <v>149</v>
      </c>
      <c r="BN90" t="s">
        <v>81</v>
      </c>
      <c r="BO90" t="s">
        <v>56</v>
      </c>
      <c r="BP90" t="s">
        <v>127</v>
      </c>
      <c r="BR90" t="s">
        <v>122</v>
      </c>
      <c r="BT90">
        <v>0.76</v>
      </c>
      <c r="BU90">
        <v>0.75955099999999998</v>
      </c>
      <c r="BV90">
        <v>8.5392999999999997E-2</v>
      </c>
      <c r="BW90">
        <f>BV90*SQRT(AK90)</f>
        <v>0.19094455280263956</v>
      </c>
      <c r="BX90">
        <v>0.62</v>
      </c>
      <c r="BY90">
        <v>0.62471909999999997</v>
      </c>
      <c r="BZ90">
        <v>0.11</v>
      </c>
      <c r="CA90">
        <f>BZ90*SQRT(AL90)</f>
        <v>0.24596747752497689</v>
      </c>
      <c r="CB90">
        <v>60</v>
      </c>
      <c r="CC90">
        <v>5</v>
      </c>
      <c r="CD90">
        <v>-0.19500000000000001</v>
      </c>
      <c r="CE90">
        <v>4.1200000000000001E-2</v>
      </c>
    </row>
    <row r="91" spans="4:83" hidden="1" x14ac:dyDescent="0.2">
      <c r="D91">
        <v>6</v>
      </c>
      <c r="G91" t="s">
        <v>43</v>
      </c>
      <c r="H91" t="s">
        <v>115</v>
      </c>
      <c r="J91">
        <v>2011</v>
      </c>
      <c r="M91" t="s">
        <v>116</v>
      </c>
      <c r="T91" t="s">
        <v>136</v>
      </c>
      <c r="U91" t="s">
        <v>159</v>
      </c>
      <c r="V91" t="s">
        <v>160</v>
      </c>
      <c r="Z91" t="s">
        <v>49</v>
      </c>
      <c r="AA91" t="s">
        <v>49</v>
      </c>
      <c r="AB91" t="s">
        <v>50</v>
      </c>
      <c r="AC91" t="s">
        <v>117</v>
      </c>
      <c r="AD91" t="s">
        <v>52</v>
      </c>
      <c r="AE91" t="s">
        <v>53</v>
      </c>
      <c r="AF91" t="s">
        <v>52</v>
      </c>
      <c r="AG91" t="s">
        <v>54</v>
      </c>
      <c r="AH91" t="s">
        <v>55</v>
      </c>
      <c r="AK91">
        <v>5</v>
      </c>
      <c r="AL91">
        <v>5</v>
      </c>
      <c r="AM91" t="s">
        <v>123</v>
      </c>
      <c r="AN91">
        <v>729</v>
      </c>
      <c r="AO91" t="s">
        <v>56</v>
      </c>
      <c r="AP91">
        <v>160</v>
      </c>
      <c r="AQ91" t="s">
        <v>118</v>
      </c>
      <c r="AR91">
        <v>7.86</v>
      </c>
      <c r="AS91" t="s">
        <v>56</v>
      </c>
      <c r="AT91">
        <v>0.09</v>
      </c>
      <c r="AU91">
        <v>2729</v>
      </c>
      <c r="AV91" t="s">
        <v>56</v>
      </c>
      <c r="AW91">
        <v>499</v>
      </c>
      <c r="AX91">
        <v>7.35</v>
      </c>
      <c r="AY91" t="s">
        <v>56</v>
      </c>
      <c r="AZ91">
        <v>7.0000000000000007E-2</v>
      </c>
      <c r="BB91">
        <f>LOG(AU91)</f>
        <v>3.4360035356698964</v>
      </c>
      <c r="BC91">
        <v>11.8</v>
      </c>
      <c r="BD91" t="s">
        <v>56</v>
      </c>
      <c r="BE91">
        <v>0.4</v>
      </c>
      <c r="BF91">
        <v>11.7</v>
      </c>
      <c r="BG91" t="s">
        <v>56</v>
      </c>
      <c r="BH91">
        <v>0.4</v>
      </c>
      <c r="BI91">
        <v>2000</v>
      </c>
      <c r="BJ91">
        <v>-0.1</v>
      </c>
      <c r="BK91" t="s">
        <v>161</v>
      </c>
      <c r="BL91" t="s">
        <v>120</v>
      </c>
      <c r="BM91" t="s">
        <v>120</v>
      </c>
      <c r="BN91" t="s">
        <v>81</v>
      </c>
      <c r="BO91" t="s">
        <v>121</v>
      </c>
      <c r="BP91" t="s">
        <v>83</v>
      </c>
      <c r="BR91" t="s">
        <v>122</v>
      </c>
      <c r="BT91">
        <v>21</v>
      </c>
      <c r="BU91">
        <v>20.995671000000002</v>
      </c>
      <c r="BV91">
        <v>3.030303</v>
      </c>
      <c r="BW91">
        <f>BV91*SQRT(AK91)</f>
        <v>6.775963500421545</v>
      </c>
      <c r="BX91">
        <v>17.32</v>
      </c>
      <c r="BY91">
        <v>17.316017299999999</v>
      </c>
      <c r="BZ91">
        <v>4.87</v>
      </c>
      <c r="CA91">
        <f>BZ91*SQRT(AL91)</f>
        <v>10.889651050423977</v>
      </c>
      <c r="CB91">
        <v>60</v>
      </c>
      <c r="CC91">
        <v>5</v>
      </c>
      <c r="CD91">
        <v>-0.193</v>
      </c>
      <c r="CE91">
        <v>9.9900000000000003E-2</v>
      </c>
    </row>
    <row r="92" spans="4:83" hidden="1" x14ac:dyDescent="0.2">
      <c r="D92">
        <v>6</v>
      </c>
      <c r="G92" t="s">
        <v>114</v>
      </c>
      <c r="H92" t="s">
        <v>115</v>
      </c>
      <c r="J92">
        <v>2011</v>
      </c>
      <c r="M92" t="s">
        <v>116</v>
      </c>
      <c r="T92" t="s">
        <v>136</v>
      </c>
      <c r="U92" t="s">
        <v>56</v>
      </c>
      <c r="V92" t="s">
        <v>56</v>
      </c>
      <c r="Z92" t="s">
        <v>49</v>
      </c>
      <c r="AA92" t="s">
        <v>49</v>
      </c>
      <c r="AB92" t="s">
        <v>50</v>
      </c>
      <c r="AC92" t="s">
        <v>117</v>
      </c>
      <c r="AD92" t="s">
        <v>52</v>
      </c>
      <c r="AE92" t="s">
        <v>53</v>
      </c>
      <c r="AF92" t="s">
        <v>52</v>
      </c>
      <c r="AG92" t="s">
        <v>54</v>
      </c>
      <c r="AH92" t="s">
        <v>55</v>
      </c>
      <c r="AK92">
        <v>5</v>
      </c>
      <c r="AL92">
        <v>5</v>
      </c>
      <c r="AM92" t="s">
        <v>140</v>
      </c>
      <c r="AN92">
        <v>729</v>
      </c>
      <c r="AO92" t="s">
        <v>56</v>
      </c>
      <c r="AP92">
        <v>160</v>
      </c>
      <c r="AQ92" t="s">
        <v>118</v>
      </c>
      <c r="AR92">
        <v>7.86</v>
      </c>
      <c r="AS92" t="s">
        <v>56</v>
      </c>
      <c r="AT92">
        <v>0.09</v>
      </c>
      <c r="AU92">
        <v>2269</v>
      </c>
      <c r="AV92" t="s">
        <v>56</v>
      </c>
      <c r="AW92">
        <v>3127</v>
      </c>
      <c r="AX92">
        <v>6.81</v>
      </c>
      <c r="AY92" t="s">
        <v>56</v>
      </c>
      <c r="AZ92">
        <v>0.23</v>
      </c>
      <c r="BB92">
        <f>LOG(AU92)</f>
        <v>3.355834495884936</v>
      </c>
      <c r="BC92">
        <v>11.8</v>
      </c>
      <c r="BD92" t="s">
        <v>56</v>
      </c>
      <c r="BE92">
        <v>0.4</v>
      </c>
      <c r="BF92">
        <v>11.5</v>
      </c>
      <c r="BG92" t="s">
        <v>56</v>
      </c>
      <c r="BH92">
        <v>0.4</v>
      </c>
      <c r="BI92">
        <v>1540</v>
      </c>
      <c r="BJ92">
        <v>-0.3</v>
      </c>
      <c r="BK92" t="s">
        <v>162</v>
      </c>
      <c r="BL92" t="s">
        <v>162</v>
      </c>
      <c r="BM92" t="s">
        <v>139</v>
      </c>
      <c r="BN92" t="s">
        <v>81</v>
      </c>
      <c r="BO92" t="s">
        <v>121</v>
      </c>
      <c r="BP92" t="s">
        <v>127</v>
      </c>
      <c r="BR92" t="s">
        <v>122</v>
      </c>
      <c r="BT92">
        <v>11.92</v>
      </c>
      <c r="BU92">
        <v>11.922245999999999</v>
      </c>
      <c r="BV92">
        <v>2.0299999999999998</v>
      </c>
      <c r="BW92">
        <f>BV92*SQRT(AK92)</f>
        <v>4.5392179943245727</v>
      </c>
      <c r="BX92">
        <v>9.94</v>
      </c>
      <c r="BY92">
        <v>9.9352052000000004</v>
      </c>
      <c r="BZ92">
        <v>1.34</v>
      </c>
      <c r="CA92">
        <f>BZ92*SQRT(AL92)</f>
        <v>2.9963310898497184</v>
      </c>
      <c r="CB92">
        <v>60</v>
      </c>
      <c r="CC92">
        <v>5</v>
      </c>
      <c r="CD92">
        <v>-0.182</v>
      </c>
      <c r="CE92">
        <v>4.7199999999999999E-2</v>
      </c>
    </row>
    <row r="93" spans="4:83" hidden="1" x14ac:dyDescent="0.2">
      <c r="D93">
        <v>6</v>
      </c>
      <c r="G93" t="s">
        <v>114</v>
      </c>
      <c r="H93" t="s">
        <v>115</v>
      </c>
      <c r="J93">
        <v>2011</v>
      </c>
      <c r="M93" t="s">
        <v>116</v>
      </c>
      <c r="T93" t="s">
        <v>136</v>
      </c>
      <c r="U93" t="s">
        <v>56</v>
      </c>
      <c r="V93" t="s">
        <v>56</v>
      </c>
      <c r="Z93" t="s">
        <v>49</v>
      </c>
      <c r="AA93" t="s">
        <v>49</v>
      </c>
      <c r="AB93" t="s">
        <v>50</v>
      </c>
      <c r="AC93" t="s">
        <v>117</v>
      </c>
      <c r="AD93" t="s">
        <v>52</v>
      </c>
      <c r="AE93" t="s">
        <v>53</v>
      </c>
      <c r="AF93" t="s">
        <v>52</v>
      </c>
      <c r="AG93" t="s">
        <v>54</v>
      </c>
      <c r="AH93" t="s">
        <v>55</v>
      </c>
      <c r="AK93">
        <v>5</v>
      </c>
      <c r="AL93">
        <v>5</v>
      </c>
      <c r="AM93" t="s">
        <v>150</v>
      </c>
      <c r="AN93">
        <v>729</v>
      </c>
      <c r="AO93" t="s">
        <v>56</v>
      </c>
      <c r="AP93">
        <v>160</v>
      </c>
      <c r="AQ93" t="s">
        <v>118</v>
      </c>
      <c r="AR93">
        <v>7.86</v>
      </c>
      <c r="AS93" t="s">
        <v>56</v>
      </c>
      <c r="AT93">
        <v>0.09</v>
      </c>
      <c r="AU93">
        <v>1296</v>
      </c>
      <c r="AV93" t="s">
        <v>56</v>
      </c>
      <c r="AW93">
        <v>245</v>
      </c>
      <c r="AX93">
        <v>7.66</v>
      </c>
      <c r="AY93" t="s">
        <v>56</v>
      </c>
      <c r="AZ93">
        <v>0.08</v>
      </c>
      <c r="BB93">
        <f>LOG(AU93)</f>
        <v>3.1126050015345745</v>
      </c>
      <c r="BC93">
        <v>11.8</v>
      </c>
      <c r="BD93" t="s">
        <v>56</v>
      </c>
      <c r="BE93">
        <v>0.4</v>
      </c>
      <c r="BF93">
        <v>11.9</v>
      </c>
      <c r="BG93" t="s">
        <v>56</v>
      </c>
      <c r="BH93">
        <v>0.4</v>
      </c>
      <c r="BI93">
        <v>566</v>
      </c>
      <c r="BJ93">
        <v>0.2</v>
      </c>
      <c r="BK93" t="s">
        <v>148</v>
      </c>
      <c r="BL93" t="s">
        <v>148</v>
      </c>
      <c r="BM93" t="s">
        <v>149</v>
      </c>
      <c r="BN93" t="s">
        <v>81</v>
      </c>
      <c r="BO93" t="s">
        <v>56</v>
      </c>
      <c r="BP93" t="s">
        <v>127</v>
      </c>
      <c r="BR93" t="s">
        <v>122</v>
      </c>
      <c r="BT93">
        <v>0.81</v>
      </c>
      <c r="BU93">
        <v>0.80974500000000005</v>
      </c>
      <c r="BV93">
        <v>0.04</v>
      </c>
      <c r="BW93">
        <f>BV93*SQRT(AK93)</f>
        <v>8.9442719099991588E-2</v>
      </c>
      <c r="BX93">
        <v>0.68</v>
      </c>
      <c r="BY93">
        <v>0.68213460000000004</v>
      </c>
      <c r="BZ93">
        <v>0.06</v>
      </c>
      <c r="CA93">
        <f>BZ93*SQRT(AL93)</f>
        <v>0.13416407864998739</v>
      </c>
      <c r="CB93">
        <v>60</v>
      </c>
      <c r="CC93">
        <v>5</v>
      </c>
      <c r="CD93">
        <v>-0.17100000000000001</v>
      </c>
      <c r="CE93">
        <v>1.14E-2</v>
      </c>
    </row>
    <row r="94" spans="4:83" hidden="1" x14ac:dyDescent="0.2">
      <c r="D94">
        <v>6</v>
      </c>
      <c r="G94" t="s">
        <v>43</v>
      </c>
      <c r="H94" t="s">
        <v>115</v>
      </c>
      <c r="J94">
        <v>2011</v>
      </c>
      <c r="M94" t="s">
        <v>116</v>
      </c>
      <c r="T94" t="s">
        <v>136</v>
      </c>
      <c r="U94" t="s">
        <v>159</v>
      </c>
      <c r="V94" t="s">
        <v>160</v>
      </c>
      <c r="Z94" t="s">
        <v>49</v>
      </c>
      <c r="AA94" t="s">
        <v>49</v>
      </c>
      <c r="AB94" t="s">
        <v>50</v>
      </c>
      <c r="AC94" t="s">
        <v>117</v>
      </c>
      <c r="AD94" t="s">
        <v>52</v>
      </c>
      <c r="AE94" t="s">
        <v>53</v>
      </c>
      <c r="AF94" t="s">
        <v>52</v>
      </c>
      <c r="AG94" t="s">
        <v>52</v>
      </c>
      <c r="AH94" t="s">
        <v>64</v>
      </c>
      <c r="AK94">
        <v>5</v>
      </c>
      <c r="AL94">
        <v>5</v>
      </c>
      <c r="AM94" t="s">
        <v>123</v>
      </c>
      <c r="AN94">
        <v>729</v>
      </c>
      <c r="AO94" t="s">
        <v>56</v>
      </c>
      <c r="AP94">
        <v>160</v>
      </c>
      <c r="AQ94" t="s">
        <v>118</v>
      </c>
      <c r="AR94">
        <v>7.86</v>
      </c>
      <c r="AS94" t="s">
        <v>56</v>
      </c>
      <c r="AT94">
        <v>0.09</v>
      </c>
      <c r="AU94">
        <v>1423</v>
      </c>
      <c r="AV94" t="s">
        <v>56</v>
      </c>
      <c r="AW94">
        <v>389</v>
      </c>
      <c r="AX94">
        <v>7.61</v>
      </c>
      <c r="AY94" t="s">
        <v>56</v>
      </c>
      <c r="AZ94">
        <v>0.15</v>
      </c>
      <c r="BB94">
        <f>LOG(AU94)</f>
        <v>3.1532049000842841</v>
      </c>
      <c r="BC94">
        <v>11.8</v>
      </c>
      <c r="BD94" t="s">
        <v>56</v>
      </c>
      <c r="BE94">
        <v>0.4</v>
      </c>
      <c r="BF94">
        <v>16</v>
      </c>
      <c r="BG94" t="s">
        <v>56</v>
      </c>
      <c r="BH94">
        <v>0.6</v>
      </c>
      <c r="BI94">
        <v>694</v>
      </c>
      <c r="BJ94">
        <v>4.2</v>
      </c>
      <c r="BK94" t="s">
        <v>161</v>
      </c>
      <c r="BL94" t="s">
        <v>120</v>
      </c>
      <c r="BM94" t="s">
        <v>120</v>
      </c>
      <c r="BN94" t="s">
        <v>81</v>
      </c>
      <c r="BO94" t="s">
        <v>121</v>
      </c>
      <c r="BP94" t="s">
        <v>83</v>
      </c>
      <c r="BR94" t="s">
        <v>122</v>
      </c>
      <c r="BT94">
        <v>21</v>
      </c>
      <c r="BU94">
        <v>20.995671000000002</v>
      </c>
      <c r="BV94">
        <v>3.030303</v>
      </c>
      <c r="BW94">
        <f>BV94*SQRT(AK94)</f>
        <v>6.775963500421545</v>
      </c>
      <c r="BX94">
        <v>17.75</v>
      </c>
      <c r="BY94">
        <v>17.7489177</v>
      </c>
      <c r="BZ94">
        <v>6.17</v>
      </c>
      <c r="CA94">
        <f>BZ94*SQRT(AL94)</f>
        <v>13.796539421173703</v>
      </c>
      <c r="CB94">
        <v>60</v>
      </c>
      <c r="CC94">
        <v>5</v>
      </c>
      <c r="CD94">
        <v>-0.16800000000000001</v>
      </c>
      <c r="CE94">
        <v>0.1416</v>
      </c>
    </row>
    <row r="95" spans="4:83" hidden="1" x14ac:dyDescent="0.2">
      <c r="D95">
        <v>6</v>
      </c>
      <c r="G95" t="s">
        <v>43</v>
      </c>
      <c r="H95" t="s">
        <v>115</v>
      </c>
      <c r="J95">
        <v>2011</v>
      </c>
      <c r="M95" t="s">
        <v>116</v>
      </c>
      <c r="T95" t="s">
        <v>155</v>
      </c>
      <c r="U95" t="s">
        <v>56</v>
      </c>
      <c r="V95" t="s">
        <v>56</v>
      </c>
      <c r="Z95" t="s">
        <v>49</v>
      </c>
      <c r="AA95" t="s">
        <v>49</v>
      </c>
      <c r="AB95" t="s">
        <v>50</v>
      </c>
      <c r="AC95" t="s">
        <v>117</v>
      </c>
      <c r="AD95" t="s">
        <v>52</v>
      </c>
      <c r="AE95" t="s">
        <v>53</v>
      </c>
      <c r="AF95" t="s">
        <v>52</v>
      </c>
      <c r="AG95" t="s">
        <v>52</v>
      </c>
      <c r="AH95" t="s">
        <v>64</v>
      </c>
      <c r="AK95">
        <v>5</v>
      </c>
      <c r="AL95">
        <v>5</v>
      </c>
      <c r="AM95" t="s">
        <v>123</v>
      </c>
      <c r="AN95">
        <v>729</v>
      </c>
      <c r="AO95" t="s">
        <v>56</v>
      </c>
      <c r="AP95">
        <v>160</v>
      </c>
      <c r="AQ95" t="s">
        <v>118</v>
      </c>
      <c r="AR95">
        <v>7.86</v>
      </c>
      <c r="AS95" t="s">
        <v>56</v>
      </c>
      <c r="AT95">
        <v>0.09</v>
      </c>
      <c r="AU95">
        <v>3010</v>
      </c>
      <c r="AV95" t="s">
        <v>56</v>
      </c>
      <c r="AW95">
        <v>4141</v>
      </c>
      <c r="AX95">
        <v>6.66</v>
      </c>
      <c r="AY95" t="s">
        <v>56</v>
      </c>
      <c r="AZ95">
        <v>0.19</v>
      </c>
      <c r="BB95">
        <f>LOG(AU95)</f>
        <v>3.4785664955938436</v>
      </c>
      <c r="BC95">
        <v>11.8</v>
      </c>
      <c r="BD95" t="s">
        <v>56</v>
      </c>
      <c r="BE95">
        <v>0.4</v>
      </c>
      <c r="BF95">
        <v>15.5</v>
      </c>
      <c r="BG95" t="s">
        <v>56</v>
      </c>
      <c r="BH95">
        <v>1.5</v>
      </c>
      <c r="BI95">
        <v>2281</v>
      </c>
      <c r="BJ95">
        <v>3.7</v>
      </c>
      <c r="BK95" t="s">
        <v>163</v>
      </c>
      <c r="BL95" t="s">
        <v>120</v>
      </c>
      <c r="BM95" t="s">
        <v>120</v>
      </c>
      <c r="BN95" t="s">
        <v>81</v>
      </c>
      <c r="BO95" t="s">
        <v>121</v>
      </c>
      <c r="BP95" t="s">
        <v>83</v>
      </c>
      <c r="BR95" t="s">
        <v>122</v>
      </c>
      <c r="BT95">
        <v>19.739999999999998</v>
      </c>
      <c r="BU95">
        <v>19.739999999999998</v>
      </c>
      <c r="BV95">
        <v>0.19739999999999999</v>
      </c>
      <c r="BW95">
        <f>BV95*SQRT(AK95)</f>
        <v>0.44139981875845852</v>
      </c>
      <c r="BX95">
        <v>16.7</v>
      </c>
      <c r="BY95">
        <v>16.702819999999999</v>
      </c>
      <c r="BZ95">
        <v>0.01</v>
      </c>
      <c r="CA95">
        <f>BZ95*SQRT(AL95)</f>
        <v>2.2360679774997897E-2</v>
      </c>
      <c r="CB95">
        <v>60</v>
      </c>
      <c r="CC95">
        <v>5</v>
      </c>
      <c r="CD95">
        <v>-0.16700000000000001</v>
      </c>
      <c r="CE95">
        <v>1E-4</v>
      </c>
    </row>
    <row r="96" spans="4:83" hidden="1" x14ac:dyDescent="0.2">
      <c r="D96">
        <v>6</v>
      </c>
      <c r="G96" t="s">
        <v>43</v>
      </c>
      <c r="H96" t="s">
        <v>115</v>
      </c>
      <c r="J96">
        <v>2011</v>
      </c>
      <c r="M96" t="s">
        <v>116</v>
      </c>
      <c r="T96" t="s">
        <v>131</v>
      </c>
      <c r="U96" t="s">
        <v>56</v>
      </c>
      <c r="V96" t="s">
        <v>56</v>
      </c>
      <c r="Z96" t="s">
        <v>49</v>
      </c>
      <c r="AA96" t="s">
        <v>49</v>
      </c>
      <c r="AB96" t="s">
        <v>50</v>
      </c>
      <c r="AC96" t="s">
        <v>117</v>
      </c>
      <c r="AD96" t="s">
        <v>52</v>
      </c>
      <c r="AE96" t="s">
        <v>53</v>
      </c>
      <c r="AF96" t="s">
        <v>52</v>
      </c>
      <c r="AG96" t="s">
        <v>54</v>
      </c>
      <c r="AH96" t="s">
        <v>55</v>
      </c>
      <c r="AK96">
        <v>5</v>
      </c>
      <c r="AL96">
        <v>5</v>
      </c>
      <c r="AM96" t="s">
        <v>123</v>
      </c>
      <c r="AN96">
        <v>729</v>
      </c>
      <c r="AO96" t="s">
        <v>56</v>
      </c>
      <c r="AP96">
        <v>160</v>
      </c>
      <c r="AQ96" t="s">
        <v>118</v>
      </c>
      <c r="AR96">
        <v>7.86</v>
      </c>
      <c r="AS96" t="s">
        <v>56</v>
      </c>
      <c r="AT96">
        <v>0.09</v>
      </c>
      <c r="AU96">
        <v>2729</v>
      </c>
      <c r="AV96" t="s">
        <v>56</v>
      </c>
      <c r="AW96">
        <v>499</v>
      </c>
      <c r="AX96">
        <v>7.35</v>
      </c>
      <c r="AY96" t="s">
        <v>56</v>
      </c>
      <c r="AZ96">
        <v>7.0000000000000007E-2</v>
      </c>
      <c r="BB96">
        <f>LOG(AU96)</f>
        <v>3.4360035356698964</v>
      </c>
      <c r="BC96">
        <v>11.8</v>
      </c>
      <c r="BD96" t="s">
        <v>56</v>
      </c>
      <c r="BE96">
        <v>0.4</v>
      </c>
      <c r="BF96">
        <v>11.7</v>
      </c>
      <c r="BG96" t="s">
        <v>56</v>
      </c>
      <c r="BH96">
        <v>0.4</v>
      </c>
      <c r="BI96">
        <v>2000</v>
      </c>
      <c r="BJ96">
        <v>-0.1</v>
      </c>
      <c r="BK96" t="s">
        <v>141</v>
      </c>
      <c r="BL96" t="s">
        <v>120</v>
      </c>
      <c r="BM96" t="s">
        <v>120</v>
      </c>
      <c r="BN96" t="s">
        <v>81</v>
      </c>
      <c r="BO96" t="s">
        <v>121</v>
      </c>
      <c r="BP96" t="s">
        <v>83</v>
      </c>
      <c r="BR96" t="s">
        <v>122</v>
      </c>
      <c r="BT96">
        <v>182.17</v>
      </c>
      <c r="BU96">
        <v>182.16867500000001</v>
      </c>
      <c r="BV96">
        <v>63.614457999999999</v>
      </c>
      <c r="BW96">
        <f>BV96*SQRT(AK96)</f>
        <v>142.24625243980532</v>
      </c>
      <c r="BX96">
        <v>155.18</v>
      </c>
      <c r="BY96">
        <v>155.18072290000001</v>
      </c>
      <c r="BZ96">
        <v>133.97999999999999</v>
      </c>
      <c r="CA96">
        <f>BZ96*SQRT(AL96)</f>
        <v>299.58838762542183</v>
      </c>
      <c r="CB96">
        <v>60</v>
      </c>
      <c r="CC96">
        <v>5</v>
      </c>
      <c r="CD96">
        <v>-0.16</v>
      </c>
      <c r="CE96">
        <v>0.86729999999999996</v>
      </c>
    </row>
    <row r="97" spans="4:83" hidden="1" x14ac:dyDescent="0.2">
      <c r="D97">
        <v>6</v>
      </c>
      <c r="G97" t="s">
        <v>43</v>
      </c>
      <c r="H97" t="s">
        <v>115</v>
      </c>
      <c r="J97">
        <v>2011</v>
      </c>
      <c r="M97" t="s">
        <v>116</v>
      </c>
      <c r="T97" t="s">
        <v>131</v>
      </c>
      <c r="U97" t="s">
        <v>132</v>
      </c>
      <c r="V97" t="s">
        <v>133</v>
      </c>
      <c r="Z97" t="s">
        <v>49</v>
      </c>
      <c r="AA97" t="s">
        <v>49</v>
      </c>
      <c r="AB97" t="s">
        <v>50</v>
      </c>
      <c r="AC97" t="s">
        <v>117</v>
      </c>
      <c r="AD97" t="s">
        <v>52</v>
      </c>
      <c r="AE97" t="s">
        <v>134</v>
      </c>
      <c r="AF97" t="s">
        <v>52</v>
      </c>
      <c r="AG97" t="s">
        <v>54</v>
      </c>
      <c r="AH97" t="s">
        <v>55</v>
      </c>
      <c r="AK97">
        <v>5</v>
      </c>
      <c r="AL97">
        <v>5</v>
      </c>
      <c r="AM97" t="s">
        <v>123</v>
      </c>
      <c r="AN97">
        <v>729</v>
      </c>
      <c r="AO97" t="s">
        <v>56</v>
      </c>
      <c r="AP97">
        <v>160</v>
      </c>
      <c r="AQ97" t="s">
        <v>118</v>
      </c>
      <c r="AR97">
        <v>7.86</v>
      </c>
      <c r="AS97" t="s">
        <v>56</v>
      </c>
      <c r="AT97">
        <v>0.09</v>
      </c>
      <c r="AU97">
        <v>1296</v>
      </c>
      <c r="AV97" t="s">
        <v>56</v>
      </c>
      <c r="AW97">
        <v>245</v>
      </c>
      <c r="AX97">
        <v>7.66</v>
      </c>
      <c r="AY97" t="s">
        <v>56</v>
      </c>
      <c r="AZ97">
        <v>0.08</v>
      </c>
      <c r="BB97">
        <f>LOG(AU97)</f>
        <v>3.1126050015345745</v>
      </c>
      <c r="BC97">
        <v>11.8</v>
      </c>
      <c r="BD97" t="s">
        <v>56</v>
      </c>
      <c r="BE97">
        <v>0.4</v>
      </c>
      <c r="BF97">
        <v>11.9</v>
      </c>
      <c r="BG97" t="s">
        <v>56</v>
      </c>
      <c r="BH97">
        <v>0.4</v>
      </c>
      <c r="BI97">
        <v>566</v>
      </c>
      <c r="BJ97">
        <v>0.2</v>
      </c>
      <c r="BK97" t="s">
        <v>135</v>
      </c>
      <c r="BL97" t="s">
        <v>120</v>
      </c>
      <c r="BM97" t="s">
        <v>120</v>
      </c>
      <c r="BN97" t="s">
        <v>81</v>
      </c>
      <c r="BO97" t="s">
        <v>121</v>
      </c>
      <c r="BP97" t="s">
        <v>83</v>
      </c>
      <c r="BR97" t="s">
        <v>122</v>
      </c>
      <c r="BT97">
        <v>36.369999999999997</v>
      </c>
      <c r="BU97">
        <v>36.367815999999998</v>
      </c>
      <c r="BV97">
        <v>24.459769999999999</v>
      </c>
      <c r="BW97">
        <f>BV97*SQRT(AK97)</f>
        <v>54.693708434010034</v>
      </c>
      <c r="BX97">
        <v>31.22</v>
      </c>
      <c r="BY97">
        <v>31.218390800000002</v>
      </c>
      <c r="BZ97">
        <v>55.68</v>
      </c>
      <c r="CA97">
        <f>BZ97*SQRT(AL97)</f>
        <v>124.50426498718829</v>
      </c>
      <c r="CB97">
        <v>60</v>
      </c>
      <c r="CC97">
        <v>5</v>
      </c>
      <c r="CD97">
        <v>-0.153</v>
      </c>
      <c r="CE97">
        <v>3.6332</v>
      </c>
    </row>
    <row r="98" spans="4:83" hidden="1" x14ac:dyDescent="0.2">
      <c r="D98">
        <v>6</v>
      </c>
      <c r="G98" t="s">
        <v>114</v>
      </c>
      <c r="H98" t="s">
        <v>115</v>
      </c>
      <c r="J98">
        <v>2011</v>
      </c>
      <c r="M98" t="s">
        <v>116</v>
      </c>
      <c r="T98" t="s">
        <v>131</v>
      </c>
      <c r="U98" t="s">
        <v>56</v>
      </c>
      <c r="V98" t="s">
        <v>56</v>
      </c>
      <c r="Z98" t="s">
        <v>49</v>
      </c>
      <c r="AA98" t="s">
        <v>49</v>
      </c>
      <c r="AB98" t="s">
        <v>50</v>
      </c>
      <c r="AC98" t="s">
        <v>117</v>
      </c>
      <c r="AD98" t="s">
        <v>52</v>
      </c>
      <c r="AE98" t="s">
        <v>53</v>
      </c>
      <c r="AF98" t="s">
        <v>52</v>
      </c>
      <c r="AG98" t="s">
        <v>54</v>
      </c>
      <c r="AH98" t="s">
        <v>55</v>
      </c>
      <c r="AK98">
        <v>5</v>
      </c>
      <c r="AL98">
        <v>5</v>
      </c>
      <c r="AM98" t="s">
        <v>140</v>
      </c>
      <c r="AN98">
        <v>729</v>
      </c>
      <c r="AO98" t="s">
        <v>56</v>
      </c>
      <c r="AP98">
        <v>160</v>
      </c>
      <c r="AQ98" t="s">
        <v>118</v>
      </c>
      <c r="AR98">
        <v>7.86</v>
      </c>
      <c r="AS98" t="s">
        <v>56</v>
      </c>
      <c r="AT98">
        <v>0.09</v>
      </c>
      <c r="AU98">
        <v>2729</v>
      </c>
      <c r="AV98" t="s">
        <v>56</v>
      </c>
      <c r="AW98">
        <v>499</v>
      </c>
      <c r="AX98">
        <v>7.35</v>
      </c>
      <c r="AY98" t="s">
        <v>56</v>
      </c>
      <c r="AZ98">
        <v>7.0000000000000007E-2</v>
      </c>
      <c r="BB98">
        <f>LOG(AU98)</f>
        <v>3.4360035356698964</v>
      </c>
      <c r="BC98">
        <v>11.8</v>
      </c>
      <c r="BD98" t="s">
        <v>56</v>
      </c>
      <c r="BE98">
        <v>0.4</v>
      </c>
      <c r="BF98">
        <v>11.7</v>
      </c>
      <c r="BG98" t="s">
        <v>56</v>
      </c>
      <c r="BH98">
        <v>0.4</v>
      </c>
      <c r="BI98">
        <v>2000</v>
      </c>
      <c r="BJ98">
        <v>-0.1</v>
      </c>
      <c r="BK98" t="s">
        <v>142</v>
      </c>
      <c r="BL98" t="s">
        <v>142</v>
      </c>
      <c r="BM98" t="s">
        <v>139</v>
      </c>
      <c r="BN98" t="s">
        <v>81</v>
      </c>
      <c r="BO98" t="s">
        <v>121</v>
      </c>
      <c r="BP98" t="s">
        <v>127</v>
      </c>
      <c r="BR98" t="s">
        <v>122</v>
      </c>
      <c r="BT98">
        <v>12.44</v>
      </c>
      <c r="BU98">
        <v>12.441805</v>
      </c>
      <c r="BV98">
        <v>1.2</v>
      </c>
      <c r="BW98">
        <f>BV98*SQRT(AK98)</f>
        <v>2.6832815729997477</v>
      </c>
      <c r="BX98">
        <v>10.82</v>
      </c>
      <c r="BY98">
        <v>10.8171021</v>
      </c>
      <c r="BZ98">
        <v>3.85</v>
      </c>
      <c r="CA98">
        <f>BZ98*SQRT(AL98)</f>
        <v>8.6088617133741909</v>
      </c>
      <c r="CB98">
        <v>60</v>
      </c>
      <c r="CC98">
        <v>5</v>
      </c>
      <c r="CD98">
        <v>-0.14000000000000001</v>
      </c>
      <c r="CE98">
        <v>0.1358</v>
      </c>
    </row>
    <row r="99" spans="4:83" hidden="1" x14ac:dyDescent="0.2">
      <c r="D99">
        <v>6</v>
      </c>
      <c r="G99" t="s">
        <v>43</v>
      </c>
      <c r="H99" t="s">
        <v>115</v>
      </c>
      <c r="J99">
        <v>2011</v>
      </c>
      <c r="M99" t="s">
        <v>116</v>
      </c>
      <c r="T99" t="s">
        <v>151</v>
      </c>
      <c r="U99" t="s">
        <v>152</v>
      </c>
      <c r="V99" t="s">
        <v>153</v>
      </c>
      <c r="Z99" t="s">
        <v>49</v>
      </c>
      <c r="AA99" t="s">
        <v>49</v>
      </c>
      <c r="AB99" t="s">
        <v>50</v>
      </c>
      <c r="AC99" t="s">
        <v>117</v>
      </c>
      <c r="AD99" t="s">
        <v>52</v>
      </c>
      <c r="AE99" t="s">
        <v>56</v>
      </c>
      <c r="AF99" t="s">
        <v>54</v>
      </c>
      <c r="AG99" t="s">
        <v>52</v>
      </c>
      <c r="AH99" t="s">
        <v>65</v>
      </c>
      <c r="AK99">
        <v>5</v>
      </c>
      <c r="AL99">
        <v>5</v>
      </c>
      <c r="AM99" t="s">
        <v>123</v>
      </c>
      <c r="AN99">
        <v>729</v>
      </c>
      <c r="AO99" t="s">
        <v>56</v>
      </c>
      <c r="AP99">
        <v>160</v>
      </c>
      <c r="AQ99" t="s">
        <v>118</v>
      </c>
      <c r="AR99">
        <v>7.86</v>
      </c>
      <c r="AS99" t="s">
        <v>56</v>
      </c>
      <c r="AT99">
        <v>0.09</v>
      </c>
      <c r="AU99">
        <v>822</v>
      </c>
      <c r="AV99" t="s">
        <v>56</v>
      </c>
      <c r="AW99">
        <v>743</v>
      </c>
      <c r="AX99">
        <v>7.85</v>
      </c>
      <c r="AY99" t="s">
        <v>56</v>
      </c>
      <c r="AZ99">
        <v>0.13</v>
      </c>
      <c r="BB99">
        <f>LOG(AU99)</f>
        <v>2.9148718175400505</v>
      </c>
      <c r="BC99">
        <v>11.8</v>
      </c>
      <c r="BD99" t="s">
        <v>56</v>
      </c>
      <c r="BE99">
        <v>0.4</v>
      </c>
      <c r="BF99">
        <v>16</v>
      </c>
      <c r="BG99" t="s">
        <v>56</v>
      </c>
      <c r="BH99">
        <v>0.4</v>
      </c>
      <c r="BI99">
        <v>93</v>
      </c>
      <c r="BJ99">
        <v>4.3</v>
      </c>
      <c r="BK99" t="s">
        <v>56</v>
      </c>
      <c r="BL99" t="s">
        <v>149</v>
      </c>
      <c r="BM99" t="s">
        <v>149</v>
      </c>
      <c r="BN99" t="s">
        <v>81</v>
      </c>
      <c r="BO99" t="s">
        <v>56</v>
      </c>
      <c r="BP99" t="s">
        <v>127</v>
      </c>
      <c r="BR99" t="s">
        <v>122</v>
      </c>
      <c r="BT99">
        <v>0.76</v>
      </c>
      <c r="BU99">
        <v>0.75955099999999998</v>
      </c>
      <c r="BV99">
        <v>8.5392999999999997E-2</v>
      </c>
      <c r="BW99">
        <f>BV99*SQRT(AK99)</f>
        <v>0.19094455280263956</v>
      </c>
      <c r="BX99">
        <v>0.66</v>
      </c>
      <c r="BY99">
        <v>0.66067419999999999</v>
      </c>
      <c r="BZ99">
        <v>0.02</v>
      </c>
      <c r="CA99">
        <f>BZ99*SQRT(AL99)</f>
        <v>4.4721359549995794E-2</v>
      </c>
      <c r="CB99">
        <v>60</v>
      </c>
      <c r="CC99">
        <v>5</v>
      </c>
      <c r="CD99">
        <v>-0.13900000000000001</v>
      </c>
      <c r="CE99">
        <v>1.34E-2</v>
      </c>
    </row>
    <row r="100" spans="4:83" hidden="1" x14ac:dyDescent="0.2">
      <c r="D100">
        <v>6</v>
      </c>
      <c r="G100" t="s">
        <v>43</v>
      </c>
      <c r="H100" t="s">
        <v>115</v>
      </c>
      <c r="J100">
        <v>2011</v>
      </c>
      <c r="M100" t="s">
        <v>116</v>
      </c>
      <c r="T100" t="s">
        <v>151</v>
      </c>
      <c r="U100" t="s">
        <v>152</v>
      </c>
      <c r="V100" t="s">
        <v>153</v>
      </c>
      <c r="Z100" t="s">
        <v>49</v>
      </c>
      <c r="AA100" t="s">
        <v>49</v>
      </c>
      <c r="AB100" t="s">
        <v>50</v>
      </c>
      <c r="AC100" t="s">
        <v>117</v>
      </c>
      <c r="AD100" t="s">
        <v>52</v>
      </c>
      <c r="AE100" t="s">
        <v>56</v>
      </c>
      <c r="AF100" t="s">
        <v>52</v>
      </c>
      <c r="AG100" t="s">
        <v>54</v>
      </c>
      <c r="AH100" t="s">
        <v>55</v>
      </c>
      <c r="AK100">
        <v>5</v>
      </c>
      <c r="AL100">
        <v>5</v>
      </c>
      <c r="AM100" t="s">
        <v>123</v>
      </c>
      <c r="AN100">
        <v>729</v>
      </c>
      <c r="AO100" t="s">
        <v>56</v>
      </c>
      <c r="AP100">
        <v>160</v>
      </c>
      <c r="AQ100" t="s">
        <v>118</v>
      </c>
      <c r="AR100">
        <v>7.86</v>
      </c>
      <c r="AS100" t="s">
        <v>56</v>
      </c>
      <c r="AT100">
        <v>0.09</v>
      </c>
      <c r="AU100">
        <v>1296</v>
      </c>
      <c r="AV100" t="s">
        <v>56</v>
      </c>
      <c r="AW100">
        <v>245</v>
      </c>
      <c r="AX100">
        <v>7.66</v>
      </c>
      <c r="AY100" t="s">
        <v>56</v>
      </c>
      <c r="AZ100">
        <v>0.08</v>
      </c>
      <c r="BB100">
        <f>LOG(AU100)</f>
        <v>3.1126050015345745</v>
      </c>
      <c r="BC100">
        <v>11.8</v>
      </c>
      <c r="BD100" t="s">
        <v>56</v>
      </c>
      <c r="BE100">
        <v>0.4</v>
      </c>
      <c r="BF100">
        <v>11.9</v>
      </c>
      <c r="BG100" t="s">
        <v>56</v>
      </c>
      <c r="BH100">
        <v>0.4</v>
      </c>
      <c r="BI100">
        <v>566</v>
      </c>
      <c r="BJ100">
        <v>0.2</v>
      </c>
      <c r="BK100" t="s">
        <v>56</v>
      </c>
      <c r="BL100" t="s">
        <v>149</v>
      </c>
      <c r="BM100" t="s">
        <v>149</v>
      </c>
      <c r="BN100" t="s">
        <v>81</v>
      </c>
      <c r="BO100" t="s">
        <v>56</v>
      </c>
      <c r="BP100" t="s">
        <v>127</v>
      </c>
      <c r="BR100" t="s">
        <v>122</v>
      </c>
      <c r="BT100">
        <v>0.76</v>
      </c>
      <c r="BU100">
        <v>0.75955099999999998</v>
      </c>
      <c r="BV100">
        <v>8.5392999999999997E-2</v>
      </c>
      <c r="BW100">
        <f>BV100*SQRT(AK100)</f>
        <v>0.19094455280263956</v>
      </c>
      <c r="BX100">
        <v>0.67</v>
      </c>
      <c r="BY100">
        <v>0.67191009999999995</v>
      </c>
      <c r="BZ100">
        <v>0.03</v>
      </c>
      <c r="CA100">
        <f>BZ100*SQRT(AL100)</f>
        <v>6.7082039324993695E-2</v>
      </c>
      <c r="CB100">
        <v>60</v>
      </c>
      <c r="CC100">
        <v>5</v>
      </c>
      <c r="CD100">
        <v>-0.123</v>
      </c>
      <c r="CE100">
        <v>1.4500000000000001E-2</v>
      </c>
    </row>
    <row r="101" spans="4:83" hidden="1" x14ac:dyDescent="0.2">
      <c r="D101">
        <v>6</v>
      </c>
      <c r="G101" t="s">
        <v>43</v>
      </c>
      <c r="H101" t="s">
        <v>115</v>
      </c>
      <c r="J101">
        <v>2011</v>
      </c>
      <c r="M101" t="s">
        <v>116</v>
      </c>
      <c r="T101" t="s">
        <v>136</v>
      </c>
      <c r="U101" t="s">
        <v>56</v>
      </c>
      <c r="V101" t="s">
        <v>56</v>
      </c>
      <c r="Z101" t="s">
        <v>49</v>
      </c>
      <c r="AA101" t="s">
        <v>49</v>
      </c>
      <c r="AB101" t="s">
        <v>50</v>
      </c>
      <c r="AC101" t="s">
        <v>117</v>
      </c>
      <c r="AD101" t="s">
        <v>52</v>
      </c>
      <c r="AE101" t="s">
        <v>53</v>
      </c>
      <c r="AF101" t="s">
        <v>52</v>
      </c>
      <c r="AG101" t="s">
        <v>54</v>
      </c>
      <c r="AH101" t="s">
        <v>55</v>
      </c>
      <c r="AK101">
        <v>5</v>
      </c>
      <c r="AL101">
        <v>5</v>
      </c>
      <c r="AM101" t="s">
        <v>123</v>
      </c>
      <c r="AN101">
        <v>729</v>
      </c>
      <c r="AO101" t="s">
        <v>56</v>
      </c>
      <c r="AP101">
        <v>160</v>
      </c>
      <c r="AQ101" t="s">
        <v>118</v>
      </c>
      <c r="AR101">
        <v>7.86</v>
      </c>
      <c r="AS101" t="s">
        <v>56</v>
      </c>
      <c r="AT101">
        <v>0.09</v>
      </c>
      <c r="AU101">
        <v>2269</v>
      </c>
      <c r="AV101" t="s">
        <v>56</v>
      </c>
      <c r="AW101">
        <v>3127</v>
      </c>
      <c r="AX101">
        <v>6.81</v>
      </c>
      <c r="AY101" t="s">
        <v>56</v>
      </c>
      <c r="AZ101">
        <v>0.23</v>
      </c>
      <c r="BB101">
        <f>LOG(AU101)</f>
        <v>3.355834495884936</v>
      </c>
      <c r="BC101">
        <v>11.8</v>
      </c>
      <c r="BD101" t="s">
        <v>56</v>
      </c>
      <c r="BE101">
        <v>0.4</v>
      </c>
      <c r="BF101">
        <v>11.5</v>
      </c>
      <c r="BG101" t="s">
        <v>56</v>
      </c>
      <c r="BH101">
        <v>0.4</v>
      </c>
      <c r="BI101">
        <v>1540</v>
      </c>
      <c r="BJ101">
        <v>-0.3</v>
      </c>
      <c r="BK101" t="s">
        <v>157</v>
      </c>
      <c r="BL101" t="s">
        <v>120</v>
      </c>
      <c r="BM101" t="s">
        <v>120</v>
      </c>
      <c r="BN101" t="s">
        <v>81</v>
      </c>
      <c r="BO101" t="s">
        <v>121</v>
      </c>
      <c r="BP101" t="s">
        <v>83</v>
      </c>
      <c r="BR101" t="s">
        <v>122</v>
      </c>
      <c r="BT101">
        <v>73.930000000000007</v>
      </c>
      <c r="BU101">
        <v>73.932584000000006</v>
      </c>
      <c r="BV101">
        <v>0</v>
      </c>
      <c r="BW101">
        <f>BV101*SQRT(AK101)</f>
        <v>0</v>
      </c>
      <c r="BX101">
        <v>66.069999999999993</v>
      </c>
      <c r="BY101">
        <v>66.067415699999998</v>
      </c>
      <c r="BZ101">
        <v>6.29</v>
      </c>
      <c r="CA101">
        <f>BZ101*SQRT(AL101)</f>
        <v>14.064867578473677</v>
      </c>
      <c r="CB101">
        <v>60</v>
      </c>
      <c r="CC101">
        <v>5</v>
      </c>
      <c r="CD101">
        <v>-0.112</v>
      </c>
      <c r="CE101">
        <v>9.1000000000000004E-3</v>
      </c>
    </row>
    <row r="102" spans="4:83" hidden="1" x14ac:dyDescent="0.2">
      <c r="D102">
        <v>6</v>
      </c>
      <c r="G102" t="s">
        <v>114</v>
      </c>
      <c r="H102" t="s">
        <v>115</v>
      </c>
      <c r="J102">
        <v>2011</v>
      </c>
      <c r="M102" t="s">
        <v>116</v>
      </c>
      <c r="T102" t="s">
        <v>131</v>
      </c>
      <c r="U102" t="s">
        <v>56</v>
      </c>
      <c r="V102" t="s">
        <v>56</v>
      </c>
      <c r="Z102" t="s">
        <v>49</v>
      </c>
      <c r="AA102" t="s">
        <v>49</v>
      </c>
      <c r="AB102" t="s">
        <v>50</v>
      </c>
      <c r="AC102" t="s">
        <v>117</v>
      </c>
      <c r="AD102" t="s">
        <v>52</v>
      </c>
      <c r="AE102" t="s">
        <v>53</v>
      </c>
      <c r="AF102" t="s">
        <v>52</v>
      </c>
      <c r="AG102" t="s">
        <v>52</v>
      </c>
      <c r="AH102" t="s">
        <v>64</v>
      </c>
      <c r="AK102">
        <v>5</v>
      </c>
      <c r="AL102">
        <v>5</v>
      </c>
      <c r="AM102" t="s">
        <v>140</v>
      </c>
      <c r="AN102">
        <v>729</v>
      </c>
      <c r="AO102" t="s">
        <v>56</v>
      </c>
      <c r="AP102">
        <v>160</v>
      </c>
      <c r="AQ102" t="s">
        <v>118</v>
      </c>
      <c r="AR102">
        <v>7.86</v>
      </c>
      <c r="AS102" t="s">
        <v>56</v>
      </c>
      <c r="AT102">
        <v>0.09</v>
      </c>
      <c r="AU102">
        <v>2612</v>
      </c>
      <c r="AV102" t="s">
        <v>56</v>
      </c>
      <c r="AW102">
        <v>547</v>
      </c>
      <c r="AX102">
        <v>7.37</v>
      </c>
      <c r="AY102" t="s">
        <v>56</v>
      </c>
      <c r="AZ102">
        <v>0.1</v>
      </c>
      <c r="BB102">
        <f>LOG(AU102)</f>
        <v>3.4169731726030363</v>
      </c>
      <c r="BC102">
        <v>11.8</v>
      </c>
      <c r="BD102" t="s">
        <v>56</v>
      </c>
      <c r="BE102">
        <v>0.4</v>
      </c>
      <c r="BF102">
        <v>15.8</v>
      </c>
      <c r="BG102" t="s">
        <v>56</v>
      </c>
      <c r="BH102">
        <v>0.3</v>
      </c>
      <c r="BI102">
        <v>1882</v>
      </c>
      <c r="BJ102">
        <v>4</v>
      </c>
      <c r="BK102" t="s">
        <v>142</v>
      </c>
      <c r="BL102" t="s">
        <v>142</v>
      </c>
      <c r="BM102" t="s">
        <v>139</v>
      </c>
      <c r="BN102" t="s">
        <v>81</v>
      </c>
      <c r="BO102" t="s">
        <v>121</v>
      </c>
      <c r="BP102" t="s">
        <v>127</v>
      </c>
      <c r="BR102" t="s">
        <v>122</v>
      </c>
      <c r="BT102">
        <v>12.44</v>
      </c>
      <c r="BU102">
        <v>12.441805</v>
      </c>
      <c r="BV102">
        <v>1.2</v>
      </c>
      <c r="BW102">
        <f>BV102*SQRT(AK102)</f>
        <v>2.6832815729997477</v>
      </c>
      <c r="BX102">
        <v>11.16</v>
      </c>
      <c r="BY102">
        <v>11.159144899999999</v>
      </c>
      <c r="BZ102">
        <v>0.86</v>
      </c>
      <c r="CA102">
        <f>BZ102*SQRT(AL102)</f>
        <v>1.9230184606498193</v>
      </c>
      <c r="CB102">
        <v>60</v>
      </c>
      <c r="CC102">
        <v>5</v>
      </c>
      <c r="CD102">
        <v>-0.109</v>
      </c>
      <c r="CE102">
        <v>1.5100000000000001E-2</v>
      </c>
    </row>
    <row r="103" spans="4:83" hidden="1" x14ac:dyDescent="0.2">
      <c r="D103">
        <v>6</v>
      </c>
      <c r="G103" t="s">
        <v>43</v>
      </c>
      <c r="H103" t="s">
        <v>115</v>
      </c>
      <c r="J103">
        <v>2011</v>
      </c>
      <c r="M103" t="s">
        <v>116</v>
      </c>
      <c r="T103" t="s">
        <v>136</v>
      </c>
      <c r="U103" t="s">
        <v>56</v>
      </c>
      <c r="V103" t="s">
        <v>56</v>
      </c>
      <c r="Z103" t="s">
        <v>49</v>
      </c>
      <c r="AA103" t="s">
        <v>49</v>
      </c>
      <c r="AB103" t="s">
        <v>50</v>
      </c>
      <c r="AC103" t="s">
        <v>117</v>
      </c>
      <c r="AD103" t="s">
        <v>52</v>
      </c>
      <c r="AE103" t="s">
        <v>53</v>
      </c>
      <c r="AF103" t="s">
        <v>52</v>
      </c>
      <c r="AG103" t="s">
        <v>54</v>
      </c>
      <c r="AH103" t="s">
        <v>55</v>
      </c>
      <c r="AK103">
        <v>5</v>
      </c>
      <c r="AL103">
        <v>5</v>
      </c>
      <c r="AM103" t="s">
        <v>123</v>
      </c>
      <c r="AN103">
        <v>729</v>
      </c>
      <c r="AO103" t="s">
        <v>56</v>
      </c>
      <c r="AP103">
        <v>160</v>
      </c>
      <c r="AQ103" t="s">
        <v>118</v>
      </c>
      <c r="AR103">
        <v>7.86</v>
      </c>
      <c r="AS103" t="s">
        <v>56</v>
      </c>
      <c r="AT103">
        <v>0.09</v>
      </c>
      <c r="AU103">
        <v>2729</v>
      </c>
      <c r="AV103" t="s">
        <v>56</v>
      </c>
      <c r="AW103">
        <v>499</v>
      </c>
      <c r="AX103">
        <v>7.35</v>
      </c>
      <c r="AY103" t="s">
        <v>56</v>
      </c>
      <c r="AZ103">
        <v>7.0000000000000007E-2</v>
      </c>
      <c r="BB103">
        <f>LOG(AU103)</f>
        <v>3.4360035356698964</v>
      </c>
      <c r="BC103">
        <v>11.8</v>
      </c>
      <c r="BD103" t="s">
        <v>56</v>
      </c>
      <c r="BE103">
        <v>0.4</v>
      </c>
      <c r="BF103">
        <v>11.7</v>
      </c>
      <c r="BG103" t="s">
        <v>56</v>
      </c>
      <c r="BH103">
        <v>0.4</v>
      </c>
      <c r="BI103">
        <v>2000</v>
      </c>
      <c r="BJ103">
        <v>-0.1</v>
      </c>
      <c r="BK103" t="s">
        <v>157</v>
      </c>
      <c r="BL103" t="s">
        <v>120</v>
      </c>
      <c r="BM103" t="s">
        <v>120</v>
      </c>
      <c r="BN103" t="s">
        <v>81</v>
      </c>
      <c r="BO103" t="s">
        <v>121</v>
      </c>
      <c r="BP103" t="s">
        <v>83</v>
      </c>
      <c r="BR103" t="s">
        <v>122</v>
      </c>
      <c r="BT103">
        <v>73.930000000000007</v>
      </c>
      <c r="BU103">
        <v>73.932584000000006</v>
      </c>
      <c r="BV103">
        <v>2.8E-3</v>
      </c>
      <c r="BW103">
        <f>BV103*SQRT(AK103)</f>
        <v>6.2609903369994111E-3</v>
      </c>
      <c r="BX103">
        <v>67.64</v>
      </c>
      <c r="BY103">
        <v>67.640449399999994</v>
      </c>
      <c r="BZ103">
        <v>0.01</v>
      </c>
      <c r="CA103">
        <f>BZ103*SQRT(AL103)</f>
        <v>2.2360679774997897E-2</v>
      </c>
      <c r="CB103">
        <v>60</v>
      </c>
      <c r="CC103">
        <v>5</v>
      </c>
      <c r="CD103">
        <v>-8.8999999999999996E-2</v>
      </c>
      <c r="CE103">
        <v>1E-4</v>
      </c>
    </row>
    <row r="104" spans="4:83" hidden="1" x14ac:dyDescent="0.2">
      <c r="D104">
        <v>6</v>
      </c>
      <c r="G104" t="s">
        <v>43</v>
      </c>
      <c r="H104" t="s">
        <v>115</v>
      </c>
      <c r="J104">
        <v>2011</v>
      </c>
      <c r="M104" t="s">
        <v>116</v>
      </c>
      <c r="T104" t="s">
        <v>155</v>
      </c>
      <c r="U104" t="s">
        <v>56</v>
      </c>
      <c r="V104" t="s">
        <v>56</v>
      </c>
      <c r="Z104" t="s">
        <v>49</v>
      </c>
      <c r="AA104" t="s">
        <v>49</v>
      </c>
      <c r="AB104" t="s">
        <v>50</v>
      </c>
      <c r="AC104" t="s">
        <v>117</v>
      </c>
      <c r="AD104" t="s">
        <v>52</v>
      </c>
      <c r="AE104" t="s">
        <v>53</v>
      </c>
      <c r="AF104" t="s">
        <v>52</v>
      </c>
      <c r="AG104" t="s">
        <v>54</v>
      </c>
      <c r="AH104" t="s">
        <v>55</v>
      </c>
      <c r="AK104">
        <v>5</v>
      </c>
      <c r="AL104">
        <v>5</v>
      </c>
      <c r="AM104" t="s">
        <v>123</v>
      </c>
      <c r="AN104">
        <v>729</v>
      </c>
      <c r="AO104" t="s">
        <v>56</v>
      </c>
      <c r="AP104">
        <v>160</v>
      </c>
      <c r="AQ104" t="s">
        <v>118</v>
      </c>
      <c r="AR104">
        <v>7.86</v>
      </c>
      <c r="AS104" t="s">
        <v>56</v>
      </c>
      <c r="AT104">
        <v>0.09</v>
      </c>
      <c r="AU104">
        <v>2729</v>
      </c>
      <c r="AV104" t="s">
        <v>56</v>
      </c>
      <c r="AW104">
        <v>499</v>
      </c>
      <c r="AX104">
        <v>7.35</v>
      </c>
      <c r="AY104" t="s">
        <v>56</v>
      </c>
      <c r="AZ104">
        <v>7.0000000000000007E-2</v>
      </c>
      <c r="BB104">
        <f>LOG(AU104)</f>
        <v>3.4360035356698964</v>
      </c>
      <c r="BC104">
        <v>11.8</v>
      </c>
      <c r="BD104" t="s">
        <v>56</v>
      </c>
      <c r="BE104">
        <v>0.4</v>
      </c>
      <c r="BF104">
        <v>11.7</v>
      </c>
      <c r="BG104" t="s">
        <v>56</v>
      </c>
      <c r="BH104">
        <v>0.4</v>
      </c>
      <c r="BI104">
        <v>2000</v>
      </c>
      <c r="BJ104">
        <v>-0.1</v>
      </c>
      <c r="BK104" t="s">
        <v>163</v>
      </c>
      <c r="BL104" t="s">
        <v>120</v>
      </c>
      <c r="BM104" t="s">
        <v>120</v>
      </c>
      <c r="BN104" t="s">
        <v>81</v>
      </c>
      <c r="BO104" t="s">
        <v>121</v>
      </c>
      <c r="BP104" t="s">
        <v>83</v>
      </c>
      <c r="BR104" t="s">
        <v>122</v>
      </c>
      <c r="BT104">
        <v>19.739999999999998</v>
      </c>
      <c r="BU104">
        <v>19.739999999999998</v>
      </c>
      <c r="BV104">
        <v>2.8E-3</v>
      </c>
      <c r="BW104">
        <f>BV104*SQRT(AK104)</f>
        <v>6.2609903369994111E-3</v>
      </c>
      <c r="BX104">
        <v>18.22</v>
      </c>
      <c r="BY104">
        <v>18.2212581</v>
      </c>
      <c r="BZ104">
        <v>0.01</v>
      </c>
      <c r="CA104">
        <f>BZ104*SQRT(AL104)</f>
        <v>2.2360679774997897E-2</v>
      </c>
      <c r="CB104">
        <v>60</v>
      </c>
      <c r="CC104">
        <v>5</v>
      </c>
      <c r="CD104">
        <v>-0.08</v>
      </c>
      <c r="CE104">
        <v>1E-4</v>
      </c>
    </row>
    <row r="105" spans="4:83" hidden="1" x14ac:dyDescent="0.2">
      <c r="D105">
        <v>6</v>
      </c>
      <c r="G105" t="s">
        <v>114</v>
      </c>
      <c r="H105" t="s">
        <v>115</v>
      </c>
      <c r="J105">
        <v>2011</v>
      </c>
      <c r="M105" t="s">
        <v>116</v>
      </c>
      <c r="T105" t="s">
        <v>68</v>
      </c>
      <c r="U105" t="s">
        <v>56</v>
      </c>
      <c r="V105" t="s">
        <v>56</v>
      </c>
      <c r="Z105" t="s">
        <v>49</v>
      </c>
      <c r="AA105" t="s">
        <v>49</v>
      </c>
      <c r="AB105" t="s">
        <v>50</v>
      </c>
      <c r="AC105" t="s">
        <v>117</v>
      </c>
      <c r="AD105" t="s">
        <v>52</v>
      </c>
      <c r="AE105" t="s">
        <v>53</v>
      </c>
      <c r="AF105" t="s">
        <v>52</v>
      </c>
      <c r="AG105" t="s">
        <v>54</v>
      </c>
      <c r="AH105" t="s">
        <v>55</v>
      </c>
      <c r="AK105">
        <v>5</v>
      </c>
      <c r="AL105">
        <v>5</v>
      </c>
      <c r="AM105" t="s">
        <v>150</v>
      </c>
      <c r="AN105">
        <v>729</v>
      </c>
      <c r="AO105" t="s">
        <v>56</v>
      </c>
      <c r="AP105">
        <v>160</v>
      </c>
      <c r="AQ105" t="s">
        <v>118</v>
      </c>
      <c r="AR105">
        <v>7.86</v>
      </c>
      <c r="AS105" t="s">
        <v>56</v>
      </c>
      <c r="AT105">
        <v>0.09</v>
      </c>
      <c r="AU105">
        <v>1296</v>
      </c>
      <c r="AV105" t="s">
        <v>56</v>
      </c>
      <c r="AW105">
        <v>245</v>
      </c>
      <c r="AX105">
        <v>7.66</v>
      </c>
      <c r="AY105" t="s">
        <v>56</v>
      </c>
      <c r="AZ105">
        <v>0.08</v>
      </c>
      <c r="BB105">
        <f>LOG(AU105)</f>
        <v>3.1126050015345745</v>
      </c>
      <c r="BC105">
        <v>11.8</v>
      </c>
      <c r="BD105" t="s">
        <v>56</v>
      </c>
      <c r="BE105">
        <v>0.4</v>
      </c>
      <c r="BF105">
        <v>11.9</v>
      </c>
      <c r="BG105" t="s">
        <v>56</v>
      </c>
      <c r="BH105">
        <v>0.4</v>
      </c>
      <c r="BI105">
        <v>566</v>
      </c>
      <c r="BJ105">
        <v>0.2</v>
      </c>
      <c r="BK105" t="s">
        <v>164</v>
      </c>
      <c r="BL105" t="s">
        <v>164</v>
      </c>
      <c r="BM105" t="s">
        <v>149</v>
      </c>
      <c r="BN105" t="s">
        <v>81</v>
      </c>
      <c r="BO105" t="s">
        <v>56</v>
      </c>
      <c r="BP105" t="s">
        <v>127</v>
      </c>
      <c r="BR105" t="s">
        <v>122</v>
      </c>
      <c r="BT105">
        <v>0.87</v>
      </c>
      <c r="BU105">
        <v>0.87074799999999997</v>
      </c>
      <c r="BV105">
        <v>0.05</v>
      </c>
      <c r="BW105">
        <f>BV105*SQRT(AK105)</f>
        <v>0.1118033988749895</v>
      </c>
      <c r="BX105">
        <v>0.81</v>
      </c>
      <c r="BY105">
        <v>0.80725619999999998</v>
      </c>
      <c r="BZ105">
        <v>0.15</v>
      </c>
      <c r="CA105">
        <f>BZ105*SQRT(AL105)</f>
        <v>0.33541019662496846</v>
      </c>
      <c r="CB105">
        <v>60</v>
      </c>
      <c r="CC105">
        <v>5</v>
      </c>
      <c r="CD105">
        <v>-7.5999999999999998E-2</v>
      </c>
      <c r="CE105">
        <v>3.7699999999999997E-2</v>
      </c>
    </row>
    <row r="106" spans="4:83" hidden="1" x14ac:dyDescent="0.2">
      <c r="D106">
        <v>6</v>
      </c>
      <c r="G106" t="s">
        <v>43</v>
      </c>
      <c r="H106" t="s">
        <v>115</v>
      </c>
      <c r="J106">
        <v>2011</v>
      </c>
      <c r="M106" t="s">
        <v>116</v>
      </c>
      <c r="T106" t="s">
        <v>68</v>
      </c>
      <c r="U106" t="s">
        <v>124</v>
      </c>
      <c r="V106" t="s">
        <v>128</v>
      </c>
      <c r="Z106" t="s">
        <v>49</v>
      </c>
      <c r="AA106" t="s">
        <v>49</v>
      </c>
      <c r="AB106" t="s">
        <v>50</v>
      </c>
      <c r="AC106" t="s">
        <v>117</v>
      </c>
      <c r="AD106" t="s">
        <v>52</v>
      </c>
      <c r="AE106" t="s">
        <v>53</v>
      </c>
      <c r="AF106" t="s">
        <v>52</v>
      </c>
      <c r="AG106" t="s">
        <v>54</v>
      </c>
      <c r="AH106" t="s">
        <v>55</v>
      </c>
      <c r="AK106">
        <v>5</v>
      </c>
      <c r="AL106">
        <v>5</v>
      </c>
      <c r="AM106" t="s">
        <v>123</v>
      </c>
      <c r="AN106">
        <v>729</v>
      </c>
      <c r="AO106" t="s">
        <v>56</v>
      </c>
      <c r="AP106">
        <v>160</v>
      </c>
      <c r="AQ106" t="s">
        <v>118</v>
      </c>
      <c r="AR106">
        <v>7.86</v>
      </c>
      <c r="AS106" t="s">
        <v>56</v>
      </c>
      <c r="AT106">
        <v>0.09</v>
      </c>
      <c r="AU106">
        <v>1296</v>
      </c>
      <c r="AV106" t="s">
        <v>56</v>
      </c>
      <c r="AW106">
        <v>245</v>
      </c>
      <c r="AX106">
        <v>7.66</v>
      </c>
      <c r="AY106" t="s">
        <v>56</v>
      </c>
      <c r="AZ106">
        <v>0.08</v>
      </c>
      <c r="BB106">
        <f>LOG(AU106)</f>
        <v>3.1126050015345745</v>
      </c>
      <c r="BC106">
        <v>11.8</v>
      </c>
      <c r="BD106" t="s">
        <v>56</v>
      </c>
      <c r="BE106">
        <v>0.4</v>
      </c>
      <c r="BF106">
        <v>11.9</v>
      </c>
      <c r="BG106" t="s">
        <v>56</v>
      </c>
      <c r="BH106">
        <v>0.4</v>
      </c>
      <c r="BI106">
        <v>566</v>
      </c>
      <c r="BJ106">
        <v>0.2</v>
      </c>
      <c r="BK106" t="s">
        <v>129</v>
      </c>
      <c r="BL106" t="s">
        <v>120</v>
      </c>
      <c r="BM106" t="s">
        <v>120</v>
      </c>
      <c r="BN106" t="s">
        <v>81</v>
      </c>
      <c r="BO106" t="s">
        <v>121</v>
      </c>
      <c r="BP106" t="s">
        <v>83</v>
      </c>
      <c r="BR106" t="s">
        <v>122</v>
      </c>
      <c r="BT106">
        <v>7.47</v>
      </c>
      <c r="BU106">
        <v>7.4654379999999998</v>
      </c>
      <c r="BV106">
        <v>4.1889399999999997</v>
      </c>
      <c r="BW106">
        <f>BV106*SQRT(AK106)</f>
        <v>9.3667545936679684</v>
      </c>
      <c r="BX106">
        <v>6.93</v>
      </c>
      <c r="BY106">
        <v>6.9262673000000001</v>
      </c>
      <c r="BZ106">
        <v>2.0699999999999998</v>
      </c>
      <c r="CA106">
        <f>BZ106*SQRT(AL106)</f>
        <v>4.6286607134245648</v>
      </c>
      <c r="CB106">
        <v>60</v>
      </c>
      <c r="CC106">
        <v>5</v>
      </c>
      <c r="CD106">
        <v>-7.4999999999999997E-2</v>
      </c>
      <c r="CE106">
        <v>0.40450000000000003</v>
      </c>
    </row>
    <row r="107" spans="4:83" hidden="1" x14ac:dyDescent="0.2">
      <c r="D107">
        <v>6</v>
      </c>
      <c r="G107" t="s">
        <v>114</v>
      </c>
      <c r="H107" t="s">
        <v>115</v>
      </c>
      <c r="J107">
        <v>2011</v>
      </c>
      <c r="M107" t="s">
        <v>116</v>
      </c>
      <c r="T107" t="s">
        <v>131</v>
      </c>
      <c r="U107" t="s">
        <v>56</v>
      </c>
      <c r="V107" t="s">
        <v>56</v>
      </c>
      <c r="Z107" t="s">
        <v>49</v>
      </c>
      <c r="AA107" t="s">
        <v>49</v>
      </c>
      <c r="AB107" t="s">
        <v>50</v>
      </c>
      <c r="AC107" t="s">
        <v>117</v>
      </c>
      <c r="AD107" t="s">
        <v>52</v>
      </c>
      <c r="AE107" t="s">
        <v>53</v>
      </c>
      <c r="AF107" t="s">
        <v>52</v>
      </c>
      <c r="AG107" t="s">
        <v>52</v>
      </c>
      <c r="AH107" t="s">
        <v>64</v>
      </c>
      <c r="AK107">
        <v>5</v>
      </c>
      <c r="AL107">
        <v>5</v>
      </c>
      <c r="AM107" t="s">
        <v>150</v>
      </c>
      <c r="AN107">
        <v>729</v>
      </c>
      <c r="AO107" t="s">
        <v>56</v>
      </c>
      <c r="AP107">
        <v>160</v>
      </c>
      <c r="AQ107" t="s">
        <v>118</v>
      </c>
      <c r="AR107">
        <v>7.86</v>
      </c>
      <c r="AS107" t="s">
        <v>56</v>
      </c>
      <c r="AT107">
        <v>0.09</v>
      </c>
      <c r="AU107">
        <v>1423</v>
      </c>
      <c r="AV107" t="s">
        <v>56</v>
      </c>
      <c r="AW107">
        <v>389</v>
      </c>
      <c r="AX107">
        <v>7.61</v>
      </c>
      <c r="AY107" t="s">
        <v>56</v>
      </c>
      <c r="AZ107">
        <v>0.15</v>
      </c>
      <c r="BB107">
        <f>LOG(AU107)</f>
        <v>3.1532049000842841</v>
      </c>
      <c r="BC107">
        <v>11.8</v>
      </c>
      <c r="BD107" t="s">
        <v>56</v>
      </c>
      <c r="BE107">
        <v>0.4</v>
      </c>
      <c r="BF107">
        <v>16</v>
      </c>
      <c r="BG107" t="s">
        <v>56</v>
      </c>
      <c r="BH107">
        <v>0.6</v>
      </c>
      <c r="BI107">
        <v>694</v>
      </c>
      <c r="BJ107">
        <v>4.2</v>
      </c>
      <c r="BK107" t="s">
        <v>158</v>
      </c>
      <c r="BL107" t="s">
        <v>158</v>
      </c>
      <c r="BM107" t="s">
        <v>149</v>
      </c>
      <c r="BN107" t="s">
        <v>81</v>
      </c>
      <c r="BO107" t="s">
        <v>56</v>
      </c>
      <c r="BP107" t="s">
        <v>127</v>
      </c>
      <c r="BR107" t="s">
        <v>122</v>
      </c>
      <c r="BT107">
        <v>0.64</v>
      </c>
      <c r="BU107">
        <v>0.64367799999999997</v>
      </c>
      <c r="BV107">
        <v>0.1</v>
      </c>
      <c r="BW107">
        <f>BV107*SQRT(AK107)</f>
        <v>0.22360679774997899</v>
      </c>
      <c r="BX107">
        <v>0.6</v>
      </c>
      <c r="BY107">
        <v>0.59770109999999999</v>
      </c>
      <c r="BZ107">
        <v>0.17</v>
      </c>
      <c r="CA107">
        <f>BZ107*SQRT(AL107)</f>
        <v>0.3801315561749643</v>
      </c>
      <c r="CB107">
        <v>60</v>
      </c>
      <c r="CC107">
        <v>5</v>
      </c>
      <c r="CD107">
        <v>-7.3999999999999996E-2</v>
      </c>
      <c r="CE107">
        <v>0.109</v>
      </c>
    </row>
    <row r="108" spans="4:83" hidden="1" x14ac:dyDescent="0.2">
      <c r="D108">
        <v>6</v>
      </c>
      <c r="G108" t="s">
        <v>114</v>
      </c>
      <c r="H108" t="s">
        <v>115</v>
      </c>
      <c r="J108">
        <v>2011</v>
      </c>
      <c r="M108" t="s">
        <v>116</v>
      </c>
      <c r="T108" t="s">
        <v>136</v>
      </c>
      <c r="U108" t="s">
        <v>56</v>
      </c>
      <c r="V108" t="s">
        <v>56</v>
      </c>
      <c r="Z108" t="s">
        <v>49</v>
      </c>
      <c r="AA108" t="s">
        <v>49</v>
      </c>
      <c r="AB108" t="s">
        <v>50</v>
      </c>
      <c r="AC108" t="s">
        <v>117</v>
      </c>
      <c r="AD108" t="s">
        <v>52</v>
      </c>
      <c r="AE108" t="s">
        <v>53</v>
      </c>
      <c r="AF108" t="s">
        <v>52</v>
      </c>
      <c r="AG108" t="s">
        <v>52</v>
      </c>
      <c r="AH108" t="s">
        <v>64</v>
      </c>
      <c r="AK108">
        <v>5</v>
      </c>
      <c r="AL108">
        <v>5</v>
      </c>
      <c r="AM108" t="s">
        <v>140</v>
      </c>
      <c r="AN108">
        <v>729</v>
      </c>
      <c r="AO108" t="s">
        <v>56</v>
      </c>
      <c r="AP108">
        <v>160</v>
      </c>
      <c r="AQ108" t="s">
        <v>118</v>
      </c>
      <c r="AR108">
        <v>7.86</v>
      </c>
      <c r="AS108" t="s">
        <v>56</v>
      </c>
      <c r="AT108">
        <v>0.09</v>
      </c>
      <c r="AU108">
        <v>3010</v>
      </c>
      <c r="AV108" t="s">
        <v>56</v>
      </c>
      <c r="AW108">
        <v>4141</v>
      </c>
      <c r="AX108">
        <v>6.66</v>
      </c>
      <c r="AY108" t="s">
        <v>56</v>
      </c>
      <c r="AZ108">
        <v>0.19</v>
      </c>
      <c r="BB108">
        <f>LOG(AU108)</f>
        <v>3.4785664955938436</v>
      </c>
      <c r="BC108">
        <v>11.8</v>
      </c>
      <c r="BD108" t="s">
        <v>56</v>
      </c>
      <c r="BE108">
        <v>0.4</v>
      </c>
      <c r="BF108">
        <v>15.5</v>
      </c>
      <c r="BG108" t="s">
        <v>56</v>
      </c>
      <c r="BH108">
        <v>1.5</v>
      </c>
      <c r="BI108">
        <v>2281</v>
      </c>
      <c r="BJ108">
        <v>3.7</v>
      </c>
      <c r="BK108" t="s">
        <v>162</v>
      </c>
      <c r="BL108" t="s">
        <v>162</v>
      </c>
      <c r="BM108" t="s">
        <v>139</v>
      </c>
      <c r="BN108" t="s">
        <v>81</v>
      </c>
      <c r="BO108" t="s">
        <v>121</v>
      </c>
      <c r="BP108" t="s">
        <v>127</v>
      </c>
      <c r="BR108" t="s">
        <v>122</v>
      </c>
      <c r="BT108">
        <v>11.92</v>
      </c>
      <c r="BU108">
        <v>11.922245999999999</v>
      </c>
      <c r="BV108">
        <v>2.0299999999999998</v>
      </c>
      <c r="BW108">
        <f>BV108*SQRT(AK108)</f>
        <v>4.5392179943245727</v>
      </c>
      <c r="BX108">
        <v>11.14</v>
      </c>
      <c r="BY108">
        <v>11.144708400000001</v>
      </c>
      <c r="BZ108">
        <v>0.13</v>
      </c>
      <c r="CA108">
        <f>BZ108*SQRT(AL108)</f>
        <v>0.29068883707497267</v>
      </c>
      <c r="CB108">
        <v>60</v>
      </c>
      <c r="CC108">
        <v>5</v>
      </c>
      <c r="CD108">
        <v>-6.7000000000000004E-2</v>
      </c>
      <c r="CE108">
        <v>2.9100000000000001E-2</v>
      </c>
    </row>
    <row r="109" spans="4:83" hidden="1" x14ac:dyDescent="0.2">
      <c r="D109">
        <v>6</v>
      </c>
      <c r="G109" t="s">
        <v>114</v>
      </c>
      <c r="H109" t="s">
        <v>115</v>
      </c>
      <c r="J109">
        <v>2011</v>
      </c>
      <c r="M109" t="s">
        <v>116</v>
      </c>
      <c r="T109" t="s">
        <v>68</v>
      </c>
      <c r="U109" t="s">
        <v>56</v>
      </c>
      <c r="V109" t="s">
        <v>56</v>
      </c>
      <c r="Z109" t="s">
        <v>49</v>
      </c>
      <c r="AA109" t="s">
        <v>49</v>
      </c>
      <c r="AB109" t="s">
        <v>50</v>
      </c>
      <c r="AC109" t="s">
        <v>117</v>
      </c>
      <c r="AD109" t="s">
        <v>52</v>
      </c>
      <c r="AE109" t="s">
        <v>53</v>
      </c>
      <c r="AF109" t="s">
        <v>52</v>
      </c>
      <c r="AG109" t="s">
        <v>52</v>
      </c>
      <c r="AH109" t="s">
        <v>64</v>
      </c>
      <c r="AK109">
        <v>5</v>
      </c>
      <c r="AL109">
        <v>5</v>
      </c>
      <c r="AM109" t="s">
        <v>150</v>
      </c>
      <c r="AN109">
        <v>729</v>
      </c>
      <c r="AO109" t="s">
        <v>56</v>
      </c>
      <c r="AP109">
        <v>160</v>
      </c>
      <c r="AQ109" t="s">
        <v>118</v>
      </c>
      <c r="AR109">
        <v>7.86</v>
      </c>
      <c r="AS109" t="s">
        <v>56</v>
      </c>
      <c r="AT109">
        <v>0.09</v>
      </c>
      <c r="AU109">
        <v>1423</v>
      </c>
      <c r="AV109" t="s">
        <v>56</v>
      </c>
      <c r="AW109">
        <v>389</v>
      </c>
      <c r="AX109">
        <v>7.61</v>
      </c>
      <c r="AY109" t="s">
        <v>56</v>
      </c>
      <c r="AZ109">
        <v>0.15</v>
      </c>
      <c r="BB109">
        <f>LOG(AU109)</f>
        <v>3.1532049000842841</v>
      </c>
      <c r="BC109">
        <v>11.8</v>
      </c>
      <c r="BD109" t="s">
        <v>56</v>
      </c>
      <c r="BE109">
        <v>0.4</v>
      </c>
      <c r="BF109">
        <v>16</v>
      </c>
      <c r="BG109" t="s">
        <v>56</v>
      </c>
      <c r="BH109">
        <v>0.6</v>
      </c>
      <c r="BI109">
        <v>694</v>
      </c>
      <c r="BJ109">
        <v>4.2</v>
      </c>
      <c r="BK109" t="s">
        <v>164</v>
      </c>
      <c r="BL109" t="s">
        <v>164</v>
      </c>
      <c r="BM109" t="s">
        <v>149</v>
      </c>
      <c r="BN109" t="s">
        <v>81</v>
      </c>
      <c r="BO109" t="s">
        <v>56</v>
      </c>
      <c r="BP109" t="s">
        <v>127</v>
      </c>
      <c r="BR109" t="s">
        <v>122</v>
      </c>
      <c r="BT109">
        <v>0.87</v>
      </c>
      <c r="BU109">
        <v>0.87074799999999997</v>
      </c>
      <c r="BV109">
        <v>0.05</v>
      </c>
      <c r="BW109">
        <f>BV109*SQRT(AK109)</f>
        <v>0.1118033988749895</v>
      </c>
      <c r="BX109">
        <v>0.82</v>
      </c>
      <c r="BY109">
        <v>0.82312929999999995</v>
      </c>
      <c r="BZ109">
        <v>0.04</v>
      </c>
      <c r="CA109">
        <f>BZ109*SQRT(AL109)</f>
        <v>8.9442719099991588E-2</v>
      </c>
      <c r="CB109">
        <v>60</v>
      </c>
      <c r="CC109">
        <v>5</v>
      </c>
      <c r="CD109">
        <v>-5.6000000000000001E-2</v>
      </c>
      <c r="CE109">
        <v>6.0000000000000001E-3</v>
      </c>
    </row>
    <row r="110" spans="4:83" hidden="1" x14ac:dyDescent="0.2">
      <c r="D110">
        <v>6</v>
      </c>
      <c r="G110" t="s">
        <v>114</v>
      </c>
      <c r="H110" t="s">
        <v>115</v>
      </c>
      <c r="J110">
        <v>2011</v>
      </c>
      <c r="M110" t="s">
        <v>116</v>
      </c>
      <c r="T110" t="s">
        <v>68</v>
      </c>
      <c r="U110" t="s">
        <v>56</v>
      </c>
      <c r="V110" t="s">
        <v>56</v>
      </c>
      <c r="Z110" t="s">
        <v>49</v>
      </c>
      <c r="AA110" t="s">
        <v>49</v>
      </c>
      <c r="AB110" t="s">
        <v>50</v>
      </c>
      <c r="AC110" t="s">
        <v>117</v>
      </c>
      <c r="AD110" t="s">
        <v>52</v>
      </c>
      <c r="AE110" t="s">
        <v>53</v>
      </c>
      <c r="AF110" t="s">
        <v>54</v>
      </c>
      <c r="AG110" t="s">
        <v>52</v>
      </c>
      <c r="AH110" t="s">
        <v>65</v>
      </c>
      <c r="AK110">
        <v>5</v>
      </c>
      <c r="AL110">
        <v>5</v>
      </c>
      <c r="AM110" t="s">
        <v>150</v>
      </c>
      <c r="AN110">
        <v>729</v>
      </c>
      <c r="AO110" t="s">
        <v>56</v>
      </c>
      <c r="AP110">
        <v>160</v>
      </c>
      <c r="AQ110" t="s">
        <v>118</v>
      </c>
      <c r="AR110">
        <v>7.86</v>
      </c>
      <c r="AS110" t="s">
        <v>56</v>
      </c>
      <c r="AT110">
        <v>0.09</v>
      </c>
      <c r="AU110">
        <v>822</v>
      </c>
      <c r="AV110" t="s">
        <v>56</v>
      </c>
      <c r="AW110">
        <v>743</v>
      </c>
      <c r="AX110">
        <v>7.85</v>
      </c>
      <c r="AY110" t="s">
        <v>56</v>
      </c>
      <c r="AZ110">
        <v>0.13</v>
      </c>
      <c r="BB110">
        <f>LOG(AU110)</f>
        <v>2.9148718175400505</v>
      </c>
      <c r="BC110">
        <v>11.8</v>
      </c>
      <c r="BD110" t="s">
        <v>56</v>
      </c>
      <c r="BE110">
        <v>0.4</v>
      </c>
      <c r="BF110">
        <v>16</v>
      </c>
      <c r="BG110" t="s">
        <v>56</v>
      </c>
      <c r="BH110">
        <v>0.4</v>
      </c>
      <c r="BI110">
        <v>93</v>
      </c>
      <c r="BJ110">
        <v>4.3</v>
      </c>
      <c r="BK110" t="s">
        <v>164</v>
      </c>
      <c r="BL110" t="s">
        <v>164</v>
      </c>
      <c r="BM110" t="s">
        <v>149</v>
      </c>
      <c r="BN110" t="s">
        <v>81</v>
      </c>
      <c r="BO110" t="s">
        <v>56</v>
      </c>
      <c r="BP110" t="s">
        <v>127</v>
      </c>
      <c r="BR110" t="s">
        <v>122</v>
      </c>
      <c r="BT110">
        <v>0.87</v>
      </c>
      <c r="BU110">
        <v>0.87074799999999997</v>
      </c>
      <c r="BV110">
        <v>0.05</v>
      </c>
      <c r="BW110">
        <f>BV110*SQRT(AK110)</f>
        <v>0.1118033988749895</v>
      </c>
      <c r="BX110">
        <v>0.82</v>
      </c>
      <c r="BY110">
        <v>0.82312929999999995</v>
      </c>
      <c r="BZ110">
        <v>0.03</v>
      </c>
      <c r="CA110">
        <f>BZ110*SQRT(AL110)</f>
        <v>6.7082039324993695E-2</v>
      </c>
      <c r="CB110">
        <v>60</v>
      </c>
      <c r="CC110">
        <v>5</v>
      </c>
      <c r="CD110">
        <v>-5.6000000000000001E-2</v>
      </c>
      <c r="CE110">
        <v>4.7999999999999996E-3</v>
      </c>
    </row>
    <row r="111" spans="4:83" hidden="1" x14ac:dyDescent="0.2">
      <c r="D111">
        <v>6</v>
      </c>
      <c r="G111" t="s">
        <v>43</v>
      </c>
      <c r="H111" t="s">
        <v>115</v>
      </c>
      <c r="J111">
        <v>2011</v>
      </c>
      <c r="M111" t="s">
        <v>116</v>
      </c>
      <c r="T111" t="s">
        <v>151</v>
      </c>
      <c r="U111" t="s">
        <v>152</v>
      </c>
      <c r="V111" t="s">
        <v>153</v>
      </c>
      <c r="Z111" t="s">
        <v>49</v>
      </c>
      <c r="AA111" t="s">
        <v>49</v>
      </c>
      <c r="AB111" t="s">
        <v>50</v>
      </c>
      <c r="AC111" t="s">
        <v>117</v>
      </c>
      <c r="AD111" t="s">
        <v>52</v>
      </c>
      <c r="AE111" t="s">
        <v>56</v>
      </c>
      <c r="AF111" t="s">
        <v>52</v>
      </c>
      <c r="AG111" t="s">
        <v>54</v>
      </c>
      <c r="AH111" t="s">
        <v>55</v>
      </c>
      <c r="AK111">
        <v>5</v>
      </c>
      <c r="AL111">
        <v>5</v>
      </c>
      <c r="AM111" t="s">
        <v>123</v>
      </c>
      <c r="AN111">
        <v>729</v>
      </c>
      <c r="AO111" t="s">
        <v>56</v>
      </c>
      <c r="AP111">
        <v>160</v>
      </c>
      <c r="AQ111" t="s">
        <v>118</v>
      </c>
      <c r="AR111">
        <v>7.86</v>
      </c>
      <c r="AS111" t="s">
        <v>56</v>
      </c>
      <c r="AT111">
        <v>0.09</v>
      </c>
      <c r="AU111">
        <v>2729</v>
      </c>
      <c r="AV111" t="s">
        <v>56</v>
      </c>
      <c r="AW111">
        <v>499</v>
      </c>
      <c r="AX111">
        <v>7.35</v>
      </c>
      <c r="AY111" t="s">
        <v>56</v>
      </c>
      <c r="AZ111">
        <v>7.0000000000000007E-2</v>
      </c>
      <c r="BB111">
        <f>LOG(AU111)</f>
        <v>3.4360035356698964</v>
      </c>
      <c r="BC111">
        <v>11.8</v>
      </c>
      <c r="BD111" t="s">
        <v>56</v>
      </c>
      <c r="BE111">
        <v>0.4</v>
      </c>
      <c r="BF111">
        <v>11.7</v>
      </c>
      <c r="BG111" t="s">
        <v>56</v>
      </c>
      <c r="BH111">
        <v>0.4</v>
      </c>
      <c r="BI111">
        <v>2000</v>
      </c>
      <c r="BJ111">
        <v>-0.1</v>
      </c>
      <c r="BK111" t="s">
        <v>56</v>
      </c>
      <c r="BL111" t="s">
        <v>154</v>
      </c>
      <c r="BM111" t="s">
        <v>154</v>
      </c>
      <c r="BN111" t="s">
        <v>81</v>
      </c>
      <c r="BO111" t="s">
        <v>121</v>
      </c>
      <c r="BP111" t="s">
        <v>127</v>
      </c>
      <c r="BR111" t="s">
        <v>122</v>
      </c>
      <c r="BT111">
        <v>37.6</v>
      </c>
      <c r="BU111">
        <v>37.596567</v>
      </c>
      <c r="BV111">
        <v>3.2188840000000001</v>
      </c>
      <c r="BW111">
        <f>BV111*SQRT(AK111)</f>
        <v>7.1976434356864338</v>
      </c>
      <c r="BX111">
        <v>35.79</v>
      </c>
      <c r="BY111">
        <v>35.793991400000003</v>
      </c>
      <c r="BZ111">
        <v>6.95</v>
      </c>
      <c r="CA111">
        <f>BZ111*SQRT(AL111)</f>
        <v>15.54067244362354</v>
      </c>
      <c r="CB111">
        <v>60</v>
      </c>
      <c r="CC111">
        <v>5</v>
      </c>
      <c r="CD111">
        <v>-4.9000000000000002E-2</v>
      </c>
      <c r="CE111">
        <v>4.5100000000000001E-2</v>
      </c>
    </row>
    <row r="112" spans="4:83" hidden="1" x14ac:dyDescent="0.2">
      <c r="D112">
        <v>6</v>
      </c>
      <c r="G112" t="s">
        <v>43</v>
      </c>
      <c r="H112" t="s">
        <v>115</v>
      </c>
      <c r="J112">
        <v>2011</v>
      </c>
      <c r="M112" t="s">
        <v>116</v>
      </c>
      <c r="T112" t="s">
        <v>151</v>
      </c>
      <c r="U112" t="s">
        <v>152</v>
      </c>
      <c r="V112" t="s">
        <v>153</v>
      </c>
      <c r="Z112" t="s">
        <v>49</v>
      </c>
      <c r="AA112" t="s">
        <v>49</v>
      </c>
      <c r="AB112" t="s">
        <v>50</v>
      </c>
      <c r="AC112" t="s">
        <v>117</v>
      </c>
      <c r="AD112" t="s">
        <v>52</v>
      </c>
      <c r="AE112" t="s">
        <v>56</v>
      </c>
      <c r="AF112" t="s">
        <v>52</v>
      </c>
      <c r="AG112" t="s">
        <v>52</v>
      </c>
      <c r="AH112" t="s">
        <v>64</v>
      </c>
      <c r="AK112">
        <v>5</v>
      </c>
      <c r="AL112">
        <v>5</v>
      </c>
      <c r="AM112" t="s">
        <v>123</v>
      </c>
      <c r="AN112">
        <v>729</v>
      </c>
      <c r="AO112" t="s">
        <v>56</v>
      </c>
      <c r="AP112">
        <v>160</v>
      </c>
      <c r="AQ112" t="s">
        <v>118</v>
      </c>
      <c r="AR112">
        <v>7.86</v>
      </c>
      <c r="AS112" t="s">
        <v>56</v>
      </c>
      <c r="AT112">
        <v>0.09</v>
      </c>
      <c r="AU112">
        <v>1423</v>
      </c>
      <c r="AV112" t="s">
        <v>56</v>
      </c>
      <c r="AW112">
        <v>389</v>
      </c>
      <c r="AX112">
        <v>7.61</v>
      </c>
      <c r="AY112" t="s">
        <v>56</v>
      </c>
      <c r="AZ112">
        <v>0.15</v>
      </c>
      <c r="BB112">
        <f>LOG(AU112)</f>
        <v>3.1532049000842841</v>
      </c>
      <c r="BC112">
        <v>11.8</v>
      </c>
      <c r="BD112" t="s">
        <v>56</v>
      </c>
      <c r="BE112">
        <v>0.4</v>
      </c>
      <c r="BF112">
        <v>16</v>
      </c>
      <c r="BG112" t="s">
        <v>56</v>
      </c>
      <c r="BH112">
        <v>0.6</v>
      </c>
      <c r="BI112">
        <v>694</v>
      </c>
      <c r="BJ112">
        <v>4.2</v>
      </c>
      <c r="BK112" t="s">
        <v>56</v>
      </c>
      <c r="BL112" t="s">
        <v>149</v>
      </c>
      <c r="BM112" t="s">
        <v>149</v>
      </c>
      <c r="BN112" t="s">
        <v>81</v>
      </c>
      <c r="BO112" t="s">
        <v>56</v>
      </c>
      <c r="BP112" t="s">
        <v>127</v>
      </c>
      <c r="BR112" t="s">
        <v>122</v>
      </c>
      <c r="BT112">
        <v>0.76</v>
      </c>
      <c r="BU112">
        <v>0.75955099999999998</v>
      </c>
      <c r="BV112">
        <v>8.5392999999999997E-2</v>
      </c>
      <c r="BW112">
        <f>BV112*SQRT(AK112)</f>
        <v>0.19094455280263956</v>
      </c>
      <c r="BX112">
        <v>0.73</v>
      </c>
      <c r="BY112">
        <v>0.72808989999999996</v>
      </c>
      <c r="BZ112">
        <v>0.1</v>
      </c>
      <c r="CA112">
        <f>BZ112*SQRT(AL112)</f>
        <v>0.22360679774997899</v>
      </c>
      <c r="CB112">
        <v>60</v>
      </c>
      <c r="CC112">
        <v>5</v>
      </c>
      <c r="CD112">
        <v>-4.2000000000000003E-2</v>
      </c>
      <c r="CE112">
        <v>3.1899999999999998E-2</v>
      </c>
    </row>
    <row r="113" spans="4:83" hidden="1" x14ac:dyDescent="0.2">
      <c r="D113">
        <v>6</v>
      </c>
      <c r="G113" t="s">
        <v>114</v>
      </c>
      <c r="H113" t="s">
        <v>115</v>
      </c>
      <c r="J113">
        <v>2011</v>
      </c>
      <c r="M113" t="s">
        <v>116</v>
      </c>
      <c r="T113" t="s">
        <v>131</v>
      </c>
      <c r="U113" t="s">
        <v>56</v>
      </c>
      <c r="V113" t="s">
        <v>56</v>
      </c>
      <c r="Z113" t="s">
        <v>49</v>
      </c>
      <c r="AA113" t="s">
        <v>49</v>
      </c>
      <c r="AB113" t="s">
        <v>50</v>
      </c>
      <c r="AC113" t="s">
        <v>117</v>
      </c>
      <c r="AD113" t="s">
        <v>52</v>
      </c>
      <c r="AE113" t="s">
        <v>53</v>
      </c>
      <c r="AF113" t="s">
        <v>54</v>
      </c>
      <c r="AG113" t="s">
        <v>52</v>
      </c>
      <c r="AH113" t="s">
        <v>65</v>
      </c>
      <c r="AK113">
        <v>5</v>
      </c>
      <c r="AL113">
        <v>5</v>
      </c>
      <c r="AM113" t="s">
        <v>140</v>
      </c>
      <c r="AN113">
        <v>729</v>
      </c>
      <c r="AO113" t="s">
        <v>56</v>
      </c>
      <c r="AP113">
        <v>160</v>
      </c>
      <c r="AQ113" t="s">
        <v>118</v>
      </c>
      <c r="AR113">
        <v>7.86</v>
      </c>
      <c r="AS113" t="s">
        <v>56</v>
      </c>
      <c r="AT113">
        <v>0.09</v>
      </c>
      <c r="AU113">
        <v>822</v>
      </c>
      <c r="AV113" t="s">
        <v>56</v>
      </c>
      <c r="AW113">
        <v>743</v>
      </c>
      <c r="AX113">
        <v>7.85</v>
      </c>
      <c r="AY113" t="s">
        <v>56</v>
      </c>
      <c r="AZ113">
        <v>0.13</v>
      </c>
      <c r="BB113">
        <f>LOG(AU113)</f>
        <v>2.9148718175400505</v>
      </c>
      <c r="BC113">
        <v>11.8</v>
      </c>
      <c r="BD113" t="s">
        <v>56</v>
      </c>
      <c r="BE113">
        <v>0.4</v>
      </c>
      <c r="BF113">
        <v>16</v>
      </c>
      <c r="BG113" t="s">
        <v>56</v>
      </c>
      <c r="BH113">
        <v>0.4</v>
      </c>
      <c r="BI113">
        <v>93</v>
      </c>
      <c r="BJ113">
        <v>4.3</v>
      </c>
      <c r="BK113" t="s">
        <v>142</v>
      </c>
      <c r="BL113" t="s">
        <v>142</v>
      </c>
      <c r="BM113" t="s">
        <v>139</v>
      </c>
      <c r="BN113" t="s">
        <v>81</v>
      </c>
      <c r="BO113" t="s">
        <v>121</v>
      </c>
      <c r="BP113" t="s">
        <v>127</v>
      </c>
      <c r="BR113" t="s">
        <v>122</v>
      </c>
      <c r="BT113">
        <v>12.44</v>
      </c>
      <c r="BU113">
        <v>12.441805</v>
      </c>
      <c r="BV113">
        <v>1.2</v>
      </c>
      <c r="BW113">
        <f>BV113*SQRT(AK113)</f>
        <v>2.6832815729997477</v>
      </c>
      <c r="BX113">
        <v>12.06</v>
      </c>
      <c r="BY113">
        <v>12.0570071</v>
      </c>
      <c r="BZ113">
        <v>0.68</v>
      </c>
      <c r="CA113">
        <f>BZ113*SQRT(AL113)</f>
        <v>1.5205262246998572</v>
      </c>
      <c r="CB113">
        <v>60</v>
      </c>
      <c r="CC113">
        <v>5</v>
      </c>
      <c r="CD113">
        <v>-3.1E-2</v>
      </c>
      <c r="CE113">
        <v>1.2500000000000001E-2</v>
      </c>
    </row>
    <row r="114" spans="4:83" hidden="1" x14ac:dyDescent="0.2">
      <c r="D114">
        <v>6</v>
      </c>
      <c r="G114" t="s">
        <v>114</v>
      </c>
      <c r="H114" t="s">
        <v>115</v>
      </c>
      <c r="J114">
        <v>2011</v>
      </c>
      <c r="M114" t="s">
        <v>116</v>
      </c>
      <c r="T114" t="s">
        <v>131</v>
      </c>
      <c r="U114" t="s">
        <v>56</v>
      </c>
      <c r="V114" t="s">
        <v>56</v>
      </c>
      <c r="Z114" t="s">
        <v>49</v>
      </c>
      <c r="AA114" t="s">
        <v>49</v>
      </c>
      <c r="AB114" t="s">
        <v>50</v>
      </c>
      <c r="AC114" t="s">
        <v>117</v>
      </c>
      <c r="AD114" t="s">
        <v>52</v>
      </c>
      <c r="AE114" t="s">
        <v>53</v>
      </c>
      <c r="AF114" t="s">
        <v>52</v>
      </c>
      <c r="AG114" t="s">
        <v>54</v>
      </c>
      <c r="AH114" t="s">
        <v>55</v>
      </c>
      <c r="AK114">
        <v>5</v>
      </c>
      <c r="AL114">
        <v>5</v>
      </c>
      <c r="AM114" t="s">
        <v>150</v>
      </c>
      <c r="AN114">
        <v>729</v>
      </c>
      <c r="AO114" t="s">
        <v>56</v>
      </c>
      <c r="AP114">
        <v>160</v>
      </c>
      <c r="AQ114" t="s">
        <v>118</v>
      </c>
      <c r="AR114">
        <v>7.86</v>
      </c>
      <c r="AS114" t="s">
        <v>56</v>
      </c>
      <c r="AT114">
        <v>0.09</v>
      </c>
      <c r="AU114">
        <v>2729</v>
      </c>
      <c r="AV114" t="s">
        <v>56</v>
      </c>
      <c r="AW114">
        <v>499</v>
      </c>
      <c r="AX114">
        <v>7.35</v>
      </c>
      <c r="AY114" t="s">
        <v>56</v>
      </c>
      <c r="AZ114">
        <v>7.0000000000000007E-2</v>
      </c>
      <c r="BB114">
        <f>LOG(AU114)</f>
        <v>3.4360035356698964</v>
      </c>
      <c r="BC114">
        <v>11.8</v>
      </c>
      <c r="BD114" t="s">
        <v>56</v>
      </c>
      <c r="BE114">
        <v>0.4</v>
      </c>
      <c r="BF114">
        <v>11.7</v>
      </c>
      <c r="BG114" t="s">
        <v>56</v>
      </c>
      <c r="BH114">
        <v>0.4</v>
      </c>
      <c r="BI114">
        <v>2000</v>
      </c>
      <c r="BJ114">
        <v>-0.1</v>
      </c>
      <c r="BK114" t="s">
        <v>158</v>
      </c>
      <c r="BL114" t="s">
        <v>158</v>
      </c>
      <c r="BM114" t="s">
        <v>149</v>
      </c>
      <c r="BN114" t="s">
        <v>81</v>
      </c>
      <c r="BO114" t="s">
        <v>56</v>
      </c>
      <c r="BP114" t="s">
        <v>127</v>
      </c>
      <c r="BR114" t="s">
        <v>122</v>
      </c>
      <c r="BT114">
        <v>0.64</v>
      </c>
      <c r="BU114">
        <v>0.64367799999999997</v>
      </c>
      <c r="BV114">
        <v>0.1</v>
      </c>
      <c r="BW114">
        <f>BV114*SQRT(AK114)</f>
        <v>0.22360679774997899</v>
      </c>
      <c r="BX114">
        <v>0.63</v>
      </c>
      <c r="BY114">
        <v>0.62528740000000005</v>
      </c>
      <c r="BZ114">
        <v>0.15</v>
      </c>
      <c r="CA114">
        <f>BZ114*SQRT(AL114)</f>
        <v>0.33541019662496846</v>
      </c>
      <c r="CB114">
        <v>60</v>
      </c>
      <c r="CC114">
        <v>5</v>
      </c>
      <c r="CD114">
        <v>-2.9000000000000001E-2</v>
      </c>
      <c r="CE114">
        <v>8.6499999999999994E-2</v>
      </c>
    </row>
    <row r="115" spans="4:83" hidden="1" x14ac:dyDescent="0.2">
      <c r="D115">
        <v>6</v>
      </c>
      <c r="G115" t="s">
        <v>114</v>
      </c>
      <c r="H115" t="s">
        <v>115</v>
      </c>
      <c r="J115">
        <v>2011</v>
      </c>
      <c r="M115" t="s">
        <v>116</v>
      </c>
      <c r="T115" t="s">
        <v>136</v>
      </c>
      <c r="U115" t="s">
        <v>56</v>
      </c>
      <c r="V115" t="s">
        <v>56</v>
      </c>
      <c r="Z115" t="s">
        <v>49</v>
      </c>
      <c r="AA115" t="s">
        <v>49</v>
      </c>
      <c r="AB115" t="s">
        <v>50</v>
      </c>
      <c r="AC115" t="s">
        <v>117</v>
      </c>
      <c r="AD115" t="s">
        <v>52</v>
      </c>
      <c r="AE115" t="s">
        <v>53</v>
      </c>
      <c r="AF115" t="s">
        <v>52</v>
      </c>
      <c r="AG115" t="s">
        <v>52</v>
      </c>
      <c r="AH115" t="s">
        <v>64</v>
      </c>
      <c r="AK115">
        <v>5</v>
      </c>
      <c r="AL115">
        <v>5</v>
      </c>
      <c r="AM115" t="s">
        <v>150</v>
      </c>
      <c r="AN115">
        <v>729</v>
      </c>
      <c r="AO115" t="s">
        <v>56</v>
      </c>
      <c r="AP115">
        <v>160</v>
      </c>
      <c r="AQ115" t="s">
        <v>118</v>
      </c>
      <c r="AR115">
        <v>7.86</v>
      </c>
      <c r="AS115" t="s">
        <v>56</v>
      </c>
      <c r="AT115">
        <v>0.09</v>
      </c>
      <c r="AU115">
        <v>3010</v>
      </c>
      <c r="AV115" t="s">
        <v>56</v>
      </c>
      <c r="AW115">
        <v>4141</v>
      </c>
      <c r="AX115">
        <v>6.66</v>
      </c>
      <c r="AY115" t="s">
        <v>56</v>
      </c>
      <c r="AZ115">
        <v>0.19</v>
      </c>
      <c r="BB115">
        <f>LOG(AU115)</f>
        <v>3.4785664955938436</v>
      </c>
      <c r="BC115">
        <v>11.8</v>
      </c>
      <c r="BD115" t="s">
        <v>56</v>
      </c>
      <c r="BE115">
        <v>0.4</v>
      </c>
      <c r="BF115">
        <v>15.5</v>
      </c>
      <c r="BG115" t="s">
        <v>56</v>
      </c>
      <c r="BH115">
        <v>1.5</v>
      </c>
      <c r="BI115">
        <v>2281</v>
      </c>
      <c r="BJ115">
        <v>3.7</v>
      </c>
      <c r="BK115" t="s">
        <v>148</v>
      </c>
      <c r="BL115" t="s">
        <v>148</v>
      </c>
      <c r="BM115" t="s">
        <v>149</v>
      </c>
      <c r="BN115" t="s">
        <v>81</v>
      </c>
      <c r="BO115" t="s">
        <v>56</v>
      </c>
      <c r="BP115" t="s">
        <v>127</v>
      </c>
      <c r="BR115" t="s">
        <v>122</v>
      </c>
      <c r="BT115">
        <v>0.81</v>
      </c>
      <c r="BU115">
        <v>0.80974500000000005</v>
      </c>
      <c r="BV115">
        <v>0.04</v>
      </c>
      <c r="BW115">
        <f>BV115*SQRT(AK115)</f>
        <v>8.9442719099991588E-2</v>
      </c>
      <c r="BX115">
        <v>0.8</v>
      </c>
      <c r="BY115">
        <v>0.80046399999999995</v>
      </c>
      <c r="BZ115">
        <v>0.08</v>
      </c>
      <c r="CA115">
        <f>BZ115*SQRT(AL115)</f>
        <v>0.17888543819998318</v>
      </c>
      <c r="CB115">
        <v>60</v>
      </c>
      <c r="CC115">
        <v>5</v>
      </c>
      <c r="CD115">
        <v>-1.2E-2</v>
      </c>
      <c r="CE115">
        <v>1.3299999999999999E-2</v>
      </c>
    </row>
    <row r="116" spans="4:83" hidden="1" x14ac:dyDescent="0.2">
      <c r="D116">
        <v>6</v>
      </c>
      <c r="G116" t="s">
        <v>43</v>
      </c>
      <c r="H116" t="s">
        <v>115</v>
      </c>
      <c r="J116">
        <v>2011</v>
      </c>
      <c r="M116" t="s">
        <v>116</v>
      </c>
      <c r="T116" t="s">
        <v>131</v>
      </c>
      <c r="U116" t="s">
        <v>132</v>
      </c>
      <c r="V116" t="s">
        <v>133</v>
      </c>
      <c r="Z116" t="s">
        <v>49</v>
      </c>
      <c r="AA116" t="s">
        <v>49</v>
      </c>
      <c r="AB116" t="s">
        <v>50</v>
      </c>
      <c r="AC116" t="s">
        <v>117</v>
      </c>
      <c r="AD116" t="s">
        <v>52</v>
      </c>
      <c r="AE116" t="s">
        <v>134</v>
      </c>
      <c r="AF116" t="s">
        <v>52</v>
      </c>
      <c r="AG116" t="s">
        <v>52</v>
      </c>
      <c r="AH116" t="s">
        <v>64</v>
      </c>
      <c r="AK116">
        <v>5</v>
      </c>
      <c r="AL116">
        <v>5</v>
      </c>
      <c r="AM116" t="s">
        <v>123</v>
      </c>
      <c r="AN116">
        <v>729</v>
      </c>
      <c r="AO116" t="s">
        <v>56</v>
      </c>
      <c r="AP116">
        <v>160</v>
      </c>
      <c r="AQ116" t="s">
        <v>118</v>
      </c>
      <c r="AR116">
        <v>7.86</v>
      </c>
      <c r="AS116" t="s">
        <v>56</v>
      </c>
      <c r="AT116">
        <v>0.09</v>
      </c>
      <c r="AU116">
        <v>1423</v>
      </c>
      <c r="AV116" t="s">
        <v>56</v>
      </c>
      <c r="AW116">
        <v>389</v>
      </c>
      <c r="AX116">
        <v>7.61</v>
      </c>
      <c r="AY116" t="s">
        <v>56</v>
      </c>
      <c r="AZ116">
        <v>0.15</v>
      </c>
      <c r="BB116">
        <f>LOG(AU116)</f>
        <v>3.1532049000842841</v>
      </c>
      <c r="BC116">
        <v>11.8</v>
      </c>
      <c r="BD116" t="s">
        <v>56</v>
      </c>
      <c r="BE116">
        <v>0.4</v>
      </c>
      <c r="BF116">
        <v>16</v>
      </c>
      <c r="BG116" t="s">
        <v>56</v>
      </c>
      <c r="BH116">
        <v>0.6</v>
      </c>
      <c r="BI116">
        <v>694</v>
      </c>
      <c r="BJ116">
        <v>4.2</v>
      </c>
      <c r="BK116" t="s">
        <v>135</v>
      </c>
      <c r="BL116" t="s">
        <v>120</v>
      </c>
      <c r="BM116" t="s">
        <v>120</v>
      </c>
      <c r="BN116" t="s">
        <v>81</v>
      </c>
      <c r="BO116" t="s">
        <v>121</v>
      </c>
      <c r="BP116" t="s">
        <v>83</v>
      </c>
      <c r="BR116" t="s">
        <v>122</v>
      </c>
      <c r="BT116">
        <v>36.369999999999997</v>
      </c>
      <c r="BU116">
        <v>36.367815999999998</v>
      </c>
      <c r="BV116">
        <v>24.459769999999999</v>
      </c>
      <c r="BW116">
        <f>BV116*SQRT(AK116)</f>
        <v>54.693708434010034</v>
      </c>
      <c r="BX116">
        <v>36.049999999999997</v>
      </c>
      <c r="BY116">
        <v>36.045977000000001</v>
      </c>
      <c r="BZ116">
        <v>63.72</v>
      </c>
      <c r="CA116">
        <f>BZ116*SQRT(AL116)</f>
        <v>142.4822515262866</v>
      </c>
      <c r="CB116">
        <v>60</v>
      </c>
      <c r="CC116">
        <v>5</v>
      </c>
      <c r="CD116">
        <v>-8.9999999999999993E-3</v>
      </c>
      <c r="CE116">
        <v>3.5777000000000001</v>
      </c>
    </row>
    <row r="117" spans="4:83" hidden="1" x14ac:dyDescent="0.2">
      <c r="D117">
        <v>6</v>
      </c>
      <c r="G117" t="s">
        <v>114</v>
      </c>
      <c r="H117" t="s">
        <v>115</v>
      </c>
      <c r="J117">
        <v>2011</v>
      </c>
      <c r="M117" t="s">
        <v>116</v>
      </c>
      <c r="T117" t="s">
        <v>136</v>
      </c>
      <c r="U117" t="s">
        <v>56</v>
      </c>
      <c r="V117" t="s">
        <v>56</v>
      </c>
      <c r="Z117" t="s">
        <v>49</v>
      </c>
      <c r="AA117" t="s">
        <v>49</v>
      </c>
      <c r="AB117" t="s">
        <v>50</v>
      </c>
      <c r="AC117" t="s">
        <v>117</v>
      </c>
      <c r="AD117" t="s">
        <v>52</v>
      </c>
      <c r="AE117" t="s">
        <v>53</v>
      </c>
      <c r="AF117" t="s">
        <v>52</v>
      </c>
      <c r="AG117" t="s">
        <v>54</v>
      </c>
      <c r="AH117" t="s">
        <v>55</v>
      </c>
      <c r="AK117">
        <v>5</v>
      </c>
      <c r="AL117">
        <v>5</v>
      </c>
      <c r="AM117" t="s">
        <v>150</v>
      </c>
      <c r="AN117">
        <v>729</v>
      </c>
      <c r="AO117" t="s">
        <v>56</v>
      </c>
      <c r="AP117">
        <v>160</v>
      </c>
      <c r="AQ117" t="s">
        <v>118</v>
      </c>
      <c r="AR117">
        <v>7.86</v>
      </c>
      <c r="AS117" t="s">
        <v>56</v>
      </c>
      <c r="AT117">
        <v>0.09</v>
      </c>
      <c r="AU117">
        <v>2729</v>
      </c>
      <c r="AV117" t="s">
        <v>56</v>
      </c>
      <c r="AW117">
        <v>499</v>
      </c>
      <c r="AX117">
        <v>7.35</v>
      </c>
      <c r="AY117" t="s">
        <v>56</v>
      </c>
      <c r="AZ117">
        <v>7.0000000000000007E-2</v>
      </c>
      <c r="BB117">
        <f>LOG(AU117)</f>
        <v>3.4360035356698964</v>
      </c>
      <c r="BC117">
        <v>11.8</v>
      </c>
      <c r="BD117" t="s">
        <v>56</v>
      </c>
      <c r="BE117">
        <v>0.4</v>
      </c>
      <c r="BF117">
        <v>11.7</v>
      </c>
      <c r="BG117" t="s">
        <v>56</v>
      </c>
      <c r="BH117">
        <v>0.4</v>
      </c>
      <c r="BI117">
        <v>2000</v>
      </c>
      <c r="BJ117">
        <v>-0.1</v>
      </c>
      <c r="BK117" t="s">
        <v>148</v>
      </c>
      <c r="BL117" t="s">
        <v>148</v>
      </c>
      <c r="BM117" t="s">
        <v>149</v>
      </c>
      <c r="BN117" t="s">
        <v>81</v>
      </c>
      <c r="BO117" t="s">
        <v>56</v>
      </c>
      <c r="BP117" t="s">
        <v>127</v>
      </c>
      <c r="BR117" t="s">
        <v>122</v>
      </c>
      <c r="BT117">
        <v>0.81</v>
      </c>
      <c r="BU117">
        <v>0.80974500000000005</v>
      </c>
      <c r="BV117">
        <v>0.04</v>
      </c>
      <c r="BW117">
        <f>BV117*SQRT(AK117)</f>
        <v>8.9442719099991588E-2</v>
      </c>
      <c r="BX117">
        <v>0.8</v>
      </c>
      <c r="BY117">
        <v>0.80278419999999995</v>
      </c>
      <c r="BZ117">
        <v>0</v>
      </c>
      <c r="CA117">
        <f>BZ117*SQRT(AL117)</f>
        <v>0</v>
      </c>
      <c r="CB117">
        <v>60</v>
      </c>
      <c r="CC117">
        <v>5</v>
      </c>
      <c r="CD117">
        <v>-8.9999999999999993E-3</v>
      </c>
      <c r="CE117">
        <v>3.0000000000000001E-3</v>
      </c>
    </row>
    <row r="118" spans="4:83" hidden="1" x14ac:dyDescent="0.2">
      <c r="D118">
        <v>6</v>
      </c>
      <c r="G118" t="s">
        <v>114</v>
      </c>
      <c r="H118" t="s">
        <v>115</v>
      </c>
      <c r="J118">
        <v>2011</v>
      </c>
      <c r="M118" t="s">
        <v>116</v>
      </c>
      <c r="T118" t="s">
        <v>68</v>
      </c>
      <c r="U118" t="s">
        <v>56</v>
      </c>
      <c r="V118" t="s">
        <v>56</v>
      </c>
      <c r="Z118" t="s">
        <v>49</v>
      </c>
      <c r="AA118" t="s">
        <v>49</v>
      </c>
      <c r="AB118" t="s">
        <v>50</v>
      </c>
      <c r="AC118" t="s">
        <v>117</v>
      </c>
      <c r="AD118" t="s">
        <v>52</v>
      </c>
      <c r="AE118" t="s">
        <v>53</v>
      </c>
      <c r="AF118" t="s">
        <v>52</v>
      </c>
      <c r="AG118" t="s">
        <v>52</v>
      </c>
      <c r="AH118" t="s">
        <v>64</v>
      </c>
      <c r="AK118">
        <v>5</v>
      </c>
      <c r="AL118">
        <v>5</v>
      </c>
      <c r="AM118" t="s">
        <v>150</v>
      </c>
      <c r="AN118">
        <v>729</v>
      </c>
      <c r="AO118" t="s">
        <v>56</v>
      </c>
      <c r="AP118">
        <v>160</v>
      </c>
      <c r="AQ118" t="s">
        <v>118</v>
      </c>
      <c r="AR118">
        <v>7.86</v>
      </c>
      <c r="AS118" t="s">
        <v>56</v>
      </c>
      <c r="AT118">
        <v>0.09</v>
      </c>
      <c r="AU118">
        <v>2612</v>
      </c>
      <c r="AV118" t="s">
        <v>56</v>
      </c>
      <c r="AW118">
        <v>547</v>
      </c>
      <c r="AX118">
        <v>7.37</v>
      </c>
      <c r="AY118" t="s">
        <v>56</v>
      </c>
      <c r="AZ118">
        <v>0.1</v>
      </c>
      <c r="BB118">
        <f>LOG(AU118)</f>
        <v>3.4169731726030363</v>
      </c>
      <c r="BC118">
        <v>11.8</v>
      </c>
      <c r="BD118" t="s">
        <v>56</v>
      </c>
      <c r="BE118">
        <v>0.4</v>
      </c>
      <c r="BF118">
        <v>15.8</v>
      </c>
      <c r="BG118" t="s">
        <v>56</v>
      </c>
      <c r="BH118">
        <v>0.3</v>
      </c>
      <c r="BI118">
        <v>1882</v>
      </c>
      <c r="BJ118">
        <v>4</v>
      </c>
      <c r="BK118" t="s">
        <v>164</v>
      </c>
      <c r="BL118" t="s">
        <v>164</v>
      </c>
      <c r="BM118" t="s">
        <v>149</v>
      </c>
      <c r="BN118" t="s">
        <v>81</v>
      </c>
      <c r="BO118" t="s">
        <v>56</v>
      </c>
      <c r="BP118" t="s">
        <v>127</v>
      </c>
      <c r="BR118" t="s">
        <v>122</v>
      </c>
      <c r="BT118">
        <v>0.87</v>
      </c>
      <c r="BU118">
        <v>0.87074799999999997</v>
      </c>
      <c r="BV118">
        <v>0.05</v>
      </c>
      <c r="BW118">
        <f>BV118*SQRT(AK118)</f>
        <v>0.1118033988749895</v>
      </c>
      <c r="BX118">
        <v>0.89</v>
      </c>
      <c r="BY118">
        <v>0.88662129999999995</v>
      </c>
      <c r="BZ118">
        <v>0.01</v>
      </c>
      <c r="CA118">
        <f>BZ118*SQRT(AL118)</f>
        <v>2.2360679774997897E-2</v>
      </c>
      <c r="CB118">
        <v>60</v>
      </c>
      <c r="CC118">
        <v>5</v>
      </c>
      <c r="CD118">
        <v>1.7999999999999999E-2</v>
      </c>
      <c r="CE118">
        <v>3.3999999999999998E-3</v>
      </c>
    </row>
    <row r="119" spans="4:83" hidden="1" x14ac:dyDescent="0.2">
      <c r="D119">
        <v>6</v>
      </c>
      <c r="G119" t="s">
        <v>43</v>
      </c>
      <c r="H119" t="s">
        <v>115</v>
      </c>
      <c r="J119">
        <v>2011</v>
      </c>
      <c r="M119" t="s">
        <v>116</v>
      </c>
      <c r="T119" t="s">
        <v>136</v>
      </c>
      <c r="U119" t="s">
        <v>56</v>
      </c>
      <c r="V119" t="s">
        <v>136</v>
      </c>
      <c r="Z119" t="s">
        <v>49</v>
      </c>
      <c r="AA119" t="s">
        <v>49</v>
      </c>
      <c r="AB119" t="s">
        <v>50</v>
      </c>
      <c r="AC119" t="s">
        <v>108</v>
      </c>
      <c r="AD119" t="s">
        <v>52</v>
      </c>
      <c r="AE119" t="s">
        <v>53</v>
      </c>
      <c r="AF119" t="s">
        <v>52</v>
      </c>
      <c r="AG119" t="s">
        <v>54</v>
      </c>
      <c r="AH119" t="s">
        <v>55</v>
      </c>
      <c r="AK119">
        <v>5</v>
      </c>
      <c r="AL119">
        <v>5</v>
      </c>
      <c r="AM119" t="s">
        <v>123</v>
      </c>
      <c r="AN119">
        <v>729</v>
      </c>
      <c r="AO119" t="s">
        <v>56</v>
      </c>
      <c r="AP119">
        <v>160</v>
      </c>
      <c r="AQ119" t="s">
        <v>118</v>
      </c>
      <c r="AR119">
        <v>7.86</v>
      </c>
      <c r="AS119" t="s">
        <v>56</v>
      </c>
      <c r="AT119">
        <v>0.09</v>
      </c>
      <c r="AU119">
        <v>2269</v>
      </c>
      <c r="AV119" t="s">
        <v>56</v>
      </c>
      <c r="AW119">
        <v>3127</v>
      </c>
      <c r="AX119">
        <v>6.81</v>
      </c>
      <c r="AY119" t="s">
        <v>56</v>
      </c>
      <c r="AZ119">
        <v>0.23</v>
      </c>
      <c r="BB119">
        <f>LOG(AU119)</f>
        <v>3.355834495884936</v>
      </c>
      <c r="BC119">
        <v>11.8</v>
      </c>
      <c r="BD119" t="s">
        <v>56</v>
      </c>
      <c r="BE119">
        <v>0.4</v>
      </c>
      <c r="BF119">
        <v>11.5</v>
      </c>
      <c r="BG119" t="s">
        <v>56</v>
      </c>
      <c r="BH119">
        <v>0.4</v>
      </c>
      <c r="BI119">
        <v>1540</v>
      </c>
      <c r="BJ119">
        <v>-0.3</v>
      </c>
      <c r="BK119" t="s">
        <v>137</v>
      </c>
      <c r="BL119" t="s">
        <v>120</v>
      </c>
      <c r="BM119" t="s">
        <v>120</v>
      </c>
      <c r="BN119" t="s">
        <v>81</v>
      </c>
      <c r="BO119" t="s">
        <v>121</v>
      </c>
      <c r="BP119" t="s">
        <v>83</v>
      </c>
      <c r="BR119" t="s">
        <v>122</v>
      </c>
      <c r="BT119">
        <v>81.97</v>
      </c>
      <c r="BU119">
        <v>81.967213000000001</v>
      </c>
      <c r="BV119">
        <v>74.590164000000001</v>
      </c>
      <c r="BW119">
        <f>BV119*SQRT(AK119)</f>
        <v>166.78867715685763</v>
      </c>
      <c r="BX119">
        <v>83.61</v>
      </c>
      <c r="BY119">
        <v>83.6065574</v>
      </c>
      <c r="BZ119">
        <v>145.08000000000001</v>
      </c>
      <c r="CA119">
        <f>BZ119*SQRT(AL119)</f>
        <v>324.40874217566954</v>
      </c>
      <c r="CB119">
        <v>60</v>
      </c>
      <c r="CC119">
        <v>5</v>
      </c>
      <c r="CD119">
        <v>0.02</v>
      </c>
      <c r="CE119">
        <v>3.8393000000000002</v>
      </c>
    </row>
    <row r="120" spans="4:83" hidden="1" x14ac:dyDescent="0.2">
      <c r="D120">
        <v>6</v>
      </c>
      <c r="G120" t="s">
        <v>43</v>
      </c>
      <c r="H120" t="s">
        <v>115</v>
      </c>
      <c r="J120">
        <v>2011</v>
      </c>
      <c r="M120" t="s">
        <v>116</v>
      </c>
      <c r="T120" t="s">
        <v>151</v>
      </c>
      <c r="U120" t="s">
        <v>152</v>
      </c>
      <c r="V120" t="s">
        <v>153</v>
      </c>
      <c r="Z120" t="s">
        <v>49</v>
      </c>
      <c r="AA120" t="s">
        <v>49</v>
      </c>
      <c r="AB120" t="s">
        <v>50</v>
      </c>
      <c r="AC120" t="s">
        <v>117</v>
      </c>
      <c r="AD120" t="s">
        <v>52</v>
      </c>
      <c r="AE120" t="s">
        <v>56</v>
      </c>
      <c r="AF120" t="s">
        <v>52</v>
      </c>
      <c r="AG120" t="s">
        <v>52</v>
      </c>
      <c r="AH120" t="s">
        <v>64</v>
      </c>
      <c r="AK120">
        <v>5</v>
      </c>
      <c r="AL120">
        <v>5</v>
      </c>
      <c r="AM120" t="s">
        <v>123</v>
      </c>
      <c r="AN120">
        <v>729</v>
      </c>
      <c r="AO120" t="s">
        <v>56</v>
      </c>
      <c r="AP120">
        <v>160</v>
      </c>
      <c r="AQ120" t="s">
        <v>118</v>
      </c>
      <c r="AR120">
        <v>7.86</v>
      </c>
      <c r="AS120" t="s">
        <v>56</v>
      </c>
      <c r="AT120">
        <v>0.09</v>
      </c>
      <c r="AU120">
        <v>1423</v>
      </c>
      <c r="AV120" t="s">
        <v>56</v>
      </c>
      <c r="AW120">
        <v>389</v>
      </c>
      <c r="AX120">
        <v>7.61</v>
      </c>
      <c r="AY120" t="s">
        <v>56</v>
      </c>
      <c r="AZ120">
        <v>0.15</v>
      </c>
      <c r="BB120">
        <f>LOG(AU120)</f>
        <v>3.1532049000842841</v>
      </c>
      <c r="BC120">
        <v>11.8</v>
      </c>
      <c r="BD120" t="s">
        <v>56</v>
      </c>
      <c r="BE120">
        <v>0.4</v>
      </c>
      <c r="BF120">
        <v>16</v>
      </c>
      <c r="BG120" t="s">
        <v>56</v>
      </c>
      <c r="BH120">
        <v>0.6</v>
      </c>
      <c r="BI120">
        <v>694</v>
      </c>
      <c r="BJ120">
        <v>4.2</v>
      </c>
      <c r="BK120" t="s">
        <v>56</v>
      </c>
      <c r="BL120" t="s">
        <v>154</v>
      </c>
      <c r="BM120" t="s">
        <v>154</v>
      </c>
      <c r="BN120" t="s">
        <v>81</v>
      </c>
      <c r="BO120" t="s">
        <v>121</v>
      </c>
      <c r="BP120" t="s">
        <v>127</v>
      </c>
      <c r="BR120" t="s">
        <v>122</v>
      </c>
      <c r="BT120">
        <v>37.6</v>
      </c>
      <c r="BU120">
        <v>37.596567</v>
      </c>
      <c r="BV120">
        <v>3.2188840000000001</v>
      </c>
      <c r="BW120">
        <f>BV120*SQRT(AK120)</f>
        <v>7.1976434356864338</v>
      </c>
      <c r="BX120">
        <v>39.14</v>
      </c>
      <c r="BY120">
        <v>39.141630900000003</v>
      </c>
      <c r="BZ120">
        <v>6.57</v>
      </c>
      <c r="CA120">
        <f>BZ120*SQRT(AL120)</f>
        <v>14.69096661217362</v>
      </c>
      <c r="CB120">
        <v>60</v>
      </c>
      <c r="CC120">
        <v>5</v>
      </c>
      <c r="CD120">
        <v>0.04</v>
      </c>
      <c r="CE120">
        <v>3.5499999999999997E-2</v>
      </c>
    </row>
    <row r="121" spans="4:83" hidden="1" x14ac:dyDescent="0.2">
      <c r="D121">
        <v>6</v>
      </c>
      <c r="G121" t="s">
        <v>114</v>
      </c>
      <c r="H121" t="s">
        <v>115</v>
      </c>
      <c r="J121">
        <v>2011</v>
      </c>
      <c r="M121" t="s">
        <v>116</v>
      </c>
      <c r="T121" t="s">
        <v>68</v>
      </c>
      <c r="U121" t="s">
        <v>56</v>
      </c>
      <c r="V121" t="s">
        <v>56</v>
      </c>
      <c r="Z121" t="s">
        <v>49</v>
      </c>
      <c r="AA121" t="s">
        <v>49</v>
      </c>
      <c r="AB121" t="s">
        <v>50</v>
      </c>
      <c r="AC121" t="s">
        <v>117</v>
      </c>
      <c r="AD121" t="s">
        <v>52</v>
      </c>
      <c r="AE121" t="s">
        <v>53</v>
      </c>
      <c r="AF121" t="s">
        <v>52</v>
      </c>
      <c r="AG121" t="s">
        <v>54</v>
      </c>
      <c r="AH121" t="s">
        <v>55</v>
      </c>
      <c r="AK121">
        <v>5</v>
      </c>
      <c r="AL121">
        <v>5</v>
      </c>
      <c r="AM121" t="s">
        <v>150</v>
      </c>
      <c r="AN121">
        <v>729</v>
      </c>
      <c r="AO121" t="s">
        <v>56</v>
      </c>
      <c r="AP121">
        <v>160</v>
      </c>
      <c r="AQ121" t="s">
        <v>118</v>
      </c>
      <c r="AR121">
        <v>7.86</v>
      </c>
      <c r="AS121" t="s">
        <v>56</v>
      </c>
      <c r="AT121">
        <v>0.09</v>
      </c>
      <c r="AU121">
        <v>2729</v>
      </c>
      <c r="AV121" t="s">
        <v>56</v>
      </c>
      <c r="AW121">
        <v>499</v>
      </c>
      <c r="AX121">
        <v>7.35</v>
      </c>
      <c r="AY121" t="s">
        <v>56</v>
      </c>
      <c r="AZ121">
        <v>7.0000000000000007E-2</v>
      </c>
      <c r="BB121">
        <f>LOG(AU121)</f>
        <v>3.4360035356698964</v>
      </c>
      <c r="BC121">
        <v>11.8</v>
      </c>
      <c r="BD121" t="s">
        <v>56</v>
      </c>
      <c r="BE121">
        <v>0.4</v>
      </c>
      <c r="BF121">
        <v>11.7</v>
      </c>
      <c r="BG121" t="s">
        <v>56</v>
      </c>
      <c r="BH121">
        <v>0.4</v>
      </c>
      <c r="BI121">
        <v>2000</v>
      </c>
      <c r="BJ121">
        <v>-0.1</v>
      </c>
      <c r="BK121" t="s">
        <v>164</v>
      </c>
      <c r="BL121" t="s">
        <v>164</v>
      </c>
      <c r="BM121" t="s">
        <v>149</v>
      </c>
      <c r="BN121" t="s">
        <v>81</v>
      </c>
      <c r="BO121" t="s">
        <v>56</v>
      </c>
      <c r="BP121" t="s">
        <v>127</v>
      </c>
      <c r="BR121" t="s">
        <v>122</v>
      </c>
      <c r="BT121">
        <v>0.87</v>
      </c>
      <c r="BU121">
        <v>0.87074799999999997</v>
      </c>
      <c r="BV121">
        <v>0.05</v>
      </c>
      <c r="BW121">
        <f>BV121*SQRT(AK121)</f>
        <v>0.1118033988749895</v>
      </c>
      <c r="BX121">
        <v>0.92</v>
      </c>
      <c r="BY121">
        <v>0.91609980000000002</v>
      </c>
      <c r="BZ121">
        <v>0</v>
      </c>
      <c r="CA121">
        <f>BZ121*SQRT(AL121)</f>
        <v>0</v>
      </c>
      <c r="CB121">
        <v>60</v>
      </c>
      <c r="CC121">
        <v>5</v>
      </c>
      <c r="CD121">
        <v>5.0999999999999997E-2</v>
      </c>
      <c r="CE121">
        <v>3.3E-3</v>
      </c>
    </row>
    <row r="122" spans="4:83" hidden="1" x14ac:dyDescent="0.2">
      <c r="D122">
        <v>6</v>
      </c>
      <c r="G122" t="s">
        <v>43</v>
      </c>
      <c r="H122" t="s">
        <v>115</v>
      </c>
      <c r="J122">
        <v>2011</v>
      </c>
      <c r="M122" t="s">
        <v>116</v>
      </c>
      <c r="T122" t="s">
        <v>155</v>
      </c>
      <c r="U122" t="s">
        <v>56</v>
      </c>
      <c r="V122" t="s">
        <v>56</v>
      </c>
      <c r="Z122" t="s">
        <v>49</v>
      </c>
      <c r="AA122" t="s">
        <v>49</v>
      </c>
      <c r="AB122" t="s">
        <v>50</v>
      </c>
      <c r="AC122" t="s">
        <v>117</v>
      </c>
      <c r="AD122" t="s">
        <v>52</v>
      </c>
      <c r="AE122" t="s">
        <v>53</v>
      </c>
      <c r="AF122" t="s">
        <v>52</v>
      </c>
      <c r="AG122" t="s">
        <v>54</v>
      </c>
      <c r="AH122" t="s">
        <v>55</v>
      </c>
      <c r="AK122">
        <v>5</v>
      </c>
      <c r="AL122">
        <v>5</v>
      </c>
      <c r="AM122" t="s">
        <v>123</v>
      </c>
      <c r="AN122">
        <v>729</v>
      </c>
      <c r="AO122" t="s">
        <v>56</v>
      </c>
      <c r="AP122">
        <v>160</v>
      </c>
      <c r="AQ122" t="s">
        <v>118</v>
      </c>
      <c r="AR122">
        <v>7.86</v>
      </c>
      <c r="AS122" t="s">
        <v>56</v>
      </c>
      <c r="AT122">
        <v>0.09</v>
      </c>
      <c r="AU122">
        <v>1296</v>
      </c>
      <c r="AV122" t="s">
        <v>56</v>
      </c>
      <c r="AW122">
        <v>245</v>
      </c>
      <c r="AX122">
        <v>7.66</v>
      </c>
      <c r="AY122" t="s">
        <v>56</v>
      </c>
      <c r="AZ122">
        <v>0.08</v>
      </c>
      <c r="BB122">
        <f>LOG(AU122)</f>
        <v>3.1126050015345745</v>
      </c>
      <c r="BC122">
        <v>11.8</v>
      </c>
      <c r="BD122" t="s">
        <v>56</v>
      </c>
      <c r="BE122">
        <v>0.4</v>
      </c>
      <c r="BF122">
        <v>11.9</v>
      </c>
      <c r="BG122" t="s">
        <v>56</v>
      </c>
      <c r="BH122">
        <v>0.4</v>
      </c>
      <c r="BI122">
        <v>566</v>
      </c>
      <c r="BJ122">
        <v>0.2</v>
      </c>
      <c r="BK122" t="s">
        <v>163</v>
      </c>
      <c r="BL122" t="s">
        <v>120</v>
      </c>
      <c r="BM122" t="s">
        <v>120</v>
      </c>
      <c r="BN122" t="s">
        <v>81</v>
      </c>
      <c r="BO122" t="s">
        <v>121</v>
      </c>
      <c r="BP122" t="s">
        <v>83</v>
      </c>
      <c r="BR122" t="s">
        <v>122</v>
      </c>
      <c r="BT122">
        <v>19.739999999999998</v>
      </c>
      <c r="BU122">
        <v>19.739999999999998</v>
      </c>
      <c r="BV122">
        <v>2.8E-3</v>
      </c>
      <c r="BW122">
        <f>BV122*SQRT(AK122)</f>
        <v>6.2609903369994111E-3</v>
      </c>
      <c r="BX122">
        <v>21.26</v>
      </c>
      <c r="BY122">
        <v>21.258134500000001</v>
      </c>
      <c r="BZ122">
        <v>0.01</v>
      </c>
      <c r="CA122">
        <f>BZ122*SQRT(AL122)</f>
        <v>2.2360679774997897E-2</v>
      </c>
      <c r="CB122">
        <v>60</v>
      </c>
      <c r="CC122">
        <v>5</v>
      </c>
      <c r="CD122">
        <v>7.3999999999999996E-2</v>
      </c>
      <c r="CE122">
        <v>1E-4</v>
      </c>
    </row>
    <row r="123" spans="4:83" hidden="1" x14ac:dyDescent="0.2">
      <c r="D123">
        <v>6</v>
      </c>
      <c r="G123" t="s">
        <v>114</v>
      </c>
      <c r="H123" t="s">
        <v>115</v>
      </c>
      <c r="J123">
        <v>2011</v>
      </c>
      <c r="M123" t="s">
        <v>116</v>
      </c>
      <c r="T123" t="s">
        <v>68</v>
      </c>
      <c r="U123" t="s">
        <v>56</v>
      </c>
      <c r="V123" t="s">
        <v>56</v>
      </c>
      <c r="Z123" t="s">
        <v>49</v>
      </c>
      <c r="AA123" t="s">
        <v>49</v>
      </c>
      <c r="AB123" t="s">
        <v>50</v>
      </c>
      <c r="AC123" t="s">
        <v>117</v>
      </c>
      <c r="AD123" t="s">
        <v>52</v>
      </c>
      <c r="AE123" t="s">
        <v>53</v>
      </c>
      <c r="AF123" t="s">
        <v>52</v>
      </c>
      <c r="AG123" t="s">
        <v>54</v>
      </c>
      <c r="AH123" t="s">
        <v>55</v>
      </c>
      <c r="AK123">
        <v>5</v>
      </c>
      <c r="AL123">
        <v>5</v>
      </c>
      <c r="AM123" t="s">
        <v>150</v>
      </c>
      <c r="AN123">
        <v>729</v>
      </c>
      <c r="AO123" t="s">
        <v>56</v>
      </c>
      <c r="AP123">
        <v>160</v>
      </c>
      <c r="AQ123" t="s">
        <v>118</v>
      </c>
      <c r="AR123">
        <v>7.86</v>
      </c>
      <c r="AS123" t="s">
        <v>56</v>
      </c>
      <c r="AT123">
        <v>0.09</v>
      </c>
      <c r="AU123">
        <v>2269</v>
      </c>
      <c r="AV123" t="s">
        <v>56</v>
      </c>
      <c r="AW123">
        <v>3127</v>
      </c>
      <c r="AX123">
        <v>6.81</v>
      </c>
      <c r="AY123" t="s">
        <v>56</v>
      </c>
      <c r="AZ123">
        <v>0.23</v>
      </c>
      <c r="BB123">
        <f>LOG(AU123)</f>
        <v>3.355834495884936</v>
      </c>
      <c r="BC123">
        <v>11.8</v>
      </c>
      <c r="BD123" t="s">
        <v>56</v>
      </c>
      <c r="BE123">
        <v>0.4</v>
      </c>
      <c r="BF123">
        <v>11.5</v>
      </c>
      <c r="BG123" t="s">
        <v>56</v>
      </c>
      <c r="BH123">
        <v>0.4</v>
      </c>
      <c r="BI123">
        <v>1540</v>
      </c>
      <c r="BJ123">
        <v>-0.3</v>
      </c>
      <c r="BK123" t="s">
        <v>164</v>
      </c>
      <c r="BL123" t="s">
        <v>164</v>
      </c>
      <c r="BM123" t="s">
        <v>149</v>
      </c>
      <c r="BN123" t="s">
        <v>81</v>
      </c>
      <c r="BO123" t="s">
        <v>56</v>
      </c>
      <c r="BP123" t="s">
        <v>127</v>
      </c>
      <c r="BR123" t="s">
        <v>122</v>
      </c>
      <c r="BT123">
        <v>0.87</v>
      </c>
      <c r="BU123">
        <v>0.87074799999999997</v>
      </c>
      <c r="BV123">
        <v>0.05</v>
      </c>
      <c r="BW123">
        <f>BV123*SQRT(AK123)</f>
        <v>0.1118033988749895</v>
      </c>
      <c r="BX123">
        <v>0.94</v>
      </c>
      <c r="BY123">
        <v>0.94104310000000002</v>
      </c>
      <c r="BZ123">
        <v>0</v>
      </c>
      <c r="CA123">
        <f>BZ123*SQRT(AL123)</f>
        <v>0</v>
      </c>
      <c r="CB123">
        <v>60</v>
      </c>
      <c r="CC123">
        <v>5</v>
      </c>
      <c r="CD123">
        <v>7.8E-2</v>
      </c>
      <c r="CE123">
        <v>3.3E-3</v>
      </c>
    </row>
    <row r="124" spans="4:83" hidden="1" x14ac:dyDescent="0.2">
      <c r="D124">
        <v>6</v>
      </c>
      <c r="G124" t="s">
        <v>43</v>
      </c>
      <c r="H124" t="s">
        <v>115</v>
      </c>
      <c r="J124">
        <v>2011</v>
      </c>
      <c r="M124" t="s">
        <v>116</v>
      </c>
      <c r="T124" t="s">
        <v>151</v>
      </c>
      <c r="U124" t="s">
        <v>152</v>
      </c>
      <c r="V124" t="s">
        <v>153</v>
      </c>
      <c r="Z124" t="s">
        <v>49</v>
      </c>
      <c r="AA124" t="s">
        <v>49</v>
      </c>
      <c r="AB124" t="s">
        <v>50</v>
      </c>
      <c r="AC124" t="s">
        <v>117</v>
      </c>
      <c r="AD124" t="s">
        <v>52</v>
      </c>
      <c r="AE124" t="s">
        <v>56</v>
      </c>
      <c r="AF124" t="s">
        <v>52</v>
      </c>
      <c r="AG124" t="s">
        <v>52</v>
      </c>
      <c r="AH124" t="s">
        <v>64</v>
      </c>
      <c r="AK124">
        <v>5</v>
      </c>
      <c r="AL124">
        <v>5</v>
      </c>
      <c r="AM124" t="s">
        <v>123</v>
      </c>
      <c r="AN124">
        <v>729</v>
      </c>
      <c r="AO124" t="s">
        <v>56</v>
      </c>
      <c r="AP124">
        <v>160</v>
      </c>
      <c r="AQ124" t="s">
        <v>118</v>
      </c>
      <c r="AR124">
        <v>7.86</v>
      </c>
      <c r="AS124" t="s">
        <v>56</v>
      </c>
      <c r="AT124">
        <v>0.09</v>
      </c>
      <c r="AU124">
        <v>2612</v>
      </c>
      <c r="AV124" t="s">
        <v>56</v>
      </c>
      <c r="AW124">
        <v>547</v>
      </c>
      <c r="AX124">
        <v>7.37</v>
      </c>
      <c r="AY124" t="s">
        <v>56</v>
      </c>
      <c r="AZ124">
        <v>0.1</v>
      </c>
      <c r="BB124">
        <f>LOG(AU124)</f>
        <v>3.4169731726030363</v>
      </c>
      <c r="BC124">
        <v>11.8</v>
      </c>
      <c r="BD124" t="s">
        <v>56</v>
      </c>
      <c r="BE124">
        <v>0.4</v>
      </c>
      <c r="BF124">
        <v>15.8</v>
      </c>
      <c r="BG124" t="s">
        <v>56</v>
      </c>
      <c r="BH124">
        <v>0.3</v>
      </c>
      <c r="BI124">
        <v>1882</v>
      </c>
      <c r="BJ124">
        <v>4</v>
      </c>
      <c r="BK124" t="s">
        <v>56</v>
      </c>
      <c r="BL124" t="s">
        <v>154</v>
      </c>
      <c r="BM124" t="s">
        <v>154</v>
      </c>
      <c r="BN124" t="s">
        <v>81</v>
      </c>
      <c r="BO124" t="s">
        <v>121</v>
      </c>
      <c r="BP124" t="s">
        <v>127</v>
      </c>
      <c r="BR124" t="s">
        <v>122</v>
      </c>
      <c r="BT124">
        <v>37.6</v>
      </c>
      <c r="BU124">
        <v>37.596567</v>
      </c>
      <c r="BV124">
        <v>3.2188840000000001</v>
      </c>
      <c r="BW124">
        <f>BV124*SQRT(AK124)</f>
        <v>7.1976434356864338</v>
      </c>
      <c r="BX124">
        <v>40.94</v>
      </c>
      <c r="BY124">
        <v>40.944206000000001</v>
      </c>
      <c r="BZ124">
        <v>2.96</v>
      </c>
      <c r="CA124">
        <f>BZ124*SQRT(AL124)</f>
        <v>6.6187612133993774</v>
      </c>
      <c r="CB124">
        <v>60</v>
      </c>
      <c r="CC124">
        <v>5</v>
      </c>
      <c r="CD124">
        <v>8.5000000000000006E-2</v>
      </c>
      <c r="CE124">
        <v>1.26E-2</v>
      </c>
    </row>
    <row r="125" spans="4:83" hidden="1" x14ac:dyDescent="0.2">
      <c r="D125">
        <v>6</v>
      </c>
      <c r="G125" t="s">
        <v>43</v>
      </c>
      <c r="H125" t="s">
        <v>115</v>
      </c>
      <c r="J125">
        <v>2011</v>
      </c>
      <c r="M125" t="s">
        <v>116</v>
      </c>
      <c r="T125" t="s">
        <v>151</v>
      </c>
      <c r="U125" t="s">
        <v>56</v>
      </c>
      <c r="V125" t="s">
        <v>56</v>
      </c>
      <c r="Z125" t="s">
        <v>49</v>
      </c>
      <c r="AA125" t="s">
        <v>49</v>
      </c>
      <c r="AB125" t="s">
        <v>50</v>
      </c>
      <c r="AC125" t="s">
        <v>117</v>
      </c>
      <c r="AD125" t="s">
        <v>52</v>
      </c>
      <c r="AE125" t="s">
        <v>56</v>
      </c>
      <c r="AF125" t="s">
        <v>52</v>
      </c>
      <c r="AG125" t="s">
        <v>52</v>
      </c>
      <c r="AH125" t="s">
        <v>64</v>
      </c>
      <c r="AK125">
        <v>5</v>
      </c>
      <c r="AL125">
        <v>5</v>
      </c>
      <c r="AM125" t="s">
        <v>123</v>
      </c>
      <c r="AN125">
        <v>729</v>
      </c>
      <c r="AO125" t="s">
        <v>56</v>
      </c>
      <c r="AP125">
        <v>160</v>
      </c>
      <c r="AQ125" t="s">
        <v>118</v>
      </c>
      <c r="AR125">
        <v>7.86</v>
      </c>
      <c r="AS125" t="s">
        <v>56</v>
      </c>
      <c r="AT125">
        <v>0.09</v>
      </c>
      <c r="AU125">
        <v>1423</v>
      </c>
      <c r="AV125" t="s">
        <v>56</v>
      </c>
      <c r="AW125">
        <v>389</v>
      </c>
      <c r="AX125">
        <v>7.61</v>
      </c>
      <c r="AY125" t="s">
        <v>56</v>
      </c>
      <c r="AZ125">
        <v>0.15</v>
      </c>
      <c r="BB125">
        <f>LOG(AU125)</f>
        <v>3.1532049000842841</v>
      </c>
      <c r="BC125">
        <v>11.8</v>
      </c>
      <c r="BD125" t="s">
        <v>56</v>
      </c>
      <c r="BE125">
        <v>0.4</v>
      </c>
      <c r="BF125">
        <v>16</v>
      </c>
      <c r="BG125" t="s">
        <v>56</v>
      </c>
      <c r="BH125">
        <v>0.6</v>
      </c>
      <c r="BI125">
        <v>694</v>
      </c>
      <c r="BJ125">
        <v>4.2</v>
      </c>
      <c r="BK125" t="s">
        <v>56</v>
      </c>
      <c r="BL125" t="s">
        <v>120</v>
      </c>
      <c r="BM125" t="s">
        <v>120</v>
      </c>
      <c r="BN125" t="s">
        <v>81</v>
      </c>
      <c r="BO125" t="s">
        <v>121</v>
      </c>
      <c r="BP125" t="s">
        <v>83</v>
      </c>
      <c r="BR125" t="s">
        <v>122</v>
      </c>
      <c r="BT125">
        <v>333.62</v>
      </c>
      <c r="BU125">
        <v>333.61702100000002</v>
      </c>
      <c r="BV125">
        <v>56.595745000000001</v>
      </c>
      <c r="BW125">
        <f>BV125*SQRT(AK125)</f>
        <v>126.55193305724384</v>
      </c>
      <c r="BX125">
        <v>363.4</v>
      </c>
      <c r="BY125">
        <v>363.40425529999999</v>
      </c>
      <c r="BZ125">
        <v>125.11</v>
      </c>
      <c r="CA125">
        <f>BZ125*SQRT(AL125)</f>
        <v>279.75446466499869</v>
      </c>
      <c r="CB125">
        <v>60</v>
      </c>
      <c r="CC125">
        <v>5</v>
      </c>
      <c r="CD125">
        <v>8.5999999999999993E-2</v>
      </c>
      <c r="CE125">
        <v>0.14729999999999999</v>
      </c>
    </row>
    <row r="126" spans="4:83" hidden="1" x14ac:dyDescent="0.2">
      <c r="D126">
        <v>6</v>
      </c>
      <c r="G126" t="s">
        <v>114</v>
      </c>
      <c r="H126" t="s">
        <v>115</v>
      </c>
      <c r="J126">
        <v>2011</v>
      </c>
      <c r="M126" t="s">
        <v>116</v>
      </c>
      <c r="T126" t="s">
        <v>136</v>
      </c>
      <c r="U126" t="s">
        <v>56</v>
      </c>
      <c r="V126" t="s">
        <v>56</v>
      </c>
      <c r="Z126" t="s">
        <v>49</v>
      </c>
      <c r="AA126" t="s">
        <v>49</v>
      </c>
      <c r="AB126" t="s">
        <v>50</v>
      </c>
      <c r="AC126" t="s">
        <v>117</v>
      </c>
      <c r="AD126" t="s">
        <v>52</v>
      </c>
      <c r="AE126" t="s">
        <v>53</v>
      </c>
      <c r="AF126" t="s">
        <v>52</v>
      </c>
      <c r="AG126" t="s">
        <v>54</v>
      </c>
      <c r="AH126" t="s">
        <v>55</v>
      </c>
      <c r="AK126">
        <v>5</v>
      </c>
      <c r="AL126">
        <v>5</v>
      </c>
      <c r="AM126" t="s">
        <v>140</v>
      </c>
      <c r="AN126">
        <v>729</v>
      </c>
      <c r="AO126" t="s">
        <v>56</v>
      </c>
      <c r="AP126">
        <v>160</v>
      </c>
      <c r="AQ126" t="s">
        <v>118</v>
      </c>
      <c r="AR126">
        <v>7.86</v>
      </c>
      <c r="AS126" t="s">
        <v>56</v>
      </c>
      <c r="AT126">
        <v>0.09</v>
      </c>
      <c r="AU126">
        <v>2729</v>
      </c>
      <c r="AV126" t="s">
        <v>56</v>
      </c>
      <c r="AW126">
        <v>499</v>
      </c>
      <c r="AX126">
        <v>7.35</v>
      </c>
      <c r="AY126" t="s">
        <v>56</v>
      </c>
      <c r="AZ126">
        <v>7.0000000000000007E-2</v>
      </c>
      <c r="BB126">
        <f>LOG(AU126)</f>
        <v>3.4360035356698964</v>
      </c>
      <c r="BC126">
        <v>11.8</v>
      </c>
      <c r="BD126" t="s">
        <v>56</v>
      </c>
      <c r="BE126">
        <v>0.4</v>
      </c>
      <c r="BF126">
        <v>11.7</v>
      </c>
      <c r="BG126" t="s">
        <v>56</v>
      </c>
      <c r="BH126">
        <v>0.4</v>
      </c>
      <c r="BI126">
        <v>2000</v>
      </c>
      <c r="BJ126">
        <v>-0.1</v>
      </c>
      <c r="BK126" t="s">
        <v>162</v>
      </c>
      <c r="BL126" t="s">
        <v>162</v>
      </c>
      <c r="BM126" t="s">
        <v>139</v>
      </c>
      <c r="BN126" t="s">
        <v>81</v>
      </c>
      <c r="BO126" t="s">
        <v>121</v>
      </c>
      <c r="BP126" t="s">
        <v>127</v>
      </c>
      <c r="BR126" t="s">
        <v>122</v>
      </c>
      <c r="BT126">
        <v>11.92</v>
      </c>
      <c r="BU126">
        <v>11.922245999999999</v>
      </c>
      <c r="BV126">
        <v>2.0299999999999998</v>
      </c>
      <c r="BW126">
        <f>BV126*SQRT(AK126)</f>
        <v>4.5392179943245727</v>
      </c>
      <c r="BX126">
        <v>13</v>
      </c>
      <c r="BY126">
        <v>13.002159799999999</v>
      </c>
      <c r="BZ126">
        <v>1.9</v>
      </c>
      <c r="CA126">
        <f>BZ126*SQRT(AL126)</f>
        <v>4.2485291572496005</v>
      </c>
      <c r="CB126">
        <v>60</v>
      </c>
      <c r="CC126">
        <v>5</v>
      </c>
      <c r="CD126">
        <v>8.6999999999999994E-2</v>
      </c>
      <c r="CE126">
        <v>5.04E-2</v>
      </c>
    </row>
    <row r="127" spans="4:83" hidden="1" x14ac:dyDescent="0.2">
      <c r="D127">
        <v>6</v>
      </c>
      <c r="G127" t="s">
        <v>114</v>
      </c>
      <c r="H127" t="s">
        <v>115</v>
      </c>
      <c r="J127">
        <v>2011</v>
      </c>
      <c r="M127" t="s">
        <v>116</v>
      </c>
      <c r="T127" t="s">
        <v>131</v>
      </c>
      <c r="U127" t="s">
        <v>56</v>
      </c>
      <c r="V127" t="s">
        <v>56</v>
      </c>
      <c r="Z127" t="s">
        <v>49</v>
      </c>
      <c r="AA127" t="s">
        <v>49</v>
      </c>
      <c r="AB127" t="s">
        <v>50</v>
      </c>
      <c r="AC127" t="s">
        <v>117</v>
      </c>
      <c r="AD127" t="s">
        <v>52</v>
      </c>
      <c r="AE127" t="s">
        <v>53</v>
      </c>
      <c r="AF127" t="s">
        <v>52</v>
      </c>
      <c r="AG127" t="s">
        <v>52</v>
      </c>
      <c r="AH127" t="s">
        <v>64</v>
      </c>
      <c r="AK127">
        <v>5</v>
      </c>
      <c r="AL127">
        <v>5</v>
      </c>
      <c r="AM127" t="s">
        <v>150</v>
      </c>
      <c r="AN127">
        <v>729</v>
      </c>
      <c r="AO127" t="s">
        <v>56</v>
      </c>
      <c r="AP127">
        <v>160</v>
      </c>
      <c r="AQ127" t="s">
        <v>118</v>
      </c>
      <c r="AR127">
        <v>7.86</v>
      </c>
      <c r="AS127" t="s">
        <v>56</v>
      </c>
      <c r="AT127">
        <v>0.09</v>
      </c>
      <c r="AU127">
        <v>3010</v>
      </c>
      <c r="AV127" t="s">
        <v>56</v>
      </c>
      <c r="AW127">
        <v>4141</v>
      </c>
      <c r="AX127">
        <v>6.66</v>
      </c>
      <c r="AY127" t="s">
        <v>56</v>
      </c>
      <c r="AZ127">
        <v>0.19</v>
      </c>
      <c r="BB127">
        <f>LOG(AU127)</f>
        <v>3.4785664955938436</v>
      </c>
      <c r="BC127">
        <v>11.8</v>
      </c>
      <c r="BD127" t="s">
        <v>56</v>
      </c>
      <c r="BE127">
        <v>0.4</v>
      </c>
      <c r="BF127">
        <v>15.5</v>
      </c>
      <c r="BG127" t="s">
        <v>56</v>
      </c>
      <c r="BH127">
        <v>1.5</v>
      </c>
      <c r="BI127">
        <v>2281</v>
      </c>
      <c r="BJ127">
        <v>3.7</v>
      </c>
      <c r="BK127" t="s">
        <v>158</v>
      </c>
      <c r="BL127" t="s">
        <v>158</v>
      </c>
      <c r="BM127" t="s">
        <v>149</v>
      </c>
      <c r="BN127" t="s">
        <v>81</v>
      </c>
      <c r="BO127" t="s">
        <v>56</v>
      </c>
      <c r="BP127" t="s">
        <v>127</v>
      </c>
      <c r="BR127" t="s">
        <v>122</v>
      </c>
      <c r="BT127">
        <v>0.64</v>
      </c>
      <c r="BU127">
        <v>0.64367799999999997</v>
      </c>
      <c r="BV127">
        <v>0.1</v>
      </c>
      <c r="BW127">
        <f>BV127*SQRT(AK127)</f>
        <v>0.22360679774997899</v>
      </c>
      <c r="BX127">
        <v>0.71</v>
      </c>
      <c r="BY127">
        <v>0.70804599999999995</v>
      </c>
      <c r="BZ127">
        <v>0.25</v>
      </c>
      <c r="CA127">
        <f>BZ127*SQRT(AL127)</f>
        <v>0.55901699437494745</v>
      </c>
      <c r="CB127">
        <v>60</v>
      </c>
      <c r="CC127">
        <v>5</v>
      </c>
      <c r="CD127">
        <v>9.5000000000000001E-2</v>
      </c>
      <c r="CE127">
        <v>0.14879999999999999</v>
      </c>
    </row>
    <row r="128" spans="4:83" hidden="1" x14ac:dyDescent="0.2">
      <c r="D128">
        <v>6</v>
      </c>
      <c r="G128" t="s">
        <v>114</v>
      </c>
      <c r="H128" t="s">
        <v>115</v>
      </c>
      <c r="J128">
        <v>2011</v>
      </c>
      <c r="M128" t="s">
        <v>116</v>
      </c>
      <c r="T128" t="s">
        <v>131</v>
      </c>
      <c r="U128" t="s">
        <v>56</v>
      </c>
      <c r="V128" t="s">
        <v>56</v>
      </c>
      <c r="Z128" t="s">
        <v>49</v>
      </c>
      <c r="AA128" t="s">
        <v>49</v>
      </c>
      <c r="AB128" t="s">
        <v>50</v>
      </c>
      <c r="AC128" t="s">
        <v>117</v>
      </c>
      <c r="AD128" t="s">
        <v>52</v>
      </c>
      <c r="AE128" t="s">
        <v>53</v>
      </c>
      <c r="AF128" t="s">
        <v>52</v>
      </c>
      <c r="AG128" t="s">
        <v>54</v>
      </c>
      <c r="AH128" t="s">
        <v>55</v>
      </c>
      <c r="AK128">
        <v>5</v>
      </c>
      <c r="AL128">
        <v>5</v>
      </c>
      <c r="AM128" t="s">
        <v>140</v>
      </c>
      <c r="AN128">
        <v>729</v>
      </c>
      <c r="AO128" t="s">
        <v>56</v>
      </c>
      <c r="AP128">
        <v>160</v>
      </c>
      <c r="AQ128" t="s">
        <v>118</v>
      </c>
      <c r="AR128">
        <v>7.86</v>
      </c>
      <c r="AS128" t="s">
        <v>56</v>
      </c>
      <c r="AT128">
        <v>0.09</v>
      </c>
      <c r="AU128">
        <v>1296</v>
      </c>
      <c r="AV128" t="s">
        <v>56</v>
      </c>
      <c r="AW128">
        <v>245</v>
      </c>
      <c r="AX128">
        <v>7.66</v>
      </c>
      <c r="AY128" t="s">
        <v>56</v>
      </c>
      <c r="AZ128">
        <v>0.08</v>
      </c>
      <c r="BB128">
        <f>LOG(AU128)</f>
        <v>3.1126050015345745</v>
      </c>
      <c r="BC128">
        <v>11.8</v>
      </c>
      <c r="BD128" t="s">
        <v>56</v>
      </c>
      <c r="BE128">
        <v>0.4</v>
      </c>
      <c r="BF128">
        <v>11.9</v>
      </c>
      <c r="BG128" t="s">
        <v>56</v>
      </c>
      <c r="BH128">
        <v>0.4</v>
      </c>
      <c r="BI128">
        <v>566</v>
      </c>
      <c r="BJ128">
        <v>0.2</v>
      </c>
      <c r="BK128" t="s">
        <v>142</v>
      </c>
      <c r="BL128" t="s">
        <v>142</v>
      </c>
      <c r="BM128" t="s">
        <v>139</v>
      </c>
      <c r="BN128" t="s">
        <v>81</v>
      </c>
      <c r="BO128" t="s">
        <v>121</v>
      </c>
      <c r="BP128" t="s">
        <v>127</v>
      </c>
      <c r="BR128" t="s">
        <v>122</v>
      </c>
      <c r="BT128">
        <v>12.44</v>
      </c>
      <c r="BU128">
        <v>12.441805</v>
      </c>
      <c r="BV128">
        <v>1.2</v>
      </c>
      <c r="BW128">
        <f>BV128*SQRT(AK128)</f>
        <v>2.6832815729997477</v>
      </c>
      <c r="BX128">
        <v>13.77</v>
      </c>
      <c r="BY128">
        <v>13.7672209</v>
      </c>
      <c r="BZ128">
        <v>1.54</v>
      </c>
      <c r="CA128">
        <f>BZ128*SQRT(AL128)</f>
        <v>3.4435446853496763</v>
      </c>
      <c r="CB128">
        <v>60</v>
      </c>
      <c r="CC128">
        <v>5</v>
      </c>
      <c r="CD128">
        <v>0.10100000000000001</v>
      </c>
      <c r="CE128">
        <v>2.18E-2</v>
      </c>
    </row>
    <row r="129" spans="4:83" hidden="1" x14ac:dyDescent="0.2">
      <c r="D129">
        <v>6</v>
      </c>
      <c r="G129" t="s">
        <v>114</v>
      </c>
      <c r="H129" t="s">
        <v>115</v>
      </c>
      <c r="J129">
        <v>2011</v>
      </c>
      <c r="M129" t="s">
        <v>116</v>
      </c>
      <c r="T129" t="s">
        <v>131</v>
      </c>
      <c r="U129" t="s">
        <v>56</v>
      </c>
      <c r="V129" t="s">
        <v>56</v>
      </c>
      <c r="Z129" t="s">
        <v>49</v>
      </c>
      <c r="AA129" t="s">
        <v>49</v>
      </c>
      <c r="AB129" t="s">
        <v>50</v>
      </c>
      <c r="AC129" t="s">
        <v>117</v>
      </c>
      <c r="AD129" t="s">
        <v>52</v>
      </c>
      <c r="AE129" t="s">
        <v>53</v>
      </c>
      <c r="AF129" t="s">
        <v>52</v>
      </c>
      <c r="AG129" t="s">
        <v>54</v>
      </c>
      <c r="AH129" t="s">
        <v>55</v>
      </c>
      <c r="AK129">
        <v>5</v>
      </c>
      <c r="AL129">
        <v>5</v>
      </c>
      <c r="AM129" t="s">
        <v>150</v>
      </c>
      <c r="AN129">
        <v>729</v>
      </c>
      <c r="AO129" t="s">
        <v>56</v>
      </c>
      <c r="AP129">
        <v>160</v>
      </c>
      <c r="AQ129" t="s">
        <v>118</v>
      </c>
      <c r="AR129">
        <v>7.86</v>
      </c>
      <c r="AS129" t="s">
        <v>56</v>
      </c>
      <c r="AT129">
        <v>0.09</v>
      </c>
      <c r="AU129">
        <v>2269</v>
      </c>
      <c r="AV129" t="s">
        <v>56</v>
      </c>
      <c r="AW129">
        <v>3127</v>
      </c>
      <c r="AX129">
        <v>6.81</v>
      </c>
      <c r="AY129" t="s">
        <v>56</v>
      </c>
      <c r="AZ129">
        <v>0.23</v>
      </c>
      <c r="BB129">
        <f>LOG(AU129)</f>
        <v>3.355834495884936</v>
      </c>
      <c r="BC129">
        <v>11.8</v>
      </c>
      <c r="BD129" t="s">
        <v>56</v>
      </c>
      <c r="BE129">
        <v>0.4</v>
      </c>
      <c r="BF129">
        <v>11.5</v>
      </c>
      <c r="BG129" t="s">
        <v>56</v>
      </c>
      <c r="BH129">
        <v>0.4</v>
      </c>
      <c r="BI129">
        <v>1540</v>
      </c>
      <c r="BJ129">
        <v>-0.3</v>
      </c>
      <c r="BK129" t="s">
        <v>158</v>
      </c>
      <c r="BL129" t="s">
        <v>158</v>
      </c>
      <c r="BM129" t="s">
        <v>149</v>
      </c>
      <c r="BN129" t="s">
        <v>81</v>
      </c>
      <c r="BO129" t="s">
        <v>56</v>
      </c>
      <c r="BP129" t="s">
        <v>127</v>
      </c>
      <c r="BR129" t="s">
        <v>122</v>
      </c>
      <c r="BT129">
        <v>0.64</v>
      </c>
      <c r="BU129">
        <v>0.64367799999999997</v>
      </c>
      <c r="BV129">
        <v>0.1</v>
      </c>
      <c r="BW129">
        <f>BV129*SQRT(AK129)</f>
        <v>0.22360679774997899</v>
      </c>
      <c r="BX129">
        <v>0.73</v>
      </c>
      <c r="BY129">
        <v>0.72873560000000004</v>
      </c>
      <c r="BZ129">
        <v>0.27</v>
      </c>
      <c r="CA129">
        <f>BZ129*SQRT(AL129)</f>
        <v>0.60373835392494324</v>
      </c>
      <c r="CB129">
        <v>60</v>
      </c>
      <c r="CC129">
        <v>5</v>
      </c>
      <c r="CD129">
        <v>0.124</v>
      </c>
      <c r="CE129">
        <v>0.16209999999999999</v>
      </c>
    </row>
    <row r="130" spans="4:83" hidden="1" x14ac:dyDescent="0.2">
      <c r="D130">
        <v>6</v>
      </c>
      <c r="G130" t="s">
        <v>114</v>
      </c>
      <c r="H130" t="s">
        <v>115</v>
      </c>
      <c r="J130">
        <v>2011</v>
      </c>
      <c r="M130" t="s">
        <v>116</v>
      </c>
      <c r="T130" t="s">
        <v>136</v>
      </c>
      <c r="U130" t="s">
        <v>56</v>
      </c>
      <c r="V130" t="s">
        <v>56</v>
      </c>
      <c r="Z130" t="s">
        <v>49</v>
      </c>
      <c r="AA130" t="s">
        <v>49</v>
      </c>
      <c r="AB130" t="s">
        <v>50</v>
      </c>
      <c r="AC130" t="s">
        <v>117</v>
      </c>
      <c r="AD130" t="s">
        <v>52</v>
      </c>
      <c r="AE130" t="s">
        <v>53</v>
      </c>
      <c r="AF130" t="s">
        <v>52</v>
      </c>
      <c r="AG130" t="s">
        <v>54</v>
      </c>
      <c r="AH130" t="s">
        <v>55</v>
      </c>
      <c r="AK130">
        <v>5</v>
      </c>
      <c r="AL130">
        <v>5</v>
      </c>
      <c r="AM130" t="s">
        <v>140</v>
      </c>
      <c r="AN130">
        <v>729</v>
      </c>
      <c r="AO130" t="s">
        <v>56</v>
      </c>
      <c r="AP130">
        <v>160</v>
      </c>
      <c r="AQ130" t="s">
        <v>118</v>
      </c>
      <c r="AR130">
        <v>7.86</v>
      </c>
      <c r="AS130" t="s">
        <v>56</v>
      </c>
      <c r="AT130">
        <v>0.09</v>
      </c>
      <c r="AU130">
        <v>1296</v>
      </c>
      <c r="AV130" t="s">
        <v>56</v>
      </c>
      <c r="AW130">
        <v>245</v>
      </c>
      <c r="AX130">
        <v>7.66</v>
      </c>
      <c r="AY130" t="s">
        <v>56</v>
      </c>
      <c r="AZ130">
        <v>0.08</v>
      </c>
      <c r="BB130">
        <f>LOG(AU130)</f>
        <v>3.1126050015345745</v>
      </c>
      <c r="BC130">
        <v>11.8</v>
      </c>
      <c r="BD130" t="s">
        <v>56</v>
      </c>
      <c r="BE130">
        <v>0.4</v>
      </c>
      <c r="BF130">
        <v>11.9</v>
      </c>
      <c r="BG130" t="s">
        <v>56</v>
      </c>
      <c r="BH130">
        <v>0.4</v>
      </c>
      <c r="BI130">
        <v>566</v>
      </c>
      <c r="BJ130">
        <v>0.2</v>
      </c>
      <c r="BK130" t="s">
        <v>162</v>
      </c>
      <c r="BL130" t="s">
        <v>162</v>
      </c>
      <c r="BM130" t="s">
        <v>139</v>
      </c>
      <c r="BN130" t="s">
        <v>81</v>
      </c>
      <c r="BO130" t="s">
        <v>121</v>
      </c>
      <c r="BP130" t="s">
        <v>127</v>
      </c>
      <c r="BR130" t="s">
        <v>122</v>
      </c>
      <c r="BT130">
        <v>11.92</v>
      </c>
      <c r="BU130">
        <v>11.922245999999999</v>
      </c>
      <c r="BV130">
        <v>2.0299999999999998</v>
      </c>
      <c r="BW130">
        <f>BV130*SQRT(AK130)</f>
        <v>4.5392179943245727</v>
      </c>
      <c r="BX130">
        <v>13.65</v>
      </c>
      <c r="BY130">
        <v>13.650107999999999</v>
      </c>
      <c r="BZ130">
        <v>3.63</v>
      </c>
      <c r="CA130">
        <f>BZ130*SQRT(AL130)</f>
        <v>8.1169267583242366</v>
      </c>
      <c r="CB130">
        <v>60</v>
      </c>
      <c r="CC130">
        <v>5</v>
      </c>
      <c r="CD130">
        <v>0.13500000000000001</v>
      </c>
      <c r="CE130">
        <v>9.9699999999999997E-2</v>
      </c>
    </row>
    <row r="131" spans="4:83" hidden="1" x14ac:dyDescent="0.2">
      <c r="D131">
        <v>6</v>
      </c>
      <c r="G131" t="s">
        <v>43</v>
      </c>
      <c r="H131" t="s">
        <v>115</v>
      </c>
      <c r="J131">
        <v>2011</v>
      </c>
      <c r="M131" t="s">
        <v>116</v>
      </c>
      <c r="T131" t="s">
        <v>136</v>
      </c>
      <c r="U131" t="s">
        <v>159</v>
      </c>
      <c r="V131" t="s">
        <v>160</v>
      </c>
      <c r="Z131" t="s">
        <v>49</v>
      </c>
      <c r="AA131" t="s">
        <v>49</v>
      </c>
      <c r="AB131" t="s">
        <v>50</v>
      </c>
      <c r="AC131" t="s">
        <v>117</v>
      </c>
      <c r="AD131" t="s">
        <v>52</v>
      </c>
      <c r="AE131" t="s">
        <v>53</v>
      </c>
      <c r="AF131" t="s">
        <v>52</v>
      </c>
      <c r="AG131" t="s">
        <v>54</v>
      </c>
      <c r="AH131" t="s">
        <v>55</v>
      </c>
      <c r="AK131">
        <v>5</v>
      </c>
      <c r="AL131">
        <v>5</v>
      </c>
      <c r="AM131" t="s">
        <v>123</v>
      </c>
      <c r="AN131">
        <v>729</v>
      </c>
      <c r="AO131" t="s">
        <v>56</v>
      </c>
      <c r="AP131">
        <v>160</v>
      </c>
      <c r="AQ131" t="s">
        <v>118</v>
      </c>
      <c r="AR131">
        <v>7.86</v>
      </c>
      <c r="AS131" t="s">
        <v>56</v>
      </c>
      <c r="AT131">
        <v>0.09</v>
      </c>
      <c r="AU131">
        <v>2269</v>
      </c>
      <c r="AV131" t="s">
        <v>56</v>
      </c>
      <c r="AW131">
        <v>3127</v>
      </c>
      <c r="AX131">
        <v>6.81</v>
      </c>
      <c r="AY131" t="s">
        <v>56</v>
      </c>
      <c r="AZ131">
        <v>0.23</v>
      </c>
      <c r="BB131">
        <f>LOG(AU131)</f>
        <v>3.355834495884936</v>
      </c>
      <c r="BC131">
        <v>11.8</v>
      </c>
      <c r="BD131" t="s">
        <v>56</v>
      </c>
      <c r="BE131">
        <v>0.4</v>
      </c>
      <c r="BF131">
        <v>11.5</v>
      </c>
      <c r="BG131" t="s">
        <v>56</v>
      </c>
      <c r="BH131">
        <v>0.4</v>
      </c>
      <c r="BI131">
        <v>1540</v>
      </c>
      <c r="BJ131">
        <v>-0.3</v>
      </c>
      <c r="BK131" t="s">
        <v>161</v>
      </c>
      <c r="BL131" t="s">
        <v>120</v>
      </c>
      <c r="BM131" t="s">
        <v>120</v>
      </c>
      <c r="BN131" t="s">
        <v>81</v>
      </c>
      <c r="BO131" t="s">
        <v>121</v>
      </c>
      <c r="BP131" t="s">
        <v>83</v>
      </c>
      <c r="BR131" t="s">
        <v>122</v>
      </c>
      <c r="BT131">
        <v>21</v>
      </c>
      <c r="BU131">
        <v>20.995671000000002</v>
      </c>
      <c r="BV131">
        <v>3.030303</v>
      </c>
      <c r="BW131">
        <f>BV131*SQRT(AK131)</f>
        <v>6.775963500421545</v>
      </c>
      <c r="BX131">
        <v>24.35</v>
      </c>
      <c r="BY131">
        <v>24.350649400000002</v>
      </c>
      <c r="BZ131">
        <v>6.71</v>
      </c>
      <c r="CA131">
        <f>BZ131*SQRT(AL131)</f>
        <v>15.00401612902359</v>
      </c>
      <c r="CB131">
        <v>60</v>
      </c>
      <c r="CC131">
        <v>5</v>
      </c>
      <c r="CD131">
        <v>0.14799999999999999</v>
      </c>
      <c r="CE131">
        <v>9.6799999999999997E-2</v>
      </c>
    </row>
    <row r="132" spans="4:83" hidden="1" x14ac:dyDescent="0.2">
      <c r="D132">
        <v>6</v>
      </c>
      <c r="G132" t="s">
        <v>114</v>
      </c>
      <c r="H132" t="s">
        <v>115</v>
      </c>
      <c r="J132">
        <v>2011</v>
      </c>
      <c r="M132" t="s">
        <v>116</v>
      </c>
      <c r="T132" t="s">
        <v>136</v>
      </c>
      <c r="U132" t="s">
        <v>56</v>
      </c>
      <c r="V132" t="s">
        <v>56</v>
      </c>
      <c r="Z132" t="s">
        <v>49</v>
      </c>
      <c r="AA132" t="s">
        <v>49</v>
      </c>
      <c r="AB132" t="s">
        <v>50</v>
      </c>
      <c r="AC132" t="s">
        <v>117</v>
      </c>
      <c r="AD132" t="s">
        <v>52</v>
      </c>
      <c r="AE132" t="s">
        <v>53</v>
      </c>
      <c r="AF132" t="s">
        <v>52</v>
      </c>
      <c r="AG132" t="s">
        <v>52</v>
      </c>
      <c r="AH132" t="s">
        <v>64</v>
      </c>
      <c r="AK132">
        <v>5</v>
      </c>
      <c r="AL132">
        <v>5</v>
      </c>
      <c r="AM132" t="s">
        <v>140</v>
      </c>
      <c r="AN132">
        <v>729</v>
      </c>
      <c r="AO132" t="s">
        <v>56</v>
      </c>
      <c r="AP132">
        <v>160</v>
      </c>
      <c r="AQ132" t="s">
        <v>118</v>
      </c>
      <c r="AR132">
        <v>7.86</v>
      </c>
      <c r="AS132" t="s">
        <v>56</v>
      </c>
      <c r="AT132">
        <v>0.09</v>
      </c>
      <c r="AU132">
        <v>1423</v>
      </c>
      <c r="AV132" t="s">
        <v>56</v>
      </c>
      <c r="AW132">
        <v>389</v>
      </c>
      <c r="AX132">
        <v>7.61</v>
      </c>
      <c r="AY132" t="s">
        <v>56</v>
      </c>
      <c r="AZ132">
        <v>0.15</v>
      </c>
      <c r="BB132">
        <f>LOG(AU132)</f>
        <v>3.1532049000842841</v>
      </c>
      <c r="BC132">
        <v>11.8</v>
      </c>
      <c r="BD132" t="s">
        <v>56</v>
      </c>
      <c r="BE132">
        <v>0.4</v>
      </c>
      <c r="BF132">
        <v>16</v>
      </c>
      <c r="BG132" t="s">
        <v>56</v>
      </c>
      <c r="BH132">
        <v>0.6</v>
      </c>
      <c r="BI132">
        <v>694</v>
      </c>
      <c r="BJ132">
        <v>4.2</v>
      </c>
      <c r="BK132" t="s">
        <v>162</v>
      </c>
      <c r="BL132" t="s">
        <v>162</v>
      </c>
      <c r="BM132" t="s">
        <v>139</v>
      </c>
      <c r="BN132" t="s">
        <v>81</v>
      </c>
      <c r="BO132" t="s">
        <v>121</v>
      </c>
      <c r="BP132" t="s">
        <v>127</v>
      </c>
      <c r="BR132" t="s">
        <v>122</v>
      </c>
      <c r="BT132">
        <v>11.92</v>
      </c>
      <c r="BU132">
        <v>11.922245999999999</v>
      </c>
      <c r="BV132">
        <v>2.0299999999999998</v>
      </c>
      <c r="BW132">
        <f>BV132*SQRT(AK132)</f>
        <v>4.5392179943245727</v>
      </c>
      <c r="BX132">
        <v>13.87</v>
      </c>
      <c r="BY132">
        <v>13.866090700000001</v>
      </c>
      <c r="BZ132">
        <v>1.94</v>
      </c>
      <c r="CA132">
        <f>BZ132*SQRT(AL132)</f>
        <v>4.3379718763495925</v>
      </c>
      <c r="CB132">
        <v>60</v>
      </c>
      <c r="CC132">
        <v>5</v>
      </c>
      <c r="CD132">
        <v>0.151</v>
      </c>
      <c r="CE132">
        <v>4.87E-2</v>
      </c>
    </row>
    <row r="133" spans="4:83" hidden="1" x14ac:dyDescent="0.2">
      <c r="D133">
        <v>6</v>
      </c>
      <c r="G133" t="s">
        <v>43</v>
      </c>
      <c r="H133" t="s">
        <v>115</v>
      </c>
      <c r="J133">
        <v>2011</v>
      </c>
      <c r="M133" t="s">
        <v>116</v>
      </c>
      <c r="T133" t="s">
        <v>151</v>
      </c>
      <c r="U133" t="s">
        <v>152</v>
      </c>
      <c r="V133" t="s">
        <v>153</v>
      </c>
      <c r="Z133" t="s">
        <v>49</v>
      </c>
      <c r="AA133" t="s">
        <v>49</v>
      </c>
      <c r="AB133" t="s">
        <v>50</v>
      </c>
      <c r="AC133" t="s">
        <v>117</v>
      </c>
      <c r="AD133" t="s">
        <v>52</v>
      </c>
      <c r="AE133" t="s">
        <v>56</v>
      </c>
      <c r="AF133" t="s">
        <v>52</v>
      </c>
      <c r="AG133" t="s">
        <v>54</v>
      </c>
      <c r="AH133" t="s">
        <v>55</v>
      </c>
      <c r="AK133">
        <v>5</v>
      </c>
      <c r="AL133">
        <v>5</v>
      </c>
      <c r="AM133" t="s">
        <v>123</v>
      </c>
      <c r="AN133">
        <v>729</v>
      </c>
      <c r="AO133" t="s">
        <v>56</v>
      </c>
      <c r="AP133">
        <v>160</v>
      </c>
      <c r="AQ133" t="s">
        <v>118</v>
      </c>
      <c r="AR133">
        <v>7.86</v>
      </c>
      <c r="AS133" t="s">
        <v>56</v>
      </c>
      <c r="AT133">
        <v>0.09</v>
      </c>
      <c r="AU133">
        <v>1296</v>
      </c>
      <c r="AV133" t="s">
        <v>56</v>
      </c>
      <c r="AW133">
        <v>245</v>
      </c>
      <c r="AX133">
        <v>7.66</v>
      </c>
      <c r="AY133" t="s">
        <v>56</v>
      </c>
      <c r="AZ133">
        <v>0.08</v>
      </c>
      <c r="BB133">
        <f>LOG(AU133)</f>
        <v>3.1126050015345745</v>
      </c>
      <c r="BC133">
        <v>11.8</v>
      </c>
      <c r="BD133" t="s">
        <v>56</v>
      </c>
      <c r="BE133">
        <v>0.4</v>
      </c>
      <c r="BF133">
        <v>11.9</v>
      </c>
      <c r="BG133" t="s">
        <v>56</v>
      </c>
      <c r="BH133">
        <v>0.4</v>
      </c>
      <c r="BI133">
        <v>566</v>
      </c>
      <c r="BJ133">
        <v>0.2</v>
      </c>
      <c r="BK133" t="s">
        <v>56</v>
      </c>
      <c r="BL133" t="s">
        <v>154</v>
      </c>
      <c r="BM133" t="s">
        <v>154</v>
      </c>
      <c r="BN133" t="s">
        <v>81</v>
      </c>
      <c r="BO133" t="s">
        <v>121</v>
      </c>
      <c r="BP133" t="s">
        <v>127</v>
      </c>
      <c r="BR133" t="s">
        <v>122</v>
      </c>
      <c r="BT133">
        <v>37.6</v>
      </c>
      <c r="BU133">
        <v>37.596567</v>
      </c>
      <c r="BV133">
        <v>3.2188840000000001</v>
      </c>
      <c r="BW133">
        <f>BV133*SQRT(AK133)</f>
        <v>7.1976434356864338</v>
      </c>
      <c r="BX133">
        <v>44.03</v>
      </c>
      <c r="BY133">
        <v>44.034334800000003</v>
      </c>
      <c r="BZ133">
        <v>3.73</v>
      </c>
      <c r="CA133">
        <f>BZ133*SQRT(AL133)</f>
        <v>8.3405335560742166</v>
      </c>
      <c r="CB133">
        <v>60</v>
      </c>
      <c r="CC133">
        <v>5</v>
      </c>
      <c r="CD133">
        <v>0.158</v>
      </c>
      <c r="CE133">
        <v>1.4500000000000001E-2</v>
      </c>
    </row>
    <row r="134" spans="4:83" hidden="1" x14ac:dyDescent="0.2">
      <c r="D134">
        <v>6</v>
      </c>
      <c r="G134" t="s">
        <v>43</v>
      </c>
      <c r="H134" t="s">
        <v>115</v>
      </c>
      <c r="J134">
        <v>2011</v>
      </c>
      <c r="M134" t="s">
        <v>116</v>
      </c>
      <c r="T134" t="s">
        <v>136</v>
      </c>
      <c r="U134" t="s">
        <v>56</v>
      </c>
      <c r="V134" t="s">
        <v>56</v>
      </c>
      <c r="Z134" t="s">
        <v>49</v>
      </c>
      <c r="AA134" t="s">
        <v>49</v>
      </c>
      <c r="AB134" t="s">
        <v>50</v>
      </c>
      <c r="AC134" t="s">
        <v>117</v>
      </c>
      <c r="AD134" t="s">
        <v>52</v>
      </c>
      <c r="AE134" t="s">
        <v>53</v>
      </c>
      <c r="AF134" t="s">
        <v>52</v>
      </c>
      <c r="AG134" t="s">
        <v>54</v>
      </c>
      <c r="AH134" t="s">
        <v>55</v>
      </c>
      <c r="AK134">
        <v>5</v>
      </c>
      <c r="AL134">
        <v>5</v>
      </c>
      <c r="AM134" t="s">
        <v>123</v>
      </c>
      <c r="AN134">
        <v>729</v>
      </c>
      <c r="AO134" t="s">
        <v>56</v>
      </c>
      <c r="AP134">
        <v>160</v>
      </c>
      <c r="AQ134" t="s">
        <v>118</v>
      </c>
      <c r="AR134">
        <v>7.86</v>
      </c>
      <c r="AS134" t="s">
        <v>56</v>
      </c>
      <c r="AT134">
        <v>0.09</v>
      </c>
      <c r="AU134">
        <v>1296</v>
      </c>
      <c r="AV134" t="s">
        <v>56</v>
      </c>
      <c r="AW134">
        <v>245</v>
      </c>
      <c r="AX134">
        <v>7.66</v>
      </c>
      <c r="AY134" t="s">
        <v>56</v>
      </c>
      <c r="AZ134">
        <v>0.08</v>
      </c>
      <c r="BB134">
        <f>LOG(AU134)</f>
        <v>3.1126050015345745</v>
      </c>
      <c r="BC134">
        <v>11.8</v>
      </c>
      <c r="BD134" t="s">
        <v>56</v>
      </c>
      <c r="BE134">
        <v>0.4</v>
      </c>
      <c r="BF134">
        <v>11.9</v>
      </c>
      <c r="BG134" t="s">
        <v>56</v>
      </c>
      <c r="BH134">
        <v>0.4</v>
      </c>
      <c r="BI134">
        <v>566</v>
      </c>
      <c r="BJ134">
        <v>0.2</v>
      </c>
      <c r="BK134" t="s">
        <v>157</v>
      </c>
      <c r="BL134" t="s">
        <v>120</v>
      </c>
      <c r="BM134" t="s">
        <v>120</v>
      </c>
      <c r="BN134" t="s">
        <v>81</v>
      </c>
      <c r="BO134" t="s">
        <v>121</v>
      </c>
      <c r="BP134" t="s">
        <v>83</v>
      </c>
      <c r="BR134" t="s">
        <v>122</v>
      </c>
      <c r="BT134">
        <v>73.930000000000007</v>
      </c>
      <c r="BU134">
        <v>73.932584000000006</v>
      </c>
      <c r="BV134">
        <v>2.8E-3</v>
      </c>
      <c r="BW134">
        <f>BV134*SQRT(AK134)</f>
        <v>6.2609903369994111E-3</v>
      </c>
      <c r="BX134">
        <v>89.66</v>
      </c>
      <c r="BY134">
        <v>89.662921299999994</v>
      </c>
      <c r="BZ134">
        <v>0.01</v>
      </c>
      <c r="CA134">
        <f>BZ134*SQRT(AL134)</f>
        <v>2.2360679774997897E-2</v>
      </c>
      <c r="CB134">
        <v>60</v>
      </c>
      <c r="CC134">
        <v>5</v>
      </c>
      <c r="CD134">
        <v>0.193</v>
      </c>
      <c r="CE134">
        <v>1E-4</v>
      </c>
    </row>
    <row r="135" spans="4:83" hidden="1" x14ac:dyDescent="0.2">
      <c r="D135">
        <v>6</v>
      </c>
      <c r="G135" t="s">
        <v>43</v>
      </c>
      <c r="H135" t="s">
        <v>115</v>
      </c>
      <c r="J135">
        <v>2011</v>
      </c>
      <c r="M135" t="s">
        <v>116</v>
      </c>
      <c r="T135" t="s">
        <v>151</v>
      </c>
      <c r="U135" t="s">
        <v>56</v>
      </c>
      <c r="V135" t="s">
        <v>56</v>
      </c>
      <c r="Z135" t="s">
        <v>49</v>
      </c>
      <c r="AA135" t="s">
        <v>49</v>
      </c>
      <c r="AB135" t="s">
        <v>50</v>
      </c>
      <c r="AC135" t="s">
        <v>117</v>
      </c>
      <c r="AD135" t="s">
        <v>52</v>
      </c>
      <c r="AE135" t="s">
        <v>56</v>
      </c>
      <c r="AF135" t="s">
        <v>52</v>
      </c>
      <c r="AG135" t="s">
        <v>54</v>
      </c>
      <c r="AH135" t="s">
        <v>55</v>
      </c>
      <c r="AK135">
        <v>5</v>
      </c>
      <c r="AL135">
        <v>5</v>
      </c>
      <c r="AM135" t="s">
        <v>123</v>
      </c>
      <c r="AN135">
        <v>729</v>
      </c>
      <c r="AO135" t="s">
        <v>56</v>
      </c>
      <c r="AP135">
        <v>160</v>
      </c>
      <c r="AQ135" t="s">
        <v>118</v>
      </c>
      <c r="AR135">
        <v>7.86</v>
      </c>
      <c r="AS135" t="s">
        <v>56</v>
      </c>
      <c r="AT135">
        <v>0.09</v>
      </c>
      <c r="AU135">
        <v>2269</v>
      </c>
      <c r="AV135" t="s">
        <v>56</v>
      </c>
      <c r="AW135">
        <v>3127</v>
      </c>
      <c r="AX135">
        <v>6.81</v>
      </c>
      <c r="AY135" t="s">
        <v>56</v>
      </c>
      <c r="AZ135">
        <v>0.23</v>
      </c>
      <c r="BB135">
        <f>LOG(AU135)</f>
        <v>3.355834495884936</v>
      </c>
      <c r="BC135">
        <v>11.8</v>
      </c>
      <c r="BD135" t="s">
        <v>56</v>
      </c>
      <c r="BE135">
        <v>0.4</v>
      </c>
      <c r="BF135">
        <v>11.5</v>
      </c>
      <c r="BG135" t="s">
        <v>56</v>
      </c>
      <c r="BH135">
        <v>0.4</v>
      </c>
      <c r="BI135">
        <v>1540</v>
      </c>
      <c r="BJ135">
        <v>-0.3</v>
      </c>
      <c r="BK135" t="s">
        <v>56</v>
      </c>
      <c r="BL135" t="s">
        <v>120</v>
      </c>
      <c r="BM135" t="s">
        <v>120</v>
      </c>
      <c r="BN135" t="s">
        <v>81</v>
      </c>
      <c r="BO135" t="s">
        <v>121</v>
      </c>
      <c r="BP135" t="s">
        <v>83</v>
      </c>
      <c r="BR135" t="s">
        <v>122</v>
      </c>
      <c r="BT135">
        <v>333.62</v>
      </c>
      <c r="BU135">
        <v>333.61702100000002</v>
      </c>
      <c r="BV135">
        <v>56.595745000000001</v>
      </c>
      <c r="BW135">
        <f>BV135*SQRT(AK135)</f>
        <v>126.55193305724384</v>
      </c>
      <c r="BX135">
        <v>405.11</v>
      </c>
      <c r="BY135">
        <v>405.10638299999999</v>
      </c>
      <c r="BZ135">
        <v>59.57</v>
      </c>
      <c r="CA135">
        <f>BZ135*SQRT(AL135)</f>
        <v>133.20256941966247</v>
      </c>
      <c r="CB135">
        <v>60</v>
      </c>
      <c r="CC135">
        <v>5</v>
      </c>
      <c r="CD135">
        <v>0.19400000000000001</v>
      </c>
      <c r="CE135">
        <v>5.04E-2</v>
      </c>
    </row>
    <row r="136" spans="4:83" hidden="1" x14ac:dyDescent="0.2">
      <c r="D136">
        <v>6</v>
      </c>
      <c r="G136" t="s">
        <v>43</v>
      </c>
      <c r="H136" t="s">
        <v>115</v>
      </c>
      <c r="J136">
        <v>2011</v>
      </c>
      <c r="M136" t="s">
        <v>116</v>
      </c>
      <c r="T136" t="s">
        <v>151</v>
      </c>
      <c r="U136" t="s">
        <v>56</v>
      </c>
      <c r="V136" t="s">
        <v>56</v>
      </c>
      <c r="Z136" t="s">
        <v>49</v>
      </c>
      <c r="AA136" t="s">
        <v>49</v>
      </c>
      <c r="AB136" t="s">
        <v>50</v>
      </c>
      <c r="AC136" t="s">
        <v>117</v>
      </c>
      <c r="AD136" t="s">
        <v>52</v>
      </c>
      <c r="AE136" t="s">
        <v>56</v>
      </c>
      <c r="AF136" t="s">
        <v>52</v>
      </c>
      <c r="AG136" t="s">
        <v>54</v>
      </c>
      <c r="AH136" t="s">
        <v>55</v>
      </c>
      <c r="AK136">
        <v>5</v>
      </c>
      <c r="AL136">
        <v>5</v>
      </c>
      <c r="AM136" t="s">
        <v>123</v>
      </c>
      <c r="AN136">
        <v>729</v>
      </c>
      <c r="AO136" t="s">
        <v>56</v>
      </c>
      <c r="AP136">
        <v>160</v>
      </c>
      <c r="AQ136" t="s">
        <v>118</v>
      </c>
      <c r="AR136">
        <v>7.86</v>
      </c>
      <c r="AS136" t="s">
        <v>56</v>
      </c>
      <c r="AT136">
        <v>0.09</v>
      </c>
      <c r="AU136">
        <v>2729</v>
      </c>
      <c r="AV136" t="s">
        <v>56</v>
      </c>
      <c r="AW136">
        <v>499</v>
      </c>
      <c r="AX136">
        <v>7.35</v>
      </c>
      <c r="AY136" t="s">
        <v>56</v>
      </c>
      <c r="AZ136">
        <v>7.0000000000000007E-2</v>
      </c>
      <c r="BB136">
        <f>LOG(AU136)</f>
        <v>3.4360035356698964</v>
      </c>
      <c r="BC136">
        <v>11.8</v>
      </c>
      <c r="BD136" t="s">
        <v>56</v>
      </c>
      <c r="BE136">
        <v>0.4</v>
      </c>
      <c r="BF136">
        <v>11.7</v>
      </c>
      <c r="BG136" t="s">
        <v>56</v>
      </c>
      <c r="BH136">
        <v>0.4</v>
      </c>
      <c r="BI136">
        <v>2000</v>
      </c>
      <c r="BJ136">
        <v>-0.1</v>
      </c>
      <c r="BK136" t="s">
        <v>56</v>
      </c>
      <c r="BL136" t="s">
        <v>120</v>
      </c>
      <c r="BM136" t="s">
        <v>120</v>
      </c>
      <c r="BN136" t="s">
        <v>81</v>
      </c>
      <c r="BO136" t="s">
        <v>121</v>
      </c>
      <c r="BP136" t="s">
        <v>83</v>
      </c>
      <c r="BR136" t="s">
        <v>122</v>
      </c>
      <c r="BT136">
        <v>333.62</v>
      </c>
      <c r="BU136">
        <v>333.61702100000002</v>
      </c>
      <c r="BV136">
        <v>56.595745000000001</v>
      </c>
      <c r="BW136">
        <f>BV136*SQRT(AK136)</f>
        <v>126.55193305724384</v>
      </c>
      <c r="BX136">
        <v>405.11</v>
      </c>
      <c r="BY136">
        <v>405.10638299999999</v>
      </c>
      <c r="BZ136">
        <v>154.88999999999999</v>
      </c>
      <c r="CA136">
        <f>BZ136*SQRT(AL136)</f>
        <v>346.34456903494242</v>
      </c>
      <c r="CB136">
        <v>60</v>
      </c>
      <c r="CC136">
        <v>5</v>
      </c>
      <c r="CD136">
        <v>0.19400000000000001</v>
      </c>
      <c r="CE136">
        <v>0.17499999999999999</v>
      </c>
    </row>
    <row r="137" spans="4:83" hidden="1" x14ac:dyDescent="0.2">
      <c r="D137">
        <v>6</v>
      </c>
      <c r="G137" t="s">
        <v>43</v>
      </c>
      <c r="H137" t="s">
        <v>115</v>
      </c>
      <c r="J137">
        <v>2011</v>
      </c>
      <c r="M137" t="s">
        <v>116</v>
      </c>
      <c r="T137" t="s">
        <v>131</v>
      </c>
      <c r="U137" t="s">
        <v>56</v>
      </c>
      <c r="V137" t="s">
        <v>56</v>
      </c>
      <c r="Z137" t="s">
        <v>49</v>
      </c>
      <c r="AA137" t="s">
        <v>49</v>
      </c>
      <c r="AB137" t="s">
        <v>50</v>
      </c>
      <c r="AC137" t="s">
        <v>117</v>
      </c>
      <c r="AD137" t="s">
        <v>52</v>
      </c>
      <c r="AE137" t="s">
        <v>53</v>
      </c>
      <c r="AF137" t="s">
        <v>52</v>
      </c>
      <c r="AG137" t="s">
        <v>52</v>
      </c>
      <c r="AH137" t="s">
        <v>64</v>
      </c>
      <c r="AK137">
        <v>5</v>
      </c>
      <c r="AL137">
        <v>5</v>
      </c>
      <c r="AM137" t="s">
        <v>123</v>
      </c>
      <c r="AN137">
        <v>729</v>
      </c>
      <c r="AO137" t="s">
        <v>56</v>
      </c>
      <c r="AP137">
        <v>160</v>
      </c>
      <c r="AQ137" t="s">
        <v>118</v>
      </c>
      <c r="AR137">
        <v>7.86</v>
      </c>
      <c r="AS137" t="s">
        <v>56</v>
      </c>
      <c r="AT137">
        <v>0.09</v>
      </c>
      <c r="AU137">
        <v>2612</v>
      </c>
      <c r="AV137" t="s">
        <v>56</v>
      </c>
      <c r="AW137">
        <v>547</v>
      </c>
      <c r="AX137">
        <v>7.37</v>
      </c>
      <c r="AY137" t="s">
        <v>56</v>
      </c>
      <c r="AZ137">
        <v>0.1</v>
      </c>
      <c r="BB137">
        <f>LOG(AU137)</f>
        <v>3.4169731726030363</v>
      </c>
      <c r="BC137">
        <v>11.8</v>
      </c>
      <c r="BD137" t="s">
        <v>56</v>
      </c>
      <c r="BE137">
        <v>0.4</v>
      </c>
      <c r="BF137">
        <v>15.8</v>
      </c>
      <c r="BG137" t="s">
        <v>56</v>
      </c>
      <c r="BH137">
        <v>0.3</v>
      </c>
      <c r="BI137">
        <v>1882</v>
      </c>
      <c r="BJ137">
        <v>4</v>
      </c>
      <c r="BK137" t="s">
        <v>141</v>
      </c>
      <c r="BL137" t="s">
        <v>120</v>
      </c>
      <c r="BM137" t="s">
        <v>120</v>
      </c>
      <c r="BN137" t="s">
        <v>81</v>
      </c>
      <c r="BO137" t="s">
        <v>121</v>
      </c>
      <c r="BP137" t="s">
        <v>83</v>
      </c>
      <c r="BR137" t="s">
        <v>122</v>
      </c>
      <c r="BT137">
        <v>182.17</v>
      </c>
      <c r="BU137">
        <v>182.16867500000001</v>
      </c>
      <c r="BV137">
        <v>63.614457999999999</v>
      </c>
      <c r="BW137">
        <f>BV137*SQRT(AK137)</f>
        <v>142.24625243980532</v>
      </c>
      <c r="BX137">
        <v>223.61</v>
      </c>
      <c r="BY137">
        <v>223.6144578</v>
      </c>
      <c r="BZ137">
        <v>70.36</v>
      </c>
      <c r="CA137">
        <f>BZ137*SQRT(AL137)</f>
        <v>157.32974289688522</v>
      </c>
      <c r="CB137">
        <v>60</v>
      </c>
      <c r="CC137">
        <v>5</v>
      </c>
      <c r="CD137">
        <v>0.20499999999999999</v>
      </c>
      <c r="CE137">
        <v>0.221</v>
      </c>
    </row>
    <row r="138" spans="4:83" hidden="1" x14ac:dyDescent="0.2">
      <c r="D138">
        <v>6</v>
      </c>
      <c r="G138" t="s">
        <v>114</v>
      </c>
      <c r="H138" t="s">
        <v>115</v>
      </c>
      <c r="J138">
        <v>2011</v>
      </c>
      <c r="M138" t="s">
        <v>116</v>
      </c>
      <c r="T138" t="s">
        <v>68</v>
      </c>
      <c r="U138" t="s">
        <v>56</v>
      </c>
      <c r="V138" t="s">
        <v>56</v>
      </c>
      <c r="Z138" t="s">
        <v>49</v>
      </c>
      <c r="AA138" t="s">
        <v>49</v>
      </c>
      <c r="AB138" t="s">
        <v>50</v>
      </c>
      <c r="AC138" t="s">
        <v>117</v>
      </c>
      <c r="AD138" t="s">
        <v>52</v>
      </c>
      <c r="AE138" t="s">
        <v>53</v>
      </c>
      <c r="AF138" t="s">
        <v>52</v>
      </c>
      <c r="AG138" t="s">
        <v>52</v>
      </c>
      <c r="AH138" t="s">
        <v>64</v>
      </c>
      <c r="AK138">
        <v>5</v>
      </c>
      <c r="AL138">
        <v>5</v>
      </c>
      <c r="AM138" t="s">
        <v>140</v>
      </c>
      <c r="AN138">
        <v>729</v>
      </c>
      <c r="AO138" t="s">
        <v>56</v>
      </c>
      <c r="AP138">
        <v>160</v>
      </c>
      <c r="AQ138" t="s">
        <v>118</v>
      </c>
      <c r="AR138">
        <v>7.86</v>
      </c>
      <c r="AS138" t="s">
        <v>56</v>
      </c>
      <c r="AT138">
        <v>0.09</v>
      </c>
      <c r="AU138">
        <v>1423</v>
      </c>
      <c r="AV138" t="s">
        <v>56</v>
      </c>
      <c r="AW138">
        <v>389</v>
      </c>
      <c r="AX138">
        <v>7.61</v>
      </c>
      <c r="AY138" t="s">
        <v>56</v>
      </c>
      <c r="AZ138">
        <v>0.15</v>
      </c>
      <c r="BB138">
        <f>LOG(AU138)</f>
        <v>3.1532049000842841</v>
      </c>
      <c r="BC138">
        <v>11.8</v>
      </c>
      <c r="BD138" t="s">
        <v>56</v>
      </c>
      <c r="BE138">
        <v>0.4</v>
      </c>
      <c r="BF138">
        <v>16</v>
      </c>
      <c r="BG138" t="s">
        <v>56</v>
      </c>
      <c r="BH138">
        <v>0.6</v>
      </c>
      <c r="BI138">
        <v>694</v>
      </c>
      <c r="BJ138">
        <v>4.2</v>
      </c>
      <c r="BK138" t="s">
        <v>138</v>
      </c>
      <c r="BL138" t="s">
        <v>138</v>
      </c>
      <c r="BM138" t="s">
        <v>139</v>
      </c>
      <c r="BN138" t="s">
        <v>81</v>
      </c>
      <c r="BO138" t="s">
        <v>121</v>
      </c>
      <c r="BP138" t="s">
        <v>127</v>
      </c>
      <c r="BR138" t="s">
        <v>122</v>
      </c>
      <c r="BT138">
        <v>9.1199999999999992</v>
      </c>
      <c r="BU138">
        <v>9.1232229999999994</v>
      </c>
      <c r="BV138">
        <v>0.71</v>
      </c>
      <c r="BW138">
        <f>BV138*SQRT(AK138)</f>
        <v>1.5876082640248508</v>
      </c>
      <c r="BX138">
        <v>11.32</v>
      </c>
      <c r="BY138">
        <v>11.3151659</v>
      </c>
      <c r="BZ138">
        <v>3.02</v>
      </c>
      <c r="CA138">
        <f>BZ138*SQRT(AL138)</f>
        <v>6.7529252920493654</v>
      </c>
      <c r="CB138">
        <v>60</v>
      </c>
      <c r="CC138">
        <v>5</v>
      </c>
      <c r="CD138">
        <v>0.215</v>
      </c>
      <c r="CE138">
        <v>7.7399999999999997E-2</v>
      </c>
    </row>
    <row r="139" spans="4:83" hidden="1" x14ac:dyDescent="0.2">
      <c r="D139">
        <v>6</v>
      </c>
      <c r="G139" t="s">
        <v>114</v>
      </c>
      <c r="H139" t="s">
        <v>115</v>
      </c>
      <c r="J139">
        <v>2011</v>
      </c>
      <c r="M139" t="s">
        <v>116</v>
      </c>
      <c r="T139" t="s">
        <v>136</v>
      </c>
      <c r="U139" t="s">
        <v>56</v>
      </c>
      <c r="V139" t="s">
        <v>56</v>
      </c>
      <c r="Z139" t="s">
        <v>49</v>
      </c>
      <c r="AA139" t="s">
        <v>49</v>
      </c>
      <c r="AB139" t="s">
        <v>50</v>
      </c>
      <c r="AC139" t="s">
        <v>117</v>
      </c>
      <c r="AD139" t="s">
        <v>52</v>
      </c>
      <c r="AE139" t="s">
        <v>53</v>
      </c>
      <c r="AF139" t="s">
        <v>54</v>
      </c>
      <c r="AG139" t="s">
        <v>52</v>
      </c>
      <c r="AH139" t="s">
        <v>65</v>
      </c>
      <c r="AK139">
        <v>5</v>
      </c>
      <c r="AL139">
        <v>5</v>
      </c>
      <c r="AM139" t="s">
        <v>140</v>
      </c>
      <c r="AN139">
        <v>729</v>
      </c>
      <c r="AO139" t="s">
        <v>56</v>
      </c>
      <c r="AP139">
        <v>160</v>
      </c>
      <c r="AQ139" t="s">
        <v>118</v>
      </c>
      <c r="AR139">
        <v>7.86</v>
      </c>
      <c r="AS139" t="s">
        <v>56</v>
      </c>
      <c r="AT139">
        <v>0.09</v>
      </c>
      <c r="AU139">
        <v>822</v>
      </c>
      <c r="AV139" t="s">
        <v>56</v>
      </c>
      <c r="AW139">
        <v>743</v>
      </c>
      <c r="AX139">
        <v>7.85</v>
      </c>
      <c r="AY139" t="s">
        <v>56</v>
      </c>
      <c r="AZ139">
        <v>0.13</v>
      </c>
      <c r="BB139">
        <f>LOG(AU139)</f>
        <v>2.9148718175400505</v>
      </c>
      <c r="BC139">
        <v>11.8</v>
      </c>
      <c r="BD139" t="s">
        <v>56</v>
      </c>
      <c r="BE139">
        <v>0.4</v>
      </c>
      <c r="BF139">
        <v>16</v>
      </c>
      <c r="BG139" t="s">
        <v>56</v>
      </c>
      <c r="BH139">
        <v>0.4</v>
      </c>
      <c r="BI139">
        <v>93</v>
      </c>
      <c r="BJ139">
        <v>4.3</v>
      </c>
      <c r="BK139" t="s">
        <v>162</v>
      </c>
      <c r="BL139" t="s">
        <v>162</v>
      </c>
      <c r="BM139" t="s">
        <v>139</v>
      </c>
      <c r="BN139" t="s">
        <v>81</v>
      </c>
      <c r="BO139" t="s">
        <v>121</v>
      </c>
      <c r="BP139" t="s">
        <v>127</v>
      </c>
      <c r="BR139" t="s">
        <v>122</v>
      </c>
      <c r="BT139">
        <v>11.92</v>
      </c>
      <c r="BU139">
        <v>11.922245999999999</v>
      </c>
      <c r="BV139">
        <v>2.0299999999999998</v>
      </c>
      <c r="BW139">
        <f>BV139*SQRT(AK139)</f>
        <v>4.5392179943245727</v>
      </c>
      <c r="BX139">
        <v>14.95</v>
      </c>
      <c r="BY139">
        <v>14.9460043</v>
      </c>
      <c r="BZ139">
        <v>2.72</v>
      </c>
      <c r="CA139">
        <f>BZ139*SQRT(AL139)</f>
        <v>6.0821048987994288</v>
      </c>
      <c r="CB139">
        <v>60</v>
      </c>
      <c r="CC139">
        <v>5</v>
      </c>
      <c r="CD139">
        <v>0.22600000000000001</v>
      </c>
      <c r="CE139">
        <v>6.2199999999999998E-2</v>
      </c>
    </row>
    <row r="140" spans="4:83" hidden="1" x14ac:dyDescent="0.2">
      <c r="D140">
        <v>6</v>
      </c>
      <c r="G140" t="s">
        <v>43</v>
      </c>
      <c r="H140" t="s">
        <v>115</v>
      </c>
      <c r="J140">
        <v>2011</v>
      </c>
      <c r="M140" t="s">
        <v>116</v>
      </c>
      <c r="T140" t="s">
        <v>131</v>
      </c>
      <c r="U140" t="s">
        <v>56</v>
      </c>
      <c r="V140" t="s">
        <v>56</v>
      </c>
      <c r="Z140" t="s">
        <v>49</v>
      </c>
      <c r="AA140" t="s">
        <v>49</v>
      </c>
      <c r="AB140" t="s">
        <v>50</v>
      </c>
      <c r="AC140" t="s">
        <v>117</v>
      </c>
      <c r="AD140" t="s">
        <v>52</v>
      </c>
      <c r="AE140" t="s">
        <v>53</v>
      </c>
      <c r="AF140" t="s">
        <v>54</v>
      </c>
      <c r="AG140" t="s">
        <v>52</v>
      </c>
      <c r="AH140" t="s">
        <v>65</v>
      </c>
      <c r="AK140">
        <v>5</v>
      </c>
      <c r="AL140">
        <v>5</v>
      </c>
      <c r="AM140" t="s">
        <v>123</v>
      </c>
      <c r="AN140">
        <v>729</v>
      </c>
      <c r="AO140" t="s">
        <v>56</v>
      </c>
      <c r="AP140">
        <v>160</v>
      </c>
      <c r="AQ140" t="s">
        <v>118</v>
      </c>
      <c r="AR140">
        <v>7.86</v>
      </c>
      <c r="AS140" t="s">
        <v>56</v>
      </c>
      <c r="AT140">
        <v>0.09</v>
      </c>
      <c r="AU140">
        <v>822</v>
      </c>
      <c r="AV140" t="s">
        <v>56</v>
      </c>
      <c r="AW140">
        <v>743</v>
      </c>
      <c r="AX140">
        <v>7.85</v>
      </c>
      <c r="AY140" t="s">
        <v>56</v>
      </c>
      <c r="AZ140">
        <v>0.13</v>
      </c>
      <c r="BB140">
        <f>LOG(AU140)</f>
        <v>2.9148718175400505</v>
      </c>
      <c r="BC140">
        <v>11.8</v>
      </c>
      <c r="BD140" t="s">
        <v>56</v>
      </c>
      <c r="BE140">
        <v>0.4</v>
      </c>
      <c r="BF140">
        <v>16</v>
      </c>
      <c r="BG140" t="s">
        <v>56</v>
      </c>
      <c r="BH140">
        <v>0.4</v>
      </c>
      <c r="BI140">
        <v>93</v>
      </c>
      <c r="BJ140">
        <v>4.3</v>
      </c>
      <c r="BK140" t="s">
        <v>141</v>
      </c>
      <c r="BL140" t="s">
        <v>120</v>
      </c>
      <c r="BM140" t="s">
        <v>120</v>
      </c>
      <c r="BN140" t="s">
        <v>81</v>
      </c>
      <c r="BO140" t="s">
        <v>121</v>
      </c>
      <c r="BP140" t="s">
        <v>83</v>
      </c>
      <c r="BR140" t="s">
        <v>122</v>
      </c>
      <c r="BT140">
        <v>182.17</v>
      </c>
      <c r="BU140">
        <v>182.16867500000001</v>
      </c>
      <c r="BV140">
        <v>63.614457999999999</v>
      </c>
      <c r="BW140">
        <f>BV140*SQRT(AK140)</f>
        <v>142.24625243980532</v>
      </c>
      <c r="BX140">
        <v>228.43</v>
      </c>
      <c r="BY140">
        <v>228.43373489999999</v>
      </c>
      <c r="BZ140">
        <v>104.1</v>
      </c>
      <c r="CA140">
        <f>BZ140*SQRT(AL140)</f>
        <v>232.77467645772811</v>
      </c>
      <c r="CB140">
        <v>60</v>
      </c>
      <c r="CC140">
        <v>5</v>
      </c>
      <c r="CD140">
        <v>0.22600000000000001</v>
      </c>
      <c r="CE140">
        <v>0.3296</v>
      </c>
    </row>
    <row r="141" spans="4:83" hidden="1" x14ac:dyDescent="0.2">
      <c r="D141">
        <v>6</v>
      </c>
      <c r="G141" t="s">
        <v>43</v>
      </c>
      <c r="H141" t="s">
        <v>115</v>
      </c>
      <c r="J141">
        <v>2011</v>
      </c>
      <c r="M141" t="s">
        <v>116</v>
      </c>
      <c r="T141" t="s">
        <v>136</v>
      </c>
      <c r="U141" t="s">
        <v>159</v>
      </c>
      <c r="V141" t="s">
        <v>160</v>
      </c>
      <c r="Z141" t="s">
        <v>49</v>
      </c>
      <c r="AA141" t="s">
        <v>49</v>
      </c>
      <c r="AB141" t="s">
        <v>50</v>
      </c>
      <c r="AC141" t="s">
        <v>117</v>
      </c>
      <c r="AD141" t="s">
        <v>52</v>
      </c>
      <c r="AE141" t="s">
        <v>53</v>
      </c>
      <c r="AF141" t="s">
        <v>54</v>
      </c>
      <c r="AG141" t="s">
        <v>52</v>
      </c>
      <c r="AH141" t="s">
        <v>65</v>
      </c>
      <c r="AK141">
        <v>5</v>
      </c>
      <c r="AL141">
        <v>5</v>
      </c>
      <c r="AM141" t="s">
        <v>123</v>
      </c>
      <c r="AN141">
        <v>729</v>
      </c>
      <c r="AO141" t="s">
        <v>56</v>
      </c>
      <c r="AP141">
        <v>160</v>
      </c>
      <c r="AQ141" t="s">
        <v>118</v>
      </c>
      <c r="AR141">
        <v>7.86</v>
      </c>
      <c r="AS141" t="s">
        <v>56</v>
      </c>
      <c r="AT141">
        <v>0.09</v>
      </c>
      <c r="AU141">
        <v>822</v>
      </c>
      <c r="AV141" t="s">
        <v>56</v>
      </c>
      <c r="AW141">
        <v>743</v>
      </c>
      <c r="AX141">
        <v>7.85</v>
      </c>
      <c r="AY141" t="s">
        <v>56</v>
      </c>
      <c r="AZ141">
        <v>0.13</v>
      </c>
      <c r="BB141">
        <f>LOG(AU141)</f>
        <v>2.9148718175400505</v>
      </c>
      <c r="BC141">
        <v>11.8</v>
      </c>
      <c r="BD141" t="s">
        <v>56</v>
      </c>
      <c r="BE141">
        <v>0.4</v>
      </c>
      <c r="BF141">
        <v>16</v>
      </c>
      <c r="BG141" t="s">
        <v>56</v>
      </c>
      <c r="BH141">
        <v>0.4</v>
      </c>
      <c r="BI141">
        <v>93</v>
      </c>
      <c r="BJ141">
        <v>4.3</v>
      </c>
      <c r="BK141" t="s">
        <v>161</v>
      </c>
      <c r="BL141" t="s">
        <v>120</v>
      </c>
      <c r="BM141" t="s">
        <v>120</v>
      </c>
      <c r="BN141" t="s">
        <v>81</v>
      </c>
      <c r="BO141" t="s">
        <v>121</v>
      </c>
      <c r="BP141" t="s">
        <v>83</v>
      </c>
      <c r="BR141" t="s">
        <v>122</v>
      </c>
      <c r="BT141">
        <v>21</v>
      </c>
      <c r="BU141">
        <v>20.995671000000002</v>
      </c>
      <c r="BV141">
        <v>3.030303</v>
      </c>
      <c r="BW141">
        <f>BV141*SQRT(AK141)</f>
        <v>6.775963500421545</v>
      </c>
      <c r="BX141">
        <v>27.06</v>
      </c>
      <c r="BY141">
        <v>27.056277099999999</v>
      </c>
      <c r="BZ141">
        <v>10.5</v>
      </c>
      <c r="CA141">
        <f>BZ141*SQRT(AL141)</f>
        <v>23.478713763747791</v>
      </c>
      <c r="CB141">
        <v>60</v>
      </c>
      <c r="CC141">
        <v>5</v>
      </c>
      <c r="CD141">
        <v>0.254</v>
      </c>
      <c r="CE141">
        <v>0.1714</v>
      </c>
    </row>
    <row r="142" spans="4:83" hidden="1" x14ac:dyDescent="0.2">
      <c r="D142">
        <v>6</v>
      </c>
      <c r="G142" t="s">
        <v>43</v>
      </c>
      <c r="H142" t="s">
        <v>115</v>
      </c>
      <c r="J142">
        <v>2011</v>
      </c>
      <c r="M142" t="s">
        <v>116</v>
      </c>
      <c r="T142" t="s">
        <v>131</v>
      </c>
      <c r="U142" t="s">
        <v>56</v>
      </c>
      <c r="V142" t="s">
        <v>56</v>
      </c>
      <c r="Z142" t="s">
        <v>49</v>
      </c>
      <c r="AA142" t="s">
        <v>49</v>
      </c>
      <c r="AB142" t="s">
        <v>50</v>
      </c>
      <c r="AC142" t="s">
        <v>117</v>
      </c>
      <c r="AD142" t="s">
        <v>52</v>
      </c>
      <c r="AE142" t="s">
        <v>53</v>
      </c>
      <c r="AF142" t="s">
        <v>52</v>
      </c>
      <c r="AG142" t="s">
        <v>54</v>
      </c>
      <c r="AH142" t="s">
        <v>55</v>
      </c>
      <c r="AK142">
        <v>5</v>
      </c>
      <c r="AL142">
        <v>5</v>
      </c>
      <c r="AM142" t="s">
        <v>123</v>
      </c>
      <c r="AN142">
        <v>729</v>
      </c>
      <c r="AO142" t="s">
        <v>56</v>
      </c>
      <c r="AP142">
        <v>160</v>
      </c>
      <c r="AQ142" t="s">
        <v>118</v>
      </c>
      <c r="AR142">
        <v>7.86</v>
      </c>
      <c r="AS142" t="s">
        <v>56</v>
      </c>
      <c r="AT142">
        <v>0.09</v>
      </c>
      <c r="AU142">
        <v>1296</v>
      </c>
      <c r="AV142" t="s">
        <v>56</v>
      </c>
      <c r="AW142">
        <v>245</v>
      </c>
      <c r="AX142">
        <v>7.66</v>
      </c>
      <c r="AY142" t="s">
        <v>56</v>
      </c>
      <c r="AZ142">
        <v>0.08</v>
      </c>
      <c r="BB142">
        <f>LOG(AU142)</f>
        <v>3.1126050015345745</v>
      </c>
      <c r="BC142">
        <v>11.8</v>
      </c>
      <c r="BD142" t="s">
        <v>56</v>
      </c>
      <c r="BE142">
        <v>0.4</v>
      </c>
      <c r="BF142">
        <v>11.9</v>
      </c>
      <c r="BG142" t="s">
        <v>56</v>
      </c>
      <c r="BH142">
        <v>0.4</v>
      </c>
      <c r="BI142">
        <v>566</v>
      </c>
      <c r="BJ142">
        <v>0.2</v>
      </c>
      <c r="BK142" t="s">
        <v>141</v>
      </c>
      <c r="BL142" t="s">
        <v>120</v>
      </c>
      <c r="BM142" t="s">
        <v>120</v>
      </c>
      <c r="BN142" t="s">
        <v>81</v>
      </c>
      <c r="BO142" t="s">
        <v>121</v>
      </c>
      <c r="BP142" t="s">
        <v>83</v>
      </c>
      <c r="BR142" t="s">
        <v>122</v>
      </c>
      <c r="BT142">
        <v>182.17</v>
      </c>
      <c r="BU142">
        <v>182.16867500000001</v>
      </c>
      <c r="BV142">
        <v>63.614457999999999</v>
      </c>
      <c r="BW142">
        <f>BV142*SQRT(AK142)</f>
        <v>142.24625243980532</v>
      </c>
      <c r="BX142">
        <v>235.18</v>
      </c>
      <c r="BY142">
        <v>235.18072290000001</v>
      </c>
      <c r="BZ142">
        <v>65.540000000000006</v>
      </c>
      <c r="CA142">
        <f>BZ142*SQRT(AL142)</f>
        <v>146.55189524533623</v>
      </c>
      <c r="CB142">
        <v>60</v>
      </c>
      <c r="CC142">
        <v>5</v>
      </c>
      <c r="CD142">
        <v>0.255</v>
      </c>
      <c r="CE142">
        <v>0.1996</v>
      </c>
    </row>
    <row r="143" spans="4:83" hidden="1" x14ac:dyDescent="0.2">
      <c r="D143">
        <v>6</v>
      </c>
      <c r="G143" t="s">
        <v>43</v>
      </c>
      <c r="H143" t="s">
        <v>115</v>
      </c>
      <c r="J143">
        <v>2011</v>
      </c>
      <c r="M143" t="s">
        <v>116</v>
      </c>
      <c r="T143" t="s">
        <v>68</v>
      </c>
      <c r="U143" t="s">
        <v>124</v>
      </c>
      <c r="V143" t="s">
        <v>128</v>
      </c>
      <c r="Z143" t="s">
        <v>49</v>
      </c>
      <c r="AA143" t="s">
        <v>49</v>
      </c>
      <c r="AB143" t="s">
        <v>50</v>
      </c>
      <c r="AC143" t="s">
        <v>117</v>
      </c>
      <c r="AD143" t="s">
        <v>52</v>
      </c>
      <c r="AE143" t="s">
        <v>53</v>
      </c>
      <c r="AF143" t="s">
        <v>54</v>
      </c>
      <c r="AG143" t="s">
        <v>52</v>
      </c>
      <c r="AH143" t="s">
        <v>65</v>
      </c>
      <c r="AK143">
        <v>5</v>
      </c>
      <c r="AL143">
        <v>5</v>
      </c>
      <c r="AM143" t="s">
        <v>123</v>
      </c>
      <c r="AN143">
        <v>729</v>
      </c>
      <c r="AO143" t="s">
        <v>56</v>
      </c>
      <c r="AP143">
        <v>160</v>
      </c>
      <c r="AQ143" t="s">
        <v>118</v>
      </c>
      <c r="AR143">
        <v>7.86</v>
      </c>
      <c r="AS143" t="s">
        <v>56</v>
      </c>
      <c r="AT143">
        <v>0.09</v>
      </c>
      <c r="AU143">
        <v>822</v>
      </c>
      <c r="AV143" t="s">
        <v>56</v>
      </c>
      <c r="AW143">
        <v>743</v>
      </c>
      <c r="AX143">
        <v>7.85</v>
      </c>
      <c r="AY143" t="s">
        <v>56</v>
      </c>
      <c r="AZ143">
        <v>0.13</v>
      </c>
      <c r="BB143">
        <f>LOG(AU143)</f>
        <v>2.9148718175400505</v>
      </c>
      <c r="BC143">
        <v>11.8</v>
      </c>
      <c r="BD143" t="s">
        <v>56</v>
      </c>
      <c r="BE143">
        <v>0.4</v>
      </c>
      <c r="BF143">
        <v>16</v>
      </c>
      <c r="BG143" t="s">
        <v>56</v>
      </c>
      <c r="BH143">
        <v>0.4</v>
      </c>
      <c r="BI143">
        <v>93</v>
      </c>
      <c r="BJ143">
        <v>4.3</v>
      </c>
      <c r="BK143" t="s">
        <v>129</v>
      </c>
      <c r="BL143" t="s">
        <v>120</v>
      </c>
      <c r="BM143" t="s">
        <v>120</v>
      </c>
      <c r="BN143" t="s">
        <v>81</v>
      </c>
      <c r="BO143" t="s">
        <v>121</v>
      </c>
      <c r="BP143" t="s">
        <v>83</v>
      </c>
      <c r="BR143" t="s">
        <v>122</v>
      </c>
      <c r="BT143">
        <v>7.47</v>
      </c>
      <c r="BU143">
        <v>7.4654379999999998</v>
      </c>
      <c r="BV143">
        <v>4.1889399999999997</v>
      </c>
      <c r="BW143">
        <f>BV143*SQRT(AK143)</f>
        <v>9.3667545936679684</v>
      </c>
      <c r="BX143">
        <v>9.7100000000000009</v>
      </c>
      <c r="BY143">
        <v>9.7050690999999993</v>
      </c>
      <c r="BZ143">
        <v>7.01</v>
      </c>
      <c r="CA143">
        <f>BZ143*SQRT(AL143)</f>
        <v>15.674836522273527</v>
      </c>
      <c r="CB143">
        <v>60</v>
      </c>
      <c r="CC143">
        <v>5</v>
      </c>
      <c r="CD143">
        <v>0.26200000000000001</v>
      </c>
      <c r="CE143">
        <v>0.83650000000000002</v>
      </c>
    </row>
    <row r="144" spans="4:83" hidden="1" x14ac:dyDescent="0.2">
      <c r="D144">
        <v>6</v>
      </c>
      <c r="G144" t="s">
        <v>43</v>
      </c>
      <c r="H144" t="s">
        <v>115</v>
      </c>
      <c r="J144">
        <v>2011</v>
      </c>
      <c r="M144" t="s">
        <v>116</v>
      </c>
      <c r="T144" t="s">
        <v>151</v>
      </c>
      <c r="U144" t="s">
        <v>152</v>
      </c>
      <c r="V144" t="s">
        <v>153</v>
      </c>
      <c r="Z144" t="s">
        <v>49</v>
      </c>
      <c r="AA144" t="s">
        <v>49</v>
      </c>
      <c r="AB144" t="s">
        <v>50</v>
      </c>
      <c r="AC144" t="s">
        <v>117</v>
      </c>
      <c r="AD144" t="s">
        <v>52</v>
      </c>
      <c r="AE144" t="s">
        <v>56</v>
      </c>
      <c r="AF144" t="s">
        <v>54</v>
      </c>
      <c r="AG144" t="s">
        <v>52</v>
      </c>
      <c r="AH144" t="s">
        <v>65</v>
      </c>
      <c r="AK144">
        <v>5</v>
      </c>
      <c r="AL144">
        <v>5</v>
      </c>
      <c r="AM144" t="s">
        <v>123</v>
      </c>
      <c r="AN144">
        <v>729</v>
      </c>
      <c r="AO144" t="s">
        <v>56</v>
      </c>
      <c r="AP144">
        <v>160</v>
      </c>
      <c r="AQ144" t="s">
        <v>118</v>
      </c>
      <c r="AR144">
        <v>7.86</v>
      </c>
      <c r="AS144" t="s">
        <v>56</v>
      </c>
      <c r="AT144">
        <v>0.09</v>
      </c>
      <c r="AU144">
        <v>822</v>
      </c>
      <c r="AV144" t="s">
        <v>56</v>
      </c>
      <c r="AW144">
        <v>743</v>
      </c>
      <c r="AX144">
        <v>7.85</v>
      </c>
      <c r="AY144" t="s">
        <v>56</v>
      </c>
      <c r="AZ144">
        <v>0.13</v>
      </c>
      <c r="BB144">
        <f>LOG(AU144)</f>
        <v>2.9148718175400505</v>
      </c>
      <c r="BC144">
        <v>11.8</v>
      </c>
      <c r="BD144" t="s">
        <v>56</v>
      </c>
      <c r="BE144">
        <v>0.4</v>
      </c>
      <c r="BF144">
        <v>16</v>
      </c>
      <c r="BG144" t="s">
        <v>56</v>
      </c>
      <c r="BH144">
        <v>0.4</v>
      </c>
      <c r="BI144">
        <v>93</v>
      </c>
      <c r="BJ144">
        <v>4.3</v>
      </c>
      <c r="BK144" t="s">
        <v>56</v>
      </c>
      <c r="BL144" t="s">
        <v>154</v>
      </c>
      <c r="BM144" t="s">
        <v>154</v>
      </c>
      <c r="BN144" t="s">
        <v>81</v>
      </c>
      <c r="BO144" t="s">
        <v>121</v>
      </c>
      <c r="BP144" t="s">
        <v>127</v>
      </c>
      <c r="BR144" t="s">
        <v>122</v>
      </c>
      <c r="BT144">
        <v>37.6</v>
      </c>
      <c r="BU144">
        <v>37.596567</v>
      </c>
      <c r="BV144">
        <v>3.2188840000000001</v>
      </c>
      <c r="BW144">
        <f>BV144*SQRT(AK144)</f>
        <v>7.1976434356864338</v>
      </c>
      <c r="BX144">
        <v>49.7</v>
      </c>
      <c r="BY144">
        <v>49.699570799999996</v>
      </c>
      <c r="BZ144">
        <v>4.6399999999999997</v>
      </c>
      <c r="CA144">
        <f>BZ144*SQRT(AL144)</f>
        <v>10.375355415599024</v>
      </c>
      <c r="CB144">
        <v>60</v>
      </c>
      <c r="CC144">
        <v>5</v>
      </c>
      <c r="CD144">
        <v>0.27900000000000003</v>
      </c>
      <c r="CE144">
        <v>1.6E-2</v>
      </c>
    </row>
    <row r="145" spans="4:83" hidden="1" x14ac:dyDescent="0.2">
      <c r="D145">
        <v>6</v>
      </c>
      <c r="G145" t="s">
        <v>114</v>
      </c>
      <c r="H145" t="s">
        <v>115</v>
      </c>
      <c r="J145">
        <v>2011</v>
      </c>
      <c r="M145" t="s">
        <v>116</v>
      </c>
      <c r="T145" t="s">
        <v>68</v>
      </c>
      <c r="U145" t="s">
        <v>56</v>
      </c>
      <c r="V145" t="s">
        <v>56</v>
      </c>
      <c r="Z145" t="s">
        <v>49</v>
      </c>
      <c r="AA145" t="s">
        <v>49</v>
      </c>
      <c r="AB145" t="s">
        <v>50</v>
      </c>
      <c r="AC145" t="s">
        <v>117</v>
      </c>
      <c r="AD145" t="s">
        <v>52</v>
      </c>
      <c r="AE145" t="s">
        <v>53</v>
      </c>
      <c r="AF145" t="s">
        <v>52</v>
      </c>
      <c r="AG145" t="s">
        <v>54</v>
      </c>
      <c r="AH145" t="s">
        <v>55</v>
      </c>
      <c r="AK145">
        <v>5</v>
      </c>
      <c r="AL145">
        <v>5</v>
      </c>
      <c r="AM145" t="s">
        <v>140</v>
      </c>
      <c r="AN145">
        <v>729</v>
      </c>
      <c r="AO145" t="s">
        <v>56</v>
      </c>
      <c r="AP145">
        <v>160</v>
      </c>
      <c r="AQ145" t="s">
        <v>118</v>
      </c>
      <c r="AR145">
        <v>7.86</v>
      </c>
      <c r="AS145" t="s">
        <v>56</v>
      </c>
      <c r="AT145">
        <v>0.09</v>
      </c>
      <c r="AU145">
        <v>1296</v>
      </c>
      <c r="AV145" t="s">
        <v>56</v>
      </c>
      <c r="AW145">
        <v>245</v>
      </c>
      <c r="AX145">
        <v>7.66</v>
      </c>
      <c r="AY145" t="s">
        <v>56</v>
      </c>
      <c r="AZ145">
        <v>0.08</v>
      </c>
      <c r="BB145">
        <f>LOG(AU145)</f>
        <v>3.1126050015345745</v>
      </c>
      <c r="BC145">
        <v>11.8</v>
      </c>
      <c r="BD145" t="s">
        <v>56</v>
      </c>
      <c r="BE145">
        <v>0.4</v>
      </c>
      <c r="BF145">
        <v>11.9</v>
      </c>
      <c r="BG145" t="s">
        <v>56</v>
      </c>
      <c r="BH145">
        <v>0.4</v>
      </c>
      <c r="BI145">
        <v>566</v>
      </c>
      <c r="BJ145">
        <v>0.2</v>
      </c>
      <c r="BK145" t="s">
        <v>138</v>
      </c>
      <c r="BL145" t="s">
        <v>138</v>
      </c>
      <c r="BM145" t="s">
        <v>139</v>
      </c>
      <c r="BN145" t="s">
        <v>81</v>
      </c>
      <c r="BO145" t="s">
        <v>121</v>
      </c>
      <c r="BP145" t="s">
        <v>127</v>
      </c>
      <c r="BR145" t="s">
        <v>122</v>
      </c>
      <c r="BT145">
        <v>9.1199999999999992</v>
      </c>
      <c r="BU145">
        <v>9.1232229999999994</v>
      </c>
      <c r="BV145">
        <v>0.71</v>
      </c>
      <c r="BW145">
        <f>BV145*SQRT(AK145)</f>
        <v>1.5876082640248508</v>
      </c>
      <c r="BX145">
        <v>12.09</v>
      </c>
      <c r="BY145">
        <v>12.085308100000001</v>
      </c>
      <c r="BZ145">
        <v>1.36</v>
      </c>
      <c r="CA145">
        <f>BZ145*SQRT(AL145)</f>
        <v>3.0410524493997144</v>
      </c>
      <c r="CB145">
        <v>60</v>
      </c>
      <c r="CC145">
        <v>5</v>
      </c>
      <c r="CD145">
        <v>0.28100000000000003</v>
      </c>
      <c r="CE145">
        <v>1.8800000000000001E-2</v>
      </c>
    </row>
    <row r="146" spans="4:83" hidden="1" x14ac:dyDescent="0.2">
      <c r="D146">
        <v>6</v>
      </c>
      <c r="G146" t="s">
        <v>43</v>
      </c>
      <c r="H146" t="s">
        <v>115</v>
      </c>
      <c r="J146">
        <v>2011</v>
      </c>
      <c r="M146" t="s">
        <v>116</v>
      </c>
      <c r="T146" t="s">
        <v>151</v>
      </c>
      <c r="U146" t="s">
        <v>56</v>
      </c>
      <c r="V146" t="s">
        <v>56</v>
      </c>
      <c r="Z146" t="s">
        <v>49</v>
      </c>
      <c r="AA146" t="s">
        <v>49</v>
      </c>
      <c r="AB146" t="s">
        <v>50</v>
      </c>
      <c r="AC146" t="s">
        <v>117</v>
      </c>
      <c r="AD146" t="s">
        <v>52</v>
      </c>
      <c r="AE146" t="s">
        <v>56</v>
      </c>
      <c r="AF146" t="s">
        <v>52</v>
      </c>
      <c r="AG146" t="s">
        <v>54</v>
      </c>
      <c r="AH146" t="s">
        <v>55</v>
      </c>
      <c r="AK146">
        <v>5</v>
      </c>
      <c r="AL146">
        <v>5</v>
      </c>
      <c r="AM146" t="s">
        <v>123</v>
      </c>
      <c r="AN146">
        <v>729</v>
      </c>
      <c r="AO146" t="s">
        <v>56</v>
      </c>
      <c r="AP146">
        <v>160</v>
      </c>
      <c r="AQ146" t="s">
        <v>118</v>
      </c>
      <c r="AR146">
        <v>7.86</v>
      </c>
      <c r="AS146" t="s">
        <v>56</v>
      </c>
      <c r="AT146">
        <v>0.09</v>
      </c>
      <c r="AU146">
        <v>1296</v>
      </c>
      <c r="AV146" t="s">
        <v>56</v>
      </c>
      <c r="AW146">
        <v>245</v>
      </c>
      <c r="AX146">
        <v>7.66</v>
      </c>
      <c r="AY146" t="s">
        <v>56</v>
      </c>
      <c r="AZ146">
        <v>0.08</v>
      </c>
      <c r="BB146">
        <f>LOG(AU146)</f>
        <v>3.1126050015345745</v>
      </c>
      <c r="BC146">
        <v>11.8</v>
      </c>
      <c r="BD146" t="s">
        <v>56</v>
      </c>
      <c r="BE146">
        <v>0.4</v>
      </c>
      <c r="BF146">
        <v>11.9</v>
      </c>
      <c r="BG146" t="s">
        <v>56</v>
      </c>
      <c r="BH146">
        <v>0.4</v>
      </c>
      <c r="BI146">
        <v>566</v>
      </c>
      <c r="BJ146">
        <v>0.2</v>
      </c>
      <c r="BK146" t="s">
        <v>56</v>
      </c>
      <c r="BL146" t="s">
        <v>120</v>
      </c>
      <c r="BM146" t="s">
        <v>120</v>
      </c>
      <c r="BN146" t="s">
        <v>81</v>
      </c>
      <c r="BO146" t="s">
        <v>121</v>
      </c>
      <c r="BP146" t="s">
        <v>83</v>
      </c>
      <c r="BR146" t="s">
        <v>122</v>
      </c>
      <c r="BT146">
        <v>333.62</v>
      </c>
      <c r="BU146">
        <v>333.61702100000002</v>
      </c>
      <c r="BV146">
        <v>56.595745000000001</v>
      </c>
      <c r="BW146">
        <f>BV146*SQRT(AK146)</f>
        <v>126.55193305724384</v>
      </c>
      <c r="BX146">
        <v>455.74</v>
      </c>
      <c r="BY146">
        <v>455.74468089999999</v>
      </c>
      <c r="BZ146">
        <v>47.66</v>
      </c>
      <c r="CA146">
        <f>BZ146*SQRT(AL146)</f>
        <v>106.57099980763998</v>
      </c>
      <c r="CB146">
        <v>60</v>
      </c>
      <c r="CC146">
        <v>5</v>
      </c>
      <c r="CD146">
        <v>0.312</v>
      </c>
      <c r="CE146">
        <v>3.9699999999999999E-2</v>
      </c>
    </row>
    <row r="147" spans="4:83" hidden="1" x14ac:dyDescent="0.2">
      <c r="D147">
        <v>6</v>
      </c>
      <c r="G147" t="s">
        <v>114</v>
      </c>
      <c r="H147" t="s">
        <v>115</v>
      </c>
      <c r="J147">
        <v>2011</v>
      </c>
      <c r="M147" t="s">
        <v>116</v>
      </c>
      <c r="T147" t="s">
        <v>136</v>
      </c>
      <c r="U147" t="s">
        <v>56</v>
      </c>
      <c r="V147" t="s">
        <v>56</v>
      </c>
      <c r="Z147" t="s">
        <v>49</v>
      </c>
      <c r="AA147" t="s">
        <v>49</v>
      </c>
      <c r="AB147" t="s">
        <v>50</v>
      </c>
      <c r="AC147" t="s">
        <v>117</v>
      </c>
      <c r="AD147" t="s">
        <v>52</v>
      </c>
      <c r="AE147" t="s">
        <v>53</v>
      </c>
      <c r="AF147" t="s">
        <v>52</v>
      </c>
      <c r="AG147" t="s">
        <v>52</v>
      </c>
      <c r="AH147" t="s">
        <v>64</v>
      </c>
      <c r="AK147">
        <v>5</v>
      </c>
      <c r="AL147">
        <v>5</v>
      </c>
      <c r="AM147" t="s">
        <v>140</v>
      </c>
      <c r="AN147">
        <v>729</v>
      </c>
      <c r="AO147" t="s">
        <v>56</v>
      </c>
      <c r="AP147">
        <v>160</v>
      </c>
      <c r="AQ147" t="s">
        <v>118</v>
      </c>
      <c r="AR147">
        <v>7.86</v>
      </c>
      <c r="AS147" t="s">
        <v>56</v>
      </c>
      <c r="AT147">
        <v>0.09</v>
      </c>
      <c r="AU147">
        <v>2612</v>
      </c>
      <c r="AV147" t="s">
        <v>56</v>
      </c>
      <c r="AW147">
        <v>547</v>
      </c>
      <c r="AX147">
        <v>7.37</v>
      </c>
      <c r="AY147" t="s">
        <v>56</v>
      </c>
      <c r="AZ147">
        <v>0.1</v>
      </c>
      <c r="BB147">
        <f>LOG(AU147)</f>
        <v>3.4169731726030363</v>
      </c>
      <c r="BC147">
        <v>11.8</v>
      </c>
      <c r="BD147" t="s">
        <v>56</v>
      </c>
      <c r="BE147">
        <v>0.4</v>
      </c>
      <c r="BF147">
        <v>15.8</v>
      </c>
      <c r="BG147" t="s">
        <v>56</v>
      </c>
      <c r="BH147">
        <v>0.3</v>
      </c>
      <c r="BI147">
        <v>1882</v>
      </c>
      <c r="BJ147">
        <v>4</v>
      </c>
      <c r="BK147" t="s">
        <v>162</v>
      </c>
      <c r="BL147" t="s">
        <v>162</v>
      </c>
      <c r="BM147" t="s">
        <v>139</v>
      </c>
      <c r="BN147" t="s">
        <v>81</v>
      </c>
      <c r="BO147" t="s">
        <v>121</v>
      </c>
      <c r="BP147" t="s">
        <v>127</v>
      </c>
      <c r="BR147" t="s">
        <v>122</v>
      </c>
      <c r="BT147">
        <v>11.92</v>
      </c>
      <c r="BU147">
        <v>11.922245999999999</v>
      </c>
      <c r="BV147">
        <v>2.0299999999999998</v>
      </c>
      <c r="BW147">
        <f>BV147*SQRT(AK147)</f>
        <v>4.5392179943245727</v>
      </c>
      <c r="BX147">
        <v>16.46</v>
      </c>
      <c r="BY147">
        <v>16.4578834</v>
      </c>
      <c r="BZ147">
        <v>0.99</v>
      </c>
      <c r="CA147">
        <f>BZ147*SQRT(AL147)</f>
        <v>2.2137072977247918</v>
      </c>
      <c r="CB147">
        <v>60</v>
      </c>
      <c r="CC147">
        <v>5</v>
      </c>
      <c r="CD147">
        <v>0.32200000000000001</v>
      </c>
      <c r="CE147">
        <v>3.2599999999999997E-2</v>
      </c>
    </row>
    <row r="148" spans="4:83" hidden="1" x14ac:dyDescent="0.2">
      <c r="D148">
        <v>6</v>
      </c>
      <c r="G148" t="s">
        <v>43</v>
      </c>
      <c r="H148" t="s">
        <v>115</v>
      </c>
      <c r="J148">
        <v>2011</v>
      </c>
      <c r="M148" t="s">
        <v>116</v>
      </c>
      <c r="T148" t="s">
        <v>155</v>
      </c>
      <c r="U148" t="s">
        <v>56</v>
      </c>
      <c r="V148" t="s">
        <v>56</v>
      </c>
      <c r="Z148" t="s">
        <v>49</v>
      </c>
      <c r="AA148" t="s">
        <v>49</v>
      </c>
      <c r="AB148" t="s">
        <v>50</v>
      </c>
      <c r="AC148" t="s">
        <v>117</v>
      </c>
      <c r="AD148" t="s">
        <v>52</v>
      </c>
      <c r="AE148" t="s">
        <v>53</v>
      </c>
      <c r="AF148" t="s">
        <v>52</v>
      </c>
      <c r="AG148" t="s">
        <v>54</v>
      </c>
      <c r="AH148" t="s">
        <v>55</v>
      </c>
      <c r="AK148">
        <v>5</v>
      </c>
      <c r="AL148">
        <v>5</v>
      </c>
      <c r="AM148" t="s">
        <v>123</v>
      </c>
      <c r="AN148">
        <v>729</v>
      </c>
      <c r="AO148" t="s">
        <v>56</v>
      </c>
      <c r="AP148">
        <v>160</v>
      </c>
      <c r="AQ148" t="s">
        <v>118</v>
      </c>
      <c r="AR148">
        <v>7.86</v>
      </c>
      <c r="AS148" t="s">
        <v>56</v>
      </c>
      <c r="AT148">
        <v>0.09</v>
      </c>
      <c r="AU148">
        <v>2269</v>
      </c>
      <c r="AV148" t="s">
        <v>56</v>
      </c>
      <c r="AW148">
        <v>3127</v>
      </c>
      <c r="AX148">
        <v>6.81</v>
      </c>
      <c r="AY148" t="s">
        <v>56</v>
      </c>
      <c r="AZ148">
        <v>0.23</v>
      </c>
      <c r="BB148">
        <f>LOG(AU148)</f>
        <v>3.355834495884936</v>
      </c>
      <c r="BC148">
        <v>11.8</v>
      </c>
      <c r="BD148" t="s">
        <v>56</v>
      </c>
      <c r="BE148">
        <v>0.4</v>
      </c>
      <c r="BF148">
        <v>11.5</v>
      </c>
      <c r="BG148" t="s">
        <v>56</v>
      </c>
      <c r="BH148">
        <v>0.4</v>
      </c>
      <c r="BI148">
        <v>1540</v>
      </c>
      <c r="BJ148">
        <v>-0.3</v>
      </c>
      <c r="BK148" t="s">
        <v>163</v>
      </c>
      <c r="BL148" t="s">
        <v>120</v>
      </c>
      <c r="BM148" t="s">
        <v>120</v>
      </c>
      <c r="BN148" t="s">
        <v>81</v>
      </c>
      <c r="BO148" t="s">
        <v>121</v>
      </c>
      <c r="BP148" t="s">
        <v>83</v>
      </c>
      <c r="BR148" t="s">
        <v>122</v>
      </c>
      <c r="BT148">
        <v>19.739999999999998</v>
      </c>
      <c r="BU148">
        <v>19.739999999999998</v>
      </c>
      <c r="BV148">
        <v>2.8E-3</v>
      </c>
      <c r="BW148">
        <f>BV148*SQRT(AK148)</f>
        <v>6.2609903369994111E-3</v>
      </c>
      <c r="BX148">
        <v>28.85</v>
      </c>
      <c r="BY148">
        <v>28.850325399999999</v>
      </c>
      <c r="BZ148">
        <v>0.01</v>
      </c>
      <c r="CA148">
        <f>BZ148*SQRT(AL148)</f>
        <v>2.2360679774997897E-2</v>
      </c>
      <c r="CB148">
        <v>60</v>
      </c>
      <c r="CC148">
        <v>5</v>
      </c>
      <c r="CD148">
        <v>0.379</v>
      </c>
      <c r="CE148">
        <v>1E-4</v>
      </c>
    </row>
    <row r="149" spans="4:83" hidden="1" x14ac:dyDescent="0.2">
      <c r="D149">
        <v>6</v>
      </c>
      <c r="G149" t="s">
        <v>43</v>
      </c>
      <c r="H149" t="s">
        <v>115</v>
      </c>
      <c r="J149">
        <v>2011</v>
      </c>
      <c r="M149" t="s">
        <v>116</v>
      </c>
      <c r="T149" t="s">
        <v>155</v>
      </c>
      <c r="U149" t="s">
        <v>56</v>
      </c>
      <c r="V149" t="s">
        <v>56</v>
      </c>
      <c r="Z149" t="s">
        <v>49</v>
      </c>
      <c r="AA149" t="s">
        <v>49</v>
      </c>
      <c r="AB149" t="s">
        <v>50</v>
      </c>
      <c r="AC149" t="s">
        <v>117</v>
      </c>
      <c r="AD149" t="s">
        <v>52</v>
      </c>
      <c r="AE149" t="s">
        <v>53</v>
      </c>
      <c r="AF149" t="s">
        <v>52</v>
      </c>
      <c r="AG149" t="s">
        <v>54</v>
      </c>
      <c r="AH149" t="s">
        <v>55</v>
      </c>
      <c r="AK149">
        <v>5</v>
      </c>
      <c r="AL149">
        <v>5</v>
      </c>
      <c r="AM149" t="s">
        <v>123</v>
      </c>
      <c r="AN149">
        <v>729</v>
      </c>
      <c r="AO149" t="s">
        <v>56</v>
      </c>
      <c r="AP149">
        <v>160</v>
      </c>
      <c r="AQ149" t="s">
        <v>118</v>
      </c>
      <c r="AR149">
        <v>7.86</v>
      </c>
      <c r="AS149" t="s">
        <v>56</v>
      </c>
      <c r="AT149">
        <v>0.09</v>
      </c>
      <c r="AU149">
        <v>1296</v>
      </c>
      <c r="AV149" t="s">
        <v>56</v>
      </c>
      <c r="AW149">
        <v>245</v>
      </c>
      <c r="AX149">
        <v>7.66</v>
      </c>
      <c r="AY149" t="s">
        <v>56</v>
      </c>
      <c r="AZ149">
        <v>0.08</v>
      </c>
      <c r="BB149">
        <f>LOG(AU149)</f>
        <v>3.1126050015345745</v>
      </c>
      <c r="BC149">
        <v>11.8</v>
      </c>
      <c r="BD149" t="s">
        <v>56</v>
      </c>
      <c r="BE149">
        <v>0.4</v>
      </c>
      <c r="BF149">
        <v>11.9</v>
      </c>
      <c r="BG149" t="s">
        <v>56</v>
      </c>
      <c r="BH149">
        <v>0.4</v>
      </c>
      <c r="BI149">
        <v>566</v>
      </c>
      <c r="BJ149">
        <v>0.2</v>
      </c>
      <c r="BK149" t="s">
        <v>156</v>
      </c>
      <c r="BL149" t="s">
        <v>120</v>
      </c>
      <c r="BM149" t="s">
        <v>120</v>
      </c>
      <c r="BN149" t="s">
        <v>81</v>
      </c>
      <c r="BO149" t="s">
        <v>121</v>
      </c>
      <c r="BP149" t="s">
        <v>83</v>
      </c>
      <c r="BR149" t="s">
        <v>122</v>
      </c>
      <c r="BT149">
        <v>45.72</v>
      </c>
      <c r="BU149">
        <v>45.715591000000003</v>
      </c>
      <c r="BV149">
        <v>30.585951000000001</v>
      </c>
      <c r="BW149">
        <f>BV149*SQRT(AK149)</f>
        <v>68.392265592477671</v>
      </c>
      <c r="BX149">
        <v>69.040000000000006</v>
      </c>
      <c r="BY149">
        <v>69.041690500000001</v>
      </c>
      <c r="BZ149">
        <v>35.29</v>
      </c>
      <c r="CA149">
        <f>BZ149*SQRT(AL149)</f>
        <v>78.910838925967582</v>
      </c>
      <c r="CB149">
        <v>60</v>
      </c>
      <c r="CC149">
        <v>5</v>
      </c>
      <c r="CD149">
        <v>0.41199999999999998</v>
      </c>
      <c r="CE149">
        <v>0.70899999999999996</v>
      </c>
    </row>
    <row r="150" spans="4:83" hidden="1" x14ac:dyDescent="0.2">
      <c r="D150">
        <v>6</v>
      </c>
      <c r="G150" t="s">
        <v>43</v>
      </c>
      <c r="H150" t="s">
        <v>115</v>
      </c>
      <c r="J150">
        <v>2011</v>
      </c>
      <c r="M150" t="s">
        <v>116</v>
      </c>
      <c r="T150" t="s">
        <v>68</v>
      </c>
      <c r="U150" t="s">
        <v>56</v>
      </c>
      <c r="V150" t="s">
        <v>146</v>
      </c>
      <c r="Z150" t="s">
        <v>49</v>
      </c>
      <c r="AA150" t="s">
        <v>49</v>
      </c>
      <c r="AB150" t="s">
        <v>50</v>
      </c>
      <c r="AC150" t="s">
        <v>117</v>
      </c>
      <c r="AD150" t="s">
        <v>52</v>
      </c>
      <c r="AE150" t="s">
        <v>53</v>
      </c>
      <c r="AF150" t="s">
        <v>52</v>
      </c>
      <c r="AG150" t="s">
        <v>54</v>
      </c>
      <c r="AH150" t="s">
        <v>55</v>
      </c>
      <c r="AK150">
        <v>5</v>
      </c>
      <c r="AL150">
        <v>5</v>
      </c>
      <c r="AM150" t="s">
        <v>123</v>
      </c>
      <c r="AN150">
        <v>729</v>
      </c>
      <c r="AO150" t="s">
        <v>56</v>
      </c>
      <c r="AP150">
        <v>160</v>
      </c>
      <c r="AQ150" t="s">
        <v>118</v>
      </c>
      <c r="AR150">
        <v>7.86</v>
      </c>
      <c r="AS150" t="s">
        <v>56</v>
      </c>
      <c r="AT150">
        <v>0.09</v>
      </c>
      <c r="AU150">
        <v>1296</v>
      </c>
      <c r="AV150" t="s">
        <v>56</v>
      </c>
      <c r="AW150">
        <v>245</v>
      </c>
      <c r="AX150">
        <v>7.66</v>
      </c>
      <c r="AY150" t="s">
        <v>56</v>
      </c>
      <c r="AZ150">
        <v>0.08</v>
      </c>
      <c r="BB150">
        <f>LOG(AU150)</f>
        <v>3.1126050015345745</v>
      </c>
      <c r="BC150">
        <v>11.8</v>
      </c>
      <c r="BD150" t="s">
        <v>56</v>
      </c>
      <c r="BE150">
        <v>0.4</v>
      </c>
      <c r="BF150">
        <v>11.9</v>
      </c>
      <c r="BG150" t="s">
        <v>56</v>
      </c>
      <c r="BH150">
        <v>0.4</v>
      </c>
      <c r="BI150">
        <v>566</v>
      </c>
      <c r="BJ150">
        <v>0.2</v>
      </c>
      <c r="BK150" t="s">
        <v>147</v>
      </c>
      <c r="BL150" t="s">
        <v>120</v>
      </c>
      <c r="BM150" t="s">
        <v>120</v>
      </c>
      <c r="BN150" t="s">
        <v>81</v>
      </c>
      <c r="BO150" t="s">
        <v>121</v>
      </c>
      <c r="BP150" t="s">
        <v>83</v>
      </c>
      <c r="BR150" t="s">
        <v>122</v>
      </c>
      <c r="BT150">
        <v>1.91</v>
      </c>
      <c r="BU150">
        <v>1.91344</v>
      </c>
      <c r="BV150">
        <v>0</v>
      </c>
      <c r="BW150">
        <f>BV150*SQRT(AK150)</f>
        <v>0</v>
      </c>
      <c r="BX150">
        <v>2.92</v>
      </c>
      <c r="BY150">
        <v>2.9157175</v>
      </c>
      <c r="BZ150">
        <v>2</v>
      </c>
      <c r="CA150">
        <f>BZ150*SQRT(AL150)</f>
        <v>4.4721359549995796</v>
      </c>
      <c r="CB150">
        <v>60</v>
      </c>
      <c r="CC150">
        <v>5</v>
      </c>
      <c r="CD150">
        <v>0.42099999999999999</v>
      </c>
      <c r="CE150">
        <v>0.47270000000000001</v>
      </c>
    </row>
    <row r="151" spans="4:83" hidden="1" x14ac:dyDescent="0.2">
      <c r="D151">
        <v>6</v>
      </c>
      <c r="G151" t="s">
        <v>43</v>
      </c>
      <c r="H151" t="s">
        <v>115</v>
      </c>
      <c r="J151">
        <v>2011</v>
      </c>
      <c r="M151" t="s">
        <v>116</v>
      </c>
      <c r="T151" t="s">
        <v>68</v>
      </c>
      <c r="U151" t="s">
        <v>56</v>
      </c>
      <c r="V151" t="s">
        <v>56</v>
      </c>
      <c r="Z151" t="s">
        <v>49</v>
      </c>
      <c r="AA151" t="s">
        <v>49</v>
      </c>
      <c r="AB151" t="s">
        <v>50</v>
      </c>
      <c r="AC151" t="s">
        <v>117</v>
      </c>
      <c r="AD151" t="s">
        <v>52</v>
      </c>
      <c r="AE151" t="s">
        <v>53</v>
      </c>
      <c r="AF151" t="s">
        <v>52</v>
      </c>
      <c r="AG151" t="s">
        <v>54</v>
      </c>
      <c r="AH151" t="s">
        <v>55</v>
      </c>
      <c r="AK151">
        <v>5</v>
      </c>
      <c r="AL151">
        <v>5</v>
      </c>
      <c r="AM151" t="s">
        <v>123</v>
      </c>
      <c r="AN151">
        <v>729</v>
      </c>
      <c r="AO151" t="s">
        <v>56</v>
      </c>
      <c r="AP151">
        <v>160</v>
      </c>
      <c r="AQ151" t="s">
        <v>118</v>
      </c>
      <c r="AR151">
        <v>7.86</v>
      </c>
      <c r="AS151" t="s">
        <v>56</v>
      </c>
      <c r="AT151">
        <v>0.09</v>
      </c>
      <c r="AU151">
        <v>1296</v>
      </c>
      <c r="AV151" t="s">
        <v>56</v>
      </c>
      <c r="AW151">
        <v>245</v>
      </c>
      <c r="AX151">
        <v>7.66</v>
      </c>
      <c r="AY151" t="s">
        <v>56</v>
      </c>
      <c r="AZ151">
        <v>0.08</v>
      </c>
      <c r="BB151">
        <f>LOG(AU151)</f>
        <v>3.1126050015345745</v>
      </c>
      <c r="BC151">
        <v>11.8</v>
      </c>
      <c r="BD151" t="s">
        <v>56</v>
      </c>
      <c r="BE151">
        <v>0.4</v>
      </c>
      <c r="BF151">
        <v>11.9</v>
      </c>
      <c r="BG151" t="s">
        <v>56</v>
      </c>
      <c r="BH151">
        <v>0.4</v>
      </c>
      <c r="BI151">
        <v>566</v>
      </c>
      <c r="BJ151">
        <v>0.2</v>
      </c>
      <c r="BK151" t="s">
        <v>130</v>
      </c>
      <c r="BL151" t="s">
        <v>120</v>
      </c>
      <c r="BM151" t="s">
        <v>120</v>
      </c>
      <c r="BN151" t="s">
        <v>81</v>
      </c>
      <c r="BO151" t="s">
        <v>121</v>
      </c>
      <c r="BP151" t="s">
        <v>83</v>
      </c>
      <c r="BR151" t="s">
        <v>122</v>
      </c>
      <c r="BT151">
        <v>35.020000000000003</v>
      </c>
      <c r="BU151">
        <v>35.022025999999997</v>
      </c>
      <c r="BV151">
        <v>7.9295150000000003</v>
      </c>
      <c r="BW151">
        <f>BV151*SQRT(AK151)</f>
        <v>17.730934568604248</v>
      </c>
      <c r="BX151">
        <v>53.52</v>
      </c>
      <c r="BY151">
        <v>53.524229099999999</v>
      </c>
      <c r="BZ151">
        <v>13.88</v>
      </c>
      <c r="CA151">
        <f>BZ151*SQRT(AL151)</f>
        <v>31.036623527697085</v>
      </c>
      <c r="CB151">
        <v>60</v>
      </c>
      <c r="CC151">
        <v>5</v>
      </c>
      <c r="CD151">
        <v>0.42399999999999999</v>
      </c>
      <c r="CE151">
        <v>0.11849999999999999</v>
      </c>
    </row>
    <row r="152" spans="4:83" hidden="1" x14ac:dyDescent="0.2">
      <c r="D152">
        <v>6</v>
      </c>
      <c r="G152" t="s">
        <v>43</v>
      </c>
      <c r="H152" t="s">
        <v>115</v>
      </c>
      <c r="J152">
        <v>2011</v>
      </c>
      <c r="M152" t="s">
        <v>116</v>
      </c>
      <c r="T152" t="s">
        <v>68</v>
      </c>
      <c r="U152" t="s">
        <v>56</v>
      </c>
      <c r="V152" t="s">
        <v>56</v>
      </c>
      <c r="Z152" t="s">
        <v>49</v>
      </c>
      <c r="AA152" t="s">
        <v>49</v>
      </c>
      <c r="AB152" t="s">
        <v>50</v>
      </c>
      <c r="AC152" t="s">
        <v>117</v>
      </c>
      <c r="AD152" t="s">
        <v>52</v>
      </c>
      <c r="AE152" t="s">
        <v>53</v>
      </c>
      <c r="AF152" t="s">
        <v>52</v>
      </c>
      <c r="AG152" t="s">
        <v>52</v>
      </c>
      <c r="AH152" t="s">
        <v>64</v>
      </c>
      <c r="AK152">
        <v>5</v>
      </c>
      <c r="AL152">
        <v>5</v>
      </c>
      <c r="AM152" t="s">
        <v>123</v>
      </c>
      <c r="AN152">
        <v>729</v>
      </c>
      <c r="AO152" t="s">
        <v>56</v>
      </c>
      <c r="AP152">
        <v>160</v>
      </c>
      <c r="AQ152" t="s">
        <v>118</v>
      </c>
      <c r="AR152">
        <v>7.86</v>
      </c>
      <c r="AS152" t="s">
        <v>56</v>
      </c>
      <c r="AT152">
        <v>0.09</v>
      </c>
      <c r="AU152">
        <v>1423</v>
      </c>
      <c r="AV152" t="s">
        <v>56</v>
      </c>
      <c r="AW152">
        <v>389</v>
      </c>
      <c r="AX152">
        <v>7.61</v>
      </c>
      <c r="AY152" t="s">
        <v>56</v>
      </c>
      <c r="AZ152">
        <v>0.15</v>
      </c>
      <c r="BB152">
        <f>LOG(AU152)</f>
        <v>3.1532049000842841</v>
      </c>
      <c r="BC152">
        <v>11.8</v>
      </c>
      <c r="BD152" t="s">
        <v>56</v>
      </c>
      <c r="BE152">
        <v>0.4</v>
      </c>
      <c r="BF152">
        <v>16</v>
      </c>
      <c r="BG152" t="s">
        <v>56</v>
      </c>
      <c r="BH152">
        <v>0.6</v>
      </c>
      <c r="BI152">
        <v>694</v>
      </c>
      <c r="BJ152">
        <v>4.2</v>
      </c>
      <c r="BK152" t="s">
        <v>130</v>
      </c>
      <c r="BL152" t="s">
        <v>120</v>
      </c>
      <c r="BM152" t="s">
        <v>120</v>
      </c>
      <c r="BN152" t="s">
        <v>81</v>
      </c>
      <c r="BO152" t="s">
        <v>121</v>
      </c>
      <c r="BP152" t="s">
        <v>83</v>
      </c>
      <c r="BR152" t="s">
        <v>122</v>
      </c>
      <c r="BT152">
        <v>35.020000000000003</v>
      </c>
      <c r="BU152">
        <v>35.022025999999997</v>
      </c>
      <c r="BV152">
        <v>7.9295150000000003</v>
      </c>
      <c r="BW152">
        <f>BV152*SQRT(AK152)</f>
        <v>17.730934568604248</v>
      </c>
      <c r="BX152">
        <v>53.52</v>
      </c>
      <c r="BY152">
        <v>53.524229099999999</v>
      </c>
      <c r="BZ152">
        <v>30.4</v>
      </c>
      <c r="CA152">
        <f>BZ152*SQRT(AL152)</f>
        <v>67.976466515993607</v>
      </c>
      <c r="CB152">
        <v>60</v>
      </c>
      <c r="CC152">
        <v>5</v>
      </c>
      <c r="CD152">
        <v>0.42399999999999999</v>
      </c>
      <c r="CE152">
        <v>0.37380000000000002</v>
      </c>
    </row>
    <row r="153" spans="4:83" hidden="1" x14ac:dyDescent="0.2">
      <c r="D153">
        <v>6</v>
      </c>
      <c r="G153" t="s">
        <v>43</v>
      </c>
      <c r="H153" t="s">
        <v>115</v>
      </c>
      <c r="J153">
        <v>2011</v>
      </c>
      <c r="M153" t="s">
        <v>116</v>
      </c>
      <c r="T153" t="s">
        <v>136</v>
      </c>
      <c r="U153" t="s">
        <v>159</v>
      </c>
      <c r="V153" t="s">
        <v>160</v>
      </c>
      <c r="Z153" t="s">
        <v>49</v>
      </c>
      <c r="AA153" t="s">
        <v>49</v>
      </c>
      <c r="AB153" t="s">
        <v>50</v>
      </c>
      <c r="AC153" t="s">
        <v>117</v>
      </c>
      <c r="AD153" t="s">
        <v>52</v>
      </c>
      <c r="AE153" t="s">
        <v>53</v>
      </c>
      <c r="AF153" t="s">
        <v>52</v>
      </c>
      <c r="AG153" t="s">
        <v>52</v>
      </c>
      <c r="AH153" t="s">
        <v>64</v>
      </c>
      <c r="AK153">
        <v>5</v>
      </c>
      <c r="AL153">
        <v>5</v>
      </c>
      <c r="AM153" t="s">
        <v>123</v>
      </c>
      <c r="AN153">
        <v>729</v>
      </c>
      <c r="AO153" t="s">
        <v>56</v>
      </c>
      <c r="AP153">
        <v>160</v>
      </c>
      <c r="AQ153" t="s">
        <v>118</v>
      </c>
      <c r="AR153">
        <v>7.86</v>
      </c>
      <c r="AS153" t="s">
        <v>56</v>
      </c>
      <c r="AT153">
        <v>0.09</v>
      </c>
      <c r="AU153">
        <v>2612</v>
      </c>
      <c r="AV153" t="s">
        <v>56</v>
      </c>
      <c r="AW153">
        <v>547</v>
      </c>
      <c r="AX153">
        <v>7.37</v>
      </c>
      <c r="AY153" t="s">
        <v>56</v>
      </c>
      <c r="AZ153">
        <v>0.1</v>
      </c>
      <c r="BB153">
        <f>LOG(AU153)</f>
        <v>3.4169731726030363</v>
      </c>
      <c r="BC153">
        <v>11.8</v>
      </c>
      <c r="BD153" t="s">
        <v>56</v>
      </c>
      <c r="BE153">
        <v>0.4</v>
      </c>
      <c r="BF153">
        <v>15.8</v>
      </c>
      <c r="BG153" t="s">
        <v>56</v>
      </c>
      <c r="BH153">
        <v>0.3</v>
      </c>
      <c r="BI153">
        <v>1882</v>
      </c>
      <c r="BJ153">
        <v>4</v>
      </c>
      <c r="BK153" t="s">
        <v>161</v>
      </c>
      <c r="BL153" t="s">
        <v>120</v>
      </c>
      <c r="BM153" t="s">
        <v>120</v>
      </c>
      <c r="BN153" t="s">
        <v>81</v>
      </c>
      <c r="BO153" t="s">
        <v>121</v>
      </c>
      <c r="BP153" t="s">
        <v>83</v>
      </c>
      <c r="BR153" t="s">
        <v>122</v>
      </c>
      <c r="BT153">
        <v>21</v>
      </c>
      <c r="BU153">
        <v>20.995671000000002</v>
      </c>
      <c r="BV153">
        <v>3.030303</v>
      </c>
      <c r="BW153">
        <f>BV153*SQRT(AK153)</f>
        <v>6.775963500421545</v>
      </c>
      <c r="BX153">
        <v>34.96</v>
      </c>
      <c r="BY153">
        <v>34.956710000000001</v>
      </c>
      <c r="BZ153">
        <v>7.47</v>
      </c>
      <c r="CA153">
        <f>BZ153*SQRT(AL153)</f>
        <v>16.703427791923428</v>
      </c>
      <c r="CB153">
        <v>60</v>
      </c>
      <c r="CC153">
        <v>5</v>
      </c>
      <c r="CD153">
        <v>0.51</v>
      </c>
      <c r="CE153">
        <v>6.6500000000000004E-2</v>
      </c>
    </row>
    <row r="154" spans="4:83" hidden="1" x14ac:dyDescent="0.2">
      <c r="D154">
        <v>6</v>
      </c>
      <c r="G154" t="s">
        <v>43</v>
      </c>
      <c r="H154" t="s">
        <v>115</v>
      </c>
      <c r="J154">
        <v>2011</v>
      </c>
      <c r="M154" t="s">
        <v>116</v>
      </c>
      <c r="T154" t="s">
        <v>136</v>
      </c>
      <c r="U154" t="s">
        <v>159</v>
      </c>
      <c r="V154" t="s">
        <v>160</v>
      </c>
      <c r="Z154" t="s">
        <v>49</v>
      </c>
      <c r="AA154" t="s">
        <v>49</v>
      </c>
      <c r="AB154" t="s">
        <v>50</v>
      </c>
      <c r="AC154" t="s">
        <v>117</v>
      </c>
      <c r="AD154" t="s">
        <v>52</v>
      </c>
      <c r="AE154" t="s">
        <v>53</v>
      </c>
      <c r="AF154" t="s">
        <v>52</v>
      </c>
      <c r="AG154" t="s">
        <v>54</v>
      </c>
      <c r="AH154" t="s">
        <v>55</v>
      </c>
      <c r="AK154">
        <v>5</v>
      </c>
      <c r="AL154">
        <v>5</v>
      </c>
      <c r="AM154" t="s">
        <v>123</v>
      </c>
      <c r="AN154">
        <v>729</v>
      </c>
      <c r="AO154" t="s">
        <v>56</v>
      </c>
      <c r="AP154">
        <v>160</v>
      </c>
      <c r="AQ154" t="s">
        <v>118</v>
      </c>
      <c r="AR154">
        <v>7.86</v>
      </c>
      <c r="AS154" t="s">
        <v>56</v>
      </c>
      <c r="AT154">
        <v>0.09</v>
      </c>
      <c r="AU154">
        <v>1296</v>
      </c>
      <c r="AV154" t="s">
        <v>56</v>
      </c>
      <c r="AW154">
        <v>245</v>
      </c>
      <c r="AX154">
        <v>7.66</v>
      </c>
      <c r="AY154" t="s">
        <v>56</v>
      </c>
      <c r="AZ154">
        <v>0.08</v>
      </c>
      <c r="BB154">
        <f>LOG(AU154)</f>
        <v>3.1126050015345745</v>
      </c>
      <c r="BC154">
        <v>11.8</v>
      </c>
      <c r="BD154" t="s">
        <v>56</v>
      </c>
      <c r="BE154">
        <v>0.4</v>
      </c>
      <c r="BF154">
        <v>11.9</v>
      </c>
      <c r="BG154" t="s">
        <v>56</v>
      </c>
      <c r="BH154">
        <v>0.4</v>
      </c>
      <c r="BI154">
        <v>566</v>
      </c>
      <c r="BJ154">
        <v>0.2</v>
      </c>
      <c r="BK154" t="s">
        <v>161</v>
      </c>
      <c r="BL154" t="s">
        <v>120</v>
      </c>
      <c r="BM154" t="s">
        <v>120</v>
      </c>
      <c r="BN154" t="s">
        <v>81</v>
      </c>
      <c r="BO154" t="s">
        <v>121</v>
      </c>
      <c r="BP154" t="s">
        <v>83</v>
      </c>
      <c r="BR154" t="s">
        <v>122</v>
      </c>
      <c r="BT154">
        <v>21</v>
      </c>
      <c r="BU154">
        <v>20.995671000000002</v>
      </c>
      <c r="BV154">
        <v>3.030303</v>
      </c>
      <c r="BW154">
        <f>BV154*SQRT(AK154)</f>
        <v>6.775963500421545</v>
      </c>
      <c r="BX154">
        <v>35.06</v>
      </c>
      <c r="BY154">
        <v>35.0649351</v>
      </c>
      <c r="BZ154">
        <v>6.71</v>
      </c>
      <c r="CA154">
        <f>BZ154*SQRT(AL154)</f>
        <v>15.00401612902359</v>
      </c>
      <c r="CB154">
        <v>60</v>
      </c>
      <c r="CC154">
        <v>5</v>
      </c>
      <c r="CD154">
        <v>0.51300000000000001</v>
      </c>
      <c r="CE154">
        <v>5.74E-2</v>
      </c>
    </row>
    <row r="155" spans="4:83" hidden="1" x14ac:dyDescent="0.2">
      <c r="D155">
        <v>6</v>
      </c>
      <c r="G155" t="s">
        <v>114</v>
      </c>
      <c r="H155" t="s">
        <v>115</v>
      </c>
      <c r="J155">
        <v>2011</v>
      </c>
      <c r="M155" t="s">
        <v>116</v>
      </c>
      <c r="T155" t="s">
        <v>68</v>
      </c>
      <c r="U155" t="s">
        <v>56</v>
      </c>
      <c r="V155" t="s">
        <v>56</v>
      </c>
      <c r="Z155" t="s">
        <v>49</v>
      </c>
      <c r="AA155" t="s">
        <v>49</v>
      </c>
      <c r="AB155" t="s">
        <v>50</v>
      </c>
      <c r="AC155" t="s">
        <v>117</v>
      </c>
      <c r="AD155" t="s">
        <v>52</v>
      </c>
      <c r="AE155" t="s">
        <v>53</v>
      </c>
      <c r="AF155" t="s">
        <v>54</v>
      </c>
      <c r="AG155" t="s">
        <v>52</v>
      </c>
      <c r="AH155" t="s">
        <v>65</v>
      </c>
      <c r="AK155">
        <v>5</v>
      </c>
      <c r="AL155">
        <v>5</v>
      </c>
      <c r="AM155" t="s">
        <v>140</v>
      </c>
      <c r="AN155">
        <v>729</v>
      </c>
      <c r="AO155" t="s">
        <v>56</v>
      </c>
      <c r="AP155">
        <v>160</v>
      </c>
      <c r="AQ155" t="s">
        <v>118</v>
      </c>
      <c r="AR155">
        <v>7.86</v>
      </c>
      <c r="AS155" t="s">
        <v>56</v>
      </c>
      <c r="AT155">
        <v>0.09</v>
      </c>
      <c r="AU155">
        <v>822</v>
      </c>
      <c r="AV155" t="s">
        <v>56</v>
      </c>
      <c r="AW155">
        <v>743</v>
      </c>
      <c r="AX155">
        <v>7.85</v>
      </c>
      <c r="AY155" t="s">
        <v>56</v>
      </c>
      <c r="AZ155">
        <v>0.13</v>
      </c>
      <c r="BB155">
        <f>LOG(AU155)</f>
        <v>2.9148718175400505</v>
      </c>
      <c r="BC155">
        <v>11.8</v>
      </c>
      <c r="BD155" t="s">
        <v>56</v>
      </c>
      <c r="BE155">
        <v>0.4</v>
      </c>
      <c r="BF155">
        <v>16</v>
      </c>
      <c r="BG155" t="s">
        <v>56</v>
      </c>
      <c r="BH155">
        <v>0.4</v>
      </c>
      <c r="BI155">
        <v>93</v>
      </c>
      <c r="BJ155">
        <v>4.3</v>
      </c>
      <c r="BK155" t="s">
        <v>138</v>
      </c>
      <c r="BL155" t="s">
        <v>138</v>
      </c>
      <c r="BM155" t="s">
        <v>139</v>
      </c>
      <c r="BN155" t="s">
        <v>81</v>
      </c>
      <c r="BO155" t="s">
        <v>121</v>
      </c>
      <c r="BP155" t="s">
        <v>127</v>
      </c>
      <c r="BR155" t="s">
        <v>122</v>
      </c>
      <c r="BT155">
        <v>9.1199999999999992</v>
      </c>
      <c r="BU155">
        <v>9.1232229999999994</v>
      </c>
      <c r="BV155">
        <v>0.71</v>
      </c>
      <c r="BW155">
        <f>BV155*SQRT(AK155)</f>
        <v>1.5876082640248508</v>
      </c>
      <c r="BX155">
        <v>16.59</v>
      </c>
      <c r="BY155">
        <v>16.5876777</v>
      </c>
      <c r="BZ155">
        <v>2.4300000000000002</v>
      </c>
      <c r="CA155">
        <f>BZ155*SQRT(AL155)</f>
        <v>5.4336451853244894</v>
      </c>
      <c r="CB155">
        <v>60</v>
      </c>
      <c r="CC155">
        <v>5</v>
      </c>
      <c r="CD155">
        <v>0.59799999999999998</v>
      </c>
      <c r="CE155">
        <v>2.75E-2</v>
      </c>
    </row>
    <row r="156" spans="4:83" hidden="1" x14ac:dyDescent="0.2">
      <c r="D156">
        <v>6</v>
      </c>
      <c r="G156" t="s">
        <v>43</v>
      </c>
      <c r="H156" t="s">
        <v>115</v>
      </c>
      <c r="J156">
        <v>2011</v>
      </c>
      <c r="M156" t="s">
        <v>116</v>
      </c>
      <c r="T156" t="s">
        <v>68</v>
      </c>
      <c r="U156" t="s">
        <v>124</v>
      </c>
      <c r="V156" t="s">
        <v>125</v>
      </c>
      <c r="Z156" t="s">
        <v>49</v>
      </c>
      <c r="AA156" t="s">
        <v>49</v>
      </c>
      <c r="AB156" t="s">
        <v>50</v>
      </c>
      <c r="AC156" t="s">
        <v>117</v>
      </c>
      <c r="AD156" t="s">
        <v>52</v>
      </c>
      <c r="AE156" t="s">
        <v>53</v>
      </c>
      <c r="AF156" t="s">
        <v>52</v>
      </c>
      <c r="AG156" t="s">
        <v>54</v>
      </c>
      <c r="AH156" t="s">
        <v>55</v>
      </c>
      <c r="AK156">
        <v>5</v>
      </c>
      <c r="AL156">
        <v>5</v>
      </c>
      <c r="AM156" t="s">
        <v>123</v>
      </c>
      <c r="AN156">
        <v>729</v>
      </c>
      <c r="AO156" t="s">
        <v>56</v>
      </c>
      <c r="AP156">
        <v>160</v>
      </c>
      <c r="AQ156" t="s">
        <v>118</v>
      </c>
      <c r="AR156">
        <v>7.86</v>
      </c>
      <c r="AS156" t="s">
        <v>56</v>
      </c>
      <c r="AT156">
        <v>0.09</v>
      </c>
      <c r="AU156">
        <v>1296</v>
      </c>
      <c r="AV156" t="s">
        <v>56</v>
      </c>
      <c r="AW156">
        <v>245</v>
      </c>
      <c r="AX156">
        <v>7.66</v>
      </c>
      <c r="AY156" t="s">
        <v>56</v>
      </c>
      <c r="AZ156">
        <v>0.08</v>
      </c>
      <c r="BB156">
        <f>LOG(AU156)</f>
        <v>3.1126050015345745</v>
      </c>
      <c r="BC156">
        <v>11.8</v>
      </c>
      <c r="BD156" t="s">
        <v>56</v>
      </c>
      <c r="BE156">
        <v>0.4</v>
      </c>
      <c r="BF156">
        <v>11.9</v>
      </c>
      <c r="BG156" t="s">
        <v>56</v>
      </c>
      <c r="BH156">
        <v>0.4</v>
      </c>
      <c r="BI156">
        <v>566</v>
      </c>
      <c r="BJ156">
        <v>0.2</v>
      </c>
      <c r="BK156" t="s">
        <v>126</v>
      </c>
      <c r="BL156" t="s">
        <v>120</v>
      </c>
      <c r="BM156" t="s">
        <v>120</v>
      </c>
      <c r="BN156" t="s">
        <v>81</v>
      </c>
      <c r="BO156" t="s">
        <v>121</v>
      </c>
      <c r="BP156" t="s">
        <v>83</v>
      </c>
      <c r="BR156" t="s">
        <v>122</v>
      </c>
      <c r="BT156">
        <v>9.32</v>
      </c>
      <c r="BU156">
        <v>9.3162099999999999</v>
      </c>
      <c r="BV156">
        <v>4.1002280000000004</v>
      </c>
      <c r="BW156">
        <f>BV156*SQRT(AK156)</f>
        <v>9.1683885312480093</v>
      </c>
      <c r="BX156">
        <v>17.54</v>
      </c>
      <c r="BY156">
        <v>17.539528300000001</v>
      </c>
      <c r="BZ156">
        <v>20.23</v>
      </c>
      <c r="CA156">
        <f>BZ156*SQRT(AL156)</f>
        <v>45.23565518482075</v>
      </c>
      <c r="CB156">
        <v>60</v>
      </c>
      <c r="CC156">
        <v>5</v>
      </c>
      <c r="CD156">
        <v>0.63300000000000001</v>
      </c>
      <c r="CE156">
        <v>1.5237000000000001</v>
      </c>
    </row>
    <row r="157" spans="4:83" hidden="1" x14ac:dyDescent="0.2">
      <c r="D157">
        <v>6</v>
      </c>
      <c r="G157" t="s">
        <v>43</v>
      </c>
      <c r="H157" t="s">
        <v>115</v>
      </c>
      <c r="J157">
        <v>2011</v>
      </c>
      <c r="M157" t="s">
        <v>116</v>
      </c>
      <c r="T157" t="s">
        <v>68</v>
      </c>
      <c r="U157" t="s">
        <v>124</v>
      </c>
      <c r="V157" t="s">
        <v>125</v>
      </c>
      <c r="Z157" t="s">
        <v>49</v>
      </c>
      <c r="AA157" t="s">
        <v>49</v>
      </c>
      <c r="AB157" t="s">
        <v>50</v>
      </c>
      <c r="AC157" t="s">
        <v>117</v>
      </c>
      <c r="AD157" t="s">
        <v>52</v>
      </c>
      <c r="AE157" t="s">
        <v>53</v>
      </c>
      <c r="AF157" t="s">
        <v>54</v>
      </c>
      <c r="AG157" t="s">
        <v>52</v>
      </c>
      <c r="AH157" t="s">
        <v>65</v>
      </c>
      <c r="AK157">
        <v>5</v>
      </c>
      <c r="AL157">
        <v>5</v>
      </c>
      <c r="AM157" t="s">
        <v>123</v>
      </c>
      <c r="AN157">
        <v>729</v>
      </c>
      <c r="AO157" t="s">
        <v>56</v>
      </c>
      <c r="AP157">
        <v>160</v>
      </c>
      <c r="AQ157" t="s">
        <v>118</v>
      </c>
      <c r="AR157">
        <v>7.86</v>
      </c>
      <c r="AS157" t="s">
        <v>56</v>
      </c>
      <c r="AT157">
        <v>0.09</v>
      </c>
      <c r="AU157">
        <v>822</v>
      </c>
      <c r="AV157" t="s">
        <v>56</v>
      </c>
      <c r="AW157">
        <v>743</v>
      </c>
      <c r="AX157">
        <v>7.85</v>
      </c>
      <c r="AY157" t="s">
        <v>56</v>
      </c>
      <c r="AZ157">
        <v>0.13</v>
      </c>
      <c r="BB157">
        <f>LOG(AU157)</f>
        <v>2.9148718175400505</v>
      </c>
      <c r="BC157">
        <v>11.8</v>
      </c>
      <c r="BD157" t="s">
        <v>56</v>
      </c>
      <c r="BE157">
        <v>0.4</v>
      </c>
      <c r="BF157">
        <v>16</v>
      </c>
      <c r="BG157" t="s">
        <v>56</v>
      </c>
      <c r="BH157">
        <v>0.4</v>
      </c>
      <c r="BI157">
        <v>93</v>
      </c>
      <c r="BJ157">
        <v>4.3</v>
      </c>
      <c r="BK157" t="s">
        <v>126</v>
      </c>
      <c r="BL157" t="s">
        <v>120</v>
      </c>
      <c r="BM157" t="s">
        <v>120</v>
      </c>
      <c r="BN157" t="s">
        <v>81</v>
      </c>
      <c r="BO157" t="s">
        <v>121</v>
      </c>
      <c r="BP157" t="s">
        <v>83</v>
      </c>
      <c r="BR157" t="s">
        <v>122</v>
      </c>
      <c r="BT157">
        <v>9.32</v>
      </c>
      <c r="BU157">
        <v>9.3162099999999999</v>
      </c>
      <c r="BV157">
        <v>4.1002280000000004</v>
      </c>
      <c r="BW157">
        <f>BV157*SQRT(AK157)</f>
        <v>9.1683885312480093</v>
      </c>
      <c r="BX157">
        <v>17.93</v>
      </c>
      <c r="BY157">
        <v>17.926688299999999</v>
      </c>
      <c r="BZ157">
        <v>13.8</v>
      </c>
      <c r="CA157">
        <f>BZ157*SQRT(AL157)</f>
        <v>30.857738089497101</v>
      </c>
      <c r="CB157">
        <v>60</v>
      </c>
      <c r="CC157">
        <v>5</v>
      </c>
      <c r="CD157">
        <v>0.65500000000000003</v>
      </c>
      <c r="CE157">
        <v>0.78669999999999995</v>
      </c>
    </row>
    <row r="158" spans="4:83" hidden="1" x14ac:dyDescent="0.2">
      <c r="D158">
        <v>6</v>
      </c>
      <c r="G158" t="s">
        <v>43</v>
      </c>
      <c r="H158" t="s">
        <v>115</v>
      </c>
      <c r="J158">
        <v>2011</v>
      </c>
      <c r="M158" t="s">
        <v>116</v>
      </c>
      <c r="T158" t="s">
        <v>46</v>
      </c>
      <c r="U158" t="s">
        <v>56</v>
      </c>
      <c r="V158" t="s">
        <v>56</v>
      </c>
      <c r="Z158" t="s">
        <v>49</v>
      </c>
      <c r="AA158" t="s">
        <v>49</v>
      </c>
      <c r="AB158" t="s">
        <v>50</v>
      </c>
      <c r="AC158" t="s">
        <v>117</v>
      </c>
      <c r="AD158" t="s">
        <v>52</v>
      </c>
      <c r="AE158" t="s">
        <v>56</v>
      </c>
      <c r="AF158" t="s">
        <v>52</v>
      </c>
      <c r="AG158" t="s">
        <v>54</v>
      </c>
      <c r="AH158" t="s">
        <v>55</v>
      </c>
      <c r="AK158">
        <v>5</v>
      </c>
      <c r="AL158">
        <v>5</v>
      </c>
      <c r="AM158" t="s">
        <v>123</v>
      </c>
      <c r="AN158">
        <v>729</v>
      </c>
      <c r="AO158" t="s">
        <v>56</v>
      </c>
      <c r="AP158">
        <v>160</v>
      </c>
      <c r="AQ158" t="s">
        <v>118</v>
      </c>
      <c r="AR158">
        <v>7.86</v>
      </c>
      <c r="AS158" t="s">
        <v>56</v>
      </c>
      <c r="AT158">
        <v>0.09</v>
      </c>
      <c r="AU158">
        <v>2729</v>
      </c>
      <c r="AV158" t="s">
        <v>56</v>
      </c>
      <c r="AW158">
        <v>499</v>
      </c>
      <c r="AX158">
        <v>7.35</v>
      </c>
      <c r="AY158" t="s">
        <v>56</v>
      </c>
      <c r="AZ158">
        <v>7.0000000000000007E-2</v>
      </c>
      <c r="BB158">
        <f>LOG(AU158)</f>
        <v>3.4360035356698964</v>
      </c>
      <c r="BC158">
        <v>11.8</v>
      </c>
      <c r="BD158" t="s">
        <v>56</v>
      </c>
      <c r="BE158">
        <v>0.4</v>
      </c>
      <c r="BF158">
        <v>11.7</v>
      </c>
      <c r="BG158" t="s">
        <v>56</v>
      </c>
      <c r="BH158">
        <v>0.4</v>
      </c>
      <c r="BI158">
        <v>2000</v>
      </c>
      <c r="BJ158">
        <v>-0.1</v>
      </c>
      <c r="BK158" t="s">
        <v>119</v>
      </c>
      <c r="BL158" t="s">
        <v>120</v>
      </c>
      <c r="BM158" t="s">
        <v>120</v>
      </c>
      <c r="BN158" t="s">
        <v>81</v>
      </c>
      <c r="BO158" t="s">
        <v>121</v>
      </c>
      <c r="BP158" t="s">
        <v>83</v>
      </c>
      <c r="BR158" t="s">
        <v>122</v>
      </c>
      <c r="BT158">
        <v>6.78</v>
      </c>
      <c r="BU158">
        <v>6.7764709999999999</v>
      </c>
      <c r="BV158">
        <v>0</v>
      </c>
      <c r="BW158">
        <f>BV158*SQRT(AK158)</f>
        <v>0</v>
      </c>
      <c r="BX158">
        <v>13.13</v>
      </c>
      <c r="BY158">
        <v>13.1294118</v>
      </c>
      <c r="BZ158">
        <v>5.93</v>
      </c>
      <c r="CA158">
        <f>BZ158*SQRT(AL158)</f>
        <v>13.259883106573753</v>
      </c>
      <c r="CB158">
        <v>60</v>
      </c>
      <c r="CC158">
        <v>5</v>
      </c>
      <c r="CD158">
        <v>0.66100000000000003</v>
      </c>
      <c r="CE158">
        <v>0.20399999999999999</v>
      </c>
    </row>
    <row r="159" spans="4:83" hidden="1" x14ac:dyDescent="0.2">
      <c r="D159">
        <v>6</v>
      </c>
      <c r="G159" t="s">
        <v>43</v>
      </c>
      <c r="H159" t="s">
        <v>115</v>
      </c>
      <c r="J159">
        <v>2011</v>
      </c>
      <c r="M159" t="s">
        <v>116</v>
      </c>
      <c r="T159" t="s">
        <v>136</v>
      </c>
      <c r="U159" t="s">
        <v>56</v>
      </c>
      <c r="V159" t="s">
        <v>56</v>
      </c>
      <c r="Z159" t="s">
        <v>49</v>
      </c>
      <c r="AA159" t="s">
        <v>49</v>
      </c>
      <c r="AB159" t="s">
        <v>50</v>
      </c>
      <c r="AC159" t="s">
        <v>117</v>
      </c>
      <c r="AD159" t="s">
        <v>52</v>
      </c>
      <c r="AE159" t="s">
        <v>53</v>
      </c>
      <c r="AF159" t="s">
        <v>52</v>
      </c>
      <c r="AG159" t="s">
        <v>52</v>
      </c>
      <c r="AH159" t="s">
        <v>64</v>
      </c>
      <c r="AK159">
        <v>5</v>
      </c>
      <c r="AL159">
        <v>5</v>
      </c>
      <c r="AM159" t="s">
        <v>123</v>
      </c>
      <c r="AN159">
        <v>729</v>
      </c>
      <c r="AO159" t="s">
        <v>56</v>
      </c>
      <c r="AP159">
        <v>160</v>
      </c>
      <c r="AQ159" t="s">
        <v>118</v>
      </c>
      <c r="AR159">
        <v>7.86</v>
      </c>
      <c r="AS159" t="s">
        <v>56</v>
      </c>
      <c r="AT159">
        <v>0.09</v>
      </c>
      <c r="AU159">
        <v>1423</v>
      </c>
      <c r="AV159" t="s">
        <v>56</v>
      </c>
      <c r="AW159">
        <v>389</v>
      </c>
      <c r="AX159">
        <v>7.61</v>
      </c>
      <c r="AY159" t="s">
        <v>56</v>
      </c>
      <c r="AZ159">
        <v>0.15</v>
      </c>
      <c r="BB159">
        <f>LOG(AU159)</f>
        <v>3.1532049000842841</v>
      </c>
      <c r="BC159">
        <v>11.8</v>
      </c>
      <c r="BD159" t="s">
        <v>56</v>
      </c>
      <c r="BE159">
        <v>0.4</v>
      </c>
      <c r="BF159">
        <v>16</v>
      </c>
      <c r="BG159" t="s">
        <v>56</v>
      </c>
      <c r="BH159">
        <v>0.6</v>
      </c>
      <c r="BI159">
        <v>694</v>
      </c>
      <c r="BJ159">
        <v>4.2</v>
      </c>
      <c r="BK159" t="s">
        <v>157</v>
      </c>
      <c r="BL159" t="s">
        <v>120</v>
      </c>
      <c r="BM159" t="s">
        <v>120</v>
      </c>
      <c r="BN159" t="s">
        <v>81</v>
      </c>
      <c r="BO159" t="s">
        <v>121</v>
      </c>
      <c r="BP159" t="s">
        <v>83</v>
      </c>
      <c r="BR159" t="s">
        <v>122</v>
      </c>
      <c r="BT159">
        <v>73.930000000000007</v>
      </c>
      <c r="BU159">
        <v>73.932584000000006</v>
      </c>
      <c r="BV159">
        <v>0</v>
      </c>
      <c r="BW159">
        <f>BV159*SQRT(AK159)</f>
        <v>0</v>
      </c>
      <c r="BX159">
        <v>152.58000000000001</v>
      </c>
      <c r="BY159">
        <v>152.58426969999999</v>
      </c>
      <c r="BZ159">
        <v>78.650000000000006</v>
      </c>
      <c r="CA159">
        <f>BZ159*SQRT(AL159)</f>
        <v>175.86674643035849</v>
      </c>
      <c r="CB159">
        <v>60</v>
      </c>
      <c r="CC159">
        <v>5</v>
      </c>
      <c r="CD159">
        <v>0.72499999999999998</v>
      </c>
      <c r="CE159">
        <v>0.26569999999999999</v>
      </c>
    </row>
    <row r="160" spans="4:83" hidden="1" x14ac:dyDescent="0.2">
      <c r="D160">
        <v>6</v>
      </c>
      <c r="G160" t="s">
        <v>43</v>
      </c>
      <c r="H160" t="s">
        <v>115</v>
      </c>
      <c r="J160">
        <v>2011</v>
      </c>
      <c r="M160" t="s">
        <v>116</v>
      </c>
      <c r="T160" t="s">
        <v>131</v>
      </c>
      <c r="U160" t="s">
        <v>143</v>
      </c>
      <c r="V160" t="s">
        <v>144</v>
      </c>
      <c r="Z160" t="s">
        <v>49</v>
      </c>
      <c r="AA160" t="s">
        <v>49</v>
      </c>
      <c r="AB160" t="s">
        <v>50</v>
      </c>
      <c r="AC160" t="s">
        <v>117</v>
      </c>
      <c r="AD160" t="s">
        <v>52</v>
      </c>
      <c r="AE160" t="s">
        <v>134</v>
      </c>
      <c r="AF160" t="s">
        <v>52</v>
      </c>
      <c r="AG160" t="s">
        <v>52</v>
      </c>
      <c r="AH160" t="s">
        <v>64</v>
      </c>
      <c r="AK160">
        <v>5</v>
      </c>
      <c r="AL160">
        <v>5</v>
      </c>
      <c r="AM160" t="s">
        <v>123</v>
      </c>
      <c r="AN160">
        <v>729</v>
      </c>
      <c r="AO160" t="s">
        <v>56</v>
      </c>
      <c r="AP160">
        <v>160</v>
      </c>
      <c r="AQ160" t="s">
        <v>118</v>
      </c>
      <c r="AR160">
        <v>7.86</v>
      </c>
      <c r="AS160" t="s">
        <v>56</v>
      </c>
      <c r="AT160">
        <v>0.09</v>
      </c>
      <c r="AU160">
        <v>1423</v>
      </c>
      <c r="AV160" t="s">
        <v>56</v>
      </c>
      <c r="AW160">
        <v>389</v>
      </c>
      <c r="AX160">
        <v>7.61</v>
      </c>
      <c r="AY160" t="s">
        <v>56</v>
      </c>
      <c r="AZ160">
        <v>0.15</v>
      </c>
      <c r="BB160">
        <f>LOG(AU160)</f>
        <v>3.1532049000842841</v>
      </c>
      <c r="BC160">
        <v>11.8</v>
      </c>
      <c r="BD160" t="s">
        <v>56</v>
      </c>
      <c r="BE160">
        <v>0.4</v>
      </c>
      <c r="BF160">
        <v>16</v>
      </c>
      <c r="BG160" t="s">
        <v>56</v>
      </c>
      <c r="BH160">
        <v>0.6</v>
      </c>
      <c r="BI160">
        <v>694</v>
      </c>
      <c r="BJ160">
        <v>4.2</v>
      </c>
      <c r="BK160" t="s">
        <v>145</v>
      </c>
      <c r="BL160" t="s">
        <v>120</v>
      </c>
      <c r="BM160" t="s">
        <v>120</v>
      </c>
      <c r="BN160" t="s">
        <v>81</v>
      </c>
      <c r="BO160" t="s">
        <v>121</v>
      </c>
      <c r="BP160" t="s">
        <v>83</v>
      </c>
      <c r="BR160" t="s">
        <v>122</v>
      </c>
      <c r="BT160">
        <v>21.78</v>
      </c>
      <c r="BU160">
        <v>21.784231999999999</v>
      </c>
      <c r="BV160">
        <v>5.0829880000000003</v>
      </c>
      <c r="BW160">
        <f>BV160*SQRT(AK160)</f>
        <v>11.365906696815703</v>
      </c>
      <c r="BX160">
        <v>45.75</v>
      </c>
      <c r="BY160">
        <v>45.746887999999998</v>
      </c>
      <c r="BZ160">
        <v>29.77</v>
      </c>
      <c r="CA160">
        <f>BZ160*SQRT(AL160)</f>
        <v>66.56774369016874</v>
      </c>
      <c r="CB160">
        <v>60</v>
      </c>
      <c r="CC160">
        <v>5</v>
      </c>
      <c r="CD160">
        <v>0.74199999999999999</v>
      </c>
      <c r="CE160">
        <v>0.47799999999999998</v>
      </c>
    </row>
    <row r="161" spans="4:83" hidden="1" x14ac:dyDescent="0.2">
      <c r="D161">
        <v>6</v>
      </c>
      <c r="G161" t="s">
        <v>43</v>
      </c>
      <c r="H161" t="s">
        <v>115</v>
      </c>
      <c r="J161">
        <v>2011</v>
      </c>
      <c r="M161" t="s">
        <v>116</v>
      </c>
      <c r="T161" t="s">
        <v>151</v>
      </c>
      <c r="U161" t="s">
        <v>56</v>
      </c>
      <c r="V161" t="s">
        <v>56</v>
      </c>
      <c r="Z161" t="s">
        <v>49</v>
      </c>
      <c r="AA161" t="s">
        <v>49</v>
      </c>
      <c r="AB161" t="s">
        <v>50</v>
      </c>
      <c r="AC161" t="s">
        <v>117</v>
      </c>
      <c r="AD161" t="s">
        <v>52</v>
      </c>
      <c r="AE161" t="s">
        <v>56</v>
      </c>
      <c r="AF161" t="s">
        <v>54</v>
      </c>
      <c r="AG161" t="s">
        <v>52</v>
      </c>
      <c r="AH161" t="s">
        <v>65</v>
      </c>
      <c r="AK161">
        <v>5</v>
      </c>
      <c r="AL161">
        <v>5</v>
      </c>
      <c r="AM161" t="s">
        <v>123</v>
      </c>
      <c r="AN161">
        <v>729</v>
      </c>
      <c r="AO161" t="s">
        <v>56</v>
      </c>
      <c r="AP161">
        <v>160</v>
      </c>
      <c r="AQ161" t="s">
        <v>118</v>
      </c>
      <c r="AR161">
        <v>7.86</v>
      </c>
      <c r="AS161" t="s">
        <v>56</v>
      </c>
      <c r="AT161">
        <v>0.09</v>
      </c>
      <c r="AU161">
        <v>822</v>
      </c>
      <c r="AV161" t="s">
        <v>56</v>
      </c>
      <c r="AW161">
        <v>743</v>
      </c>
      <c r="AX161">
        <v>7.85</v>
      </c>
      <c r="AY161" t="s">
        <v>56</v>
      </c>
      <c r="AZ161">
        <v>0.13</v>
      </c>
      <c r="BB161">
        <f>LOG(AU161)</f>
        <v>2.9148718175400505</v>
      </c>
      <c r="BC161">
        <v>11.8</v>
      </c>
      <c r="BD161" t="s">
        <v>56</v>
      </c>
      <c r="BE161">
        <v>0.4</v>
      </c>
      <c r="BF161">
        <v>16</v>
      </c>
      <c r="BG161" t="s">
        <v>56</v>
      </c>
      <c r="BH161">
        <v>0.4</v>
      </c>
      <c r="BI161">
        <v>93</v>
      </c>
      <c r="BJ161">
        <v>4.3</v>
      </c>
      <c r="BK161" t="s">
        <v>56</v>
      </c>
      <c r="BL161" t="s">
        <v>120</v>
      </c>
      <c r="BM161" t="s">
        <v>120</v>
      </c>
      <c r="BN161" t="s">
        <v>81</v>
      </c>
      <c r="BO161" t="s">
        <v>121</v>
      </c>
      <c r="BP161" t="s">
        <v>83</v>
      </c>
      <c r="BR161" t="s">
        <v>122</v>
      </c>
      <c r="BT161">
        <v>333.62</v>
      </c>
      <c r="BU161">
        <v>333.61702100000002</v>
      </c>
      <c r="BV161">
        <v>56.595745000000001</v>
      </c>
      <c r="BW161">
        <f>BV161*SQRT(AK161)</f>
        <v>126.55193305724384</v>
      </c>
      <c r="BX161">
        <v>726.81</v>
      </c>
      <c r="BY161">
        <v>726.80851059999998</v>
      </c>
      <c r="BZ161">
        <v>154.88999999999999</v>
      </c>
      <c r="CA161">
        <f>BZ161*SQRT(AL161)</f>
        <v>346.34456903494242</v>
      </c>
      <c r="CB161">
        <v>60</v>
      </c>
      <c r="CC161">
        <v>5</v>
      </c>
      <c r="CD161">
        <v>0.77900000000000003</v>
      </c>
      <c r="CE161">
        <v>7.4200000000000002E-2</v>
      </c>
    </row>
    <row r="162" spans="4:83" hidden="1" x14ac:dyDescent="0.2">
      <c r="D162">
        <v>6</v>
      </c>
      <c r="G162" t="s">
        <v>43</v>
      </c>
      <c r="H162" t="s">
        <v>115</v>
      </c>
      <c r="J162">
        <v>2011</v>
      </c>
      <c r="M162" t="s">
        <v>116</v>
      </c>
      <c r="T162" t="s">
        <v>155</v>
      </c>
      <c r="U162" t="s">
        <v>56</v>
      </c>
      <c r="V162" t="s">
        <v>56</v>
      </c>
      <c r="Z162" t="s">
        <v>49</v>
      </c>
      <c r="AA162" t="s">
        <v>49</v>
      </c>
      <c r="AB162" t="s">
        <v>50</v>
      </c>
      <c r="AC162" t="s">
        <v>117</v>
      </c>
      <c r="AD162" t="s">
        <v>52</v>
      </c>
      <c r="AE162" t="s">
        <v>53</v>
      </c>
      <c r="AF162" t="s">
        <v>54</v>
      </c>
      <c r="AG162" t="s">
        <v>52</v>
      </c>
      <c r="AH162" t="s">
        <v>65</v>
      </c>
      <c r="AK162">
        <v>5</v>
      </c>
      <c r="AL162">
        <v>5</v>
      </c>
      <c r="AM162" t="s">
        <v>123</v>
      </c>
      <c r="AN162">
        <v>729</v>
      </c>
      <c r="AO162" t="s">
        <v>56</v>
      </c>
      <c r="AP162">
        <v>160</v>
      </c>
      <c r="AQ162" t="s">
        <v>118</v>
      </c>
      <c r="AR162">
        <v>7.86</v>
      </c>
      <c r="AS162" t="s">
        <v>56</v>
      </c>
      <c r="AT162">
        <v>0.09</v>
      </c>
      <c r="AU162">
        <v>822</v>
      </c>
      <c r="AV162" t="s">
        <v>56</v>
      </c>
      <c r="AW162">
        <v>743</v>
      </c>
      <c r="AX162">
        <v>7.85</v>
      </c>
      <c r="AY162" t="s">
        <v>56</v>
      </c>
      <c r="AZ162">
        <v>0.13</v>
      </c>
      <c r="BB162">
        <f>LOG(AU162)</f>
        <v>2.9148718175400505</v>
      </c>
      <c r="BC162">
        <v>11.8</v>
      </c>
      <c r="BD162" t="s">
        <v>56</v>
      </c>
      <c r="BE162">
        <v>0.4</v>
      </c>
      <c r="BF162">
        <v>16</v>
      </c>
      <c r="BG162" t="s">
        <v>56</v>
      </c>
      <c r="BH162">
        <v>0.4</v>
      </c>
      <c r="BI162">
        <v>93</v>
      </c>
      <c r="BJ162">
        <v>4.3</v>
      </c>
      <c r="BK162" t="s">
        <v>156</v>
      </c>
      <c r="BL162" t="s">
        <v>120</v>
      </c>
      <c r="BM162" t="s">
        <v>120</v>
      </c>
      <c r="BN162" t="s">
        <v>81</v>
      </c>
      <c r="BO162" t="s">
        <v>121</v>
      </c>
      <c r="BP162" t="s">
        <v>83</v>
      </c>
      <c r="BR162" t="s">
        <v>122</v>
      </c>
      <c r="BT162">
        <v>45.72</v>
      </c>
      <c r="BU162">
        <v>45.715591000000003</v>
      </c>
      <c r="BV162">
        <v>30.585951000000001</v>
      </c>
      <c r="BW162">
        <f>BV162*SQRT(AK162)</f>
        <v>68.392265592477671</v>
      </c>
      <c r="BX162">
        <v>104.54</v>
      </c>
      <c r="BY162">
        <v>104.5368361</v>
      </c>
      <c r="BZ162">
        <v>9.41</v>
      </c>
      <c r="CA162">
        <f>BZ162*SQRT(AL162)</f>
        <v>21.041399668273023</v>
      </c>
      <c r="CB162">
        <v>60</v>
      </c>
      <c r="CC162">
        <v>5</v>
      </c>
      <c r="CD162">
        <v>0.82699999999999996</v>
      </c>
      <c r="CE162">
        <v>0.45569999999999999</v>
      </c>
    </row>
    <row r="163" spans="4:83" hidden="1" x14ac:dyDescent="0.2">
      <c r="D163">
        <v>6</v>
      </c>
      <c r="G163" t="s">
        <v>43</v>
      </c>
      <c r="H163" t="s">
        <v>115</v>
      </c>
      <c r="J163">
        <v>2011</v>
      </c>
      <c r="M163" t="s">
        <v>116</v>
      </c>
      <c r="T163" t="s">
        <v>151</v>
      </c>
      <c r="U163" t="s">
        <v>56</v>
      </c>
      <c r="V163" t="s">
        <v>56</v>
      </c>
      <c r="Z163" t="s">
        <v>49</v>
      </c>
      <c r="AA163" t="s">
        <v>49</v>
      </c>
      <c r="AB163" t="s">
        <v>50</v>
      </c>
      <c r="AC163" t="s">
        <v>117</v>
      </c>
      <c r="AD163" t="s">
        <v>52</v>
      </c>
      <c r="AE163" t="s">
        <v>56</v>
      </c>
      <c r="AF163" t="s">
        <v>52</v>
      </c>
      <c r="AG163" t="s">
        <v>52</v>
      </c>
      <c r="AH163" t="s">
        <v>64</v>
      </c>
      <c r="AK163">
        <v>5</v>
      </c>
      <c r="AL163">
        <v>5</v>
      </c>
      <c r="AM163" t="s">
        <v>123</v>
      </c>
      <c r="AN163">
        <v>729</v>
      </c>
      <c r="AO163" t="s">
        <v>56</v>
      </c>
      <c r="AP163">
        <v>160</v>
      </c>
      <c r="AQ163" t="s">
        <v>118</v>
      </c>
      <c r="AR163">
        <v>7.86</v>
      </c>
      <c r="AS163" t="s">
        <v>56</v>
      </c>
      <c r="AT163">
        <v>0.09</v>
      </c>
      <c r="AU163">
        <v>2612</v>
      </c>
      <c r="AV163" t="s">
        <v>56</v>
      </c>
      <c r="AW163">
        <v>547</v>
      </c>
      <c r="AX163">
        <v>7.37</v>
      </c>
      <c r="AY163" t="s">
        <v>56</v>
      </c>
      <c r="AZ163">
        <v>0.1</v>
      </c>
      <c r="BB163">
        <f>LOG(AU163)</f>
        <v>3.4169731726030363</v>
      </c>
      <c r="BC163">
        <v>11.8</v>
      </c>
      <c r="BD163" t="s">
        <v>56</v>
      </c>
      <c r="BE163">
        <v>0.4</v>
      </c>
      <c r="BF163">
        <v>15.8</v>
      </c>
      <c r="BG163" t="s">
        <v>56</v>
      </c>
      <c r="BH163">
        <v>0.3</v>
      </c>
      <c r="BI163">
        <v>1882</v>
      </c>
      <c r="BJ163">
        <v>4</v>
      </c>
      <c r="BK163" t="s">
        <v>56</v>
      </c>
      <c r="BL163" t="s">
        <v>120</v>
      </c>
      <c r="BM163" t="s">
        <v>120</v>
      </c>
      <c r="BN163" t="s">
        <v>81</v>
      </c>
      <c r="BO163" t="s">
        <v>121</v>
      </c>
      <c r="BP163" t="s">
        <v>83</v>
      </c>
      <c r="BR163" t="s">
        <v>122</v>
      </c>
      <c r="BT163">
        <v>333.62</v>
      </c>
      <c r="BU163">
        <v>333.61702100000002</v>
      </c>
      <c r="BV163">
        <v>56.595745000000001</v>
      </c>
      <c r="BW163">
        <f>BV163*SQRT(AK163)</f>
        <v>126.55193305724384</v>
      </c>
      <c r="BX163">
        <v>819.15</v>
      </c>
      <c r="BY163">
        <v>819.14893619999998</v>
      </c>
      <c r="BZ163">
        <v>303.83</v>
      </c>
      <c r="CA163">
        <f>BZ163*SQRT(AL163)</f>
        <v>679.38453360376116</v>
      </c>
      <c r="CB163">
        <v>60</v>
      </c>
      <c r="CC163">
        <v>5</v>
      </c>
      <c r="CD163">
        <v>0.89800000000000002</v>
      </c>
      <c r="CE163">
        <v>0.16639999999999999</v>
      </c>
    </row>
    <row r="164" spans="4:83" hidden="1" x14ac:dyDescent="0.2">
      <c r="D164">
        <v>6</v>
      </c>
      <c r="G164" t="s">
        <v>43</v>
      </c>
      <c r="H164" t="s">
        <v>115</v>
      </c>
      <c r="J164">
        <v>2011</v>
      </c>
      <c r="M164" t="s">
        <v>116</v>
      </c>
      <c r="T164" t="s">
        <v>136</v>
      </c>
      <c r="U164" t="s">
        <v>56</v>
      </c>
      <c r="V164" t="s">
        <v>56</v>
      </c>
      <c r="Z164" t="s">
        <v>49</v>
      </c>
      <c r="AA164" t="s">
        <v>49</v>
      </c>
      <c r="AB164" t="s">
        <v>50</v>
      </c>
      <c r="AC164" t="s">
        <v>117</v>
      </c>
      <c r="AD164" t="s">
        <v>52</v>
      </c>
      <c r="AE164" t="s">
        <v>53</v>
      </c>
      <c r="AF164" t="s">
        <v>54</v>
      </c>
      <c r="AG164" t="s">
        <v>52</v>
      </c>
      <c r="AH164" t="s">
        <v>65</v>
      </c>
      <c r="AK164">
        <v>5</v>
      </c>
      <c r="AL164">
        <v>5</v>
      </c>
      <c r="AM164" t="s">
        <v>123</v>
      </c>
      <c r="AN164">
        <v>729</v>
      </c>
      <c r="AO164" t="s">
        <v>56</v>
      </c>
      <c r="AP164">
        <v>160</v>
      </c>
      <c r="AQ164" t="s">
        <v>118</v>
      </c>
      <c r="AR164">
        <v>7.86</v>
      </c>
      <c r="AS164" t="s">
        <v>56</v>
      </c>
      <c r="AT164">
        <v>0.09</v>
      </c>
      <c r="AU164">
        <v>822</v>
      </c>
      <c r="AV164" t="s">
        <v>56</v>
      </c>
      <c r="AW164">
        <v>743</v>
      </c>
      <c r="AX164">
        <v>7.85</v>
      </c>
      <c r="AY164" t="s">
        <v>56</v>
      </c>
      <c r="AZ164">
        <v>0.13</v>
      </c>
      <c r="BB164">
        <f>LOG(AU164)</f>
        <v>2.9148718175400505</v>
      </c>
      <c r="BC164">
        <v>11.8</v>
      </c>
      <c r="BD164" t="s">
        <v>56</v>
      </c>
      <c r="BE164">
        <v>0.4</v>
      </c>
      <c r="BF164">
        <v>16</v>
      </c>
      <c r="BG164" t="s">
        <v>56</v>
      </c>
      <c r="BH164">
        <v>0.4</v>
      </c>
      <c r="BI164">
        <v>93</v>
      </c>
      <c r="BJ164">
        <v>4.3</v>
      </c>
      <c r="BK164" t="s">
        <v>157</v>
      </c>
      <c r="BL164" t="s">
        <v>120</v>
      </c>
      <c r="BM164" t="s">
        <v>120</v>
      </c>
      <c r="BN164" t="s">
        <v>81</v>
      </c>
      <c r="BO164" t="s">
        <v>121</v>
      </c>
      <c r="BP164" t="s">
        <v>83</v>
      </c>
      <c r="BR164" t="s">
        <v>122</v>
      </c>
      <c r="BT164">
        <v>73.930000000000007</v>
      </c>
      <c r="BU164">
        <v>73.932584000000006</v>
      </c>
      <c r="BV164">
        <v>0</v>
      </c>
      <c r="BW164">
        <f>BV164*SQRT(AK164)</f>
        <v>0</v>
      </c>
      <c r="BX164">
        <v>182.47</v>
      </c>
      <c r="BY164">
        <v>182.4719101</v>
      </c>
      <c r="BZ164">
        <v>110.11</v>
      </c>
      <c r="CA164">
        <f>BZ164*SQRT(AL164)</f>
        <v>246.21344500250186</v>
      </c>
      <c r="CB164">
        <v>60</v>
      </c>
      <c r="CC164">
        <v>5</v>
      </c>
      <c r="CD164">
        <v>0.90300000000000002</v>
      </c>
      <c r="CE164">
        <v>0.36409999999999998</v>
      </c>
    </row>
    <row r="165" spans="4:83" hidden="1" x14ac:dyDescent="0.2">
      <c r="D165">
        <v>6</v>
      </c>
      <c r="G165" t="s">
        <v>43</v>
      </c>
      <c r="H165" t="s">
        <v>115</v>
      </c>
      <c r="J165">
        <v>2011</v>
      </c>
      <c r="M165" t="s">
        <v>116</v>
      </c>
      <c r="T165" t="s">
        <v>155</v>
      </c>
      <c r="U165" t="s">
        <v>56</v>
      </c>
      <c r="V165" t="s">
        <v>56</v>
      </c>
      <c r="Z165" t="s">
        <v>49</v>
      </c>
      <c r="AA165" t="s">
        <v>49</v>
      </c>
      <c r="AB165" t="s">
        <v>50</v>
      </c>
      <c r="AC165" t="s">
        <v>117</v>
      </c>
      <c r="AD165" t="s">
        <v>52</v>
      </c>
      <c r="AE165" t="s">
        <v>53</v>
      </c>
      <c r="AF165" t="s">
        <v>52</v>
      </c>
      <c r="AG165" t="s">
        <v>52</v>
      </c>
      <c r="AH165" t="s">
        <v>64</v>
      </c>
      <c r="AK165">
        <v>5</v>
      </c>
      <c r="AL165">
        <v>5</v>
      </c>
      <c r="AM165" t="s">
        <v>123</v>
      </c>
      <c r="AN165">
        <v>729</v>
      </c>
      <c r="AO165" t="s">
        <v>56</v>
      </c>
      <c r="AP165">
        <v>160</v>
      </c>
      <c r="AQ165" t="s">
        <v>118</v>
      </c>
      <c r="AR165">
        <v>7.86</v>
      </c>
      <c r="AS165" t="s">
        <v>56</v>
      </c>
      <c r="AT165">
        <v>0.09</v>
      </c>
      <c r="AU165">
        <v>2612</v>
      </c>
      <c r="AV165" t="s">
        <v>56</v>
      </c>
      <c r="AW165">
        <v>547</v>
      </c>
      <c r="AX165">
        <v>7.37</v>
      </c>
      <c r="AY165" t="s">
        <v>56</v>
      </c>
      <c r="AZ165">
        <v>0.1</v>
      </c>
      <c r="BB165">
        <f>LOG(AU165)</f>
        <v>3.4169731726030363</v>
      </c>
      <c r="BC165">
        <v>11.8</v>
      </c>
      <c r="BD165" t="s">
        <v>56</v>
      </c>
      <c r="BE165">
        <v>0.4</v>
      </c>
      <c r="BF165">
        <v>15.8</v>
      </c>
      <c r="BG165" t="s">
        <v>56</v>
      </c>
      <c r="BH165">
        <v>0.3</v>
      </c>
      <c r="BI165">
        <v>1882</v>
      </c>
      <c r="BJ165">
        <v>4</v>
      </c>
      <c r="BK165" t="s">
        <v>156</v>
      </c>
      <c r="BL165" t="s">
        <v>120</v>
      </c>
      <c r="BM165" t="s">
        <v>120</v>
      </c>
      <c r="BN165" t="s">
        <v>81</v>
      </c>
      <c r="BO165" t="s">
        <v>121</v>
      </c>
      <c r="BP165" t="s">
        <v>83</v>
      </c>
      <c r="BR165" t="s">
        <v>122</v>
      </c>
      <c r="BT165">
        <v>45.72</v>
      </c>
      <c r="BU165">
        <v>45.715591000000003</v>
      </c>
      <c r="BV165">
        <v>30.585951000000001</v>
      </c>
      <c r="BW165">
        <f>BV165*SQRT(AK165)</f>
        <v>68.392265592477671</v>
      </c>
      <c r="BX165">
        <v>117.01</v>
      </c>
      <c r="BY165">
        <v>117.0074243</v>
      </c>
      <c r="BZ165">
        <v>57.65</v>
      </c>
      <c r="CA165">
        <f>BZ165*SQRT(AL165)</f>
        <v>128.90931890286288</v>
      </c>
      <c r="CB165">
        <v>60</v>
      </c>
      <c r="CC165">
        <v>5</v>
      </c>
      <c r="CD165">
        <v>0.94</v>
      </c>
      <c r="CE165">
        <v>0.69040000000000001</v>
      </c>
    </row>
    <row r="166" spans="4:83" hidden="1" x14ac:dyDescent="0.2">
      <c r="D166">
        <v>6</v>
      </c>
      <c r="G166" t="s">
        <v>43</v>
      </c>
      <c r="H166" t="s">
        <v>115</v>
      </c>
      <c r="J166">
        <v>2011</v>
      </c>
      <c r="M166" t="s">
        <v>116</v>
      </c>
      <c r="T166" t="s">
        <v>68</v>
      </c>
      <c r="U166" t="s">
        <v>56</v>
      </c>
      <c r="V166" t="s">
        <v>146</v>
      </c>
      <c r="Z166" t="s">
        <v>49</v>
      </c>
      <c r="AA166" t="s">
        <v>49</v>
      </c>
      <c r="AB166" t="s">
        <v>50</v>
      </c>
      <c r="AC166" t="s">
        <v>117</v>
      </c>
      <c r="AD166" t="s">
        <v>52</v>
      </c>
      <c r="AE166" t="s">
        <v>53</v>
      </c>
      <c r="AF166" t="s">
        <v>52</v>
      </c>
      <c r="AG166" t="s">
        <v>54</v>
      </c>
      <c r="AH166" t="s">
        <v>55</v>
      </c>
      <c r="AK166">
        <v>5</v>
      </c>
      <c r="AL166">
        <v>5</v>
      </c>
      <c r="AM166" t="s">
        <v>123</v>
      </c>
      <c r="AN166">
        <v>729</v>
      </c>
      <c r="AO166" t="s">
        <v>56</v>
      </c>
      <c r="AP166">
        <v>160</v>
      </c>
      <c r="AQ166" t="s">
        <v>118</v>
      </c>
      <c r="AR166">
        <v>7.86</v>
      </c>
      <c r="AS166" t="s">
        <v>56</v>
      </c>
      <c r="AT166">
        <v>0.09</v>
      </c>
      <c r="AU166">
        <v>2729</v>
      </c>
      <c r="AV166" t="s">
        <v>56</v>
      </c>
      <c r="AW166">
        <v>499</v>
      </c>
      <c r="AX166">
        <v>7.35</v>
      </c>
      <c r="AY166" t="s">
        <v>56</v>
      </c>
      <c r="AZ166">
        <v>7.0000000000000007E-2</v>
      </c>
      <c r="BB166">
        <f>LOG(AU166)</f>
        <v>3.4360035356698964</v>
      </c>
      <c r="BC166">
        <v>11.8</v>
      </c>
      <c r="BD166" t="s">
        <v>56</v>
      </c>
      <c r="BE166">
        <v>0.4</v>
      </c>
      <c r="BF166">
        <v>11.7</v>
      </c>
      <c r="BG166" t="s">
        <v>56</v>
      </c>
      <c r="BH166">
        <v>0.4</v>
      </c>
      <c r="BI166">
        <v>2000</v>
      </c>
      <c r="BJ166">
        <v>-0.1</v>
      </c>
      <c r="BK166" t="s">
        <v>147</v>
      </c>
      <c r="BL166" t="s">
        <v>120</v>
      </c>
      <c r="BM166" t="s">
        <v>120</v>
      </c>
      <c r="BN166" t="s">
        <v>81</v>
      </c>
      <c r="BO166" t="s">
        <v>121</v>
      </c>
      <c r="BP166" t="s">
        <v>83</v>
      </c>
      <c r="BR166" t="s">
        <v>122</v>
      </c>
      <c r="BT166">
        <v>1.91</v>
      </c>
      <c r="BU166">
        <v>1.91344</v>
      </c>
      <c r="BV166">
        <v>0</v>
      </c>
      <c r="BW166">
        <f>BV166*SQRT(AK166)</f>
        <v>0</v>
      </c>
      <c r="BX166">
        <v>5.0999999999999996</v>
      </c>
      <c r="BY166">
        <v>5.1025057</v>
      </c>
      <c r="BZ166">
        <v>2.5499999999999998</v>
      </c>
      <c r="CA166">
        <f>BZ166*SQRT(AL166)</f>
        <v>5.7019733426244636</v>
      </c>
      <c r="CB166">
        <v>60</v>
      </c>
      <c r="CC166">
        <v>5</v>
      </c>
      <c r="CD166">
        <v>0.98099999999999998</v>
      </c>
      <c r="CE166">
        <v>0.25</v>
      </c>
    </row>
    <row r="167" spans="4:83" hidden="1" x14ac:dyDescent="0.2">
      <c r="D167">
        <v>6</v>
      </c>
      <c r="G167" t="s">
        <v>43</v>
      </c>
      <c r="H167" t="s">
        <v>115</v>
      </c>
      <c r="J167">
        <v>2011</v>
      </c>
      <c r="M167" t="s">
        <v>116</v>
      </c>
      <c r="T167" t="s">
        <v>46</v>
      </c>
      <c r="U167" t="s">
        <v>56</v>
      </c>
      <c r="V167" t="s">
        <v>56</v>
      </c>
      <c r="Z167" t="s">
        <v>49</v>
      </c>
      <c r="AA167" t="s">
        <v>49</v>
      </c>
      <c r="AB167" t="s">
        <v>50</v>
      </c>
      <c r="AC167" t="s">
        <v>117</v>
      </c>
      <c r="AD167" t="s">
        <v>52</v>
      </c>
      <c r="AE167" t="s">
        <v>56</v>
      </c>
      <c r="AF167" t="s">
        <v>52</v>
      </c>
      <c r="AG167" t="s">
        <v>52</v>
      </c>
      <c r="AH167" t="s">
        <v>64</v>
      </c>
      <c r="AK167">
        <v>5</v>
      </c>
      <c r="AL167">
        <v>5</v>
      </c>
      <c r="AM167" t="s">
        <v>123</v>
      </c>
      <c r="AN167">
        <v>729</v>
      </c>
      <c r="AO167" t="s">
        <v>56</v>
      </c>
      <c r="AP167">
        <v>160</v>
      </c>
      <c r="AQ167" t="s">
        <v>118</v>
      </c>
      <c r="AR167">
        <v>7.86</v>
      </c>
      <c r="AS167" t="s">
        <v>56</v>
      </c>
      <c r="AT167">
        <v>0.09</v>
      </c>
      <c r="AU167">
        <v>2612</v>
      </c>
      <c r="AV167" t="s">
        <v>56</v>
      </c>
      <c r="AW167">
        <v>547</v>
      </c>
      <c r="AX167">
        <v>7.37</v>
      </c>
      <c r="AY167" t="s">
        <v>56</v>
      </c>
      <c r="AZ167">
        <v>0.1</v>
      </c>
      <c r="BB167">
        <f>LOG(AU167)</f>
        <v>3.4169731726030363</v>
      </c>
      <c r="BC167">
        <v>11.8</v>
      </c>
      <c r="BD167" t="s">
        <v>56</v>
      </c>
      <c r="BE167">
        <v>0.4</v>
      </c>
      <c r="BF167">
        <v>15.8</v>
      </c>
      <c r="BG167" t="s">
        <v>56</v>
      </c>
      <c r="BH167">
        <v>0.3</v>
      </c>
      <c r="BI167">
        <v>1882</v>
      </c>
      <c r="BJ167">
        <v>4</v>
      </c>
      <c r="BK167" t="s">
        <v>119</v>
      </c>
      <c r="BL167" t="s">
        <v>120</v>
      </c>
      <c r="BM167" t="s">
        <v>120</v>
      </c>
      <c r="BN167" t="s">
        <v>81</v>
      </c>
      <c r="BO167" t="s">
        <v>121</v>
      </c>
      <c r="BP167" t="s">
        <v>83</v>
      </c>
      <c r="BR167" t="s">
        <v>122</v>
      </c>
      <c r="BT167">
        <v>6.78</v>
      </c>
      <c r="BU167">
        <v>6.7764709999999999</v>
      </c>
      <c r="BV167">
        <v>0</v>
      </c>
      <c r="BW167">
        <f>BV167*SQRT(AK167)</f>
        <v>0</v>
      </c>
      <c r="BX167">
        <v>19.059999999999999</v>
      </c>
      <c r="BY167">
        <v>19.058823499999999</v>
      </c>
      <c r="BZ167">
        <v>7.62</v>
      </c>
      <c r="CA167">
        <f>BZ167*SQRT(AL167)</f>
        <v>17.038837988548398</v>
      </c>
      <c r="CB167">
        <v>60</v>
      </c>
      <c r="CC167">
        <v>5</v>
      </c>
      <c r="CD167">
        <v>1.034</v>
      </c>
      <c r="CE167">
        <v>0.16</v>
      </c>
    </row>
    <row r="168" spans="4:83" hidden="1" x14ac:dyDescent="0.2">
      <c r="D168">
        <v>6</v>
      </c>
      <c r="G168" t="s">
        <v>43</v>
      </c>
      <c r="H168" t="s">
        <v>115</v>
      </c>
      <c r="J168">
        <v>2011</v>
      </c>
      <c r="M168" t="s">
        <v>116</v>
      </c>
      <c r="T168" t="s">
        <v>68</v>
      </c>
      <c r="U168" t="s">
        <v>56</v>
      </c>
      <c r="V168" t="s">
        <v>146</v>
      </c>
      <c r="Z168" t="s">
        <v>49</v>
      </c>
      <c r="AA168" t="s">
        <v>49</v>
      </c>
      <c r="AB168" t="s">
        <v>50</v>
      </c>
      <c r="AC168" t="s">
        <v>117</v>
      </c>
      <c r="AD168" t="s">
        <v>52</v>
      </c>
      <c r="AE168" t="s">
        <v>53</v>
      </c>
      <c r="AF168" t="s">
        <v>52</v>
      </c>
      <c r="AG168" t="s">
        <v>52</v>
      </c>
      <c r="AH168" t="s">
        <v>64</v>
      </c>
      <c r="AK168">
        <v>5</v>
      </c>
      <c r="AL168">
        <v>5</v>
      </c>
      <c r="AM168" t="s">
        <v>123</v>
      </c>
      <c r="AN168">
        <v>729</v>
      </c>
      <c r="AO168" t="s">
        <v>56</v>
      </c>
      <c r="AP168">
        <v>160</v>
      </c>
      <c r="AQ168" t="s">
        <v>118</v>
      </c>
      <c r="AR168">
        <v>7.86</v>
      </c>
      <c r="AS168" t="s">
        <v>56</v>
      </c>
      <c r="AT168">
        <v>0.09</v>
      </c>
      <c r="AU168">
        <v>2612</v>
      </c>
      <c r="AV168" t="s">
        <v>56</v>
      </c>
      <c r="AW168">
        <v>547</v>
      </c>
      <c r="AX168">
        <v>7.37</v>
      </c>
      <c r="AY168" t="s">
        <v>56</v>
      </c>
      <c r="AZ168">
        <v>0.1</v>
      </c>
      <c r="BB168">
        <f>LOG(AU168)</f>
        <v>3.4169731726030363</v>
      </c>
      <c r="BC168">
        <v>11.8</v>
      </c>
      <c r="BD168" t="s">
        <v>56</v>
      </c>
      <c r="BE168">
        <v>0.4</v>
      </c>
      <c r="BF168">
        <v>15.8</v>
      </c>
      <c r="BG168" t="s">
        <v>56</v>
      </c>
      <c r="BH168">
        <v>0.3</v>
      </c>
      <c r="BI168">
        <v>1882</v>
      </c>
      <c r="BJ168">
        <v>4</v>
      </c>
      <c r="BK168" t="s">
        <v>147</v>
      </c>
      <c r="BL168" t="s">
        <v>120</v>
      </c>
      <c r="BM168" t="s">
        <v>120</v>
      </c>
      <c r="BN168" t="s">
        <v>81</v>
      </c>
      <c r="BO168" t="s">
        <v>121</v>
      </c>
      <c r="BP168" t="s">
        <v>83</v>
      </c>
      <c r="BR168" t="s">
        <v>122</v>
      </c>
      <c r="BT168">
        <v>1.91</v>
      </c>
      <c r="BU168">
        <v>1.91344</v>
      </c>
      <c r="BV168">
        <v>0</v>
      </c>
      <c r="BW168">
        <f>BV168*SQRT(AK168)</f>
        <v>0</v>
      </c>
      <c r="BX168">
        <v>5.92</v>
      </c>
      <c r="BY168">
        <v>5.9225513000000003</v>
      </c>
      <c r="BZ168">
        <v>3.1</v>
      </c>
      <c r="CA168">
        <f>BZ168*SQRT(AL168)</f>
        <v>6.9318107302493486</v>
      </c>
      <c r="CB168">
        <v>60</v>
      </c>
      <c r="CC168">
        <v>5</v>
      </c>
      <c r="CD168">
        <v>1.1299999999999999</v>
      </c>
      <c r="CE168">
        <v>0.27360000000000001</v>
      </c>
    </row>
    <row r="169" spans="4:83" hidden="1" x14ac:dyDescent="0.2">
      <c r="D169">
        <v>6</v>
      </c>
      <c r="G169" t="s">
        <v>43</v>
      </c>
      <c r="H169" t="s">
        <v>115</v>
      </c>
      <c r="J169">
        <v>2011</v>
      </c>
      <c r="M169" t="s">
        <v>116</v>
      </c>
      <c r="T169" t="s">
        <v>155</v>
      </c>
      <c r="U169" t="s">
        <v>56</v>
      </c>
      <c r="V169" t="s">
        <v>56</v>
      </c>
      <c r="Z169" t="s">
        <v>49</v>
      </c>
      <c r="AA169" t="s">
        <v>49</v>
      </c>
      <c r="AB169" t="s">
        <v>50</v>
      </c>
      <c r="AC169" t="s">
        <v>117</v>
      </c>
      <c r="AD169" t="s">
        <v>52</v>
      </c>
      <c r="AE169" t="s">
        <v>53</v>
      </c>
      <c r="AF169" t="s">
        <v>52</v>
      </c>
      <c r="AG169" t="s">
        <v>54</v>
      </c>
      <c r="AH169" t="s">
        <v>55</v>
      </c>
      <c r="AK169">
        <v>5</v>
      </c>
      <c r="AL169">
        <v>5</v>
      </c>
      <c r="AM169" t="s">
        <v>123</v>
      </c>
      <c r="AN169">
        <v>729</v>
      </c>
      <c r="AO169" t="s">
        <v>56</v>
      </c>
      <c r="AP169">
        <v>160</v>
      </c>
      <c r="AQ169" t="s">
        <v>118</v>
      </c>
      <c r="AR169">
        <v>7.86</v>
      </c>
      <c r="AS169" t="s">
        <v>56</v>
      </c>
      <c r="AT169">
        <v>0.09</v>
      </c>
      <c r="AU169">
        <v>2729</v>
      </c>
      <c r="AV169" t="s">
        <v>56</v>
      </c>
      <c r="AW169">
        <v>499</v>
      </c>
      <c r="AX169">
        <v>7.35</v>
      </c>
      <c r="AY169" t="s">
        <v>56</v>
      </c>
      <c r="AZ169">
        <v>7.0000000000000007E-2</v>
      </c>
      <c r="BB169">
        <f>LOG(AU169)</f>
        <v>3.4360035356698964</v>
      </c>
      <c r="BC169">
        <v>11.8</v>
      </c>
      <c r="BD169" t="s">
        <v>56</v>
      </c>
      <c r="BE169">
        <v>0.4</v>
      </c>
      <c r="BF169">
        <v>11.7</v>
      </c>
      <c r="BG169" t="s">
        <v>56</v>
      </c>
      <c r="BH169">
        <v>0.4</v>
      </c>
      <c r="BI169">
        <v>2000</v>
      </c>
      <c r="BJ169">
        <v>-0.1</v>
      </c>
      <c r="BK169" t="s">
        <v>156</v>
      </c>
      <c r="BL169" t="s">
        <v>120</v>
      </c>
      <c r="BM169" t="s">
        <v>120</v>
      </c>
      <c r="BN169" t="s">
        <v>81</v>
      </c>
      <c r="BO169" t="s">
        <v>121</v>
      </c>
      <c r="BP169" t="s">
        <v>83</v>
      </c>
      <c r="BR169" t="s">
        <v>122</v>
      </c>
      <c r="BT169">
        <v>45.72</v>
      </c>
      <c r="BU169">
        <v>45.715591000000003</v>
      </c>
      <c r="BV169">
        <v>30.585951000000001</v>
      </c>
      <c r="BW169">
        <f>BV169*SQRT(AK169)</f>
        <v>68.392265592477671</v>
      </c>
      <c r="BX169">
        <v>145.24</v>
      </c>
      <c r="BY169">
        <v>145.2427184</v>
      </c>
      <c r="BZ169">
        <v>121.18</v>
      </c>
      <c r="CA169">
        <f>BZ169*SQRT(AL169)</f>
        <v>270.96671751342456</v>
      </c>
      <c r="CB169">
        <v>60</v>
      </c>
      <c r="CC169">
        <v>5</v>
      </c>
      <c r="CD169">
        <v>1.1559999999999999</v>
      </c>
      <c r="CE169">
        <v>1.1436999999999999</v>
      </c>
    </row>
    <row r="170" spans="4:83" hidden="1" x14ac:dyDescent="0.2">
      <c r="D170">
        <v>6</v>
      </c>
      <c r="G170" t="s">
        <v>43</v>
      </c>
      <c r="H170" t="s">
        <v>115</v>
      </c>
      <c r="J170">
        <v>2011</v>
      </c>
      <c r="M170" t="s">
        <v>116</v>
      </c>
      <c r="T170" t="s">
        <v>68</v>
      </c>
      <c r="U170" t="s">
        <v>56</v>
      </c>
      <c r="V170" t="s">
        <v>56</v>
      </c>
      <c r="Z170" t="s">
        <v>49</v>
      </c>
      <c r="AA170" t="s">
        <v>49</v>
      </c>
      <c r="AB170" t="s">
        <v>50</v>
      </c>
      <c r="AC170" t="s">
        <v>117</v>
      </c>
      <c r="AD170" t="s">
        <v>52</v>
      </c>
      <c r="AE170" t="s">
        <v>53</v>
      </c>
      <c r="AF170" t="s">
        <v>54</v>
      </c>
      <c r="AG170" t="s">
        <v>52</v>
      </c>
      <c r="AH170" t="s">
        <v>65</v>
      </c>
      <c r="AK170">
        <v>5</v>
      </c>
      <c r="AL170">
        <v>5</v>
      </c>
      <c r="AM170" t="s">
        <v>123</v>
      </c>
      <c r="AN170">
        <v>729</v>
      </c>
      <c r="AO170" t="s">
        <v>56</v>
      </c>
      <c r="AP170">
        <v>160</v>
      </c>
      <c r="AQ170" t="s">
        <v>118</v>
      </c>
      <c r="AR170">
        <v>7.86</v>
      </c>
      <c r="AS170" t="s">
        <v>56</v>
      </c>
      <c r="AT170">
        <v>0.09</v>
      </c>
      <c r="AU170">
        <v>822</v>
      </c>
      <c r="AV170" t="s">
        <v>56</v>
      </c>
      <c r="AW170">
        <v>743</v>
      </c>
      <c r="AX170">
        <v>7.85</v>
      </c>
      <c r="AY170" t="s">
        <v>56</v>
      </c>
      <c r="AZ170">
        <v>0.13</v>
      </c>
      <c r="BB170">
        <f>LOG(AU170)</f>
        <v>2.9148718175400505</v>
      </c>
      <c r="BC170">
        <v>11.8</v>
      </c>
      <c r="BD170" t="s">
        <v>56</v>
      </c>
      <c r="BE170">
        <v>0.4</v>
      </c>
      <c r="BF170">
        <v>16</v>
      </c>
      <c r="BG170" t="s">
        <v>56</v>
      </c>
      <c r="BH170">
        <v>0.4</v>
      </c>
      <c r="BI170">
        <v>93</v>
      </c>
      <c r="BJ170">
        <v>4.3</v>
      </c>
      <c r="BK170" t="s">
        <v>130</v>
      </c>
      <c r="BL170" t="s">
        <v>120</v>
      </c>
      <c r="BM170" t="s">
        <v>120</v>
      </c>
      <c r="BN170" t="s">
        <v>81</v>
      </c>
      <c r="BO170" t="s">
        <v>121</v>
      </c>
      <c r="BP170" t="s">
        <v>83</v>
      </c>
      <c r="BR170" t="s">
        <v>122</v>
      </c>
      <c r="BT170">
        <v>35.020000000000003</v>
      </c>
      <c r="BU170">
        <v>35.022025999999997</v>
      </c>
      <c r="BV170">
        <v>7.9295150000000003</v>
      </c>
      <c r="BW170">
        <f>BV170*SQRT(AK170)</f>
        <v>17.730934568604248</v>
      </c>
      <c r="BX170">
        <v>122.91</v>
      </c>
      <c r="BY170">
        <v>122.907489</v>
      </c>
      <c r="BZ170">
        <v>87.89</v>
      </c>
      <c r="CA170">
        <f>BZ170*SQRT(AL170)</f>
        <v>196.52801454245653</v>
      </c>
      <c r="CB170">
        <v>60</v>
      </c>
      <c r="CC170">
        <v>5</v>
      </c>
      <c r="CD170">
        <v>1.2549999999999999</v>
      </c>
      <c r="CE170">
        <v>0.56259999999999999</v>
      </c>
    </row>
    <row r="171" spans="4:83" hidden="1" x14ac:dyDescent="0.2">
      <c r="D171">
        <v>6</v>
      </c>
      <c r="G171" t="s">
        <v>43</v>
      </c>
      <c r="H171" t="s">
        <v>115</v>
      </c>
      <c r="J171">
        <v>2011</v>
      </c>
      <c r="M171" t="s">
        <v>116</v>
      </c>
      <c r="T171" t="s">
        <v>46</v>
      </c>
      <c r="U171" t="s">
        <v>56</v>
      </c>
      <c r="V171" t="s">
        <v>56</v>
      </c>
      <c r="Z171" t="s">
        <v>49</v>
      </c>
      <c r="AA171" t="s">
        <v>49</v>
      </c>
      <c r="AB171" t="s">
        <v>50</v>
      </c>
      <c r="AC171" t="s">
        <v>117</v>
      </c>
      <c r="AD171" t="s">
        <v>52</v>
      </c>
      <c r="AE171" t="s">
        <v>56</v>
      </c>
      <c r="AF171" t="s">
        <v>52</v>
      </c>
      <c r="AG171" t="s">
        <v>52</v>
      </c>
      <c r="AH171" t="s">
        <v>64</v>
      </c>
      <c r="AK171">
        <v>5</v>
      </c>
      <c r="AL171">
        <v>5</v>
      </c>
      <c r="AM171" t="s">
        <v>123</v>
      </c>
      <c r="AN171">
        <v>729</v>
      </c>
      <c r="AO171" t="s">
        <v>56</v>
      </c>
      <c r="AP171">
        <v>160</v>
      </c>
      <c r="AQ171" t="s">
        <v>118</v>
      </c>
      <c r="AR171">
        <v>7.86</v>
      </c>
      <c r="AS171" t="s">
        <v>56</v>
      </c>
      <c r="AT171">
        <v>0.09</v>
      </c>
      <c r="AU171">
        <v>1423</v>
      </c>
      <c r="AV171" t="s">
        <v>56</v>
      </c>
      <c r="AW171">
        <v>389</v>
      </c>
      <c r="AX171">
        <v>7.61</v>
      </c>
      <c r="AY171" t="s">
        <v>56</v>
      </c>
      <c r="AZ171">
        <v>0.15</v>
      </c>
      <c r="BB171">
        <f>LOG(AU171)</f>
        <v>3.1532049000842841</v>
      </c>
      <c r="BC171">
        <v>11.8</v>
      </c>
      <c r="BD171" t="s">
        <v>56</v>
      </c>
      <c r="BE171">
        <v>0.4</v>
      </c>
      <c r="BF171">
        <v>16</v>
      </c>
      <c r="BG171" t="s">
        <v>56</v>
      </c>
      <c r="BH171">
        <v>0.6</v>
      </c>
      <c r="BI171">
        <v>694</v>
      </c>
      <c r="BJ171">
        <v>4.2</v>
      </c>
      <c r="BK171" t="s">
        <v>119</v>
      </c>
      <c r="BL171" t="s">
        <v>120</v>
      </c>
      <c r="BM171" t="s">
        <v>120</v>
      </c>
      <c r="BN171" t="s">
        <v>81</v>
      </c>
      <c r="BO171" t="s">
        <v>121</v>
      </c>
      <c r="BP171" t="s">
        <v>83</v>
      </c>
      <c r="BR171" t="s">
        <v>122</v>
      </c>
      <c r="BT171">
        <v>6.78</v>
      </c>
      <c r="BU171">
        <v>6.7764709999999999</v>
      </c>
      <c r="BV171">
        <v>0</v>
      </c>
      <c r="BW171">
        <f>BV171*SQRT(AK171)</f>
        <v>0</v>
      </c>
      <c r="BX171">
        <v>24.56</v>
      </c>
      <c r="BY171">
        <v>24.5647059</v>
      </c>
      <c r="BZ171">
        <v>23.29</v>
      </c>
      <c r="CA171">
        <f>BZ171*SQRT(AL171)</f>
        <v>52.078023195970104</v>
      </c>
      <c r="CB171">
        <v>60</v>
      </c>
      <c r="CC171">
        <v>5</v>
      </c>
      <c r="CD171">
        <v>1.288</v>
      </c>
      <c r="CE171">
        <v>0.8992</v>
      </c>
    </row>
    <row r="172" spans="4:83" hidden="1" x14ac:dyDescent="0.2">
      <c r="D172">
        <v>6</v>
      </c>
      <c r="G172" t="s">
        <v>43</v>
      </c>
      <c r="H172" t="s">
        <v>115</v>
      </c>
      <c r="J172">
        <v>2011</v>
      </c>
      <c r="M172" t="s">
        <v>116</v>
      </c>
      <c r="T172" t="s">
        <v>131</v>
      </c>
      <c r="U172" t="s">
        <v>143</v>
      </c>
      <c r="V172" t="s">
        <v>144</v>
      </c>
      <c r="Z172" t="s">
        <v>49</v>
      </c>
      <c r="AA172" t="s">
        <v>49</v>
      </c>
      <c r="AB172" t="s">
        <v>50</v>
      </c>
      <c r="AC172" t="s">
        <v>117</v>
      </c>
      <c r="AD172" t="s">
        <v>52</v>
      </c>
      <c r="AE172" t="s">
        <v>134</v>
      </c>
      <c r="AF172" t="s">
        <v>52</v>
      </c>
      <c r="AG172" t="s">
        <v>54</v>
      </c>
      <c r="AH172" t="s">
        <v>55</v>
      </c>
      <c r="AK172">
        <v>5</v>
      </c>
      <c r="AL172">
        <v>5</v>
      </c>
      <c r="AM172" t="s">
        <v>123</v>
      </c>
      <c r="AN172">
        <v>729</v>
      </c>
      <c r="AO172" t="s">
        <v>56</v>
      </c>
      <c r="AP172">
        <v>160</v>
      </c>
      <c r="AQ172" t="s">
        <v>118</v>
      </c>
      <c r="AR172">
        <v>7.86</v>
      </c>
      <c r="AS172" t="s">
        <v>56</v>
      </c>
      <c r="AT172">
        <v>0.09</v>
      </c>
      <c r="AU172">
        <v>2729</v>
      </c>
      <c r="AV172" t="s">
        <v>56</v>
      </c>
      <c r="AW172">
        <v>499</v>
      </c>
      <c r="AX172">
        <v>7.35</v>
      </c>
      <c r="AY172" t="s">
        <v>56</v>
      </c>
      <c r="AZ172">
        <v>7.0000000000000007E-2</v>
      </c>
      <c r="BB172">
        <f>LOG(AU172)</f>
        <v>3.4360035356698964</v>
      </c>
      <c r="BC172">
        <v>11.8</v>
      </c>
      <c r="BD172" t="s">
        <v>56</v>
      </c>
      <c r="BE172">
        <v>0.4</v>
      </c>
      <c r="BF172">
        <v>11.7</v>
      </c>
      <c r="BG172" t="s">
        <v>56</v>
      </c>
      <c r="BH172">
        <v>0.4</v>
      </c>
      <c r="BI172">
        <v>2000</v>
      </c>
      <c r="BJ172">
        <v>-0.1</v>
      </c>
      <c r="BK172" t="s">
        <v>145</v>
      </c>
      <c r="BL172" t="s">
        <v>120</v>
      </c>
      <c r="BM172" t="s">
        <v>120</v>
      </c>
      <c r="BN172" t="s">
        <v>81</v>
      </c>
      <c r="BO172" t="s">
        <v>121</v>
      </c>
      <c r="BP172" t="s">
        <v>83</v>
      </c>
      <c r="BR172" t="s">
        <v>122</v>
      </c>
      <c r="BT172">
        <v>21.78</v>
      </c>
      <c r="BU172">
        <v>21.784231999999999</v>
      </c>
      <c r="BV172">
        <v>5.0829880000000003</v>
      </c>
      <c r="BW172">
        <f>BV172*SQRT(AK172)</f>
        <v>11.365906696815703</v>
      </c>
      <c r="BX172">
        <v>82.05</v>
      </c>
      <c r="BY172">
        <v>82.053941899999998</v>
      </c>
      <c r="BZ172">
        <v>89.32</v>
      </c>
      <c r="CA172">
        <f>BZ172*SQRT(AL172)</f>
        <v>199.72559175028121</v>
      </c>
      <c r="CB172">
        <v>60</v>
      </c>
      <c r="CC172">
        <v>5</v>
      </c>
      <c r="CD172">
        <v>1.3260000000000001</v>
      </c>
      <c r="CE172">
        <v>1.2393000000000001</v>
      </c>
    </row>
    <row r="173" spans="4:83" hidden="1" x14ac:dyDescent="0.2">
      <c r="D173">
        <v>6</v>
      </c>
      <c r="G173" t="s">
        <v>43</v>
      </c>
      <c r="H173" t="s">
        <v>115</v>
      </c>
      <c r="J173">
        <v>2011</v>
      </c>
      <c r="M173" t="s">
        <v>116</v>
      </c>
      <c r="T173" t="s">
        <v>155</v>
      </c>
      <c r="U173" t="s">
        <v>56</v>
      </c>
      <c r="V173" t="s">
        <v>56</v>
      </c>
      <c r="Z173" t="s">
        <v>49</v>
      </c>
      <c r="AA173" t="s">
        <v>49</v>
      </c>
      <c r="AB173" t="s">
        <v>50</v>
      </c>
      <c r="AC173" t="s">
        <v>117</v>
      </c>
      <c r="AD173" t="s">
        <v>52</v>
      </c>
      <c r="AE173" t="s">
        <v>53</v>
      </c>
      <c r="AF173" t="s">
        <v>52</v>
      </c>
      <c r="AG173" t="s">
        <v>52</v>
      </c>
      <c r="AH173" t="s">
        <v>64</v>
      </c>
      <c r="AK173">
        <v>5</v>
      </c>
      <c r="AL173">
        <v>5</v>
      </c>
      <c r="AM173" t="s">
        <v>123</v>
      </c>
      <c r="AN173">
        <v>729</v>
      </c>
      <c r="AO173" t="s">
        <v>56</v>
      </c>
      <c r="AP173">
        <v>160</v>
      </c>
      <c r="AQ173" t="s">
        <v>118</v>
      </c>
      <c r="AR173">
        <v>7.86</v>
      </c>
      <c r="AS173" t="s">
        <v>56</v>
      </c>
      <c r="AT173">
        <v>0.09</v>
      </c>
      <c r="AU173">
        <v>3010</v>
      </c>
      <c r="AV173" t="s">
        <v>56</v>
      </c>
      <c r="AW173">
        <v>4141</v>
      </c>
      <c r="AX173">
        <v>6.66</v>
      </c>
      <c r="AY173" t="s">
        <v>56</v>
      </c>
      <c r="AZ173">
        <v>0.19</v>
      </c>
      <c r="BB173">
        <f>LOG(AU173)</f>
        <v>3.4785664955938436</v>
      </c>
      <c r="BC173">
        <v>11.8</v>
      </c>
      <c r="BD173" t="s">
        <v>56</v>
      </c>
      <c r="BE173">
        <v>0.4</v>
      </c>
      <c r="BF173">
        <v>15.5</v>
      </c>
      <c r="BG173" t="s">
        <v>56</v>
      </c>
      <c r="BH173">
        <v>1.5</v>
      </c>
      <c r="BI173">
        <v>2281</v>
      </c>
      <c r="BJ173">
        <v>3.7</v>
      </c>
      <c r="BK173" t="s">
        <v>156</v>
      </c>
      <c r="BL173" t="s">
        <v>120</v>
      </c>
      <c r="BM173" t="s">
        <v>120</v>
      </c>
      <c r="BN173" t="s">
        <v>81</v>
      </c>
      <c r="BO173" t="s">
        <v>121</v>
      </c>
      <c r="BP173" t="s">
        <v>83</v>
      </c>
      <c r="BR173" t="s">
        <v>122</v>
      </c>
      <c r="BT173">
        <v>45.72</v>
      </c>
      <c r="BU173">
        <v>45.715591000000003</v>
      </c>
      <c r="BV173">
        <v>30.585951000000001</v>
      </c>
      <c r="BW173">
        <f>BV173*SQRT(AK173)</f>
        <v>68.392265592477671</v>
      </c>
      <c r="BX173">
        <v>176.6</v>
      </c>
      <c r="BY173">
        <v>176.603084</v>
      </c>
      <c r="BZ173">
        <v>84.71</v>
      </c>
      <c r="CA173">
        <f>BZ173*SQRT(AL173)</f>
        <v>189.41731837400718</v>
      </c>
      <c r="CB173">
        <v>60</v>
      </c>
      <c r="CC173">
        <v>5</v>
      </c>
      <c r="CD173">
        <v>1.351</v>
      </c>
      <c r="CE173">
        <v>0.67769999999999997</v>
      </c>
    </row>
    <row r="174" spans="4:83" hidden="1" x14ac:dyDescent="0.2">
      <c r="D174">
        <v>6</v>
      </c>
      <c r="G174" t="s">
        <v>43</v>
      </c>
      <c r="H174" t="s">
        <v>115</v>
      </c>
      <c r="J174">
        <v>2011</v>
      </c>
      <c r="M174" t="s">
        <v>116</v>
      </c>
      <c r="T174" t="s">
        <v>68</v>
      </c>
      <c r="U174" t="s">
        <v>56</v>
      </c>
      <c r="V174" t="s">
        <v>146</v>
      </c>
      <c r="Z174" t="s">
        <v>49</v>
      </c>
      <c r="AA174" t="s">
        <v>49</v>
      </c>
      <c r="AB174" t="s">
        <v>50</v>
      </c>
      <c r="AC174" t="s">
        <v>117</v>
      </c>
      <c r="AD174" t="s">
        <v>52</v>
      </c>
      <c r="AE174" t="s">
        <v>53</v>
      </c>
      <c r="AF174" t="s">
        <v>54</v>
      </c>
      <c r="AG174" t="s">
        <v>52</v>
      </c>
      <c r="AH174" t="s">
        <v>65</v>
      </c>
      <c r="AK174">
        <v>5</v>
      </c>
      <c r="AL174">
        <v>5</v>
      </c>
      <c r="AM174" t="s">
        <v>123</v>
      </c>
      <c r="AN174">
        <v>729</v>
      </c>
      <c r="AO174" t="s">
        <v>56</v>
      </c>
      <c r="AP174">
        <v>160</v>
      </c>
      <c r="AQ174" t="s">
        <v>118</v>
      </c>
      <c r="AR174">
        <v>7.86</v>
      </c>
      <c r="AS174" t="s">
        <v>56</v>
      </c>
      <c r="AT174">
        <v>0.09</v>
      </c>
      <c r="AU174">
        <v>822</v>
      </c>
      <c r="AV174" t="s">
        <v>56</v>
      </c>
      <c r="AW174">
        <v>743</v>
      </c>
      <c r="AX174">
        <v>7.85</v>
      </c>
      <c r="AY174" t="s">
        <v>56</v>
      </c>
      <c r="AZ174">
        <v>0.13</v>
      </c>
      <c r="BB174">
        <f>LOG(AU174)</f>
        <v>2.9148718175400505</v>
      </c>
      <c r="BC174">
        <v>11.8</v>
      </c>
      <c r="BD174" t="s">
        <v>56</v>
      </c>
      <c r="BE174">
        <v>0.4</v>
      </c>
      <c r="BF174">
        <v>16</v>
      </c>
      <c r="BG174" t="s">
        <v>56</v>
      </c>
      <c r="BH174">
        <v>0.4</v>
      </c>
      <c r="BI174">
        <v>93</v>
      </c>
      <c r="BJ174">
        <v>4.3</v>
      </c>
      <c r="BK174" t="s">
        <v>147</v>
      </c>
      <c r="BL174" t="s">
        <v>120</v>
      </c>
      <c r="BM174" t="s">
        <v>120</v>
      </c>
      <c r="BN174" t="s">
        <v>81</v>
      </c>
      <c r="BO174" t="s">
        <v>121</v>
      </c>
      <c r="BP174" t="s">
        <v>83</v>
      </c>
      <c r="BR174" t="s">
        <v>122</v>
      </c>
      <c r="BT174">
        <v>1.91</v>
      </c>
      <c r="BU174">
        <v>1.91344</v>
      </c>
      <c r="BV174">
        <v>0</v>
      </c>
      <c r="BW174">
        <f>BV174*SQRT(AK174)</f>
        <v>0</v>
      </c>
      <c r="BX174">
        <v>8.3800000000000008</v>
      </c>
      <c r="BY174">
        <v>8.3826879000000005</v>
      </c>
      <c r="BZ174">
        <v>5.0999999999999996</v>
      </c>
      <c r="CA174">
        <f>BZ174*SQRT(AL174)</f>
        <v>11.403946685248927</v>
      </c>
      <c r="CB174">
        <v>60</v>
      </c>
      <c r="CC174">
        <v>5</v>
      </c>
      <c r="CD174">
        <v>1.4770000000000001</v>
      </c>
      <c r="CE174">
        <v>0.3705</v>
      </c>
    </row>
    <row r="175" spans="4:83" hidden="1" x14ac:dyDescent="0.2">
      <c r="D175">
        <v>6</v>
      </c>
      <c r="G175" t="s">
        <v>43</v>
      </c>
      <c r="H175" t="s">
        <v>115</v>
      </c>
      <c r="J175">
        <v>2011</v>
      </c>
      <c r="M175" t="s">
        <v>116</v>
      </c>
      <c r="T175" t="s">
        <v>155</v>
      </c>
      <c r="U175" t="s">
        <v>56</v>
      </c>
      <c r="V175" t="s">
        <v>56</v>
      </c>
      <c r="Z175" t="s">
        <v>49</v>
      </c>
      <c r="AA175" t="s">
        <v>49</v>
      </c>
      <c r="AB175" t="s">
        <v>50</v>
      </c>
      <c r="AC175" t="s">
        <v>117</v>
      </c>
      <c r="AD175" t="s">
        <v>52</v>
      </c>
      <c r="AE175" t="s">
        <v>53</v>
      </c>
      <c r="AF175" t="s">
        <v>52</v>
      </c>
      <c r="AG175" t="s">
        <v>54</v>
      </c>
      <c r="AH175" t="s">
        <v>55</v>
      </c>
      <c r="AK175">
        <v>5</v>
      </c>
      <c r="AL175">
        <v>5</v>
      </c>
      <c r="AM175" t="s">
        <v>123</v>
      </c>
      <c r="AN175">
        <v>729</v>
      </c>
      <c r="AO175" t="s">
        <v>56</v>
      </c>
      <c r="AP175">
        <v>160</v>
      </c>
      <c r="AQ175" t="s">
        <v>118</v>
      </c>
      <c r="AR175">
        <v>7.86</v>
      </c>
      <c r="AS175" t="s">
        <v>56</v>
      </c>
      <c r="AT175">
        <v>0.09</v>
      </c>
      <c r="AU175">
        <v>2269</v>
      </c>
      <c r="AV175" t="s">
        <v>56</v>
      </c>
      <c r="AW175">
        <v>3127</v>
      </c>
      <c r="AX175">
        <v>6.81</v>
      </c>
      <c r="AY175" t="s">
        <v>56</v>
      </c>
      <c r="AZ175">
        <v>0.23</v>
      </c>
      <c r="BB175">
        <f>LOG(AU175)</f>
        <v>3.355834495884936</v>
      </c>
      <c r="BC175">
        <v>11.8</v>
      </c>
      <c r="BD175" t="s">
        <v>56</v>
      </c>
      <c r="BE175">
        <v>0.4</v>
      </c>
      <c r="BF175">
        <v>11.5</v>
      </c>
      <c r="BG175" t="s">
        <v>56</v>
      </c>
      <c r="BH175">
        <v>0.4</v>
      </c>
      <c r="BI175">
        <v>1540</v>
      </c>
      <c r="BJ175">
        <v>-0.3</v>
      </c>
      <c r="BK175" t="s">
        <v>156</v>
      </c>
      <c r="BL175" t="s">
        <v>120</v>
      </c>
      <c r="BM175" t="s">
        <v>120</v>
      </c>
      <c r="BN175" t="s">
        <v>81</v>
      </c>
      <c r="BO175" t="s">
        <v>121</v>
      </c>
      <c r="BP175" t="s">
        <v>83</v>
      </c>
      <c r="BR175" t="s">
        <v>122</v>
      </c>
      <c r="BT175">
        <v>45.72</v>
      </c>
      <c r="BU175">
        <v>45.715591000000003</v>
      </c>
      <c r="BV175">
        <v>30.585951000000001</v>
      </c>
      <c r="BW175">
        <f>BV175*SQRT(AK175)</f>
        <v>68.392265592477671</v>
      </c>
      <c r="BX175">
        <v>209.55</v>
      </c>
      <c r="BY175">
        <v>209.54654479999999</v>
      </c>
      <c r="BZ175">
        <v>184.71</v>
      </c>
      <c r="CA175">
        <f>BZ175*SQRT(AL175)</f>
        <v>413.02411612398618</v>
      </c>
      <c r="CB175">
        <v>60</v>
      </c>
      <c r="CC175">
        <v>5</v>
      </c>
      <c r="CD175">
        <v>1.5229999999999999</v>
      </c>
      <c r="CE175">
        <v>1.2245999999999999</v>
      </c>
    </row>
    <row r="176" spans="4:83" hidden="1" x14ac:dyDescent="0.2">
      <c r="D176">
        <v>6</v>
      </c>
      <c r="G176" t="s">
        <v>43</v>
      </c>
      <c r="H176" t="s">
        <v>115</v>
      </c>
      <c r="J176">
        <v>2011</v>
      </c>
      <c r="M176" t="s">
        <v>116</v>
      </c>
      <c r="T176" t="s">
        <v>155</v>
      </c>
      <c r="U176" t="s">
        <v>56</v>
      </c>
      <c r="V176" t="s">
        <v>56</v>
      </c>
      <c r="Z176" t="s">
        <v>49</v>
      </c>
      <c r="AA176" t="s">
        <v>49</v>
      </c>
      <c r="AB176" t="s">
        <v>50</v>
      </c>
      <c r="AC176" t="s">
        <v>117</v>
      </c>
      <c r="AD176" t="s">
        <v>52</v>
      </c>
      <c r="AE176" t="s">
        <v>53</v>
      </c>
      <c r="AF176" t="s">
        <v>52</v>
      </c>
      <c r="AG176" t="s">
        <v>52</v>
      </c>
      <c r="AH176" t="s">
        <v>64</v>
      </c>
      <c r="AK176">
        <v>5</v>
      </c>
      <c r="AL176">
        <v>5</v>
      </c>
      <c r="AM176" t="s">
        <v>123</v>
      </c>
      <c r="AN176">
        <v>729</v>
      </c>
      <c r="AO176" t="s">
        <v>56</v>
      </c>
      <c r="AP176">
        <v>160</v>
      </c>
      <c r="AQ176" t="s">
        <v>118</v>
      </c>
      <c r="AR176">
        <v>7.86</v>
      </c>
      <c r="AS176" t="s">
        <v>56</v>
      </c>
      <c r="AT176">
        <v>0.09</v>
      </c>
      <c r="AU176">
        <v>1423</v>
      </c>
      <c r="AV176" t="s">
        <v>56</v>
      </c>
      <c r="AW176">
        <v>389</v>
      </c>
      <c r="AX176">
        <v>7.61</v>
      </c>
      <c r="AY176" t="s">
        <v>56</v>
      </c>
      <c r="AZ176">
        <v>0.15</v>
      </c>
      <c r="BB176">
        <f>LOG(AU176)</f>
        <v>3.1532049000842841</v>
      </c>
      <c r="BC176">
        <v>11.8</v>
      </c>
      <c r="BD176" t="s">
        <v>56</v>
      </c>
      <c r="BE176">
        <v>0.4</v>
      </c>
      <c r="BF176">
        <v>16</v>
      </c>
      <c r="BG176" t="s">
        <v>56</v>
      </c>
      <c r="BH176">
        <v>0.6</v>
      </c>
      <c r="BI176">
        <v>694</v>
      </c>
      <c r="BJ176">
        <v>4.2</v>
      </c>
      <c r="BK176" t="s">
        <v>163</v>
      </c>
      <c r="BL176" t="s">
        <v>120</v>
      </c>
      <c r="BM176" t="s">
        <v>120</v>
      </c>
      <c r="BN176" t="s">
        <v>81</v>
      </c>
      <c r="BO176" t="s">
        <v>121</v>
      </c>
      <c r="BP176" t="s">
        <v>83</v>
      </c>
      <c r="BR176" t="s">
        <v>122</v>
      </c>
      <c r="BT176">
        <v>19.739999999999998</v>
      </c>
      <c r="BU176">
        <v>19.739999999999998</v>
      </c>
      <c r="BV176">
        <v>0</v>
      </c>
      <c r="BW176">
        <f>BV176*SQRT(AK176)</f>
        <v>0</v>
      </c>
      <c r="BX176">
        <v>100.22</v>
      </c>
      <c r="BY176">
        <v>100.21691970000001</v>
      </c>
      <c r="BZ176">
        <v>98.7</v>
      </c>
      <c r="CA176">
        <f>BZ176*SQRT(AL176)</f>
        <v>220.69990937922927</v>
      </c>
      <c r="CB176">
        <v>60</v>
      </c>
      <c r="CC176">
        <v>5</v>
      </c>
      <c r="CD176">
        <v>1.625</v>
      </c>
      <c r="CE176">
        <v>0.96989999999999998</v>
      </c>
    </row>
    <row r="177" spans="2:83" hidden="1" x14ac:dyDescent="0.2">
      <c r="D177">
        <v>6</v>
      </c>
      <c r="G177" t="s">
        <v>43</v>
      </c>
      <c r="H177" t="s">
        <v>115</v>
      </c>
      <c r="J177">
        <v>2011</v>
      </c>
      <c r="M177" t="s">
        <v>116</v>
      </c>
      <c r="T177" t="s">
        <v>136</v>
      </c>
      <c r="U177" t="s">
        <v>56</v>
      </c>
      <c r="V177" t="s">
        <v>56</v>
      </c>
      <c r="Z177" t="s">
        <v>49</v>
      </c>
      <c r="AA177" t="s">
        <v>49</v>
      </c>
      <c r="AB177" t="s">
        <v>50</v>
      </c>
      <c r="AC177" t="s">
        <v>117</v>
      </c>
      <c r="AD177" t="s">
        <v>52</v>
      </c>
      <c r="AE177" t="s">
        <v>53</v>
      </c>
      <c r="AF177" t="s">
        <v>52</v>
      </c>
      <c r="AG177" t="s">
        <v>52</v>
      </c>
      <c r="AH177" t="s">
        <v>64</v>
      </c>
      <c r="AK177">
        <v>5</v>
      </c>
      <c r="AL177">
        <v>5</v>
      </c>
      <c r="AM177" t="s">
        <v>123</v>
      </c>
      <c r="AN177">
        <v>729</v>
      </c>
      <c r="AO177" t="s">
        <v>56</v>
      </c>
      <c r="AP177">
        <v>160</v>
      </c>
      <c r="AQ177" t="s">
        <v>118</v>
      </c>
      <c r="AR177">
        <v>7.86</v>
      </c>
      <c r="AS177" t="s">
        <v>56</v>
      </c>
      <c r="AT177">
        <v>0.09</v>
      </c>
      <c r="AU177">
        <v>2612</v>
      </c>
      <c r="AV177" t="s">
        <v>56</v>
      </c>
      <c r="AW177">
        <v>547</v>
      </c>
      <c r="AX177">
        <v>7.37</v>
      </c>
      <c r="AY177" t="s">
        <v>56</v>
      </c>
      <c r="AZ177">
        <v>0.1</v>
      </c>
      <c r="BB177">
        <f>LOG(AU177)</f>
        <v>3.4169731726030363</v>
      </c>
      <c r="BC177">
        <v>11.8</v>
      </c>
      <c r="BD177" t="s">
        <v>56</v>
      </c>
      <c r="BE177">
        <v>0.4</v>
      </c>
      <c r="BF177">
        <v>15.8</v>
      </c>
      <c r="BG177" t="s">
        <v>56</v>
      </c>
      <c r="BH177">
        <v>0.3</v>
      </c>
      <c r="BI177">
        <v>1882</v>
      </c>
      <c r="BJ177">
        <v>4</v>
      </c>
      <c r="BK177" t="s">
        <v>157</v>
      </c>
      <c r="BL177" t="s">
        <v>120</v>
      </c>
      <c r="BM177" t="s">
        <v>120</v>
      </c>
      <c r="BN177" t="s">
        <v>81</v>
      </c>
      <c r="BO177" t="s">
        <v>121</v>
      </c>
      <c r="BP177" t="s">
        <v>83</v>
      </c>
      <c r="BR177" t="s">
        <v>122</v>
      </c>
      <c r="BT177">
        <v>73.930000000000007</v>
      </c>
      <c r="BU177">
        <v>73.932584000000006</v>
      </c>
      <c r="BV177">
        <v>0</v>
      </c>
      <c r="BW177">
        <f>BV177*SQRT(AK177)</f>
        <v>0</v>
      </c>
      <c r="BX177">
        <v>434.16</v>
      </c>
      <c r="BY177">
        <v>434.15730339999999</v>
      </c>
      <c r="BZ177">
        <v>234.38</v>
      </c>
      <c r="CA177">
        <f>BZ177*SQRT(AL177)</f>
        <v>524.08961256640077</v>
      </c>
      <c r="CB177">
        <v>60</v>
      </c>
      <c r="CC177">
        <v>5</v>
      </c>
      <c r="CD177">
        <v>1.77</v>
      </c>
      <c r="CE177">
        <v>0.29139999999999999</v>
      </c>
    </row>
    <row r="178" spans="2:83" hidden="1" x14ac:dyDescent="0.2">
      <c r="D178">
        <v>6</v>
      </c>
      <c r="G178" t="s">
        <v>43</v>
      </c>
      <c r="H178" t="s">
        <v>115</v>
      </c>
      <c r="J178">
        <v>2011</v>
      </c>
      <c r="M178" t="s">
        <v>116</v>
      </c>
      <c r="T178" t="s">
        <v>131</v>
      </c>
      <c r="U178" t="s">
        <v>143</v>
      </c>
      <c r="V178" t="s">
        <v>144</v>
      </c>
      <c r="Z178" t="s">
        <v>49</v>
      </c>
      <c r="AA178" t="s">
        <v>49</v>
      </c>
      <c r="AB178" t="s">
        <v>50</v>
      </c>
      <c r="AC178" t="s">
        <v>117</v>
      </c>
      <c r="AD178" t="s">
        <v>52</v>
      </c>
      <c r="AE178" t="s">
        <v>134</v>
      </c>
      <c r="AF178" t="s">
        <v>54</v>
      </c>
      <c r="AG178" t="s">
        <v>52</v>
      </c>
      <c r="AH178" t="s">
        <v>65</v>
      </c>
      <c r="AK178">
        <v>5</v>
      </c>
      <c r="AL178">
        <v>5</v>
      </c>
      <c r="AM178" t="s">
        <v>123</v>
      </c>
      <c r="AN178">
        <v>729</v>
      </c>
      <c r="AO178" t="s">
        <v>56</v>
      </c>
      <c r="AP178">
        <v>160</v>
      </c>
      <c r="AQ178" t="s">
        <v>118</v>
      </c>
      <c r="AR178">
        <v>7.86</v>
      </c>
      <c r="AS178" t="s">
        <v>56</v>
      </c>
      <c r="AT178">
        <v>0.09</v>
      </c>
      <c r="AU178">
        <v>822</v>
      </c>
      <c r="AV178" t="s">
        <v>56</v>
      </c>
      <c r="AW178">
        <v>743</v>
      </c>
      <c r="AX178">
        <v>7.85</v>
      </c>
      <c r="AY178" t="s">
        <v>56</v>
      </c>
      <c r="AZ178">
        <v>0.13</v>
      </c>
      <c r="BB178">
        <f>LOG(AU178)</f>
        <v>2.9148718175400505</v>
      </c>
      <c r="BC178">
        <v>11.8</v>
      </c>
      <c r="BD178" t="s">
        <v>56</v>
      </c>
      <c r="BE178">
        <v>0.4</v>
      </c>
      <c r="BF178">
        <v>16</v>
      </c>
      <c r="BG178" t="s">
        <v>56</v>
      </c>
      <c r="BH178">
        <v>0.4</v>
      </c>
      <c r="BI178">
        <v>93</v>
      </c>
      <c r="BJ178">
        <v>4.3</v>
      </c>
      <c r="BK178" t="s">
        <v>145</v>
      </c>
      <c r="BL178" t="s">
        <v>120</v>
      </c>
      <c r="BM178" t="s">
        <v>120</v>
      </c>
      <c r="BN178" t="s">
        <v>81</v>
      </c>
      <c r="BO178" t="s">
        <v>121</v>
      </c>
      <c r="BP178" t="s">
        <v>83</v>
      </c>
      <c r="BR178" t="s">
        <v>122</v>
      </c>
      <c r="BT178">
        <v>21.78</v>
      </c>
      <c r="BU178">
        <v>21.784231999999999</v>
      </c>
      <c r="BV178">
        <v>5.0829880000000003</v>
      </c>
      <c r="BW178">
        <f>BV178*SQRT(AK178)</f>
        <v>11.365906696815703</v>
      </c>
      <c r="BX178">
        <v>131.43</v>
      </c>
      <c r="BY178">
        <v>131.43153530000001</v>
      </c>
      <c r="BZ178">
        <v>111.1</v>
      </c>
      <c r="CA178">
        <f>BZ178*SQRT(AL178)</f>
        <v>248.42715230022662</v>
      </c>
      <c r="CB178">
        <v>60</v>
      </c>
      <c r="CC178">
        <v>5</v>
      </c>
      <c r="CD178">
        <v>1.7969999999999999</v>
      </c>
      <c r="CE178">
        <v>0.76900000000000002</v>
      </c>
    </row>
    <row r="179" spans="2:83" hidden="1" x14ac:dyDescent="0.2">
      <c r="D179">
        <v>6</v>
      </c>
      <c r="G179" t="s">
        <v>43</v>
      </c>
      <c r="H179" t="s">
        <v>115</v>
      </c>
      <c r="J179">
        <v>2011</v>
      </c>
      <c r="M179" t="s">
        <v>116</v>
      </c>
      <c r="T179" t="s">
        <v>155</v>
      </c>
      <c r="U179" t="s">
        <v>56</v>
      </c>
      <c r="V179" t="s">
        <v>56</v>
      </c>
      <c r="Z179" t="s">
        <v>49</v>
      </c>
      <c r="AA179" t="s">
        <v>49</v>
      </c>
      <c r="AB179" t="s">
        <v>50</v>
      </c>
      <c r="AC179" t="s">
        <v>117</v>
      </c>
      <c r="AD179" t="s">
        <v>52</v>
      </c>
      <c r="AE179" t="s">
        <v>53</v>
      </c>
      <c r="AF179" t="s">
        <v>54</v>
      </c>
      <c r="AG179" t="s">
        <v>52</v>
      </c>
      <c r="AH179" t="s">
        <v>65</v>
      </c>
      <c r="AK179">
        <v>5</v>
      </c>
      <c r="AL179">
        <v>5</v>
      </c>
      <c r="AM179" t="s">
        <v>123</v>
      </c>
      <c r="AN179">
        <v>729</v>
      </c>
      <c r="AO179" t="s">
        <v>56</v>
      </c>
      <c r="AP179">
        <v>160</v>
      </c>
      <c r="AQ179" t="s">
        <v>118</v>
      </c>
      <c r="AR179">
        <v>7.86</v>
      </c>
      <c r="AS179" t="s">
        <v>56</v>
      </c>
      <c r="AT179">
        <v>0.09</v>
      </c>
      <c r="AU179">
        <v>822</v>
      </c>
      <c r="AV179" t="s">
        <v>56</v>
      </c>
      <c r="AW179">
        <v>743</v>
      </c>
      <c r="AX179">
        <v>7.85</v>
      </c>
      <c r="AY179" t="s">
        <v>56</v>
      </c>
      <c r="AZ179">
        <v>0.13</v>
      </c>
      <c r="BB179">
        <f>LOG(AU179)</f>
        <v>2.9148718175400505</v>
      </c>
      <c r="BC179">
        <v>11.8</v>
      </c>
      <c r="BD179" t="s">
        <v>56</v>
      </c>
      <c r="BE179">
        <v>0.4</v>
      </c>
      <c r="BF179">
        <v>16</v>
      </c>
      <c r="BG179" t="s">
        <v>56</v>
      </c>
      <c r="BH179">
        <v>0.4</v>
      </c>
      <c r="BI179">
        <v>93</v>
      </c>
      <c r="BJ179">
        <v>4.3</v>
      </c>
      <c r="BK179" t="s">
        <v>163</v>
      </c>
      <c r="BL179" t="s">
        <v>120</v>
      </c>
      <c r="BM179" t="s">
        <v>120</v>
      </c>
      <c r="BN179" t="s">
        <v>81</v>
      </c>
      <c r="BO179" t="s">
        <v>121</v>
      </c>
      <c r="BP179" t="s">
        <v>83</v>
      </c>
      <c r="BR179" t="s">
        <v>122</v>
      </c>
      <c r="BT179">
        <v>19.739999999999998</v>
      </c>
      <c r="BU179">
        <v>19.739999999999998</v>
      </c>
      <c r="BV179">
        <v>0</v>
      </c>
      <c r="BW179">
        <f>BV179*SQRT(AK179)</f>
        <v>0</v>
      </c>
      <c r="BX179">
        <v>119.96</v>
      </c>
      <c r="BY179">
        <v>119.95661610000001</v>
      </c>
      <c r="BZ179">
        <v>106.29</v>
      </c>
      <c r="CA179">
        <f>BZ179*SQRT(AL179)</f>
        <v>237.67166532845266</v>
      </c>
      <c r="CB179">
        <v>60</v>
      </c>
      <c r="CC179">
        <v>5</v>
      </c>
      <c r="CD179">
        <v>1.804</v>
      </c>
      <c r="CE179">
        <v>0.78510000000000002</v>
      </c>
    </row>
    <row r="180" spans="2:83" hidden="1" x14ac:dyDescent="0.2">
      <c r="D180">
        <v>6</v>
      </c>
      <c r="G180" t="s">
        <v>43</v>
      </c>
      <c r="H180" t="s">
        <v>115</v>
      </c>
      <c r="J180">
        <v>2011</v>
      </c>
      <c r="M180" t="s">
        <v>116</v>
      </c>
      <c r="T180" t="s">
        <v>68</v>
      </c>
      <c r="U180" t="s">
        <v>56</v>
      </c>
      <c r="V180" t="s">
        <v>146</v>
      </c>
      <c r="Z180" t="s">
        <v>49</v>
      </c>
      <c r="AA180" t="s">
        <v>49</v>
      </c>
      <c r="AB180" t="s">
        <v>50</v>
      </c>
      <c r="AC180" t="s">
        <v>117</v>
      </c>
      <c r="AD180" t="s">
        <v>52</v>
      </c>
      <c r="AE180" t="s">
        <v>53</v>
      </c>
      <c r="AF180" t="s">
        <v>52</v>
      </c>
      <c r="AG180" t="s">
        <v>52</v>
      </c>
      <c r="AH180" t="s">
        <v>64</v>
      </c>
      <c r="AK180">
        <v>5</v>
      </c>
      <c r="AL180">
        <v>5</v>
      </c>
      <c r="AM180" t="s">
        <v>123</v>
      </c>
      <c r="AN180">
        <v>729</v>
      </c>
      <c r="AO180" t="s">
        <v>56</v>
      </c>
      <c r="AP180">
        <v>160</v>
      </c>
      <c r="AQ180" t="s">
        <v>118</v>
      </c>
      <c r="AR180">
        <v>7.86</v>
      </c>
      <c r="AS180" t="s">
        <v>56</v>
      </c>
      <c r="AT180">
        <v>0.09</v>
      </c>
      <c r="AU180">
        <v>1423</v>
      </c>
      <c r="AV180" t="s">
        <v>56</v>
      </c>
      <c r="AW180">
        <v>389</v>
      </c>
      <c r="AX180">
        <v>7.61</v>
      </c>
      <c r="AY180" t="s">
        <v>56</v>
      </c>
      <c r="AZ180">
        <v>0.15</v>
      </c>
      <c r="BB180">
        <f>LOG(AU180)</f>
        <v>3.1532049000842841</v>
      </c>
      <c r="BC180">
        <v>11.8</v>
      </c>
      <c r="BD180" t="s">
        <v>56</v>
      </c>
      <c r="BE180">
        <v>0.4</v>
      </c>
      <c r="BF180">
        <v>16</v>
      </c>
      <c r="BG180" t="s">
        <v>56</v>
      </c>
      <c r="BH180">
        <v>0.6</v>
      </c>
      <c r="BI180">
        <v>694</v>
      </c>
      <c r="BJ180">
        <v>4.2</v>
      </c>
      <c r="BK180" t="s">
        <v>147</v>
      </c>
      <c r="BL180" t="s">
        <v>120</v>
      </c>
      <c r="BM180" t="s">
        <v>120</v>
      </c>
      <c r="BN180" t="s">
        <v>81</v>
      </c>
      <c r="BO180" t="s">
        <v>121</v>
      </c>
      <c r="BP180" t="s">
        <v>83</v>
      </c>
      <c r="BR180" t="s">
        <v>122</v>
      </c>
      <c r="BT180">
        <v>1.91</v>
      </c>
      <c r="BU180">
        <v>1.91344</v>
      </c>
      <c r="BV180">
        <v>0</v>
      </c>
      <c r="BW180">
        <f>BV180*SQRT(AK180)</f>
        <v>0</v>
      </c>
      <c r="BX180">
        <v>12.12</v>
      </c>
      <c r="BY180">
        <v>12.118451</v>
      </c>
      <c r="BZ180">
        <v>14.58</v>
      </c>
      <c r="CA180">
        <f>BZ180*SQRT(AL180)</f>
        <v>32.601871111946934</v>
      </c>
      <c r="CB180">
        <v>60</v>
      </c>
      <c r="CC180">
        <v>5</v>
      </c>
      <c r="CD180">
        <v>1.8460000000000001</v>
      </c>
      <c r="CE180">
        <v>1.4472</v>
      </c>
    </row>
    <row r="181" spans="2:83" hidden="1" x14ac:dyDescent="0.2">
      <c r="D181">
        <v>6</v>
      </c>
      <c r="G181" t="s">
        <v>43</v>
      </c>
      <c r="H181" t="s">
        <v>115</v>
      </c>
      <c r="J181">
        <v>2011</v>
      </c>
      <c r="M181" t="s">
        <v>116</v>
      </c>
      <c r="T181" t="s">
        <v>131</v>
      </c>
      <c r="U181" t="s">
        <v>143</v>
      </c>
      <c r="V181" t="s">
        <v>144</v>
      </c>
      <c r="Z181" t="s">
        <v>49</v>
      </c>
      <c r="AA181" t="s">
        <v>49</v>
      </c>
      <c r="AB181" t="s">
        <v>50</v>
      </c>
      <c r="AC181" t="s">
        <v>117</v>
      </c>
      <c r="AD181" t="s">
        <v>52</v>
      </c>
      <c r="AE181" t="s">
        <v>134</v>
      </c>
      <c r="AF181" t="s">
        <v>52</v>
      </c>
      <c r="AG181" t="s">
        <v>54</v>
      </c>
      <c r="AH181" t="s">
        <v>55</v>
      </c>
      <c r="AK181">
        <v>5</v>
      </c>
      <c r="AL181">
        <v>5</v>
      </c>
      <c r="AM181" t="s">
        <v>123</v>
      </c>
      <c r="AN181">
        <v>729</v>
      </c>
      <c r="AO181" t="s">
        <v>56</v>
      </c>
      <c r="AP181">
        <v>160</v>
      </c>
      <c r="AQ181" t="s">
        <v>118</v>
      </c>
      <c r="AR181">
        <v>7.86</v>
      </c>
      <c r="AS181" t="s">
        <v>56</v>
      </c>
      <c r="AT181">
        <v>0.09</v>
      </c>
      <c r="AU181">
        <v>1296</v>
      </c>
      <c r="AV181" t="s">
        <v>56</v>
      </c>
      <c r="AW181">
        <v>245</v>
      </c>
      <c r="AX181">
        <v>7.66</v>
      </c>
      <c r="AY181" t="s">
        <v>56</v>
      </c>
      <c r="AZ181">
        <v>0.08</v>
      </c>
      <c r="BB181">
        <f>LOG(AU181)</f>
        <v>3.1126050015345745</v>
      </c>
      <c r="BC181">
        <v>11.8</v>
      </c>
      <c r="BD181" t="s">
        <v>56</v>
      </c>
      <c r="BE181">
        <v>0.4</v>
      </c>
      <c r="BF181">
        <v>11.9</v>
      </c>
      <c r="BG181" t="s">
        <v>56</v>
      </c>
      <c r="BH181">
        <v>0.4</v>
      </c>
      <c r="BI181">
        <v>566</v>
      </c>
      <c r="BJ181">
        <v>0.2</v>
      </c>
      <c r="BK181" t="s">
        <v>145</v>
      </c>
      <c r="BL181" t="s">
        <v>120</v>
      </c>
      <c r="BM181" t="s">
        <v>120</v>
      </c>
      <c r="BN181" t="s">
        <v>81</v>
      </c>
      <c r="BO181" t="s">
        <v>121</v>
      </c>
      <c r="BP181" t="s">
        <v>83</v>
      </c>
      <c r="BR181" t="s">
        <v>122</v>
      </c>
      <c r="BT181">
        <v>21.78</v>
      </c>
      <c r="BU181">
        <v>21.784231999999999</v>
      </c>
      <c r="BV181">
        <v>5.0829880000000003</v>
      </c>
      <c r="BW181">
        <f>BV181*SQRT(AK181)</f>
        <v>11.365906696815703</v>
      </c>
      <c r="BX181">
        <v>140.15</v>
      </c>
      <c r="BY181">
        <v>140.14522819999999</v>
      </c>
      <c r="BZ181">
        <v>71.16</v>
      </c>
      <c r="CA181">
        <f>BZ181*SQRT(AL181)</f>
        <v>159.11859727888503</v>
      </c>
      <c r="CB181">
        <v>60</v>
      </c>
      <c r="CC181">
        <v>5</v>
      </c>
      <c r="CD181">
        <v>1.861</v>
      </c>
      <c r="CE181">
        <v>0.31230000000000002</v>
      </c>
    </row>
    <row r="182" spans="2:83" hidden="1" x14ac:dyDescent="0.2">
      <c r="D182">
        <v>6</v>
      </c>
      <c r="G182" t="s">
        <v>43</v>
      </c>
      <c r="H182" t="s">
        <v>115</v>
      </c>
      <c r="J182">
        <v>2011</v>
      </c>
      <c r="M182" t="s">
        <v>116</v>
      </c>
      <c r="T182" t="s">
        <v>131</v>
      </c>
      <c r="U182" t="s">
        <v>143</v>
      </c>
      <c r="V182" t="s">
        <v>144</v>
      </c>
      <c r="Z182" t="s">
        <v>49</v>
      </c>
      <c r="AA182" t="s">
        <v>49</v>
      </c>
      <c r="AB182" t="s">
        <v>50</v>
      </c>
      <c r="AC182" t="s">
        <v>117</v>
      </c>
      <c r="AD182" t="s">
        <v>52</v>
      </c>
      <c r="AE182" t="s">
        <v>134</v>
      </c>
      <c r="AF182" t="s">
        <v>52</v>
      </c>
      <c r="AG182" t="s">
        <v>52</v>
      </c>
      <c r="AH182" t="s">
        <v>64</v>
      </c>
      <c r="AK182">
        <v>5</v>
      </c>
      <c r="AL182">
        <v>5</v>
      </c>
      <c r="AM182" t="s">
        <v>123</v>
      </c>
      <c r="AN182">
        <v>729</v>
      </c>
      <c r="AO182" t="s">
        <v>56</v>
      </c>
      <c r="AP182">
        <v>160</v>
      </c>
      <c r="AQ182" t="s">
        <v>118</v>
      </c>
      <c r="AR182">
        <v>7.86</v>
      </c>
      <c r="AS182" t="s">
        <v>56</v>
      </c>
      <c r="AT182">
        <v>0.09</v>
      </c>
      <c r="AU182">
        <v>2612</v>
      </c>
      <c r="AV182" t="s">
        <v>56</v>
      </c>
      <c r="AW182">
        <v>547</v>
      </c>
      <c r="AX182">
        <v>7.37</v>
      </c>
      <c r="AY182" t="s">
        <v>56</v>
      </c>
      <c r="AZ182">
        <v>0.1</v>
      </c>
      <c r="BB182">
        <f>LOG(AU182)</f>
        <v>3.4169731726030363</v>
      </c>
      <c r="BC182">
        <v>11.8</v>
      </c>
      <c r="BD182" t="s">
        <v>56</v>
      </c>
      <c r="BE182">
        <v>0.4</v>
      </c>
      <c r="BF182">
        <v>15.8</v>
      </c>
      <c r="BG182" t="s">
        <v>56</v>
      </c>
      <c r="BH182">
        <v>0.3</v>
      </c>
      <c r="BI182">
        <v>1882</v>
      </c>
      <c r="BJ182">
        <v>4</v>
      </c>
      <c r="BK182" t="s">
        <v>145</v>
      </c>
      <c r="BL182" t="s">
        <v>120</v>
      </c>
      <c r="BM182" t="s">
        <v>120</v>
      </c>
      <c r="BN182" t="s">
        <v>81</v>
      </c>
      <c r="BO182" t="s">
        <v>121</v>
      </c>
      <c r="BP182" t="s">
        <v>83</v>
      </c>
      <c r="BR182" t="s">
        <v>122</v>
      </c>
      <c r="BT182">
        <v>21.78</v>
      </c>
      <c r="BU182">
        <v>21.784231999999999</v>
      </c>
      <c r="BV182">
        <v>5.0829880000000003</v>
      </c>
      <c r="BW182">
        <f>BV182*SQRT(AK182)</f>
        <v>11.365906696815703</v>
      </c>
      <c r="BX182">
        <v>148.86000000000001</v>
      </c>
      <c r="BY182">
        <v>148.8589212</v>
      </c>
      <c r="BZ182">
        <v>80.599999999999994</v>
      </c>
      <c r="CA182">
        <f>BZ182*SQRT(AL182)</f>
        <v>180.22707898648304</v>
      </c>
      <c r="CB182">
        <v>60</v>
      </c>
      <c r="CC182">
        <v>5</v>
      </c>
      <c r="CD182">
        <v>1.9219999999999999</v>
      </c>
      <c r="CE182">
        <v>0.34760000000000002</v>
      </c>
    </row>
    <row r="183" spans="2:83" hidden="1" x14ac:dyDescent="0.2">
      <c r="D183">
        <v>6</v>
      </c>
      <c r="G183" t="s">
        <v>43</v>
      </c>
      <c r="H183" t="s">
        <v>115</v>
      </c>
      <c r="J183">
        <v>2011</v>
      </c>
      <c r="M183" t="s">
        <v>116</v>
      </c>
      <c r="T183" t="s">
        <v>46</v>
      </c>
      <c r="U183" t="s">
        <v>56</v>
      </c>
      <c r="V183" t="s">
        <v>56</v>
      </c>
      <c r="Z183" t="s">
        <v>49</v>
      </c>
      <c r="AA183" t="s">
        <v>49</v>
      </c>
      <c r="AB183" t="s">
        <v>50</v>
      </c>
      <c r="AC183" t="s">
        <v>117</v>
      </c>
      <c r="AD183" t="s">
        <v>52</v>
      </c>
      <c r="AE183" t="s">
        <v>56</v>
      </c>
      <c r="AF183" t="s">
        <v>54</v>
      </c>
      <c r="AG183" t="s">
        <v>52</v>
      </c>
      <c r="AH183" t="s">
        <v>65</v>
      </c>
      <c r="AK183">
        <v>5</v>
      </c>
      <c r="AL183">
        <v>5</v>
      </c>
      <c r="AM183" t="s">
        <v>123</v>
      </c>
      <c r="AN183">
        <v>729</v>
      </c>
      <c r="AO183" t="s">
        <v>56</v>
      </c>
      <c r="AP183">
        <v>160</v>
      </c>
      <c r="AQ183" t="s">
        <v>118</v>
      </c>
      <c r="AR183">
        <v>7.86</v>
      </c>
      <c r="AS183" t="s">
        <v>56</v>
      </c>
      <c r="AT183">
        <v>0.09</v>
      </c>
      <c r="AU183">
        <v>822</v>
      </c>
      <c r="AV183" t="s">
        <v>56</v>
      </c>
      <c r="AW183">
        <v>743</v>
      </c>
      <c r="AX183">
        <v>7.85</v>
      </c>
      <c r="AY183" t="s">
        <v>56</v>
      </c>
      <c r="AZ183">
        <v>0.13</v>
      </c>
      <c r="BB183">
        <f>LOG(AU183)</f>
        <v>2.9148718175400505</v>
      </c>
      <c r="BC183">
        <v>11.8</v>
      </c>
      <c r="BD183" t="s">
        <v>56</v>
      </c>
      <c r="BE183">
        <v>0.4</v>
      </c>
      <c r="BF183">
        <v>16</v>
      </c>
      <c r="BG183" t="s">
        <v>56</v>
      </c>
      <c r="BH183">
        <v>0.4</v>
      </c>
      <c r="BI183">
        <v>93</v>
      </c>
      <c r="BJ183">
        <v>4.3</v>
      </c>
      <c r="BK183" t="s">
        <v>119</v>
      </c>
      <c r="BL183" t="s">
        <v>120</v>
      </c>
      <c r="BM183" t="s">
        <v>120</v>
      </c>
      <c r="BN183" t="s">
        <v>81</v>
      </c>
      <c r="BO183" t="s">
        <v>121</v>
      </c>
      <c r="BP183" t="s">
        <v>83</v>
      </c>
      <c r="BR183" t="s">
        <v>122</v>
      </c>
      <c r="BT183">
        <v>6.78</v>
      </c>
      <c r="BU183">
        <v>6.7764709999999999</v>
      </c>
      <c r="BV183">
        <v>0</v>
      </c>
      <c r="BW183">
        <f>BV183*SQRT(AK183)</f>
        <v>0</v>
      </c>
      <c r="BX183">
        <v>58.87</v>
      </c>
      <c r="BY183">
        <v>58.8705882</v>
      </c>
      <c r="BZ183">
        <v>76.239999999999995</v>
      </c>
      <c r="CA183">
        <f>BZ183*SQRT(AL183)</f>
        <v>170.47782260458396</v>
      </c>
      <c r="CB183">
        <v>60</v>
      </c>
      <c r="CC183">
        <v>5</v>
      </c>
      <c r="CD183">
        <v>2.1619999999999999</v>
      </c>
      <c r="CE183">
        <v>1.6769000000000001</v>
      </c>
    </row>
    <row r="184" spans="2:83" hidden="1" x14ac:dyDescent="0.2">
      <c r="D184">
        <v>6</v>
      </c>
      <c r="G184" t="s">
        <v>43</v>
      </c>
      <c r="H184" t="s">
        <v>115</v>
      </c>
      <c r="J184">
        <v>2011</v>
      </c>
      <c r="M184" t="s">
        <v>116</v>
      </c>
      <c r="T184" t="s">
        <v>155</v>
      </c>
      <c r="U184" t="s">
        <v>56</v>
      </c>
      <c r="V184" t="s">
        <v>56</v>
      </c>
      <c r="Z184" t="s">
        <v>49</v>
      </c>
      <c r="AA184" t="s">
        <v>49</v>
      </c>
      <c r="AB184" t="s">
        <v>50</v>
      </c>
      <c r="AC184" t="s">
        <v>117</v>
      </c>
      <c r="AD184" t="s">
        <v>52</v>
      </c>
      <c r="AE184" t="s">
        <v>53</v>
      </c>
      <c r="AF184" t="s">
        <v>52</v>
      </c>
      <c r="AG184" t="s">
        <v>52</v>
      </c>
      <c r="AH184" t="s">
        <v>64</v>
      </c>
      <c r="AK184">
        <v>5</v>
      </c>
      <c r="AL184">
        <v>5</v>
      </c>
      <c r="AM184" t="s">
        <v>123</v>
      </c>
      <c r="AN184">
        <v>729</v>
      </c>
      <c r="AO184" t="s">
        <v>56</v>
      </c>
      <c r="AP184">
        <v>160</v>
      </c>
      <c r="AQ184" t="s">
        <v>118</v>
      </c>
      <c r="AR184">
        <v>7.86</v>
      </c>
      <c r="AS184" t="s">
        <v>56</v>
      </c>
      <c r="AT184">
        <v>0.09</v>
      </c>
      <c r="AU184">
        <v>2612</v>
      </c>
      <c r="AV184" t="s">
        <v>56</v>
      </c>
      <c r="AW184">
        <v>547</v>
      </c>
      <c r="AX184">
        <v>7.37</v>
      </c>
      <c r="AY184" t="s">
        <v>56</v>
      </c>
      <c r="AZ184">
        <v>0.1</v>
      </c>
      <c r="BB184">
        <f>LOG(AU184)</f>
        <v>3.4169731726030363</v>
      </c>
      <c r="BC184">
        <v>11.8</v>
      </c>
      <c r="BD184" t="s">
        <v>56</v>
      </c>
      <c r="BE184">
        <v>0.4</v>
      </c>
      <c r="BF184">
        <v>15.8</v>
      </c>
      <c r="BG184" t="s">
        <v>56</v>
      </c>
      <c r="BH184">
        <v>0.3</v>
      </c>
      <c r="BI184">
        <v>1882</v>
      </c>
      <c r="BJ184">
        <v>4</v>
      </c>
      <c r="BK184" t="s">
        <v>163</v>
      </c>
      <c r="BL184" t="s">
        <v>120</v>
      </c>
      <c r="BM184" t="s">
        <v>120</v>
      </c>
      <c r="BN184" t="s">
        <v>81</v>
      </c>
      <c r="BO184" t="s">
        <v>121</v>
      </c>
      <c r="BP184" t="s">
        <v>83</v>
      </c>
      <c r="BR184" t="s">
        <v>122</v>
      </c>
      <c r="BT184">
        <v>19.739999999999998</v>
      </c>
      <c r="BU184">
        <v>19.739999999999998</v>
      </c>
      <c r="BV184">
        <v>0</v>
      </c>
      <c r="BW184">
        <f>BV184*SQRT(AK184)</f>
        <v>0</v>
      </c>
      <c r="BX184">
        <v>353.8</v>
      </c>
      <c r="BY184">
        <v>353.79609540000001</v>
      </c>
      <c r="BZ184">
        <v>238.39</v>
      </c>
      <c r="CA184">
        <f>BZ184*SQRT(AL184)</f>
        <v>533.0562451561749</v>
      </c>
      <c r="CB184">
        <v>60</v>
      </c>
      <c r="CC184">
        <v>5</v>
      </c>
      <c r="CD184">
        <v>2.8860000000000001</v>
      </c>
      <c r="CE184">
        <v>0.45400000000000001</v>
      </c>
    </row>
    <row r="185" spans="2:83" hidden="1" x14ac:dyDescent="0.2">
      <c r="D185">
        <v>7</v>
      </c>
      <c r="G185" t="s">
        <v>43</v>
      </c>
      <c r="H185" t="s">
        <v>165</v>
      </c>
      <c r="J185">
        <v>2010</v>
      </c>
      <c r="M185" t="s">
        <v>166</v>
      </c>
      <c r="T185" t="s">
        <v>68</v>
      </c>
      <c r="U185" t="s">
        <v>167</v>
      </c>
      <c r="V185" t="s">
        <v>168</v>
      </c>
      <c r="Z185" t="s">
        <v>49</v>
      </c>
      <c r="AA185" t="s">
        <v>49</v>
      </c>
      <c r="AB185" t="s">
        <v>50</v>
      </c>
      <c r="AC185" t="s">
        <v>51</v>
      </c>
      <c r="AD185" t="s">
        <v>52</v>
      </c>
      <c r="AE185" t="s">
        <v>53</v>
      </c>
      <c r="AF185" t="s">
        <v>54</v>
      </c>
      <c r="AG185" t="s">
        <v>52</v>
      </c>
      <c r="AH185" t="s">
        <v>65</v>
      </c>
      <c r="AK185">
        <v>6</v>
      </c>
      <c r="AL185">
        <v>6</v>
      </c>
      <c r="AM185" t="s">
        <v>171</v>
      </c>
      <c r="AN185">
        <v>582</v>
      </c>
      <c r="AO185" t="s">
        <v>56</v>
      </c>
      <c r="AP185" t="s">
        <v>56</v>
      </c>
      <c r="AQ185" t="s">
        <v>57</v>
      </c>
      <c r="AR185">
        <v>8.07</v>
      </c>
      <c r="AS185" t="s">
        <v>56</v>
      </c>
      <c r="AT185">
        <v>0.04</v>
      </c>
      <c r="AU185">
        <v>582</v>
      </c>
      <c r="AV185" t="s">
        <v>56</v>
      </c>
      <c r="AW185" t="s">
        <v>56</v>
      </c>
      <c r="AX185">
        <v>8.07</v>
      </c>
      <c r="AY185" t="s">
        <v>56</v>
      </c>
      <c r="AZ185">
        <v>7.0000000000000007E-2</v>
      </c>
      <c r="BB185">
        <f>LOG(AU185)</f>
        <v>2.7649229846498886</v>
      </c>
      <c r="BC185">
        <v>15</v>
      </c>
      <c r="BD185" t="s">
        <v>56</v>
      </c>
      <c r="BE185">
        <v>1</v>
      </c>
      <c r="BF185">
        <v>20</v>
      </c>
      <c r="BG185" t="s">
        <v>56</v>
      </c>
      <c r="BH185" t="s">
        <v>56</v>
      </c>
      <c r="BI185">
        <v>0</v>
      </c>
      <c r="BJ185">
        <v>5</v>
      </c>
      <c r="BK185" t="s">
        <v>56</v>
      </c>
      <c r="BL185" t="s">
        <v>169</v>
      </c>
      <c r="BM185" t="s">
        <v>59</v>
      </c>
      <c r="BN185" t="s">
        <v>60</v>
      </c>
      <c r="BO185" t="s">
        <v>170</v>
      </c>
      <c r="BP185" t="s">
        <v>62</v>
      </c>
      <c r="BR185" t="s">
        <v>63</v>
      </c>
      <c r="BT185">
        <v>18.13</v>
      </c>
      <c r="BU185">
        <v>18.13</v>
      </c>
      <c r="BV185">
        <v>1.1100000000000001</v>
      </c>
      <c r="BW185">
        <f>BV185*SQRT(AK185)</f>
        <v>2.7189336144893277</v>
      </c>
      <c r="BX185">
        <v>32.75</v>
      </c>
      <c r="BY185">
        <v>32.75</v>
      </c>
      <c r="BZ185">
        <v>1.1499999999999999</v>
      </c>
      <c r="CA185">
        <f>BZ185*SQRT(AL185)</f>
        <v>2.8169132042006542</v>
      </c>
      <c r="CB185">
        <v>40</v>
      </c>
      <c r="CC185">
        <v>2</v>
      </c>
      <c r="CD185">
        <v>0.59099999999999997</v>
      </c>
      <c r="CE185">
        <v>5.0000000000000001E-3</v>
      </c>
    </row>
    <row r="186" spans="2:83" hidden="1" x14ac:dyDescent="0.2">
      <c r="D186">
        <v>7</v>
      </c>
      <c r="G186" t="s">
        <v>43</v>
      </c>
      <c r="H186" t="s">
        <v>165</v>
      </c>
      <c r="J186">
        <v>2010</v>
      </c>
      <c r="M186" t="s">
        <v>166</v>
      </c>
      <c r="T186" t="s">
        <v>68</v>
      </c>
      <c r="U186" t="s">
        <v>167</v>
      </c>
      <c r="V186" t="s">
        <v>168</v>
      </c>
      <c r="Z186" t="s">
        <v>49</v>
      </c>
      <c r="AA186" t="s">
        <v>49</v>
      </c>
      <c r="AB186" t="s">
        <v>50</v>
      </c>
      <c r="AC186" t="s">
        <v>51</v>
      </c>
      <c r="AD186" t="s">
        <v>52</v>
      </c>
      <c r="AE186" t="s">
        <v>53</v>
      </c>
      <c r="AF186" t="s">
        <v>54</v>
      </c>
      <c r="AG186" t="s">
        <v>52</v>
      </c>
      <c r="AH186" t="s">
        <v>65</v>
      </c>
      <c r="AK186">
        <v>6</v>
      </c>
      <c r="AL186">
        <v>6</v>
      </c>
      <c r="AM186" t="s">
        <v>171</v>
      </c>
      <c r="AN186">
        <v>582</v>
      </c>
      <c r="AO186" t="s">
        <v>56</v>
      </c>
      <c r="AP186" t="s">
        <v>56</v>
      </c>
      <c r="AQ186" t="s">
        <v>57</v>
      </c>
      <c r="AR186">
        <v>8.07</v>
      </c>
      <c r="AS186" t="s">
        <v>56</v>
      </c>
      <c r="AT186">
        <v>0.04</v>
      </c>
      <c r="AU186">
        <v>582</v>
      </c>
      <c r="AV186" t="s">
        <v>56</v>
      </c>
      <c r="AW186" t="s">
        <v>56</v>
      </c>
      <c r="AX186">
        <v>8.07</v>
      </c>
      <c r="AY186" t="s">
        <v>56</v>
      </c>
      <c r="AZ186">
        <v>7.0000000000000007E-2</v>
      </c>
      <c r="BB186">
        <f>LOG(AU186)</f>
        <v>2.7649229846498886</v>
      </c>
      <c r="BC186">
        <v>15</v>
      </c>
      <c r="BD186" t="s">
        <v>56</v>
      </c>
      <c r="BE186">
        <v>1</v>
      </c>
      <c r="BF186">
        <v>25</v>
      </c>
      <c r="BG186" t="s">
        <v>56</v>
      </c>
      <c r="BH186" t="s">
        <v>56</v>
      </c>
      <c r="BI186">
        <v>0</v>
      </c>
      <c r="BJ186">
        <v>10</v>
      </c>
      <c r="BK186" t="s">
        <v>56</v>
      </c>
      <c r="BL186" t="s">
        <v>169</v>
      </c>
      <c r="BM186" t="s">
        <v>59</v>
      </c>
      <c r="BN186" t="s">
        <v>60</v>
      </c>
      <c r="BO186" t="s">
        <v>170</v>
      </c>
      <c r="BP186" t="s">
        <v>62</v>
      </c>
      <c r="BR186" t="s">
        <v>63</v>
      </c>
      <c r="BT186">
        <v>18.13</v>
      </c>
      <c r="BU186">
        <v>18.13</v>
      </c>
      <c r="BV186">
        <v>1.1100000000000001</v>
      </c>
      <c r="BW186">
        <f>BV186*SQRT(AK186)</f>
        <v>2.7189336144893277</v>
      </c>
      <c r="BX186">
        <v>45.88</v>
      </c>
      <c r="BY186">
        <v>45.88</v>
      </c>
      <c r="BZ186">
        <v>1.23</v>
      </c>
      <c r="CA186">
        <f>BZ186*SQRT(AL186)</f>
        <v>3.0128723836233089</v>
      </c>
      <c r="CB186">
        <v>40</v>
      </c>
      <c r="CC186">
        <v>2</v>
      </c>
      <c r="CD186">
        <v>0.92800000000000005</v>
      </c>
      <c r="CE186">
        <v>4.4999999999999997E-3</v>
      </c>
    </row>
    <row r="187" spans="2:83" hidden="1" x14ac:dyDescent="0.2">
      <c r="D187">
        <v>7</v>
      </c>
      <c r="G187" t="s">
        <v>43</v>
      </c>
      <c r="H187" t="s">
        <v>165</v>
      </c>
      <c r="J187">
        <v>2010</v>
      </c>
      <c r="M187" t="s">
        <v>166</v>
      </c>
      <c r="T187" t="s">
        <v>68</v>
      </c>
      <c r="U187" t="s">
        <v>167</v>
      </c>
      <c r="V187" t="s">
        <v>168</v>
      </c>
      <c r="Z187" t="s">
        <v>49</v>
      </c>
      <c r="AA187" t="s">
        <v>49</v>
      </c>
      <c r="AB187" t="s">
        <v>50</v>
      </c>
      <c r="AC187" t="s">
        <v>51</v>
      </c>
      <c r="AD187" t="s">
        <v>52</v>
      </c>
      <c r="AE187" t="s">
        <v>53</v>
      </c>
      <c r="AF187" t="s">
        <v>52</v>
      </c>
      <c r="AG187" t="s">
        <v>52</v>
      </c>
      <c r="AH187" t="s">
        <v>64</v>
      </c>
      <c r="AK187">
        <v>6</v>
      </c>
      <c r="AL187">
        <v>6</v>
      </c>
      <c r="AM187" t="s">
        <v>171</v>
      </c>
      <c r="AN187">
        <v>582</v>
      </c>
      <c r="AO187" t="s">
        <v>56</v>
      </c>
      <c r="AP187">
        <v>79</v>
      </c>
      <c r="AQ187" t="s">
        <v>57</v>
      </c>
      <c r="AR187">
        <v>8.07</v>
      </c>
      <c r="AS187" t="s">
        <v>56</v>
      </c>
      <c r="AT187">
        <v>0.04</v>
      </c>
      <c r="AU187">
        <v>1480</v>
      </c>
      <c r="AV187" t="s">
        <v>56</v>
      </c>
      <c r="AW187" t="s">
        <v>56</v>
      </c>
      <c r="AX187">
        <v>7.68</v>
      </c>
      <c r="AY187" t="s">
        <v>56</v>
      </c>
      <c r="AZ187">
        <v>7.0000000000000007E-2</v>
      </c>
      <c r="BB187">
        <f>LOG(AU187)</f>
        <v>3.1702617153949575</v>
      </c>
      <c r="BC187">
        <v>15</v>
      </c>
      <c r="BD187" t="s">
        <v>56</v>
      </c>
      <c r="BE187">
        <v>1</v>
      </c>
      <c r="BF187">
        <v>20</v>
      </c>
      <c r="BG187" t="s">
        <v>56</v>
      </c>
      <c r="BH187" t="s">
        <v>56</v>
      </c>
      <c r="BI187">
        <v>898</v>
      </c>
      <c r="BJ187">
        <v>5</v>
      </c>
      <c r="BK187" t="s">
        <v>56</v>
      </c>
      <c r="BL187" t="s">
        <v>169</v>
      </c>
      <c r="BM187" t="s">
        <v>59</v>
      </c>
      <c r="BN187" t="s">
        <v>60</v>
      </c>
      <c r="BO187" t="s">
        <v>170</v>
      </c>
      <c r="BP187" t="s">
        <v>62</v>
      </c>
      <c r="BR187" t="s">
        <v>63</v>
      </c>
      <c r="BT187">
        <v>18.13</v>
      </c>
      <c r="BU187">
        <v>18.13</v>
      </c>
      <c r="BV187">
        <v>1.1100000000000001</v>
      </c>
      <c r="BW187">
        <f>BV187*SQRT(AK187)</f>
        <v>2.7189336144893277</v>
      </c>
      <c r="BX187">
        <v>51.73</v>
      </c>
      <c r="BY187">
        <v>51.73</v>
      </c>
      <c r="BZ187">
        <v>1.56</v>
      </c>
      <c r="CA187">
        <f>BZ187*SQRT(AL187)</f>
        <v>3.8212039987417574</v>
      </c>
      <c r="CB187">
        <v>40</v>
      </c>
      <c r="CC187">
        <v>2</v>
      </c>
      <c r="CD187">
        <v>1.048</v>
      </c>
      <c r="CE187">
        <v>4.7000000000000002E-3</v>
      </c>
    </row>
    <row r="188" spans="2:83" hidden="1" x14ac:dyDescent="0.2">
      <c r="D188">
        <v>7</v>
      </c>
      <c r="G188" t="s">
        <v>43</v>
      </c>
      <c r="H188" t="s">
        <v>165</v>
      </c>
      <c r="J188">
        <v>2010</v>
      </c>
      <c r="M188" t="s">
        <v>166</v>
      </c>
      <c r="T188" t="s">
        <v>68</v>
      </c>
      <c r="U188" t="s">
        <v>167</v>
      </c>
      <c r="V188" t="s">
        <v>168</v>
      </c>
      <c r="Z188" t="s">
        <v>49</v>
      </c>
      <c r="AA188" t="s">
        <v>49</v>
      </c>
      <c r="AB188" t="s">
        <v>50</v>
      </c>
      <c r="AC188" t="s">
        <v>51</v>
      </c>
      <c r="AD188" t="s">
        <v>52</v>
      </c>
      <c r="AE188" t="s">
        <v>53</v>
      </c>
      <c r="AF188" t="s">
        <v>172</v>
      </c>
      <c r="AG188" t="s">
        <v>52</v>
      </c>
      <c r="AH188" t="s">
        <v>64</v>
      </c>
      <c r="AK188">
        <v>6</v>
      </c>
      <c r="AL188">
        <v>6</v>
      </c>
      <c r="AM188" t="s">
        <v>171</v>
      </c>
      <c r="AN188">
        <v>582</v>
      </c>
      <c r="AO188" t="s">
        <v>56</v>
      </c>
      <c r="AP188">
        <v>79</v>
      </c>
      <c r="AQ188" t="s">
        <v>57</v>
      </c>
      <c r="AR188">
        <v>8.07</v>
      </c>
      <c r="AS188" t="s">
        <v>56</v>
      </c>
      <c r="AT188">
        <v>0.04</v>
      </c>
      <c r="AU188">
        <v>1480</v>
      </c>
      <c r="AV188" t="s">
        <v>56</v>
      </c>
      <c r="AW188" t="s">
        <v>56</v>
      </c>
      <c r="AX188">
        <v>7.68</v>
      </c>
      <c r="AY188" t="s">
        <v>56</v>
      </c>
      <c r="AZ188">
        <v>7.0000000000000007E-2</v>
      </c>
      <c r="BB188">
        <f>LOG(AU188)</f>
        <v>3.1702617153949575</v>
      </c>
      <c r="BC188">
        <v>15</v>
      </c>
      <c r="BD188" t="s">
        <v>56</v>
      </c>
      <c r="BE188">
        <v>1</v>
      </c>
      <c r="BF188">
        <v>25</v>
      </c>
      <c r="BG188" t="s">
        <v>56</v>
      </c>
      <c r="BH188" t="s">
        <v>56</v>
      </c>
      <c r="BI188">
        <v>898</v>
      </c>
      <c r="BJ188">
        <v>10</v>
      </c>
      <c r="BK188" t="s">
        <v>56</v>
      </c>
      <c r="BL188" t="s">
        <v>169</v>
      </c>
      <c r="BM188" t="s">
        <v>59</v>
      </c>
      <c r="BN188" t="s">
        <v>60</v>
      </c>
      <c r="BO188" t="s">
        <v>170</v>
      </c>
      <c r="BP188" t="s">
        <v>62</v>
      </c>
      <c r="BR188" t="s">
        <v>63</v>
      </c>
      <c r="BT188">
        <v>18.13</v>
      </c>
      <c r="BU188">
        <v>18.13</v>
      </c>
      <c r="BV188">
        <v>1.1100000000000001</v>
      </c>
      <c r="BW188">
        <f>BV188*SQRT(AK188)</f>
        <v>2.7189336144893277</v>
      </c>
      <c r="BX188">
        <v>75.22</v>
      </c>
      <c r="BY188">
        <v>75.22</v>
      </c>
      <c r="BZ188">
        <v>1.1100000000000001</v>
      </c>
      <c r="CA188">
        <f>BZ188*SQRT(AL188)</f>
        <v>2.7189336144893277</v>
      </c>
      <c r="CB188">
        <v>40</v>
      </c>
      <c r="CC188">
        <v>2</v>
      </c>
      <c r="CD188">
        <v>1.423</v>
      </c>
      <c r="CE188">
        <v>4.0000000000000001E-3</v>
      </c>
    </row>
    <row r="189" spans="2:83" hidden="1" x14ac:dyDescent="0.2">
      <c r="B189" t="str">
        <f>ROW()-1&amp;"_AltersInvert"</f>
        <v>188_AltersInvert</v>
      </c>
      <c r="C189" t="str">
        <f>D189&amp;"_"&amp;
SUBSTITUTE(TRIM(V189)," ","_")&amp;"_"&amp;
TRIM(AC189)&amp;"_"&amp;
"CO2"&amp;TEXT(AN189,"0.00")&amp;"_"&amp;
"pH"&amp;TEXT(AR189,"0.00")&amp;"_"&amp;
"T"&amp;TEXT(BC189,"0.##")</f>
        <v>23_Paracentrotus_lividus_LARVA_CO2311.00_pH8.10_T18.8</v>
      </c>
      <c r="D189">
        <v>23</v>
      </c>
      <c r="G189" t="s">
        <v>43</v>
      </c>
      <c r="H189" t="s">
        <v>307</v>
      </c>
      <c r="J189">
        <v>2015</v>
      </c>
      <c r="M189" t="s">
        <v>308</v>
      </c>
      <c r="P189" t="s">
        <v>1135</v>
      </c>
      <c r="R189" t="s">
        <v>1127</v>
      </c>
      <c r="S189" t="s">
        <v>1128</v>
      </c>
      <c r="T189" t="s">
        <v>46</v>
      </c>
      <c r="U189" t="s">
        <v>309</v>
      </c>
      <c r="V189" t="s">
        <v>310</v>
      </c>
      <c r="Z189" t="s">
        <v>49</v>
      </c>
      <c r="AA189" t="s">
        <v>49</v>
      </c>
      <c r="AB189" t="s">
        <v>71</v>
      </c>
      <c r="AC189" t="s">
        <v>72</v>
      </c>
      <c r="AD189" t="s">
        <v>52</v>
      </c>
      <c r="AE189" t="s">
        <v>53</v>
      </c>
      <c r="AF189" t="s">
        <v>52</v>
      </c>
      <c r="AG189" t="s">
        <v>54</v>
      </c>
      <c r="AH189" t="s">
        <v>55</v>
      </c>
      <c r="AK189">
        <v>15</v>
      </c>
      <c r="AL189">
        <v>15</v>
      </c>
      <c r="AN189">
        <v>311</v>
      </c>
      <c r="AO189" t="s">
        <v>56</v>
      </c>
      <c r="AP189" t="s">
        <v>56</v>
      </c>
      <c r="AQ189" t="s">
        <v>57</v>
      </c>
      <c r="AR189">
        <v>8.1</v>
      </c>
      <c r="AS189" t="s">
        <v>56</v>
      </c>
      <c r="AT189">
        <v>0</v>
      </c>
      <c r="AU189">
        <v>885</v>
      </c>
      <c r="AV189" t="s">
        <v>56</v>
      </c>
      <c r="AW189" t="s">
        <v>56</v>
      </c>
      <c r="AX189">
        <v>7.7</v>
      </c>
      <c r="AY189" t="s">
        <v>56</v>
      </c>
      <c r="AZ189">
        <v>0</v>
      </c>
      <c r="BB189">
        <f>LOG(AU189)</f>
        <v>2.9469432706978256</v>
      </c>
      <c r="BC189">
        <v>18.8</v>
      </c>
      <c r="BD189" t="s">
        <v>56</v>
      </c>
      <c r="BE189">
        <v>0.2</v>
      </c>
      <c r="BF189">
        <v>18.8</v>
      </c>
      <c r="BG189" t="s">
        <v>56</v>
      </c>
      <c r="BH189">
        <v>0.2</v>
      </c>
      <c r="BI189">
        <v>575</v>
      </c>
      <c r="BJ189">
        <v>0</v>
      </c>
      <c r="BK189" t="s">
        <v>56</v>
      </c>
      <c r="BL189" t="s">
        <v>262</v>
      </c>
      <c r="BM189" t="s">
        <v>262</v>
      </c>
      <c r="BN189" t="s">
        <v>81</v>
      </c>
      <c r="BO189" t="s">
        <v>180</v>
      </c>
      <c r="BP189" t="s">
        <v>92</v>
      </c>
      <c r="BQ189" t="s">
        <v>92</v>
      </c>
      <c r="BR189" t="s">
        <v>63</v>
      </c>
      <c r="BT189">
        <v>0.48</v>
      </c>
      <c r="BU189">
        <v>0.48</v>
      </c>
      <c r="BV189">
        <v>0</v>
      </c>
      <c r="BW189">
        <f>BV189*SQRT(AK189)</f>
        <v>0</v>
      </c>
      <c r="BX189">
        <v>0.43</v>
      </c>
      <c r="BY189">
        <v>0.43</v>
      </c>
      <c r="BZ189">
        <v>0.01</v>
      </c>
      <c r="CA189">
        <f>BZ189*SQRT(AL189)</f>
        <v>3.8729833462074169E-2</v>
      </c>
      <c r="CB189">
        <v>30</v>
      </c>
      <c r="CC189">
        <v>5</v>
      </c>
      <c r="CD189">
        <v>-0.11</v>
      </c>
      <c r="CE189">
        <v>2.0000000000000001E-4</v>
      </c>
    </row>
    <row r="190" spans="2:83" hidden="1" x14ac:dyDescent="0.2">
      <c r="B190" t="str">
        <f>ROW()-1&amp;"_AltersInvert"</f>
        <v>189_AltersInvert</v>
      </c>
      <c r="C190" t="str">
        <f>D190&amp;"_"&amp;
SUBSTITUTE(TRIM(V190)," ","_")&amp;"_"&amp;
TRIM(AC190)&amp;"_"&amp;
"CO2"&amp;TEXT(AN190,"0.00")&amp;"_"&amp;
"pH"&amp;TEXT(AR190,"0.00")&amp;"_"&amp;
"T"&amp;TEXT(BC190,"0.##")</f>
        <v>23_Paracentrotus_lividus_LARVA_CO2311.00_pH8.10_T18.8</v>
      </c>
      <c r="D190">
        <v>23</v>
      </c>
      <c r="G190" t="s">
        <v>43</v>
      </c>
      <c r="H190" t="s">
        <v>307</v>
      </c>
      <c r="J190">
        <v>2015</v>
      </c>
      <c r="M190" t="s">
        <v>308</v>
      </c>
      <c r="P190" t="s">
        <v>1135</v>
      </c>
      <c r="R190" t="s">
        <v>1127</v>
      </c>
      <c r="S190" t="s">
        <v>1128</v>
      </c>
      <c r="T190" t="s">
        <v>46</v>
      </c>
      <c r="U190" t="s">
        <v>309</v>
      </c>
      <c r="V190" t="s">
        <v>310</v>
      </c>
      <c r="Z190" t="s">
        <v>49</v>
      </c>
      <c r="AA190" t="s">
        <v>49</v>
      </c>
      <c r="AB190" t="s">
        <v>71</v>
      </c>
      <c r="AC190" t="s">
        <v>72</v>
      </c>
      <c r="AD190" t="s">
        <v>52</v>
      </c>
      <c r="AE190" t="s">
        <v>53</v>
      </c>
      <c r="AF190" t="s">
        <v>54</v>
      </c>
      <c r="AG190" t="s">
        <v>52</v>
      </c>
      <c r="AH190" t="s">
        <v>65</v>
      </c>
      <c r="AK190">
        <v>15</v>
      </c>
      <c r="AL190">
        <v>15</v>
      </c>
      <c r="AN190">
        <v>311</v>
      </c>
      <c r="AO190" t="s">
        <v>56</v>
      </c>
      <c r="AP190" t="s">
        <v>56</v>
      </c>
      <c r="AQ190" t="s">
        <v>57</v>
      </c>
      <c r="AR190">
        <v>8.1</v>
      </c>
      <c r="AS190" t="s">
        <v>56</v>
      </c>
      <c r="AT190">
        <v>0</v>
      </c>
      <c r="AU190">
        <v>305</v>
      </c>
      <c r="AV190" t="s">
        <v>56</v>
      </c>
      <c r="AW190" t="s">
        <v>56</v>
      </c>
      <c r="AX190">
        <v>8.1</v>
      </c>
      <c r="AY190" t="s">
        <v>56</v>
      </c>
      <c r="AZ190">
        <v>0</v>
      </c>
      <c r="BB190">
        <f>LOG(AU190)</f>
        <v>2.4842998393467859</v>
      </c>
      <c r="BC190">
        <v>18.8</v>
      </c>
      <c r="BD190" t="s">
        <v>56</v>
      </c>
      <c r="BE190">
        <v>0.2</v>
      </c>
      <c r="BF190">
        <v>20.5</v>
      </c>
      <c r="BG190" t="s">
        <v>56</v>
      </c>
      <c r="BH190">
        <v>0.2</v>
      </c>
      <c r="BI190">
        <v>-6</v>
      </c>
      <c r="BJ190">
        <v>1.7</v>
      </c>
      <c r="BK190" t="s">
        <v>56</v>
      </c>
      <c r="BL190" t="s">
        <v>262</v>
      </c>
      <c r="BM190" t="s">
        <v>262</v>
      </c>
      <c r="BN190" t="s">
        <v>81</v>
      </c>
      <c r="BO190" t="s">
        <v>180</v>
      </c>
      <c r="BP190" t="s">
        <v>92</v>
      </c>
      <c r="BQ190" t="s">
        <v>92</v>
      </c>
      <c r="BR190" t="s">
        <v>63</v>
      </c>
      <c r="BT190">
        <v>0.48</v>
      </c>
      <c r="BU190">
        <v>0.48</v>
      </c>
      <c r="BV190">
        <v>0</v>
      </c>
      <c r="BW190">
        <f>BV190*SQRT(AK190)</f>
        <v>0</v>
      </c>
      <c r="BX190">
        <v>0.5</v>
      </c>
      <c r="BY190">
        <v>0.5</v>
      </c>
      <c r="BZ190">
        <v>0</v>
      </c>
      <c r="CA190">
        <f>BZ190*SQRT(AL190)</f>
        <v>0</v>
      </c>
      <c r="CB190">
        <v>30</v>
      </c>
      <c r="CC190">
        <v>5</v>
      </c>
      <c r="CD190">
        <v>4.1000000000000002E-2</v>
      </c>
      <c r="CE190">
        <v>1E-4</v>
      </c>
    </row>
    <row r="191" spans="2:83" hidden="1" x14ac:dyDescent="0.2">
      <c r="B191" t="str">
        <f>ROW()-1&amp;"_AltersInvert"</f>
        <v>190_AltersInvert</v>
      </c>
      <c r="C191" t="str">
        <f>D191&amp;"_"&amp;
SUBSTITUTE(TRIM(V191)," ","_")&amp;"_"&amp;
TRIM(AC191)&amp;"_"&amp;
"CO2"&amp;TEXT(AN191,"0.00")&amp;"_"&amp;
"pH"&amp;TEXT(AR191,"0.00")&amp;"_"&amp;
"T"&amp;TEXT(BC191,"0.##")</f>
        <v>23_Paracentrotus_lividus_LARVA_CO2311.00_pH8.10_T18.8</v>
      </c>
      <c r="D191">
        <v>23</v>
      </c>
      <c r="G191" t="s">
        <v>43</v>
      </c>
      <c r="H191" t="s">
        <v>307</v>
      </c>
      <c r="J191">
        <v>2015</v>
      </c>
      <c r="M191" t="s">
        <v>308</v>
      </c>
      <c r="P191" t="s">
        <v>1135</v>
      </c>
      <c r="R191" t="s">
        <v>1127</v>
      </c>
      <c r="S191" t="s">
        <v>1128</v>
      </c>
      <c r="T191" t="s">
        <v>46</v>
      </c>
      <c r="U191" t="s">
        <v>309</v>
      </c>
      <c r="V191" t="s">
        <v>310</v>
      </c>
      <c r="Z191" t="s">
        <v>49</v>
      </c>
      <c r="AA191" t="s">
        <v>49</v>
      </c>
      <c r="AB191" t="s">
        <v>71</v>
      </c>
      <c r="AC191" t="s">
        <v>72</v>
      </c>
      <c r="AD191" t="s">
        <v>52</v>
      </c>
      <c r="AE191" t="s">
        <v>53</v>
      </c>
      <c r="AF191" t="s">
        <v>54</v>
      </c>
      <c r="AG191" t="s">
        <v>52</v>
      </c>
      <c r="AH191" t="s">
        <v>65</v>
      </c>
      <c r="AK191">
        <v>15</v>
      </c>
      <c r="AL191">
        <v>15</v>
      </c>
      <c r="AN191">
        <v>311</v>
      </c>
      <c r="AO191" t="s">
        <v>56</v>
      </c>
      <c r="AP191" t="s">
        <v>56</v>
      </c>
      <c r="AQ191" t="s">
        <v>57</v>
      </c>
      <c r="AR191">
        <v>8.1</v>
      </c>
      <c r="AS191" t="s">
        <v>56</v>
      </c>
      <c r="AT191">
        <v>0</v>
      </c>
      <c r="AU191">
        <v>314</v>
      </c>
      <c r="AV191" t="s">
        <v>56</v>
      </c>
      <c r="AW191" t="s">
        <v>56</v>
      </c>
      <c r="AX191">
        <v>8.1</v>
      </c>
      <c r="AY191" t="s">
        <v>56</v>
      </c>
      <c r="AZ191">
        <v>0</v>
      </c>
      <c r="BB191">
        <f>LOG(AU191)</f>
        <v>2.4969296480732148</v>
      </c>
      <c r="BC191">
        <v>18.8</v>
      </c>
      <c r="BD191" t="s">
        <v>56</v>
      </c>
      <c r="BE191">
        <v>0.2</v>
      </c>
      <c r="BF191">
        <v>22.5</v>
      </c>
      <c r="BG191" t="s">
        <v>56</v>
      </c>
      <c r="BH191">
        <v>0.2</v>
      </c>
      <c r="BI191">
        <v>3</v>
      </c>
      <c r="BJ191">
        <v>3.7</v>
      </c>
      <c r="BK191" t="s">
        <v>56</v>
      </c>
      <c r="BL191" t="s">
        <v>262</v>
      </c>
      <c r="BM191" t="s">
        <v>262</v>
      </c>
      <c r="BN191" t="s">
        <v>81</v>
      </c>
      <c r="BO191" t="s">
        <v>180</v>
      </c>
      <c r="BP191" t="s">
        <v>92</v>
      </c>
      <c r="BQ191" t="s">
        <v>92</v>
      </c>
      <c r="BR191" t="s">
        <v>63</v>
      </c>
      <c r="BT191">
        <v>0.48</v>
      </c>
      <c r="BU191">
        <v>0.48</v>
      </c>
      <c r="BV191">
        <v>0</v>
      </c>
      <c r="BW191">
        <f>BV191*SQRT(AK191)</f>
        <v>0</v>
      </c>
      <c r="BX191">
        <v>0.52</v>
      </c>
      <c r="BY191">
        <v>0.52</v>
      </c>
      <c r="BZ191">
        <v>0</v>
      </c>
      <c r="CA191">
        <f>BZ191*SQRT(AL191)</f>
        <v>0</v>
      </c>
      <c r="CB191">
        <v>30</v>
      </c>
      <c r="CC191">
        <v>5</v>
      </c>
      <c r="CD191">
        <v>0.08</v>
      </c>
      <c r="CE191">
        <v>1E-4</v>
      </c>
    </row>
    <row r="192" spans="2:83" hidden="1" x14ac:dyDescent="0.2">
      <c r="B192" t="str">
        <f>ROW()-1&amp;"_AltersInvert"</f>
        <v>191_AltersInvert</v>
      </c>
      <c r="C192" t="str">
        <f>D192&amp;"_"&amp;
SUBSTITUTE(TRIM(V192)," ","_")&amp;"_"&amp;
TRIM(AC192)&amp;"_"&amp;
"CO2"&amp;TEXT(AN192,"0.00")&amp;"_"&amp;
"pH"&amp;TEXT(AR192,"0.00")&amp;"_"&amp;
"T"&amp;TEXT(BC192,"0.##")</f>
        <v>23_Paracentrotus_lividus_LARVA_CO2311.00_pH8.10_T18.8</v>
      </c>
      <c r="D192">
        <v>23</v>
      </c>
      <c r="G192" t="s">
        <v>43</v>
      </c>
      <c r="H192" t="s">
        <v>307</v>
      </c>
      <c r="J192">
        <v>2015</v>
      </c>
      <c r="M192" t="s">
        <v>308</v>
      </c>
      <c r="P192" t="s">
        <v>1135</v>
      </c>
      <c r="R192" t="s">
        <v>1127</v>
      </c>
      <c r="S192" t="s">
        <v>1128</v>
      </c>
      <c r="T192" t="s">
        <v>46</v>
      </c>
      <c r="U192" t="s">
        <v>309</v>
      </c>
      <c r="V192" t="s">
        <v>310</v>
      </c>
      <c r="Z192" t="s">
        <v>49</v>
      </c>
      <c r="AA192" t="s">
        <v>49</v>
      </c>
      <c r="AB192" t="s">
        <v>71</v>
      </c>
      <c r="AC192" t="s">
        <v>72</v>
      </c>
      <c r="AD192" t="s">
        <v>52</v>
      </c>
      <c r="AE192" t="s">
        <v>53</v>
      </c>
      <c r="AF192" t="s">
        <v>52</v>
      </c>
      <c r="AG192" t="s">
        <v>52</v>
      </c>
      <c r="AH192" t="s">
        <v>64</v>
      </c>
      <c r="AK192">
        <v>15</v>
      </c>
      <c r="AL192">
        <v>15</v>
      </c>
      <c r="AN192">
        <v>311</v>
      </c>
      <c r="AO192" t="s">
        <v>56</v>
      </c>
      <c r="AP192" t="s">
        <v>56</v>
      </c>
      <c r="AQ192" t="s">
        <v>57</v>
      </c>
      <c r="AR192">
        <v>8.1</v>
      </c>
      <c r="AS192" t="s">
        <v>56</v>
      </c>
      <c r="AT192">
        <v>0</v>
      </c>
      <c r="AU192">
        <v>1838</v>
      </c>
      <c r="AV192" t="s">
        <v>56</v>
      </c>
      <c r="AW192" t="s">
        <v>56</v>
      </c>
      <c r="AX192">
        <v>7.4</v>
      </c>
      <c r="AY192" t="s">
        <v>56</v>
      </c>
      <c r="AZ192">
        <v>0</v>
      </c>
      <c r="BB192">
        <f>LOG(AU192)</f>
        <v>3.2643455070500926</v>
      </c>
      <c r="BC192">
        <v>18.8</v>
      </c>
      <c r="BD192" t="s">
        <v>56</v>
      </c>
      <c r="BE192">
        <v>0.2</v>
      </c>
      <c r="BF192">
        <v>20.5</v>
      </c>
      <c r="BG192" t="s">
        <v>56</v>
      </c>
      <c r="BH192">
        <v>0.2</v>
      </c>
      <c r="BI192">
        <v>1528</v>
      </c>
      <c r="BJ192">
        <v>1.7</v>
      </c>
      <c r="BK192" t="s">
        <v>56</v>
      </c>
      <c r="BL192" t="s">
        <v>262</v>
      </c>
      <c r="BM192" t="s">
        <v>262</v>
      </c>
      <c r="BN192" t="s">
        <v>81</v>
      </c>
      <c r="BO192" t="s">
        <v>180</v>
      </c>
      <c r="BP192" t="s">
        <v>92</v>
      </c>
      <c r="BQ192" t="s">
        <v>92</v>
      </c>
      <c r="BR192" t="s">
        <v>63</v>
      </c>
      <c r="BT192">
        <v>0.48</v>
      </c>
      <c r="BU192">
        <v>0.48</v>
      </c>
      <c r="BV192">
        <v>0</v>
      </c>
      <c r="BW192">
        <f>BV192*SQRT(AK192)</f>
        <v>0</v>
      </c>
      <c r="BX192">
        <v>0.43</v>
      </c>
      <c r="BY192">
        <v>0.43</v>
      </c>
      <c r="BZ192">
        <v>0.01</v>
      </c>
      <c r="CA192">
        <f>BZ192*SQRT(AL192)</f>
        <v>3.8729833462074169E-2</v>
      </c>
      <c r="CB192">
        <v>30</v>
      </c>
      <c r="CC192">
        <v>5</v>
      </c>
      <c r="CD192">
        <v>-0.11</v>
      </c>
      <c r="CE192">
        <v>4.0000000000000002E-4</v>
      </c>
    </row>
    <row r="193" spans="1:84" hidden="1" x14ac:dyDescent="0.2">
      <c r="B193" t="str">
        <f>ROW()-1&amp;"_AltersInvert"</f>
        <v>192_AltersInvert</v>
      </c>
      <c r="C193" t="str">
        <f>D193&amp;"_"&amp;
SUBSTITUTE(TRIM(V193)," ","_")&amp;"_"&amp;
TRIM(AC193)&amp;"_"&amp;
"CO2"&amp;TEXT(AN193,"0.00")&amp;"_"&amp;
"pH"&amp;TEXT(AR193,"0.00")&amp;"_"&amp;
"T"&amp;TEXT(BC193,"0.##")</f>
        <v>23_Paracentrotus_lividus_LARVA_CO2311.00_pH8.10_T18.8</v>
      </c>
      <c r="D193">
        <v>23</v>
      </c>
      <c r="G193" t="s">
        <v>43</v>
      </c>
      <c r="H193" t="s">
        <v>307</v>
      </c>
      <c r="J193">
        <v>2015</v>
      </c>
      <c r="M193" t="s">
        <v>308</v>
      </c>
      <c r="P193" t="s">
        <v>1135</v>
      </c>
      <c r="R193" t="s">
        <v>1127</v>
      </c>
      <c r="S193" t="s">
        <v>1128</v>
      </c>
      <c r="T193" t="s">
        <v>46</v>
      </c>
      <c r="U193" t="s">
        <v>309</v>
      </c>
      <c r="V193" t="s">
        <v>310</v>
      </c>
      <c r="Z193" t="s">
        <v>49</v>
      </c>
      <c r="AA193" t="s">
        <v>49</v>
      </c>
      <c r="AB193" t="s">
        <v>71</v>
      </c>
      <c r="AC193" t="s">
        <v>72</v>
      </c>
      <c r="AD193" t="s">
        <v>52</v>
      </c>
      <c r="AE193" t="s">
        <v>53</v>
      </c>
      <c r="AF193" t="s">
        <v>52</v>
      </c>
      <c r="AG193" t="s">
        <v>52</v>
      </c>
      <c r="AH193" t="s">
        <v>64</v>
      </c>
      <c r="AK193">
        <v>15</v>
      </c>
      <c r="AL193">
        <v>15</v>
      </c>
      <c r="AN193">
        <v>311</v>
      </c>
      <c r="AO193" t="s">
        <v>56</v>
      </c>
      <c r="AP193" t="s">
        <v>56</v>
      </c>
      <c r="AQ193" t="s">
        <v>57</v>
      </c>
      <c r="AR193">
        <v>8.1</v>
      </c>
      <c r="AS193" t="s">
        <v>56</v>
      </c>
      <c r="AT193">
        <v>0</v>
      </c>
      <c r="AU193">
        <v>1898</v>
      </c>
      <c r="AV193" t="s">
        <v>56</v>
      </c>
      <c r="AW193" t="s">
        <v>56</v>
      </c>
      <c r="AX193">
        <v>7.4</v>
      </c>
      <c r="AY193" t="s">
        <v>56</v>
      </c>
      <c r="AZ193">
        <v>0</v>
      </c>
      <c r="BB193">
        <f>LOG(AU193)</f>
        <v>3.2782962080912736</v>
      </c>
      <c r="BC193">
        <v>18.8</v>
      </c>
      <c r="BD193" t="s">
        <v>56</v>
      </c>
      <c r="BE193">
        <v>0.2</v>
      </c>
      <c r="BF193">
        <v>22.5</v>
      </c>
      <c r="BG193" t="s">
        <v>56</v>
      </c>
      <c r="BH193">
        <v>0.2</v>
      </c>
      <c r="BI193">
        <v>1587</v>
      </c>
      <c r="BJ193">
        <v>3.7</v>
      </c>
      <c r="BK193" t="s">
        <v>56</v>
      </c>
      <c r="BL193" t="s">
        <v>262</v>
      </c>
      <c r="BM193" t="s">
        <v>262</v>
      </c>
      <c r="BN193" t="s">
        <v>81</v>
      </c>
      <c r="BO193" t="s">
        <v>180</v>
      </c>
      <c r="BP193" t="s">
        <v>92</v>
      </c>
      <c r="BQ193" t="s">
        <v>92</v>
      </c>
      <c r="BR193" t="s">
        <v>63</v>
      </c>
      <c r="BT193">
        <v>0.48</v>
      </c>
      <c r="BU193">
        <v>0.48</v>
      </c>
      <c r="BV193">
        <v>0</v>
      </c>
      <c r="BW193">
        <f>BV193*SQRT(AK193)</f>
        <v>0</v>
      </c>
      <c r="BX193">
        <v>0.45</v>
      </c>
      <c r="BY193">
        <v>0.45</v>
      </c>
      <c r="BZ193">
        <v>0.01</v>
      </c>
      <c r="CA193">
        <f>BZ193*SQRT(AL193)</f>
        <v>3.8729833462074169E-2</v>
      </c>
      <c r="CB193">
        <v>30</v>
      </c>
      <c r="CC193">
        <v>5</v>
      </c>
      <c r="CD193">
        <v>-6.5000000000000002E-2</v>
      </c>
      <c r="CE193">
        <v>2.9999999999999997E-4</v>
      </c>
    </row>
    <row r="194" spans="1:84" hidden="1" x14ac:dyDescent="0.2">
      <c r="B194" t="str">
        <f>ROW()-1&amp;"_AltersInvert"</f>
        <v>193_AltersInvert</v>
      </c>
      <c r="C194" t="str">
        <f>D194&amp;"_"&amp;
SUBSTITUTE(TRIM(V194)," ","_")&amp;"_"&amp;
TRIM(AC194)&amp;"_"&amp;
"CO2"&amp;TEXT(AN194,"0.00")&amp;"_"&amp;
"pH"&amp;TEXT(AR194,"0.00")&amp;"_"&amp;
"T"&amp;TEXT(BC194,"0.##")</f>
        <v>23_Paracentrotus_lividus_LARVA_CO2311.00_pH8.10_T18.8</v>
      </c>
      <c r="D194">
        <v>23</v>
      </c>
      <c r="G194" t="s">
        <v>43</v>
      </c>
      <c r="H194" t="s">
        <v>307</v>
      </c>
      <c r="J194">
        <v>2015</v>
      </c>
      <c r="M194" t="s">
        <v>308</v>
      </c>
      <c r="P194" t="s">
        <v>1135</v>
      </c>
      <c r="R194" t="s">
        <v>1127</v>
      </c>
      <c r="S194" t="s">
        <v>1128</v>
      </c>
      <c r="T194" t="s">
        <v>46</v>
      </c>
      <c r="U194" t="s">
        <v>309</v>
      </c>
      <c r="V194" t="s">
        <v>310</v>
      </c>
      <c r="Z194" t="s">
        <v>49</v>
      </c>
      <c r="AA194" t="s">
        <v>49</v>
      </c>
      <c r="AB194" t="s">
        <v>71</v>
      </c>
      <c r="AC194" t="s">
        <v>72</v>
      </c>
      <c r="AD194" t="s">
        <v>52</v>
      </c>
      <c r="AE194" t="s">
        <v>53</v>
      </c>
      <c r="AF194" t="s">
        <v>52</v>
      </c>
      <c r="AG194" t="s">
        <v>52</v>
      </c>
      <c r="AH194" t="s">
        <v>64</v>
      </c>
      <c r="AK194">
        <v>15</v>
      </c>
      <c r="AL194">
        <v>15</v>
      </c>
      <c r="AN194">
        <v>311</v>
      </c>
      <c r="AO194" t="s">
        <v>56</v>
      </c>
      <c r="AP194" t="s">
        <v>56</v>
      </c>
      <c r="AQ194" t="s">
        <v>57</v>
      </c>
      <c r="AR194">
        <v>8.1</v>
      </c>
      <c r="AS194" t="s">
        <v>56</v>
      </c>
      <c r="AT194">
        <v>0</v>
      </c>
      <c r="AU194">
        <v>884</v>
      </c>
      <c r="AV194" t="s">
        <v>56</v>
      </c>
      <c r="AW194" t="s">
        <v>56</v>
      </c>
      <c r="AX194">
        <v>7.7</v>
      </c>
      <c r="AY194" t="s">
        <v>56</v>
      </c>
      <c r="AZ194">
        <v>0</v>
      </c>
      <c r="BB194">
        <f>LOG(AU194)</f>
        <v>2.9464522650130731</v>
      </c>
      <c r="BC194">
        <v>18.8</v>
      </c>
      <c r="BD194" t="s">
        <v>56</v>
      </c>
      <c r="BE194">
        <v>0.2</v>
      </c>
      <c r="BF194">
        <v>20.5</v>
      </c>
      <c r="BG194" t="s">
        <v>56</v>
      </c>
      <c r="BH194">
        <v>0.2</v>
      </c>
      <c r="BI194">
        <v>573</v>
      </c>
      <c r="BJ194">
        <v>1.7</v>
      </c>
      <c r="BK194" t="s">
        <v>56</v>
      </c>
      <c r="BL194" t="s">
        <v>262</v>
      </c>
      <c r="BM194" t="s">
        <v>262</v>
      </c>
      <c r="BN194" t="s">
        <v>81</v>
      </c>
      <c r="BO194" t="s">
        <v>180</v>
      </c>
      <c r="BP194" t="s">
        <v>92</v>
      </c>
      <c r="BQ194" t="s">
        <v>92</v>
      </c>
      <c r="BR194" t="s">
        <v>63</v>
      </c>
      <c r="BT194">
        <v>0.48</v>
      </c>
      <c r="BU194">
        <v>0.48</v>
      </c>
      <c r="BV194">
        <v>0</v>
      </c>
      <c r="BW194">
        <f>BV194*SQRT(AK194)</f>
        <v>0</v>
      </c>
      <c r="BX194">
        <v>0.47</v>
      </c>
      <c r="BY194">
        <v>0.47</v>
      </c>
      <c r="BZ194">
        <v>0</v>
      </c>
      <c r="CA194">
        <f>BZ194*SQRT(AL194)</f>
        <v>0</v>
      </c>
      <c r="CB194">
        <v>30</v>
      </c>
      <c r="CC194">
        <v>5</v>
      </c>
      <c r="CD194">
        <v>-2.1000000000000001E-2</v>
      </c>
      <c r="CE194">
        <v>1E-4</v>
      </c>
    </row>
    <row r="195" spans="1:84" x14ac:dyDescent="0.2">
      <c r="D195">
        <v>9</v>
      </c>
      <c r="G195" t="s">
        <v>43</v>
      </c>
      <c r="H195" t="s">
        <v>184</v>
      </c>
      <c r="J195">
        <v>2018</v>
      </c>
      <c r="M195" t="s">
        <v>185</v>
      </c>
      <c r="T195" t="s">
        <v>131</v>
      </c>
      <c r="U195" t="s">
        <v>186</v>
      </c>
      <c r="V195" t="s">
        <v>187</v>
      </c>
      <c r="Z195" t="s">
        <v>49</v>
      </c>
      <c r="AA195" t="s">
        <v>49</v>
      </c>
      <c r="AB195" t="s">
        <v>71</v>
      </c>
      <c r="AC195" t="s">
        <v>51</v>
      </c>
      <c r="AD195" t="s">
        <v>52</v>
      </c>
      <c r="AE195" t="s">
        <v>53</v>
      </c>
      <c r="AF195" t="s">
        <v>54</v>
      </c>
      <c r="AG195" t="s">
        <v>52</v>
      </c>
      <c r="AH195" t="s">
        <v>65</v>
      </c>
      <c r="AK195">
        <v>3</v>
      </c>
      <c r="AL195">
        <v>2</v>
      </c>
      <c r="AN195">
        <v>474</v>
      </c>
      <c r="AO195" t="s">
        <v>56</v>
      </c>
      <c r="AP195">
        <v>20</v>
      </c>
      <c r="AQ195" t="s">
        <v>109</v>
      </c>
      <c r="AR195">
        <v>7.77</v>
      </c>
      <c r="AS195" t="s">
        <v>56</v>
      </c>
      <c r="AT195">
        <v>0.01</v>
      </c>
      <c r="AU195">
        <v>514</v>
      </c>
      <c r="AV195" t="s">
        <v>56</v>
      </c>
      <c r="AW195">
        <v>18</v>
      </c>
      <c r="AX195">
        <v>7.78</v>
      </c>
      <c r="AY195" t="s">
        <v>56</v>
      </c>
      <c r="AZ195">
        <v>0.01</v>
      </c>
      <c r="BB195">
        <f>LOG(AU195)</f>
        <v>2.7109631189952759</v>
      </c>
      <c r="BC195">
        <v>11.1</v>
      </c>
      <c r="BD195" t="s">
        <v>56</v>
      </c>
      <c r="BE195">
        <v>0</v>
      </c>
      <c r="BF195">
        <v>14</v>
      </c>
      <c r="BG195" t="s">
        <v>56</v>
      </c>
      <c r="BH195">
        <v>0</v>
      </c>
      <c r="BI195">
        <v>40</v>
      </c>
      <c r="BJ195">
        <v>2.9</v>
      </c>
      <c r="BK195" t="s">
        <v>56</v>
      </c>
      <c r="BL195" t="s">
        <v>188</v>
      </c>
      <c r="BM195" t="s">
        <v>188</v>
      </c>
      <c r="BN195" t="s">
        <v>81</v>
      </c>
      <c r="BO195" t="s">
        <v>189</v>
      </c>
      <c r="BP195" t="s">
        <v>190</v>
      </c>
      <c r="BR195" t="s">
        <v>63</v>
      </c>
      <c r="BT195">
        <v>10.33</v>
      </c>
      <c r="BU195">
        <v>10.33475</v>
      </c>
      <c r="BV195">
        <v>1.5</v>
      </c>
      <c r="BW195">
        <f>BV195*SQRT(AK195)</f>
        <v>2.598076211353316</v>
      </c>
      <c r="BX195">
        <v>0.37</v>
      </c>
      <c r="BY195">
        <v>0.3723147</v>
      </c>
      <c r="BZ195">
        <v>0.3</v>
      </c>
      <c r="CA195">
        <f>BZ195*SQRT(AL195)</f>
        <v>0.42426406871192851</v>
      </c>
      <c r="CB195">
        <v>4</v>
      </c>
      <c r="CC195">
        <v>3</v>
      </c>
      <c r="CD195">
        <v>-3.3239999999999998</v>
      </c>
      <c r="CE195">
        <v>0.67269999999999996</v>
      </c>
    </row>
    <row r="196" spans="1:84" x14ac:dyDescent="0.2">
      <c r="D196">
        <v>9</v>
      </c>
      <c r="G196" t="s">
        <v>43</v>
      </c>
      <c r="H196" t="s">
        <v>184</v>
      </c>
      <c r="J196">
        <v>2018</v>
      </c>
      <c r="M196" t="s">
        <v>185</v>
      </c>
      <c r="T196" t="s">
        <v>131</v>
      </c>
      <c r="U196" t="s">
        <v>186</v>
      </c>
      <c r="V196" t="s">
        <v>187</v>
      </c>
      <c r="Z196" t="s">
        <v>49</v>
      </c>
      <c r="AA196" t="s">
        <v>49</v>
      </c>
      <c r="AB196" t="s">
        <v>71</v>
      </c>
      <c r="AC196" t="s">
        <v>51</v>
      </c>
      <c r="AD196" t="s">
        <v>52</v>
      </c>
      <c r="AE196" t="s">
        <v>53</v>
      </c>
      <c r="AF196" t="s">
        <v>54</v>
      </c>
      <c r="AG196" t="s">
        <v>52</v>
      </c>
      <c r="AH196" t="s">
        <v>65</v>
      </c>
      <c r="AK196">
        <v>3</v>
      </c>
      <c r="AL196">
        <v>2</v>
      </c>
      <c r="AN196">
        <v>474</v>
      </c>
      <c r="AO196" t="s">
        <v>56</v>
      </c>
      <c r="AP196">
        <v>17</v>
      </c>
      <c r="AQ196" t="s">
        <v>109</v>
      </c>
      <c r="AR196">
        <v>7.77</v>
      </c>
      <c r="AS196" t="s">
        <v>56</v>
      </c>
      <c r="AT196">
        <v>0.01</v>
      </c>
      <c r="AU196">
        <v>514</v>
      </c>
      <c r="AV196" t="s">
        <v>56</v>
      </c>
      <c r="AW196">
        <v>18</v>
      </c>
      <c r="AX196">
        <v>7.78</v>
      </c>
      <c r="AY196" t="s">
        <v>56</v>
      </c>
      <c r="AZ196">
        <v>0.01</v>
      </c>
      <c r="BB196">
        <f>LOG(AU196)</f>
        <v>2.7109631189952759</v>
      </c>
      <c r="BC196">
        <v>11.1</v>
      </c>
      <c r="BD196" t="s">
        <v>56</v>
      </c>
      <c r="BE196">
        <v>0</v>
      </c>
      <c r="BF196">
        <v>14</v>
      </c>
      <c r="BG196" t="s">
        <v>56</v>
      </c>
      <c r="BH196">
        <v>0</v>
      </c>
      <c r="BI196">
        <v>40</v>
      </c>
      <c r="BJ196">
        <v>2.9</v>
      </c>
      <c r="BK196" t="s">
        <v>56</v>
      </c>
      <c r="BL196" t="s">
        <v>191</v>
      </c>
      <c r="BM196" t="s">
        <v>192</v>
      </c>
      <c r="BN196" t="s">
        <v>60</v>
      </c>
      <c r="BO196" t="s">
        <v>193</v>
      </c>
      <c r="BP196" t="s">
        <v>194</v>
      </c>
      <c r="BR196" t="s">
        <v>63</v>
      </c>
      <c r="BT196">
        <v>0.04</v>
      </c>
      <c r="BU196">
        <v>4.3986999999999998E-2</v>
      </c>
      <c r="BV196">
        <v>0.01</v>
      </c>
      <c r="BW196">
        <f>BV196*SQRT(AK196)</f>
        <v>1.7320508075688773E-2</v>
      </c>
      <c r="BX196">
        <v>0</v>
      </c>
      <c r="BY196">
        <v>2.1334000000000001E-3</v>
      </c>
      <c r="BZ196">
        <v>0</v>
      </c>
      <c r="CA196">
        <f>BZ196*SQRT(AL196)</f>
        <v>0</v>
      </c>
      <c r="CB196">
        <v>5</v>
      </c>
      <c r="CC196">
        <v>3</v>
      </c>
      <c r="CD196">
        <v>-3.0259999999999998</v>
      </c>
      <c r="CE196">
        <v>8.09E-2</v>
      </c>
    </row>
    <row r="197" spans="1:84" x14ac:dyDescent="0.2">
      <c r="D197">
        <v>9</v>
      </c>
      <c r="G197" t="s">
        <v>43</v>
      </c>
      <c r="H197" t="s">
        <v>184</v>
      </c>
      <c r="J197">
        <v>2018</v>
      </c>
      <c r="M197" t="s">
        <v>185</v>
      </c>
      <c r="T197" t="s">
        <v>131</v>
      </c>
      <c r="U197" t="s">
        <v>186</v>
      </c>
      <c r="V197" t="s">
        <v>187</v>
      </c>
      <c r="Z197" t="s">
        <v>49</v>
      </c>
      <c r="AA197" t="s">
        <v>49</v>
      </c>
      <c r="AB197" t="s">
        <v>71</v>
      </c>
      <c r="AC197" t="s">
        <v>51</v>
      </c>
      <c r="AD197" t="s">
        <v>52</v>
      </c>
      <c r="AE197" t="s">
        <v>53</v>
      </c>
      <c r="AF197" t="s">
        <v>52</v>
      </c>
      <c r="AG197" t="s">
        <v>52</v>
      </c>
      <c r="AH197" t="s">
        <v>64</v>
      </c>
      <c r="AK197">
        <v>3</v>
      </c>
      <c r="AL197">
        <v>3</v>
      </c>
      <c r="AN197">
        <v>474</v>
      </c>
      <c r="AO197" t="s">
        <v>56</v>
      </c>
      <c r="AP197">
        <v>19</v>
      </c>
      <c r="AQ197" t="s">
        <v>109</v>
      </c>
      <c r="AR197">
        <v>7.77</v>
      </c>
      <c r="AS197" t="s">
        <v>56</v>
      </c>
      <c r="AT197">
        <v>0.01</v>
      </c>
      <c r="AU197">
        <v>2065</v>
      </c>
      <c r="AV197" t="s">
        <v>56</v>
      </c>
      <c r="AW197">
        <v>89</v>
      </c>
      <c r="AX197">
        <v>7.25</v>
      </c>
      <c r="AY197" t="s">
        <v>56</v>
      </c>
      <c r="AZ197">
        <v>0.02</v>
      </c>
      <c r="BB197">
        <f>LOG(AU197)</f>
        <v>3.3149200559924199</v>
      </c>
      <c r="BC197">
        <v>11.1</v>
      </c>
      <c r="BD197" t="s">
        <v>56</v>
      </c>
      <c r="BE197">
        <v>0</v>
      </c>
      <c r="BF197">
        <v>14</v>
      </c>
      <c r="BG197" t="s">
        <v>56</v>
      </c>
      <c r="BH197">
        <v>0</v>
      </c>
      <c r="BI197">
        <v>1591</v>
      </c>
      <c r="BJ197">
        <v>2.9</v>
      </c>
      <c r="BK197" t="s">
        <v>56</v>
      </c>
      <c r="BL197" t="s">
        <v>191</v>
      </c>
      <c r="BM197" t="s">
        <v>192</v>
      </c>
      <c r="BN197" t="s">
        <v>60</v>
      </c>
      <c r="BO197" t="s">
        <v>193</v>
      </c>
      <c r="BP197" t="s">
        <v>194</v>
      </c>
      <c r="BR197" t="s">
        <v>63</v>
      </c>
      <c r="BT197">
        <v>0.04</v>
      </c>
      <c r="BU197">
        <v>4.3986999999999998E-2</v>
      </c>
      <c r="BV197">
        <v>0.01</v>
      </c>
      <c r="BW197">
        <f>BV197*SQRT(AK197)</f>
        <v>1.7320508075688773E-2</v>
      </c>
      <c r="BX197">
        <v>0.01</v>
      </c>
      <c r="BY197">
        <v>6.5538000000000003E-3</v>
      </c>
      <c r="BZ197">
        <v>0</v>
      </c>
      <c r="CA197">
        <f>BZ197*SQRT(AL197)</f>
        <v>0</v>
      </c>
      <c r="CB197">
        <v>5</v>
      </c>
      <c r="CC197">
        <v>3</v>
      </c>
      <c r="CD197">
        <v>-1.9039999999999999</v>
      </c>
      <c r="CE197">
        <v>0.13150000000000001</v>
      </c>
    </row>
    <row r="198" spans="1:84" x14ac:dyDescent="0.2">
      <c r="D198">
        <v>9</v>
      </c>
      <c r="G198" t="s">
        <v>43</v>
      </c>
      <c r="H198" t="s">
        <v>184</v>
      </c>
      <c r="J198">
        <v>2018</v>
      </c>
      <c r="M198" t="s">
        <v>185</v>
      </c>
      <c r="T198" t="s">
        <v>131</v>
      </c>
      <c r="U198" t="s">
        <v>186</v>
      </c>
      <c r="V198" t="s">
        <v>187</v>
      </c>
      <c r="Z198" t="s">
        <v>49</v>
      </c>
      <c r="AA198" t="s">
        <v>49</v>
      </c>
      <c r="AB198" t="s">
        <v>71</v>
      </c>
      <c r="AC198" t="s">
        <v>51</v>
      </c>
      <c r="AD198" t="s">
        <v>52</v>
      </c>
      <c r="AE198" t="s">
        <v>53</v>
      </c>
      <c r="AF198" t="s">
        <v>52</v>
      </c>
      <c r="AG198" t="s">
        <v>52</v>
      </c>
      <c r="AH198" t="s">
        <v>64</v>
      </c>
      <c r="AK198">
        <v>3</v>
      </c>
      <c r="AL198">
        <v>3</v>
      </c>
      <c r="AN198">
        <v>474</v>
      </c>
      <c r="AO198" t="s">
        <v>56</v>
      </c>
      <c r="AP198">
        <v>22</v>
      </c>
      <c r="AQ198" t="s">
        <v>109</v>
      </c>
      <c r="AR198">
        <v>7.77</v>
      </c>
      <c r="AS198" t="s">
        <v>56</v>
      </c>
      <c r="AT198">
        <v>0.01</v>
      </c>
      <c r="AU198">
        <v>2065</v>
      </c>
      <c r="AV198" t="s">
        <v>56</v>
      </c>
      <c r="AW198">
        <v>89</v>
      </c>
      <c r="AX198">
        <v>7.25</v>
      </c>
      <c r="AY198" t="s">
        <v>56</v>
      </c>
      <c r="AZ198">
        <v>0.02</v>
      </c>
      <c r="BB198">
        <f>LOG(AU198)</f>
        <v>3.3149200559924199</v>
      </c>
      <c r="BC198">
        <v>11.1</v>
      </c>
      <c r="BD198" t="s">
        <v>56</v>
      </c>
      <c r="BE198">
        <v>0</v>
      </c>
      <c r="BF198">
        <v>14</v>
      </c>
      <c r="BG198" t="s">
        <v>56</v>
      </c>
      <c r="BH198">
        <v>0</v>
      </c>
      <c r="BI198">
        <v>1591</v>
      </c>
      <c r="BJ198">
        <v>2.9</v>
      </c>
      <c r="BK198" t="s">
        <v>56</v>
      </c>
      <c r="BL198" t="s">
        <v>188</v>
      </c>
      <c r="BM198" t="s">
        <v>188</v>
      </c>
      <c r="BN198" t="s">
        <v>81</v>
      </c>
      <c r="BO198" t="s">
        <v>189</v>
      </c>
      <c r="BP198" t="s">
        <v>190</v>
      </c>
      <c r="BR198" t="s">
        <v>63</v>
      </c>
      <c r="BT198">
        <v>10.33</v>
      </c>
      <c r="BU198">
        <v>10.33475</v>
      </c>
      <c r="BV198">
        <v>1.5</v>
      </c>
      <c r="BW198">
        <f>BV198*SQRT(AK198)</f>
        <v>2.598076211353316</v>
      </c>
      <c r="BX198">
        <v>1.91</v>
      </c>
      <c r="BY198">
        <v>1.9123218</v>
      </c>
      <c r="BZ198">
        <v>0.21</v>
      </c>
      <c r="CA198">
        <f>BZ198*SQRT(AL198)</f>
        <v>0.36373066958946421</v>
      </c>
      <c r="CB198">
        <v>4</v>
      </c>
      <c r="CC198">
        <v>3</v>
      </c>
      <c r="CD198">
        <v>-1.6870000000000001</v>
      </c>
      <c r="CE198">
        <v>3.3799999999999997E-2</v>
      </c>
    </row>
    <row r="199" spans="1:84" s="8" customFormat="1" hidden="1" x14ac:dyDescent="0.2">
      <c r="A199"/>
      <c r="B199" t="str">
        <f>ROW()-1&amp;"_AltersInvert"</f>
        <v>198_AltersInvert</v>
      </c>
      <c r="C199" t="str">
        <f>D199&amp;"_"&amp;
SUBSTITUTE(TRIM(V199)," ","_")&amp;"_"&amp;
TRIM(AC199)&amp;"_"&amp;
"CO2"&amp;TEXT(AN199,"0.00")&amp;"_"&amp;
"pH"&amp;TEXT(AR199,"0.00")&amp;"_"&amp;
"T"&amp;TEXT(BC199,"0.##")</f>
        <v>23_Paracentrotus_lividus_LARVA_CO2311.00_pH8.10_T18.8</v>
      </c>
      <c r="D199">
        <v>23</v>
      </c>
      <c r="E199"/>
      <c r="F199"/>
      <c r="G199" t="s">
        <v>43</v>
      </c>
      <c r="H199" t="s">
        <v>307</v>
      </c>
      <c r="I199"/>
      <c r="J199">
        <v>2015</v>
      </c>
      <c r="K199"/>
      <c r="L199"/>
      <c r="M199" t="s">
        <v>308</v>
      </c>
      <c r="N199"/>
      <c r="O199"/>
      <c r="P199" t="s">
        <v>1135</v>
      </c>
      <c r="Q199"/>
      <c r="R199" t="s">
        <v>1127</v>
      </c>
      <c r="S199" t="s">
        <v>1128</v>
      </c>
      <c r="T199" t="s">
        <v>46</v>
      </c>
      <c r="U199" t="s">
        <v>309</v>
      </c>
      <c r="V199" t="s">
        <v>310</v>
      </c>
      <c r="W199"/>
      <c r="X199"/>
      <c r="Y199"/>
      <c r="Z199" t="s">
        <v>49</v>
      </c>
      <c r="AA199" t="s">
        <v>49</v>
      </c>
      <c r="AB199" t="s">
        <v>71</v>
      </c>
      <c r="AC199" t="s">
        <v>72</v>
      </c>
      <c r="AD199" t="s">
        <v>52</v>
      </c>
      <c r="AE199" t="s">
        <v>53</v>
      </c>
      <c r="AF199" t="s">
        <v>52</v>
      </c>
      <c r="AG199" t="s">
        <v>52</v>
      </c>
      <c r="AH199" t="s">
        <v>64</v>
      </c>
      <c r="AI199"/>
      <c r="AJ199"/>
      <c r="AK199">
        <v>15</v>
      </c>
      <c r="AL199">
        <v>15</v>
      </c>
      <c r="AM199"/>
      <c r="AN199">
        <v>311</v>
      </c>
      <c r="AO199" t="s">
        <v>56</v>
      </c>
      <c r="AP199" t="s">
        <v>56</v>
      </c>
      <c r="AQ199" t="s">
        <v>57</v>
      </c>
      <c r="AR199">
        <v>8.1</v>
      </c>
      <c r="AS199" t="s">
        <v>56</v>
      </c>
      <c r="AT199">
        <v>0</v>
      </c>
      <c r="AU199">
        <v>916</v>
      </c>
      <c r="AV199" t="s">
        <v>56</v>
      </c>
      <c r="AW199" t="s">
        <v>56</v>
      </c>
      <c r="AX199">
        <v>7.7</v>
      </c>
      <c r="AY199" t="s">
        <v>56</v>
      </c>
      <c r="AZ199">
        <v>0</v>
      </c>
      <c r="BA199"/>
      <c r="BB199">
        <f>LOG(AU199)</f>
        <v>2.9618954736678504</v>
      </c>
      <c r="BC199">
        <v>18.8</v>
      </c>
      <c r="BD199" t="s">
        <v>56</v>
      </c>
      <c r="BE199">
        <v>0.2</v>
      </c>
      <c r="BF199">
        <v>22.5</v>
      </c>
      <c r="BG199" t="s">
        <v>56</v>
      </c>
      <c r="BH199">
        <v>0.2</v>
      </c>
      <c r="BI199">
        <v>605</v>
      </c>
      <c r="BJ199">
        <v>3.7</v>
      </c>
      <c r="BK199" t="s">
        <v>56</v>
      </c>
      <c r="BL199" t="s">
        <v>262</v>
      </c>
      <c r="BM199" t="s">
        <v>262</v>
      </c>
      <c r="BN199" t="s">
        <v>81</v>
      </c>
      <c r="BO199" t="s">
        <v>180</v>
      </c>
      <c r="BP199" t="s">
        <v>92</v>
      </c>
      <c r="BQ199" t="s">
        <v>92</v>
      </c>
      <c r="BR199" t="s">
        <v>63</v>
      </c>
      <c r="BS199"/>
      <c r="BT199">
        <v>0.48</v>
      </c>
      <c r="BU199">
        <v>0.48</v>
      </c>
      <c r="BV199">
        <v>0</v>
      </c>
      <c r="BW199">
        <f>BV199*SQRT(AK199)</f>
        <v>0</v>
      </c>
      <c r="BX199">
        <v>0.48</v>
      </c>
      <c r="BY199">
        <v>0.48</v>
      </c>
      <c r="BZ199">
        <v>0</v>
      </c>
      <c r="CA199">
        <f>BZ199*SQRT(AL199)</f>
        <v>0</v>
      </c>
      <c r="CB199">
        <v>30</v>
      </c>
      <c r="CC199">
        <v>5</v>
      </c>
      <c r="CD199">
        <v>0</v>
      </c>
      <c r="CE199">
        <v>1E-4</v>
      </c>
      <c r="CF199"/>
    </row>
    <row r="200" spans="1:84" x14ac:dyDescent="0.2">
      <c r="D200">
        <v>9</v>
      </c>
      <c r="G200" t="s">
        <v>43</v>
      </c>
      <c r="H200" t="s">
        <v>184</v>
      </c>
      <c r="J200">
        <v>2018</v>
      </c>
      <c r="M200" t="s">
        <v>185</v>
      </c>
      <c r="T200" t="s">
        <v>131</v>
      </c>
      <c r="U200" t="s">
        <v>186</v>
      </c>
      <c r="V200" t="s">
        <v>187</v>
      </c>
      <c r="Z200" t="s">
        <v>49</v>
      </c>
      <c r="AA200" t="s">
        <v>49</v>
      </c>
      <c r="AB200" t="s">
        <v>71</v>
      </c>
      <c r="AC200" t="s">
        <v>51</v>
      </c>
      <c r="AD200" t="s">
        <v>52</v>
      </c>
      <c r="AE200" t="s">
        <v>53</v>
      </c>
      <c r="AF200" t="s">
        <v>52</v>
      </c>
      <c r="AG200" t="s">
        <v>54</v>
      </c>
      <c r="AH200" t="s">
        <v>55</v>
      </c>
      <c r="AK200">
        <v>3</v>
      </c>
      <c r="AL200">
        <v>3</v>
      </c>
      <c r="AN200">
        <v>474</v>
      </c>
      <c r="AO200" t="s">
        <v>56</v>
      </c>
      <c r="AP200">
        <v>18</v>
      </c>
      <c r="AQ200" t="s">
        <v>109</v>
      </c>
      <c r="AR200">
        <v>7.77</v>
      </c>
      <c r="AS200" t="s">
        <v>56</v>
      </c>
      <c r="AT200">
        <v>0.01</v>
      </c>
      <c r="AU200">
        <v>2021</v>
      </c>
      <c r="AV200" t="s">
        <v>56</v>
      </c>
      <c r="AW200">
        <v>137</v>
      </c>
      <c r="AX200">
        <v>7.22</v>
      </c>
      <c r="AY200" t="s">
        <v>56</v>
      </c>
      <c r="AZ200">
        <v>0.02</v>
      </c>
      <c r="BB200">
        <f>LOG(AU200)</f>
        <v>3.3055663135153042</v>
      </c>
      <c r="BC200">
        <v>11.1</v>
      </c>
      <c r="BD200" t="s">
        <v>56</v>
      </c>
      <c r="BE200">
        <v>0</v>
      </c>
      <c r="BF200">
        <v>11.1</v>
      </c>
      <c r="BG200" t="s">
        <v>56</v>
      </c>
      <c r="BH200">
        <v>0.1</v>
      </c>
      <c r="BI200">
        <v>1547</v>
      </c>
      <c r="BJ200">
        <v>0</v>
      </c>
      <c r="BK200" t="s">
        <v>56</v>
      </c>
      <c r="BL200" t="s">
        <v>191</v>
      </c>
      <c r="BM200" t="s">
        <v>192</v>
      </c>
      <c r="BN200" t="s">
        <v>60</v>
      </c>
      <c r="BO200" t="s">
        <v>193</v>
      </c>
      <c r="BP200" t="s">
        <v>194</v>
      </c>
      <c r="BR200" t="s">
        <v>63</v>
      </c>
      <c r="BT200">
        <v>0.04</v>
      </c>
      <c r="BU200">
        <v>4.3986999999999998E-2</v>
      </c>
      <c r="BV200">
        <v>0.01</v>
      </c>
      <c r="BW200">
        <f>BV200*SQRT(AK200)</f>
        <v>1.7320508075688773E-2</v>
      </c>
      <c r="BX200">
        <v>0.02</v>
      </c>
      <c r="BY200">
        <v>1.6406799999999999E-2</v>
      </c>
      <c r="BZ200">
        <v>0</v>
      </c>
      <c r="CA200">
        <f>BZ200*SQRT(AL200)</f>
        <v>0</v>
      </c>
      <c r="CB200">
        <v>5</v>
      </c>
      <c r="CC200">
        <v>3</v>
      </c>
      <c r="CD200">
        <v>-0.98599999999999999</v>
      </c>
      <c r="CE200">
        <v>9.9500000000000005E-2</v>
      </c>
    </row>
    <row r="201" spans="1:84" x14ac:dyDescent="0.2">
      <c r="D201">
        <v>9</v>
      </c>
      <c r="G201" t="s">
        <v>43</v>
      </c>
      <c r="H201" t="s">
        <v>184</v>
      </c>
      <c r="J201">
        <v>2018</v>
      </c>
      <c r="M201" t="s">
        <v>185</v>
      </c>
      <c r="T201" t="s">
        <v>131</v>
      </c>
      <c r="U201" t="s">
        <v>186</v>
      </c>
      <c r="V201" t="s">
        <v>187</v>
      </c>
      <c r="Z201" t="s">
        <v>49</v>
      </c>
      <c r="AA201" t="s">
        <v>49</v>
      </c>
      <c r="AB201" t="s">
        <v>71</v>
      </c>
      <c r="AC201" t="s">
        <v>51</v>
      </c>
      <c r="AD201" t="s">
        <v>52</v>
      </c>
      <c r="AE201" t="s">
        <v>53</v>
      </c>
      <c r="AF201" t="s">
        <v>52</v>
      </c>
      <c r="AG201" t="s">
        <v>54</v>
      </c>
      <c r="AH201" t="s">
        <v>55</v>
      </c>
      <c r="AK201">
        <v>3</v>
      </c>
      <c r="AL201">
        <v>3</v>
      </c>
      <c r="AN201">
        <v>474</v>
      </c>
      <c r="AO201" t="s">
        <v>56</v>
      </c>
      <c r="AP201">
        <v>21</v>
      </c>
      <c r="AQ201" t="s">
        <v>109</v>
      </c>
      <c r="AR201">
        <v>7.77</v>
      </c>
      <c r="AS201" t="s">
        <v>56</v>
      </c>
      <c r="AT201">
        <v>0.01</v>
      </c>
      <c r="AU201">
        <v>2021</v>
      </c>
      <c r="AV201" t="s">
        <v>56</v>
      </c>
      <c r="AW201">
        <v>137</v>
      </c>
      <c r="AX201">
        <v>7.22</v>
      </c>
      <c r="AY201" t="s">
        <v>56</v>
      </c>
      <c r="AZ201">
        <v>0.02</v>
      </c>
      <c r="BB201">
        <f>LOG(AU201)</f>
        <v>3.3055663135153042</v>
      </c>
      <c r="BC201">
        <v>11.1</v>
      </c>
      <c r="BD201" t="s">
        <v>56</v>
      </c>
      <c r="BE201">
        <v>0</v>
      </c>
      <c r="BF201">
        <v>11.1</v>
      </c>
      <c r="BG201" t="s">
        <v>56</v>
      </c>
      <c r="BH201">
        <v>0.1</v>
      </c>
      <c r="BI201">
        <v>1547</v>
      </c>
      <c r="BJ201">
        <v>0</v>
      </c>
      <c r="BK201" t="s">
        <v>56</v>
      </c>
      <c r="BL201" t="s">
        <v>188</v>
      </c>
      <c r="BM201" t="s">
        <v>188</v>
      </c>
      <c r="BN201" t="s">
        <v>81</v>
      </c>
      <c r="BO201" t="s">
        <v>189</v>
      </c>
      <c r="BP201" t="s">
        <v>190</v>
      </c>
      <c r="BR201" t="s">
        <v>63</v>
      </c>
      <c r="BT201">
        <v>10.33</v>
      </c>
      <c r="BU201">
        <v>10.33475</v>
      </c>
      <c r="BV201">
        <v>1.5</v>
      </c>
      <c r="BW201">
        <f>BV201*SQRT(AK201)</f>
        <v>2.598076211353316</v>
      </c>
      <c r="BX201">
        <v>4.1399999999999997</v>
      </c>
      <c r="BY201">
        <v>4.1441448999999997</v>
      </c>
      <c r="BZ201">
        <v>0.28000000000000003</v>
      </c>
      <c r="CA201">
        <f>BZ201*SQRT(AL201)</f>
        <v>0.48497422611928565</v>
      </c>
      <c r="CB201">
        <v>4</v>
      </c>
      <c r="CC201">
        <v>3</v>
      </c>
      <c r="CD201">
        <v>-0.91400000000000003</v>
      </c>
      <c r="CE201">
        <v>2.5600000000000001E-2</v>
      </c>
    </row>
    <row r="202" spans="1:84" s="8" customFormat="1" hidden="1" x14ac:dyDescent="0.2">
      <c r="B202" t="str">
        <f>ROW()-1&amp;"_AltersInvert"</f>
        <v>201_AltersInvert</v>
      </c>
      <c r="C202" t="str">
        <f>D202&amp;"_"&amp;
SUBSTITUTE(TRIM(V202)," ","_")&amp;"_"&amp;
TRIM(AC202)&amp;"_"&amp;
"CO2"&amp;TEXT(AN202,"0.00")&amp;"_"&amp;
"pH"&amp;TEXT(AR202,"0.00")&amp;"_"&amp;
"T"&amp;TEXT(BC202,"0.##")</f>
        <v>89_Paracentrotus_lividus_EMBRYO_CO2899.00_pH8.09_T19.2</v>
      </c>
      <c r="D202" s="8">
        <v>89</v>
      </c>
      <c r="G202" s="8" t="s">
        <v>43</v>
      </c>
      <c r="H202" s="8" t="s">
        <v>739</v>
      </c>
      <c r="I202" s="8" t="s">
        <v>1130</v>
      </c>
      <c r="J202" s="8">
        <v>2018</v>
      </c>
      <c r="M202" s="8" t="s">
        <v>740</v>
      </c>
      <c r="P202" t="s">
        <v>1135</v>
      </c>
      <c r="R202" s="8" t="s">
        <v>1127</v>
      </c>
      <c r="S202" t="s">
        <v>1128</v>
      </c>
      <c r="T202" s="8" t="s">
        <v>46</v>
      </c>
      <c r="U202" s="8" t="s">
        <v>309</v>
      </c>
      <c r="V202" s="8" t="s">
        <v>310</v>
      </c>
      <c r="W202" s="8" t="str">
        <f>IF(ISNUMBER(MATCH(#REF!,{"Doryteuthis pealeii","Loligo vulgaris","Leptuca thayeri","Stylocheilus striatus","Ophryotrocha labronica"},0)),"N","Y")</f>
        <v>Y</v>
      </c>
      <c r="Z202" s="8" t="s">
        <v>177</v>
      </c>
      <c r="AA202" s="8" t="s">
        <v>177</v>
      </c>
      <c r="AB202" s="8" t="s">
        <v>71</v>
      </c>
      <c r="AC202" s="8" t="s">
        <v>195</v>
      </c>
      <c r="AD202" s="8" t="s">
        <v>52</v>
      </c>
      <c r="AE202" s="8" t="s">
        <v>53</v>
      </c>
      <c r="AF202" s="8" t="s">
        <v>54</v>
      </c>
      <c r="AG202" s="8" t="s">
        <v>52</v>
      </c>
      <c r="AH202" s="8" t="s">
        <v>65</v>
      </c>
      <c r="AK202" s="8">
        <v>3</v>
      </c>
      <c r="AL202" s="8">
        <v>3</v>
      </c>
      <c r="AM202" s="8" t="s">
        <v>743</v>
      </c>
      <c r="AN202" s="8">
        <v>899</v>
      </c>
      <c r="AO202" s="8" t="s">
        <v>56</v>
      </c>
      <c r="AP202" s="8" t="s">
        <v>56</v>
      </c>
      <c r="AQ202" s="8" t="s">
        <v>56</v>
      </c>
      <c r="AR202" s="8">
        <v>8.09</v>
      </c>
      <c r="AS202" s="8" t="s">
        <v>56</v>
      </c>
      <c r="AT202" s="8">
        <v>0.03</v>
      </c>
      <c r="AU202" s="8">
        <v>1034</v>
      </c>
      <c r="AV202" t="s">
        <v>56</v>
      </c>
      <c r="AW202" t="s">
        <v>56</v>
      </c>
      <c r="AX202">
        <v>8.0500000000000007</v>
      </c>
      <c r="AY202" t="s">
        <v>56</v>
      </c>
      <c r="AZ202">
        <v>0.03</v>
      </c>
      <c r="BB202" s="8">
        <f>LOG(AU202)</f>
        <v>3.0145205387579237</v>
      </c>
      <c r="BC202" s="8">
        <v>19.2</v>
      </c>
      <c r="BD202" s="8" t="s">
        <v>56</v>
      </c>
      <c r="BE202" s="8">
        <v>0.2</v>
      </c>
      <c r="BF202" s="8">
        <v>23</v>
      </c>
      <c r="BG202" s="8" t="s">
        <v>56</v>
      </c>
      <c r="BH202" s="8">
        <v>0.1</v>
      </c>
      <c r="BI202" s="8">
        <v>135</v>
      </c>
      <c r="BJ202" s="8">
        <v>3.8</v>
      </c>
      <c r="BK202" s="8" t="s">
        <v>56</v>
      </c>
      <c r="BL202" s="8" t="s">
        <v>473</v>
      </c>
      <c r="BM202" s="8" t="s">
        <v>473</v>
      </c>
      <c r="BN202" s="8" t="s">
        <v>81</v>
      </c>
      <c r="BO202" s="8" t="s">
        <v>82</v>
      </c>
      <c r="BP202" s="8" t="s">
        <v>190</v>
      </c>
      <c r="BQ202" s="8" t="s">
        <v>9</v>
      </c>
      <c r="BR202" s="8" t="s">
        <v>84</v>
      </c>
      <c r="BT202" s="8">
        <v>100</v>
      </c>
      <c r="BU202" s="8">
        <v>100</v>
      </c>
      <c r="BV202" s="8">
        <v>0</v>
      </c>
      <c r="BW202" s="8">
        <f>BV202*SQRT(AK202)</f>
        <v>0</v>
      </c>
      <c r="BX202" s="8">
        <v>96.46</v>
      </c>
      <c r="BY202" s="8">
        <v>96.464646500000001</v>
      </c>
      <c r="BZ202" s="8">
        <v>1.17</v>
      </c>
      <c r="CA202" s="8">
        <f>BZ202*SQRT(AL202)</f>
        <v>2.026499444855586</v>
      </c>
      <c r="CB202" s="8">
        <v>0</v>
      </c>
      <c r="CC202" s="8">
        <v>12</v>
      </c>
      <c r="CD202" s="8">
        <v>-3.5999999999999997E-2</v>
      </c>
      <c r="CE202" s="8">
        <v>1E-4</v>
      </c>
      <c r="CF202" s="8" t="s">
        <v>1134</v>
      </c>
    </row>
    <row r="203" spans="1:84" x14ac:dyDescent="0.2">
      <c r="D203">
        <v>9</v>
      </c>
      <c r="G203" t="s">
        <v>43</v>
      </c>
      <c r="H203" t="s">
        <v>184</v>
      </c>
      <c r="J203">
        <v>2018</v>
      </c>
      <c r="M203" t="s">
        <v>185</v>
      </c>
      <c r="T203" t="s">
        <v>131</v>
      </c>
      <c r="U203" t="s">
        <v>186</v>
      </c>
      <c r="V203" t="s">
        <v>187</v>
      </c>
      <c r="Z203" t="s">
        <v>49</v>
      </c>
      <c r="AA203" t="s">
        <v>49</v>
      </c>
      <c r="AB203" t="s">
        <v>71</v>
      </c>
      <c r="AC203" t="s">
        <v>51</v>
      </c>
      <c r="AD203" t="s">
        <v>52</v>
      </c>
      <c r="AE203" t="s">
        <v>53</v>
      </c>
      <c r="AF203" t="s">
        <v>52</v>
      </c>
      <c r="AG203" t="s">
        <v>54</v>
      </c>
      <c r="AH203" t="s">
        <v>55</v>
      </c>
      <c r="AK203">
        <v>3</v>
      </c>
      <c r="AL203">
        <v>3</v>
      </c>
      <c r="AN203">
        <v>474</v>
      </c>
      <c r="AO203" t="s">
        <v>56</v>
      </c>
      <c r="AP203">
        <v>15</v>
      </c>
      <c r="AQ203" t="s">
        <v>109</v>
      </c>
      <c r="AR203">
        <v>7.77</v>
      </c>
      <c r="AS203" t="s">
        <v>56</v>
      </c>
      <c r="AT203">
        <v>0.01</v>
      </c>
      <c r="AU203">
        <v>2021</v>
      </c>
      <c r="AV203" t="s">
        <v>56</v>
      </c>
      <c r="AW203">
        <v>137</v>
      </c>
      <c r="AX203">
        <v>7.22</v>
      </c>
      <c r="AY203" t="s">
        <v>56</v>
      </c>
      <c r="AZ203">
        <v>0.02</v>
      </c>
      <c r="BB203">
        <f>LOG(AU203)</f>
        <v>3.3055663135153042</v>
      </c>
      <c r="BC203">
        <v>11.1</v>
      </c>
      <c r="BD203" t="s">
        <v>56</v>
      </c>
      <c r="BE203">
        <v>0</v>
      </c>
      <c r="BF203">
        <v>11.1</v>
      </c>
      <c r="BG203" t="s">
        <v>56</v>
      </c>
      <c r="BH203">
        <v>0.1</v>
      </c>
      <c r="BI203">
        <v>1547</v>
      </c>
      <c r="BJ203">
        <v>0</v>
      </c>
      <c r="BK203" t="s">
        <v>56</v>
      </c>
      <c r="BL203" t="s">
        <v>198</v>
      </c>
      <c r="BM203" t="s">
        <v>90</v>
      </c>
      <c r="BN203" t="s">
        <v>81</v>
      </c>
      <c r="BO203" t="s">
        <v>193</v>
      </c>
      <c r="BP203" t="s">
        <v>92</v>
      </c>
      <c r="BR203" t="s">
        <v>63</v>
      </c>
      <c r="BT203">
        <v>0.77</v>
      </c>
      <c r="BU203">
        <v>0.77429499999999996</v>
      </c>
      <c r="BV203">
        <v>0.02</v>
      </c>
      <c r="BW203">
        <f>BV203*SQRT(AK203)</f>
        <v>3.4641016151377546E-2</v>
      </c>
      <c r="BX203">
        <v>0.62</v>
      </c>
      <c r="BY203">
        <v>0.62068970000000001</v>
      </c>
      <c r="BZ203">
        <v>0.02</v>
      </c>
      <c r="CA203">
        <f>BZ203*SQRT(AL203)</f>
        <v>3.4641016151377546E-2</v>
      </c>
      <c r="CB203">
        <v>5</v>
      </c>
      <c r="CC203">
        <v>3</v>
      </c>
      <c r="CD203">
        <v>-0.221</v>
      </c>
      <c r="CE203">
        <v>1.1999999999999999E-3</v>
      </c>
    </row>
    <row r="204" spans="1:84" x14ac:dyDescent="0.2">
      <c r="D204">
        <v>9</v>
      </c>
      <c r="G204" t="s">
        <v>43</v>
      </c>
      <c r="H204" t="s">
        <v>184</v>
      </c>
      <c r="J204">
        <v>2018</v>
      </c>
      <c r="M204" t="s">
        <v>185</v>
      </c>
      <c r="T204" t="s">
        <v>131</v>
      </c>
      <c r="U204" t="s">
        <v>186</v>
      </c>
      <c r="V204" t="s">
        <v>187</v>
      </c>
      <c r="Z204" t="s">
        <v>49</v>
      </c>
      <c r="AA204" t="s">
        <v>49</v>
      </c>
      <c r="AB204" t="s">
        <v>71</v>
      </c>
      <c r="AC204" t="s">
        <v>51</v>
      </c>
      <c r="AD204" t="s">
        <v>52</v>
      </c>
      <c r="AE204" t="s">
        <v>53</v>
      </c>
      <c r="AF204" t="s">
        <v>52</v>
      </c>
      <c r="AG204" t="s">
        <v>52</v>
      </c>
      <c r="AH204" t="s">
        <v>64</v>
      </c>
      <c r="AK204">
        <v>3</v>
      </c>
      <c r="AL204">
        <v>3</v>
      </c>
      <c r="AN204">
        <v>474</v>
      </c>
      <c r="AO204" t="s">
        <v>56</v>
      </c>
      <c r="AP204">
        <v>16</v>
      </c>
      <c r="AQ204" t="s">
        <v>109</v>
      </c>
      <c r="AR204">
        <v>7.77</v>
      </c>
      <c r="AS204" t="s">
        <v>56</v>
      </c>
      <c r="AT204">
        <v>0.01</v>
      </c>
      <c r="AU204">
        <v>2065</v>
      </c>
      <c r="AV204" t="s">
        <v>56</v>
      </c>
      <c r="AW204">
        <v>89</v>
      </c>
      <c r="AX204">
        <v>7.25</v>
      </c>
      <c r="AY204" t="s">
        <v>56</v>
      </c>
      <c r="AZ204">
        <v>0.02</v>
      </c>
      <c r="BB204">
        <f>LOG(AU204)</f>
        <v>3.3149200559924199</v>
      </c>
      <c r="BC204">
        <v>11.1</v>
      </c>
      <c r="BD204" t="s">
        <v>56</v>
      </c>
      <c r="BE204">
        <v>0</v>
      </c>
      <c r="BF204">
        <v>14</v>
      </c>
      <c r="BG204" t="s">
        <v>56</v>
      </c>
      <c r="BH204">
        <v>0</v>
      </c>
      <c r="BI204">
        <v>1591</v>
      </c>
      <c r="BJ204">
        <v>2.9</v>
      </c>
      <c r="BK204" t="s">
        <v>56</v>
      </c>
      <c r="BL204" t="s">
        <v>198</v>
      </c>
      <c r="BM204" t="s">
        <v>90</v>
      </c>
      <c r="BN204" t="s">
        <v>81</v>
      </c>
      <c r="BO204" t="s">
        <v>193</v>
      </c>
      <c r="BP204" t="s">
        <v>92</v>
      </c>
      <c r="BR204" t="s">
        <v>63</v>
      </c>
      <c r="BT204">
        <v>0.77</v>
      </c>
      <c r="BU204">
        <v>0.77429499999999996</v>
      </c>
      <c r="BV204">
        <v>0.02</v>
      </c>
      <c r="BW204">
        <f>BV204*SQRT(AK204)</f>
        <v>3.4641016151377546E-2</v>
      </c>
      <c r="BX204">
        <v>0.64</v>
      </c>
      <c r="BY204">
        <v>0.63949840000000002</v>
      </c>
      <c r="BZ204">
        <v>0.03</v>
      </c>
      <c r="CA204">
        <f>BZ204*SQRT(AL204)</f>
        <v>5.1961524227066312E-2</v>
      </c>
      <c r="CB204">
        <v>5</v>
      </c>
      <c r="CC204">
        <v>3</v>
      </c>
      <c r="CD204">
        <v>-0.191</v>
      </c>
      <c r="CE204">
        <v>2E-3</v>
      </c>
    </row>
    <row r="205" spans="1:84" x14ac:dyDescent="0.2">
      <c r="D205">
        <v>9</v>
      </c>
      <c r="G205" t="s">
        <v>43</v>
      </c>
      <c r="H205" t="s">
        <v>184</v>
      </c>
      <c r="J205">
        <v>2018</v>
      </c>
      <c r="M205" t="s">
        <v>185</v>
      </c>
      <c r="T205" t="s">
        <v>131</v>
      </c>
      <c r="U205" t="s">
        <v>186</v>
      </c>
      <c r="V205" t="s">
        <v>187</v>
      </c>
      <c r="Z205" t="s">
        <v>49</v>
      </c>
      <c r="AA205" t="s">
        <v>49</v>
      </c>
      <c r="AB205" t="s">
        <v>71</v>
      </c>
      <c r="AC205" t="s">
        <v>51</v>
      </c>
      <c r="AD205" t="s">
        <v>52</v>
      </c>
      <c r="AE205" t="s">
        <v>53</v>
      </c>
      <c r="AF205" t="s">
        <v>54</v>
      </c>
      <c r="AG205" t="s">
        <v>52</v>
      </c>
      <c r="AH205" t="s">
        <v>65</v>
      </c>
      <c r="AK205">
        <v>3</v>
      </c>
      <c r="AL205">
        <v>2</v>
      </c>
      <c r="AN205">
        <v>474</v>
      </c>
      <c r="AO205" t="s">
        <v>56</v>
      </c>
      <c r="AP205">
        <v>14</v>
      </c>
      <c r="AQ205" t="s">
        <v>109</v>
      </c>
      <c r="AR205">
        <v>7.77</v>
      </c>
      <c r="AS205" t="s">
        <v>56</v>
      </c>
      <c r="AT205">
        <v>0.01</v>
      </c>
      <c r="AU205">
        <v>514</v>
      </c>
      <c r="AV205" t="s">
        <v>56</v>
      </c>
      <c r="AW205">
        <v>18</v>
      </c>
      <c r="AX205">
        <v>7.78</v>
      </c>
      <c r="AY205" t="s">
        <v>56</v>
      </c>
      <c r="AZ205">
        <v>0.01</v>
      </c>
      <c r="BB205">
        <f>LOG(AU205)</f>
        <v>2.7109631189952759</v>
      </c>
      <c r="BC205">
        <v>11.1</v>
      </c>
      <c r="BD205" t="s">
        <v>56</v>
      </c>
      <c r="BE205">
        <v>0</v>
      </c>
      <c r="BF205">
        <v>14</v>
      </c>
      <c r="BG205" t="s">
        <v>56</v>
      </c>
      <c r="BH205">
        <v>0</v>
      </c>
      <c r="BI205">
        <v>40</v>
      </c>
      <c r="BJ205">
        <v>2.9</v>
      </c>
      <c r="BK205" t="s">
        <v>56</v>
      </c>
      <c r="BL205" t="s">
        <v>198</v>
      </c>
      <c r="BM205" t="s">
        <v>90</v>
      </c>
      <c r="BN205" t="s">
        <v>81</v>
      </c>
      <c r="BO205" t="s">
        <v>193</v>
      </c>
      <c r="BP205" t="s">
        <v>92</v>
      </c>
      <c r="BR205" t="s">
        <v>63</v>
      </c>
      <c r="BT205">
        <v>0.77</v>
      </c>
      <c r="BU205">
        <v>0.77429499999999996</v>
      </c>
      <c r="BV205">
        <v>0.02</v>
      </c>
      <c r="BW205">
        <f>BV205*SQRT(AK205)</f>
        <v>3.4641016151377546E-2</v>
      </c>
      <c r="BX205">
        <v>0.67</v>
      </c>
      <c r="BY205">
        <v>0.66771159999999996</v>
      </c>
      <c r="BZ205">
        <v>0.01</v>
      </c>
      <c r="CA205">
        <f>BZ205*SQRT(AL205)</f>
        <v>1.4142135623730952E-2</v>
      </c>
      <c r="CB205">
        <v>5</v>
      </c>
      <c r="CC205">
        <v>3</v>
      </c>
      <c r="CD205">
        <v>-0.14799999999999999</v>
      </c>
      <c r="CE205">
        <v>5.9999999999999995E-4</v>
      </c>
    </row>
    <row r="206" spans="1:84" s="8" customFormat="1" hidden="1" x14ac:dyDescent="0.2">
      <c r="B206" t="str">
        <f>ROW()-1&amp;"_AltersInvert"</f>
        <v>205_AltersInvert</v>
      </c>
      <c r="C206" t="str">
        <f>D206&amp;"_"&amp;
SUBSTITUTE(TRIM(V206)," ","_")&amp;"_"&amp;
TRIM(AC206)&amp;"_"&amp;
"CO2"&amp;TEXT(AN206,"0.00")&amp;"_"&amp;
"pH"&amp;TEXT(AR206,"0.00")&amp;"_"&amp;
"T"&amp;TEXT(BC206,"0.##")</f>
        <v>89_Paracentrotus_lividus_EMBRYO_CO2899.00_pH8.09_T19.2</v>
      </c>
      <c r="D206" s="8">
        <v>89</v>
      </c>
      <c r="G206" s="8" t="s">
        <v>43</v>
      </c>
      <c r="H206" s="8" t="s">
        <v>739</v>
      </c>
      <c r="I206" s="8" t="s">
        <v>1130</v>
      </c>
      <c r="J206" s="8">
        <v>2018</v>
      </c>
      <c r="M206" s="8" t="s">
        <v>740</v>
      </c>
      <c r="P206" t="s">
        <v>1135</v>
      </c>
      <c r="R206" s="8" t="s">
        <v>1127</v>
      </c>
      <c r="S206" t="s">
        <v>1128</v>
      </c>
      <c r="T206" s="8" t="s">
        <v>46</v>
      </c>
      <c r="U206" s="8" t="s">
        <v>309</v>
      </c>
      <c r="V206" s="8" t="s">
        <v>310</v>
      </c>
      <c r="W206" s="8" t="str">
        <f>IF(ISNUMBER(MATCH(#REF!,{"Doryteuthis pealeii","Loligo vulgaris","Leptuca thayeri","Stylocheilus striatus","Ophryotrocha labronica"},0)),"N","Y")</f>
        <v>Y</v>
      </c>
      <c r="Z206" s="8" t="s">
        <v>177</v>
      </c>
      <c r="AA206" s="8" t="s">
        <v>177</v>
      </c>
      <c r="AB206" s="8" t="s">
        <v>71</v>
      </c>
      <c r="AC206" s="8" t="s">
        <v>195</v>
      </c>
      <c r="AD206" s="8" t="s">
        <v>52</v>
      </c>
      <c r="AE206" s="8" t="s">
        <v>53</v>
      </c>
      <c r="AF206" s="8" t="s">
        <v>54</v>
      </c>
      <c r="AG206" s="8" t="s">
        <v>52</v>
      </c>
      <c r="AH206" s="8" t="s">
        <v>65</v>
      </c>
      <c r="AK206" s="8">
        <v>3</v>
      </c>
      <c r="AL206" s="8">
        <v>3</v>
      </c>
      <c r="AM206" s="8" t="s">
        <v>743</v>
      </c>
      <c r="AN206" s="8">
        <v>899</v>
      </c>
      <c r="AO206" s="8" t="s">
        <v>56</v>
      </c>
      <c r="AP206" s="8" t="s">
        <v>56</v>
      </c>
      <c r="AQ206" s="8" t="s">
        <v>56</v>
      </c>
      <c r="AR206" s="8">
        <v>8.09</v>
      </c>
      <c r="AS206" s="8" t="s">
        <v>56</v>
      </c>
      <c r="AT206" s="8">
        <v>0.03</v>
      </c>
      <c r="AU206" s="8">
        <v>910</v>
      </c>
      <c r="AV206" t="s">
        <v>56</v>
      </c>
      <c r="AW206" t="s">
        <v>56</v>
      </c>
      <c r="AX206">
        <v>8.06</v>
      </c>
      <c r="AY206" t="s">
        <v>56</v>
      </c>
      <c r="AZ206">
        <v>0.05</v>
      </c>
      <c r="BB206" s="8">
        <f>LOG(AU206)</f>
        <v>2.9590413923210934</v>
      </c>
      <c r="BC206" s="8">
        <v>19.2</v>
      </c>
      <c r="BD206" s="8" t="s">
        <v>56</v>
      </c>
      <c r="BE206" s="8">
        <v>0.2</v>
      </c>
      <c r="BF206" s="8">
        <v>25.2</v>
      </c>
      <c r="BG206" s="8" t="s">
        <v>56</v>
      </c>
      <c r="BH206" s="8">
        <v>0</v>
      </c>
      <c r="BI206" s="8">
        <v>11</v>
      </c>
      <c r="BJ206" s="8">
        <v>6</v>
      </c>
      <c r="BK206" s="8" t="s">
        <v>56</v>
      </c>
      <c r="BL206" s="8" t="s">
        <v>473</v>
      </c>
      <c r="BM206" s="8" t="s">
        <v>473</v>
      </c>
      <c r="BN206" s="8" t="s">
        <v>81</v>
      </c>
      <c r="BO206" s="8" t="s">
        <v>82</v>
      </c>
      <c r="BP206" s="8" t="s">
        <v>190</v>
      </c>
      <c r="BQ206" s="8" t="s">
        <v>190</v>
      </c>
      <c r="BR206" s="8" t="s">
        <v>84</v>
      </c>
      <c r="BT206" s="8">
        <v>100</v>
      </c>
      <c r="BU206" s="8">
        <v>100</v>
      </c>
      <c r="BV206" s="8">
        <v>0</v>
      </c>
      <c r="BW206" s="8">
        <f>BV206*SQRT(AK206)</f>
        <v>0</v>
      </c>
      <c r="BX206" s="8">
        <v>96.46</v>
      </c>
      <c r="BY206" s="8">
        <v>96.464646500000001</v>
      </c>
      <c r="BZ206" s="8">
        <v>1.46</v>
      </c>
      <c r="CA206" s="8">
        <f>BZ206*SQRT(AL206)</f>
        <v>2.5287941790505606</v>
      </c>
      <c r="CB206" s="8">
        <v>0</v>
      </c>
      <c r="CC206" s="8">
        <v>12</v>
      </c>
      <c r="CD206" s="8">
        <v>-3.5999999999999997E-2</v>
      </c>
      <c r="CE206" s="8">
        <v>2.0000000000000001E-4</v>
      </c>
      <c r="CF206" s="8" t="s">
        <v>1134</v>
      </c>
    </row>
    <row r="207" spans="1:84" hidden="1" x14ac:dyDescent="0.2">
      <c r="A207" s="8"/>
      <c r="B207" t="str">
        <f>ROW()-1&amp;"_AltersInvert"</f>
        <v>206_AltersInvert</v>
      </c>
      <c r="C207" t="str">
        <f>D207&amp;"_"&amp;
SUBSTITUTE(TRIM(V207)," ","_")&amp;"_"&amp;
TRIM(AC207)&amp;"_"&amp;
"CO2"&amp;TEXT(AN207,"0.00")&amp;"_"&amp;
"pH"&amp;TEXT(AR207,"0.00")&amp;"_"&amp;
"T"&amp;TEXT(BC207,"0.##")</f>
        <v>89_Paracentrotus_lividus_EMBRYO_CO2899.00_pH8.09_T19.2</v>
      </c>
      <c r="D207" s="8">
        <v>89</v>
      </c>
      <c r="E207" s="8"/>
      <c r="F207" s="8"/>
      <c r="G207" s="8" t="s">
        <v>43</v>
      </c>
      <c r="H207" s="8" t="s">
        <v>739</v>
      </c>
      <c r="I207" s="8" t="s">
        <v>1130</v>
      </c>
      <c r="J207" s="8">
        <v>2018</v>
      </c>
      <c r="K207" s="8"/>
      <c r="L207" s="8"/>
      <c r="M207" s="8" t="s">
        <v>740</v>
      </c>
      <c r="N207" s="8"/>
      <c r="O207" s="8"/>
      <c r="P207" t="s">
        <v>1135</v>
      </c>
      <c r="Q207" s="8"/>
      <c r="R207" s="8" t="s">
        <v>1127</v>
      </c>
      <c r="S207" t="s">
        <v>1128</v>
      </c>
      <c r="T207" s="8" t="s">
        <v>46</v>
      </c>
      <c r="U207" s="8" t="s">
        <v>309</v>
      </c>
      <c r="V207" s="8" t="s">
        <v>310</v>
      </c>
      <c r="W207" s="8" t="str">
        <f>IF(ISNUMBER(MATCH(#REF!,{"Doryteuthis pealeii","Loligo vulgaris","Leptuca thayeri","Stylocheilus striatus","Ophryotrocha labronica"},0)),"N","Y")</f>
        <v>Y</v>
      </c>
      <c r="X207" s="8"/>
      <c r="Y207" s="8"/>
      <c r="Z207" s="8" t="s">
        <v>177</v>
      </c>
      <c r="AA207" s="8" t="s">
        <v>177</v>
      </c>
      <c r="AB207" s="8" t="s">
        <v>71</v>
      </c>
      <c r="AC207" s="8" t="s">
        <v>195</v>
      </c>
      <c r="AD207" s="8" t="s">
        <v>52</v>
      </c>
      <c r="AE207" s="8" t="s">
        <v>53</v>
      </c>
      <c r="AF207" s="8" t="s">
        <v>54</v>
      </c>
      <c r="AG207" s="8" t="s">
        <v>52</v>
      </c>
      <c r="AH207" s="8" t="s">
        <v>65</v>
      </c>
      <c r="AI207" s="8"/>
      <c r="AJ207" s="8"/>
      <c r="AK207" s="8">
        <v>3</v>
      </c>
      <c r="AL207" s="8">
        <v>3</v>
      </c>
      <c r="AM207" s="8" t="s">
        <v>743</v>
      </c>
      <c r="AN207" s="8">
        <v>899</v>
      </c>
      <c r="AO207" s="8" t="s">
        <v>56</v>
      </c>
      <c r="AP207" s="8" t="s">
        <v>56</v>
      </c>
      <c r="AQ207" s="8" t="s">
        <v>56</v>
      </c>
      <c r="AR207" s="8">
        <v>8.09</v>
      </c>
      <c r="AS207" s="8" t="s">
        <v>56</v>
      </c>
      <c r="AT207" s="8">
        <v>0.03</v>
      </c>
      <c r="AU207" s="8">
        <v>963</v>
      </c>
      <c r="AV207" t="s">
        <v>56</v>
      </c>
      <c r="AW207" t="s">
        <v>56</v>
      </c>
      <c r="AX207">
        <v>8.06</v>
      </c>
      <c r="AY207" t="s">
        <v>56</v>
      </c>
      <c r="AZ207">
        <v>0.01</v>
      </c>
      <c r="BA207" s="8"/>
      <c r="BB207" s="8">
        <f>LOG(AU207)</f>
        <v>2.9836262871245345</v>
      </c>
      <c r="BC207" s="8">
        <v>19.2</v>
      </c>
      <c r="BD207" s="8" t="s">
        <v>56</v>
      </c>
      <c r="BE207" s="8">
        <v>0.2</v>
      </c>
      <c r="BF207" s="8">
        <v>21.2</v>
      </c>
      <c r="BG207" s="8" t="s">
        <v>56</v>
      </c>
      <c r="BH207" s="8">
        <v>0.1</v>
      </c>
      <c r="BI207" s="8">
        <v>64</v>
      </c>
      <c r="BJ207" s="8">
        <v>2.1</v>
      </c>
      <c r="BK207" s="8" t="s">
        <v>56</v>
      </c>
      <c r="BL207" s="8" t="s">
        <v>473</v>
      </c>
      <c r="BM207" s="8" t="s">
        <v>473</v>
      </c>
      <c r="BN207" s="8" t="s">
        <v>81</v>
      </c>
      <c r="BO207" s="8" t="s">
        <v>82</v>
      </c>
      <c r="BP207" s="8" t="s">
        <v>190</v>
      </c>
      <c r="BQ207" s="8" t="s">
        <v>9</v>
      </c>
      <c r="BR207" s="8" t="s">
        <v>84</v>
      </c>
      <c r="BS207" s="8"/>
      <c r="BT207" s="8">
        <v>100</v>
      </c>
      <c r="BU207" s="8">
        <v>100</v>
      </c>
      <c r="BV207" s="8">
        <v>0</v>
      </c>
      <c r="BW207" s="8">
        <f>BV207*SQRT(AK207)</f>
        <v>0</v>
      </c>
      <c r="BX207" s="8">
        <v>97.47</v>
      </c>
      <c r="BY207" s="8">
        <v>97.474747500000007</v>
      </c>
      <c r="BZ207" s="8">
        <v>0.57999999999999996</v>
      </c>
      <c r="CA207" s="8">
        <f>BZ207*SQRT(AL207)</f>
        <v>1.0045894683899488</v>
      </c>
      <c r="CB207" s="8">
        <v>0</v>
      </c>
      <c r="CC207" s="8">
        <v>12</v>
      </c>
      <c r="CD207" s="8">
        <v>-2.5999999999999999E-2</v>
      </c>
      <c r="CE207" s="8">
        <v>1E-4</v>
      </c>
      <c r="CF207" s="8" t="s">
        <v>1134</v>
      </c>
    </row>
    <row r="208" spans="1:84" hidden="1" x14ac:dyDescent="0.2">
      <c r="A208" s="8"/>
      <c r="B208" t="str">
        <f>ROW()-1&amp;"_AltersInvert"</f>
        <v>207_AltersInvert</v>
      </c>
      <c r="C208" t="str">
        <f>D208&amp;"_"&amp;
SUBSTITUTE(TRIM(V208)," ","_")&amp;"_"&amp;
TRIM(AC208)&amp;"_"&amp;
"CO2"&amp;TEXT(AN208,"0.00")&amp;"_"&amp;
"pH"&amp;TEXT(AR208,"0.00")&amp;"_"&amp;
"T"&amp;TEXT(BC208,"0.##")</f>
        <v>89_Paracentrotus_lividus_EMBRYO_CO2899.00_pH8.09_T19.2</v>
      </c>
      <c r="D208" s="8">
        <v>89</v>
      </c>
      <c r="E208" s="8"/>
      <c r="F208" s="8"/>
      <c r="G208" s="8" t="s">
        <v>43</v>
      </c>
      <c r="H208" s="8" t="s">
        <v>739</v>
      </c>
      <c r="I208" s="8" t="s">
        <v>1130</v>
      </c>
      <c r="J208" s="8">
        <v>2018</v>
      </c>
      <c r="K208" s="8"/>
      <c r="L208" s="8"/>
      <c r="M208" s="8" t="s">
        <v>740</v>
      </c>
      <c r="N208" s="8"/>
      <c r="O208" s="8"/>
      <c r="P208" t="s">
        <v>1135</v>
      </c>
      <c r="Q208" s="8"/>
      <c r="R208" s="8" t="s">
        <v>1127</v>
      </c>
      <c r="S208" t="s">
        <v>1128</v>
      </c>
      <c r="T208" s="8" t="s">
        <v>46</v>
      </c>
      <c r="U208" s="8" t="s">
        <v>309</v>
      </c>
      <c r="V208" s="8" t="s">
        <v>310</v>
      </c>
      <c r="W208" s="8" t="str">
        <f>IF(ISNUMBER(MATCH(#REF!,{"Doryteuthis pealeii","Loligo vulgaris","Leptuca thayeri","Stylocheilus striatus","Ophryotrocha labronica"},0)),"N","Y")</f>
        <v>Y</v>
      </c>
      <c r="X208" s="8"/>
      <c r="Y208" s="8"/>
      <c r="Z208" s="8" t="s">
        <v>177</v>
      </c>
      <c r="AA208" s="8" t="s">
        <v>177</v>
      </c>
      <c r="AB208" s="8" t="s">
        <v>71</v>
      </c>
      <c r="AC208" s="8" t="s">
        <v>195</v>
      </c>
      <c r="AD208" s="8" t="s">
        <v>52</v>
      </c>
      <c r="AE208" s="8" t="s">
        <v>53</v>
      </c>
      <c r="AF208" s="8" t="s">
        <v>52</v>
      </c>
      <c r="AG208" s="8" t="s">
        <v>52</v>
      </c>
      <c r="AH208" s="8" t="s">
        <v>64</v>
      </c>
      <c r="AI208" s="8"/>
      <c r="AJ208" s="8"/>
      <c r="AK208" s="8">
        <v>3</v>
      </c>
      <c r="AL208" s="8">
        <v>3</v>
      </c>
      <c r="AM208" s="8" t="s">
        <v>743</v>
      </c>
      <c r="AN208" s="8">
        <v>899</v>
      </c>
      <c r="AO208" s="8" t="s">
        <v>56</v>
      </c>
      <c r="AP208" s="8" t="s">
        <v>56</v>
      </c>
      <c r="AQ208" s="8" t="s">
        <v>56</v>
      </c>
      <c r="AR208" s="8">
        <v>8.09</v>
      </c>
      <c r="AS208" s="8" t="s">
        <v>56</v>
      </c>
      <c r="AT208" s="8">
        <v>0.03</v>
      </c>
      <c r="AU208" s="8">
        <v>1266</v>
      </c>
      <c r="AV208" t="s">
        <v>56</v>
      </c>
      <c r="AW208" t="s">
        <v>56</v>
      </c>
      <c r="AX208">
        <v>7.73</v>
      </c>
      <c r="AY208" t="s">
        <v>56</v>
      </c>
      <c r="AZ208">
        <v>0.02</v>
      </c>
      <c r="BA208" s="8"/>
      <c r="BB208" s="8">
        <f>LOG(AU208)</f>
        <v>3.1024337056813365</v>
      </c>
      <c r="BC208" s="8">
        <v>19.2</v>
      </c>
      <c r="BD208" s="8" t="s">
        <v>56</v>
      </c>
      <c r="BE208" s="8">
        <v>0.2</v>
      </c>
      <c r="BF208" s="8">
        <v>22.9</v>
      </c>
      <c r="BG208" s="8" t="s">
        <v>56</v>
      </c>
      <c r="BH208" s="8">
        <v>0.1</v>
      </c>
      <c r="BI208" s="8">
        <v>367</v>
      </c>
      <c r="BJ208" s="8">
        <v>3.8</v>
      </c>
      <c r="BK208" s="8" t="s">
        <v>56</v>
      </c>
      <c r="BL208" s="8" t="s">
        <v>473</v>
      </c>
      <c r="BM208" s="8" t="s">
        <v>473</v>
      </c>
      <c r="BN208" s="8" t="s">
        <v>81</v>
      </c>
      <c r="BO208" s="8" t="s">
        <v>82</v>
      </c>
      <c r="BP208" s="8" t="s">
        <v>190</v>
      </c>
      <c r="BQ208" s="8" t="s">
        <v>190</v>
      </c>
      <c r="BR208" s="8" t="s">
        <v>84</v>
      </c>
      <c r="BS208" s="8"/>
      <c r="BT208" s="8">
        <v>100</v>
      </c>
      <c r="BU208" s="8">
        <v>100</v>
      </c>
      <c r="BV208" s="8">
        <v>0</v>
      </c>
      <c r="BW208" s="8">
        <f>BV208*SQRT(AK208)</f>
        <v>0</v>
      </c>
      <c r="BX208" s="8">
        <v>95.96</v>
      </c>
      <c r="BY208" s="8">
        <v>95.959596000000005</v>
      </c>
      <c r="BZ208" s="8">
        <v>0.87</v>
      </c>
      <c r="CA208" s="8">
        <f>BZ208*SQRT(AL208)</f>
        <v>1.5068842025849232</v>
      </c>
      <c r="CB208" s="8">
        <v>0</v>
      </c>
      <c r="CC208" s="8">
        <v>12</v>
      </c>
      <c r="CD208" s="8">
        <v>-4.1000000000000002E-2</v>
      </c>
      <c r="CE208" s="8">
        <v>1E-4</v>
      </c>
      <c r="CF208" s="8" t="s">
        <v>1134</v>
      </c>
    </row>
    <row r="209" spans="1:84" hidden="1" x14ac:dyDescent="0.2">
      <c r="A209" s="8"/>
      <c r="B209" t="str">
        <f>ROW()-1&amp;"_AltersInvert"</f>
        <v>208_AltersInvert</v>
      </c>
      <c r="C209" t="str">
        <f>D209&amp;"_"&amp;
SUBSTITUTE(TRIM(V209)," ","_")&amp;"_"&amp;
TRIM(AC209)&amp;"_"&amp;
"CO2"&amp;TEXT(AN209,"0.00")&amp;"_"&amp;
"pH"&amp;TEXT(AR209,"0.00")&amp;"_"&amp;
"T"&amp;TEXT(BC209,"0.##")</f>
        <v>89_Paracentrotus_lividus_EMBRYO_CO2899.00_pH8.09_T19.2</v>
      </c>
      <c r="D209" s="8">
        <v>89</v>
      </c>
      <c r="E209" s="8"/>
      <c r="F209" s="8"/>
      <c r="G209" s="8" t="s">
        <v>43</v>
      </c>
      <c r="H209" s="8" t="s">
        <v>739</v>
      </c>
      <c r="I209" s="8" t="s">
        <v>1130</v>
      </c>
      <c r="J209" s="8">
        <v>2018</v>
      </c>
      <c r="K209" s="8"/>
      <c r="L209" s="8"/>
      <c r="M209" s="8" t="s">
        <v>740</v>
      </c>
      <c r="N209" s="8"/>
      <c r="O209" s="8"/>
      <c r="P209" t="s">
        <v>1135</v>
      </c>
      <c r="Q209" s="8"/>
      <c r="R209" s="8" t="s">
        <v>1127</v>
      </c>
      <c r="S209" t="s">
        <v>1128</v>
      </c>
      <c r="T209" s="8" t="s">
        <v>46</v>
      </c>
      <c r="U209" s="8" t="s">
        <v>309</v>
      </c>
      <c r="V209" s="8" t="s">
        <v>310</v>
      </c>
      <c r="W209" s="8" t="str">
        <f>IF(ISNUMBER(MATCH(#REF!,{"Doryteuthis pealeii","Loligo vulgaris","Leptuca thayeri","Stylocheilus striatus","Ophryotrocha labronica"},0)),"N","Y")</f>
        <v>Y</v>
      </c>
      <c r="X209" s="8"/>
      <c r="Y209" s="8"/>
      <c r="Z209" s="8" t="s">
        <v>177</v>
      </c>
      <c r="AA209" s="8" t="s">
        <v>177</v>
      </c>
      <c r="AB209" s="8" t="s">
        <v>71</v>
      </c>
      <c r="AC209" s="8" t="s">
        <v>195</v>
      </c>
      <c r="AD209" s="8" t="s">
        <v>52</v>
      </c>
      <c r="AE209" s="8" t="s">
        <v>53</v>
      </c>
      <c r="AF209" s="8" t="s">
        <v>52</v>
      </c>
      <c r="AG209" s="8" t="s">
        <v>52</v>
      </c>
      <c r="AH209" s="8" t="s">
        <v>64</v>
      </c>
      <c r="AI209" s="8"/>
      <c r="AJ209" s="8"/>
      <c r="AK209" s="8">
        <v>3</v>
      </c>
      <c r="AL209" s="8">
        <v>3</v>
      </c>
      <c r="AM209" s="8" t="s">
        <v>743</v>
      </c>
      <c r="AN209" s="8">
        <v>899</v>
      </c>
      <c r="AO209" s="8" t="s">
        <v>56</v>
      </c>
      <c r="AP209" s="8" t="s">
        <v>56</v>
      </c>
      <c r="AQ209" s="8" t="s">
        <v>56</v>
      </c>
      <c r="AR209" s="8">
        <v>8.09</v>
      </c>
      <c r="AS209" s="8" t="s">
        <v>56</v>
      </c>
      <c r="AT209" s="8">
        <v>0.03</v>
      </c>
      <c r="AU209" s="8">
        <v>2489</v>
      </c>
      <c r="AV209" t="s">
        <v>56</v>
      </c>
      <c r="AW209" t="s">
        <v>56</v>
      </c>
      <c r="AX209">
        <v>7.43</v>
      </c>
      <c r="AY209" t="s">
        <v>56</v>
      </c>
      <c r="AZ209">
        <v>0.03</v>
      </c>
      <c r="BA209" s="8"/>
      <c r="BB209" s="8">
        <f>LOG(AU209)</f>
        <v>3.3960248966085933</v>
      </c>
      <c r="BC209" s="8">
        <v>19.2</v>
      </c>
      <c r="BD209" s="8" t="s">
        <v>56</v>
      </c>
      <c r="BE209" s="8">
        <v>0.2</v>
      </c>
      <c r="BF209" s="8">
        <v>23</v>
      </c>
      <c r="BG209" s="8" t="s">
        <v>56</v>
      </c>
      <c r="BH209" s="8">
        <v>0.1</v>
      </c>
      <c r="BI209" s="8">
        <v>1590</v>
      </c>
      <c r="BJ209" s="8">
        <v>3.8</v>
      </c>
      <c r="BK209" s="8" t="s">
        <v>56</v>
      </c>
      <c r="BL209" s="8" t="s">
        <v>473</v>
      </c>
      <c r="BM209" s="8" t="s">
        <v>473</v>
      </c>
      <c r="BN209" s="8" t="s">
        <v>81</v>
      </c>
      <c r="BO209" s="8" t="s">
        <v>82</v>
      </c>
      <c r="BP209" s="8" t="s">
        <v>190</v>
      </c>
      <c r="BQ209" s="8" t="s">
        <v>190</v>
      </c>
      <c r="BR209" s="8" t="s">
        <v>84</v>
      </c>
      <c r="BS209" s="8"/>
      <c r="BT209" s="8">
        <v>100</v>
      </c>
      <c r="BU209" s="8">
        <v>100</v>
      </c>
      <c r="BV209" s="8">
        <v>0</v>
      </c>
      <c r="BW209" s="8">
        <f>BV209*SQRT(AK209)</f>
        <v>0</v>
      </c>
      <c r="BX209" s="8">
        <v>95.96</v>
      </c>
      <c r="BY209" s="8">
        <v>95.959596000000005</v>
      </c>
      <c r="BZ209" s="8">
        <v>0.87</v>
      </c>
      <c r="CA209" s="8">
        <f>BZ209*SQRT(AL209)</f>
        <v>1.5068842025849232</v>
      </c>
      <c r="CB209" s="8">
        <v>0</v>
      </c>
      <c r="CC209" s="8">
        <v>12</v>
      </c>
      <c r="CD209" s="8">
        <v>-4.1000000000000002E-2</v>
      </c>
      <c r="CE209" s="8">
        <v>1E-4</v>
      </c>
      <c r="CF209" s="8" t="s">
        <v>1134</v>
      </c>
    </row>
    <row r="210" spans="1:84" hidden="1" x14ac:dyDescent="0.2">
      <c r="A210" s="8"/>
      <c r="B210" t="str">
        <f>ROW()-1&amp;"_AltersInvert"</f>
        <v>209_AltersInvert</v>
      </c>
      <c r="C210" t="str">
        <f>D210&amp;"_"&amp;
SUBSTITUTE(TRIM(V210)," ","_")&amp;"_"&amp;
TRIM(AC210)&amp;"_"&amp;
"CO2"&amp;TEXT(AN210,"0.00")&amp;"_"&amp;
"pH"&amp;TEXT(AR210,"0.00")&amp;"_"&amp;
"T"&amp;TEXT(BC210,"0.##")</f>
        <v>89_Paracentrotus_lividus_EMBRYO_CO2899.00_pH8.09_T19.2</v>
      </c>
      <c r="D210" s="8">
        <v>89</v>
      </c>
      <c r="E210" s="8"/>
      <c r="F210" s="8"/>
      <c r="G210" s="8" t="s">
        <v>43</v>
      </c>
      <c r="H210" s="8" t="s">
        <v>739</v>
      </c>
      <c r="I210" s="8" t="s">
        <v>1130</v>
      </c>
      <c r="J210" s="8">
        <v>2018</v>
      </c>
      <c r="K210" s="8"/>
      <c r="L210" s="8"/>
      <c r="M210" s="8" t="s">
        <v>740</v>
      </c>
      <c r="N210" s="8"/>
      <c r="O210" s="8"/>
      <c r="P210" t="s">
        <v>1135</v>
      </c>
      <c r="Q210" s="8"/>
      <c r="R210" s="8" t="s">
        <v>1127</v>
      </c>
      <c r="S210" t="s">
        <v>1128</v>
      </c>
      <c r="T210" s="8" t="s">
        <v>46</v>
      </c>
      <c r="U210" s="8" t="s">
        <v>309</v>
      </c>
      <c r="V210" s="8" t="s">
        <v>310</v>
      </c>
      <c r="W210" s="8" t="str">
        <f>IF(ISNUMBER(MATCH(#REF!,{"Doryteuthis pealeii","Loligo vulgaris","Leptuca thayeri","Stylocheilus striatus","Ophryotrocha labronica"},0)),"N","Y")</f>
        <v>Y</v>
      </c>
      <c r="X210" s="8"/>
      <c r="Y210" s="8"/>
      <c r="Z210" s="8" t="s">
        <v>177</v>
      </c>
      <c r="AA210" s="8" t="s">
        <v>177</v>
      </c>
      <c r="AB210" s="8" t="s">
        <v>71</v>
      </c>
      <c r="AC210" s="8" t="s">
        <v>195</v>
      </c>
      <c r="AD210" s="8" t="s">
        <v>52</v>
      </c>
      <c r="AE210" s="8" t="s">
        <v>53</v>
      </c>
      <c r="AF210" s="8" t="s">
        <v>52</v>
      </c>
      <c r="AG210" s="8" t="s">
        <v>52</v>
      </c>
      <c r="AH210" s="8" t="s">
        <v>64</v>
      </c>
      <c r="AI210" s="8"/>
      <c r="AJ210" s="8"/>
      <c r="AK210" s="8">
        <v>3</v>
      </c>
      <c r="AL210" s="8">
        <v>3</v>
      </c>
      <c r="AM210" s="8" t="s">
        <v>743</v>
      </c>
      <c r="AN210" s="8">
        <v>899</v>
      </c>
      <c r="AO210" s="8" t="s">
        <v>56</v>
      </c>
      <c r="AP210" s="8" t="s">
        <v>56</v>
      </c>
      <c r="AQ210" s="8" t="s">
        <v>56</v>
      </c>
      <c r="AR210" s="8">
        <v>8.09</v>
      </c>
      <c r="AS210" s="8" t="s">
        <v>56</v>
      </c>
      <c r="AT210" s="8">
        <v>0.03</v>
      </c>
      <c r="AU210" s="8">
        <v>2801</v>
      </c>
      <c r="AV210" t="s">
        <v>56</v>
      </c>
      <c r="AW210" t="s">
        <v>56</v>
      </c>
      <c r="AX210">
        <v>7.42</v>
      </c>
      <c r="AY210" t="s">
        <v>56</v>
      </c>
      <c r="AZ210">
        <v>0.02</v>
      </c>
      <c r="BA210" s="8"/>
      <c r="BB210" s="8">
        <f>LOG(AU210)</f>
        <v>3.4473131088235682</v>
      </c>
      <c r="BC210" s="8">
        <v>19.2</v>
      </c>
      <c r="BD210" s="8" t="s">
        <v>56</v>
      </c>
      <c r="BE210" s="8">
        <v>0.2</v>
      </c>
      <c r="BF210" s="8">
        <v>21.2</v>
      </c>
      <c r="BG210" s="8" t="s">
        <v>56</v>
      </c>
      <c r="BH210" s="8">
        <v>0.2</v>
      </c>
      <c r="BI210" s="8">
        <v>1902</v>
      </c>
      <c r="BJ210" s="8">
        <v>2.1</v>
      </c>
      <c r="BK210" s="8" t="s">
        <v>56</v>
      </c>
      <c r="BL210" s="8" t="s">
        <v>473</v>
      </c>
      <c r="BM210" s="8" t="s">
        <v>473</v>
      </c>
      <c r="BN210" s="8" t="s">
        <v>81</v>
      </c>
      <c r="BO210" s="8" t="s">
        <v>82</v>
      </c>
      <c r="BP210" s="8" t="s">
        <v>190</v>
      </c>
      <c r="BQ210" s="8" t="s">
        <v>190</v>
      </c>
      <c r="BR210" s="8" t="s">
        <v>84</v>
      </c>
      <c r="BS210" s="8"/>
      <c r="BT210" s="8">
        <v>100</v>
      </c>
      <c r="BU210" s="8">
        <v>100</v>
      </c>
      <c r="BV210" s="8">
        <v>0</v>
      </c>
      <c r="BW210" s="8">
        <f>BV210*SQRT(AK210)</f>
        <v>0</v>
      </c>
      <c r="BX210" s="8">
        <v>96.46</v>
      </c>
      <c r="BY210" s="8">
        <v>96.464646500000001</v>
      </c>
      <c r="BZ210" s="8">
        <v>0.28999999999999998</v>
      </c>
      <c r="CA210" s="8">
        <f>BZ210*SQRT(AL210)</f>
        <v>0.50229473419497439</v>
      </c>
      <c r="CB210" s="8">
        <v>0</v>
      </c>
      <c r="CC210" s="8">
        <v>12</v>
      </c>
      <c r="CD210" s="8">
        <v>-3.5999999999999997E-2</v>
      </c>
      <c r="CE210" s="8">
        <v>1E-4</v>
      </c>
      <c r="CF210" s="8" t="s">
        <v>1134</v>
      </c>
    </row>
    <row r="211" spans="1:84" hidden="1" x14ac:dyDescent="0.2">
      <c r="A211" s="8"/>
      <c r="B211" t="str">
        <f>ROW()-1&amp;"_AltersInvert"</f>
        <v>210_AltersInvert</v>
      </c>
      <c r="C211" t="str">
        <f>D211&amp;"_"&amp;
SUBSTITUTE(TRIM(V211)," ","_")&amp;"_"&amp;
TRIM(AC211)&amp;"_"&amp;
"CO2"&amp;TEXT(AN211,"0.00")&amp;"_"&amp;
"pH"&amp;TEXT(AR211,"0.00")&amp;"_"&amp;
"T"&amp;TEXT(BC211,"0.##")</f>
        <v>89_Paracentrotus_lividus_EMBRYO_CO2899.00_pH8.09_T19.2</v>
      </c>
      <c r="D211" s="8">
        <v>89</v>
      </c>
      <c r="E211" s="8"/>
      <c r="F211" s="8"/>
      <c r="G211" s="8" t="s">
        <v>43</v>
      </c>
      <c r="H211" s="8" t="s">
        <v>739</v>
      </c>
      <c r="I211" s="8" t="s">
        <v>1130</v>
      </c>
      <c r="J211" s="8">
        <v>2018</v>
      </c>
      <c r="K211" s="8"/>
      <c r="L211" s="8"/>
      <c r="M211" s="8" t="s">
        <v>740</v>
      </c>
      <c r="N211" s="8"/>
      <c r="O211" s="8"/>
      <c r="P211" t="s">
        <v>1135</v>
      </c>
      <c r="Q211" s="8"/>
      <c r="R211" s="8" t="s">
        <v>1127</v>
      </c>
      <c r="S211" t="s">
        <v>1128</v>
      </c>
      <c r="T211" s="8" t="s">
        <v>46</v>
      </c>
      <c r="U211" s="8" t="s">
        <v>309</v>
      </c>
      <c r="V211" s="8" t="s">
        <v>310</v>
      </c>
      <c r="W211" s="8" t="str">
        <f>IF(ISNUMBER(MATCH(#REF!,{"Doryteuthis pealeii","Loligo vulgaris","Leptuca thayeri","Stylocheilus striatus","Ophryotrocha labronica"},0)),"N","Y")</f>
        <v>Y</v>
      </c>
      <c r="X211" s="8"/>
      <c r="Y211" s="8"/>
      <c r="Z211" s="8" t="s">
        <v>177</v>
      </c>
      <c r="AA211" s="8" t="s">
        <v>177</v>
      </c>
      <c r="AB211" s="8" t="s">
        <v>71</v>
      </c>
      <c r="AC211" s="8" t="s">
        <v>195</v>
      </c>
      <c r="AD211" s="8" t="s">
        <v>52</v>
      </c>
      <c r="AE211" s="8" t="s">
        <v>53</v>
      </c>
      <c r="AF211" s="8" t="s">
        <v>52</v>
      </c>
      <c r="AG211" s="8" t="s">
        <v>52</v>
      </c>
      <c r="AH211" s="8" t="s">
        <v>64</v>
      </c>
      <c r="AI211" s="8"/>
      <c r="AJ211" s="8"/>
      <c r="AK211" s="8">
        <v>3</v>
      </c>
      <c r="AL211" s="8">
        <v>3</v>
      </c>
      <c r="AM211" s="8" t="s">
        <v>743</v>
      </c>
      <c r="AN211" s="8">
        <v>899</v>
      </c>
      <c r="AO211" s="8" t="s">
        <v>56</v>
      </c>
      <c r="AP211" s="8" t="s">
        <v>56</v>
      </c>
      <c r="AQ211" s="8" t="s">
        <v>56</v>
      </c>
      <c r="AR211" s="8">
        <v>8.09</v>
      </c>
      <c r="AS211" s="8" t="s">
        <v>56</v>
      </c>
      <c r="AT211" s="8">
        <v>0.03</v>
      </c>
      <c r="AU211" s="8">
        <v>1293</v>
      </c>
      <c r="AV211" t="s">
        <v>56</v>
      </c>
      <c r="AW211" t="s">
        <v>56</v>
      </c>
      <c r="AX211">
        <v>7.67</v>
      </c>
      <c r="AY211" t="s">
        <v>56</v>
      </c>
      <c r="AZ211">
        <v>7.0000000000000007E-2</v>
      </c>
      <c r="BA211" s="8"/>
      <c r="BB211" s="8">
        <f>LOG(AU211)</f>
        <v>3.1115985248803941</v>
      </c>
      <c r="BC211" s="8">
        <v>19.2</v>
      </c>
      <c r="BD211" s="8" t="s">
        <v>56</v>
      </c>
      <c r="BE211" s="8">
        <v>0.2</v>
      </c>
      <c r="BF211" s="8">
        <v>21.3</v>
      </c>
      <c r="BG211" s="8" t="s">
        <v>56</v>
      </c>
      <c r="BH211" s="8">
        <v>0</v>
      </c>
      <c r="BI211" s="8">
        <v>394</v>
      </c>
      <c r="BJ211" s="8">
        <v>2.1</v>
      </c>
      <c r="BK211" s="8" t="s">
        <v>56</v>
      </c>
      <c r="BL211" s="8" t="s">
        <v>473</v>
      </c>
      <c r="BM211" s="8" t="s">
        <v>473</v>
      </c>
      <c r="BN211" s="8" t="s">
        <v>81</v>
      </c>
      <c r="BO211" s="8" t="s">
        <v>82</v>
      </c>
      <c r="BP211" s="8" t="s">
        <v>190</v>
      </c>
      <c r="BQ211" s="8" t="s">
        <v>9</v>
      </c>
      <c r="BR211" s="8" t="s">
        <v>84</v>
      </c>
      <c r="BS211" s="8"/>
      <c r="BT211" s="8">
        <v>100</v>
      </c>
      <c r="BU211" s="8">
        <v>100</v>
      </c>
      <c r="BV211" s="8">
        <v>0</v>
      </c>
      <c r="BW211" s="8">
        <f>BV211*SQRT(AK211)</f>
        <v>0</v>
      </c>
      <c r="BX211" s="8">
        <v>97.98</v>
      </c>
      <c r="BY211" s="8">
        <v>97.979798000000002</v>
      </c>
      <c r="BZ211" s="8">
        <v>0.57999999999999996</v>
      </c>
      <c r="CA211" s="8">
        <f>BZ211*SQRT(AL211)</f>
        <v>1.0045894683899488</v>
      </c>
      <c r="CB211" s="8">
        <v>0</v>
      </c>
      <c r="CC211" s="8">
        <v>12</v>
      </c>
      <c r="CD211" s="8">
        <v>-0.02</v>
      </c>
      <c r="CE211" s="8">
        <v>1E-4</v>
      </c>
      <c r="CF211" s="8" t="s">
        <v>1134</v>
      </c>
    </row>
    <row r="212" spans="1:84" hidden="1" x14ac:dyDescent="0.2">
      <c r="B212" t="str">
        <f>ROW()-1&amp;"_AltersInvert"</f>
        <v>211_AltersInvert</v>
      </c>
      <c r="C212" t="str">
        <f>D212&amp;"_"&amp;
SUBSTITUTE(TRIM(V212)," ","_")&amp;"_"&amp;
TRIM(AC212)&amp;"_"&amp;
"CO2"&amp;TEXT(AN212,"0.00")&amp;"_"&amp;
"pH"&amp;TEXT(AR212,"0.00")&amp;"_"&amp;
"T"&amp;TEXT(BC212,"0.##")</f>
        <v>72_Crassostrea_gigas_LARVA_CO2437.00_pH8.07_T23.9</v>
      </c>
      <c r="D212">
        <v>72</v>
      </c>
      <c r="G212" t="s">
        <v>43</v>
      </c>
      <c r="H212" t="s">
        <v>648</v>
      </c>
      <c r="J212">
        <v>2014</v>
      </c>
      <c r="M212" t="s">
        <v>314</v>
      </c>
      <c r="P212" t="s">
        <v>1135</v>
      </c>
      <c r="R212" t="s">
        <v>1127</v>
      </c>
      <c r="S212" t="s">
        <v>1128</v>
      </c>
      <c r="T212" t="s">
        <v>68</v>
      </c>
      <c r="U212" t="s">
        <v>167</v>
      </c>
      <c r="V212" t="s">
        <v>168</v>
      </c>
      <c r="Z212" t="s">
        <v>49</v>
      </c>
      <c r="AA212" t="s">
        <v>49</v>
      </c>
      <c r="AB212" t="s">
        <v>71</v>
      </c>
      <c r="AC212" t="s">
        <v>72</v>
      </c>
      <c r="AD212" t="s">
        <v>54</v>
      </c>
      <c r="AE212" t="s">
        <v>53</v>
      </c>
      <c r="AF212" t="s">
        <v>52</v>
      </c>
      <c r="AG212" t="s">
        <v>54</v>
      </c>
      <c r="AH212" t="s">
        <v>55</v>
      </c>
      <c r="AK212">
        <v>4</v>
      </c>
      <c r="AL212">
        <v>4</v>
      </c>
      <c r="AN212">
        <v>437</v>
      </c>
      <c r="AO212" t="s">
        <v>56</v>
      </c>
      <c r="AP212">
        <v>6</v>
      </c>
      <c r="AQ212" t="s">
        <v>57</v>
      </c>
      <c r="AR212">
        <v>8.07</v>
      </c>
      <c r="AS212" t="s">
        <v>56</v>
      </c>
      <c r="AT212">
        <v>0</v>
      </c>
      <c r="AU212">
        <v>1848</v>
      </c>
      <c r="AV212" t="s">
        <v>56</v>
      </c>
      <c r="AW212">
        <v>11</v>
      </c>
      <c r="AX212">
        <v>7.48</v>
      </c>
      <c r="AY212" t="s">
        <v>56</v>
      </c>
      <c r="AZ212">
        <v>0</v>
      </c>
      <c r="BB212">
        <f>LOG(AU212)</f>
        <v>3.2667019668840878</v>
      </c>
      <c r="BC212">
        <v>23.9</v>
      </c>
      <c r="BD212" t="s">
        <v>56</v>
      </c>
      <c r="BE212">
        <v>0</v>
      </c>
      <c r="BF212">
        <v>24</v>
      </c>
      <c r="BG212" t="s">
        <v>56</v>
      </c>
      <c r="BH212">
        <v>0</v>
      </c>
      <c r="BI212">
        <v>1411</v>
      </c>
      <c r="BJ212">
        <v>0.1</v>
      </c>
      <c r="BK212" t="s">
        <v>56</v>
      </c>
      <c r="BL212" t="s">
        <v>650</v>
      </c>
      <c r="BM212" t="s">
        <v>650</v>
      </c>
      <c r="BN212" t="s">
        <v>60</v>
      </c>
      <c r="BO212" t="s">
        <v>56</v>
      </c>
      <c r="BP212" t="s">
        <v>194</v>
      </c>
      <c r="BQ212" t="s">
        <v>194</v>
      </c>
      <c r="BR212" t="s">
        <v>63</v>
      </c>
      <c r="BT212">
        <v>0.1</v>
      </c>
      <c r="BU212">
        <v>0.1</v>
      </c>
      <c r="BV212">
        <v>0</v>
      </c>
      <c r="BW212">
        <f>BV212*SQRT(AK212)</f>
        <v>0</v>
      </c>
      <c r="BX212">
        <v>0.09</v>
      </c>
      <c r="BY212">
        <v>8.6999999999999994E-2</v>
      </c>
      <c r="BZ212">
        <v>0</v>
      </c>
      <c r="CA212">
        <f>BZ212*SQRT(AL212)</f>
        <v>0</v>
      </c>
      <c r="CB212">
        <v>18</v>
      </c>
      <c r="CC212">
        <v>4</v>
      </c>
      <c r="CD212">
        <v>-0.13900000000000001</v>
      </c>
      <c r="CE212">
        <v>3.5999999999999999E-3</v>
      </c>
      <c r="CF212" s="8"/>
    </row>
    <row r="213" spans="1:84" hidden="1" x14ac:dyDescent="0.2">
      <c r="B213" t="str">
        <f>ROW()-1&amp;"_AltersInvert"</f>
        <v>212_AltersInvert</v>
      </c>
      <c r="C213" t="str">
        <f>D213&amp;"_"&amp;
SUBSTITUTE(TRIM(V213)," ","_")&amp;"_"&amp;
TRIM(AC213)&amp;"_"&amp;
"CO2"&amp;TEXT(AN213,"0.00")&amp;"_"&amp;
"pH"&amp;TEXT(AR213,"0.00")&amp;"_"&amp;
"T"&amp;TEXT(BC213,"0.##")</f>
        <v>72_Crassostrea_gigas_LARVA_CO2437.00_pH8.07_T23.9</v>
      </c>
      <c r="D213">
        <v>72</v>
      </c>
      <c r="G213" t="s">
        <v>43</v>
      </c>
      <c r="H213" t="s">
        <v>648</v>
      </c>
      <c r="J213">
        <v>2014</v>
      </c>
      <c r="M213" t="s">
        <v>314</v>
      </c>
      <c r="P213" t="s">
        <v>1135</v>
      </c>
      <c r="R213" t="s">
        <v>1127</v>
      </c>
      <c r="S213" t="s">
        <v>1128</v>
      </c>
      <c r="T213" t="s">
        <v>68</v>
      </c>
      <c r="U213" t="s">
        <v>167</v>
      </c>
      <c r="V213" t="s">
        <v>168</v>
      </c>
      <c r="Z213" t="s">
        <v>49</v>
      </c>
      <c r="AA213" t="s">
        <v>49</v>
      </c>
      <c r="AB213" t="s">
        <v>71</v>
      </c>
      <c r="AC213" t="s">
        <v>72</v>
      </c>
      <c r="AD213" t="s">
        <v>54</v>
      </c>
      <c r="AE213" t="s">
        <v>53</v>
      </c>
      <c r="AF213" t="s">
        <v>54</v>
      </c>
      <c r="AG213" t="s">
        <v>52</v>
      </c>
      <c r="AH213" t="s">
        <v>65</v>
      </c>
      <c r="AK213">
        <v>4</v>
      </c>
      <c r="AL213">
        <v>4</v>
      </c>
      <c r="AN213">
        <v>437</v>
      </c>
      <c r="AO213" t="s">
        <v>56</v>
      </c>
      <c r="AP213">
        <v>6</v>
      </c>
      <c r="AQ213" t="s">
        <v>57</v>
      </c>
      <c r="AR213">
        <v>8.07</v>
      </c>
      <c r="AS213" t="s">
        <v>56</v>
      </c>
      <c r="AT213">
        <v>0</v>
      </c>
      <c r="AU213">
        <v>396</v>
      </c>
      <c r="AV213" t="s">
        <v>56</v>
      </c>
      <c r="AW213">
        <v>73</v>
      </c>
      <c r="AX213">
        <v>8.1300000000000008</v>
      </c>
      <c r="AY213" t="s">
        <v>56</v>
      </c>
      <c r="AZ213">
        <v>0</v>
      </c>
      <c r="BB213">
        <f>LOG(AU213)</f>
        <v>2.5976951859255122</v>
      </c>
      <c r="BC213">
        <v>23.9</v>
      </c>
      <c r="BD213" t="s">
        <v>56</v>
      </c>
      <c r="BE213">
        <v>0</v>
      </c>
      <c r="BF213">
        <v>29.9</v>
      </c>
      <c r="BG213" t="s">
        <v>56</v>
      </c>
      <c r="BH213">
        <v>0.1</v>
      </c>
      <c r="BI213">
        <v>-41</v>
      </c>
      <c r="BJ213">
        <v>6</v>
      </c>
      <c r="BK213" t="s">
        <v>56</v>
      </c>
      <c r="BL213" t="s">
        <v>650</v>
      </c>
      <c r="BM213" t="s">
        <v>650</v>
      </c>
      <c r="BN213" t="s">
        <v>60</v>
      </c>
      <c r="BO213" t="s">
        <v>56</v>
      </c>
      <c r="BP213" t="s">
        <v>194</v>
      </c>
      <c r="BQ213" t="s">
        <v>194</v>
      </c>
      <c r="BR213" t="s">
        <v>63</v>
      </c>
      <c r="BT213">
        <v>0.1</v>
      </c>
      <c r="BU213">
        <v>0.1</v>
      </c>
      <c r="BV213">
        <v>0</v>
      </c>
      <c r="BW213">
        <f>BV213*SQRT(AK213)</f>
        <v>0</v>
      </c>
      <c r="BX213">
        <v>0.06</v>
      </c>
      <c r="BY213">
        <v>5.8999999999999997E-2</v>
      </c>
      <c r="BZ213">
        <v>0.01</v>
      </c>
      <c r="CA213">
        <f>BZ213*SQRT(AL213)</f>
        <v>0.02</v>
      </c>
      <c r="CB213">
        <v>18</v>
      </c>
      <c r="CC213">
        <v>4</v>
      </c>
      <c r="CD213">
        <v>-0.52800000000000002</v>
      </c>
      <c r="CE213">
        <v>8.0999999999999996E-3</v>
      </c>
      <c r="CF213" s="8"/>
    </row>
    <row r="214" spans="1:84" hidden="1" x14ac:dyDescent="0.2">
      <c r="B214" t="str">
        <f>ROW()-1&amp;"_AltersInvert"</f>
        <v>213_AltersInvert</v>
      </c>
      <c r="C214" t="str">
        <f>D214&amp;"_"&amp;
SUBSTITUTE(TRIM(V214)," ","_")&amp;"_"&amp;
TRIM(AC214)&amp;"_"&amp;
"CO2"&amp;TEXT(AN214,"0.00")&amp;"_"&amp;
"pH"&amp;TEXT(AR214,"0.00")&amp;"_"&amp;
"T"&amp;TEXT(BC214,"0.##")</f>
        <v>72_Crassostrea_gigas_LARVA_CO2437.00_pH8.07_T23.9</v>
      </c>
      <c r="D214">
        <v>72</v>
      </c>
      <c r="G214" t="s">
        <v>43</v>
      </c>
      <c r="H214" t="s">
        <v>648</v>
      </c>
      <c r="J214">
        <v>2014</v>
      </c>
      <c r="M214" t="s">
        <v>314</v>
      </c>
      <c r="P214" t="s">
        <v>1135</v>
      </c>
      <c r="R214" t="s">
        <v>1127</v>
      </c>
      <c r="S214" t="s">
        <v>1128</v>
      </c>
      <c r="T214" t="s">
        <v>68</v>
      </c>
      <c r="U214" t="s">
        <v>167</v>
      </c>
      <c r="V214" t="s">
        <v>168</v>
      </c>
      <c r="Z214" t="s">
        <v>49</v>
      </c>
      <c r="AA214" t="s">
        <v>49</v>
      </c>
      <c r="AB214" t="s">
        <v>71</v>
      </c>
      <c r="AC214" t="s">
        <v>72</v>
      </c>
      <c r="AD214" t="s">
        <v>54</v>
      </c>
      <c r="AE214" t="s">
        <v>53</v>
      </c>
      <c r="AF214" t="s">
        <v>52</v>
      </c>
      <c r="AG214" t="s">
        <v>52</v>
      </c>
      <c r="AH214" t="s">
        <v>64</v>
      </c>
      <c r="AK214">
        <v>4</v>
      </c>
      <c r="AL214">
        <v>4</v>
      </c>
      <c r="AN214">
        <v>437</v>
      </c>
      <c r="AO214" t="s">
        <v>56</v>
      </c>
      <c r="AP214">
        <v>6</v>
      </c>
      <c r="AQ214" t="s">
        <v>57</v>
      </c>
      <c r="AR214">
        <v>8.07</v>
      </c>
      <c r="AS214" t="s">
        <v>56</v>
      </c>
      <c r="AT214">
        <v>0</v>
      </c>
      <c r="AU214">
        <v>2024</v>
      </c>
      <c r="AV214" t="s">
        <v>56</v>
      </c>
      <c r="AW214">
        <v>316</v>
      </c>
      <c r="AX214">
        <v>7.52</v>
      </c>
      <c r="AY214" t="s">
        <v>56</v>
      </c>
      <c r="AZ214">
        <v>0</v>
      </c>
      <c r="BB214">
        <f>LOG(AU214)</f>
        <v>3.3062105081677613</v>
      </c>
      <c r="BC214">
        <v>23.9</v>
      </c>
      <c r="BD214" t="s">
        <v>56</v>
      </c>
      <c r="BE214">
        <v>0</v>
      </c>
      <c r="BF214">
        <v>29.8</v>
      </c>
      <c r="BG214" t="s">
        <v>56</v>
      </c>
      <c r="BH214">
        <v>0.1</v>
      </c>
      <c r="BI214">
        <v>1587</v>
      </c>
      <c r="BJ214">
        <v>5.9</v>
      </c>
      <c r="BK214" t="s">
        <v>56</v>
      </c>
      <c r="BL214" t="s">
        <v>650</v>
      </c>
      <c r="BM214" t="s">
        <v>650</v>
      </c>
      <c r="BN214" t="s">
        <v>60</v>
      </c>
      <c r="BO214" t="s">
        <v>56</v>
      </c>
      <c r="BP214" t="s">
        <v>194</v>
      </c>
      <c r="BQ214" t="s">
        <v>194</v>
      </c>
      <c r="BR214" t="s">
        <v>63</v>
      </c>
      <c r="BT214">
        <v>0.1</v>
      </c>
      <c r="BU214">
        <v>0.1</v>
      </c>
      <c r="BV214">
        <v>0</v>
      </c>
      <c r="BW214">
        <f>BV214*SQRT(AK214)</f>
        <v>0</v>
      </c>
      <c r="BX214">
        <v>0.09</v>
      </c>
      <c r="BY214">
        <v>0.09</v>
      </c>
      <c r="BZ214">
        <v>0.01</v>
      </c>
      <c r="CA214">
        <f>BZ214*SQRT(AL214)</f>
        <v>0.02</v>
      </c>
      <c r="CB214">
        <v>18</v>
      </c>
      <c r="CC214">
        <v>4</v>
      </c>
      <c r="CD214">
        <v>-0.105</v>
      </c>
      <c r="CE214">
        <v>1.5800000000000002E-2</v>
      </c>
      <c r="CF214" s="8"/>
    </row>
    <row r="215" spans="1:84" hidden="1" x14ac:dyDescent="0.2">
      <c r="B215" t="str">
        <f>ROW()-1&amp;"_AltersInvert"</f>
        <v>214_AltersInvert</v>
      </c>
      <c r="C215" t="str">
        <f>D215&amp;"_"&amp;
SUBSTITUTE(TRIM(V215)," ","_")&amp;"_"&amp;
TRIM(AC215)&amp;"_"&amp;
"CO2"&amp;TEXT(AN215,"0.00")&amp;"_"&amp;
"pH"&amp;TEXT(AR215,"0.00")&amp;"_"&amp;
"T"&amp;TEXT(BC215,"0.##")</f>
        <v>83_Philophthalmidae_sp_LARVA_CO2504.00_pH7.79_T13.9</v>
      </c>
      <c r="D215">
        <v>83</v>
      </c>
      <c r="G215" t="s">
        <v>43</v>
      </c>
      <c r="H215" t="s">
        <v>699</v>
      </c>
      <c r="J215">
        <v>2019</v>
      </c>
      <c r="M215" t="s">
        <v>700</v>
      </c>
      <c r="P215" t="s">
        <v>1135</v>
      </c>
      <c r="R215" t="s">
        <v>1127</v>
      </c>
      <c r="S215" t="s">
        <v>1128</v>
      </c>
      <c r="T215" t="s">
        <v>701</v>
      </c>
      <c r="U215" t="s">
        <v>708</v>
      </c>
      <c r="V215" t="s">
        <v>709</v>
      </c>
      <c r="Z215" t="s">
        <v>704</v>
      </c>
      <c r="AA215" t="s">
        <v>107</v>
      </c>
      <c r="AB215" t="s">
        <v>50</v>
      </c>
      <c r="AC215" t="s">
        <v>72</v>
      </c>
      <c r="AD215" t="s">
        <v>52</v>
      </c>
      <c r="AE215" t="s">
        <v>53</v>
      </c>
      <c r="AF215" t="s">
        <v>52</v>
      </c>
      <c r="AG215" t="s">
        <v>54</v>
      </c>
      <c r="AH215" t="s">
        <v>55</v>
      </c>
      <c r="AK215">
        <v>3</v>
      </c>
      <c r="AL215">
        <v>3</v>
      </c>
      <c r="AM215" t="s">
        <v>710</v>
      </c>
      <c r="AN215">
        <v>504</v>
      </c>
      <c r="AO215">
        <v>36</v>
      </c>
      <c r="AP215" t="s">
        <v>56</v>
      </c>
      <c r="AQ215" t="s">
        <v>109</v>
      </c>
      <c r="AR215">
        <v>7.79</v>
      </c>
      <c r="AS215">
        <v>0.02</v>
      </c>
      <c r="AT215" t="s">
        <v>56</v>
      </c>
      <c r="AU215">
        <v>1293</v>
      </c>
      <c r="AV215">
        <v>60</v>
      </c>
      <c r="AW215" t="s">
        <v>56</v>
      </c>
      <c r="AX215">
        <v>7.44</v>
      </c>
      <c r="AY215">
        <v>0.02</v>
      </c>
      <c r="AZ215" t="s">
        <v>56</v>
      </c>
      <c r="BB215">
        <f>LOG(AU215)</f>
        <v>3.1115985248803941</v>
      </c>
      <c r="BC215">
        <v>13.9</v>
      </c>
      <c r="BD215">
        <v>0</v>
      </c>
      <c r="BE215" t="s">
        <v>56</v>
      </c>
      <c r="BF215">
        <v>13.9</v>
      </c>
      <c r="BG215">
        <v>0</v>
      </c>
      <c r="BH215" t="s">
        <v>56</v>
      </c>
      <c r="BI215">
        <v>789</v>
      </c>
      <c r="BJ215">
        <v>0</v>
      </c>
      <c r="BK215" t="s">
        <v>56</v>
      </c>
      <c r="BL215" t="s">
        <v>707</v>
      </c>
      <c r="BM215" t="s">
        <v>707</v>
      </c>
      <c r="BN215" t="s">
        <v>60</v>
      </c>
      <c r="BO215" t="s">
        <v>56</v>
      </c>
      <c r="BP215" t="s">
        <v>9</v>
      </c>
      <c r="BQ215" t="s">
        <v>9</v>
      </c>
      <c r="BR215" t="s">
        <v>84</v>
      </c>
      <c r="BT215">
        <v>0</v>
      </c>
      <c r="BU215">
        <v>3.2000000000000002E-3</v>
      </c>
      <c r="BV215">
        <v>0</v>
      </c>
      <c r="BW215">
        <f>BV215*SQRT(AK215)</f>
        <v>0</v>
      </c>
      <c r="BX215">
        <v>0.32</v>
      </c>
      <c r="BY215">
        <v>0.32</v>
      </c>
      <c r="BZ215">
        <v>0.34</v>
      </c>
      <c r="CA215">
        <f>BZ215*SQRT(AL215)</f>
        <v>0.58889727457341834</v>
      </c>
      <c r="CB215">
        <v>5</v>
      </c>
      <c r="CC215">
        <v>3</v>
      </c>
      <c r="CD215">
        <v>4.6050000000000004</v>
      </c>
      <c r="CE215">
        <v>1.1289</v>
      </c>
      <c r="CF215" s="8"/>
    </row>
    <row r="216" spans="1:84" hidden="1" x14ac:dyDescent="0.2">
      <c r="B216" t="str">
        <f>ROW()-1&amp;"_AltersInvert"</f>
        <v>215_AltersInvert</v>
      </c>
      <c r="C216" t="str">
        <f>D216&amp;"_"&amp;
SUBSTITUTE(TRIM(V216)," ","_")&amp;"_"&amp;
TRIM(AC216)&amp;"_"&amp;
"CO2"&amp;TEXT(AN216,"0.00")&amp;"_"&amp;
"pH"&amp;TEXT(AR216,"0.00")&amp;"_"&amp;
"T"&amp;TEXT(BC216,"0.##")</f>
        <v>83_Echinostomatidae_sp_LARVA_CO2526.00_pH7.78_T14.3</v>
      </c>
      <c r="D216">
        <v>83</v>
      </c>
      <c r="G216" t="s">
        <v>43</v>
      </c>
      <c r="H216" t="s">
        <v>699</v>
      </c>
      <c r="J216">
        <v>2019</v>
      </c>
      <c r="M216" t="s">
        <v>700</v>
      </c>
      <c r="P216" t="s">
        <v>1135</v>
      </c>
      <c r="R216" t="s">
        <v>1127</v>
      </c>
      <c r="S216" t="s">
        <v>1128</v>
      </c>
      <c r="T216" t="s">
        <v>701</v>
      </c>
      <c r="U216" t="s">
        <v>702</v>
      </c>
      <c r="V216" t="s">
        <v>703</v>
      </c>
      <c r="Z216" t="s">
        <v>704</v>
      </c>
      <c r="AA216" t="s">
        <v>107</v>
      </c>
      <c r="AB216" t="s">
        <v>50</v>
      </c>
      <c r="AC216" t="s">
        <v>72</v>
      </c>
      <c r="AD216" t="s">
        <v>52</v>
      </c>
      <c r="AE216" t="s">
        <v>53</v>
      </c>
      <c r="AF216" t="s">
        <v>54</v>
      </c>
      <c r="AG216" t="s">
        <v>52</v>
      </c>
      <c r="AH216" t="s">
        <v>65</v>
      </c>
      <c r="AK216">
        <v>3</v>
      </c>
      <c r="AL216">
        <v>3</v>
      </c>
      <c r="AM216" t="s">
        <v>705</v>
      </c>
      <c r="AN216">
        <v>526</v>
      </c>
      <c r="AO216">
        <v>32</v>
      </c>
      <c r="AP216" t="s">
        <v>56</v>
      </c>
      <c r="AQ216" t="s">
        <v>109</v>
      </c>
      <c r="AR216">
        <v>7.78</v>
      </c>
      <c r="AS216">
        <v>0.02</v>
      </c>
      <c r="AT216" t="s">
        <v>56</v>
      </c>
      <c r="AU216">
        <v>535</v>
      </c>
      <c r="AV216">
        <v>66</v>
      </c>
      <c r="AW216" t="s">
        <v>56</v>
      </c>
      <c r="AX216">
        <v>7.86</v>
      </c>
      <c r="AY216">
        <v>0.05</v>
      </c>
      <c r="AZ216" t="s">
        <v>56</v>
      </c>
      <c r="BB216">
        <f>LOG(AU216)</f>
        <v>2.7283537820212285</v>
      </c>
      <c r="BC216">
        <v>14.3</v>
      </c>
      <c r="BD216">
        <v>0.1</v>
      </c>
      <c r="BE216" t="s">
        <v>56</v>
      </c>
      <c r="BF216">
        <v>19.7</v>
      </c>
      <c r="BG216">
        <v>0.1</v>
      </c>
      <c r="BH216" t="s">
        <v>56</v>
      </c>
      <c r="BI216">
        <v>9</v>
      </c>
      <c r="BJ216">
        <v>5.4</v>
      </c>
      <c r="BK216" t="s">
        <v>56</v>
      </c>
      <c r="BL216" t="s">
        <v>83</v>
      </c>
      <c r="BM216" t="s">
        <v>83</v>
      </c>
      <c r="BN216" t="s">
        <v>81</v>
      </c>
      <c r="BO216" t="s">
        <v>82</v>
      </c>
      <c r="BP216" t="s">
        <v>83</v>
      </c>
      <c r="BQ216" s="8" t="s">
        <v>83</v>
      </c>
      <c r="BR216" t="s">
        <v>84</v>
      </c>
      <c r="BT216">
        <v>100</v>
      </c>
      <c r="BU216">
        <v>100</v>
      </c>
      <c r="BV216">
        <v>0</v>
      </c>
      <c r="BW216">
        <f>BV216*SQRT(AK216)</f>
        <v>0</v>
      </c>
      <c r="BX216">
        <v>98.5</v>
      </c>
      <c r="BY216">
        <v>98.5</v>
      </c>
      <c r="BZ216">
        <v>2.02</v>
      </c>
      <c r="CA216">
        <f>BZ216*SQRT(AL216)</f>
        <v>3.4987426312891321</v>
      </c>
      <c r="CB216">
        <v>2.5</v>
      </c>
      <c r="CC216">
        <v>3</v>
      </c>
      <c r="CD216">
        <v>-1.4999999999999999E-2</v>
      </c>
      <c r="CE216">
        <v>4.0000000000000002E-4</v>
      </c>
    </row>
    <row r="217" spans="1:84" hidden="1" x14ac:dyDescent="0.2">
      <c r="B217" t="str">
        <f>ROW()-1&amp;"_AltersInvert"</f>
        <v>216_AltersInvert</v>
      </c>
      <c r="C217" t="str">
        <f>D217&amp;"_"&amp;
SUBSTITUTE(TRIM(V217)," ","_")&amp;"_"&amp;
TRIM(AC217)&amp;"_"&amp;
"CO2"&amp;TEXT(AN217,"0.00")&amp;"_"&amp;
"pH"&amp;TEXT(AR217,"0.00")&amp;"_"&amp;
"T"&amp;TEXT(BC217,"0.##")</f>
        <v>83_Philophthalmidae_sp_LARVA_CO2504.00_pH7.79_T13.9</v>
      </c>
      <c r="D217">
        <v>83</v>
      </c>
      <c r="G217" t="s">
        <v>43</v>
      </c>
      <c r="H217" t="s">
        <v>699</v>
      </c>
      <c r="J217">
        <v>2019</v>
      </c>
      <c r="M217" t="s">
        <v>700</v>
      </c>
      <c r="P217" t="s">
        <v>1135</v>
      </c>
      <c r="R217" t="s">
        <v>1127</v>
      </c>
      <c r="S217" t="s">
        <v>1128</v>
      </c>
      <c r="T217" t="s">
        <v>701</v>
      </c>
      <c r="U217" t="s">
        <v>708</v>
      </c>
      <c r="V217" t="s">
        <v>709</v>
      </c>
      <c r="Z217" t="s">
        <v>704</v>
      </c>
      <c r="AA217" t="s">
        <v>107</v>
      </c>
      <c r="AB217" t="s">
        <v>50</v>
      </c>
      <c r="AC217" t="s">
        <v>72</v>
      </c>
      <c r="AD217" t="s">
        <v>52</v>
      </c>
      <c r="AE217" t="s">
        <v>53</v>
      </c>
      <c r="AF217" t="s">
        <v>54</v>
      </c>
      <c r="AG217" t="s">
        <v>52</v>
      </c>
      <c r="AH217" t="s">
        <v>65</v>
      </c>
      <c r="AK217">
        <v>3</v>
      </c>
      <c r="AL217">
        <v>3</v>
      </c>
      <c r="AM217" t="s">
        <v>710</v>
      </c>
      <c r="AN217">
        <v>504</v>
      </c>
      <c r="AO217">
        <v>36</v>
      </c>
      <c r="AP217" t="s">
        <v>56</v>
      </c>
      <c r="AQ217" t="s">
        <v>109</v>
      </c>
      <c r="AR217">
        <v>7.79</v>
      </c>
      <c r="AS217">
        <v>0.02</v>
      </c>
      <c r="AT217" t="s">
        <v>56</v>
      </c>
      <c r="AU217">
        <v>504</v>
      </c>
      <c r="AV217">
        <v>93</v>
      </c>
      <c r="AW217" t="s">
        <v>56</v>
      </c>
      <c r="AX217">
        <v>7.87</v>
      </c>
      <c r="AY217">
        <v>0.06</v>
      </c>
      <c r="AZ217" t="s">
        <v>56</v>
      </c>
      <c r="BB217">
        <f>LOG(AU217)</f>
        <v>2.7024305364455254</v>
      </c>
      <c r="BC217">
        <v>13.9</v>
      </c>
      <c r="BD217">
        <v>0</v>
      </c>
      <c r="BE217" t="s">
        <v>56</v>
      </c>
      <c r="BF217">
        <v>19.7</v>
      </c>
      <c r="BG217">
        <v>0.1</v>
      </c>
      <c r="BH217" t="s">
        <v>56</v>
      </c>
      <c r="BI217">
        <v>0</v>
      </c>
      <c r="BJ217">
        <v>5.8</v>
      </c>
      <c r="BK217" t="s">
        <v>56</v>
      </c>
      <c r="BL217" t="s">
        <v>707</v>
      </c>
      <c r="BM217" t="s">
        <v>707</v>
      </c>
      <c r="BN217" t="s">
        <v>60</v>
      </c>
      <c r="BO217" t="s">
        <v>56</v>
      </c>
      <c r="BP217" t="s">
        <v>9</v>
      </c>
      <c r="BQ217" t="s">
        <v>9</v>
      </c>
      <c r="BR217" t="s">
        <v>84</v>
      </c>
      <c r="BT217">
        <v>0</v>
      </c>
      <c r="BU217">
        <v>2.2000000000000001E-3</v>
      </c>
      <c r="BV217">
        <v>0</v>
      </c>
      <c r="BW217">
        <f>BV217*SQRT(AK217)</f>
        <v>0</v>
      </c>
      <c r="BX217">
        <v>0.22</v>
      </c>
      <c r="BY217">
        <v>0.22</v>
      </c>
      <c r="BZ217">
        <v>0.28000000000000003</v>
      </c>
      <c r="CA217">
        <f>BZ217*SQRT(AL217)</f>
        <v>0.48497422611928565</v>
      </c>
      <c r="CB217">
        <v>5</v>
      </c>
      <c r="CC217">
        <v>3</v>
      </c>
      <c r="CD217">
        <v>4.6050000000000004</v>
      </c>
      <c r="CE217">
        <v>1.6197999999999999</v>
      </c>
      <c r="CF217" s="8"/>
    </row>
    <row r="218" spans="1:84" hidden="1" x14ac:dyDescent="0.2">
      <c r="B218" t="str">
        <f>ROW()-1&amp;"_AltersInvert"</f>
        <v>217_AltersInvert</v>
      </c>
      <c r="C218" t="str">
        <f>D218&amp;"_"&amp;
SUBSTITUTE(TRIM(V218)," ","_")&amp;"_"&amp;
TRIM(AC218)&amp;"_"&amp;
"CO2"&amp;TEXT(AN218,"0.00")&amp;"_"&amp;
"pH"&amp;TEXT(AR218,"0.00")&amp;"_"&amp;
"T"&amp;TEXT(BC218,"0.##")</f>
        <v>83_Echinostomatidae_sp_LARVA_CO2526.00_pH7.78_T14.3</v>
      </c>
      <c r="D218">
        <v>83</v>
      </c>
      <c r="G218" t="s">
        <v>43</v>
      </c>
      <c r="H218" t="s">
        <v>699</v>
      </c>
      <c r="J218">
        <v>2019</v>
      </c>
      <c r="M218" t="s">
        <v>700</v>
      </c>
      <c r="P218" t="s">
        <v>1135</v>
      </c>
      <c r="R218" t="s">
        <v>1127</v>
      </c>
      <c r="S218" t="s">
        <v>1128</v>
      </c>
      <c r="T218" t="s">
        <v>701</v>
      </c>
      <c r="U218" t="s">
        <v>702</v>
      </c>
      <c r="V218" t="s">
        <v>703</v>
      </c>
      <c r="Z218" t="s">
        <v>704</v>
      </c>
      <c r="AA218" t="s">
        <v>107</v>
      </c>
      <c r="AB218" t="s">
        <v>50</v>
      </c>
      <c r="AC218" t="s">
        <v>72</v>
      </c>
      <c r="AD218" t="s">
        <v>52</v>
      </c>
      <c r="AE218" t="s">
        <v>53</v>
      </c>
      <c r="AF218" t="s">
        <v>52</v>
      </c>
      <c r="AG218" t="s">
        <v>52</v>
      </c>
      <c r="AH218" t="s">
        <v>64</v>
      </c>
      <c r="AK218">
        <v>3</v>
      </c>
      <c r="AL218">
        <v>3</v>
      </c>
      <c r="AM218" t="s">
        <v>705</v>
      </c>
      <c r="AN218">
        <v>526</v>
      </c>
      <c r="AO218">
        <v>32</v>
      </c>
      <c r="AP218" t="s">
        <v>56</v>
      </c>
      <c r="AQ218" t="s">
        <v>109</v>
      </c>
      <c r="AR218">
        <v>7.78</v>
      </c>
      <c r="AS218">
        <v>0.02</v>
      </c>
      <c r="AT218" t="s">
        <v>56</v>
      </c>
      <c r="AU218">
        <v>1239</v>
      </c>
      <c r="AV218">
        <v>26</v>
      </c>
      <c r="AW218" t="s">
        <v>56</v>
      </c>
      <c r="AX218">
        <v>7.54</v>
      </c>
      <c r="AY218">
        <v>0.01</v>
      </c>
      <c r="AZ218" t="s">
        <v>56</v>
      </c>
      <c r="BB218">
        <f>LOG(AU218)</f>
        <v>3.0930713063760633</v>
      </c>
      <c r="BC218">
        <v>14.3</v>
      </c>
      <c r="BD218">
        <v>0.1</v>
      </c>
      <c r="BE218" t="s">
        <v>56</v>
      </c>
      <c r="BF218">
        <v>19.7</v>
      </c>
      <c r="BG218">
        <v>0.1</v>
      </c>
      <c r="BH218" t="s">
        <v>56</v>
      </c>
      <c r="BI218">
        <v>713</v>
      </c>
      <c r="BJ218">
        <v>5.4</v>
      </c>
      <c r="BK218" t="s">
        <v>56</v>
      </c>
      <c r="BL218" t="s">
        <v>83</v>
      </c>
      <c r="BM218" t="s">
        <v>83</v>
      </c>
      <c r="BN218" t="s">
        <v>81</v>
      </c>
      <c r="BO218" t="s">
        <v>82</v>
      </c>
      <c r="BP218" t="s">
        <v>83</v>
      </c>
      <c r="BQ218" s="8" t="s">
        <v>190</v>
      </c>
      <c r="BR218" t="s">
        <v>84</v>
      </c>
      <c r="BT218">
        <v>100</v>
      </c>
      <c r="BU218">
        <v>100</v>
      </c>
      <c r="BV218">
        <v>0</v>
      </c>
      <c r="BW218">
        <f>BV218*SQRT(AK218)</f>
        <v>0</v>
      </c>
      <c r="BX218">
        <v>1.96</v>
      </c>
      <c r="BY218">
        <v>1.96</v>
      </c>
      <c r="BZ218">
        <v>3.12</v>
      </c>
      <c r="CA218">
        <f>BZ218*SQRT(AL218)</f>
        <v>5.4039985196148974</v>
      </c>
      <c r="CB218">
        <v>2.5</v>
      </c>
      <c r="CC218">
        <v>3</v>
      </c>
      <c r="CD218">
        <v>-3.9319999999999999</v>
      </c>
      <c r="CE218">
        <v>2.5339</v>
      </c>
    </row>
    <row r="219" spans="1:84" hidden="1" x14ac:dyDescent="0.2">
      <c r="B219" t="str">
        <f>ROW()-1&amp;"_AltersInvert"</f>
        <v>218_AltersInvert</v>
      </c>
      <c r="C219" t="str">
        <f>D219&amp;"_"&amp;
SUBSTITUTE(TRIM(V219)," ","_")&amp;"_"&amp;
TRIM(AC219)&amp;"_"&amp;
"CO2"&amp;TEXT(AN219,"0.00")&amp;"_"&amp;
"pH"&amp;TEXT(AR219,"0.00")&amp;"_"&amp;
"T"&amp;TEXT(BC219,"0.##")</f>
        <v>83_Philophthalmidae_sp_LARVA_CO2504.00_pH7.79_T13.9</v>
      </c>
      <c r="D219">
        <v>83</v>
      </c>
      <c r="G219" t="s">
        <v>43</v>
      </c>
      <c r="H219" t="s">
        <v>699</v>
      </c>
      <c r="J219">
        <v>2019</v>
      </c>
      <c r="M219" t="s">
        <v>700</v>
      </c>
      <c r="P219" t="s">
        <v>1135</v>
      </c>
      <c r="R219" t="s">
        <v>1127</v>
      </c>
      <c r="S219" t="s">
        <v>1128</v>
      </c>
      <c r="T219" t="s">
        <v>701</v>
      </c>
      <c r="U219" t="s">
        <v>708</v>
      </c>
      <c r="V219" t="s">
        <v>709</v>
      </c>
      <c r="Z219" t="s">
        <v>704</v>
      </c>
      <c r="AA219" t="s">
        <v>107</v>
      </c>
      <c r="AB219" t="s">
        <v>50</v>
      </c>
      <c r="AC219" t="s">
        <v>72</v>
      </c>
      <c r="AD219" t="s">
        <v>52</v>
      </c>
      <c r="AE219" t="s">
        <v>53</v>
      </c>
      <c r="AF219" t="s">
        <v>52</v>
      </c>
      <c r="AG219" t="s">
        <v>52</v>
      </c>
      <c r="AH219" t="s">
        <v>64</v>
      </c>
      <c r="AK219">
        <v>3</v>
      </c>
      <c r="AL219">
        <v>3</v>
      </c>
      <c r="AM219" t="s">
        <v>710</v>
      </c>
      <c r="AN219">
        <v>504</v>
      </c>
      <c r="AO219">
        <v>36</v>
      </c>
      <c r="AP219" t="s">
        <v>56</v>
      </c>
      <c r="AQ219" t="s">
        <v>109</v>
      </c>
      <c r="AR219">
        <v>7.79</v>
      </c>
      <c r="AS219">
        <v>0.02</v>
      </c>
      <c r="AT219" t="s">
        <v>56</v>
      </c>
      <c r="AU219">
        <v>1357</v>
      </c>
      <c r="AV219">
        <v>43</v>
      </c>
      <c r="AW219" t="s">
        <v>56</v>
      </c>
      <c r="AX219">
        <v>7.5</v>
      </c>
      <c r="AY219">
        <v>0.02</v>
      </c>
      <c r="AZ219" t="s">
        <v>56</v>
      </c>
      <c r="BB219">
        <f>LOG(AU219)</f>
        <v>3.1325798476597368</v>
      </c>
      <c r="BC219">
        <v>13.9</v>
      </c>
      <c r="BD219">
        <v>0</v>
      </c>
      <c r="BE219" t="s">
        <v>56</v>
      </c>
      <c r="BF219">
        <v>19.5</v>
      </c>
      <c r="BG219">
        <v>0</v>
      </c>
      <c r="BH219" t="s">
        <v>56</v>
      </c>
      <c r="BI219">
        <v>853</v>
      </c>
      <c r="BJ219">
        <v>5.6</v>
      </c>
      <c r="BK219" t="s">
        <v>56</v>
      </c>
      <c r="BL219" t="s">
        <v>707</v>
      </c>
      <c r="BM219" t="s">
        <v>707</v>
      </c>
      <c r="BN219" t="s">
        <v>60</v>
      </c>
      <c r="BO219" t="s">
        <v>56</v>
      </c>
      <c r="BP219" t="s">
        <v>9</v>
      </c>
      <c r="BQ219" t="s">
        <v>9</v>
      </c>
      <c r="BR219" t="s">
        <v>84</v>
      </c>
      <c r="BT219">
        <v>0</v>
      </c>
      <c r="BU219">
        <v>3.3E-3</v>
      </c>
      <c r="BV219">
        <v>0</v>
      </c>
      <c r="BW219">
        <f>BV219*SQRT(AK219)</f>
        <v>0</v>
      </c>
      <c r="BX219">
        <v>0.33</v>
      </c>
      <c r="BY219">
        <v>0.33</v>
      </c>
      <c r="BZ219">
        <v>0.31</v>
      </c>
      <c r="CA219">
        <f>BZ219*SQRT(AL219)</f>
        <v>0.53693575034635188</v>
      </c>
      <c r="CB219">
        <v>5</v>
      </c>
      <c r="CC219">
        <v>3</v>
      </c>
      <c r="CD219">
        <v>4.6050000000000004</v>
      </c>
      <c r="CE219">
        <v>0.88249999999999995</v>
      </c>
      <c r="CF219" s="8"/>
    </row>
    <row r="220" spans="1:84" hidden="1" x14ac:dyDescent="0.2">
      <c r="B220" t="str">
        <f>ROW()-1&amp;"_AltersInvert"</f>
        <v>219_AltersInvert</v>
      </c>
      <c r="C220" t="str">
        <f>D220&amp;"_"&amp;
SUBSTITUTE(TRIM(V220)," ","_")&amp;"_"&amp;
TRIM(AC220)&amp;"_"&amp;
"CO2"&amp;TEXT(AN220,"0.00")&amp;"_"&amp;
"pH"&amp;TEXT(AR220,"0.00")&amp;"_"&amp;
"T"&amp;TEXT(BC220,"0.##")</f>
        <v>8_Strongylocentrotus_purpuratus_LARVA_CO2397.00_pH8.02_T13.6</v>
      </c>
      <c r="D220">
        <v>8</v>
      </c>
      <c r="G220" t="s">
        <v>43</v>
      </c>
      <c r="H220" t="s">
        <v>173</v>
      </c>
      <c r="J220">
        <v>2013</v>
      </c>
      <c r="M220" t="s">
        <v>174</v>
      </c>
      <c r="P220" t="s">
        <v>1135</v>
      </c>
      <c r="R220" t="s">
        <v>1127</v>
      </c>
      <c r="S220" t="s">
        <v>1128</v>
      </c>
      <c r="T220" t="s">
        <v>46</v>
      </c>
      <c r="U220" t="s">
        <v>175</v>
      </c>
      <c r="V220" t="s">
        <v>176</v>
      </c>
      <c r="Z220" t="s">
        <v>177</v>
      </c>
      <c r="AA220" t="s">
        <v>177</v>
      </c>
      <c r="AB220" t="s">
        <v>71</v>
      </c>
      <c r="AC220" t="s">
        <v>72</v>
      </c>
      <c r="AD220" t="s">
        <v>54</v>
      </c>
      <c r="AE220" t="s">
        <v>53</v>
      </c>
      <c r="AF220" t="s">
        <v>52</v>
      </c>
      <c r="AG220" t="s">
        <v>54</v>
      </c>
      <c r="AH220" t="s">
        <v>55</v>
      </c>
      <c r="AK220">
        <v>8</v>
      </c>
      <c r="AL220">
        <v>8</v>
      </c>
      <c r="AN220">
        <v>397</v>
      </c>
      <c r="AO220">
        <v>6</v>
      </c>
      <c r="AP220" t="s">
        <v>56</v>
      </c>
      <c r="AQ220" t="s">
        <v>109</v>
      </c>
      <c r="AR220">
        <v>8.02</v>
      </c>
      <c r="AS220">
        <v>0.02</v>
      </c>
      <c r="AT220" t="s">
        <v>56</v>
      </c>
      <c r="AU220">
        <v>1124</v>
      </c>
      <c r="AV220">
        <v>24</v>
      </c>
      <c r="AW220" t="s">
        <v>56</v>
      </c>
      <c r="AX220">
        <v>7.62</v>
      </c>
      <c r="AY220">
        <v>0.02</v>
      </c>
      <c r="AZ220" t="s">
        <v>56</v>
      </c>
      <c r="BB220">
        <f>LOG(AU220)</f>
        <v>3.0507663112330423</v>
      </c>
      <c r="BC220">
        <v>13.6</v>
      </c>
      <c r="BD220">
        <v>0.1</v>
      </c>
      <c r="BE220" t="s">
        <v>56</v>
      </c>
      <c r="BF220">
        <v>13.6</v>
      </c>
      <c r="BG220">
        <v>0.1</v>
      </c>
      <c r="BH220" t="s">
        <v>56</v>
      </c>
      <c r="BI220">
        <v>727</v>
      </c>
      <c r="BJ220">
        <v>0</v>
      </c>
      <c r="BK220" t="s">
        <v>181</v>
      </c>
      <c r="BL220" t="s">
        <v>179</v>
      </c>
      <c r="BM220" t="s">
        <v>90</v>
      </c>
      <c r="BN220" t="s">
        <v>81</v>
      </c>
      <c r="BO220" t="s">
        <v>180</v>
      </c>
      <c r="BP220" t="s">
        <v>92</v>
      </c>
      <c r="BQ220" t="s">
        <v>92</v>
      </c>
      <c r="BR220" t="s">
        <v>63</v>
      </c>
      <c r="BT220">
        <v>0.32</v>
      </c>
      <c r="BU220">
        <v>0.317</v>
      </c>
      <c r="BV220">
        <v>0</v>
      </c>
      <c r="BW220">
        <f>BV220*SQRT(AK220)</f>
        <v>0</v>
      </c>
      <c r="BX220">
        <v>0.28999999999999998</v>
      </c>
      <c r="BY220">
        <v>0.28999999999999998</v>
      </c>
      <c r="BZ220">
        <v>0</v>
      </c>
      <c r="CA220">
        <f>BZ220*SQRT(AL220)</f>
        <v>0</v>
      </c>
      <c r="CB220">
        <v>4</v>
      </c>
      <c r="CC220">
        <v>4</v>
      </c>
      <c r="CD220">
        <v>-8.8999999999999996E-2</v>
      </c>
      <c r="CE220">
        <v>2.0000000000000001E-4</v>
      </c>
    </row>
    <row r="221" spans="1:84" hidden="1" x14ac:dyDescent="0.2">
      <c r="B221" t="str">
        <f>ROW()-1&amp;"_AltersInvert"</f>
        <v>220_AltersInvert</v>
      </c>
      <c r="C221" t="str">
        <f>D221&amp;"_"&amp;
SUBSTITUTE(TRIM(V221)," ","_")&amp;"_"&amp;
TRIM(AC221)&amp;"_"&amp;
"CO2"&amp;TEXT(AN221,"0.00")&amp;"_"&amp;
"pH"&amp;TEXT(AR221,"0.00")&amp;"_"&amp;
"T"&amp;TEXT(BC221,"0.##")</f>
        <v>8_Strongylocentrotus_purpuratus_LARVA_CO2397.00_pH8.02_T13.6</v>
      </c>
      <c r="D221">
        <v>8</v>
      </c>
      <c r="G221" t="s">
        <v>43</v>
      </c>
      <c r="H221" t="s">
        <v>173</v>
      </c>
      <c r="J221">
        <v>2013</v>
      </c>
      <c r="M221" t="s">
        <v>174</v>
      </c>
      <c r="P221" t="s">
        <v>1135</v>
      </c>
      <c r="R221" t="s">
        <v>1127</v>
      </c>
      <c r="S221" t="s">
        <v>1128</v>
      </c>
      <c r="T221" t="s">
        <v>46</v>
      </c>
      <c r="U221" t="s">
        <v>175</v>
      </c>
      <c r="V221" t="s">
        <v>176</v>
      </c>
      <c r="Z221" t="s">
        <v>177</v>
      </c>
      <c r="AA221" t="s">
        <v>177</v>
      </c>
      <c r="AB221" t="s">
        <v>71</v>
      </c>
      <c r="AC221" t="s">
        <v>72</v>
      </c>
      <c r="AD221" t="s">
        <v>54</v>
      </c>
      <c r="AE221" t="s">
        <v>53</v>
      </c>
      <c r="AF221" t="s">
        <v>54</v>
      </c>
      <c r="AG221" t="s">
        <v>52</v>
      </c>
      <c r="AH221" t="s">
        <v>65</v>
      </c>
      <c r="AK221">
        <v>8</v>
      </c>
      <c r="AL221">
        <v>8</v>
      </c>
      <c r="AN221">
        <v>397</v>
      </c>
      <c r="AO221">
        <v>6</v>
      </c>
      <c r="AP221" t="s">
        <v>56</v>
      </c>
      <c r="AQ221" t="s">
        <v>109</v>
      </c>
      <c r="AR221">
        <v>8.02</v>
      </c>
      <c r="AS221">
        <v>0.02</v>
      </c>
      <c r="AT221" t="s">
        <v>56</v>
      </c>
      <c r="AU221">
        <v>398</v>
      </c>
      <c r="AV221">
        <v>9</v>
      </c>
      <c r="AW221" t="s">
        <v>56</v>
      </c>
      <c r="AX221">
        <v>8.0399999999999991</v>
      </c>
      <c r="AY221">
        <v>0.02</v>
      </c>
      <c r="AZ221" t="s">
        <v>56</v>
      </c>
      <c r="BB221">
        <f>LOG(AU221)</f>
        <v>2.5998830720736876</v>
      </c>
      <c r="BC221">
        <v>13.6</v>
      </c>
      <c r="BD221">
        <v>0.1</v>
      </c>
      <c r="BE221" t="s">
        <v>56</v>
      </c>
      <c r="BF221">
        <v>18.399999999999999</v>
      </c>
      <c r="BG221">
        <v>0</v>
      </c>
      <c r="BH221" t="s">
        <v>56</v>
      </c>
      <c r="BI221">
        <v>1</v>
      </c>
      <c r="BJ221">
        <v>4.8</v>
      </c>
      <c r="BK221" t="s">
        <v>181</v>
      </c>
      <c r="BL221" t="s">
        <v>179</v>
      </c>
      <c r="BM221" t="s">
        <v>90</v>
      </c>
      <c r="BN221" t="s">
        <v>81</v>
      </c>
      <c r="BO221" t="s">
        <v>180</v>
      </c>
      <c r="BP221" t="s">
        <v>92</v>
      </c>
      <c r="BQ221" t="s">
        <v>92</v>
      </c>
      <c r="BR221" t="s">
        <v>63</v>
      </c>
      <c r="BT221">
        <v>0.32</v>
      </c>
      <c r="BU221">
        <v>0.317</v>
      </c>
      <c r="BV221">
        <v>0</v>
      </c>
      <c r="BW221">
        <f>BV221*SQRT(AK221)</f>
        <v>0</v>
      </c>
      <c r="BX221">
        <v>0.32</v>
      </c>
      <c r="BY221">
        <v>0.31900000000000001</v>
      </c>
      <c r="BZ221">
        <v>0.01</v>
      </c>
      <c r="CA221">
        <f>BZ221*SQRT(AL221)</f>
        <v>2.8284271247461905E-2</v>
      </c>
      <c r="CB221">
        <v>4</v>
      </c>
      <c r="CC221">
        <v>4</v>
      </c>
      <c r="CD221">
        <v>6.0000000000000001E-3</v>
      </c>
      <c r="CE221">
        <v>5.0000000000000001E-4</v>
      </c>
    </row>
    <row r="222" spans="1:84" hidden="1" x14ac:dyDescent="0.2">
      <c r="B222" t="str">
        <f>ROW()-1&amp;"_AltersInvert"</f>
        <v>221_AltersInvert</v>
      </c>
      <c r="C222" t="str">
        <f>D222&amp;"_"&amp;
SUBSTITUTE(TRIM(V222)," ","_")&amp;"_"&amp;
TRIM(AC222)&amp;"_"&amp;
"CO2"&amp;TEXT(AN222,"0.00")&amp;"_"&amp;
"pH"&amp;TEXT(AR222,"0.00")&amp;"_"&amp;
"T"&amp;TEXT(BC222,"0.##")</f>
        <v>8_Strongylocentrotus_purpuratus_LARVA_CO2397.00_pH8.02_T13.6</v>
      </c>
      <c r="D222">
        <v>8</v>
      </c>
      <c r="G222" t="s">
        <v>43</v>
      </c>
      <c r="H222" t="s">
        <v>173</v>
      </c>
      <c r="J222">
        <v>2013</v>
      </c>
      <c r="M222" t="s">
        <v>174</v>
      </c>
      <c r="P222" t="s">
        <v>1135</v>
      </c>
      <c r="R222" t="s">
        <v>1127</v>
      </c>
      <c r="S222" t="s">
        <v>1128</v>
      </c>
      <c r="T222" t="s">
        <v>46</v>
      </c>
      <c r="U222" t="s">
        <v>175</v>
      </c>
      <c r="V222" t="s">
        <v>176</v>
      </c>
      <c r="Z222" t="s">
        <v>177</v>
      </c>
      <c r="AA222" t="s">
        <v>177</v>
      </c>
      <c r="AB222" t="s">
        <v>71</v>
      </c>
      <c r="AC222" t="s">
        <v>72</v>
      </c>
      <c r="AD222" t="s">
        <v>54</v>
      </c>
      <c r="AE222" t="s">
        <v>53</v>
      </c>
      <c r="AF222" t="s">
        <v>52</v>
      </c>
      <c r="AG222" t="s">
        <v>52</v>
      </c>
      <c r="AH222" t="s">
        <v>64</v>
      </c>
      <c r="AK222">
        <v>8</v>
      </c>
      <c r="AL222">
        <v>8</v>
      </c>
      <c r="AN222">
        <v>397</v>
      </c>
      <c r="AO222">
        <v>6</v>
      </c>
      <c r="AP222" t="s">
        <v>56</v>
      </c>
      <c r="AQ222" t="s">
        <v>109</v>
      </c>
      <c r="AR222">
        <v>8.02</v>
      </c>
      <c r="AS222">
        <v>0.02</v>
      </c>
      <c r="AT222" t="s">
        <v>56</v>
      </c>
      <c r="AU222">
        <v>1181</v>
      </c>
      <c r="AV222">
        <v>12</v>
      </c>
      <c r="AW222" t="s">
        <v>56</v>
      </c>
      <c r="AX222">
        <v>7.58</v>
      </c>
      <c r="AY222">
        <v>0.02</v>
      </c>
      <c r="AZ222" t="s">
        <v>56</v>
      </c>
      <c r="BB222">
        <f>LOG(AU222)</f>
        <v>3.0722498976135149</v>
      </c>
      <c r="BC222">
        <v>13.6</v>
      </c>
      <c r="BD222">
        <v>0.1</v>
      </c>
      <c r="BE222" t="s">
        <v>56</v>
      </c>
      <c r="BF222">
        <v>18.399999999999999</v>
      </c>
      <c r="BG222">
        <v>0</v>
      </c>
      <c r="BH222" t="s">
        <v>56</v>
      </c>
      <c r="BI222">
        <v>784</v>
      </c>
      <c r="BJ222">
        <v>4.8</v>
      </c>
      <c r="BK222" t="s">
        <v>178</v>
      </c>
      <c r="BL222" t="s">
        <v>179</v>
      </c>
      <c r="BM222" t="s">
        <v>90</v>
      </c>
      <c r="BN222" t="s">
        <v>81</v>
      </c>
      <c r="BO222" t="s">
        <v>180</v>
      </c>
      <c r="BP222" t="s">
        <v>92</v>
      </c>
      <c r="BQ222" t="s">
        <v>92</v>
      </c>
      <c r="BR222" t="s">
        <v>63</v>
      </c>
      <c r="BT222">
        <v>0.32</v>
      </c>
      <c r="BU222">
        <v>0.317</v>
      </c>
      <c r="BV222">
        <v>0</v>
      </c>
      <c r="BW222">
        <f>BV222*SQRT(AK222)</f>
        <v>0</v>
      </c>
      <c r="BX222">
        <v>0.28999999999999998</v>
      </c>
      <c r="BY222">
        <v>0.28599999999999998</v>
      </c>
      <c r="BZ222">
        <v>0</v>
      </c>
      <c r="CA222">
        <f>BZ222*SQRT(AL222)</f>
        <v>0</v>
      </c>
      <c r="CB222">
        <v>4</v>
      </c>
      <c r="CC222">
        <v>4</v>
      </c>
      <c r="CD222">
        <v>-0.10299999999999999</v>
      </c>
      <c r="CE222">
        <v>4.0000000000000002E-4</v>
      </c>
    </row>
    <row r="223" spans="1:84" hidden="1" x14ac:dyDescent="0.2">
      <c r="A223" s="8"/>
      <c r="B223" t="str">
        <f>ROW()-1&amp;"_AltersInvert"</f>
        <v>222_AltersInvert</v>
      </c>
      <c r="C223" t="str">
        <f>D223&amp;"_"&amp;
SUBSTITUTE(TRIM(V223)," ","_")&amp;"_"&amp;
TRIM(AC223)&amp;"_"&amp;
"CO2"&amp;TEXT(AN223,"0.00")&amp;"_"&amp;
"pH"&amp;TEXT(AR223,"0.00")&amp;"_"&amp;
"T"&amp;TEXT(BC223,"0.##")</f>
        <v>240_Leptuca_thayeri_EMBRYO_CO28271.00_pH0.00_T26.1</v>
      </c>
      <c r="D223" s="8">
        <v>240</v>
      </c>
      <c r="E223" s="8"/>
      <c r="F223" s="8"/>
      <c r="G223" s="8" t="s">
        <v>43</v>
      </c>
      <c r="H223" s="8" t="s">
        <v>991</v>
      </c>
      <c r="I223" s="8"/>
      <c r="J223" s="8">
        <v>2021</v>
      </c>
      <c r="K223" s="8"/>
      <c r="L223" s="8"/>
      <c r="M223" s="8" t="s">
        <v>750</v>
      </c>
      <c r="N223" s="8"/>
      <c r="O223" s="8"/>
      <c r="P223" t="s">
        <v>1135</v>
      </c>
      <c r="Q223" s="8"/>
      <c r="R223" s="8" t="s">
        <v>1127</v>
      </c>
      <c r="S223" t="s">
        <v>1128</v>
      </c>
      <c r="T223" s="8" t="s">
        <v>131</v>
      </c>
      <c r="U223" s="8" t="s">
        <v>992</v>
      </c>
      <c r="V223" s="8" t="s">
        <v>993</v>
      </c>
      <c r="W223" s="8" t="str">
        <f>IF(ISNUMBER(MATCH(#REF!,{"Doryteuthis pealeii","Loligo vulgaris","Leptuca thayeri","Stylocheilus striatus","Ophryotrocha labronica"},0)),"N","Y")</f>
        <v>Y</v>
      </c>
      <c r="X223" s="8"/>
      <c r="Y223" s="8"/>
      <c r="Z223" s="8"/>
      <c r="AA223" s="8"/>
      <c r="AB223" s="8"/>
      <c r="AC223" s="8" t="s">
        <v>195</v>
      </c>
      <c r="AD223" s="8"/>
      <c r="AE223" s="8"/>
      <c r="AF223" s="8" t="s">
        <v>52</v>
      </c>
      <c r="AG223" s="8" t="s">
        <v>54</v>
      </c>
      <c r="AH223" s="8" t="s">
        <v>55</v>
      </c>
      <c r="AI223" s="8"/>
      <c r="AJ223" s="8"/>
      <c r="AK223" s="8">
        <v>26</v>
      </c>
      <c r="AL223" s="8">
        <v>26</v>
      </c>
      <c r="AM223" s="8" t="s">
        <v>995</v>
      </c>
      <c r="AN223" s="8">
        <v>8271</v>
      </c>
      <c r="AO223" s="8"/>
      <c r="AP223" s="8"/>
      <c r="AQ223" s="8"/>
      <c r="AR223" s="8"/>
      <c r="AS223" s="8"/>
      <c r="AT223" s="8"/>
      <c r="AU223" s="8">
        <v>41067</v>
      </c>
      <c r="BA223" s="8"/>
      <c r="BB223" s="8">
        <f>LOG(AU223)</f>
        <v>4.613492978211986</v>
      </c>
      <c r="BC223" s="8">
        <v>26.1</v>
      </c>
      <c r="BD223" s="8"/>
      <c r="BE223" s="8"/>
      <c r="BF223" s="8">
        <v>26.4</v>
      </c>
      <c r="BG223" s="8"/>
      <c r="BH223" s="8"/>
      <c r="BI223" s="8">
        <v>32796</v>
      </c>
      <c r="BJ223" s="8">
        <v>0.3</v>
      </c>
      <c r="BK223" s="8"/>
      <c r="BL223" s="8" t="s">
        <v>994</v>
      </c>
      <c r="BM223" s="8" t="s">
        <v>262</v>
      </c>
      <c r="BN223" s="8" t="s">
        <v>81</v>
      </c>
      <c r="BO223" s="8" t="s">
        <v>193</v>
      </c>
      <c r="BP223" s="8" t="s">
        <v>92</v>
      </c>
      <c r="BQ223" s="8" t="s">
        <v>92</v>
      </c>
      <c r="BR223" s="8" t="s">
        <v>63</v>
      </c>
      <c r="BS223" s="8"/>
      <c r="BT223" s="8">
        <v>1.2857881E-2</v>
      </c>
      <c r="BU223" s="8">
        <v>1.2858E-2</v>
      </c>
      <c r="BV223" s="8">
        <v>0</v>
      </c>
      <c r="BW223" s="8">
        <f>BV223*SQRT(AK223)</f>
        <v>0</v>
      </c>
      <c r="BX223" s="8">
        <v>1.2692505999999999E-2</v>
      </c>
      <c r="BY223" s="8">
        <v>1.2692500000000001E-2</v>
      </c>
      <c r="BZ223" s="8">
        <v>0</v>
      </c>
      <c r="CA223" s="8">
        <f>BZ223*SQRT(AL223)</f>
        <v>0</v>
      </c>
      <c r="CB223" s="8">
        <v>10</v>
      </c>
      <c r="CC223" s="8"/>
      <c r="CD223" s="8">
        <v>-1.2999999999999999E-2</v>
      </c>
      <c r="CE223" s="8">
        <v>8.0000000000000004E-4</v>
      </c>
      <c r="CF223" s="8" t="s">
        <v>1134</v>
      </c>
    </row>
    <row r="224" spans="1:84" hidden="1" x14ac:dyDescent="0.2">
      <c r="A224" s="8"/>
      <c r="B224" t="str">
        <f>ROW()-1&amp;"_AltersInvert"</f>
        <v>223_AltersInvert</v>
      </c>
      <c r="C224" t="str">
        <f>D224&amp;"_"&amp;
SUBSTITUTE(TRIM(V224)," ","_")&amp;"_"&amp;
TRIM(AC224)&amp;"_"&amp;
"CO2"&amp;TEXT(AN224,"0.00")&amp;"_"&amp;
"pH"&amp;TEXT(AR224,"0.00")&amp;"_"&amp;
"T"&amp;TEXT(BC224,"0.##")</f>
        <v>240_Leptuca_thayeri_EMBRYO_CO28271.00_pH0.00_T26.1</v>
      </c>
      <c r="D224" s="8">
        <v>240</v>
      </c>
      <c r="E224" s="8"/>
      <c r="F224" s="8"/>
      <c r="G224" s="8" t="s">
        <v>43</v>
      </c>
      <c r="H224" s="8" t="s">
        <v>991</v>
      </c>
      <c r="I224" s="8"/>
      <c r="J224" s="8">
        <v>2021</v>
      </c>
      <c r="K224" s="8"/>
      <c r="L224" s="8"/>
      <c r="M224" s="8" t="s">
        <v>750</v>
      </c>
      <c r="N224" s="8"/>
      <c r="O224" s="8"/>
      <c r="P224" t="s">
        <v>1135</v>
      </c>
      <c r="Q224" s="8"/>
      <c r="R224" s="8" t="s">
        <v>1127</v>
      </c>
      <c r="S224" t="s">
        <v>1128</v>
      </c>
      <c r="T224" s="8" t="s">
        <v>131</v>
      </c>
      <c r="U224" s="8" t="s">
        <v>992</v>
      </c>
      <c r="V224" s="8" t="s">
        <v>993</v>
      </c>
      <c r="W224" s="8" t="str">
        <f>IF(ISNUMBER(MATCH(#REF!,{"Doryteuthis pealeii","Loligo vulgaris","Leptuca thayeri","Stylocheilus striatus","Ophryotrocha labronica"},0)),"N","Y")</f>
        <v>Y</v>
      </c>
      <c r="X224" s="8"/>
      <c r="Y224" s="8"/>
      <c r="Z224" s="8"/>
      <c r="AA224" s="8"/>
      <c r="AB224" s="8"/>
      <c r="AC224" s="8" t="s">
        <v>195</v>
      </c>
      <c r="AD224" s="8"/>
      <c r="AE224" s="8"/>
      <c r="AF224" s="8" t="s">
        <v>54</v>
      </c>
      <c r="AG224" s="8" t="s">
        <v>52</v>
      </c>
      <c r="AH224" s="8" t="s">
        <v>65</v>
      </c>
      <c r="AI224" s="8"/>
      <c r="AJ224" s="8"/>
      <c r="AK224" s="8">
        <v>26</v>
      </c>
      <c r="AL224" s="8">
        <v>26</v>
      </c>
      <c r="AM224" s="8" t="s">
        <v>995</v>
      </c>
      <c r="AN224" s="8">
        <v>8271</v>
      </c>
      <c r="AO224" s="8"/>
      <c r="AP224" s="8"/>
      <c r="AQ224" s="8"/>
      <c r="AR224" s="8"/>
      <c r="AS224" s="8"/>
      <c r="AT224" s="8"/>
      <c r="AU224" s="8">
        <v>10190</v>
      </c>
      <c r="BA224" s="8"/>
      <c r="BB224" s="8">
        <f>LOG(AU224)</f>
        <v>4.0081741840064264</v>
      </c>
      <c r="BC224" s="8">
        <v>26.1</v>
      </c>
      <c r="BD224" s="8"/>
      <c r="BE224" s="8"/>
      <c r="BF224" s="8">
        <v>29.9</v>
      </c>
      <c r="BG224" s="8"/>
      <c r="BH224" s="8"/>
      <c r="BI224" s="8">
        <v>1919</v>
      </c>
      <c r="BJ224" s="8">
        <v>3.8</v>
      </c>
      <c r="BK224" s="8"/>
      <c r="BL224" s="8" t="s">
        <v>994</v>
      </c>
      <c r="BM224" s="8" t="s">
        <v>262</v>
      </c>
      <c r="BN224" s="8" t="s">
        <v>81</v>
      </c>
      <c r="BO224" s="8" t="s">
        <v>193</v>
      </c>
      <c r="BP224" s="8" t="s">
        <v>92</v>
      </c>
      <c r="BQ224" s="8" t="s">
        <v>92</v>
      </c>
      <c r="BR224" s="8" t="s">
        <v>63</v>
      </c>
      <c r="BS224" s="8"/>
      <c r="BT224" s="8">
        <v>1.2857881E-2</v>
      </c>
      <c r="BU224" s="8">
        <v>1.2858E-2</v>
      </c>
      <c r="BV224" s="8">
        <v>0</v>
      </c>
      <c r="BW224" s="8">
        <f>BV224*SQRT(AK224)</f>
        <v>0</v>
      </c>
      <c r="BX224" s="8">
        <v>1.2113695000000001E-2</v>
      </c>
      <c r="BY224" s="8">
        <v>1.21137E-2</v>
      </c>
      <c r="BZ224" s="8">
        <v>0</v>
      </c>
      <c r="CA224" s="8">
        <f>BZ224*SQRT(AL224)</f>
        <v>0</v>
      </c>
      <c r="CB224" s="8">
        <v>10</v>
      </c>
      <c r="CC224" s="8"/>
      <c r="CD224" s="8">
        <v>-0.06</v>
      </c>
      <c r="CE224" s="8">
        <v>5.0000000000000001E-4</v>
      </c>
      <c r="CF224" s="8" t="s">
        <v>1134</v>
      </c>
    </row>
    <row r="225" spans="1:84" hidden="1" x14ac:dyDescent="0.2">
      <c r="A225" s="8"/>
      <c r="B225" t="str">
        <f>ROW()-1&amp;"_AltersInvert"</f>
        <v>224_AltersInvert</v>
      </c>
      <c r="C225" t="str">
        <f>D225&amp;"_"&amp;
SUBSTITUTE(TRIM(V225)," ","_")&amp;"_"&amp;
TRIM(AC225)&amp;"_"&amp;
"CO2"&amp;TEXT(AN225,"0.00")&amp;"_"&amp;
"pH"&amp;TEXT(AR225,"0.00")&amp;"_"&amp;
"T"&amp;TEXT(BC225,"0.##")</f>
        <v>240_Leptuca_thayeri_EMBRYO_CO28271.00_pH0.00_T26.1</v>
      </c>
      <c r="D225" s="8">
        <v>240</v>
      </c>
      <c r="E225" s="8"/>
      <c r="F225" s="8"/>
      <c r="G225" s="8" t="s">
        <v>43</v>
      </c>
      <c r="H225" s="8" t="s">
        <v>991</v>
      </c>
      <c r="I225" s="8"/>
      <c r="J225" s="8">
        <v>2021</v>
      </c>
      <c r="K225" s="8"/>
      <c r="L225" s="8"/>
      <c r="M225" s="8" t="s">
        <v>750</v>
      </c>
      <c r="N225" s="8"/>
      <c r="O225" s="8"/>
      <c r="P225" t="s">
        <v>1135</v>
      </c>
      <c r="Q225" s="8"/>
      <c r="R225" s="8" t="s">
        <v>1127</v>
      </c>
      <c r="S225" t="s">
        <v>1128</v>
      </c>
      <c r="T225" s="8" t="s">
        <v>131</v>
      </c>
      <c r="U225" s="8" t="s">
        <v>992</v>
      </c>
      <c r="V225" s="8" t="s">
        <v>993</v>
      </c>
      <c r="W225" s="8" t="str">
        <f>IF(ISNUMBER(MATCH(#REF!,{"Doryteuthis pealeii","Loligo vulgaris","Leptuca thayeri","Stylocheilus striatus","Ophryotrocha labronica"},0)),"N","Y")</f>
        <v>Y</v>
      </c>
      <c r="X225" s="8"/>
      <c r="Y225" s="8"/>
      <c r="Z225" s="8"/>
      <c r="AA225" s="8"/>
      <c r="AB225" s="8"/>
      <c r="AC225" s="8" t="s">
        <v>195</v>
      </c>
      <c r="AD225" s="8"/>
      <c r="AE225" s="8"/>
      <c r="AF225" s="8" t="s">
        <v>52</v>
      </c>
      <c r="AG225" s="8" t="s">
        <v>52</v>
      </c>
      <c r="AH225" s="8" t="s">
        <v>64</v>
      </c>
      <c r="AI225" s="8"/>
      <c r="AJ225" s="8"/>
      <c r="AK225" s="8">
        <v>26</v>
      </c>
      <c r="AL225" s="8">
        <v>26</v>
      </c>
      <c r="AM225" s="8" t="s">
        <v>995</v>
      </c>
      <c r="AN225" s="8">
        <v>8271</v>
      </c>
      <c r="AO225" s="8"/>
      <c r="AP225" s="8"/>
      <c r="AQ225" s="8"/>
      <c r="AR225" s="8"/>
      <c r="AS225" s="8"/>
      <c r="AT225" s="8"/>
      <c r="AU225" s="8">
        <v>48031</v>
      </c>
      <c r="BA225" s="8"/>
      <c r="BB225" s="8">
        <f>LOG(AU225)</f>
        <v>4.6815216286951955</v>
      </c>
      <c r="BC225" s="8">
        <v>26.1</v>
      </c>
      <c r="BD225" s="8"/>
      <c r="BE225" s="8"/>
      <c r="BF225" s="8">
        <v>30</v>
      </c>
      <c r="BG225" s="8"/>
      <c r="BH225" s="8"/>
      <c r="BI225" s="8">
        <v>39760</v>
      </c>
      <c r="BJ225" s="8">
        <v>3.9</v>
      </c>
      <c r="BK225" s="8"/>
      <c r="BL225" s="8" t="s">
        <v>994</v>
      </c>
      <c r="BM225" s="8" t="s">
        <v>262</v>
      </c>
      <c r="BN225" s="8" t="s">
        <v>81</v>
      </c>
      <c r="BO225" s="8" t="s">
        <v>193</v>
      </c>
      <c r="BP225" s="8" t="s">
        <v>92</v>
      </c>
      <c r="BQ225" s="8" t="s">
        <v>92</v>
      </c>
      <c r="BR225" s="8" t="s">
        <v>63</v>
      </c>
      <c r="BS225" s="8"/>
      <c r="BT225" s="8">
        <v>1.2857881E-2</v>
      </c>
      <c r="BU225" s="8">
        <v>1.2858E-2</v>
      </c>
      <c r="BV225" s="8">
        <v>0</v>
      </c>
      <c r="BW225" s="8">
        <f>BV225*SQRT(AK225)</f>
        <v>0</v>
      </c>
      <c r="BX225" s="8">
        <v>1.4098191E-2</v>
      </c>
      <c r="BY225" s="8">
        <v>1.40982E-2</v>
      </c>
      <c r="BZ225" s="8">
        <v>0</v>
      </c>
      <c r="CA225" s="8">
        <f>BZ225*SQRT(AL225)</f>
        <v>0</v>
      </c>
      <c r="CB225" s="8">
        <v>10</v>
      </c>
      <c r="CC225" s="8"/>
      <c r="CD225" s="8">
        <v>9.1999999999999998E-2</v>
      </c>
      <c r="CE225" s="8">
        <v>5.0000000000000001E-4</v>
      </c>
      <c r="CF225" s="8" t="s">
        <v>1134</v>
      </c>
    </row>
    <row r="226" spans="1:84" hidden="1" x14ac:dyDescent="0.2">
      <c r="A226" s="8"/>
      <c r="B226" t="str">
        <f>ROW()-1&amp;"_AltersInvert"</f>
        <v>225_AltersInvert</v>
      </c>
      <c r="C226" t="str">
        <f>D226&amp;"_"&amp;
SUBSTITUTE(TRIM(V226)," ","_")&amp;"_"&amp;
TRIM(AC226)&amp;"_"&amp;
"CO2"&amp;TEXT(AN226,"0.00")&amp;"_"&amp;
"pH"&amp;TEXT(AR226,"0.00")&amp;"_"&amp;
"T"&amp;TEXT(BC226,"0.##")</f>
        <v>89_Paracentrotus_lividus_EMBRYO_CO2899.00_pH8.09_T19.2</v>
      </c>
      <c r="D226" s="8">
        <v>89</v>
      </c>
      <c r="E226" s="8"/>
      <c r="F226" s="8"/>
      <c r="G226" s="8" t="s">
        <v>43</v>
      </c>
      <c r="H226" s="8" t="s">
        <v>739</v>
      </c>
      <c r="I226" s="8" t="s">
        <v>1130</v>
      </c>
      <c r="J226" s="8">
        <v>2018</v>
      </c>
      <c r="K226" s="8"/>
      <c r="L226" s="8"/>
      <c r="M226" s="8" t="s">
        <v>740</v>
      </c>
      <c r="N226" s="8"/>
      <c r="O226" s="8"/>
      <c r="P226" t="s">
        <v>1135</v>
      </c>
      <c r="Q226" s="8"/>
      <c r="R226" s="8" t="s">
        <v>1127</v>
      </c>
      <c r="S226" t="s">
        <v>1128</v>
      </c>
      <c r="T226" s="8" t="s">
        <v>46</v>
      </c>
      <c r="U226" s="8" t="s">
        <v>309</v>
      </c>
      <c r="V226" s="8" t="s">
        <v>310</v>
      </c>
      <c r="W226" s="8" t="str">
        <f>IF(ISNUMBER(MATCH(#REF!,{"Doryteuthis pealeii","Loligo vulgaris","Leptuca thayeri","Stylocheilus striatus","Ophryotrocha labronica"},0)),"N","Y")</f>
        <v>Y</v>
      </c>
      <c r="X226" s="8"/>
      <c r="Y226" s="8"/>
      <c r="Z226" s="8" t="s">
        <v>177</v>
      </c>
      <c r="AA226" s="8" t="s">
        <v>177</v>
      </c>
      <c r="AB226" s="8" t="s">
        <v>71</v>
      </c>
      <c r="AC226" s="8" t="s">
        <v>195</v>
      </c>
      <c r="AD226" s="8" t="s">
        <v>52</v>
      </c>
      <c r="AE226" s="8" t="s">
        <v>53</v>
      </c>
      <c r="AF226" s="8" t="s">
        <v>52</v>
      </c>
      <c r="AG226" s="8" t="s">
        <v>54</v>
      </c>
      <c r="AH226" s="8" t="s">
        <v>55</v>
      </c>
      <c r="AI226" s="8"/>
      <c r="AJ226" s="8"/>
      <c r="AK226" s="8">
        <v>3</v>
      </c>
      <c r="AL226" s="8">
        <v>3</v>
      </c>
      <c r="AM226" s="8" t="s">
        <v>743</v>
      </c>
      <c r="AN226" s="8">
        <v>899</v>
      </c>
      <c r="AO226" s="8" t="s">
        <v>56</v>
      </c>
      <c r="AP226" s="8" t="s">
        <v>56</v>
      </c>
      <c r="AQ226" s="8" t="s">
        <v>56</v>
      </c>
      <c r="AR226" s="8">
        <v>8.09</v>
      </c>
      <c r="AS226" s="8" t="s">
        <v>56</v>
      </c>
      <c r="AT226" s="8">
        <v>0.03</v>
      </c>
      <c r="AU226" s="8">
        <v>2583</v>
      </c>
      <c r="AV226" t="s">
        <v>56</v>
      </c>
      <c r="AW226" t="s">
        <v>56</v>
      </c>
      <c r="AX226">
        <v>7.4</v>
      </c>
      <c r="AY226" t="s">
        <v>56</v>
      </c>
      <c r="AZ226">
        <v>0.02</v>
      </c>
      <c r="BA226" s="8"/>
      <c r="BB226" s="8">
        <f>LOG(AU226)</f>
        <v>3.4121244061733171</v>
      </c>
      <c r="BC226" s="8">
        <v>19.2</v>
      </c>
      <c r="BD226" s="8" t="s">
        <v>56</v>
      </c>
      <c r="BE226" s="8">
        <v>0.2</v>
      </c>
      <c r="BF226" s="8">
        <v>19.3</v>
      </c>
      <c r="BG226" s="8" t="s">
        <v>56</v>
      </c>
      <c r="BH226" s="8">
        <v>0.1</v>
      </c>
      <c r="BI226" s="8">
        <v>1684</v>
      </c>
      <c r="BJ226" s="8">
        <v>0.2</v>
      </c>
      <c r="BK226" s="8" t="s">
        <v>56</v>
      </c>
      <c r="BL226" s="8" t="s">
        <v>473</v>
      </c>
      <c r="BM226" s="8" t="s">
        <v>473</v>
      </c>
      <c r="BN226" s="8" t="s">
        <v>81</v>
      </c>
      <c r="BO226" s="8" t="s">
        <v>82</v>
      </c>
      <c r="BP226" s="8" t="s">
        <v>190</v>
      </c>
      <c r="BQ226" s="8" t="s">
        <v>190</v>
      </c>
      <c r="BR226" s="8" t="s">
        <v>84</v>
      </c>
      <c r="BS226" s="8"/>
      <c r="BT226" s="8">
        <v>100</v>
      </c>
      <c r="BU226" s="8">
        <v>100</v>
      </c>
      <c r="BV226" s="8">
        <v>1.1000000000000001E-3</v>
      </c>
      <c r="BW226" s="8">
        <f>BV226*SQRT(AK226)</f>
        <v>1.905255888325765E-3</v>
      </c>
      <c r="BX226" s="8">
        <v>95.45</v>
      </c>
      <c r="BY226" s="8">
        <v>95.454545499999995</v>
      </c>
      <c r="BZ226" s="8">
        <v>0</v>
      </c>
      <c r="CA226" s="8">
        <f>BZ226*SQRT(AL226)</f>
        <v>0</v>
      </c>
      <c r="CB226" s="8">
        <v>0</v>
      </c>
      <c r="CC226" s="8">
        <v>12</v>
      </c>
      <c r="CD226" s="8">
        <v>-4.7E-2</v>
      </c>
      <c r="CE226" s="8">
        <v>1E-4</v>
      </c>
      <c r="CF226" s="8" t="s">
        <v>1134</v>
      </c>
    </row>
    <row r="227" spans="1:84" hidden="1" x14ac:dyDescent="0.2">
      <c r="A227" s="8"/>
      <c r="B227" t="str">
        <f>ROW()-1&amp;"_AltersInvert"</f>
        <v>226_AltersInvert</v>
      </c>
      <c r="C227" t="str">
        <f>D227&amp;"_"&amp;
SUBSTITUTE(TRIM(V227)," ","_")&amp;"_"&amp;
TRIM(AC227)&amp;"_"&amp;
"CO2"&amp;TEXT(AN227,"0.00")&amp;"_"&amp;
"pH"&amp;TEXT(AR227,"0.00")&amp;"_"&amp;
"T"&amp;TEXT(BC227,"0.##")</f>
        <v>89_Paracentrotus_lividus_EMBRYO_CO2899.00_pH8.09_T19.2</v>
      </c>
      <c r="D227" s="8">
        <v>89</v>
      </c>
      <c r="E227" s="8"/>
      <c r="F227" s="8"/>
      <c r="G227" s="8" t="s">
        <v>43</v>
      </c>
      <c r="H227" s="8" t="s">
        <v>739</v>
      </c>
      <c r="I227" s="8" t="s">
        <v>1130</v>
      </c>
      <c r="J227" s="8">
        <v>2018</v>
      </c>
      <c r="K227" s="8"/>
      <c r="L227" s="8"/>
      <c r="M227" s="8" t="s">
        <v>740</v>
      </c>
      <c r="N227" s="8"/>
      <c r="O227" s="8"/>
      <c r="P227" t="s">
        <v>1135</v>
      </c>
      <c r="Q227" s="8"/>
      <c r="R227" s="8" t="s">
        <v>1127</v>
      </c>
      <c r="S227" t="s">
        <v>1128</v>
      </c>
      <c r="T227" s="8" t="s">
        <v>46</v>
      </c>
      <c r="U227" s="8" t="s">
        <v>309</v>
      </c>
      <c r="V227" s="8" t="s">
        <v>310</v>
      </c>
      <c r="W227" s="8" t="str">
        <f>IF(ISNUMBER(MATCH(#REF!,{"Doryteuthis pealeii","Loligo vulgaris","Leptuca thayeri","Stylocheilus striatus","Ophryotrocha labronica"},0)),"N","Y")</f>
        <v>Y</v>
      </c>
      <c r="X227" s="8"/>
      <c r="Y227" s="8"/>
      <c r="Z227" s="8" t="s">
        <v>177</v>
      </c>
      <c r="AA227" s="8" t="s">
        <v>177</v>
      </c>
      <c r="AB227" s="8" t="s">
        <v>71</v>
      </c>
      <c r="AC227" s="8" t="s">
        <v>195</v>
      </c>
      <c r="AD227" s="8" t="s">
        <v>52</v>
      </c>
      <c r="AE227" s="8" t="s">
        <v>53</v>
      </c>
      <c r="AF227" s="8" t="s">
        <v>52</v>
      </c>
      <c r="AG227" s="8" t="s">
        <v>54</v>
      </c>
      <c r="AH227" s="8" t="s">
        <v>55</v>
      </c>
      <c r="AI227" s="8"/>
      <c r="AJ227" s="8"/>
      <c r="AK227" s="8">
        <v>3</v>
      </c>
      <c r="AL227" s="8">
        <v>3</v>
      </c>
      <c r="AM227" s="8" t="s">
        <v>743</v>
      </c>
      <c r="AN227" s="8">
        <v>899</v>
      </c>
      <c r="AO227" s="8" t="s">
        <v>56</v>
      </c>
      <c r="AP227" s="8" t="s">
        <v>56</v>
      </c>
      <c r="AQ227" s="8" t="s">
        <v>56</v>
      </c>
      <c r="AR227" s="8">
        <v>8.09</v>
      </c>
      <c r="AS227" s="8" t="s">
        <v>56</v>
      </c>
      <c r="AT227" s="8">
        <v>0.03</v>
      </c>
      <c r="AU227" s="8">
        <v>1591</v>
      </c>
      <c r="AV227" t="s">
        <v>56</v>
      </c>
      <c r="AW227" t="s">
        <v>56</v>
      </c>
      <c r="AX227">
        <v>7.7</v>
      </c>
      <c r="AY227" t="s">
        <v>56</v>
      </c>
      <c r="AZ227">
        <v>0.05</v>
      </c>
      <c r="BA227" s="8"/>
      <c r="BB227" s="8">
        <f>LOG(AU227)</f>
        <v>3.2016701796465816</v>
      </c>
      <c r="BC227" s="8">
        <v>19.2</v>
      </c>
      <c r="BD227" s="8" t="s">
        <v>56</v>
      </c>
      <c r="BE227" s="8">
        <v>0.2</v>
      </c>
      <c r="BF227" s="8">
        <v>19.3</v>
      </c>
      <c r="BG227" s="8" t="s">
        <v>56</v>
      </c>
      <c r="BH227" s="8">
        <v>0.2</v>
      </c>
      <c r="BI227" s="8">
        <v>692</v>
      </c>
      <c r="BJ227" s="8">
        <v>0.1</v>
      </c>
      <c r="BK227" s="8" t="s">
        <v>56</v>
      </c>
      <c r="BL227" s="8" t="s">
        <v>473</v>
      </c>
      <c r="BM227" s="8" t="s">
        <v>473</v>
      </c>
      <c r="BN227" s="8" t="s">
        <v>81</v>
      </c>
      <c r="BO227" s="8" t="s">
        <v>82</v>
      </c>
      <c r="BP227" s="8" t="s">
        <v>190</v>
      </c>
      <c r="BQ227" s="8" t="s">
        <v>190</v>
      </c>
      <c r="BR227" s="8" t="s">
        <v>84</v>
      </c>
      <c r="BS227" s="8"/>
      <c r="BT227" s="8">
        <v>100</v>
      </c>
      <c r="BU227" s="8">
        <v>100</v>
      </c>
      <c r="BV227" s="8">
        <v>1.1000000000000001E-3</v>
      </c>
      <c r="BW227" s="8">
        <f>BV227*SQRT(AK227)</f>
        <v>1.905255888325765E-3</v>
      </c>
      <c r="BX227" s="8">
        <v>98.48</v>
      </c>
      <c r="BY227" s="8">
        <v>98.484848499999998</v>
      </c>
      <c r="BZ227" s="8">
        <v>0</v>
      </c>
      <c r="CA227" s="8">
        <f>BZ227*SQRT(AL227)</f>
        <v>0</v>
      </c>
      <c r="CB227" s="8">
        <v>0</v>
      </c>
      <c r="CC227" s="8">
        <v>12</v>
      </c>
      <c r="CD227" s="8">
        <v>-1.4999999999999999E-2</v>
      </c>
      <c r="CE227" s="8">
        <v>1E-4</v>
      </c>
      <c r="CF227" s="8" t="s">
        <v>1134</v>
      </c>
    </row>
    <row r="228" spans="1:84" hidden="1" x14ac:dyDescent="0.2">
      <c r="D228">
        <v>12</v>
      </c>
      <c r="G228" t="s">
        <v>43</v>
      </c>
      <c r="H228" t="s">
        <v>220</v>
      </c>
      <c r="J228">
        <v>2017</v>
      </c>
      <c r="M228" t="s">
        <v>221</v>
      </c>
      <c r="T228" t="s">
        <v>131</v>
      </c>
      <c r="U228" t="s">
        <v>152</v>
      </c>
      <c r="V228" t="s">
        <v>153</v>
      </c>
      <c r="Z228" t="s">
        <v>49</v>
      </c>
      <c r="AA228" t="s">
        <v>49</v>
      </c>
      <c r="AB228" t="s">
        <v>71</v>
      </c>
      <c r="AC228" t="s">
        <v>51</v>
      </c>
      <c r="AD228" t="s">
        <v>52</v>
      </c>
      <c r="AE228" t="s">
        <v>53</v>
      </c>
      <c r="AF228" t="s">
        <v>52</v>
      </c>
      <c r="AG228" t="s">
        <v>52</v>
      </c>
      <c r="AH228" t="s">
        <v>64</v>
      </c>
      <c r="AK228">
        <v>5</v>
      </c>
      <c r="AL228">
        <v>5</v>
      </c>
      <c r="AN228">
        <v>729</v>
      </c>
      <c r="AO228">
        <v>72</v>
      </c>
      <c r="AP228" t="s">
        <v>56</v>
      </c>
      <c r="AQ228" t="s">
        <v>109</v>
      </c>
      <c r="AR228">
        <v>7.86</v>
      </c>
      <c r="AS228">
        <v>0.04</v>
      </c>
      <c r="AT228" t="s">
        <v>56</v>
      </c>
      <c r="AU228">
        <v>2612</v>
      </c>
      <c r="AV228">
        <v>245</v>
      </c>
      <c r="AW228" t="s">
        <v>56</v>
      </c>
      <c r="AX228">
        <v>7.37</v>
      </c>
      <c r="AY228">
        <v>0.04</v>
      </c>
      <c r="AZ228" t="s">
        <v>56</v>
      </c>
      <c r="BB228">
        <f>LOG(AU228)</f>
        <v>3.4169731726030363</v>
      </c>
      <c r="BC228">
        <v>11.8</v>
      </c>
      <c r="BD228">
        <v>0.4</v>
      </c>
      <c r="BE228" t="s">
        <v>56</v>
      </c>
      <c r="BF228">
        <v>15.8</v>
      </c>
      <c r="BG228">
        <v>0.3</v>
      </c>
      <c r="BH228" t="s">
        <v>56</v>
      </c>
      <c r="BI228">
        <v>1882</v>
      </c>
      <c r="BJ228">
        <v>4</v>
      </c>
      <c r="BK228" t="s">
        <v>56</v>
      </c>
      <c r="BL228" t="s">
        <v>222</v>
      </c>
      <c r="BM228" t="s">
        <v>222</v>
      </c>
      <c r="BN228" t="s">
        <v>81</v>
      </c>
      <c r="BO228" t="s">
        <v>82</v>
      </c>
      <c r="BP228" t="s">
        <v>190</v>
      </c>
      <c r="BR228" t="s">
        <v>84</v>
      </c>
      <c r="BT228">
        <v>13.43</v>
      </c>
      <c r="BU228">
        <v>13.425926</v>
      </c>
      <c r="BV228">
        <v>1.52</v>
      </c>
      <c r="BW228">
        <f>BV228*SQRT(AK228)</f>
        <v>3.3988233257996807</v>
      </c>
      <c r="BX228">
        <v>9.44</v>
      </c>
      <c r="BY228">
        <v>9.4444444000000001</v>
      </c>
      <c r="BZ228">
        <v>2.79</v>
      </c>
      <c r="CA228">
        <f>BZ228*SQRT(AL228)</f>
        <v>6.238629657224414</v>
      </c>
      <c r="CB228">
        <v>60</v>
      </c>
      <c r="CC228">
        <v>5</v>
      </c>
      <c r="CD228">
        <v>-0.35199999999999998</v>
      </c>
      <c r="CE228">
        <v>0.1</v>
      </c>
    </row>
    <row r="229" spans="1:84" hidden="1" x14ac:dyDescent="0.2">
      <c r="D229">
        <v>12</v>
      </c>
      <c r="G229" t="s">
        <v>43</v>
      </c>
      <c r="H229" t="s">
        <v>220</v>
      </c>
      <c r="J229">
        <v>2017</v>
      </c>
      <c r="M229" t="s">
        <v>221</v>
      </c>
      <c r="T229" t="s">
        <v>131</v>
      </c>
      <c r="U229" t="s">
        <v>152</v>
      </c>
      <c r="V229" t="s">
        <v>153</v>
      </c>
      <c r="Z229" t="s">
        <v>49</v>
      </c>
      <c r="AA229" t="s">
        <v>49</v>
      </c>
      <c r="AB229" t="s">
        <v>71</v>
      </c>
      <c r="AC229" t="s">
        <v>51</v>
      </c>
      <c r="AD229" t="s">
        <v>52</v>
      </c>
      <c r="AE229" t="s">
        <v>53</v>
      </c>
      <c r="AF229" t="s">
        <v>52</v>
      </c>
      <c r="AG229" t="s">
        <v>52</v>
      </c>
      <c r="AH229" t="s">
        <v>64</v>
      </c>
      <c r="AK229">
        <v>5</v>
      </c>
      <c r="AL229">
        <v>5</v>
      </c>
      <c r="AN229">
        <v>729</v>
      </c>
      <c r="AO229">
        <v>72</v>
      </c>
      <c r="AP229" t="s">
        <v>56</v>
      </c>
      <c r="AQ229" t="s">
        <v>109</v>
      </c>
      <c r="AR229">
        <v>7.86</v>
      </c>
      <c r="AS229">
        <v>0.04</v>
      </c>
      <c r="AT229" t="s">
        <v>56</v>
      </c>
      <c r="AU229">
        <v>1423</v>
      </c>
      <c r="AV229">
        <v>174</v>
      </c>
      <c r="AW229" t="s">
        <v>56</v>
      </c>
      <c r="AX229">
        <v>7.61</v>
      </c>
      <c r="AY229">
        <v>0.06</v>
      </c>
      <c r="AZ229" t="s">
        <v>56</v>
      </c>
      <c r="BB229">
        <f>LOG(AU229)</f>
        <v>3.1532049000842841</v>
      </c>
      <c r="BC229">
        <v>11.8</v>
      </c>
      <c r="BD229">
        <v>0.4</v>
      </c>
      <c r="BE229" t="s">
        <v>56</v>
      </c>
      <c r="BF229">
        <v>16</v>
      </c>
      <c r="BG229">
        <v>0.6</v>
      </c>
      <c r="BH229" t="s">
        <v>56</v>
      </c>
      <c r="BI229">
        <v>694</v>
      </c>
      <c r="BJ229">
        <v>4.2</v>
      </c>
      <c r="BK229" t="s">
        <v>56</v>
      </c>
      <c r="BL229" t="s">
        <v>223</v>
      </c>
      <c r="BM229" t="s">
        <v>224</v>
      </c>
      <c r="BN229" t="s">
        <v>60</v>
      </c>
      <c r="BO229" t="s">
        <v>82</v>
      </c>
      <c r="BP229" t="s">
        <v>9</v>
      </c>
      <c r="BR229" t="s">
        <v>84</v>
      </c>
      <c r="BT229">
        <v>1.33</v>
      </c>
      <c r="BU229">
        <v>1.3272949999999999</v>
      </c>
      <c r="BV229">
        <v>0.13</v>
      </c>
      <c r="BW229">
        <f>BV229*SQRT(AK229)</f>
        <v>0.29068883707497267</v>
      </c>
      <c r="BX229">
        <v>1.18</v>
      </c>
      <c r="BY229">
        <v>1.1835749</v>
      </c>
      <c r="BZ229">
        <v>0.11</v>
      </c>
      <c r="CA229">
        <f>BZ229*SQRT(AL229)</f>
        <v>0.24596747752497689</v>
      </c>
      <c r="CB229">
        <v>60</v>
      </c>
      <c r="CC229">
        <v>5</v>
      </c>
      <c r="CD229">
        <v>-0.115</v>
      </c>
      <c r="CE229">
        <v>1.7500000000000002E-2</v>
      </c>
    </row>
    <row r="230" spans="1:84" hidden="1" x14ac:dyDescent="0.2">
      <c r="D230">
        <v>12</v>
      </c>
      <c r="G230" t="s">
        <v>43</v>
      </c>
      <c r="H230" t="s">
        <v>220</v>
      </c>
      <c r="J230">
        <v>2017</v>
      </c>
      <c r="M230" t="s">
        <v>221</v>
      </c>
      <c r="T230" t="s">
        <v>131</v>
      </c>
      <c r="U230" t="s">
        <v>152</v>
      </c>
      <c r="V230" t="s">
        <v>153</v>
      </c>
      <c r="Z230" t="s">
        <v>49</v>
      </c>
      <c r="AA230" t="s">
        <v>49</v>
      </c>
      <c r="AB230" t="s">
        <v>71</v>
      </c>
      <c r="AC230" t="s">
        <v>108</v>
      </c>
      <c r="AD230" t="s">
        <v>52</v>
      </c>
      <c r="AE230" t="s">
        <v>53</v>
      </c>
      <c r="AF230" t="s">
        <v>52</v>
      </c>
      <c r="AG230" t="s">
        <v>54</v>
      </c>
      <c r="AH230" t="s">
        <v>55</v>
      </c>
      <c r="AK230">
        <v>5</v>
      </c>
      <c r="AL230">
        <v>5</v>
      </c>
      <c r="AN230">
        <v>729</v>
      </c>
      <c r="AO230">
        <v>72</v>
      </c>
      <c r="AP230" t="s">
        <v>56</v>
      </c>
      <c r="AQ230" t="s">
        <v>109</v>
      </c>
      <c r="AR230">
        <v>7.86</v>
      </c>
      <c r="AS230">
        <v>0.04</v>
      </c>
      <c r="AT230" t="s">
        <v>56</v>
      </c>
      <c r="AU230">
        <v>2269</v>
      </c>
      <c r="AV230">
        <v>1399</v>
      </c>
      <c r="AW230" t="s">
        <v>56</v>
      </c>
      <c r="AX230">
        <v>6.81</v>
      </c>
      <c r="AY230">
        <v>0.09</v>
      </c>
      <c r="AZ230" t="s">
        <v>56</v>
      </c>
      <c r="BB230">
        <f>LOG(AU230)</f>
        <v>3.355834495884936</v>
      </c>
      <c r="BC230">
        <v>11.8</v>
      </c>
      <c r="BD230">
        <v>0.4</v>
      </c>
      <c r="BE230" t="s">
        <v>56</v>
      </c>
      <c r="BF230">
        <v>11.5</v>
      </c>
      <c r="BG230">
        <v>0.4</v>
      </c>
      <c r="BH230" t="s">
        <v>56</v>
      </c>
      <c r="BI230">
        <v>1540</v>
      </c>
      <c r="BJ230">
        <v>-0.3</v>
      </c>
      <c r="BK230" t="s">
        <v>56</v>
      </c>
      <c r="BL230" t="s">
        <v>225</v>
      </c>
      <c r="BM230" t="s">
        <v>226</v>
      </c>
      <c r="BN230" t="s">
        <v>60</v>
      </c>
      <c r="BO230" t="s">
        <v>82</v>
      </c>
      <c r="BP230" t="s">
        <v>9</v>
      </c>
      <c r="BR230" t="s">
        <v>84</v>
      </c>
      <c r="BT230">
        <v>16.91</v>
      </c>
      <c r="BU230">
        <v>16.908992000000001</v>
      </c>
      <c r="BV230">
        <v>2.02</v>
      </c>
      <c r="BW230">
        <f>BV230*SQRT(AK230)</f>
        <v>4.5168573145495756</v>
      </c>
      <c r="BX230">
        <v>15.21</v>
      </c>
      <c r="BY230">
        <v>15.2073631</v>
      </c>
      <c r="BZ230">
        <v>2.1</v>
      </c>
      <c r="CA230">
        <f>BZ230*SQRT(AL230)</f>
        <v>4.6957427527495588</v>
      </c>
      <c r="CB230">
        <v>60</v>
      </c>
      <c r="CC230">
        <v>5</v>
      </c>
      <c r="CD230">
        <v>-0.106</v>
      </c>
      <c r="CE230">
        <v>3.3399999999999999E-2</v>
      </c>
    </row>
    <row r="231" spans="1:84" hidden="1" x14ac:dyDescent="0.2">
      <c r="D231">
        <v>12</v>
      </c>
      <c r="G231" t="s">
        <v>43</v>
      </c>
      <c r="H231" t="s">
        <v>220</v>
      </c>
      <c r="J231">
        <v>2017</v>
      </c>
      <c r="M231" t="s">
        <v>221</v>
      </c>
      <c r="T231" t="s">
        <v>131</v>
      </c>
      <c r="U231" t="s">
        <v>152</v>
      </c>
      <c r="V231" t="s">
        <v>153</v>
      </c>
      <c r="Z231" t="s">
        <v>49</v>
      </c>
      <c r="AA231" t="s">
        <v>49</v>
      </c>
      <c r="AB231" t="s">
        <v>71</v>
      </c>
      <c r="AC231" t="s">
        <v>51</v>
      </c>
      <c r="AD231" t="s">
        <v>52</v>
      </c>
      <c r="AE231" t="s">
        <v>53</v>
      </c>
      <c r="AF231" t="s">
        <v>52</v>
      </c>
      <c r="AG231" t="s">
        <v>54</v>
      </c>
      <c r="AH231" t="s">
        <v>55</v>
      </c>
      <c r="AK231">
        <v>5</v>
      </c>
      <c r="AL231">
        <v>5</v>
      </c>
      <c r="AN231">
        <v>729</v>
      </c>
      <c r="AO231">
        <v>72</v>
      </c>
      <c r="AP231" t="s">
        <v>56</v>
      </c>
      <c r="AQ231" t="s">
        <v>109</v>
      </c>
      <c r="AR231">
        <v>7.86</v>
      </c>
      <c r="AS231">
        <v>0.04</v>
      </c>
      <c r="AT231" t="s">
        <v>56</v>
      </c>
      <c r="AU231">
        <v>2269</v>
      </c>
      <c r="AV231">
        <v>1399</v>
      </c>
      <c r="AW231" t="s">
        <v>56</v>
      </c>
      <c r="AX231">
        <v>6.81</v>
      </c>
      <c r="AY231">
        <v>0.09</v>
      </c>
      <c r="AZ231" t="s">
        <v>56</v>
      </c>
      <c r="BB231">
        <f>LOG(AU231)</f>
        <v>3.355834495884936</v>
      </c>
      <c r="BC231">
        <v>11.8</v>
      </c>
      <c r="BD231">
        <v>0.4</v>
      </c>
      <c r="BE231" t="s">
        <v>56</v>
      </c>
      <c r="BF231">
        <v>11.5</v>
      </c>
      <c r="BG231">
        <v>0.4</v>
      </c>
      <c r="BH231" t="s">
        <v>56</v>
      </c>
      <c r="BI231">
        <v>1540</v>
      </c>
      <c r="BJ231">
        <v>-0.3</v>
      </c>
      <c r="BK231" t="s">
        <v>56</v>
      </c>
      <c r="BL231" t="s">
        <v>154</v>
      </c>
      <c r="BM231" t="s">
        <v>154</v>
      </c>
      <c r="BN231" t="s">
        <v>81</v>
      </c>
      <c r="BO231" t="s">
        <v>121</v>
      </c>
      <c r="BP231" t="s">
        <v>127</v>
      </c>
      <c r="BR231" t="s">
        <v>122</v>
      </c>
      <c r="BT231">
        <v>10.3</v>
      </c>
      <c r="BU231">
        <v>10.302928</v>
      </c>
      <c r="BV231">
        <v>1.04</v>
      </c>
      <c r="BW231">
        <f>BV231*SQRT(AK231)</f>
        <v>2.3255106965997814</v>
      </c>
      <c r="BX231">
        <v>9.4700000000000006</v>
      </c>
      <c r="BY231">
        <v>9.4674121000000007</v>
      </c>
      <c r="BZ231">
        <v>0.77</v>
      </c>
      <c r="CA231">
        <f>BZ231*SQRT(AL231)</f>
        <v>1.7217723426748381</v>
      </c>
      <c r="CB231">
        <v>60</v>
      </c>
      <c r="CC231">
        <v>5</v>
      </c>
      <c r="CD231">
        <v>-8.5000000000000006E-2</v>
      </c>
      <c r="CE231">
        <v>1.6799999999999999E-2</v>
      </c>
    </row>
    <row r="232" spans="1:84" hidden="1" x14ac:dyDescent="0.2">
      <c r="D232">
        <v>12</v>
      </c>
      <c r="G232" t="s">
        <v>43</v>
      </c>
      <c r="H232" t="s">
        <v>220</v>
      </c>
      <c r="J232">
        <v>2017</v>
      </c>
      <c r="M232" t="s">
        <v>221</v>
      </c>
      <c r="T232" t="s">
        <v>131</v>
      </c>
      <c r="U232" t="s">
        <v>152</v>
      </c>
      <c r="V232" t="s">
        <v>153</v>
      </c>
      <c r="Z232" t="s">
        <v>49</v>
      </c>
      <c r="AA232" t="s">
        <v>49</v>
      </c>
      <c r="AB232" t="s">
        <v>71</v>
      </c>
      <c r="AC232" t="s">
        <v>51</v>
      </c>
      <c r="AD232" t="s">
        <v>52</v>
      </c>
      <c r="AE232" t="s">
        <v>53</v>
      </c>
      <c r="AF232" t="s">
        <v>52</v>
      </c>
      <c r="AG232" t="s">
        <v>54</v>
      </c>
      <c r="AH232" t="s">
        <v>55</v>
      </c>
      <c r="AK232">
        <v>5</v>
      </c>
      <c r="AL232">
        <v>5</v>
      </c>
      <c r="AN232">
        <v>729</v>
      </c>
      <c r="AO232">
        <v>72</v>
      </c>
      <c r="AP232" t="s">
        <v>56</v>
      </c>
      <c r="AQ232" t="s">
        <v>109</v>
      </c>
      <c r="AR232">
        <v>7.86</v>
      </c>
      <c r="AS232">
        <v>0.04</v>
      </c>
      <c r="AT232" t="s">
        <v>56</v>
      </c>
      <c r="AU232">
        <v>1296</v>
      </c>
      <c r="AV232">
        <v>109</v>
      </c>
      <c r="AW232" t="s">
        <v>56</v>
      </c>
      <c r="AX232">
        <v>7.66</v>
      </c>
      <c r="AY232">
        <v>0.03</v>
      </c>
      <c r="AZ232" t="s">
        <v>56</v>
      </c>
      <c r="BB232">
        <f>LOG(AU232)</f>
        <v>3.1126050015345745</v>
      </c>
      <c r="BC232">
        <v>11.8</v>
      </c>
      <c r="BD232">
        <v>0.4</v>
      </c>
      <c r="BE232" t="s">
        <v>56</v>
      </c>
      <c r="BF232">
        <v>11.9</v>
      </c>
      <c r="BG232">
        <v>0.4</v>
      </c>
      <c r="BH232" t="s">
        <v>56</v>
      </c>
      <c r="BI232">
        <v>566</v>
      </c>
      <c r="BJ232">
        <v>0.2</v>
      </c>
      <c r="BK232" t="s">
        <v>56</v>
      </c>
      <c r="BL232" t="s">
        <v>223</v>
      </c>
      <c r="BM232" t="s">
        <v>224</v>
      </c>
      <c r="BN232" t="s">
        <v>60</v>
      </c>
      <c r="BO232" t="s">
        <v>82</v>
      </c>
      <c r="BP232" t="s">
        <v>9</v>
      </c>
      <c r="BR232" t="s">
        <v>84</v>
      </c>
      <c r="BT232">
        <v>1.33</v>
      </c>
      <c r="BU232">
        <v>1.3272949999999999</v>
      </c>
      <c r="BV232">
        <v>0.13</v>
      </c>
      <c r="BW232">
        <f>BV232*SQRT(AK232)</f>
        <v>0.29068883707497267</v>
      </c>
      <c r="BX232">
        <v>1.24</v>
      </c>
      <c r="BY232">
        <v>1.2427535999999999</v>
      </c>
      <c r="BZ232">
        <v>0.1</v>
      </c>
      <c r="CA232">
        <f>BZ232*SQRT(AL232)</f>
        <v>0.22360679774997899</v>
      </c>
      <c r="CB232">
        <v>60</v>
      </c>
      <c r="CC232">
        <v>5</v>
      </c>
      <c r="CD232">
        <v>-6.6000000000000003E-2</v>
      </c>
      <c r="CE232">
        <v>1.6500000000000001E-2</v>
      </c>
    </row>
    <row r="233" spans="1:84" hidden="1" x14ac:dyDescent="0.2">
      <c r="D233">
        <v>12</v>
      </c>
      <c r="G233" t="s">
        <v>43</v>
      </c>
      <c r="H233" t="s">
        <v>220</v>
      </c>
      <c r="J233">
        <v>2017</v>
      </c>
      <c r="M233" t="s">
        <v>221</v>
      </c>
      <c r="T233" t="s">
        <v>131</v>
      </c>
      <c r="U233" t="s">
        <v>152</v>
      </c>
      <c r="V233" t="s">
        <v>153</v>
      </c>
      <c r="Z233" t="s">
        <v>49</v>
      </c>
      <c r="AA233" t="s">
        <v>49</v>
      </c>
      <c r="AB233" t="s">
        <v>71</v>
      </c>
      <c r="AC233" t="s">
        <v>117</v>
      </c>
      <c r="AD233" t="s">
        <v>52</v>
      </c>
      <c r="AE233" t="s">
        <v>53</v>
      </c>
      <c r="AF233" t="s">
        <v>52</v>
      </c>
      <c r="AG233" t="s">
        <v>52</v>
      </c>
      <c r="AH233" t="s">
        <v>64</v>
      </c>
      <c r="AK233">
        <v>5</v>
      </c>
      <c r="AL233">
        <v>5</v>
      </c>
      <c r="AN233">
        <v>729</v>
      </c>
      <c r="AO233">
        <v>72</v>
      </c>
      <c r="AP233" t="s">
        <v>56</v>
      </c>
      <c r="AQ233" t="s">
        <v>109</v>
      </c>
      <c r="AR233">
        <v>7.86</v>
      </c>
      <c r="AS233">
        <v>0.04</v>
      </c>
      <c r="AT233" t="s">
        <v>56</v>
      </c>
      <c r="AU233">
        <v>3010</v>
      </c>
      <c r="AV233">
        <v>1852</v>
      </c>
      <c r="AW233" t="s">
        <v>56</v>
      </c>
      <c r="AX233">
        <v>6.66</v>
      </c>
      <c r="AY233">
        <v>0.08</v>
      </c>
      <c r="AZ233" t="s">
        <v>56</v>
      </c>
      <c r="BB233">
        <f>LOG(AU233)</f>
        <v>3.4785664955938436</v>
      </c>
      <c r="BC233">
        <v>11.8</v>
      </c>
      <c r="BD233">
        <v>0.4</v>
      </c>
      <c r="BE233" t="s">
        <v>56</v>
      </c>
      <c r="BF233">
        <v>15.5</v>
      </c>
      <c r="BG233">
        <v>1.5</v>
      </c>
      <c r="BH233" t="s">
        <v>56</v>
      </c>
      <c r="BI233">
        <v>2281</v>
      </c>
      <c r="BJ233">
        <v>3.7</v>
      </c>
      <c r="BK233" t="s">
        <v>56</v>
      </c>
      <c r="BL233" t="s">
        <v>85</v>
      </c>
      <c r="BM233" t="s">
        <v>86</v>
      </c>
      <c r="BN233" t="s">
        <v>81</v>
      </c>
      <c r="BO233" t="s">
        <v>82</v>
      </c>
      <c r="BP233" t="s">
        <v>9</v>
      </c>
      <c r="BR233" t="s">
        <v>84</v>
      </c>
      <c r="BT233">
        <v>5.99</v>
      </c>
      <c r="BU233">
        <v>94.010626999999999</v>
      </c>
      <c r="BV233">
        <v>1.0900000000000001</v>
      </c>
      <c r="BW233">
        <f>BV233*SQRT(AK233)</f>
        <v>2.437314095474771</v>
      </c>
      <c r="BX233">
        <v>11.7</v>
      </c>
      <c r="BY233">
        <v>88.303889400000003</v>
      </c>
      <c r="BZ233">
        <v>0.61</v>
      </c>
      <c r="CA233">
        <f>BZ233*SQRT(AL233)</f>
        <v>1.3640014662748718</v>
      </c>
      <c r="CB233">
        <v>60</v>
      </c>
      <c r="CC233">
        <v>5</v>
      </c>
      <c r="CD233">
        <v>-6.3E-2</v>
      </c>
      <c r="CE233">
        <v>2.0000000000000001E-4</v>
      </c>
    </row>
    <row r="234" spans="1:84" hidden="1" x14ac:dyDescent="0.2">
      <c r="D234">
        <v>12</v>
      </c>
      <c r="G234" t="s">
        <v>43</v>
      </c>
      <c r="H234" t="s">
        <v>220</v>
      </c>
      <c r="J234">
        <v>2017</v>
      </c>
      <c r="M234" t="s">
        <v>221</v>
      </c>
      <c r="T234" t="s">
        <v>131</v>
      </c>
      <c r="U234" t="s">
        <v>152</v>
      </c>
      <c r="V234" t="s">
        <v>153</v>
      </c>
      <c r="Z234" t="s">
        <v>49</v>
      </c>
      <c r="AA234" t="s">
        <v>49</v>
      </c>
      <c r="AB234" t="s">
        <v>71</v>
      </c>
      <c r="AC234" t="s">
        <v>117</v>
      </c>
      <c r="AD234" t="s">
        <v>52</v>
      </c>
      <c r="AE234" t="s">
        <v>53</v>
      </c>
      <c r="AF234" t="s">
        <v>52</v>
      </c>
      <c r="AG234" t="s">
        <v>54</v>
      </c>
      <c r="AH234" t="s">
        <v>55</v>
      </c>
      <c r="AK234">
        <v>5</v>
      </c>
      <c r="AL234">
        <v>5</v>
      </c>
      <c r="AN234">
        <v>729</v>
      </c>
      <c r="AO234">
        <v>72</v>
      </c>
      <c r="AP234" t="s">
        <v>56</v>
      </c>
      <c r="AQ234" t="s">
        <v>109</v>
      </c>
      <c r="AR234">
        <v>7.86</v>
      </c>
      <c r="AS234">
        <v>0.04</v>
      </c>
      <c r="AT234" t="s">
        <v>56</v>
      </c>
      <c r="AU234">
        <v>2269</v>
      </c>
      <c r="AV234">
        <v>1399</v>
      </c>
      <c r="AW234" t="s">
        <v>56</v>
      </c>
      <c r="AX234">
        <v>6.81</v>
      </c>
      <c r="AY234">
        <v>0.09</v>
      </c>
      <c r="AZ234" t="s">
        <v>56</v>
      </c>
      <c r="BB234">
        <f>LOG(AU234)</f>
        <v>3.355834495884936</v>
      </c>
      <c r="BC234">
        <v>11.8</v>
      </c>
      <c r="BD234">
        <v>0.4</v>
      </c>
      <c r="BE234" t="s">
        <v>56</v>
      </c>
      <c r="BF234">
        <v>11.5</v>
      </c>
      <c r="BG234">
        <v>0.4</v>
      </c>
      <c r="BH234" t="s">
        <v>56</v>
      </c>
      <c r="BI234">
        <v>1540</v>
      </c>
      <c r="BJ234">
        <v>-0.3</v>
      </c>
      <c r="BK234" t="s">
        <v>56</v>
      </c>
      <c r="BL234" t="s">
        <v>85</v>
      </c>
      <c r="BM234" t="s">
        <v>86</v>
      </c>
      <c r="BN234" t="s">
        <v>81</v>
      </c>
      <c r="BO234" t="s">
        <v>82</v>
      </c>
      <c r="BP234" t="s">
        <v>9</v>
      </c>
      <c r="BR234" t="s">
        <v>84</v>
      </c>
      <c r="BT234">
        <v>5.99</v>
      </c>
      <c r="BU234">
        <v>94.010626999999999</v>
      </c>
      <c r="BV234">
        <v>1.0900000000000001</v>
      </c>
      <c r="BW234">
        <f>BV234*SQRT(AK234)</f>
        <v>2.437314095474771</v>
      </c>
      <c r="BX234">
        <v>9.7200000000000006</v>
      </c>
      <c r="BY234">
        <v>90.2773495</v>
      </c>
      <c r="BZ234">
        <v>0.43</v>
      </c>
      <c r="CA234">
        <f>BZ234*SQRT(AL234)</f>
        <v>0.96150923032490965</v>
      </c>
      <c r="CB234">
        <v>60</v>
      </c>
      <c r="CC234">
        <v>5</v>
      </c>
      <c r="CD234">
        <v>-4.1000000000000002E-2</v>
      </c>
      <c r="CE234">
        <v>2.0000000000000001E-4</v>
      </c>
    </row>
    <row r="235" spans="1:84" hidden="1" x14ac:dyDescent="0.2">
      <c r="D235">
        <v>12</v>
      </c>
      <c r="G235" t="s">
        <v>43</v>
      </c>
      <c r="H235" t="s">
        <v>220</v>
      </c>
      <c r="J235">
        <v>2017</v>
      </c>
      <c r="M235" t="s">
        <v>221</v>
      </c>
      <c r="T235" t="s">
        <v>131</v>
      </c>
      <c r="U235" t="s">
        <v>152</v>
      </c>
      <c r="V235" t="s">
        <v>153</v>
      </c>
      <c r="Z235" t="s">
        <v>49</v>
      </c>
      <c r="AA235" t="s">
        <v>49</v>
      </c>
      <c r="AB235" t="s">
        <v>71</v>
      </c>
      <c r="AC235" t="s">
        <v>51</v>
      </c>
      <c r="AD235" t="s">
        <v>52</v>
      </c>
      <c r="AE235" t="s">
        <v>53</v>
      </c>
      <c r="AF235" t="s">
        <v>52</v>
      </c>
      <c r="AG235" t="s">
        <v>52</v>
      </c>
      <c r="AH235" t="s">
        <v>64</v>
      </c>
      <c r="AK235">
        <v>5</v>
      </c>
      <c r="AL235">
        <v>5</v>
      </c>
      <c r="AN235">
        <v>729</v>
      </c>
      <c r="AO235">
        <v>72</v>
      </c>
      <c r="AP235" t="s">
        <v>56</v>
      </c>
      <c r="AQ235" t="s">
        <v>109</v>
      </c>
      <c r="AR235">
        <v>7.86</v>
      </c>
      <c r="AS235">
        <v>0.04</v>
      </c>
      <c r="AT235" t="s">
        <v>56</v>
      </c>
      <c r="AU235">
        <v>1423</v>
      </c>
      <c r="AV235">
        <v>174</v>
      </c>
      <c r="AW235" t="s">
        <v>56</v>
      </c>
      <c r="AX235">
        <v>7.61</v>
      </c>
      <c r="AY235">
        <v>0.06</v>
      </c>
      <c r="AZ235" t="s">
        <v>56</v>
      </c>
      <c r="BB235">
        <f>LOG(AU235)</f>
        <v>3.1532049000842841</v>
      </c>
      <c r="BC235">
        <v>11.8</v>
      </c>
      <c r="BD235">
        <v>0.4</v>
      </c>
      <c r="BE235" t="s">
        <v>56</v>
      </c>
      <c r="BF235">
        <v>16</v>
      </c>
      <c r="BG235">
        <v>0.6</v>
      </c>
      <c r="BH235" t="s">
        <v>56</v>
      </c>
      <c r="BI235">
        <v>694</v>
      </c>
      <c r="BJ235">
        <v>4.2</v>
      </c>
      <c r="BK235" t="s">
        <v>56</v>
      </c>
      <c r="BL235" t="s">
        <v>222</v>
      </c>
      <c r="BM235" t="s">
        <v>222</v>
      </c>
      <c r="BN235" t="s">
        <v>81</v>
      </c>
      <c r="BO235" t="s">
        <v>82</v>
      </c>
      <c r="BP235" t="s">
        <v>190</v>
      </c>
      <c r="BR235" t="s">
        <v>84</v>
      </c>
      <c r="BT235">
        <v>13.43</v>
      </c>
      <c r="BU235">
        <v>13.425926</v>
      </c>
      <c r="BV235">
        <v>1.52</v>
      </c>
      <c r="BW235">
        <f>BV235*SQRT(AK235)</f>
        <v>3.3988233257996807</v>
      </c>
      <c r="BX235">
        <v>12.96</v>
      </c>
      <c r="BY235">
        <v>12.962963</v>
      </c>
      <c r="BZ235">
        <v>1.99</v>
      </c>
      <c r="CA235">
        <f>BZ235*SQRT(AL235)</f>
        <v>4.4497752752245816</v>
      </c>
      <c r="CB235">
        <v>60</v>
      </c>
      <c r="CC235">
        <v>5</v>
      </c>
      <c r="CD235">
        <v>-3.5000000000000003E-2</v>
      </c>
      <c r="CE235">
        <v>3.6299999999999999E-2</v>
      </c>
    </row>
    <row r="236" spans="1:84" hidden="1" x14ac:dyDescent="0.2">
      <c r="D236">
        <v>12</v>
      </c>
      <c r="G236" t="s">
        <v>43</v>
      </c>
      <c r="H236" t="s">
        <v>220</v>
      </c>
      <c r="J236">
        <v>2017</v>
      </c>
      <c r="M236" t="s">
        <v>221</v>
      </c>
      <c r="T236" t="s">
        <v>131</v>
      </c>
      <c r="U236" t="s">
        <v>152</v>
      </c>
      <c r="V236" t="s">
        <v>153</v>
      </c>
      <c r="Z236" t="s">
        <v>49</v>
      </c>
      <c r="AA236" t="s">
        <v>49</v>
      </c>
      <c r="AB236" t="s">
        <v>71</v>
      </c>
      <c r="AC236" t="s">
        <v>117</v>
      </c>
      <c r="AD236" t="s">
        <v>52</v>
      </c>
      <c r="AE236" t="s">
        <v>53</v>
      </c>
      <c r="AF236" t="s">
        <v>52</v>
      </c>
      <c r="AG236" t="s">
        <v>54</v>
      </c>
      <c r="AH236" t="s">
        <v>55</v>
      </c>
      <c r="AK236">
        <v>5</v>
      </c>
      <c r="AL236">
        <v>5</v>
      </c>
      <c r="AN236">
        <v>729</v>
      </c>
      <c r="AO236">
        <v>72</v>
      </c>
      <c r="AP236" t="s">
        <v>56</v>
      </c>
      <c r="AQ236" t="s">
        <v>109</v>
      </c>
      <c r="AR236">
        <v>7.86</v>
      </c>
      <c r="AS236">
        <v>0.04</v>
      </c>
      <c r="AT236" t="s">
        <v>56</v>
      </c>
      <c r="AU236">
        <v>2729</v>
      </c>
      <c r="AV236">
        <v>223</v>
      </c>
      <c r="AW236" t="s">
        <v>56</v>
      </c>
      <c r="AX236">
        <v>7.35</v>
      </c>
      <c r="AY236">
        <v>0.03</v>
      </c>
      <c r="AZ236" t="s">
        <v>56</v>
      </c>
      <c r="BB236">
        <f>LOG(AU236)</f>
        <v>3.4360035356698964</v>
      </c>
      <c r="BC236">
        <v>11.8</v>
      </c>
      <c r="BD236">
        <v>0.4</v>
      </c>
      <c r="BE236" t="s">
        <v>56</v>
      </c>
      <c r="BF236">
        <v>11.7</v>
      </c>
      <c r="BG236">
        <v>0.4</v>
      </c>
      <c r="BH236" t="s">
        <v>56</v>
      </c>
      <c r="BI236">
        <v>2000</v>
      </c>
      <c r="BJ236">
        <v>-0.1</v>
      </c>
      <c r="BK236" t="s">
        <v>56</v>
      </c>
      <c r="BL236" t="s">
        <v>85</v>
      </c>
      <c r="BM236" t="s">
        <v>86</v>
      </c>
      <c r="BN236" t="s">
        <v>81</v>
      </c>
      <c r="BO236" t="s">
        <v>82</v>
      </c>
      <c r="BP236" t="s">
        <v>9</v>
      </c>
      <c r="BR236" t="s">
        <v>84</v>
      </c>
      <c r="BT236">
        <v>5.99</v>
      </c>
      <c r="BU236">
        <v>94.010626999999999</v>
      </c>
      <c r="BV236">
        <v>1.0900000000000001</v>
      </c>
      <c r="BW236">
        <f>BV236*SQRT(AK236)</f>
        <v>2.437314095474771</v>
      </c>
      <c r="BX236">
        <v>6.77</v>
      </c>
      <c r="BY236">
        <v>93.2336995</v>
      </c>
      <c r="BZ236">
        <v>1.0900000000000001</v>
      </c>
      <c r="CA236">
        <f>BZ236*SQRT(AL236)</f>
        <v>2.437314095474771</v>
      </c>
      <c r="CB236">
        <v>60</v>
      </c>
      <c r="CC236">
        <v>5</v>
      </c>
      <c r="CD236">
        <v>-8.0000000000000002E-3</v>
      </c>
      <c r="CE236">
        <v>2.9999999999999997E-4</v>
      </c>
    </row>
    <row r="237" spans="1:84" hidden="1" x14ac:dyDescent="0.2">
      <c r="D237">
        <v>12</v>
      </c>
      <c r="G237" t="s">
        <v>43</v>
      </c>
      <c r="H237" t="s">
        <v>220</v>
      </c>
      <c r="J237">
        <v>2017</v>
      </c>
      <c r="M237" t="s">
        <v>221</v>
      </c>
      <c r="T237" t="s">
        <v>131</v>
      </c>
      <c r="U237" t="s">
        <v>152</v>
      </c>
      <c r="V237" t="s">
        <v>153</v>
      </c>
      <c r="Z237" t="s">
        <v>49</v>
      </c>
      <c r="AA237" t="s">
        <v>49</v>
      </c>
      <c r="AB237" t="s">
        <v>71</v>
      </c>
      <c r="AC237" t="s">
        <v>117</v>
      </c>
      <c r="AD237" t="s">
        <v>52</v>
      </c>
      <c r="AE237" t="s">
        <v>53</v>
      </c>
      <c r="AF237" t="s">
        <v>52</v>
      </c>
      <c r="AG237" t="s">
        <v>54</v>
      </c>
      <c r="AH237" t="s">
        <v>55</v>
      </c>
      <c r="AK237">
        <v>5</v>
      </c>
      <c r="AL237">
        <v>5</v>
      </c>
      <c r="AN237">
        <v>729</v>
      </c>
      <c r="AO237">
        <v>72</v>
      </c>
      <c r="AP237" t="s">
        <v>56</v>
      </c>
      <c r="AQ237" t="s">
        <v>109</v>
      </c>
      <c r="AR237">
        <v>7.86</v>
      </c>
      <c r="AS237">
        <v>0.04</v>
      </c>
      <c r="AT237" t="s">
        <v>56</v>
      </c>
      <c r="AU237">
        <v>1296</v>
      </c>
      <c r="AV237">
        <v>109</v>
      </c>
      <c r="AW237" t="s">
        <v>56</v>
      </c>
      <c r="AX237">
        <v>7.66</v>
      </c>
      <c r="AY237">
        <v>0.03</v>
      </c>
      <c r="AZ237" t="s">
        <v>56</v>
      </c>
      <c r="BB237">
        <f>LOG(AU237)</f>
        <v>3.1126050015345745</v>
      </c>
      <c r="BC237">
        <v>11.8</v>
      </c>
      <c r="BD237">
        <v>0.4</v>
      </c>
      <c r="BE237" t="s">
        <v>56</v>
      </c>
      <c r="BF237">
        <v>11.9</v>
      </c>
      <c r="BG237">
        <v>0.4</v>
      </c>
      <c r="BH237" t="s">
        <v>56</v>
      </c>
      <c r="BI237">
        <v>566</v>
      </c>
      <c r="BJ237">
        <v>0.2</v>
      </c>
      <c r="BK237" t="s">
        <v>56</v>
      </c>
      <c r="BL237" t="s">
        <v>85</v>
      </c>
      <c r="BM237" t="s">
        <v>86</v>
      </c>
      <c r="BN237" t="s">
        <v>81</v>
      </c>
      <c r="BO237" t="s">
        <v>82</v>
      </c>
      <c r="BP237" t="s">
        <v>9</v>
      </c>
      <c r="BR237" t="s">
        <v>84</v>
      </c>
      <c r="BT237">
        <v>5.99</v>
      </c>
      <c r="BU237">
        <v>94.010626999999999</v>
      </c>
      <c r="BV237">
        <v>1.0900000000000001</v>
      </c>
      <c r="BW237">
        <f>BV237*SQRT(AK237)</f>
        <v>2.437314095474771</v>
      </c>
      <c r="BX237">
        <v>6.34</v>
      </c>
      <c r="BY237">
        <v>93.661691599999997</v>
      </c>
      <c r="BZ237">
        <v>1.32</v>
      </c>
      <c r="CA237">
        <f>BZ237*SQRT(AL237)</f>
        <v>2.9516097302997228</v>
      </c>
      <c r="CB237">
        <v>60</v>
      </c>
      <c r="CC237">
        <v>5</v>
      </c>
      <c r="CD237">
        <v>-4.0000000000000001E-3</v>
      </c>
      <c r="CE237">
        <v>2.9999999999999997E-4</v>
      </c>
    </row>
    <row r="238" spans="1:84" hidden="1" x14ac:dyDescent="0.2">
      <c r="D238">
        <v>12</v>
      </c>
      <c r="G238" t="s">
        <v>43</v>
      </c>
      <c r="H238" t="s">
        <v>220</v>
      </c>
      <c r="J238">
        <v>2017</v>
      </c>
      <c r="M238" t="s">
        <v>221</v>
      </c>
      <c r="T238" t="s">
        <v>131</v>
      </c>
      <c r="U238" t="s">
        <v>152</v>
      </c>
      <c r="V238" t="s">
        <v>153</v>
      </c>
      <c r="Z238" t="s">
        <v>49</v>
      </c>
      <c r="AA238" t="s">
        <v>49</v>
      </c>
      <c r="AB238" t="s">
        <v>71</v>
      </c>
      <c r="AC238" t="s">
        <v>117</v>
      </c>
      <c r="AD238" t="s">
        <v>52</v>
      </c>
      <c r="AE238" t="s">
        <v>53</v>
      </c>
      <c r="AF238" t="s">
        <v>52</v>
      </c>
      <c r="AG238" t="s">
        <v>52</v>
      </c>
      <c r="AH238" t="s">
        <v>64</v>
      </c>
      <c r="AK238">
        <v>5</v>
      </c>
      <c r="AL238">
        <v>5</v>
      </c>
      <c r="AN238">
        <v>729</v>
      </c>
      <c r="AO238">
        <v>72</v>
      </c>
      <c r="AP238" t="s">
        <v>56</v>
      </c>
      <c r="AQ238" t="s">
        <v>109</v>
      </c>
      <c r="AR238">
        <v>7.86</v>
      </c>
      <c r="AS238">
        <v>0.04</v>
      </c>
      <c r="AT238" t="s">
        <v>56</v>
      </c>
      <c r="AU238">
        <v>2612</v>
      </c>
      <c r="AV238">
        <v>245</v>
      </c>
      <c r="AW238" t="s">
        <v>56</v>
      </c>
      <c r="AX238">
        <v>7.37</v>
      </c>
      <c r="AY238">
        <v>0.04</v>
      </c>
      <c r="AZ238" t="s">
        <v>56</v>
      </c>
      <c r="BB238">
        <f>LOG(AU238)</f>
        <v>3.4169731726030363</v>
      </c>
      <c r="BC238">
        <v>11.8</v>
      </c>
      <c r="BD238">
        <v>0.4</v>
      </c>
      <c r="BE238" t="s">
        <v>56</v>
      </c>
      <c r="BF238">
        <v>15.8</v>
      </c>
      <c r="BG238">
        <v>0.3</v>
      </c>
      <c r="BH238" t="s">
        <v>56</v>
      </c>
      <c r="BI238">
        <v>1882</v>
      </c>
      <c r="BJ238">
        <v>4</v>
      </c>
      <c r="BK238" t="s">
        <v>56</v>
      </c>
      <c r="BL238" t="s">
        <v>85</v>
      </c>
      <c r="BM238" t="s">
        <v>86</v>
      </c>
      <c r="BN238" t="s">
        <v>81</v>
      </c>
      <c r="BO238" t="s">
        <v>82</v>
      </c>
      <c r="BP238" t="s">
        <v>9</v>
      </c>
      <c r="BR238" t="s">
        <v>84</v>
      </c>
      <c r="BT238">
        <v>5.99</v>
      </c>
      <c r="BU238">
        <v>94.010626999999999</v>
      </c>
      <c r="BV238">
        <v>1.0900000000000001</v>
      </c>
      <c r="BW238">
        <f>BV238*SQRT(AK238)</f>
        <v>2.437314095474771</v>
      </c>
      <c r="BX238">
        <v>6.01</v>
      </c>
      <c r="BY238">
        <v>93.986128699999995</v>
      </c>
      <c r="BZ238">
        <v>0.9</v>
      </c>
      <c r="CA238">
        <f>BZ238*SQRT(AL238)</f>
        <v>2.0124611797498111</v>
      </c>
      <c r="CB238">
        <v>60</v>
      </c>
      <c r="CC238">
        <v>5</v>
      </c>
      <c r="CD238">
        <v>0</v>
      </c>
      <c r="CE238">
        <v>2.0000000000000001E-4</v>
      </c>
    </row>
    <row r="239" spans="1:84" hidden="1" x14ac:dyDescent="0.2">
      <c r="D239">
        <v>12</v>
      </c>
      <c r="G239" t="s">
        <v>43</v>
      </c>
      <c r="H239" t="s">
        <v>220</v>
      </c>
      <c r="J239">
        <v>2017</v>
      </c>
      <c r="M239" t="s">
        <v>221</v>
      </c>
      <c r="T239" t="s">
        <v>131</v>
      </c>
      <c r="U239" t="s">
        <v>152</v>
      </c>
      <c r="V239" t="s">
        <v>153</v>
      </c>
      <c r="Z239" t="s">
        <v>49</v>
      </c>
      <c r="AA239" t="s">
        <v>49</v>
      </c>
      <c r="AB239" t="s">
        <v>71</v>
      </c>
      <c r="AC239" t="s">
        <v>51</v>
      </c>
      <c r="AD239" t="s">
        <v>52</v>
      </c>
      <c r="AE239" t="s">
        <v>53</v>
      </c>
      <c r="AF239" t="s">
        <v>52</v>
      </c>
      <c r="AG239" t="s">
        <v>54</v>
      </c>
      <c r="AH239" t="s">
        <v>55</v>
      </c>
      <c r="AK239">
        <v>5</v>
      </c>
      <c r="AL239">
        <v>5</v>
      </c>
      <c r="AN239">
        <v>729</v>
      </c>
      <c r="AO239">
        <v>72</v>
      </c>
      <c r="AP239" t="s">
        <v>56</v>
      </c>
      <c r="AQ239" t="s">
        <v>109</v>
      </c>
      <c r="AR239">
        <v>7.86</v>
      </c>
      <c r="AS239">
        <v>0.04</v>
      </c>
      <c r="AT239" t="s">
        <v>56</v>
      </c>
      <c r="AU239">
        <v>1296</v>
      </c>
      <c r="AV239">
        <v>109</v>
      </c>
      <c r="AW239" t="s">
        <v>56</v>
      </c>
      <c r="AX239">
        <v>7.66</v>
      </c>
      <c r="AY239">
        <v>0.03</v>
      </c>
      <c r="AZ239" t="s">
        <v>56</v>
      </c>
      <c r="BB239">
        <f>LOG(AU239)</f>
        <v>3.1126050015345745</v>
      </c>
      <c r="BC239">
        <v>11.8</v>
      </c>
      <c r="BD239">
        <v>0.4</v>
      </c>
      <c r="BE239" t="s">
        <v>56</v>
      </c>
      <c r="BF239">
        <v>11.9</v>
      </c>
      <c r="BG239">
        <v>0.4</v>
      </c>
      <c r="BH239" t="s">
        <v>56</v>
      </c>
      <c r="BI239">
        <v>566</v>
      </c>
      <c r="BJ239">
        <v>0.2</v>
      </c>
      <c r="BK239" t="s">
        <v>56</v>
      </c>
      <c r="BL239" t="s">
        <v>154</v>
      </c>
      <c r="BM239" t="s">
        <v>154</v>
      </c>
      <c r="BN239" t="s">
        <v>81</v>
      </c>
      <c r="BO239" t="s">
        <v>121</v>
      </c>
      <c r="BP239" t="s">
        <v>127</v>
      </c>
      <c r="BR239" t="s">
        <v>122</v>
      </c>
      <c r="BT239">
        <v>10.3</v>
      </c>
      <c r="BU239">
        <v>10.302928</v>
      </c>
      <c r="BV239">
        <v>1.04</v>
      </c>
      <c r="BW239">
        <f>BV239*SQRT(AK239)</f>
        <v>2.3255106965997814</v>
      </c>
      <c r="BX239">
        <v>10.31</v>
      </c>
      <c r="BY239">
        <v>10.310122099999999</v>
      </c>
      <c r="BZ239">
        <v>1.04</v>
      </c>
      <c r="CA239">
        <f>BZ239*SQRT(AL239)</f>
        <v>2.3255106965997814</v>
      </c>
      <c r="CB239">
        <v>60</v>
      </c>
      <c r="CC239">
        <v>5</v>
      </c>
      <c r="CD239">
        <v>1E-3</v>
      </c>
      <c r="CE239">
        <v>2.0199999999999999E-2</v>
      </c>
    </row>
    <row r="240" spans="1:84" hidden="1" x14ac:dyDescent="0.2">
      <c r="D240">
        <v>12</v>
      </c>
      <c r="G240" t="s">
        <v>43</v>
      </c>
      <c r="H240" t="s">
        <v>220</v>
      </c>
      <c r="J240">
        <v>2017</v>
      </c>
      <c r="M240" t="s">
        <v>221</v>
      </c>
      <c r="T240" t="s">
        <v>131</v>
      </c>
      <c r="U240" t="s">
        <v>152</v>
      </c>
      <c r="V240" t="s">
        <v>153</v>
      </c>
      <c r="Z240" t="s">
        <v>49</v>
      </c>
      <c r="AA240" t="s">
        <v>49</v>
      </c>
      <c r="AB240" t="s">
        <v>71</v>
      </c>
      <c r="AC240" t="s">
        <v>117</v>
      </c>
      <c r="AD240" t="s">
        <v>52</v>
      </c>
      <c r="AE240" t="s">
        <v>53</v>
      </c>
      <c r="AF240" t="s">
        <v>54</v>
      </c>
      <c r="AG240" t="s">
        <v>52</v>
      </c>
      <c r="AH240" t="s">
        <v>65</v>
      </c>
      <c r="AK240">
        <v>5</v>
      </c>
      <c r="AL240">
        <v>5</v>
      </c>
      <c r="AN240">
        <v>729</v>
      </c>
      <c r="AO240">
        <v>72</v>
      </c>
      <c r="AP240" t="s">
        <v>56</v>
      </c>
      <c r="AQ240" t="s">
        <v>109</v>
      </c>
      <c r="AR240">
        <v>7.86</v>
      </c>
      <c r="AS240">
        <v>0.04</v>
      </c>
      <c r="AT240" t="s">
        <v>56</v>
      </c>
      <c r="AU240">
        <v>822</v>
      </c>
      <c r="AV240">
        <v>332</v>
      </c>
      <c r="AW240" t="s">
        <v>56</v>
      </c>
      <c r="AX240">
        <v>7.85</v>
      </c>
      <c r="AY240">
        <v>0.05</v>
      </c>
      <c r="AZ240" t="s">
        <v>56</v>
      </c>
      <c r="BB240">
        <f>LOG(AU240)</f>
        <v>2.9148718175400505</v>
      </c>
      <c r="BC240">
        <v>11.8</v>
      </c>
      <c r="BD240">
        <v>0.4</v>
      </c>
      <c r="BE240" t="s">
        <v>56</v>
      </c>
      <c r="BF240">
        <v>16</v>
      </c>
      <c r="BG240">
        <v>0.4</v>
      </c>
      <c r="BH240" t="s">
        <v>56</v>
      </c>
      <c r="BI240">
        <v>93</v>
      </c>
      <c r="BJ240">
        <v>4.3</v>
      </c>
      <c r="BK240" t="s">
        <v>56</v>
      </c>
      <c r="BL240" t="s">
        <v>85</v>
      </c>
      <c r="BM240" t="s">
        <v>86</v>
      </c>
      <c r="BN240" t="s">
        <v>81</v>
      </c>
      <c r="BO240" t="s">
        <v>82</v>
      </c>
      <c r="BP240" t="s">
        <v>9</v>
      </c>
      <c r="BR240" t="s">
        <v>84</v>
      </c>
      <c r="BT240">
        <v>5.99</v>
      </c>
      <c r="BU240">
        <v>94.010626999999999</v>
      </c>
      <c r="BV240">
        <v>1.0900000000000001</v>
      </c>
      <c r="BW240">
        <f>BV240*SQRT(AK240)</f>
        <v>2.437314095474771</v>
      </c>
      <c r="BX240">
        <v>4.72</v>
      </c>
      <c r="BY240">
        <v>95.2766819</v>
      </c>
      <c r="BZ240">
        <v>0.69</v>
      </c>
      <c r="CA240">
        <f>BZ240*SQRT(AL240)</f>
        <v>1.5428869044748548</v>
      </c>
      <c r="CB240">
        <v>60</v>
      </c>
      <c r="CC240">
        <v>5</v>
      </c>
      <c r="CD240">
        <v>1.2999999999999999E-2</v>
      </c>
      <c r="CE240">
        <v>2.0000000000000001E-4</v>
      </c>
    </row>
    <row r="241" spans="4:83" hidden="1" x14ac:dyDescent="0.2">
      <c r="D241">
        <v>12</v>
      </c>
      <c r="G241" t="s">
        <v>43</v>
      </c>
      <c r="H241" t="s">
        <v>220</v>
      </c>
      <c r="J241">
        <v>2017</v>
      </c>
      <c r="M241" t="s">
        <v>221</v>
      </c>
      <c r="T241" t="s">
        <v>131</v>
      </c>
      <c r="U241" t="s">
        <v>152</v>
      </c>
      <c r="V241" t="s">
        <v>153</v>
      </c>
      <c r="Z241" t="s">
        <v>49</v>
      </c>
      <c r="AA241" t="s">
        <v>49</v>
      </c>
      <c r="AB241" t="s">
        <v>71</v>
      </c>
      <c r="AC241" t="s">
        <v>117</v>
      </c>
      <c r="AD241" t="s">
        <v>52</v>
      </c>
      <c r="AE241" t="s">
        <v>53</v>
      </c>
      <c r="AF241" t="s">
        <v>52</v>
      </c>
      <c r="AG241" t="s">
        <v>52</v>
      </c>
      <c r="AH241" t="s">
        <v>64</v>
      </c>
      <c r="AK241">
        <v>5</v>
      </c>
      <c r="AL241">
        <v>5</v>
      </c>
      <c r="AN241">
        <v>729</v>
      </c>
      <c r="AO241">
        <v>72</v>
      </c>
      <c r="AP241" t="s">
        <v>56</v>
      </c>
      <c r="AQ241" t="s">
        <v>109</v>
      </c>
      <c r="AR241">
        <v>7.86</v>
      </c>
      <c r="AS241">
        <v>0.04</v>
      </c>
      <c r="AT241" t="s">
        <v>56</v>
      </c>
      <c r="AU241">
        <v>1423</v>
      </c>
      <c r="AV241">
        <v>174</v>
      </c>
      <c r="AW241" t="s">
        <v>56</v>
      </c>
      <c r="AX241">
        <v>7.61</v>
      </c>
      <c r="AY241">
        <v>0.06</v>
      </c>
      <c r="AZ241" t="s">
        <v>56</v>
      </c>
      <c r="BB241">
        <f>LOG(AU241)</f>
        <v>3.1532049000842841</v>
      </c>
      <c r="BC241">
        <v>11.8</v>
      </c>
      <c r="BD241">
        <v>0.4</v>
      </c>
      <c r="BE241" t="s">
        <v>56</v>
      </c>
      <c r="BF241">
        <v>16</v>
      </c>
      <c r="BG241">
        <v>0.6</v>
      </c>
      <c r="BH241" t="s">
        <v>56</v>
      </c>
      <c r="BI241">
        <v>694</v>
      </c>
      <c r="BJ241">
        <v>4.2</v>
      </c>
      <c r="BK241" t="s">
        <v>56</v>
      </c>
      <c r="BL241" t="s">
        <v>85</v>
      </c>
      <c r="BM241" t="s">
        <v>86</v>
      </c>
      <c r="BN241" t="s">
        <v>81</v>
      </c>
      <c r="BO241" t="s">
        <v>82</v>
      </c>
      <c r="BP241" t="s">
        <v>9</v>
      </c>
      <c r="BR241" t="s">
        <v>84</v>
      </c>
      <c r="BT241">
        <v>5.99</v>
      </c>
      <c r="BU241">
        <v>94.010626999999999</v>
      </c>
      <c r="BV241">
        <v>1.0900000000000001</v>
      </c>
      <c r="BW241">
        <f>BV241*SQRT(AK241)</f>
        <v>2.437314095474771</v>
      </c>
      <c r="BX241">
        <v>4.2</v>
      </c>
      <c r="BY241">
        <v>95.796884700000007</v>
      </c>
      <c r="BZ241">
        <v>0.69</v>
      </c>
      <c r="CA241">
        <f>BZ241*SQRT(AL241)</f>
        <v>1.5428869044748548</v>
      </c>
      <c r="CB241">
        <v>60</v>
      </c>
      <c r="CC241">
        <v>5</v>
      </c>
      <c r="CD241">
        <v>1.9E-2</v>
      </c>
      <c r="CE241">
        <v>2.0000000000000001E-4</v>
      </c>
    </row>
    <row r="242" spans="4:83" hidden="1" x14ac:dyDescent="0.2">
      <c r="D242">
        <v>12</v>
      </c>
      <c r="G242" t="s">
        <v>43</v>
      </c>
      <c r="H242" t="s">
        <v>220</v>
      </c>
      <c r="J242">
        <v>2017</v>
      </c>
      <c r="M242" t="s">
        <v>221</v>
      </c>
      <c r="T242" t="s">
        <v>131</v>
      </c>
      <c r="U242" t="s">
        <v>152</v>
      </c>
      <c r="V242" t="s">
        <v>153</v>
      </c>
      <c r="Z242" t="s">
        <v>49</v>
      </c>
      <c r="AA242" t="s">
        <v>49</v>
      </c>
      <c r="AB242" t="s">
        <v>71</v>
      </c>
      <c r="AC242" t="s">
        <v>51</v>
      </c>
      <c r="AD242" t="s">
        <v>52</v>
      </c>
      <c r="AE242" t="s">
        <v>53</v>
      </c>
      <c r="AF242" t="s">
        <v>52</v>
      </c>
      <c r="AG242" t="s">
        <v>52</v>
      </c>
      <c r="AH242" t="s">
        <v>64</v>
      </c>
      <c r="AK242">
        <v>5</v>
      </c>
      <c r="AL242">
        <v>5</v>
      </c>
      <c r="AN242">
        <v>729</v>
      </c>
      <c r="AO242">
        <v>72</v>
      </c>
      <c r="AP242" t="s">
        <v>56</v>
      </c>
      <c r="AQ242" t="s">
        <v>109</v>
      </c>
      <c r="AR242">
        <v>7.86</v>
      </c>
      <c r="AS242">
        <v>0.04</v>
      </c>
      <c r="AT242" t="s">
        <v>56</v>
      </c>
      <c r="AU242">
        <v>3010</v>
      </c>
      <c r="AV242">
        <v>1852</v>
      </c>
      <c r="AW242" t="s">
        <v>56</v>
      </c>
      <c r="AX242">
        <v>6.66</v>
      </c>
      <c r="AY242">
        <v>0.08</v>
      </c>
      <c r="AZ242" t="s">
        <v>56</v>
      </c>
      <c r="BB242">
        <f>LOG(AU242)</f>
        <v>3.4785664955938436</v>
      </c>
      <c r="BC242">
        <v>11.8</v>
      </c>
      <c r="BD242">
        <v>0.4</v>
      </c>
      <c r="BE242" t="s">
        <v>56</v>
      </c>
      <c r="BF242">
        <v>15.5</v>
      </c>
      <c r="BG242">
        <v>1.5</v>
      </c>
      <c r="BH242" t="s">
        <v>56</v>
      </c>
      <c r="BI242">
        <v>2281</v>
      </c>
      <c r="BJ242">
        <v>3.7</v>
      </c>
      <c r="BK242" t="s">
        <v>56</v>
      </c>
      <c r="BL242" t="s">
        <v>223</v>
      </c>
      <c r="BM242" t="s">
        <v>224</v>
      </c>
      <c r="BN242" t="s">
        <v>60</v>
      </c>
      <c r="BO242" t="s">
        <v>82</v>
      </c>
      <c r="BP242" t="s">
        <v>9</v>
      </c>
      <c r="BR242" t="s">
        <v>84</v>
      </c>
      <c r="BT242">
        <v>1.33</v>
      </c>
      <c r="BU242">
        <v>1.3272949999999999</v>
      </c>
      <c r="BV242">
        <v>0.13</v>
      </c>
      <c r="BW242">
        <f>BV242*SQRT(AK242)</f>
        <v>0.29068883707497267</v>
      </c>
      <c r="BX242">
        <v>1.41</v>
      </c>
      <c r="BY242">
        <v>1.4118356999999999</v>
      </c>
      <c r="BZ242">
        <v>0.17</v>
      </c>
      <c r="CA242">
        <f>BZ242*SQRT(AL242)</f>
        <v>0.3801315561749643</v>
      </c>
      <c r="CB242">
        <v>60</v>
      </c>
      <c r="CC242">
        <v>5</v>
      </c>
      <c r="CD242">
        <v>6.2E-2</v>
      </c>
      <c r="CE242">
        <v>2.4299999999999999E-2</v>
      </c>
    </row>
    <row r="243" spans="4:83" hidden="1" x14ac:dyDescent="0.2">
      <c r="D243">
        <v>12</v>
      </c>
      <c r="G243" t="s">
        <v>43</v>
      </c>
      <c r="H243" t="s">
        <v>220</v>
      </c>
      <c r="J243">
        <v>2017</v>
      </c>
      <c r="M243" t="s">
        <v>221</v>
      </c>
      <c r="T243" t="s">
        <v>131</v>
      </c>
      <c r="U243" t="s">
        <v>152</v>
      </c>
      <c r="V243" t="s">
        <v>153</v>
      </c>
      <c r="Z243" t="s">
        <v>49</v>
      </c>
      <c r="AA243" t="s">
        <v>49</v>
      </c>
      <c r="AB243" t="s">
        <v>71</v>
      </c>
      <c r="AC243" t="s">
        <v>51</v>
      </c>
      <c r="AD243" t="s">
        <v>52</v>
      </c>
      <c r="AE243" t="s">
        <v>53</v>
      </c>
      <c r="AF243" t="s">
        <v>52</v>
      </c>
      <c r="AG243" t="s">
        <v>52</v>
      </c>
      <c r="AH243" t="s">
        <v>64</v>
      </c>
      <c r="AK243">
        <v>5</v>
      </c>
      <c r="AL243">
        <v>5</v>
      </c>
      <c r="AN243">
        <v>729</v>
      </c>
      <c r="AO243">
        <v>72</v>
      </c>
      <c r="AP243" t="s">
        <v>56</v>
      </c>
      <c r="AQ243" t="s">
        <v>109</v>
      </c>
      <c r="AR243">
        <v>7.86</v>
      </c>
      <c r="AS243">
        <v>0.04</v>
      </c>
      <c r="AT243" t="s">
        <v>56</v>
      </c>
      <c r="AU243">
        <v>2612</v>
      </c>
      <c r="AV243">
        <v>245</v>
      </c>
      <c r="AW243" t="s">
        <v>56</v>
      </c>
      <c r="AX243">
        <v>7.37</v>
      </c>
      <c r="AY243">
        <v>0.04</v>
      </c>
      <c r="AZ243" t="s">
        <v>56</v>
      </c>
      <c r="BB243">
        <f>LOG(AU243)</f>
        <v>3.4169731726030363</v>
      </c>
      <c r="BC243">
        <v>11.8</v>
      </c>
      <c r="BD243">
        <v>0.4</v>
      </c>
      <c r="BE243" t="s">
        <v>56</v>
      </c>
      <c r="BF243">
        <v>15.8</v>
      </c>
      <c r="BG243">
        <v>0.3</v>
      </c>
      <c r="BH243" t="s">
        <v>56</v>
      </c>
      <c r="BI243">
        <v>1882</v>
      </c>
      <c r="BJ243">
        <v>4</v>
      </c>
      <c r="BK243" t="s">
        <v>56</v>
      </c>
      <c r="BL243" t="s">
        <v>154</v>
      </c>
      <c r="BM243" t="s">
        <v>154</v>
      </c>
      <c r="BN243" t="s">
        <v>81</v>
      </c>
      <c r="BO243" t="s">
        <v>121</v>
      </c>
      <c r="BP243" t="s">
        <v>127</v>
      </c>
      <c r="BR243" t="s">
        <v>122</v>
      </c>
      <c r="BT243">
        <v>10.3</v>
      </c>
      <c r="BU243">
        <v>10.302928</v>
      </c>
      <c r="BV243">
        <v>1.04</v>
      </c>
      <c r="BW243">
        <f>BV243*SQRT(AK243)</f>
        <v>2.3255106965997814</v>
      </c>
      <c r="BX243">
        <v>11.01</v>
      </c>
      <c r="BY243">
        <v>11.005105199999999</v>
      </c>
      <c r="BZ243">
        <v>0.65</v>
      </c>
      <c r="CA243">
        <f>BZ243*SQRT(AL243)</f>
        <v>1.4534441853748634</v>
      </c>
      <c r="CB243">
        <v>60</v>
      </c>
      <c r="CC243">
        <v>5</v>
      </c>
      <c r="CD243">
        <v>6.6000000000000003E-2</v>
      </c>
      <c r="CE243">
        <v>1.3599999999999999E-2</v>
      </c>
    </row>
    <row r="244" spans="4:83" hidden="1" x14ac:dyDescent="0.2">
      <c r="D244">
        <v>12</v>
      </c>
      <c r="G244" t="s">
        <v>43</v>
      </c>
      <c r="H244" t="s">
        <v>220</v>
      </c>
      <c r="J244">
        <v>2017</v>
      </c>
      <c r="M244" t="s">
        <v>221</v>
      </c>
      <c r="T244" t="s">
        <v>131</v>
      </c>
      <c r="U244" t="s">
        <v>152</v>
      </c>
      <c r="V244" t="s">
        <v>153</v>
      </c>
      <c r="Z244" t="s">
        <v>49</v>
      </c>
      <c r="AA244" t="s">
        <v>49</v>
      </c>
      <c r="AB244" t="s">
        <v>71</v>
      </c>
      <c r="AC244" t="s">
        <v>51</v>
      </c>
      <c r="AD244" t="s">
        <v>52</v>
      </c>
      <c r="AE244" t="s">
        <v>53</v>
      </c>
      <c r="AF244" t="s">
        <v>52</v>
      </c>
      <c r="AG244" t="s">
        <v>54</v>
      </c>
      <c r="AH244" t="s">
        <v>55</v>
      </c>
      <c r="AK244">
        <v>5</v>
      </c>
      <c r="AL244">
        <v>5</v>
      </c>
      <c r="AN244">
        <v>729</v>
      </c>
      <c r="AO244">
        <v>72</v>
      </c>
      <c r="AP244" t="s">
        <v>56</v>
      </c>
      <c r="AQ244" t="s">
        <v>109</v>
      </c>
      <c r="AR244">
        <v>7.86</v>
      </c>
      <c r="AS244">
        <v>0.04</v>
      </c>
      <c r="AT244" t="s">
        <v>56</v>
      </c>
      <c r="AU244">
        <v>1296</v>
      </c>
      <c r="AV244">
        <v>109</v>
      </c>
      <c r="AW244" t="s">
        <v>56</v>
      </c>
      <c r="AX244">
        <v>7.66</v>
      </c>
      <c r="AY244">
        <v>0.03</v>
      </c>
      <c r="AZ244" t="s">
        <v>56</v>
      </c>
      <c r="BB244">
        <f>LOG(AU244)</f>
        <v>3.1126050015345745</v>
      </c>
      <c r="BC244">
        <v>11.8</v>
      </c>
      <c r="BD244">
        <v>0.4</v>
      </c>
      <c r="BE244" t="s">
        <v>56</v>
      </c>
      <c r="BF244">
        <v>11.9</v>
      </c>
      <c r="BG244">
        <v>0.4</v>
      </c>
      <c r="BH244" t="s">
        <v>56</v>
      </c>
      <c r="BI244">
        <v>566</v>
      </c>
      <c r="BJ244">
        <v>0.2</v>
      </c>
      <c r="BK244" t="s">
        <v>56</v>
      </c>
      <c r="BL244" t="s">
        <v>222</v>
      </c>
      <c r="BM244" t="s">
        <v>222</v>
      </c>
      <c r="BN244" t="s">
        <v>81</v>
      </c>
      <c r="BO244" t="s">
        <v>82</v>
      </c>
      <c r="BP244" t="s">
        <v>190</v>
      </c>
      <c r="BR244" t="s">
        <v>84</v>
      </c>
      <c r="BT244">
        <v>13.43</v>
      </c>
      <c r="BU244">
        <v>13.425926</v>
      </c>
      <c r="BV244">
        <v>1.52</v>
      </c>
      <c r="BW244">
        <f>BV244*SQRT(AK244)</f>
        <v>3.3988233257996807</v>
      </c>
      <c r="BX244">
        <v>15.37</v>
      </c>
      <c r="BY244">
        <v>15.370370400000001</v>
      </c>
      <c r="BZ244">
        <v>0.97</v>
      </c>
      <c r="CA244">
        <f>BZ244*SQRT(AL244)</f>
        <v>2.1689859381747962</v>
      </c>
      <c r="CB244">
        <v>60</v>
      </c>
      <c r="CC244">
        <v>5</v>
      </c>
      <c r="CD244">
        <v>0.13500000000000001</v>
      </c>
      <c r="CE244">
        <v>1.6799999999999999E-2</v>
      </c>
    </row>
    <row r="245" spans="4:83" hidden="1" x14ac:dyDescent="0.2">
      <c r="D245">
        <v>12</v>
      </c>
      <c r="G245" t="s">
        <v>43</v>
      </c>
      <c r="H245" t="s">
        <v>220</v>
      </c>
      <c r="J245">
        <v>2017</v>
      </c>
      <c r="M245" t="s">
        <v>221</v>
      </c>
      <c r="T245" t="s">
        <v>131</v>
      </c>
      <c r="U245" t="s">
        <v>152</v>
      </c>
      <c r="V245" t="s">
        <v>153</v>
      </c>
      <c r="Z245" t="s">
        <v>49</v>
      </c>
      <c r="AA245" t="s">
        <v>49</v>
      </c>
      <c r="AB245" t="s">
        <v>71</v>
      </c>
      <c r="AC245" t="s">
        <v>51</v>
      </c>
      <c r="AD245" t="s">
        <v>52</v>
      </c>
      <c r="AE245" t="s">
        <v>53</v>
      </c>
      <c r="AF245" t="s">
        <v>52</v>
      </c>
      <c r="AG245" t="s">
        <v>52</v>
      </c>
      <c r="AH245" t="s">
        <v>64</v>
      </c>
      <c r="AK245">
        <v>5</v>
      </c>
      <c r="AL245">
        <v>5</v>
      </c>
      <c r="AN245">
        <v>729</v>
      </c>
      <c r="AO245">
        <v>72</v>
      </c>
      <c r="AP245" t="s">
        <v>56</v>
      </c>
      <c r="AQ245" t="s">
        <v>109</v>
      </c>
      <c r="AR245">
        <v>7.86</v>
      </c>
      <c r="AS245">
        <v>0.04</v>
      </c>
      <c r="AT245" t="s">
        <v>56</v>
      </c>
      <c r="AU245">
        <v>1423</v>
      </c>
      <c r="AV245">
        <v>174</v>
      </c>
      <c r="AW245" t="s">
        <v>56</v>
      </c>
      <c r="AX245">
        <v>7.61</v>
      </c>
      <c r="AY245">
        <v>0.06</v>
      </c>
      <c r="AZ245" t="s">
        <v>56</v>
      </c>
      <c r="BB245">
        <f>LOG(AU245)</f>
        <v>3.1532049000842841</v>
      </c>
      <c r="BC245">
        <v>11.8</v>
      </c>
      <c r="BD245">
        <v>0.4</v>
      </c>
      <c r="BE245" t="s">
        <v>56</v>
      </c>
      <c r="BF245">
        <v>16</v>
      </c>
      <c r="BG245">
        <v>0.6</v>
      </c>
      <c r="BH245" t="s">
        <v>56</v>
      </c>
      <c r="BI245">
        <v>694</v>
      </c>
      <c r="BJ245">
        <v>4.2</v>
      </c>
      <c r="BK245" t="s">
        <v>56</v>
      </c>
      <c r="BL245" t="s">
        <v>154</v>
      </c>
      <c r="BM245" t="s">
        <v>154</v>
      </c>
      <c r="BN245" t="s">
        <v>81</v>
      </c>
      <c r="BO245" t="s">
        <v>121</v>
      </c>
      <c r="BP245" t="s">
        <v>127</v>
      </c>
      <c r="BR245" t="s">
        <v>122</v>
      </c>
      <c r="BT245">
        <v>10.3</v>
      </c>
      <c r="BU245">
        <v>10.302928</v>
      </c>
      <c r="BV245">
        <v>1.04</v>
      </c>
      <c r="BW245">
        <f>BV245*SQRT(AK245)</f>
        <v>2.3255106965997814</v>
      </c>
      <c r="BX245">
        <v>11.86</v>
      </c>
      <c r="BY245">
        <v>11.855009600000001</v>
      </c>
      <c r="BZ245">
        <v>1.1299999999999999</v>
      </c>
      <c r="CA245">
        <f>BZ245*SQRT(AL245)</f>
        <v>2.5267568145747621</v>
      </c>
      <c r="CB245">
        <v>60</v>
      </c>
      <c r="CC245">
        <v>5</v>
      </c>
      <c r="CD245">
        <v>0.14000000000000001</v>
      </c>
      <c r="CE245">
        <v>1.9300000000000001E-2</v>
      </c>
    </row>
    <row r="246" spans="4:83" hidden="1" x14ac:dyDescent="0.2">
      <c r="D246">
        <v>12</v>
      </c>
      <c r="G246" t="s">
        <v>43</v>
      </c>
      <c r="H246" t="s">
        <v>220</v>
      </c>
      <c r="J246">
        <v>2017</v>
      </c>
      <c r="M246" t="s">
        <v>221</v>
      </c>
      <c r="T246" t="s">
        <v>131</v>
      </c>
      <c r="U246" t="s">
        <v>152</v>
      </c>
      <c r="V246" t="s">
        <v>153</v>
      </c>
      <c r="Z246" t="s">
        <v>49</v>
      </c>
      <c r="AA246" t="s">
        <v>49</v>
      </c>
      <c r="AB246" t="s">
        <v>71</v>
      </c>
      <c r="AC246" t="s">
        <v>51</v>
      </c>
      <c r="AD246" t="s">
        <v>52</v>
      </c>
      <c r="AE246" t="s">
        <v>53</v>
      </c>
      <c r="AF246" t="s">
        <v>54</v>
      </c>
      <c r="AG246" t="s">
        <v>52</v>
      </c>
      <c r="AH246" t="s">
        <v>65</v>
      </c>
      <c r="AK246">
        <v>5</v>
      </c>
      <c r="AL246">
        <v>5</v>
      </c>
      <c r="AN246">
        <v>729</v>
      </c>
      <c r="AO246">
        <v>72</v>
      </c>
      <c r="AP246" t="s">
        <v>56</v>
      </c>
      <c r="AQ246" t="s">
        <v>109</v>
      </c>
      <c r="AR246">
        <v>7.86</v>
      </c>
      <c r="AS246">
        <v>0.04</v>
      </c>
      <c r="AT246" t="s">
        <v>56</v>
      </c>
      <c r="AU246">
        <v>822</v>
      </c>
      <c r="AV246">
        <v>332</v>
      </c>
      <c r="AW246" t="s">
        <v>56</v>
      </c>
      <c r="AX246">
        <v>7.85</v>
      </c>
      <c r="AY246">
        <v>0.05</v>
      </c>
      <c r="AZ246" t="s">
        <v>56</v>
      </c>
      <c r="BB246">
        <f>LOG(AU246)</f>
        <v>2.9148718175400505</v>
      </c>
      <c r="BC246">
        <v>11.8</v>
      </c>
      <c r="BD246">
        <v>0.4</v>
      </c>
      <c r="BE246" t="s">
        <v>56</v>
      </c>
      <c r="BF246">
        <v>16</v>
      </c>
      <c r="BG246">
        <v>0.4</v>
      </c>
      <c r="BH246" t="s">
        <v>56</v>
      </c>
      <c r="BI246">
        <v>93</v>
      </c>
      <c r="BJ246">
        <v>4.3</v>
      </c>
      <c r="BK246" t="s">
        <v>56</v>
      </c>
      <c r="BL246" t="s">
        <v>222</v>
      </c>
      <c r="BM246" t="s">
        <v>222</v>
      </c>
      <c r="BN246" t="s">
        <v>81</v>
      </c>
      <c r="BO246" t="s">
        <v>82</v>
      </c>
      <c r="BP246" t="s">
        <v>190</v>
      </c>
      <c r="BR246" t="s">
        <v>84</v>
      </c>
      <c r="BT246">
        <v>13.43</v>
      </c>
      <c r="BU246">
        <v>13.425926</v>
      </c>
      <c r="BV246">
        <v>1.52</v>
      </c>
      <c r="BW246">
        <f>BV246*SQRT(AK246)</f>
        <v>3.3988233257996807</v>
      </c>
      <c r="BX246">
        <v>15.46</v>
      </c>
      <c r="BY246">
        <v>15.462963</v>
      </c>
      <c r="BZ246">
        <v>0.93</v>
      </c>
      <c r="CA246">
        <f>BZ246*SQRT(AL246)</f>
        <v>2.0795432190748047</v>
      </c>
      <c r="CB246">
        <v>60</v>
      </c>
      <c r="CC246">
        <v>5</v>
      </c>
      <c r="CD246">
        <v>0.14099999999999999</v>
      </c>
      <c r="CE246">
        <v>1.6500000000000001E-2</v>
      </c>
    </row>
    <row r="247" spans="4:83" hidden="1" x14ac:dyDescent="0.2">
      <c r="D247">
        <v>12</v>
      </c>
      <c r="G247" t="s">
        <v>43</v>
      </c>
      <c r="H247" t="s">
        <v>220</v>
      </c>
      <c r="J247">
        <v>2017</v>
      </c>
      <c r="M247" t="s">
        <v>221</v>
      </c>
      <c r="T247" t="s">
        <v>131</v>
      </c>
      <c r="U247" t="s">
        <v>152</v>
      </c>
      <c r="V247" t="s">
        <v>153</v>
      </c>
      <c r="Z247" t="s">
        <v>49</v>
      </c>
      <c r="AA247" t="s">
        <v>49</v>
      </c>
      <c r="AB247" t="s">
        <v>71</v>
      </c>
      <c r="AC247" t="s">
        <v>51</v>
      </c>
      <c r="AD247" t="s">
        <v>52</v>
      </c>
      <c r="AE247" t="s">
        <v>53</v>
      </c>
      <c r="AF247" t="s">
        <v>52</v>
      </c>
      <c r="AG247" t="s">
        <v>52</v>
      </c>
      <c r="AH247" t="s">
        <v>64</v>
      </c>
      <c r="AK247">
        <v>5</v>
      </c>
      <c r="AL247">
        <v>5</v>
      </c>
      <c r="AN247">
        <v>729</v>
      </c>
      <c r="AO247">
        <v>72</v>
      </c>
      <c r="AP247" t="s">
        <v>56</v>
      </c>
      <c r="AQ247" t="s">
        <v>109</v>
      </c>
      <c r="AR247">
        <v>7.86</v>
      </c>
      <c r="AS247">
        <v>0.04</v>
      </c>
      <c r="AT247" t="s">
        <v>56</v>
      </c>
      <c r="AU247">
        <v>3010</v>
      </c>
      <c r="AV247">
        <v>1852</v>
      </c>
      <c r="AW247" t="s">
        <v>56</v>
      </c>
      <c r="AX247">
        <v>6.66</v>
      </c>
      <c r="AY247">
        <v>0.08</v>
      </c>
      <c r="AZ247" t="s">
        <v>56</v>
      </c>
      <c r="BB247">
        <f>LOG(AU247)</f>
        <v>3.4785664955938436</v>
      </c>
      <c r="BC247">
        <v>11.8</v>
      </c>
      <c r="BD247">
        <v>0.4</v>
      </c>
      <c r="BE247" t="s">
        <v>56</v>
      </c>
      <c r="BF247">
        <v>15.5</v>
      </c>
      <c r="BG247">
        <v>1.5</v>
      </c>
      <c r="BH247" t="s">
        <v>56</v>
      </c>
      <c r="BI247">
        <v>2281</v>
      </c>
      <c r="BJ247">
        <v>3.7</v>
      </c>
      <c r="BK247" t="s">
        <v>56</v>
      </c>
      <c r="BL247" t="s">
        <v>154</v>
      </c>
      <c r="BM247" t="s">
        <v>154</v>
      </c>
      <c r="BN247" t="s">
        <v>81</v>
      </c>
      <c r="BO247" t="s">
        <v>121</v>
      </c>
      <c r="BP247" t="s">
        <v>127</v>
      </c>
      <c r="BR247" t="s">
        <v>122</v>
      </c>
      <c r="BT247">
        <v>10.3</v>
      </c>
      <c r="BU247">
        <v>10.302928</v>
      </c>
      <c r="BV247">
        <v>1.04</v>
      </c>
      <c r="BW247">
        <f>BV247*SQRT(AK247)</f>
        <v>2.3255106965997814</v>
      </c>
      <c r="BX247">
        <v>11.91</v>
      </c>
      <c r="BY247">
        <v>11.912255399999999</v>
      </c>
      <c r="BZ247">
        <v>0.69</v>
      </c>
      <c r="CA247">
        <f>BZ247*SQRT(AL247)</f>
        <v>1.5428869044748548</v>
      </c>
      <c r="CB247">
        <v>60</v>
      </c>
      <c r="CC247">
        <v>5</v>
      </c>
      <c r="CD247">
        <v>0.14499999999999999</v>
      </c>
      <c r="CE247">
        <v>1.35E-2</v>
      </c>
    </row>
    <row r="248" spans="4:83" hidden="1" x14ac:dyDescent="0.2">
      <c r="D248">
        <v>12</v>
      </c>
      <c r="G248" t="s">
        <v>43</v>
      </c>
      <c r="H248" t="s">
        <v>220</v>
      </c>
      <c r="J248">
        <v>2017</v>
      </c>
      <c r="M248" t="s">
        <v>221</v>
      </c>
      <c r="T248" t="s">
        <v>131</v>
      </c>
      <c r="U248" t="s">
        <v>152</v>
      </c>
      <c r="V248" t="s">
        <v>153</v>
      </c>
      <c r="Z248" t="s">
        <v>49</v>
      </c>
      <c r="AA248" t="s">
        <v>49</v>
      </c>
      <c r="AB248" t="s">
        <v>71</v>
      </c>
      <c r="AC248" t="s">
        <v>51</v>
      </c>
      <c r="AD248" t="s">
        <v>52</v>
      </c>
      <c r="AE248" t="s">
        <v>53</v>
      </c>
      <c r="AF248" t="s">
        <v>54</v>
      </c>
      <c r="AG248" t="s">
        <v>52</v>
      </c>
      <c r="AH248" t="s">
        <v>65</v>
      </c>
      <c r="AK248">
        <v>5</v>
      </c>
      <c r="AL248">
        <v>5</v>
      </c>
      <c r="AN248">
        <v>729</v>
      </c>
      <c r="AO248">
        <v>72</v>
      </c>
      <c r="AP248" t="s">
        <v>56</v>
      </c>
      <c r="AQ248" t="s">
        <v>109</v>
      </c>
      <c r="AR248">
        <v>7.86</v>
      </c>
      <c r="AS248">
        <v>0.04</v>
      </c>
      <c r="AT248" t="s">
        <v>56</v>
      </c>
      <c r="AU248">
        <v>822</v>
      </c>
      <c r="AV248">
        <v>332</v>
      </c>
      <c r="AW248" t="s">
        <v>56</v>
      </c>
      <c r="AX248">
        <v>7.85</v>
      </c>
      <c r="AY248">
        <v>0.05</v>
      </c>
      <c r="AZ248" t="s">
        <v>56</v>
      </c>
      <c r="BB248">
        <f>LOG(AU248)</f>
        <v>2.9148718175400505</v>
      </c>
      <c r="BC248">
        <v>11.8</v>
      </c>
      <c r="BD248">
        <v>0.4</v>
      </c>
      <c r="BE248" t="s">
        <v>56</v>
      </c>
      <c r="BF248">
        <v>16</v>
      </c>
      <c r="BG248">
        <v>0.4</v>
      </c>
      <c r="BH248" t="s">
        <v>56</v>
      </c>
      <c r="BI248">
        <v>93</v>
      </c>
      <c r="BJ248">
        <v>4.3</v>
      </c>
      <c r="BK248" t="s">
        <v>56</v>
      </c>
      <c r="BL248" t="s">
        <v>154</v>
      </c>
      <c r="BM248" t="s">
        <v>154</v>
      </c>
      <c r="BN248" t="s">
        <v>81</v>
      </c>
      <c r="BO248" t="s">
        <v>121</v>
      </c>
      <c r="BP248" t="s">
        <v>127</v>
      </c>
      <c r="BR248" t="s">
        <v>122</v>
      </c>
      <c r="BT248">
        <v>10.3</v>
      </c>
      <c r="BU248">
        <v>10.302928</v>
      </c>
      <c r="BV248">
        <v>1.04</v>
      </c>
      <c r="BW248">
        <f>BV248*SQRT(AK248)</f>
        <v>2.3255106965997814</v>
      </c>
      <c r="BX248">
        <v>12.19</v>
      </c>
      <c r="BY248">
        <v>12.190628200000001</v>
      </c>
      <c r="BZ248">
        <v>0.67</v>
      </c>
      <c r="CA248">
        <f>BZ248*SQRT(AL248)</f>
        <v>1.4981655449248592</v>
      </c>
      <c r="CB248">
        <v>60</v>
      </c>
      <c r="CC248">
        <v>5</v>
      </c>
      <c r="CD248">
        <v>0.16800000000000001</v>
      </c>
      <c r="CE248">
        <v>1.32E-2</v>
      </c>
    </row>
    <row r="249" spans="4:83" hidden="1" x14ac:dyDescent="0.2">
      <c r="D249">
        <v>12</v>
      </c>
      <c r="G249" t="s">
        <v>43</v>
      </c>
      <c r="H249" t="s">
        <v>220</v>
      </c>
      <c r="J249">
        <v>2017</v>
      </c>
      <c r="M249" t="s">
        <v>221</v>
      </c>
      <c r="T249" t="s">
        <v>131</v>
      </c>
      <c r="U249" t="s">
        <v>152</v>
      </c>
      <c r="V249" t="s">
        <v>153</v>
      </c>
      <c r="Z249" t="s">
        <v>49</v>
      </c>
      <c r="AA249" t="s">
        <v>49</v>
      </c>
      <c r="AB249" t="s">
        <v>71</v>
      </c>
      <c r="AC249" t="s">
        <v>51</v>
      </c>
      <c r="AD249" t="s">
        <v>52</v>
      </c>
      <c r="AE249" t="s">
        <v>53</v>
      </c>
      <c r="AF249" t="s">
        <v>52</v>
      </c>
      <c r="AG249" t="s">
        <v>52</v>
      </c>
      <c r="AH249" t="s">
        <v>64</v>
      </c>
      <c r="AK249">
        <v>5</v>
      </c>
      <c r="AL249">
        <v>5</v>
      </c>
      <c r="AN249">
        <v>729</v>
      </c>
      <c r="AO249">
        <v>72</v>
      </c>
      <c r="AP249" t="s">
        <v>56</v>
      </c>
      <c r="AQ249" t="s">
        <v>109</v>
      </c>
      <c r="AR249">
        <v>7.86</v>
      </c>
      <c r="AS249">
        <v>0.04</v>
      </c>
      <c r="AT249" t="s">
        <v>56</v>
      </c>
      <c r="AU249">
        <v>2612</v>
      </c>
      <c r="AV249">
        <v>245</v>
      </c>
      <c r="AW249" t="s">
        <v>56</v>
      </c>
      <c r="AX249">
        <v>7.37</v>
      </c>
      <c r="AY249">
        <v>0.04</v>
      </c>
      <c r="AZ249" t="s">
        <v>56</v>
      </c>
      <c r="BB249">
        <f>LOG(AU249)</f>
        <v>3.4169731726030363</v>
      </c>
      <c r="BC249">
        <v>11.8</v>
      </c>
      <c r="BD249">
        <v>0.4</v>
      </c>
      <c r="BE249" t="s">
        <v>56</v>
      </c>
      <c r="BF249">
        <v>15.8</v>
      </c>
      <c r="BG249">
        <v>0.3</v>
      </c>
      <c r="BH249" t="s">
        <v>56</v>
      </c>
      <c r="BI249">
        <v>1882</v>
      </c>
      <c r="BJ249">
        <v>4</v>
      </c>
      <c r="BK249" t="s">
        <v>56</v>
      </c>
      <c r="BL249" t="s">
        <v>223</v>
      </c>
      <c r="BM249" t="s">
        <v>224</v>
      </c>
      <c r="BN249" t="s">
        <v>60</v>
      </c>
      <c r="BO249" t="s">
        <v>82</v>
      </c>
      <c r="BP249" t="s">
        <v>9</v>
      </c>
      <c r="BR249" t="s">
        <v>84</v>
      </c>
      <c r="BT249">
        <v>1.33</v>
      </c>
      <c r="BU249">
        <v>1.3272949999999999</v>
      </c>
      <c r="BV249">
        <v>0.13</v>
      </c>
      <c r="BW249">
        <f>BV249*SQRT(AK249)</f>
        <v>0.29068883707497267</v>
      </c>
      <c r="BX249">
        <v>1.63</v>
      </c>
      <c r="BY249">
        <v>1.6316425000000001</v>
      </c>
      <c r="BZ249">
        <v>0.13</v>
      </c>
      <c r="CA249">
        <f>BZ249*SQRT(AL249)</f>
        <v>0.29068883707497267</v>
      </c>
      <c r="CB249">
        <v>60</v>
      </c>
      <c r="CC249">
        <v>5</v>
      </c>
      <c r="CD249">
        <v>0.20599999999999999</v>
      </c>
      <c r="CE249">
        <v>1.5800000000000002E-2</v>
      </c>
    </row>
    <row r="250" spans="4:83" hidden="1" x14ac:dyDescent="0.2">
      <c r="D250">
        <v>12</v>
      </c>
      <c r="G250" t="s">
        <v>43</v>
      </c>
      <c r="H250" t="s">
        <v>220</v>
      </c>
      <c r="J250">
        <v>2017</v>
      </c>
      <c r="M250" t="s">
        <v>221</v>
      </c>
      <c r="T250" t="s">
        <v>131</v>
      </c>
      <c r="U250" t="s">
        <v>152</v>
      </c>
      <c r="V250" t="s">
        <v>153</v>
      </c>
      <c r="Z250" t="s">
        <v>49</v>
      </c>
      <c r="AA250" t="s">
        <v>49</v>
      </c>
      <c r="AB250" t="s">
        <v>71</v>
      </c>
      <c r="AC250" t="s">
        <v>51</v>
      </c>
      <c r="AD250" t="s">
        <v>52</v>
      </c>
      <c r="AE250" t="s">
        <v>53</v>
      </c>
      <c r="AF250" t="s">
        <v>52</v>
      </c>
      <c r="AG250" t="s">
        <v>54</v>
      </c>
      <c r="AH250" t="s">
        <v>55</v>
      </c>
      <c r="AK250">
        <v>5</v>
      </c>
      <c r="AL250">
        <v>5</v>
      </c>
      <c r="AN250">
        <v>729</v>
      </c>
      <c r="AO250">
        <v>72</v>
      </c>
      <c r="AP250" t="s">
        <v>56</v>
      </c>
      <c r="AQ250" t="s">
        <v>109</v>
      </c>
      <c r="AR250">
        <v>7.86</v>
      </c>
      <c r="AS250">
        <v>0.04</v>
      </c>
      <c r="AT250" t="s">
        <v>56</v>
      </c>
      <c r="AU250">
        <v>2269</v>
      </c>
      <c r="AV250">
        <v>1399</v>
      </c>
      <c r="AW250" t="s">
        <v>56</v>
      </c>
      <c r="AX250">
        <v>6.81</v>
      </c>
      <c r="AY250">
        <v>0.09</v>
      </c>
      <c r="AZ250" t="s">
        <v>56</v>
      </c>
      <c r="BB250">
        <f>LOG(AU250)</f>
        <v>3.355834495884936</v>
      </c>
      <c r="BC250">
        <v>11.8</v>
      </c>
      <c r="BD250">
        <v>0.4</v>
      </c>
      <c r="BE250" t="s">
        <v>56</v>
      </c>
      <c r="BF250">
        <v>11.5</v>
      </c>
      <c r="BG250">
        <v>0.4</v>
      </c>
      <c r="BH250" t="s">
        <v>56</v>
      </c>
      <c r="BI250">
        <v>1540</v>
      </c>
      <c r="BJ250">
        <v>-0.3</v>
      </c>
      <c r="BK250" t="s">
        <v>56</v>
      </c>
      <c r="BL250" t="s">
        <v>223</v>
      </c>
      <c r="BM250" t="s">
        <v>224</v>
      </c>
      <c r="BN250" t="s">
        <v>60</v>
      </c>
      <c r="BO250" t="s">
        <v>82</v>
      </c>
      <c r="BP250" t="s">
        <v>9</v>
      </c>
      <c r="BR250" t="s">
        <v>84</v>
      </c>
      <c r="BT250">
        <v>1.33</v>
      </c>
      <c r="BU250">
        <v>1.3272949999999999</v>
      </c>
      <c r="BV250">
        <v>0.13</v>
      </c>
      <c r="BW250">
        <f>BV250*SQRT(AK250)</f>
        <v>0.29068883707497267</v>
      </c>
      <c r="BX250">
        <v>1.68</v>
      </c>
      <c r="BY250">
        <v>1.6823671</v>
      </c>
      <c r="BZ250">
        <v>0.06</v>
      </c>
      <c r="CA250">
        <f>BZ250*SQRT(AL250)</f>
        <v>0.13416407864998739</v>
      </c>
      <c r="CB250">
        <v>60</v>
      </c>
      <c r="CC250">
        <v>5</v>
      </c>
      <c r="CD250">
        <v>0.23699999999999999</v>
      </c>
      <c r="CE250">
        <v>1.09E-2</v>
      </c>
    </row>
    <row r="251" spans="4:83" hidden="1" x14ac:dyDescent="0.2">
      <c r="D251">
        <v>12</v>
      </c>
      <c r="G251" t="s">
        <v>43</v>
      </c>
      <c r="H251" t="s">
        <v>220</v>
      </c>
      <c r="J251">
        <v>2017</v>
      </c>
      <c r="M251" t="s">
        <v>221</v>
      </c>
      <c r="T251" t="s">
        <v>131</v>
      </c>
      <c r="U251" t="s">
        <v>152</v>
      </c>
      <c r="V251" t="s">
        <v>153</v>
      </c>
      <c r="Z251" t="s">
        <v>49</v>
      </c>
      <c r="AA251" t="s">
        <v>49</v>
      </c>
      <c r="AB251" t="s">
        <v>71</v>
      </c>
      <c r="AC251" t="s">
        <v>51</v>
      </c>
      <c r="AD251" t="s">
        <v>52</v>
      </c>
      <c r="AE251" t="s">
        <v>53</v>
      </c>
      <c r="AF251" t="s">
        <v>52</v>
      </c>
      <c r="AG251" t="s">
        <v>54</v>
      </c>
      <c r="AH251" t="s">
        <v>55</v>
      </c>
      <c r="AK251">
        <v>5</v>
      </c>
      <c r="AL251">
        <v>5</v>
      </c>
      <c r="AN251">
        <v>729</v>
      </c>
      <c r="AO251">
        <v>72</v>
      </c>
      <c r="AP251" t="s">
        <v>56</v>
      </c>
      <c r="AQ251" t="s">
        <v>109</v>
      </c>
      <c r="AR251">
        <v>7.86</v>
      </c>
      <c r="AS251">
        <v>0.04</v>
      </c>
      <c r="AT251" t="s">
        <v>56</v>
      </c>
      <c r="AU251">
        <v>2729</v>
      </c>
      <c r="AV251">
        <v>223</v>
      </c>
      <c r="AW251" t="s">
        <v>56</v>
      </c>
      <c r="AX251">
        <v>7.35</v>
      </c>
      <c r="AY251">
        <v>0.03</v>
      </c>
      <c r="AZ251" t="s">
        <v>56</v>
      </c>
      <c r="BB251">
        <f>LOG(AU251)</f>
        <v>3.4360035356698964</v>
      </c>
      <c r="BC251">
        <v>11.8</v>
      </c>
      <c r="BD251">
        <v>0.4</v>
      </c>
      <c r="BE251" t="s">
        <v>56</v>
      </c>
      <c r="BF251">
        <v>11.7</v>
      </c>
      <c r="BG251">
        <v>0.4</v>
      </c>
      <c r="BH251" t="s">
        <v>56</v>
      </c>
      <c r="BI251">
        <v>2000</v>
      </c>
      <c r="BJ251">
        <v>-0.1</v>
      </c>
      <c r="BK251" t="s">
        <v>56</v>
      </c>
      <c r="BL251" t="s">
        <v>154</v>
      </c>
      <c r="BM251" t="s">
        <v>154</v>
      </c>
      <c r="BN251" t="s">
        <v>81</v>
      </c>
      <c r="BO251" t="s">
        <v>121</v>
      </c>
      <c r="BP251" t="s">
        <v>127</v>
      </c>
      <c r="BR251" t="s">
        <v>122</v>
      </c>
      <c r="BT251">
        <v>10.3</v>
      </c>
      <c r="BU251">
        <v>10.302928</v>
      </c>
      <c r="BV251">
        <v>1.04</v>
      </c>
      <c r="BW251">
        <f>BV251*SQRT(AK251)</f>
        <v>2.3255106965997814</v>
      </c>
      <c r="BX251">
        <v>13.32</v>
      </c>
      <c r="BY251">
        <v>13.317272300000001</v>
      </c>
      <c r="BZ251">
        <v>0.76</v>
      </c>
      <c r="CA251">
        <f>BZ251*SQRT(AL251)</f>
        <v>1.6994116628998404</v>
      </c>
      <c r="CB251">
        <v>60</v>
      </c>
      <c r="CC251">
        <v>5</v>
      </c>
      <c r="CD251">
        <v>0.25700000000000001</v>
      </c>
      <c r="CE251">
        <v>1.34E-2</v>
      </c>
    </row>
    <row r="252" spans="4:83" hidden="1" x14ac:dyDescent="0.2">
      <c r="D252">
        <v>12</v>
      </c>
      <c r="G252" t="s">
        <v>43</v>
      </c>
      <c r="H252" t="s">
        <v>220</v>
      </c>
      <c r="J252">
        <v>2017</v>
      </c>
      <c r="M252" t="s">
        <v>221</v>
      </c>
      <c r="T252" t="s">
        <v>131</v>
      </c>
      <c r="U252" t="s">
        <v>152</v>
      </c>
      <c r="V252" t="s">
        <v>153</v>
      </c>
      <c r="Z252" t="s">
        <v>49</v>
      </c>
      <c r="AA252" t="s">
        <v>49</v>
      </c>
      <c r="AB252" t="s">
        <v>71</v>
      </c>
      <c r="AC252" t="s">
        <v>51</v>
      </c>
      <c r="AD252" t="s">
        <v>52</v>
      </c>
      <c r="AE252" t="s">
        <v>53</v>
      </c>
      <c r="AF252" t="s">
        <v>52</v>
      </c>
      <c r="AG252" t="s">
        <v>52</v>
      </c>
      <c r="AH252" t="s">
        <v>64</v>
      </c>
      <c r="AK252">
        <v>5</v>
      </c>
      <c r="AL252">
        <v>5</v>
      </c>
      <c r="AN252">
        <v>729</v>
      </c>
      <c r="AO252">
        <v>72</v>
      </c>
      <c r="AP252" t="s">
        <v>56</v>
      </c>
      <c r="AQ252" t="s">
        <v>109</v>
      </c>
      <c r="AR252">
        <v>7.86</v>
      </c>
      <c r="AS252">
        <v>0.04</v>
      </c>
      <c r="AT252" t="s">
        <v>56</v>
      </c>
      <c r="AU252">
        <v>3010</v>
      </c>
      <c r="AV252">
        <v>1852</v>
      </c>
      <c r="AW252" t="s">
        <v>56</v>
      </c>
      <c r="AX252">
        <v>6.66</v>
      </c>
      <c r="AY252">
        <v>0.08</v>
      </c>
      <c r="AZ252" t="s">
        <v>56</v>
      </c>
      <c r="BB252">
        <f>LOG(AU252)</f>
        <v>3.4785664955938436</v>
      </c>
      <c r="BC252">
        <v>11.8</v>
      </c>
      <c r="BD252">
        <v>0.4</v>
      </c>
      <c r="BE252" t="s">
        <v>56</v>
      </c>
      <c r="BF252">
        <v>15.5</v>
      </c>
      <c r="BG252">
        <v>1.5</v>
      </c>
      <c r="BH252" t="s">
        <v>56</v>
      </c>
      <c r="BI252">
        <v>2281</v>
      </c>
      <c r="BJ252">
        <v>3.7</v>
      </c>
      <c r="BK252" t="s">
        <v>56</v>
      </c>
      <c r="BL252" t="s">
        <v>222</v>
      </c>
      <c r="BM252" t="s">
        <v>222</v>
      </c>
      <c r="BN252" t="s">
        <v>81</v>
      </c>
      <c r="BO252" t="s">
        <v>82</v>
      </c>
      <c r="BP252" t="s">
        <v>190</v>
      </c>
      <c r="BR252" t="s">
        <v>84</v>
      </c>
      <c r="BT252">
        <v>13.43</v>
      </c>
      <c r="BU252">
        <v>13.425926</v>
      </c>
      <c r="BV252">
        <v>1.52</v>
      </c>
      <c r="BW252">
        <f>BV252*SQRT(AK252)</f>
        <v>3.3988233257996807</v>
      </c>
      <c r="BX252">
        <v>17.690000000000001</v>
      </c>
      <c r="BY252">
        <v>17.685185199999999</v>
      </c>
      <c r="BZ252">
        <v>2.87</v>
      </c>
      <c r="CA252">
        <f>BZ252*SQRT(AL252)</f>
        <v>6.4175150954243971</v>
      </c>
      <c r="CB252">
        <v>60</v>
      </c>
      <c r="CC252">
        <v>5</v>
      </c>
      <c r="CD252">
        <v>0.27600000000000002</v>
      </c>
      <c r="CE252">
        <v>3.9199999999999999E-2</v>
      </c>
    </row>
    <row r="253" spans="4:83" hidden="1" x14ac:dyDescent="0.2">
      <c r="D253">
        <v>12</v>
      </c>
      <c r="G253" t="s">
        <v>43</v>
      </c>
      <c r="H253" t="s">
        <v>220</v>
      </c>
      <c r="J253">
        <v>2017</v>
      </c>
      <c r="M253" t="s">
        <v>221</v>
      </c>
      <c r="T253" t="s">
        <v>131</v>
      </c>
      <c r="U253" t="s">
        <v>152</v>
      </c>
      <c r="V253" t="s">
        <v>153</v>
      </c>
      <c r="Z253" t="s">
        <v>49</v>
      </c>
      <c r="AA253" t="s">
        <v>49</v>
      </c>
      <c r="AB253" t="s">
        <v>71</v>
      </c>
      <c r="AC253" t="s">
        <v>51</v>
      </c>
      <c r="AD253" t="s">
        <v>52</v>
      </c>
      <c r="AE253" t="s">
        <v>53</v>
      </c>
      <c r="AF253" t="s">
        <v>52</v>
      </c>
      <c r="AG253" t="s">
        <v>54</v>
      </c>
      <c r="AH253" t="s">
        <v>55</v>
      </c>
      <c r="AK253">
        <v>5</v>
      </c>
      <c r="AL253">
        <v>5</v>
      </c>
      <c r="AN253">
        <v>729</v>
      </c>
      <c r="AO253">
        <v>72</v>
      </c>
      <c r="AP253" t="s">
        <v>56</v>
      </c>
      <c r="AQ253" t="s">
        <v>109</v>
      </c>
      <c r="AR253">
        <v>7.86</v>
      </c>
      <c r="AS253">
        <v>0.04</v>
      </c>
      <c r="AT253" t="s">
        <v>56</v>
      </c>
      <c r="AU253">
        <v>2729</v>
      </c>
      <c r="AV253">
        <v>223</v>
      </c>
      <c r="AW253" t="s">
        <v>56</v>
      </c>
      <c r="AX253">
        <v>7.35</v>
      </c>
      <c r="AY253">
        <v>0.03</v>
      </c>
      <c r="AZ253" t="s">
        <v>56</v>
      </c>
      <c r="BB253">
        <f>LOG(AU253)</f>
        <v>3.4360035356698964</v>
      </c>
      <c r="BC253">
        <v>11.8</v>
      </c>
      <c r="BD253">
        <v>0.4</v>
      </c>
      <c r="BE253" t="s">
        <v>56</v>
      </c>
      <c r="BF253">
        <v>11.7</v>
      </c>
      <c r="BG253">
        <v>0.4</v>
      </c>
      <c r="BH253" t="s">
        <v>56</v>
      </c>
      <c r="BI253">
        <v>2000</v>
      </c>
      <c r="BJ253">
        <v>-0.1</v>
      </c>
      <c r="BK253" t="s">
        <v>56</v>
      </c>
      <c r="BL253" t="s">
        <v>223</v>
      </c>
      <c r="BM253" t="s">
        <v>224</v>
      </c>
      <c r="BN253" t="s">
        <v>60</v>
      </c>
      <c r="BO253" t="s">
        <v>82</v>
      </c>
      <c r="BP253" t="s">
        <v>9</v>
      </c>
      <c r="BR253" t="s">
        <v>84</v>
      </c>
      <c r="BT253">
        <v>1.33</v>
      </c>
      <c r="BU253">
        <v>1.3272949999999999</v>
      </c>
      <c r="BV253">
        <v>0.13</v>
      </c>
      <c r="BW253">
        <f>BV253*SQRT(AK253)</f>
        <v>0.29068883707497267</v>
      </c>
      <c r="BX253">
        <v>1.77</v>
      </c>
      <c r="BY253">
        <v>1.7669082</v>
      </c>
      <c r="BZ253">
        <v>0.33</v>
      </c>
      <c r="CA253">
        <f>BZ253*SQRT(AL253)</f>
        <v>0.73790243257493071</v>
      </c>
      <c r="CB253">
        <v>60</v>
      </c>
      <c r="CC253">
        <v>5</v>
      </c>
      <c r="CD253">
        <v>0.28599999999999998</v>
      </c>
      <c r="CE253">
        <v>4.4699999999999997E-2</v>
      </c>
    </row>
    <row r="254" spans="4:83" hidden="1" x14ac:dyDescent="0.2">
      <c r="D254">
        <v>12</v>
      </c>
      <c r="G254" t="s">
        <v>43</v>
      </c>
      <c r="H254" t="s">
        <v>220</v>
      </c>
      <c r="J254">
        <v>2017</v>
      </c>
      <c r="M254" t="s">
        <v>221</v>
      </c>
      <c r="T254" t="s">
        <v>131</v>
      </c>
      <c r="U254" t="s">
        <v>152</v>
      </c>
      <c r="V254" t="s">
        <v>153</v>
      </c>
      <c r="Z254" t="s">
        <v>49</v>
      </c>
      <c r="AA254" t="s">
        <v>49</v>
      </c>
      <c r="AB254" t="s">
        <v>71</v>
      </c>
      <c r="AC254" t="s">
        <v>108</v>
      </c>
      <c r="AD254" t="s">
        <v>52</v>
      </c>
      <c r="AE254" t="s">
        <v>53</v>
      </c>
      <c r="AF254" t="s">
        <v>52</v>
      </c>
      <c r="AG254" t="s">
        <v>52</v>
      </c>
      <c r="AH254" t="s">
        <v>64</v>
      </c>
      <c r="AK254">
        <v>5</v>
      </c>
      <c r="AL254">
        <v>5</v>
      </c>
      <c r="AN254">
        <v>729</v>
      </c>
      <c r="AO254">
        <v>72</v>
      </c>
      <c r="AP254" t="s">
        <v>56</v>
      </c>
      <c r="AQ254" t="s">
        <v>109</v>
      </c>
      <c r="AR254">
        <v>7.86</v>
      </c>
      <c r="AS254">
        <v>0.04</v>
      </c>
      <c r="AT254" t="s">
        <v>56</v>
      </c>
      <c r="AU254">
        <v>3010</v>
      </c>
      <c r="AV254">
        <v>1852</v>
      </c>
      <c r="AW254" t="s">
        <v>56</v>
      </c>
      <c r="AX254">
        <v>6.66</v>
      </c>
      <c r="AY254">
        <v>0.08</v>
      </c>
      <c r="AZ254" t="s">
        <v>56</v>
      </c>
      <c r="BB254">
        <f>LOG(AU254)</f>
        <v>3.4785664955938436</v>
      </c>
      <c r="BC254">
        <v>11.8</v>
      </c>
      <c r="BD254">
        <v>0.4</v>
      </c>
      <c r="BE254" t="s">
        <v>56</v>
      </c>
      <c r="BF254">
        <v>15.5</v>
      </c>
      <c r="BG254">
        <v>1.5</v>
      </c>
      <c r="BH254" t="s">
        <v>56</v>
      </c>
      <c r="BI254">
        <v>2281</v>
      </c>
      <c r="BJ254">
        <v>3.7</v>
      </c>
      <c r="BK254" t="s">
        <v>56</v>
      </c>
      <c r="BL254" t="s">
        <v>225</v>
      </c>
      <c r="BM254" t="s">
        <v>226</v>
      </c>
      <c r="BN254" t="s">
        <v>60</v>
      </c>
      <c r="BO254" t="s">
        <v>82</v>
      </c>
      <c r="BP254" t="s">
        <v>9</v>
      </c>
      <c r="BR254" t="s">
        <v>84</v>
      </c>
      <c r="BT254">
        <v>16.91</v>
      </c>
      <c r="BU254">
        <v>16.908992000000001</v>
      </c>
      <c r="BV254">
        <v>2.02</v>
      </c>
      <c r="BW254">
        <f>BV254*SQRT(AK254)</f>
        <v>4.5168573145495756</v>
      </c>
      <c r="BX254">
        <v>24.08</v>
      </c>
      <c r="BY254">
        <v>24.081518200000001</v>
      </c>
      <c r="BZ254">
        <v>2.52</v>
      </c>
      <c r="CA254">
        <f>BZ254*SQRT(AL254)</f>
        <v>5.6348913032994705</v>
      </c>
      <c r="CB254">
        <v>60</v>
      </c>
      <c r="CC254">
        <v>5</v>
      </c>
      <c r="CD254">
        <v>0.35399999999999998</v>
      </c>
      <c r="CE254">
        <v>2.52E-2</v>
      </c>
    </row>
    <row r="255" spans="4:83" hidden="1" x14ac:dyDescent="0.2">
      <c r="D255">
        <v>12</v>
      </c>
      <c r="G255" t="s">
        <v>43</v>
      </c>
      <c r="H255" t="s">
        <v>220</v>
      </c>
      <c r="J255">
        <v>2017</v>
      </c>
      <c r="M255" t="s">
        <v>221</v>
      </c>
      <c r="T255" t="s">
        <v>131</v>
      </c>
      <c r="U255" t="s">
        <v>152</v>
      </c>
      <c r="V255" t="s">
        <v>153</v>
      </c>
      <c r="Z255" t="s">
        <v>49</v>
      </c>
      <c r="AA255" t="s">
        <v>49</v>
      </c>
      <c r="AB255" t="s">
        <v>71</v>
      </c>
      <c r="AC255" t="s">
        <v>51</v>
      </c>
      <c r="AD255" t="s">
        <v>52</v>
      </c>
      <c r="AE255" t="s">
        <v>53</v>
      </c>
      <c r="AF255" t="s">
        <v>52</v>
      </c>
      <c r="AG255" t="s">
        <v>54</v>
      </c>
      <c r="AH255" t="s">
        <v>55</v>
      </c>
      <c r="AK255">
        <v>5</v>
      </c>
      <c r="AL255">
        <v>5</v>
      </c>
      <c r="AN255">
        <v>729</v>
      </c>
      <c r="AO255">
        <v>72</v>
      </c>
      <c r="AP255" t="s">
        <v>56</v>
      </c>
      <c r="AQ255" t="s">
        <v>109</v>
      </c>
      <c r="AR255">
        <v>7.86</v>
      </c>
      <c r="AS255">
        <v>0.04</v>
      </c>
      <c r="AT255" t="s">
        <v>56</v>
      </c>
      <c r="AU255">
        <v>2729</v>
      </c>
      <c r="AV255">
        <v>223</v>
      </c>
      <c r="AW255" t="s">
        <v>56</v>
      </c>
      <c r="AX255">
        <v>7.35</v>
      </c>
      <c r="AY255">
        <v>0.03</v>
      </c>
      <c r="AZ255" t="s">
        <v>56</v>
      </c>
      <c r="BB255">
        <f>LOG(AU255)</f>
        <v>3.4360035356698964</v>
      </c>
      <c r="BC255">
        <v>11.8</v>
      </c>
      <c r="BD255">
        <v>0.4</v>
      </c>
      <c r="BE255" t="s">
        <v>56</v>
      </c>
      <c r="BF255">
        <v>11.7</v>
      </c>
      <c r="BG255">
        <v>0.4</v>
      </c>
      <c r="BH255" t="s">
        <v>56</v>
      </c>
      <c r="BI255">
        <v>2000</v>
      </c>
      <c r="BJ255">
        <v>-0.1</v>
      </c>
      <c r="BK255" t="s">
        <v>56</v>
      </c>
      <c r="BL255" t="s">
        <v>222</v>
      </c>
      <c r="BM255" t="s">
        <v>222</v>
      </c>
      <c r="BN255" t="s">
        <v>81</v>
      </c>
      <c r="BO255" t="s">
        <v>82</v>
      </c>
      <c r="BP255" t="s">
        <v>190</v>
      </c>
      <c r="BR255" t="s">
        <v>84</v>
      </c>
      <c r="BT255">
        <v>13.43</v>
      </c>
      <c r="BU255">
        <v>13.425926</v>
      </c>
      <c r="BV255">
        <v>1.52</v>
      </c>
      <c r="BW255">
        <f>BV255*SQRT(AK255)</f>
        <v>3.3988233257996807</v>
      </c>
      <c r="BX255">
        <v>19.440000000000001</v>
      </c>
      <c r="BY255">
        <v>19.444444399999998</v>
      </c>
      <c r="BZ255">
        <v>1.84</v>
      </c>
      <c r="CA255">
        <f>BZ255*SQRT(AL255)</f>
        <v>4.1143650785996133</v>
      </c>
      <c r="CB255">
        <v>60</v>
      </c>
      <c r="CC255">
        <v>5</v>
      </c>
      <c r="CD255">
        <v>0.37</v>
      </c>
      <c r="CE255">
        <v>2.18E-2</v>
      </c>
    </row>
    <row r="256" spans="4:83" hidden="1" x14ac:dyDescent="0.2">
      <c r="D256">
        <v>12</v>
      </c>
      <c r="G256" t="s">
        <v>43</v>
      </c>
      <c r="H256" t="s">
        <v>220</v>
      </c>
      <c r="J256">
        <v>2017</v>
      </c>
      <c r="M256" t="s">
        <v>221</v>
      </c>
      <c r="T256" t="s">
        <v>131</v>
      </c>
      <c r="U256" t="s">
        <v>152</v>
      </c>
      <c r="V256" t="s">
        <v>153</v>
      </c>
      <c r="Z256" t="s">
        <v>49</v>
      </c>
      <c r="AA256" t="s">
        <v>49</v>
      </c>
      <c r="AB256" t="s">
        <v>71</v>
      </c>
      <c r="AC256" t="s">
        <v>51</v>
      </c>
      <c r="AD256" t="s">
        <v>52</v>
      </c>
      <c r="AE256" t="s">
        <v>53</v>
      </c>
      <c r="AF256" t="s">
        <v>54</v>
      </c>
      <c r="AG256" t="s">
        <v>52</v>
      </c>
      <c r="AH256" t="s">
        <v>65</v>
      </c>
      <c r="AK256">
        <v>5</v>
      </c>
      <c r="AL256">
        <v>5</v>
      </c>
      <c r="AN256">
        <v>729</v>
      </c>
      <c r="AO256">
        <v>72</v>
      </c>
      <c r="AP256" t="s">
        <v>56</v>
      </c>
      <c r="AQ256" t="s">
        <v>109</v>
      </c>
      <c r="AR256">
        <v>7.86</v>
      </c>
      <c r="AS256">
        <v>0.04</v>
      </c>
      <c r="AT256" t="s">
        <v>56</v>
      </c>
      <c r="AU256">
        <v>822</v>
      </c>
      <c r="AV256">
        <v>332</v>
      </c>
      <c r="AW256" t="s">
        <v>56</v>
      </c>
      <c r="AX256">
        <v>7.85</v>
      </c>
      <c r="AY256">
        <v>0.05</v>
      </c>
      <c r="AZ256" t="s">
        <v>56</v>
      </c>
      <c r="BB256">
        <f>LOG(AU256)</f>
        <v>2.9148718175400505</v>
      </c>
      <c r="BC256">
        <v>11.8</v>
      </c>
      <c r="BD256">
        <v>0.4</v>
      </c>
      <c r="BE256" t="s">
        <v>56</v>
      </c>
      <c r="BF256">
        <v>16</v>
      </c>
      <c r="BG256">
        <v>0.4</v>
      </c>
      <c r="BH256" t="s">
        <v>56</v>
      </c>
      <c r="BI256">
        <v>93</v>
      </c>
      <c r="BJ256">
        <v>4.3</v>
      </c>
      <c r="BK256" t="s">
        <v>56</v>
      </c>
      <c r="BL256" t="s">
        <v>223</v>
      </c>
      <c r="BM256" t="s">
        <v>224</v>
      </c>
      <c r="BN256" t="s">
        <v>60</v>
      </c>
      <c r="BO256" t="s">
        <v>82</v>
      </c>
      <c r="BP256" t="s">
        <v>9</v>
      </c>
      <c r="BR256" t="s">
        <v>84</v>
      </c>
      <c r="BT256">
        <v>1.33</v>
      </c>
      <c r="BU256">
        <v>1.3272949999999999</v>
      </c>
      <c r="BV256">
        <v>0.13</v>
      </c>
      <c r="BW256">
        <f>BV256*SQRT(AK256)</f>
        <v>0.29068883707497267</v>
      </c>
      <c r="BX256">
        <v>1.97</v>
      </c>
      <c r="BY256">
        <v>1.9698068</v>
      </c>
      <c r="BZ256">
        <v>0.22</v>
      </c>
      <c r="CA256">
        <f>BZ256*SQRT(AL256)</f>
        <v>0.49193495504995377</v>
      </c>
      <c r="CB256">
        <v>60</v>
      </c>
      <c r="CC256">
        <v>5</v>
      </c>
      <c r="CD256">
        <v>0.39500000000000002</v>
      </c>
      <c r="CE256">
        <v>2.1499999999999998E-2</v>
      </c>
    </row>
    <row r="257" spans="1:84" hidden="1" x14ac:dyDescent="0.2">
      <c r="D257">
        <v>12</v>
      </c>
      <c r="G257" t="s">
        <v>43</v>
      </c>
      <c r="H257" t="s">
        <v>220</v>
      </c>
      <c r="J257">
        <v>2017</v>
      </c>
      <c r="M257" t="s">
        <v>221</v>
      </c>
      <c r="T257" t="s">
        <v>131</v>
      </c>
      <c r="U257" t="s">
        <v>152</v>
      </c>
      <c r="V257" t="s">
        <v>153</v>
      </c>
      <c r="Z257" t="s">
        <v>49</v>
      </c>
      <c r="AA257" t="s">
        <v>49</v>
      </c>
      <c r="AB257" t="s">
        <v>71</v>
      </c>
      <c r="AC257" t="s">
        <v>108</v>
      </c>
      <c r="AD257" t="s">
        <v>52</v>
      </c>
      <c r="AE257" t="s">
        <v>53</v>
      </c>
      <c r="AF257" t="s">
        <v>52</v>
      </c>
      <c r="AG257" t="s">
        <v>54</v>
      </c>
      <c r="AH257" t="s">
        <v>55</v>
      </c>
      <c r="AK257">
        <v>5</v>
      </c>
      <c r="AL257">
        <v>5</v>
      </c>
      <c r="AN257">
        <v>729</v>
      </c>
      <c r="AO257">
        <v>72</v>
      </c>
      <c r="AP257" t="s">
        <v>56</v>
      </c>
      <c r="AQ257" t="s">
        <v>109</v>
      </c>
      <c r="AR257">
        <v>7.86</v>
      </c>
      <c r="AS257">
        <v>0.04</v>
      </c>
      <c r="AT257" t="s">
        <v>56</v>
      </c>
      <c r="AU257">
        <v>2729</v>
      </c>
      <c r="AV257">
        <v>223</v>
      </c>
      <c r="AW257" t="s">
        <v>56</v>
      </c>
      <c r="AX257">
        <v>7.35</v>
      </c>
      <c r="AY257">
        <v>0.03</v>
      </c>
      <c r="AZ257" t="s">
        <v>56</v>
      </c>
      <c r="BB257">
        <f>LOG(AU257)</f>
        <v>3.4360035356698964</v>
      </c>
      <c r="BC257">
        <v>11.8</v>
      </c>
      <c r="BD257">
        <v>0.4</v>
      </c>
      <c r="BE257" t="s">
        <v>56</v>
      </c>
      <c r="BF257">
        <v>11.7</v>
      </c>
      <c r="BG257">
        <v>0.4</v>
      </c>
      <c r="BH257" t="s">
        <v>56</v>
      </c>
      <c r="BI257">
        <v>2000</v>
      </c>
      <c r="BJ257">
        <v>-0.1</v>
      </c>
      <c r="BK257" t="s">
        <v>56</v>
      </c>
      <c r="BL257" t="s">
        <v>225</v>
      </c>
      <c r="BM257" t="s">
        <v>226</v>
      </c>
      <c r="BN257" t="s">
        <v>60</v>
      </c>
      <c r="BO257" t="s">
        <v>82</v>
      </c>
      <c r="BP257" t="s">
        <v>9</v>
      </c>
      <c r="BR257" t="s">
        <v>84</v>
      </c>
      <c r="BT257">
        <v>16.91</v>
      </c>
      <c r="BU257">
        <v>16.908992000000001</v>
      </c>
      <c r="BV257">
        <v>2.02</v>
      </c>
      <c r="BW257">
        <f>BV257*SQRT(AK257)</f>
        <v>4.5168573145495756</v>
      </c>
      <c r="BX257">
        <v>25.17</v>
      </c>
      <c r="BY257">
        <v>25.168721099999999</v>
      </c>
      <c r="BZ257">
        <v>1.63</v>
      </c>
      <c r="CA257">
        <f>BZ257*SQRT(AL257)</f>
        <v>3.644790803324657</v>
      </c>
      <c r="CB257">
        <v>60</v>
      </c>
      <c r="CC257">
        <v>5</v>
      </c>
      <c r="CD257">
        <v>0.39800000000000002</v>
      </c>
      <c r="CE257">
        <v>1.8499999999999999E-2</v>
      </c>
    </row>
    <row r="258" spans="1:84" hidden="1" x14ac:dyDescent="0.2">
      <c r="D258">
        <v>12</v>
      </c>
      <c r="G258" t="s">
        <v>43</v>
      </c>
      <c r="H258" t="s">
        <v>220</v>
      </c>
      <c r="J258">
        <v>2017</v>
      </c>
      <c r="M258" t="s">
        <v>221</v>
      </c>
      <c r="T258" t="s">
        <v>131</v>
      </c>
      <c r="U258" t="s">
        <v>152</v>
      </c>
      <c r="V258" t="s">
        <v>153</v>
      </c>
      <c r="Z258" t="s">
        <v>49</v>
      </c>
      <c r="AA258" t="s">
        <v>49</v>
      </c>
      <c r="AB258" t="s">
        <v>71</v>
      </c>
      <c r="AC258" t="s">
        <v>108</v>
      </c>
      <c r="AD258" t="s">
        <v>52</v>
      </c>
      <c r="AE258" t="s">
        <v>53</v>
      </c>
      <c r="AF258" t="s">
        <v>52</v>
      </c>
      <c r="AG258" t="s">
        <v>52</v>
      </c>
      <c r="AH258" t="s">
        <v>64</v>
      </c>
      <c r="AK258">
        <v>5</v>
      </c>
      <c r="AL258">
        <v>5</v>
      </c>
      <c r="AN258">
        <v>729</v>
      </c>
      <c r="AO258">
        <v>72</v>
      </c>
      <c r="AP258" t="s">
        <v>56</v>
      </c>
      <c r="AQ258" t="s">
        <v>109</v>
      </c>
      <c r="AR258">
        <v>7.86</v>
      </c>
      <c r="AS258">
        <v>0.04</v>
      </c>
      <c r="AT258" t="s">
        <v>56</v>
      </c>
      <c r="AU258">
        <v>1423</v>
      </c>
      <c r="AV258">
        <v>174</v>
      </c>
      <c r="AW258" t="s">
        <v>56</v>
      </c>
      <c r="AX258">
        <v>7.61</v>
      </c>
      <c r="AY258">
        <v>0.06</v>
      </c>
      <c r="AZ258" t="s">
        <v>56</v>
      </c>
      <c r="BB258">
        <f>LOG(AU258)</f>
        <v>3.1532049000842841</v>
      </c>
      <c r="BC258">
        <v>11.8</v>
      </c>
      <c r="BD258">
        <v>0.4</v>
      </c>
      <c r="BE258" t="s">
        <v>56</v>
      </c>
      <c r="BF258">
        <v>16</v>
      </c>
      <c r="BG258">
        <v>0.6</v>
      </c>
      <c r="BH258" t="s">
        <v>56</v>
      </c>
      <c r="BI258">
        <v>694</v>
      </c>
      <c r="BJ258">
        <v>4.2</v>
      </c>
      <c r="BK258" t="s">
        <v>56</v>
      </c>
      <c r="BL258" t="s">
        <v>225</v>
      </c>
      <c r="BM258" t="s">
        <v>226</v>
      </c>
      <c r="BN258" t="s">
        <v>60</v>
      </c>
      <c r="BO258" t="s">
        <v>82</v>
      </c>
      <c r="BP258" t="s">
        <v>9</v>
      </c>
      <c r="BR258" t="s">
        <v>84</v>
      </c>
      <c r="BT258">
        <v>16.91</v>
      </c>
      <c r="BU258">
        <v>16.908992000000001</v>
      </c>
      <c r="BV258">
        <v>2.02</v>
      </c>
      <c r="BW258">
        <f>BV258*SQRT(AK258)</f>
        <v>4.5168573145495756</v>
      </c>
      <c r="BX258">
        <v>29.23</v>
      </c>
      <c r="BY258">
        <v>29.231857900000001</v>
      </c>
      <c r="BZ258">
        <v>1.27</v>
      </c>
      <c r="CA258">
        <f>BZ258*SQRT(AL258)</f>
        <v>2.8398063314247333</v>
      </c>
      <c r="CB258">
        <v>60</v>
      </c>
      <c r="CC258">
        <v>5</v>
      </c>
      <c r="CD258">
        <v>0.54700000000000004</v>
      </c>
      <c r="CE258">
        <v>1.6199999999999999E-2</v>
      </c>
    </row>
    <row r="259" spans="1:84" hidden="1" x14ac:dyDescent="0.2">
      <c r="D259">
        <v>12</v>
      </c>
      <c r="G259" t="s">
        <v>43</v>
      </c>
      <c r="H259" t="s">
        <v>220</v>
      </c>
      <c r="J259">
        <v>2017</v>
      </c>
      <c r="M259" t="s">
        <v>221</v>
      </c>
      <c r="T259" t="s">
        <v>131</v>
      </c>
      <c r="U259" t="s">
        <v>152</v>
      </c>
      <c r="V259" t="s">
        <v>153</v>
      </c>
      <c r="Z259" t="s">
        <v>49</v>
      </c>
      <c r="AA259" t="s">
        <v>49</v>
      </c>
      <c r="AB259" t="s">
        <v>71</v>
      </c>
      <c r="AC259" t="s">
        <v>108</v>
      </c>
      <c r="AD259" t="s">
        <v>52</v>
      </c>
      <c r="AE259" t="s">
        <v>53</v>
      </c>
      <c r="AF259" t="s">
        <v>52</v>
      </c>
      <c r="AG259" t="s">
        <v>52</v>
      </c>
      <c r="AH259" t="s">
        <v>64</v>
      </c>
      <c r="AK259">
        <v>5</v>
      </c>
      <c r="AL259">
        <v>5</v>
      </c>
      <c r="AN259">
        <v>729</v>
      </c>
      <c r="AO259">
        <v>72</v>
      </c>
      <c r="AP259" t="s">
        <v>56</v>
      </c>
      <c r="AQ259" t="s">
        <v>109</v>
      </c>
      <c r="AR259">
        <v>7.86</v>
      </c>
      <c r="AS259">
        <v>0.04</v>
      </c>
      <c r="AT259" t="s">
        <v>56</v>
      </c>
      <c r="AU259">
        <v>2612</v>
      </c>
      <c r="AV259">
        <v>245</v>
      </c>
      <c r="AW259" t="s">
        <v>56</v>
      </c>
      <c r="AX259">
        <v>7.37</v>
      </c>
      <c r="AY259">
        <v>0.04</v>
      </c>
      <c r="AZ259" t="s">
        <v>56</v>
      </c>
      <c r="BB259">
        <f>LOG(AU259)</f>
        <v>3.4169731726030363</v>
      </c>
      <c r="BC259">
        <v>11.8</v>
      </c>
      <c r="BD259">
        <v>0.4</v>
      </c>
      <c r="BE259" t="s">
        <v>56</v>
      </c>
      <c r="BF259">
        <v>15.8</v>
      </c>
      <c r="BG259">
        <v>0.3</v>
      </c>
      <c r="BH259" t="s">
        <v>56</v>
      </c>
      <c r="BI259">
        <v>1882</v>
      </c>
      <c r="BJ259">
        <v>4</v>
      </c>
      <c r="BK259" t="s">
        <v>56</v>
      </c>
      <c r="BL259" t="s">
        <v>225</v>
      </c>
      <c r="BM259" t="s">
        <v>226</v>
      </c>
      <c r="BN259" t="s">
        <v>60</v>
      </c>
      <c r="BO259" t="s">
        <v>82</v>
      </c>
      <c r="BP259" t="s">
        <v>9</v>
      </c>
      <c r="BR259" t="s">
        <v>84</v>
      </c>
      <c r="BT259">
        <v>16.91</v>
      </c>
      <c r="BU259">
        <v>16.908992000000001</v>
      </c>
      <c r="BV259">
        <v>2.02</v>
      </c>
      <c r="BW259">
        <f>BV259*SQRT(AK259)</f>
        <v>4.5168573145495756</v>
      </c>
      <c r="BX259">
        <v>29.5</v>
      </c>
      <c r="BY259">
        <v>29.497184099999998</v>
      </c>
      <c r="BZ259">
        <v>0.91</v>
      </c>
      <c r="CA259">
        <f>BZ259*SQRT(AL259)</f>
        <v>2.0348218595248087</v>
      </c>
      <c r="CB259">
        <v>60</v>
      </c>
      <c r="CC259">
        <v>5</v>
      </c>
      <c r="CD259">
        <v>0.55600000000000005</v>
      </c>
      <c r="CE259">
        <v>1.5299999999999999E-2</v>
      </c>
    </row>
    <row r="260" spans="1:84" hidden="1" x14ac:dyDescent="0.2">
      <c r="D260">
        <v>12</v>
      </c>
      <c r="G260" t="s">
        <v>43</v>
      </c>
      <c r="H260" t="s">
        <v>220</v>
      </c>
      <c r="J260">
        <v>2017</v>
      </c>
      <c r="M260" t="s">
        <v>221</v>
      </c>
      <c r="T260" t="s">
        <v>131</v>
      </c>
      <c r="U260" t="s">
        <v>152</v>
      </c>
      <c r="V260" t="s">
        <v>153</v>
      </c>
      <c r="Z260" t="s">
        <v>49</v>
      </c>
      <c r="AA260" t="s">
        <v>49</v>
      </c>
      <c r="AB260" t="s">
        <v>71</v>
      </c>
      <c r="AC260" t="s">
        <v>108</v>
      </c>
      <c r="AD260" t="s">
        <v>52</v>
      </c>
      <c r="AE260" t="s">
        <v>53</v>
      </c>
      <c r="AF260" t="s">
        <v>54</v>
      </c>
      <c r="AG260" t="s">
        <v>52</v>
      </c>
      <c r="AH260" t="s">
        <v>65</v>
      </c>
      <c r="AK260">
        <v>5</v>
      </c>
      <c r="AL260">
        <v>5</v>
      </c>
      <c r="AN260">
        <v>729</v>
      </c>
      <c r="AO260">
        <v>72</v>
      </c>
      <c r="AP260" t="s">
        <v>56</v>
      </c>
      <c r="AQ260" t="s">
        <v>109</v>
      </c>
      <c r="AR260">
        <v>7.86</v>
      </c>
      <c r="AS260">
        <v>0.04</v>
      </c>
      <c r="AT260" t="s">
        <v>56</v>
      </c>
      <c r="AU260">
        <v>822</v>
      </c>
      <c r="AV260">
        <v>332</v>
      </c>
      <c r="AW260" t="s">
        <v>56</v>
      </c>
      <c r="AX260">
        <v>7.85</v>
      </c>
      <c r="AY260">
        <v>0.05</v>
      </c>
      <c r="AZ260" t="s">
        <v>56</v>
      </c>
      <c r="BB260">
        <f>LOG(AU260)</f>
        <v>2.9148718175400505</v>
      </c>
      <c r="BC260">
        <v>11.8</v>
      </c>
      <c r="BD260">
        <v>0.4</v>
      </c>
      <c r="BE260" t="s">
        <v>56</v>
      </c>
      <c r="BF260">
        <v>16</v>
      </c>
      <c r="BG260">
        <v>0.4</v>
      </c>
      <c r="BH260" t="s">
        <v>56</v>
      </c>
      <c r="BI260">
        <v>93</v>
      </c>
      <c r="BJ260">
        <v>4.3</v>
      </c>
      <c r="BK260" t="s">
        <v>56</v>
      </c>
      <c r="BL260" t="s">
        <v>225</v>
      </c>
      <c r="BM260" t="s">
        <v>226</v>
      </c>
      <c r="BN260" t="s">
        <v>60</v>
      </c>
      <c r="BO260" t="s">
        <v>82</v>
      </c>
      <c r="BP260" t="s">
        <v>9</v>
      </c>
      <c r="BR260" t="s">
        <v>84</v>
      </c>
      <c r="BT260">
        <v>16.91</v>
      </c>
      <c r="BU260">
        <v>16.908992000000001</v>
      </c>
      <c r="BV260">
        <v>2.02</v>
      </c>
      <c r="BW260">
        <f>BV260*SQRT(AK260)</f>
        <v>4.5168573145495756</v>
      </c>
      <c r="BX260">
        <v>31.12</v>
      </c>
      <c r="BY260">
        <v>31.124552900000001</v>
      </c>
      <c r="BZ260">
        <v>0.26</v>
      </c>
      <c r="CA260">
        <f>BZ260*SQRT(AL260)</f>
        <v>0.58137767414994534</v>
      </c>
      <c r="CB260">
        <v>60</v>
      </c>
      <c r="CC260">
        <v>5</v>
      </c>
      <c r="CD260">
        <v>0.61</v>
      </c>
      <c r="CE260">
        <v>1.44E-2</v>
      </c>
    </row>
    <row r="261" spans="1:84" hidden="1" x14ac:dyDescent="0.2">
      <c r="D261">
        <v>12</v>
      </c>
      <c r="G261" t="s">
        <v>43</v>
      </c>
      <c r="H261" t="s">
        <v>220</v>
      </c>
      <c r="J261">
        <v>2017</v>
      </c>
      <c r="M261" t="s">
        <v>221</v>
      </c>
      <c r="T261" t="s">
        <v>131</v>
      </c>
      <c r="U261" t="s">
        <v>152</v>
      </c>
      <c r="V261" t="s">
        <v>153</v>
      </c>
      <c r="Z261" t="s">
        <v>49</v>
      </c>
      <c r="AA261" t="s">
        <v>49</v>
      </c>
      <c r="AB261" t="s">
        <v>71</v>
      </c>
      <c r="AC261" t="s">
        <v>108</v>
      </c>
      <c r="AD261" t="s">
        <v>52</v>
      </c>
      <c r="AE261" t="s">
        <v>53</v>
      </c>
      <c r="AF261" t="s">
        <v>52</v>
      </c>
      <c r="AG261" t="s">
        <v>54</v>
      </c>
      <c r="AH261" t="s">
        <v>55</v>
      </c>
      <c r="AK261">
        <v>5</v>
      </c>
      <c r="AL261">
        <v>5</v>
      </c>
      <c r="AN261">
        <v>729</v>
      </c>
      <c r="AO261">
        <v>72</v>
      </c>
      <c r="AP261" t="s">
        <v>56</v>
      </c>
      <c r="AQ261" t="s">
        <v>109</v>
      </c>
      <c r="AR261">
        <v>7.86</v>
      </c>
      <c r="AS261">
        <v>0.04</v>
      </c>
      <c r="AT261" t="s">
        <v>56</v>
      </c>
      <c r="AU261">
        <v>1296</v>
      </c>
      <c r="AV261">
        <v>109</v>
      </c>
      <c r="AW261" t="s">
        <v>56</v>
      </c>
      <c r="AX261">
        <v>7.66</v>
      </c>
      <c r="AY261">
        <v>0.03</v>
      </c>
      <c r="AZ261" t="s">
        <v>56</v>
      </c>
      <c r="BB261">
        <f>LOG(AU261)</f>
        <v>3.1126050015345745</v>
      </c>
      <c r="BC261">
        <v>11.8</v>
      </c>
      <c r="BD261">
        <v>0.4</v>
      </c>
      <c r="BE261" t="s">
        <v>56</v>
      </c>
      <c r="BF261">
        <v>11.9</v>
      </c>
      <c r="BG261">
        <v>0.4</v>
      </c>
      <c r="BH261" t="s">
        <v>56</v>
      </c>
      <c r="BI261">
        <v>566</v>
      </c>
      <c r="BJ261">
        <v>0.2</v>
      </c>
      <c r="BK261" t="s">
        <v>56</v>
      </c>
      <c r="BL261" t="s">
        <v>225</v>
      </c>
      <c r="BM261" t="s">
        <v>226</v>
      </c>
      <c r="BN261" t="s">
        <v>60</v>
      </c>
      <c r="BO261" t="s">
        <v>82</v>
      </c>
      <c r="BP261" t="s">
        <v>9</v>
      </c>
      <c r="BR261" t="s">
        <v>84</v>
      </c>
      <c r="BT261">
        <v>16.91</v>
      </c>
      <c r="BU261">
        <v>16.908992000000001</v>
      </c>
      <c r="BV261">
        <v>2.02</v>
      </c>
      <c r="BW261">
        <f>BV261*SQRT(AK261)</f>
        <v>4.5168573145495756</v>
      </c>
      <c r="BX261">
        <v>32.06</v>
      </c>
      <c r="BY261">
        <v>32.0621796</v>
      </c>
      <c r="BZ261">
        <v>1.53</v>
      </c>
      <c r="CA261">
        <f>BZ261*SQRT(AL261)</f>
        <v>3.4211840055746783</v>
      </c>
      <c r="CB261">
        <v>60</v>
      </c>
      <c r="CC261">
        <v>5</v>
      </c>
      <c r="CD261">
        <v>0.64</v>
      </c>
      <c r="CE261">
        <v>1.66E-2</v>
      </c>
    </row>
    <row r="262" spans="1:84" hidden="1" x14ac:dyDescent="0.2">
      <c r="D262">
        <v>12</v>
      </c>
      <c r="G262" t="s">
        <v>43</v>
      </c>
      <c r="H262" t="s">
        <v>220</v>
      </c>
      <c r="J262">
        <v>2017</v>
      </c>
      <c r="M262" t="s">
        <v>221</v>
      </c>
      <c r="T262" t="s">
        <v>131</v>
      </c>
      <c r="U262" t="s">
        <v>152</v>
      </c>
      <c r="V262" t="s">
        <v>153</v>
      </c>
      <c r="Z262" t="s">
        <v>49</v>
      </c>
      <c r="AA262" t="s">
        <v>49</v>
      </c>
      <c r="AB262" t="s">
        <v>71</v>
      </c>
      <c r="AC262" t="s">
        <v>51</v>
      </c>
      <c r="AD262" t="s">
        <v>52</v>
      </c>
      <c r="AE262" t="s">
        <v>53</v>
      </c>
      <c r="AF262" t="s">
        <v>52</v>
      </c>
      <c r="AG262" t="s">
        <v>54</v>
      </c>
      <c r="AH262" t="s">
        <v>55</v>
      </c>
      <c r="AK262">
        <v>5</v>
      </c>
      <c r="AL262">
        <v>5</v>
      </c>
      <c r="AN262">
        <v>729</v>
      </c>
      <c r="AO262">
        <v>72</v>
      </c>
      <c r="AP262" t="s">
        <v>56</v>
      </c>
      <c r="AQ262" t="s">
        <v>109</v>
      </c>
      <c r="AR262">
        <v>7.86</v>
      </c>
      <c r="AS262">
        <v>0.04</v>
      </c>
      <c r="AT262" t="s">
        <v>56</v>
      </c>
      <c r="AU262">
        <v>2269</v>
      </c>
      <c r="AV262">
        <v>1399</v>
      </c>
      <c r="AW262" t="s">
        <v>56</v>
      </c>
      <c r="AX262">
        <v>6.81</v>
      </c>
      <c r="AY262">
        <v>0.09</v>
      </c>
      <c r="AZ262" t="s">
        <v>56</v>
      </c>
      <c r="BB262">
        <f>LOG(AU262)</f>
        <v>3.355834495884936</v>
      </c>
      <c r="BC262">
        <v>11.8</v>
      </c>
      <c r="BD262">
        <v>0.4</v>
      </c>
      <c r="BE262" t="s">
        <v>56</v>
      </c>
      <c r="BF262">
        <v>11.5</v>
      </c>
      <c r="BG262">
        <v>0.4</v>
      </c>
      <c r="BH262" t="s">
        <v>56</v>
      </c>
      <c r="BI262">
        <v>1540</v>
      </c>
      <c r="BJ262">
        <v>-0.3</v>
      </c>
      <c r="BK262" t="s">
        <v>56</v>
      </c>
      <c r="BL262" t="s">
        <v>222</v>
      </c>
      <c r="BM262" t="s">
        <v>222</v>
      </c>
      <c r="BN262" t="s">
        <v>81</v>
      </c>
      <c r="BO262" t="s">
        <v>82</v>
      </c>
      <c r="BP262" t="s">
        <v>190</v>
      </c>
      <c r="BR262" t="s">
        <v>84</v>
      </c>
      <c r="BT262">
        <v>13.43</v>
      </c>
      <c r="BU262">
        <v>13.425926</v>
      </c>
      <c r="BV262">
        <v>1.52</v>
      </c>
      <c r="BW262">
        <f>BV262*SQRT(AK262)</f>
        <v>3.3988233257996807</v>
      </c>
      <c r="BX262">
        <v>25.65</v>
      </c>
      <c r="BY262">
        <v>25.6481481</v>
      </c>
      <c r="BZ262">
        <v>1.99</v>
      </c>
      <c r="CA262">
        <f>BZ262*SQRT(AL262)</f>
        <v>4.4497752752245816</v>
      </c>
      <c r="CB262">
        <v>60</v>
      </c>
      <c r="CC262">
        <v>5</v>
      </c>
      <c r="CD262">
        <v>0.64700000000000002</v>
      </c>
      <c r="CE262">
        <v>1.8800000000000001E-2</v>
      </c>
    </row>
    <row r="263" spans="1:84" hidden="1" x14ac:dyDescent="0.2">
      <c r="D263">
        <v>13</v>
      </c>
      <c r="G263" t="s">
        <v>43</v>
      </c>
      <c r="H263" t="s">
        <v>227</v>
      </c>
      <c r="J263">
        <v>2016</v>
      </c>
      <c r="M263" t="s">
        <v>200</v>
      </c>
      <c r="T263" t="s">
        <v>103</v>
      </c>
      <c r="U263" t="s">
        <v>228</v>
      </c>
      <c r="V263" t="s">
        <v>229</v>
      </c>
      <c r="Z263" t="s">
        <v>106</v>
      </c>
      <c r="AA263" t="s">
        <v>107</v>
      </c>
      <c r="AB263" t="s">
        <v>50</v>
      </c>
      <c r="AC263" t="s">
        <v>51</v>
      </c>
      <c r="AD263" t="s">
        <v>52</v>
      </c>
      <c r="AE263" t="s">
        <v>53</v>
      </c>
      <c r="AF263" t="s">
        <v>52</v>
      </c>
      <c r="AG263" t="s">
        <v>52</v>
      </c>
      <c r="AH263" t="s">
        <v>64</v>
      </c>
      <c r="AK263">
        <v>4</v>
      </c>
      <c r="AL263">
        <v>4</v>
      </c>
      <c r="AN263">
        <v>395</v>
      </c>
      <c r="AO263">
        <v>45</v>
      </c>
      <c r="AP263" t="s">
        <v>56</v>
      </c>
      <c r="AQ263" t="s">
        <v>109</v>
      </c>
      <c r="AR263">
        <v>8.0399999999999991</v>
      </c>
      <c r="AS263">
        <v>0.01</v>
      </c>
      <c r="AT263" t="s">
        <v>56</v>
      </c>
      <c r="AU263">
        <v>1076</v>
      </c>
      <c r="AV263">
        <v>20</v>
      </c>
      <c r="AW263" t="s">
        <v>56</v>
      </c>
      <c r="AX263">
        <v>7.68</v>
      </c>
      <c r="AY263">
        <v>0.01</v>
      </c>
      <c r="AZ263" t="s">
        <v>56</v>
      </c>
      <c r="BB263">
        <f>LOG(AU263)</f>
        <v>3.0318122713303706</v>
      </c>
      <c r="BC263">
        <v>27.5</v>
      </c>
      <c r="BD263">
        <v>0.1</v>
      </c>
      <c r="BE263" t="s">
        <v>56</v>
      </c>
      <c r="BF263">
        <v>30.2</v>
      </c>
      <c r="BG263">
        <v>0.4</v>
      </c>
      <c r="BH263" t="s">
        <v>56</v>
      </c>
      <c r="BI263">
        <v>681</v>
      </c>
      <c r="BJ263">
        <v>2.7</v>
      </c>
      <c r="BK263" t="s">
        <v>230</v>
      </c>
      <c r="BL263" t="s">
        <v>231</v>
      </c>
      <c r="BM263" t="s">
        <v>232</v>
      </c>
      <c r="BN263" t="s">
        <v>81</v>
      </c>
      <c r="BO263" t="s">
        <v>233</v>
      </c>
      <c r="BP263" t="s">
        <v>234</v>
      </c>
      <c r="BR263" t="s">
        <v>63</v>
      </c>
      <c r="BT263">
        <v>2.57</v>
      </c>
      <c r="BU263">
        <v>2.57</v>
      </c>
      <c r="BV263">
        <v>0.27</v>
      </c>
      <c r="BW263">
        <f>BV263*SQRT(AK263)</f>
        <v>0.54</v>
      </c>
      <c r="BX263">
        <v>1.64</v>
      </c>
      <c r="BY263">
        <v>1.64</v>
      </c>
      <c r="BZ263">
        <v>0.08</v>
      </c>
      <c r="CA263">
        <f>BZ263*SQRT(AL263)</f>
        <v>0.16</v>
      </c>
      <c r="CB263">
        <v>21</v>
      </c>
      <c r="CC263">
        <v>2</v>
      </c>
      <c r="CD263">
        <v>-0.44900000000000001</v>
      </c>
      <c r="CE263">
        <v>1.29E-2</v>
      </c>
    </row>
    <row r="264" spans="1:84" hidden="1" x14ac:dyDescent="0.2">
      <c r="D264">
        <v>13</v>
      </c>
      <c r="G264" t="s">
        <v>43</v>
      </c>
      <c r="H264" t="s">
        <v>227</v>
      </c>
      <c r="J264">
        <v>2016</v>
      </c>
      <c r="M264" t="s">
        <v>200</v>
      </c>
      <c r="T264" t="s">
        <v>103</v>
      </c>
      <c r="U264" t="s">
        <v>228</v>
      </c>
      <c r="V264" t="s">
        <v>229</v>
      </c>
      <c r="Z264" t="s">
        <v>106</v>
      </c>
      <c r="AA264" t="s">
        <v>107</v>
      </c>
      <c r="AB264" t="s">
        <v>50</v>
      </c>
      <c r="AC264" t="s">
        <v>51</v>
      </c>
      <c r="AD264" t="s">
        <v>52</v>
      </c>
      <c r="AE264" t="s">
        <v>53</v>
      </c>
      <c r="AF264" t="s">
        <v>52</v>
      </c>
      <c r="AG264" t="s">
        <v>54</v>
      </c>
      <c r="AH264" t="s">
        <v>55</v>
      </c>
      <c r="AK264">
        <v>4</v>
      </c>
      <c r="AL264">
        <v>4</v>
      </c>
      <c r="AN264">
        <v>395</v>
      </c>
      <c r="AO264">
        <v>45</v>
      </c>
      <c r="AP264" t="s">
        <v>56</v>
      </c>
      <c r="AQ264" t="s">
        <v>109</v>
      </c>
      <c r="AR264">
        <v>8.0399999999999991</v>
      </c>
      <c r="AS264">
        <v>0.01</v>
      </c>
      <c r="AT264" t="s">
        <v>56</v>
      </c>
      <c r="AU264">
        <v>1000</v>
      </c>
      <c r="AV264">
        <v>21</v>
      </c>
      <c r="AW264" t="s">
        <v>56</v>
      </c>
      <c r="AX264">
        <v>7.7</v>
      </c>
      <c r="AY264">
        <v>0.01</v>
      </c>
      <c r="AZ264" t="s">
        <v>56</v>
      </c>
      <c r="BB264">
        <f>LOG(AU264)</f>
        <v>3</v>
      </c>
      <c r="BC264">
        <v>27.5</v>
      </c>
      <c r="BD264">
        <v>0.1</v>
      </c>
      <c r="BE264" t="s">
        <v>56</v>
      </c>
      <c r="BF264">
        <v>27.2</v>
      </c>
      <c r="BG264">
        <v>0.5</v>
      </c>
      <c r="BH264" t="s">
        <v>56</v>
      </c>
      <c r="BI264">
        <v>605</v>
      </c>
      <c r="BJ264">
        <v>-0.3</v>
      </c>
      <c r="BK264" t="s">
        <v>230</v>
      </c>
      <c r="BL264" t="s">
        <v>231</v>
      </c>
      <c r="BM264" t="s">
        <v>232</v>
      </c>
      <c r="BN264" t="s">
        <v>81</v>
      </c>
      <c r="BO264" t="s">
        <v>233</v>
      </c>
      <c r="BP264" t="s">
        <v>234</v>
      </c>
      <c r="BR264" t="s">
        <v>63</v>
      </c>
      <c r="BT264">
        <v>2.57</v>
      </c>
      <c r="BU264">
        <v>2.57</v>
      </c>
      <c r="BV264">
        <v>0.27</v>
      </c>
      <c r="BW264">
        <f>BV264*SQRT(AK264)</f>
        <v>0.54</v>
      </c>
      <c r="BX264">
        <v>2.0099999999999998</v>
      </c>
      <c r="BY264">
        <v>2.0099999999999998</v>
      </c>
      <c r="BZ264">
        <v>0.31</v>
      </c>
      <c r="CA264">
        <f>BZ264*SQRT(AL264)</f>
        <v>0.62</v>
      </c>
      <c r="CB264">
        <v>21</v>
      </c>
      <c r="CC264">
        <v>2</v>
      </c>
      <c r="CD264">
        <v>-0.246</v>
      </c>
      <c r="CE264">
        <v>3.4200000000000001E-2</v>
      </c>
    </row>
    <row r="265" spans="1:84" hidden="1" x14ac:dyDescent="0.2">
      <c r="D265">
        <v>13</v>
      </c>
      <c r="G265" t="s">
        <v>43</v>
      </c>
      <c r="H265" t="s">
        <v>227</v>
      </c>
      <c r="J265">
        <v>2016</v>
      </c>
      <c r="M265" t="s">
        <v>200</v>
      </c>
      <c r="T265" t="s">
        <v>103</v>
      </c>
      <c r="U265" t="s">
        <v>228</v>
      </c>
      <c r="V265" t="s">
        <v>229</v>
      </c>
      <c r="Z265" t="s">
        <v>106</v>
      </c>
      <c r="AA265" t="s">
        <v>107</v>
      </c>
      <c r="AB265" t="s">
        <v>50</v>
      </c>
      <c r="AC265" t="s">
        <v>51</v>
      </c>
      <c r="AD265" t="s">
        <v>52</v>
      </c>
      <c r="AE265" t="s">
        <v>53</v>
      </c>
      <c r="AF265" t="s">
        <v>54</v>
      </c>
      <c r="AG265" t="s">
        <v>52</v>
      </c>
      <c r="AH265" t="s">
        <v>65</v>
      </c>
      <c r="AK265">
        <v>4</v>
      </c>
      <c r="AL265">
        <v>4</v>
      </c>
      <c r="AN265">
        <v>395</v>
      </c>
      <c r="AO265">
        <v>45</v>
      </c>
      <c r="AP265" t="s">
        <v>56</v>
      </c>
      <c r="AQ265" t="s">
        <v>109</v>
      </c>
      <c r="AR265">
        <v>8.0399999999999991</v>
      </c>
      <c r="AS265">
        <v>0.01</v>
      </c>
      <c r="AT265" t="s">
        <v>56</v>
      </c>
      <c r="AU265">
        <v>437</v>
      </c>
      <c r="AV265">
        <v>41</v>
      </c>
      <c r="AW265" t="s">
        <v>56</v>
      </c>
      <c r="AX265">
        <v>8.01</v>
      </c>
      <c r="AY265">
        <v>0.03</v>
      </c>
      <c r="AZ265" t="s">
        <v>56</v>
      </c>
      <c r="BB265">
        <f>LOG(AU265)</f>
        <v>2.6404814369704219</v>
      </c>
      <c r="BC265">
        <v>27.5</v>
      </c>
      <c r="BD265">
        <v>0.1</v>
      </c>
      <c r="BE265" t="s">
        <v>56</v>
      </c>
      <c r="BF265">
        <v>30.1</v>
      </c>
      <c r="BG265">
        <v>0.6</v>
      </c>
      <c r="BH265" t="s">
        <v>56</v>
      </c>
      <c r="BI265">
        <v>42</v>
      </c>
      <c r="BJ265">
        <v>2.6</v>
      </c>
      <c r="BK265" t="s">
        <v>230</v>
      </c>
      <c r="BL265" t="s">
        <v>231</v>
      </c>
      <c r="BM265" t="s">
        <v>232</v>
      </c>
      <c r="BN265" t="s">
        <v>81</v>
      </c>
      <c r="BO265" t="s">
        <v>233</v>
      </c>
      <c r="BP265" t="s">
        <v>234</v>
      </c>
      <c r="BR265" t="s">
        <v>63</v>
      </c>
      <c r="BT265">
        <v>2.57</v>
      </c>
      <c r="BU265">
        <v>2.57</v>
      </c>
      <c r="BV265">
        <v>0.27</v>
      </c>
      <c r="BW265">
        <f>BV265*SQRT(AK265)</f>
        <v>0.54</v>
      </c>
      <c r="BX265">
        <v>2.33</v>
      </c>
      <c r="BY265">
        <v>2.33</v>
      </c>
      <c r="BZ265">
        <v>0.19</v>
      </c>
      <c r="CA265">
        <f>BZ265*SQRT(AL265)</f>
        <v>0.38</v>
      </c>
      <c r="CB265">
        <v>21</v>
      </c>
      <c r="CC265">
        <v>2</v>
      </c>
      <c r="CD265">
        <v>-9.8000000000000004E-2</v>
      </c>
      <c r="CE265">
        <v>1.7600000000000001E-2</v>
      </c>
    </row>
    <row r="266" spans="1:84" hidden="1" x14ac:dyDescent="0.2">
      <c r="A266" s="8"/>
      <c r="B266" t="str">
        <f>ROW()-1&amp;"_AltersInvert"</f>
        <v>265_AltersInvert</v>
      </c>
      <c r="C266" t="str">
        <f>D266&amp;"_"&amp;
SUBSTITUTE(TRIM(V266)," ","_")&amp;"_"&amp;
TRIM(AC266)&amp;"_"&amp;
"CO2"&amp;TEXT(AN266,"0.00")&amp;"_"&amp;
"pH"&amp;TEXT(AR266,"0.00")&amp;"_"&amp;
"T"&amp;TEXT(BC266,"0.##")</f>
        <v>89_Paracentrotus_lividus_EMBRYO_CO2899.00_pH8.09_T19.2</v>
      </c>
      <c r="D266" s="8">
        <v>89</v>
      </c>
      <c r="E266" s="8"/>
      <c r="F266" s="8"/>
      <c r="G266" s="8" t="s">
        <v>43</v>
      </c>
      <c r="H266" s="8" t="s">
        <v>739</v>
      </c>
      <c r="I266" s="8" t="s">
        <v>1130</v>
      </c>
      <c r="J266" s="8">
        <v>2018</v>
      </c>
      <c r="K266" s="8"/>
      <c r="L266" s="8"/>
      <c r="M266" s="8" t="s">
        <v>740</v>
      </c>
      <c r="N266" s="8"/>
      <c r="O266" s="8"/>
      <c r="P266" t="s">
        <v>1135</v>
      </c>
      <c r="Q266" s="8"/>
      <c r="R266" s="8" t="s">
        <v>1127</v>
      </c>
      <c r="S266" t="s">
        <v>1128</v>
      </c>
      <c r="T266" s="8" t="s">
        <v>46</v>
      </c>
      <c r="U266" s="8" t="s">
        <v>309</v>
      </c>
      <c r="V266" s="8" t="s">
        <v>310</v>
      </c>
      <c r="W266" s="8" t="str">
        <f>IF(ISNUMBER(MATCH(#REF!,{"Doryteuthis pealeii","Loligo vulgaris","Leptuca thayeri","Stylocheilus striatus","Ophryotrocha labronica"},0)),"N","Y")</f>
        <v>Y</v>
      </c>
      <c r="X266" s="8"/>
      <c r="Y266" s="8"/>
      <c r="Z266" s="8" t="s">
        <v>177</v>
      </c>
      <c r="AA266" s="8" t="s">
        <v>177</v>
      </c>
      <c r="AB266" s="8" t="s">
        <v>71</v>
      </c>
      <c r="AC266" s="8" t="s">
        <v>195</v>
      </c>
      <c r="AD266" s="8" t="s">
        <v>52</v>
      </c>
      <c r="AE266" s="8" t="s">
        <v>53</v>
      </c>
      <c r="AF266" s="8" t="s">
        <v>52</v>
      </c>
      <c r="AG266" s="8" t="s">
        <v>52</v>
      </c>
      <c r="AH266" s="8" t="s">
        <v>64</v>
      </c>
      <c r="AI266" s="8"/>
      <c r="AJ266" s="8"/>
      <c r="AK266" s="8">
        <v>3</v>
      </c>
      <c r="AL266" s="8">
        <v>3</v>
      </c>
      <c r="AM266" s="8" t="s">
        <v>743</v>
      </c>
      <c r="AN266" s="8">
        <v>899</v>
      </c>
      <c r="AO266" s="8" t="s">
        <v>56</v>
      </c>
      <c r="AP266" s="8" t="s">
        <v>56</v>
      </c>
      <c r="AQ266" s="8" t="s">
        <v>56</v>
      </c>
      <c r="AR266" s="8">
        <v>8.09</v>
      </c>
      <c r="AS266" s="8" t="s">
        <v>56</v>
      </c>
      <c r="AT266" s="8">
        <v>0.03</v>
      </c>
      <c r="AU266" s="8">
        <v>2379</v>
      </c>
      <c r="AV266" t="s">
        <v>56</v>
      </c>
      <c r="AW266" t="s">
        <v>56</v>
      </c>
      <c r="AX266">
        <v>7.39</v>
      </c>
      <c r="AY266" t="s">
        <v>56</v>
      </c>
      <c r="AZ266">
        <v>0.03</v>
      </c>
      <c r="BA266" s="8"/>
      <c r="BB266" s="8">
        <f>LOG(AU266)</f>
        <v>3.3763944420372662</v>
      </c>
      <c r="BC266" s="8">
        <v>19.2</v>
      </c>
      <c r="BD266" s="8" t="s">
        <v>56</v>
      </c>
      <c r="BE266" s="8">
        <v>0.2</v>
      </c>
      <c r="BF266" s="8">
        <v>25.1</v>
      </c>
      <c r="BG266" s="8" t="s">
        <v>56</v>
      </c>
      <c r="BH266" s="8">
        <v>0.3</v>
      </c>
      <c r="BI266" s="8">
        <v>1480</v>
      </c>
      <c r="BJ266" s="8">
        <v>5.9</v>
      </c>
      <c r="BK266" s="8" t="s">
        <v>56</v>
      </c>
      <c r="BL266" s="8" t="s">
        <v>473</v>
      </c>
      <c r="BM266" s="8" t="s">
        <v>473</v>
      </c>
      <c r="BN266" s="8" t="s">
        <v>81</v>
      </c>
      <c r="BO266" s="8" t="s">
        <v>82</v>
      </c>
      <c r="BP266" s="8" t="s">
        <v>190</v>
      </c>
      <c r="BQ266" s="8" t="s">
        <v>190</v>
      </c>
      <c r="BR266" s="8" t="s">
        <v>84</v>
      </c>
      <c r="BS266" s="8"/>
      <c r="BT266" s="8">
        <v>100</v>
      </c>
      <c r="BU266" s="8">
        <v>100</v>
      </c>
      <c r="BV266" s="8">
        <v>1.1000000000000001E-3</v>
      </c>
      <c r="BW266" s="8">
        <f>BV266*SQRT(AK266)</f>
        <v>1.905255888325765E-3</v>
      </c>
      <c r="BX266" s="8">
        <v>95.96</v>
      </c>
      <c r="BY266" s="8">
        <v>95.959596000000005</v>
      </c>
      <c r="BZ266" s="8">
        <v>0</v>
      </c>
      <c r="CA266" s="8">
        <f>BZ266*SQRT(AL266)</f>
        <v>0</v>
      </c>
      <c r="CB266" s="8">
        <v>0</v>
      </c>
      <c r="CC266" s="8">
        <v>12</v>
      </c>
      <c r="CD266" s="8">
        <v>-4.1000000000000002E-2</v>
      </c>
      <c r="CE266" s="8">
        <v>1E-4</v>
      </c>
      <c r="CF266" s="8" t="s">
        <v>1134</v>
      </c>
    </row>
    <row r="267" spans="1:84" hidden="1" x14ac:dyDescent="0.2">
      <c r="A267" s="8"/>
      <c r="B267" t="str">
        <f>ROW()-1&amp;"_AltersInvert"</f>
        <v>266_AltersInvert</v>
      </c>
      <c r="C267" t="str">
        <f>D267&amp;"_"&amp;
SUBSTITUTE(TRIM(V267)," ","_")&amp;"_"&amp;
TRIM(AC267)&amp;"_"&amp;
"CO2"&amp;TEXT(AN267,"0.00")&amp;"_"&amp;
"pH"&amp;TEXT(AR267,"0.00")&amp;"_"&amp;
"T"&amp;TEXT(BC267,"0.##")</f>
        <v>89_Paracentrotus_lividus_EMBRYO_CO2899.00_pH8.09_T19.2</v>
      </c>
      <c r="D267" s="8">
        <v>89</v>
      </c>
      <c r="E267" s="8"/>
      <c r="F267" s="8"/>
      <c r="G267" s="8" t="s">
        <v>43</v>
      </c>
      <c r="H267" s="8" t="s">
        <v>739</v>
      </c>
      <c r="I267" s="8" t="s">
        <v>1130</v>
      </c>
      <c r="J267" s="8">
        <v>2018</v>
      </c>
      <c r="K267" s="8"/>
      <c r="L267" s="8"/>
      <c r="M267" s="8" t="s">
        <v>740</v>
      </c>
      <c r="N267" s="8"/>
      <c r="O267" s="8"/>
      <c r="P267" t="s">
        <v>1135</v>
      </c>
      <c r="Q267" s="8"/>
      <c r="R267" s="8" t="s">
        <v>1127</v>
      </c>
      <c r="S267" t="s">
        <v>1128</v>
      </c>
      <c r="T267" s="8" t="s">
        <v>46</v>
      </c>
      <c r="U267" s="8" t="s">
        <v>309</v>
      </c>
      <c r="V267" s="8" t="s">
        <v>310</v>
      </c>
      <c r="W267" s="8" t="str">
        <f>IF(ISNUMBER(MATCH(#REF!,{"Doryteuthis pealeii","Loligo vulgaris","Leptuca thayeri","Stylocheilus striatus","Ophryotrocha labronica"},0)),"N","Y")</f>
        <v>Y</v>
      </c>
      <c r="X267" s="8"/>
      <c r="Y267" s="8"/>
      <c r="Z267" s="8" t="s">
        <v>177</v>
      </c>
      <c r="AA267" s="8" t="s">
        <v>177</v>
      </c>
      <c r="AB267" s="8" t="s">
        <v>71</v>
      </c>
      <c r="AC267" s="8" t="s">
        <v>195</v>
      </c>
      <c r="AD267" s="8" t="s">
        <v>52</v>
      </c>
      <c r="AE267" s="8" t="s">
        <v>53</v>
      </c>
      <c r="AF267" s="8" t="s">
        <v>52</v>
      </c>
      <c r="AG267" s="8" t="s">
        <v>52</v>
      </c>
      <c r="AH267" s="8" t="s">
        <v>64</v>
      </c>
      <c r="AI267" s="8"/>
      <c r="AJ267" s="8"/>
      <c r="AK267" s="8">
        <v>3</v>
      </c>
      <c r="AL267" s="8">
        <v>3</v>
      </c>
      <c r="AM267" s="8" t="s">
        <v>743</v>
      </c>
      <c r="AN267" s="8">
        <v>899</v>
      </c>
      <c r="AO267" s="8" t="s">
        <v>56</v>
      </c>
      <c r="AP267" s="8" t="s">
        <v>56</v>
      </c>
      <c r="AQ267" s="8" t="s">
        <v>56</v>
      </c>
      <c r="AR267" s="8">
        <v>8.09</v>
      </c>
      <c r="AS267" s="8" t="s">
        <v>56</v>
      </c>
      <c r="AT267" s="8">
        <v>0.03</v>
      </c>
      <c r="AU267" s="8">
        <v>1367</v>
      </c>
      <c r="AV267" t="s">
        <v>56</v>
      </c>
      <c r="AW267" t="s">
        <v>56</v>
      </c>
      <c r="AX267">
        <v>7.66</v>
      </c>
      <c r="AY267" t="s">
        <v>56</v>
      </c>
      <c r="AZ267">
        <v>0.05</v>
      </c>
      <c r="BA267" s="8"/>
      <c r="BB267" s="8">
        <f>LOG(AU267)</f>
        <v>3.1357685145678222</v>
      </c>
      <c r="BC267" s="8">
        <v>19.2</v>
      </c>
      <c r="BD267" s="8" t="s">
        <v>56</v>
      </c>
      <c r="BE267" s="8">
        <v>0.2</v>
      </c>
      <c r="BF267" s="8">
        <v>25.2</v>
      </c>
      <c r="BG267" s="8" t="s">
        <v>56</v>
      </c>
      <c r="BH267" s="8">
        <v>0.1</v>
      </c>
      <c r="BI267" s="8">
        <v>468</v>
      </c>
      <c r="BJ267" s="8">
        <v>6.1</v>
      </c>
      <c r="BK267" s="8" t="s">
        <v>56</v>
      </c>
      <c r="BL267" s="8" t="s">
        <v>473</v>
      </c>
      <c r="BM267" s="8" t="s">
        <v>473</v>
      </c>
      <c r="BN267" s="8" t="s">
        <v>81</v>
      </c>
      <c r="BO267" s="8" t="s">
        <v>82</v>
      </c>
      <c r="BP267" s="8" t="s">
        <v>190</v>
      </c>
      <c r="BQ267" s="8" t="s">
        <v>190</v>
      </c>
      <c r="BR267" s="8" t="s">
        <v>84</v>
      </c>
      <c r="BS267" s="8"/>
      <c r="BT267" s="8">
        <v>100</v>
      </c>
      <c r="BU267" s="8">
        <v>100</v>
      </c>
      <c r="BV267" s="8">
        <v>1.1000000000000001E-3</v>
      </c>
      <c r="BW267" s="8">
        <f>BV267*SQRT(AK267)</f>
        <v>1.905255888325765E-3</v>
      </c>
      <c r="BX267" s="8">
        <v>96.97</v>
      </c>
      <c r="BY267" s="8">
        <v>96.969696999999996</v>
      </c>
      <c r="BZ267" s="8">
        <v>0</v>
      </c>
      <c r="CA267" s="8">
        <f>BZ267*SQRT(AL267)</f>
        <v>0</v>
      </c>
      <c r="CB267" s="8">
        <v>0</v>
      </c>
      <c r="CC267" s="8">
        <v>12</v>
      </c>
      <c r="CD267" s="8">
        <v>-3.1E-2</v>
      </c>
      <c r="CE267" s="8">
        <v>1E-4</v>
      </c>
      <c r="CF267" s="8" t="s">
        <v>1134</v>
      </c>
    </row>
    <row r="268" spans="1:84" hidden="1" x14ac:dyDescent="0.2">
      <c r="B268" t="str">
        <f>ROW()-1&amp;"_AltersInvert"</f>
        <v>267_AltersInvert</v>
      </c>
      <c r="C268" t="str">
        <f>D268&amp;"_"&amp;
SUBSTITUTE(TRIM(V268)," ","_")&amp;"_"&amp;
TRIM(AC268)&amp;"_"&amp;
"CO2"&amp;TEXT(AN268,"0.00")&amp;"_"&amp;
"pH"&amp;TEXT(AR268,"0.00")&amp;"_"&amp;
"T"&amp;TEXT(BC268,"0.##")</f>
        <v>83_Echinostomatidae_sp_LARVA_CO2526.00_pH7.78_T14.3</v>
      </c>
      <c r="D268">
        <v>83</v>
      </c>
      <c r="G268" t="s">
        <v>43</v>
      </c>
      <c r="H268" t="s">
        <v>699</v>
      </c>
      <c r="J268">
        <v>2019</v>
      </c>
      <c r="M268" t="s">
        <v>700</v>
      </c>
      <c r="P268" t="s">
        <v>1135</v>
      </c>
      <c r="R268" t="s">
        <v>1127</v>
      </c>
      <c r="S268" t="s">
        <v>1128</v>
      </c>
      <c r="T268" t="s">
        <v>701</v>
      </c>
      <c r="U268" t="s">
        <v>702</v>
      </c>
      <c r="V268" t="s">
        <v>703</v>
      </c>
      <c r="Z268" t="s">
        <v>704</v>
      </c>
      <c r="AA268" t="s">
        <v>107</v>
      </c>
      <c r="AB268" t="s">
        <v>50</v>
      </c>
      <c r="AC268" t="s">
        <v>72</v>
      </c>
      <c r="AD268" t="s">
        <v>52</v>
      </c>
      <c r="AE268" t="s">
        <v>53</v>
      </c>
      <c r="AF268" t="s">
        <v>52</v>
      </c>
      <c r="AG268" t="s">
        <v>54</v>
      </c>
      <c r="AH268" t="s">
        <v>55</v>
      </c>
      <c r="AK268">
        <v>3</v>
      </c>
      <c r="AL268">
        <v>3</v>
      </c>
      <c r="AM268" t="s">
        <v>706</v>
      </c>
      <c r="AN268">
        <v>526</v>
      </c>
      <c r="AO268">
        <v>32</v>
      </c>
      <c r="AP268" t="s">
        <v>56</v>
      </c>
      <c r="AQ268" t="s">
        <v>109</v>
      </c>
      <c r="AR268">
        <v>7.78</v>
      </c>
      <c r="AS268">
        <v>0.02</v>
      </c>
      <c r="AT268" t="s">
        <v>56</v>
      </c>
      <c r="AU268">
        <v>1193</v>
      </c>
      <c r="AV268">
        <v>30</v>
      </c>
      <c r="AW268" t="s">
        <v>56</v>
      </c>
      <c r="AX268">
        <v>7.47</v>
      </c>
      <c r="AY268">
        <v>0.01</v>
      </c>
      <c r="AZ268" t="s">
        <v>56</v>
      </c>
      <c r="BB268">
        <f>LOG(AU268)</f>
        <v>3.0766404436703421</v>
      </c>
      <c r="BC268">
        <v>14.3</v>
      </c>
      <c r="BD268">
        <v>0.1</v>
      </c>
      <c r="BE268" t="s">
        <v>56</v>
      </c>
      <c r="BF268">
        <v>14.4</v>
      </c>
      <c r="BG268">
        <v>0</v>
      </c>
      <c r="BH268" t="s">
        <v>56</v>
      </c>
      <c r="BI268">
        <v>667</v>
      </c>
      <c r="BJ268">
        <v>0.1</v>
      </c>
      <c r="BK268" t="s">
        <v>56</v>
      </c>
      <c r="BL268" t="s">
        <v>83</v>
      </c>
      <c r="BM268" t="s">
        <v>83</v>
      </c>
      <c r="BN268" t="s">
        <v>81</v>
      </c>
      <c r="BO268" t="s">
        <v>82</v>
      </c>
      <c r="BP268" t="s">
        <v>83</v>
      </c>
      <c r="BQ268" s="8" t="s">
        <v>83</v>
      </c>
      <c r="BR268" t="s">
        <v>84</v>
      </c>
      <c r="BT268">
        <v>100</v>
      </c>
      <c r="BU268">
        <v>100</v>
      </c>
      <c r="BV268">
        <v>2.8E-3</v>
      </c>
      <c r="BW268">
        <f>BV268*SQRT(AK268)</f>
        <v>4.8497422611928562E-3</v>
      </c>
      <c r="BX268">
        <v>100</v>
      </c>
      <c r="BY268">
        <v>100</v>
      </c>
      <c r="BZ268">
        <v>1</v>
      </c>
      <c r="CA268">
        <f>BZ268*SQRT(AL268)</f>
        <v>1.7320508075688772</v>
      </c>
      <c r="CB268">
        <v>2.5</v>
      </c>
      <c r="CC268">
        <v>3</v>
      </c>
      <c r="CD268">
        <v>0</v>
      </c>
      <c r="CE268">
        <v>1E-4</v>
      </c>
    </row>
    <row r="269" spans="1:84" hidden="1" x14ac:dyDescent="0.2">
      <c r="B269" t="str">
        <f>ROW()-1&amp;"_AltersInvert"</f>
        <v>268_AltersInvert</v>
      </c>
      <c r="C269" t="str">
        <f>D269&amp;"_"&amp;
SUBSTITUTE(TRIM(V269)," ","_")&amp;"_"&amp;
TRIM(AC269)&amp;"_"&amp;
"CO2"&amp;TEXT(AN269,"0.00")&amp;"_"&amp;
"pH"&amp;TEXT(AR269,"0.00")&amp;"_"&amp;
"T"&amp;TEXT(BC269,"0.##")</f>
        <v>10_Pocillopora_damicornis _LARVA_CO2420.00_pH8.03_T25.3</v>
      </c>
      <c r="D269">
        <v>10</v>
      </c>
      <c r="G269" t="s">
        <v>43</v>
      </c>
      <c r="H269" t="s">
        <v>199</v>
      </c>
      <c r="J269">
        <v>2013</v>
      </c>
      <c r="M269" t="s">
        <v>200</v>
      </c>
      <c r="P269" t="s">
        <v>1135</v>
      </c>
      <c r="R269" t="s">
        <v>1127</v>
      </c>
      <c r="S269" t="s">
        <v>1128</v>
      </c>
      <c r="T269" t="s">
        <v>103</v>
      </c>
      <c r="U269" t="s">
        <v>201</v>
      </c>
      <c r="V269" t="s">
        <v>202</v>
      </c>
      <c r="Z269" t="s">
        <v>106</v>
      </c>
      <c r="AA269" t="s">
        <v>107</v>
      </c>
      <c r="AB269" t="s">
        <v>71</v>
      </c>
      <c r="AC269" t="s">
        <v>72</v>
      </c>
      <c r="AD269" t="s">
        <v>52</v>
      </c>
      <c r="AE269" t="s">
        <v>53</v>
      </c>
      <c r="AF269" t="s">
        <v>52</v>
      </c>
      <c r="AG269" t="s">
        <v>54</v>
      </c>
      <c r="AH269" t="s">
        <v>55</v>
      </c>
      <c r="AK269">
        <v>3</v>
      </c>
      <c r="AL269">
        <v>3</v>
      </c>
      <c r="AN269">
        <v>420</v>
      </c>
      <c r="AO269">
        <v>13</v>
      </c>
      <c r="AP269" t="s">
        <v>56</v>
      </c>
      <c r="AQ269" t="s">
        <v>109</v>
      </c>
      <c r="AR269">
        <v>8.0299999999999994</v>
      </c>
      <c r="AS269">
        <v>0.01</v>
      </c>
      <c r="AT269" t="s">
        <v>56</v>
      </c>
      <c r="AU269">
        <v>607</v>
      </c>
      <c r="AV269">
        <v>15</v>
      </c>
      <c r="AW269" t="s">
        <v>56</v>
      </c>
      <c r="AX269">
        <v>7.9</v>
      </c>
      <c r="AY269">
        <v>0.01</v>
      </c>
      <c r="AZ269" t="s">
        <v>56</v>
      </c>
      <c r="BB269">
        <f>LOG(AU269)</f>
        <v>2.7831886910752575</v>
      </c>
      <c r="BC269">
        <v>25.3</v>
      </c>
      <c r="BD269">
        <v>0.1</v>
      </c>
      <c r="BE269" t="s">
        <v>56</v>
      </c>
      <c r="BF269">
        <v>25.5</v>
      </c>
      <c r="BG269">
        <v>0.1</v>
      </c>
      <c r="BH269" t="s">
        <v>56</v>
      </c>
      <c r="BI269">
        <v>187</v>
      </c>
      <c r="BJ269">
        <v>0.2</v>
      </c>
      <c r="BK269" t="s">
        <v>56</v>
      </c>
      <c r="BL269" t="s">
        <v>182</v>
      </c>
      <c r="BM269" t="s">
        <v>59</v>
      </c>
      <c r="BN269" t="s">
        <v>60</v>
      </c>
      <c r="BO269" t="s">
        <v>203</v>
      </c>
      <c r="BP269" t="s">
        <v>62</v>
      </c>
      <c r="BQ269" t="s">
        <v>194</v>
      </c>
      <c r="BR269" t="s">
        <v>63</v>
      </c>
      <c r="BT269">
        <v>0.1</v>
      </c>
      <c r="BU269">
        <v>0.10298</v>
      </c>
      <c r="BV269">
        <v>0.01</v>
      </c>
      <c r="BW269">
        <f>BV269*SQRT(AK269)</f>
        <v>1.7320508075688773E-2</v>
      </c>
      <c r="BX269">
        <v>0.09</v>
      </c>
      <c r="BY269">
        <v>9.3132300000000001E-2</v>
      </c>
      <c r="BZ269">
        <v>0.01</v>
      </c>
      <c r="CA269">
        <f>BZ269*SQRT(AL269)</f>
        <v>1.7320508075688773E-2</v>
      </c>
      <c r="CB269">
        <v>9</v>
      </c>
      <c r="CC269">
        <v>4</v>
      </c>
      <c r="CD269">
        <v>-0.10100000000000001</v>
      </c>
      <c r="CE269">
        <v>3.0599999999999999E-2</v>
      </c>
    </row>
    <row r="270" spans="1:84" hidden="1" x14ac:dyDescent="0.2">
      <c r="B270" t="str">
        <f>ROW()-1&amp;"_AltersInvert"</f>
        <v>269_AltersInvert</v>
      </c>
      <c r="C270" t="str">
        <f>D270&amp;"_"&amp;
SUBSTITUTE(TRIM(V270)," ","_")&amp;"_"&amp;
TRIM(AC270)&amp;"_"&amp;
"CO2"&amp;TEXT(AN270,"0.00")&amp;"_"&amp;
"pH"&amp;TEXT(AR270,"0.00")&amp;"_"&amp;
"T"&amp;TEXT(BC270,"0.##")</f>
        <v>10_Pocillopora_damicornis _LARVA_CO2420.00_pH8.03_T25.3</v>
      </c>
      <c r="D270">
        <v>10</v>
      </c>
      <c r="G270" t="s">
        <v>43</v>
      </c>
      <c r="H270" t="s">
        <v>199</v>
      </c>
      <c r="J270">
        <v>2013</v>
      </c>
      <c r="M270" t="s">
        <v>200</v>
      </c>
      <c r="P270" t="s">
        <v>1135</v>
      </c>
      <c r="R270" t="s">
        <v>1127</v>
      </c>
      <c r="S270" t="s">
        <v>1128</v>
      </c>
      <c r="T270" t="s">
        <v>103</v>
      </c>
      <c r="U270" t="s">
        <v>201</v>
      </c>
      <c r="V270" t="s">
        <v>202</v>
      </c>
      <c r="Z270" t="s">
        <v>106</v>
      </c>
      <c r="AA270" t="s">
        <v>107</v>
      </c>
      <c r="AB270" t="s">
        <v>71</v>
      </c>
      <c r="AC270" t="s">
        <v>72</v>
      </c>
      <c r="AD270" t="s">
        <v>52</v>
      </c>
      <c r="AE270" t="s">
        <v>53</v>
      </c>
      <c r="AF270" t="s">
        <v>54</v>
      </c>
      <c r="AG270" t="s">
        <v>52</v>
      </c>
      <c r="AH270" t="s">
        <v>65</v>
      </c>
      <c r="AK270">
        <v>3</v>
      </c>
      <c r="AL270">
        <v>4</v>
      </c>
      <c r="AN270">
        <v>420</v>
      </c>
      <c r="AO270">
        <v>13</v>
      </c>
      <c r="AP270" t="s">
        <v>56</v>
      </c>
      <c r="AQ270" t="s">
        <v>109</v>
      </c>
      <c r="AR270">
        <v>8.0299999999999994</v>
      </c>
      <c r="AS270">
        <v>0.01</v>
      </c>
      <c r="AT270" t="s">
        <v>56</v>
      </c>
      <c r="AU270">
        <v>413</v>
      </c>
      <c r="AV270">
        <v>16</v>
      </c>
      <c r="AW270" t="s">
        <v>56</v>
      </c>
      <c r="AX270">
        <v>8.0500000000000007</v>
      </c>
      <c r="AY270">
        <v>0.02</v>
      </c>
      <c r="AZ270" t="s">
        <v>56</v>
      </c>
      <c r="BB270">
        <f>LOG(AU270)</f>
        <v>2.6159500516564012</v>
      </c>
      <c r="BC270">
        <v>25.3</v>
      </c>
      <c r="BD270">
        <v>0.1</v>
      </c>
      <c r="BE270" t="s">
        <v>56</v>
      </c>
      <c r="BF270">
        <v>29</v>
      </c>
      <c r="BG270">
        <v>0.2</v>
      </c>
      <c r="BH270" t="s">
        <v>56</v>
      </c>
      <c r="BI270">
        <v>-7</v>
      </c>
      <c r="BJ270">
        <v>3.7</v>
      </c>
      <c r="BK270" t="s">
        <v>56</v>
      </c>
      <c r="BL270" t="s">
        <v>182</v>
      </c>
      <c r="BM270" t="s">
        <v>59</v>
      </c>
      <c r="BN270" t="s">
        <v>60</v>
      </c>
      <c r="BO270" t="s">
        <v>203</v>
      </c>
      <c r="BP270" t="s">
        <v>62</v>
      </c>
      <c r="BQ270" t="s">
        <v>194</v>
      </c>
      <c r="BR270" t="s">
        <v>63</v>
      </c>
      <c r="BT270">
        <v>0.1</v>
      </c>
      <c r="BU270">
        <v>0.10298</v>
      </c>
      <c r="BV270">
        <v>0.01</v>
      </c>
      <c r="BW270">
        <f>BV270*SQRT(AK270)</f>
        <v>1.7320508075688773E-2</v>
      </c>
      <c r="BX270">
        <v>0.08</v>
      </c>
      <c r="BY270">
        <v>7.5978400000000001E-2</v>
      </c>
      <c r="BZ270">
        <v>0.01</v>
      </c>
      <c r="CA270">
        <f>BZ270*SQRT(AL270)</f>
        <v>0.02</v>
      </c>
      <c r="CB270">
        <v>9</v>
      </c>
      <c r="CC270">
        <v>4</v>
      </c>
      <c r="CD270">
        <v>-0.30399999999999999</v>
      </c>
      <c r="CE270">
        <v>4.6899999999999997E-2</v>
      </c>
    </row>
    <row r="271" spans="1:84" hidden="1" x14ac:dyDescent="0.2">
      <c r="B271" t="str">
        <f>ROW()-1&amp;"_AltersInvert"</f>
        <v>270_AltersInvert</v>
      </c>
      <c r="C271" t="str">
        <f>D271&amp;"_"&amp;
SUBSTITUTE(TRIM(V271)," ","_")&amp;"_"&amp;
TRIM(AC271)&amp;"_"&amp;
"CO2"&amp;TEXT(AN271,"0.00")&amp;"_"&amp;
"pH"&amp;TEXT(AR271,"0.00")&amp;"_"&amp;
"T"&amp;TEXT(BC271,"0.##")</f>
        <v>10_Pocillopora_damicornis _LARVA_CO2420.00_pH8.03_T25.3</v>
      </c>
      <c r="D271">
        <v>10</v>
      </c>
      <c r="G271" t="s">
        <v>43</v>
      </c>
      <c r="H271" t="s">
        <v>199</v>
      </c>
      <c r="J271">
        <v>2013</v>
      </c>
      <c r="M271" t="s">
        <v>200</v>
      </c>
      <c r="P271" t="s">
        <v>1135</v>
      </c>
      <c r="R271" t="s">
        <v>1127</v>
      </c>
      <c r="S271" t="s">
        <v>1128</v>
      </c>
      <c r="T271" t="s">
        <v>103</v>
      </c>
      <c r="U271" t="s">
        <v>201</v>
      </c>
      <c r="V271" t="s">
        <v>202</v>
      </c>
      <c r="Z271" t="s">
        <v>106</v>
      </c>
      <c r="AA271" t="s">
        <v>107</v>
      </c>
      <c r="AB271" t="s">
        <v>71</v>
      </c>
      <c r="AC271" t="s">
        <v>72</v>
      </c>
      <c r="AD271" t="s">
        <v>52</v>
      </c>
      <c r="AE271" t="s">
        <v>53</v>
      </c>
      <c r="AF271" t="s">
        <v>52</v>
      </c>
      <c r="AG271" t="s">
        <v>52</v>
      </c>
      <c r="AH271" t="s">
        <v>64</v>
      </c>
      <c r="AK271">
        <v>3</v>
      </c>
      <c r="AL271">
        <v>4</v>
      </c>
      <c r="AN271">
        <v>420</v>
      </c>
      <c r="AO271">
        <v>13</v>
      </c>
      <c r="AP271" t="s">
        <v>56</v>
      </c>
      <c r="AQ271" t="s">
        <v>109</v>
      </c>
      <c r="AR271">
        <v>8.0299999999999994</v>
      </c>
      <c r="AS271">
        <v>0.01</v>
      </c>
      <c r="AT271" t="s">
        <v>56</v>
      </c>
      <c r="AU271">
        <v>656</v>
      </c>
      <c r="AV271">
        <v>18</v>
      </c>
      <c r="AW271" t="s">
        <v>56</v>
      </c>
      <c r="AX271">
        <v>7.88</v>
      </c>
      <c r="AY271">
        <v>0.01</v>
      </c>
      <c r="AZ271" t="s">
        <v>56</v>
      </c>
      <c r="BB271">
        <f>LOG(AU271)</f>
        <v>2.8169038393756605</v>
      </c>
      <c r="BC271">
        <v>25.3</v>
      </c>
      <c r="BD271">
        <v>0.1</v>
      </c>
      <c r="BE271" t="s">
        <v>56</v>
      </c>
      <c r="BF271">
        <v>29.1</v>
      </c>
      <c r="BG271">
        <v>0.1</v>
      </c>
      <c r="BH271" t="s">
        <v>56</v>
      </c>
      <c r="BI271">
        <v>236</v>
      </c>
      <c r="BJ271">
        <v>3.9</v>
      </c>
      <c r="BK271" t="s">
        <v>56</v>
      </c>
      <c r="BL271" t="s">
        <v>182</v>
      </c>
      <c r="BM271" t="s">
        <v>59</v>
      </c>
      <c r="BN271" t="s">
        <v>60</v>
      </c>
      <c r="BO271" t="s">
        <v>203</v>
      </c>
      <c r="BP271" t="s">
        <v>62</v>
      </c>
      <c r="BQ271" t="s">
        <v>194</v>
      </c>
      <c r="BR271" t="s">
        <v>63</v>
      </c>
      <c r="BT271">
        <v>0.1</v>
      </c>
      <c r="BU271">
        <v>0.10298</v>
      </c>
      <c r="BV271">
        <v>0.01</v>
      </c>
      <c r="BW271">
        <f>BV271*SQRT(AK271)</f>
        <v>1.7320508075688773E-2</v>
      </c>
      <c r="BX271">
        <v>0.06</v>
      </c>
      <c r="BY271">
        <v>5.9307199999999997E-2</v>
      </c>
      <c r="BZ271">
        <v>0.01</v>
      </c>
      <c r="CA271">
        <f>BZ271*SQRT(AL271)</f>
        <v>0.02</v>
      </c>
      <c r="CB271">
        <v>9</v>
      </c>
      <c r="CC271">
        <v>4</v>
      </c>
      <c r="CD271">
        <v>-0.55200000000000005</v>
      </c>
      <c r="CE271">
        <v>5.5E-2</v>
      </c>
    </row>
    <row r="272" spans="1:84" hidden="1" x14ac:dyDescent="0.2">
      <c r="B272" t="str">
        <f>ROW()-1&amp;"_AltersInvert"</f>
        <v>271_AltersInvert</v>
      </c>
      <c r="C272" t="str">
        <f>D272&amp;"_"&amp;
SUBSTITUTE(TRIM(V272)," ","_")&amp;"_"&amp;
TRIM(AC272)&amp;"_"&amp;
"CO2"&amp;TEXT(AN272,"0.00")&amp;"_"&amp;
"pH"&amp;TEXT(AR272,"0.00")&amp;"_"&amp;
"T"&amp;TEXT(BC272,"0.##")</f>
        <v>112_Loligo_vulgaris_LARVA_CO2433.00_pH8.03_T13.2</v>
      </c>
      <c r="D272">
        <v>112</v>
      </c>
      <c r="G272" t="s">
        <v>43</v>
      </c>
      <c r="H272" t="s">
        <v>832</v>
      </c>
      <c r="J272">
        <v>2014</v>
      </c>
      <c r="M272" t="s">
        <v>463</v>
      </c>
      <c r="P272" t="s">
        <v>1135</v>
      </c>
      <c r="R272" t="s">
        <v>1127</v>
      </c>
      <c r="S272" t="s">
        <v>1128</v>
      </c>
      <c r="T272" t="s">
        <v>68</v>
      </c>
      <c r="U272" t="s">
        <v>693</v>
      </c>
      <c r="V272" t="s">
        <v>833</v>
      </c>
      <c r="Z272" t="s">
        <v>49</v>
      </c>
      <c r="AA272" t="s">
        <v>49</v>
      </c>
      <c r="AB272" t="s">
        <v>71</v>
      </c>
      <c r="AC272" t="s">
        <v>72</v>
      </c>
      <c r="AD272" t="s">
        <v>52</v>
      </c>
      <c r="AE272" t="s">
        <v>53</v>
      </c>
      <c r="AF272" t="s">
        <v>52</v>
      </c>
      <c r="AG272" t="s">
        <v>54</v>
      </c>
      <c r="AH272" t="s">
        <v>55</v>
      </c>
      <c r="AK272">
        <v>3</v>
      </c>
      <c r="AL272">
        <v>3</v>
      </c>
      <c r="AN272">
        <v>433</v>
      </c>
      <c r="AO272" t="s">
        <v>56</v>
      </c>
      <c r="AP272">
        <v>24</v>
      </c>
      <c r="AQ272" t="s">
        <v>109</v>
      </c>
      <c r="AR272">
        <v>8.0299999999999994</v>
      </c>
      <c r="AS272" t="s">
        <v>56</v>
      </c>
      <c r="AT272">
        <v>0.02</v>
      </c>
      <c r="AU272">
        <v>1682</v>
      </c>
      <c r="AV272" t="s">
        <v>56</v>
      </c>
      <c r="AW272">
        <v>132</v>
      </c>
      <c r="AX272">
        <v>7.51</v>
      </c>
      <c r="AY272" t="s">
        <v>56</v>
      </c>
      <c r="AZ272">
        <v>0.03</v>
      </c>
      <c r="BB272">
        <f>LOG(AU272)</f>
        <v>3.2258259914618934</v>
      </c>
      <c r="BC272">
        <v>13.2</v>
      </c>
      <c r="BD272" t="s">
        <v>56</v>
      </c>
      <c r="BE272">
        <v>0.3</v>
      </c>
      <c r="BF272">
        <v>13.2</v>
      </c>
      <c r="BG272" t="s">
        <v>56</v>
      </c>
      <c r="BH272">
        <v>0.3</v>
      </c>
      <c r="BI272">
        <v>1249</v>
      </c>
      <c r="BJ272">
        <v>0</v>
      </c>
      <c r="BK272" t="s">
        <v>834</v>
      </c>
      <c r="BL272" t="s">
        <v>839</v>
      </c>
      <c r="BM272" t="s">
        <v>209</v>
      </c>
      <c r="BN272" t="s">
        <v>60</v>
      </c>
      <c r="BO272" t="s">
        <v>840</v>
      </c>
      <c r="BP272" t="s">
        <v>194</v>
      </c>
      <c r="BQ272" t="s">
        <v>194</v>
      </c>
      <c r="BR272" t="s">
        <v>63</v>
      </c>
      <c r="BT272">
        <v>0.32</v>
      </c>
      <c r="BU272">
        <v>0.31811</v>
      </c>
      <c r="BV272">
        <v>0.01</v>
      </c>
      <c r="BW272">
        <f>BV272*SQRT(AK272)</f>
        <v>1.7320508075688773E-2</v>
      </c>
      <c r="BX272">
        <v>0.5</v>
      </c>
      <c r="BY272">
        <v>0.50393699999999997</v>
      </c>
      <c r="BZ272">
        <v>0.01</v>
      </c>
      <c r="CA272">
        <f>BZ272*SQRT(AL272)</f>
        <v>1.7320508075688773E-2</v>
      </c>
      <c r="CB272">
        <v>15</v>
      </c>
      <c r="CC272">
        <v>10</v>
      </c>
      <c r="CD272">
        <v>0.46</v>
      </c>
      <c r="CE272">
        <v>8.0000000000000004E-4</v>
      </c>
    </row>
    <row r="273" spans="1:84" hidden="1" x14ac:dyDescent="0.2">
      <c r="B273" t="str">
        <f>ROW()-1&amp;"_AltersInvert"</f>
        <v>272_AltersInvert</v>
      </c>
      <c r="C273" t="str">
        <f>D273&amp;"_"&amp;
SUBSTITUTE(TRIM(V273)," ","_")&amp;"_"&amp;
TRIM(AC273)&amp;"_"&amp;
"CO2"&amp;TEXT(AN273,"0.00")&amp;"_"&amp;
"pH"&amp;TEXT(AR273,"0.00")&amp;"_"&amp;
"T"&amp;TEXT(BC273,"0.##")</f>
        <v>112_Loligo_vulgaris_LARVA_CO2433.00_pH8.03_T13.2</v>
      </c>
      <c r="D273">
        <v>112</v>
      </c>
      <c r="G273" t="s">
        <v>43</v>
      </c>
      <c r="H273" t="s">
        <v>832</v>
      </c>
      <c r="J273">
        <v>2014</v>
      </c>
      <c r="M273" t="s">
        <v>463</v>
      </c>
      <c r="P273" t="s">
        <v>1135</v>
      </c>
      <c r="R273" t="s">
        <v>1127</v>
      </c>
      <c r="S273" t="s">
        <v>1128</v>
      </c>
      <c r="T273" t="s">
        <v>68</v>
      </c>
      <c r="U273" t="s">
        <v>693</v>
      </c>
      <c r="V273" t="s">
        <v>833</v>
      </c>
      <c r="Z273" t="s">
        <v>49</v>
      </c>
      <c r="AA273" t="s">
        <v>49</v>
      </c>
      <c r="AB273" t="s">
        <v>71</v>
      </c>
      <c r="AC273" t="s">
        <v>72</v>
      </c>
      <c r="AD273" t="s">
        <v>52</v>
      </c>
      <c r="AE273" t="s">
        <v>53</v>
      </c>
      <c r="AF273" t="s">
        <v>54</v>
      </c>
      <c r="AG273" t="s">
        <v>52</v>
      </c>
      <c r="AH273" t="s">
        <v>65</v>
      </c>
      <c r="AK273">
        <v>3</v>
      </c>
      <c r="AL273">
        <v>3</v>
      </c>
      <c r="AN273">
        <v>433</v>
      </c>
      <c r="AO273" t="s">
        <v>56</v>
      </c>
      <c r="AP273">
        <v>24</v>
      </c>
      <c r="AQ273" t="s">
        <v>109</v>
      </c>
      <c r="AR273">
        <v>8.0299999999999994</v>
      </c>
      <c r="AS273" t="s">
        <v>56</v>
      </c>
      <c r="AT273">
        <v>0.02</v>
      </c>
      <c r="AU273">
        <v>440</v>
      </c>
      <c r="AV273" t="s">
        <v>56</v>
      </c>
      <c r="AW273">
        <v>12</v>
      </c>
      <c r="AX273">
        <v>8.0299999999999994</v>
      </c>
      <c r="AY273" t="s">
        <v>56</v>
      </c>
      <c r="AZ273">
        <v>0.01</v>
      </c>
      <c r="BB273">
        <f>LOG(AU273)</f>
        <v>2.6434526764861874</v>
      </c>
      <c r="BC273">
        <v>13.2</v>
      </c>
      <c r="BD273" t="s">
        <v>56</v>
      </c>
      <c r="BE273">
        <v>0.3</v>
      </c>
      <c r="BF273">
        <v>15.1</v>
      </c>
      <c r="BG273" t="s">
        <v>56</v>
      </c>
      <c r="BH273">
        <v>0.3</v>
      </c>
      <c r="BI273">
        <v>7</v>
      </c>
      <c r="BJ273">
        <v>1.9</v>
      </c>
      <c r="BK273" t="s">
        <v>834</v>
      </c>
      <c r="BL273" t="s">
        <v>839</v>
      </c>
      <c r="BM273" t="s">
        <v>209</v>
      </c>
      <c r="BN273" t="s">
        <v>60</v>
      </c>
      <c r="BO273" t="s">
        <v>840</v>
      </c>
      <c r="BP273" t="s">
        <v>194</v>
      </c>
      <c r="BQ273" t="s">
        <v>194</v>
      </c>
      <c r="BR273" t="s">
        <v>63</v>
      </c>
      <c r="BT273">
        <v>0.32</v>
      </c>
      <c r="BU273">
        <v>0.31811</v>
      </c>
      <c r="BV273">
        <v>0.01</v>
      </c>
      <c r="BW273">
        <f>BV273*SQRT(AK273)</f>
        <v>1.7320508075688773E-2</v>
      </c>
      <c r="BX273">
        <v>0.44</v>
      </c>
      <c r="BY273">
        <v>0.4440945</v>
      </c>
      <c r="BZ273">
        <v>0.01</v>
      </c>
      <c r="CA273">
        <f>BZ273*SQRT(AL273)</f>
        <v>1.7320508075688773E-2</v>
      </c>
      <c r="CB273">
        <v>15</v>
      </c>
      <c r="CC273">
        <v>10</v>
      </c>
      <c r="CD273">
        <v>0.33400000000000002</v>
      </c>
      <c r="CE273">
        <v>4.0000000000000002E-4</v>
      </c>
    </row>
    <row r="274" spans="1:84" hidden="1" x14ac:dyDescent="0.2">
      <c r="B274" t="str">
        <f>ROW()-1&amp;"_AltersInvert"</f>
        <v>273_AltersInvert</v>
      </c>
      <c r="C274" t="str">
        <f>D274&amp;"_"&amp;
SUBSTITUTE(TRIM(V274)," ","_")&amp;"_"&amp;
TRIM(AC274)&amp;"_"&amp;
"CO2"&amp;TEXT(AN274,"0.00")&amp;"_"&amp;
"pH"&amp;TEXT(AR274,"0.00")&amp;"_"&amp;
"T"&amp;TEXT(BC274,"0.##")</f>
        <v>112_Loligo_vulgaris_LARVA_CO2433.00_pH8.03_T13.2</v>
      </c>
      <c r="D274">
        <v>112</v>
      </c>
      <c r="G274" t="s">
        <v>43</v>
      </c>
      <c r="H274" t="s">
        <v>832</v>
      </c>
      <c r="J274">
        <v>2014</v>
      </c>
      <c r="M274" t="s">
        <v>463</v>
      </c>
      <c r="P274" t="s">
        <v>1135</v>
      </c>
      <c r="R274" t="s">
        <v>1127</v>
      </c>
      <c r="S274" t="s">
        <v>1128</v>
      </c>
      <c r="T274" t="s">
        <v>68</v>
      </c>
      <c r="U274" t="s">
        <v>693</v>
      </c>
      <c r="V274" t="s">
        <v>833</v>
      </c>
      <c r="Z274" t="s">
        <v>49</v>
      </c>
      <c r="AA274" t="s">
        <v>49</v>
      </c>
      <c r="AB274" t="s">
        <v>71</v>
      </c>
      <c r="AC274" t="s">
        <v>72</v>
      </c>
      <c r="AD274" t="s">
        <v>52</v>
      </c>
      <c r="AE274" t="s">
        <v>53</v>
      </c>
      <c r="AF274" t="s">
        <v>52</v>
      </c>
      <c r="AG274" t="s">
        <v>52</v>
      </c>
      <c r="AH274" t="s">
        <v>64</v>
      </c>
      <c r="AK274">
        <v>3</v>
      </c>
      <c r="AL274">
        <v>3</v>
      </c>
      <c r="AN274">
        <v>433</v>
      </c>
      <c r="AO274" t="s">
        <v>56</v>
      </c>
      <c r="AP274">
        <v>24</v>
      </c>
      <c r="AQ274" t="s">
        <v>109</v>
      </c>
      <c r="AR274">
        <v>8.0299999999999994</v>
      </c>
      <c r="AS274" t="s">
        <v>56</v>
      </c>
      <c r="AT274">
        <v>0.02</v>
      </c>
      <c r="AU274">
        <v>1641</v>
      </c>
      <c r="AV274" t="s">
        <v>56</v>
      </c>
      <c r="AW274">
        <v>80</v>
      </c>
      <c r="AX274">
        <v>7.53</v>
      </c>
      <c r="AY274" t="s">
        <v>56</v>
      </c>
      <c r="AZ274">
        <v>0.02</v>
      </c>
      <c r="BB274">
        <f>LOG(AU274)</f>
        <v>3.2151085810530931</v>
      </c>
      <c r="BC274">
        <v>13.2</v>
      </c>
      <c r="BD274" t="s">
        <v>56</v>
      </c>
      <c r="BE274">
        <v>0.3</v>
      </c>
      <c r="BF274">
        <v>15.3</v>
      </c>
      <c r="BG274" t="s">
        <v>56</v>
      </c>
      <c r="BH274">
        <v>0.2</v>
      </c>
      <c r="BI274">
        <v>1208</v>
      </c>
      <c r="BJ274">
        <v>2.1</v>
      </c>
      <c r="BK274" t="s">
        <v>834</v>
      </c>
      <c r="BL274" t="s">
        <v>839</v>
      </c>
      <c r="BM274" t="s">
        <v>209</v>
      </c>
      <c r="BN274" t="s">
        <v>60</v>
      </c>
      <c r="BO274" t="s">
        <v>840</v>
      </c>
      <c r="BP274" t="s">
        <v>194</v>
      </c>
      <c r="BQ274" t="s">
        <v>194</v>
      </c>
      <c r="BR274" t="s">
        <v>63</v>
      </c>
      <c r="BT274">
        <v>0.32</v>
      </c>
      <c r="BU274">
        <v>0.31811</v>
      </c>
      <c r="BV274">
        <v>0.01</v>
      </c>
      <c r="BW274">
        <f>BV274*SQRT(AK274)</f>
        <v>1.7320508075688773E-2</v>
      </c>
      <c r="BX274">
        <v>0.44</v>
      </c>
      <c r="BY274">
        <v>0.4440945</v>
      </c>
      <c r="BZ274">
        <v>0</v>
      </c>
      <c r="CA274">
        <f>BZ274*SQRT(AL274)</f>
        <v>0</v>
      </c>
      <c r="CB274">
        <v>15</v>
      </c>
      <c r="CC274">
        <v>10</v>
      </c>
      <c r="CD274">
        <v>0.33400000000000002</v>
      </c>
      <c r="CE274">
        <v>4.0000000000000002E-4</v>
      </c>
    </row>
    <row r="275" spans="1:84" hidden="1" x14ac:dyDescent="0.2">
      <c r="B275" t="str">
        <f>ROW()-1&amp;"_AltersInvert"</f>
        <v>274_AltersInvert</v>
      </c>
      <c r="C275" t="str">
        <f>D275&amp;"_"&amp;
SUBSTITUTE(TRIM(V275)," ","_")&amp;"_"&amp;
TRIM(AC275)&amp;"_"&amp;
"CO2"&amp;TEXT(AN275,"0.00")&amp;"_"&amp;
"pH"&amp;TEXT(AR275,"0.00")&amp;"_"&amp;
"T"&amp;TEXT(BC275,"0.##")</f>
        <v>11_Pocillopora_damicornis_LARVA_CO2436.00_pH8.02_T27.5</v>
      </c>
      <c r="D275">
        <v>11</v>
      </c>
      <c r="G275" t="s">
        <v>43</v>
      </c>
      <c r="H275" t="s">
        <v>212</v>
      </c>
      <c r="J275">
        <v>2014</v>
      </c>
      <c r="M275" t="s">
        <v>213</v>
      </c>
      <c r="P275" t="s">
        <v>1135</v>
      </c>
      <c r="R275" t="s">
        <v>1127</v>
      </c>
      <c r="S275" t="s">
        <v>1128</v>
      </c>
      <c r="T275" t="s">
        <v>103</v>
      </c>
      <c r="U275" t="s">
        <v>201</v>
      </c>
      <c r="V275" t="s">
        <v>214</v>
      </c>
      <c r="Z275" t="s">
        <v>106</v>
      </c>
      <c r="AA275" t="s">
        <v>107</v>
      </c>
      <c r="AB275" t="s">
        <v>71</v>
      </c>
      <c r="AC275" t="s">
        <v>72</v>
      </c>
      <c r="AD275" t="s">
        <v>52</v>
      </c>
      <c r="AE275" t="s">
        <v>53</v>
      </c>
      <c r="AF275" t="s">
        <v>54</v>
      </c>
      <c r="AG275" t="s">
        <v>54</v>
      </c>
      <c r="AH275" t="s">
        <v>55</v>
      </c>
      <c r="AK275">
        <v>6</v>
      </c>
      <c r="AL275">
        <v>6</v>
      </c>
      <c r="AN275">
        <v>436</v>
      </c>
      <c r="AO275">
        <v>6</v>
      </c>
      <c r="AP275" t="s">
        <v>56</v>
      </c>
      <c r="AQ275" t="s">
        <v>109</v>
      </c>
      <c r="AR275">
        <v>8.02</v>
      </c>
      <c r="AS275" t="s">
        <v>56</v>
      </c>
      <c r="AT275" t="s">
        <v>56</v>
      </c>
      <c r="AU275">
        <v>996</v>
      </c>
      <c r="AV275">
        <v>12</v>
      </c>
      <c r="AW275" t="s">
        <v>56</v>
      </c>
      <c r="AX275">
        <v>7.71</v>
      </c>
      <c r="AY275" t="s">
        <v>56</v>
      </c>
      <c r="AZ275" t="s">
        <v>56</v>
      </c>
      <c r="BB275">
        <f>LOG(AU275)</f>
        <v>2.9982593384236988</v>
      </c>
      <c r="BC275">
        <v>27.5</v>
      </c>
      <c r="BD275" t="s">
        <v>56</v>
      </c>
      <c r="BE275" t="s">
        <v>56</v>
      </c>
      <c r="BF275">
        <v>28.1</v>
      </c>
      <c r="BG275" t="s">
        <v>56</v>
      </c>
      <c r="BH275" t="s">
        <v>56</v>
      </c>
      <c r="BI275">
        <v>560</v>
      </c>
      <c r="BJ275">
        <v>0.6</v>
      </c>
      <c r="BK275" t="s">
        <v>56</v>
      </c>
      <c r="BL275" t="s">
        <v>215</v>
      </c>
      <c r="BM275" t="s">
        <v>59</v>
      </c>
      <c r="BN275" t="s">
        <v>60</v>
      </c>
      <c r="BO275" t="s">
        <v>216</v>
      </c>
      <c r="BP275" t="s">
        <v>62</v>
      </c>
      <c r="BQ275" t="s">
        <v>194</v>
      </c>
      <c r="BR275" t="s">
        <v>63</v>
      </c>
      <c r="BT275">
        <v>0.09</v>
      </c>
      <c r="BU275">
        <v>9.4615000000000005E-2</v>
      </c>
      <c r="BV275">
        <v>0.01</v>
      </c>
      <c r="BW275">
        <f>BV275*SQRT(AK275)</f>
        <v>2.4494897427831779E-2</v>
      </c>
      <c r="BX275">
        <v>0.08</v>
      </c>
      <c r="BY275">
        <v>8.4125900000000003E-2</v>
      </c>
      <c r="BZ275">
        <v>0</v>
      </c>
      <c r="CA275">
        <f>BZ275*SQRT(AL275)</f>
        <v>0</v>
      </c>
      <c r="CB275">
        <v>11</v>
      </c>
      <c r="CC275">
        <v>1</v>
      </c>
      <c r="CD275">
        <v>-0.11799999999999999</v>
      </c>
      <c r="CE275">
        <v>6.7000000000000002E-3</v>
      </c>
    </row>
    <row r="276" spans="1:84" hidden="1" x14ac:dyDescent="0.2">
      <c r="B276" t="str">
        <f>ROW()-1&amp;"_AltersInvert"</f>
        <v>275_AltersInvert</v>
      </c>
      <c r="C276" t="str">
        <f>D276&amp;"_"&amp;
SUBSTITUTE(TRIM(V276)," ","_")&amp;"_"&amp;
TRIM(AC276)&amp;"_"&amp;
"CO2"&amp;TEXT(AN276,"0.00")&amp;"_"&amp;
"pH"&amp;TEXT(AR276,"0.00")&amp;"_"&amp;
"T"&amp;TEXT(BC276,"0.##")</f>
        <v>11_Pocillopora_damicornis_LARVA_CO2436.00_pH8.02_T27.5</v>
      </c>
      <c r="D276">
        <v>11</v>
      </c>
      <c r="G276" t="s">
        <v>43</v>
      </c>
      <c r="H276" t="s">
        <v>212</v>
      </c>
      <c r="J276">
        <v>2014</v>
      </c>
      <c r="M276" t="s">
        <v>213</v>
      </c>
      <c r="P276" t="s">
        <v>1135</v>
      </c>
      <c r="R276" t="s">
        <v>1127</v>
      </c>
      <c r="S276" t="s">
        <v>1128</v>
      </c>
      <c r="T276" t="s">
        <v>103</v>
      </c>
      <c r="U276" t="s">
        <v>201</v>
      </c>
      <c r="V276" t="s">
        <v>214</v>
      </c>
      <c r="Z276" t="s">
        <v>106</v>
      </c>
      <c r="AA276" t="s">
        <v>107</v>
      </c>
      <c r="AB276" t="s">
        <v>71</v>
      </c>
      <c r="AC276" t="s">
        <v>72</v>
      </c>
      <c r="AD276" t="s">
        <v>52</v>
      </c>
      <c r="AE276" t="s">
        <v>53</v>
      </c>
      <c r="AF276" t="s">
        <v>54</v>
      </c>
      <c r="AG276" t="s">
        <v>52</v>
      </c>
      <c r="AH276" t="s">
        <v>65</v>
      </c>
      <c r="AK276">
        <v>6</v>
      </c>
      <c r="AL276">
        <v>6</v>
      </c>
      <c r="AN276">
        <v>436</v>
      </c>
      <c r="AO276">
        <v>6</v>
      </c>
      <c r="AP276" t="s">
        <v>56</v>
      </c>
      <c r="AQ276" t="s">
        <v>109</v>
      </c>
      <c r="AR276">
        <v>8.02</v>
      </c>
      <c r="AS276" t="s">
        <v>56</v>
      </c>
      <c r="AT276" t="s">
        <v>56</v>
      </c>
      <c r="AU276">
        <v>477</v>
      </c>
      <c r="AV276">
        <v>4</v>
      </c>
      <c r="AW276" t="s">
        <v>56</v>
      </c>
      <c r="AX276">
        <v>7.99</v>
      </c>
      <c r="AY276" t="s">
        <v>56</v>
      </c>
      <c r="AZ276" t="s">
        <v>56</v>
      </c>
      <c r="BB276">
        <f>LOG(AU276)</f>
        <v>2.6785183790401139</v>
      </c>
      <c r="BC276">
        <v>27.5</v>
      </c>
      <c r="BD276" t="s">
        <v>56</v>
      </c>
      <c r="BE276" t="s">
        <v>56</v>
      </c>
      <c r="BF276">
        <v>30.7</v>
      </c>
      <c r="BG276">
        <v>0.1</v>
      </c>
      <c r="BH276" t="s">
        <v>56</v>
      </c>
      <c r="BI276">
        <v>41</v>
      </c>
      <c r="BJ276">
        <v>3.2</v>
      </c>
      <c r="BK276" t="s">
        <v>56</v>
      </c>
      <c r="BL276" t="s">
        <v>215</v>
      </c>
      <c r="BM276" t="s">
        <v>59</v>
      </c>
      <c r="BN276" t="s">
        <v>60</v>
      </c>
      <c r="BO276" t="s">
        <v>216</v>
      </c>
      <c r="BP276" t="s">
        <v>62</v>
      </c>
      <c r="BQ276" t="s">
        <v>194</v>
      </c>
      <c r="BR276" t="s">
        <v>63</v>
      </c>
      <c r="BT276">
        <v>0.09</v>
      </c>
      <c r="BU276">
        <v>9.4615000000000005E-2</v>
      </c>
      <c r="BV276">
        <v>0.01</v>
      </c>
      <c r="BW276">
        <f>BV276*SQRT(AK276)</f>
        <v>2.4494897427831779E-2</v>
      </c>
      <c r="BX276">
        <v>0.14000000000000001</v>
      </c>
      <c r="BY276">
        <v>0.13709789999999999</v>
      </c>
      <c r="BZ276">
        <v>0</v>
      </c>
      <c r="CA276">
        <f>BZ276*SQRT(AL276)</f>
        <v>0</v>
      </c>
      <c r="CB276">
        <v>11</v>
      </c>
      <c r="CC276">
        <v>1</v>
      </c>
      <c r="CD276">
        <v>0.371</v>
      </c>
      <c r="CE276">
        <v>4.1000000000000003E-3</v>
      </c>
    </row>
    <row r="277" spans="1:84" hidden="1" x14ac:dyDescent="0.2">
      <c r="B277" t="str">
        <f>ROW()-1&amp;"_AltersInvert"</f>
        <v>276_AltersInvert</v>
      </c>
      <c r="C277" t="str">
        <f>D277&amp;"_"&amp;
SUBSTITUTE(TRIM(V277)," ","_")&amp;"_"&amp;
TRIM(AC277)&amp;"_"&amp;
"CO2"&amp;TEXT(AN277,"0.00")&amp;"_"&amp;
"pH"&amp;TEXT(AR277,"0.00")&amp;"_"&amp;
"T"&amp;TEXT(BC277,"0.##")</f>
        <v>11_Pocillopora_damicornis_LARVA_CO2436.00_pH8.02_T27.5</v>
      </c>
      <c r="D277">
        <v>11</v>
      </c>
      <c r="G277" t="s">
        <v>43</v>
      </c>
      <c r="H277" t="s">
        <v>212</v>
      </c>
      <c r="J277">
        <v>2014</v>
      </c>
      <c r="M277" t="s">
        <v>213</v>
      </c>
      <c r="P277" t="s">
        <v>1135</v>
      </c>
      <c r="R277" t="s">
        <v>1127</v>
      </c>
      <c r="S277" t="s">
        <v>1128</v>
      </c>
      <c r="T277" t="s">
        <v>103</v>
      </c>
      <c r="U277" t="s">
        <v>201</v>
      </c>
      <c r="V277" t="s">
        <v>214</v>
      </c>
      <c r="Z277" t="s">
        <v>106</v>
      </c>
      <c r="AA277" t="s">
        <v>107</v>
      </c>
      <c r="AB277" t="s">
        <v>71</v>
      </c>
      <c r="AC277" t="s">
        <v>72</v>
      </c>
      <c r="AD277" t="s">
        <v>52</v>
      </c>
      <c r="AE277" t="s">
        <v>53</v>
      </c>
      <c r="AF277" t="s">
        <v>52</v>
      </c>
      <c r="AG277" t="s">
        <v>52</v>
      </c>
      <c r="AH277" t="s">
        <v>64</v>
      </c>
      <c r="AK277">
        <v>6</v>
      </c>
      <c r="AL277">
        <v>6</v>
      </c>
      <c r="AN277">
        <v>436</v>
      </c>
      <c r="AO277">
        <v>6</v>
      </c>
      <c r="AP277" t="s">
        <v>56</v>
      </c>
      <c r="AQ277" t="s">
        <v>109</v>
      </c>
      <c r="AR277">
        <v>8.02</v>
      </c>
      <c r="AS277" t="s">
        <v>56</v>
      </c>
      <c r="AT277" t="s">
        <v>56</v>
      </c>
      <c r="AU277">
        <v>952</v>
      </c>
      <c r="AV277">
        <v>10</v>
      </c>
      <c r="AW277" t="s">
        <v>56</v>
      </c>
      <c r="AX277">
        <v>7.74</v>
      </c>
      <c r="AY277" t="s">
        <v>56</v>
      </c>
      <c r="AZ277" t="s">
        <v>56</v>
      </c>
      <c r="BB277">
        <f>LOG(AU277)</f>
        <v>2.9786369483844743</v>
      </c>
      <c r="BC277">
        <v>27.5</v>
      </c>
      <c r="BD277" t="s">
        <v>56</v>
      </c>
      <c r="BE277" t="s">
        <v>56</v>
      </c>
      <c r="BF277">
        <v>30.4</v>
      </c>
      <c r="BG277">
        <v>0.1</v>
      </c>
      <c r="BH277" t="s">
        <v>56</v>
      </c>
      <c r="BI277">
        <v>516</v>
      </c>
      <c r="BJ277">
        <v>2.9</v>
      </c>
      <c r="BK277" t="s">
        <v>56</v>
      </c>
      <c r="BL277" t="s">
        <v>215</v>
      </c>
      <c r="BM277" t="s">
        <v>59</v>
      </c>
      <c r="BN277" t="s">
        <v>60</v>
      </c>
      <c r="BO277" t="s">
        <v>216</v>
      </c>
      <c r="BP277" t="s">
        <v>62</v>
      </c>
      <c r="BQ277" t="s">
        <v>194</v>
      </c>
      <c r="BR277" t="s">
        <v>63</v>
      </c>
      <c r="BT277">
        <v>0.09</v>
      </c>
      <c r="BU277">
        <v>9.4615000000000005E-2</v>
      </c>
      <c r="BV277">
        <v>0.01</v>
      </c>
      <c r="BW277">
        <f>BV277*SQRT(AK277)</f>
        <v>2.4494897427831779E-2</v>
      </c>
      <c r="BX277">
        <v>0.11</v>
      </c>
      <c r="BY277">
        <v>0.1113986</v>
      </c>
      <c r="BZ277">
        <v>0.01</v>
      </c>
      <c r="CA277">
        <f>BZ277*SQRT(AL277)</f>
        <v>2.4494897427831779E-2</v>
      </c>
      <c r="CB277">
        <v>11</v>
      </c>
      <c r="CC277">
        <v>1</v>
      </c>
      <c r="CD277">
        <v>0.16300000000000001</v>
      </c>
      <c r="CE277">
        <v>7.4000000000000003E-3</v>
      </c>
    </row>
    <row r="278" spans="1:84" hidden="1" x14ac:dyDescent="0.2">
      <c r="B278" t="str">
        <f>ROW()-1&amp;"_AltersInvert"</f>
        <v>277_AltersInvert</v>
      </c>
      <c r="C278" t="str">
        <f>D278&amp;"_"&amp;
SUBSTITUTE(TRIM(V278)," ","_")&amp;"_"&amp;
TRIM(AC278)&amp;"_"&amp;
"CO2"&amp;TEXT(AN278,"0.00")&amp;"_"&amp;
"pH"&amp;TEXT(AR278,"0.00")&amp;"_"&amp;
"T"&amp;TEXT(BC278,"0.##")</f>
        <v>82_Doryteuthis_pealeii_LARVA_CO2387.00_pH8.03_T19.5</v>
      </c>
      <c r="D278">
        <v>82</v>
      </c>
      <c r="G278" t="s">
        <v>43</v>
      </c>
      <c r="H278" t="s">
        <v>691</v>
      </c>
      <c r="J278">
        <v>2020</v>
      </c>
      <c r="M278" t="s">
        <v>692</v>
      </c>
      <c r="P278" t="s">
        <v>1135</v>
      </c>
      <c r="R278" t="s">
        <v>1127</v>
      </c>
      <c r="S278" t="s">
        <v>1128</v>
      </c>
      <c r="T278" t="s">
        <v>68</v>
      </c>
      <c r="U278" t="s">
        <v>693</v>
      </c>
      <c r="V278" t="s">
        <v>694</v>
      </c>
      <c r="Z278" t="s">
        <v>107</v>
      </c>
      <c r="AA278" t="s">
        <v>107</v>
      </c>
      <c r="AB278" t="s">
        <v>71</v>
      </c>
      <c r="AC278" t="s">
        <v>72</v>
      </c>
      <c r="AD278" t="s">
        <v>52</v>
      </c>
      <c r="AE278" t="s">
        <v>53</v>
      </c>
      <c r="AF278" t="s">
        <v>52</v>
      </c>
      <c r="AG278" t="s">
        <v>54</v>
      </c>
      <c r="AH278" t="s">
        <v>55</v>
      </c>
      <c r="AK278">
        <v>10</v>
      </c>
      <c r="AL278">
        <v>10</v>
      </c>
      <c r="AN278">
        <v>387</v>
      </c>
      <c r="AO278">
        <v>28</v>
      </c>
      <c r="AP278" t="s">
        <v>56</v>
      </c>
      <c r="AQ278" t="s">
        <v>109</v>
      </c>
      <c r="AR278">
        <v>8.0299999999999994</v>
      </c>
      <c r="AS278">
        <v>0.03</v>
      </c>
      <c r="AT278" t="s">
        <v>56</v>
      </c>
      <c r="AU278">
        <v>1908</v>
      </c>
      <c r="AV278">
        <v>89</v>
      </c>
      <c r="AW278" t="s">
        <v>56</v>
      </c>
      <c r="AX278">
        <v>7.41</v>
      </c>
      <c r="AY278">
        <v>0.02</v>
      </c>
      <c r="AZ278" t="s">
        <v>56</v>
      </c>
      <c r="BB278">
        <f>LOG(AU278)</f>
        <v>3.2805783703680764</v>
      </c>
      <c r="BC278">
        <v>19.5</v>
      </c>
      <c r="BD278" t="s">
        <v>56</v>
      </c>
      <c r="BE278" t="s">
        <v>56</v>
      </c>
      <c r="BF278">
        <v>19.5</v>
      </c>
      <c r="BG278" t="s">
        <v>56</v>
      </c>
      <c r="BH278" t="s">
        <v>56</v>
      </c>
      <c r="BI278">
        <v>1521</v>
      </c>
      <c r="BJ278">
        <v>0</v>
      </c>
      <c r="BK278" s="1">
        <v>45914</v>
      </c>
      <c r="BL278" t="s">
        <v>696</v>
      </c>
      <c r="BM278" t="s">
        <v>697</v>
      </c>
      <c r="BN278" t="s">
        <v>60</v>
      </c>
      <c r="BO278" t="s">
        <v>193</v>
      </c>
      <c r="BP278" t="s">
        <v>9</v>
      </c>
      <c r="BQ278" t="s">
        <v>92</v>
      </c>
      <c r="BR278" t="s">
        <v>63</v>
      </c>
      <c r="BT278">
        <v>0.03</v>
      </c>
      <c r="BU278">
        <v>2.5000000000000001E-2</v>
      </c>
      <c r="BV278">
        <v>0.01</v>
      </c>
      <c r="BW278">
        <f>BV278*SQRT(AK278)</f>
        <v>3.1622776601683798E-2</v>
      </c>
      <c r="BX278">
        <v>0.02</v>
      </c>
      <c r="BY278">
        <v>1.7999999999999999E-2</v>
      </c>
      <c r="BZ278">
        <v>0.01</v>
      </c>
      <c r="CA278">
        <f>BZ278*SQRT(AL278)</f>
        <v>3.1622776601683798E-2</v>
      </c>
      <c r="CB278">
        <v>17</v>
      </c>
      <c r="CC278">
        <v>3</v>
      </c>
      <c r="CD278">
        <v>-0.32900000000000001</v>
      </c>
      <c r="CE278">
        <v>0.48039999999999999</v>
      </c>
      <c r="CF278" s="8"/>
    </row>
    <row r="279" spans="1:84" hidden="1" x14ac:dyDescent="0.2">
      <c r="B279" t="str">
        <f>ROW()-1&amp;"_AltersInvert"</f>
        <v>278_AltersInvert</v>
      </c>
      <c r="C279" t="str">
        <f>D279&amp;"_"&amp;
SUBSTITUTE(TRIM(V279)," ","_")&amp;"_"&amp;
TRIM(AC279)&amp;"_"&amp;
"CO2"&amp;TEXT(AN279,"0.00")&amp;"_"&amp;
"pH"&amp;TEXT(AR279,"0.00")&amp;"_"&amp;
"T"&amp;TEXT(BC279,"0.##")</f>
        <v>82_Doryteuthis_pealeii_LARVA_CO2387.00_pH8.03_T19.5</v>
      </c>
      <c r="D279">
        <v>82</v>
      </c>
      <c r="G279" t="s">
        <v>43</v>
      </c>
      <c r="H279" t="s">
        <v>691</v>
      </c>
      <c r="J279">
        <v>2020</v>
      </c>
      <c r="M279" t="s">
        <v>692</v>
      </c>
      <c r="P279" t="s">
        <v>1135</v>
      </c>
      <c r="R279" t="s">
        <v>1127</v>
      </c>
      <c r="S279" t="s">
        <v>1128</v>
      </c>
      <c r="T279" t="s">
        <v>68</v>
      </c>
      <c r="U279" t="s">
        <v>693</v>
      </c>
      <c r="V279" t="s">
        <v>694</v>
      </c>
      <c r="Z279" t="s">
        <v>107</v>
      </c>
      <c r="AA279" t="s">
        <v>107</v>
      </c>
      <c r="AB279" t="s">
        <v>71</v>
      </c>
      <c r="AC279" t="s">
        <v>72</v>
      </c>
      <c r="AD279" t="s">
        <v>52</v>
      </c>
      <c r="AE279" t="s">
        <v>53</v>
      </c>
      <c r="AF279" t="s">
        <v>52</v>
      </c>
      <c r="AG279" t="s">
        <v>54</v>
      </c>
      <c r="AH279" t="s">
        <v>55</v>
      </c>
      <c r="AK279">
        <v>10</v>
      </c>
      <c r="AL279">
        <v>10</v>
      </c>
      <c r="AN279">
        <v>387</v>
      </c>
      <c r="AO279">
        <v>28</v>
      </c>
      <c r="AP279" t="s">
        <v>56</v>
      </c>
      <c r="AQ279" t="s">
        <v>109</v>
      </c>
      <c r="AR279">
        <v>8.0299999999999994</v>
      </c>
      <c r="AS279">
        <v>0.03</v>
      </c>
      <c r="AT279" t="s">
        <v>56</v>
      </c>
      <c r="AU279">
        <v>2687</v>
      </c>
      <c r="AV279">
        <v>89</v>
      </c>
      <c r="AW279" t="s">
        <v>56</v>
      </c>
      <c r="AX279">
        <v>7.26</v>
      </c>
      <c r="AY279">
        <v>0.01</v>
      </c>
      <c r="AZ279" t="s">
        <v>56</v>
      </c>
      <c r="BB279">
        <f>LOG(AU279)</f>
        <v>3.4292676664331685</v>
      </c>
      <c r="BC279">
        <v>19.5</v>
      </c>
      <c r="BD279" t="s">
        <v>56</v>
      </c>
      <c r="BE279" t="s">
        <v>56</v>
      </c>
      <c r="BF279">
        <v>19.5</v>
      </c>
      <c r="BG279" t="s">
        <v>56</v>
      </c>
      <c r="BH279" t="s">
        <v>56</v>
      </c>
      <c r="BI279">
        <v>2300</v>
      </c>
      <c r="BJ279">
        <v>0</v>
      </c>
      <c r="BK279" s="1">
        <v>45914</v>
      </c>
      <c r="BL279" t="s">
        <v>696</v>
      </c>
      <c r="BM279" t="s">
        <v>697</v>
      </c>
      <c r="BN279" t="s">
        <v>60</v>
      </c>
      <c r="BO279" t="s">
        <v>193</v>
      </c>
      <c r="BP279" t="s">
        <v>9</v>
      </c>
      <c r="BQ279" t="s">
        <v>92</v>
      </c>
      <c r="BR279" t="s">
        <v>63</v>
      </c>
      <c r="BT279">
        <v>0.03</v>
      </c>
      <c r="BU279">
        <v>2.5000000000000001E-2</v>
      </c>
      <c r="BV279">
        <v>0.01</v>
      </c>
      <c r="BW279">
        <f>BV279*SQRT(AK279)</f>
        <v>3.1622776601683798E-2</v>
      </c>
      <c r="BX279">
        <v>0.02</v>
      </c>
      <c r="BY279">
        <v>2.1000000000000001E-2</v>
      </c>
      <c r="BZ279">
        <v>0.01</v>
      </c>
      <c r="CA279">
        <f>BZ279*SQRT(AL279)</f>
        <v>3.1622776601683798E-2</v>
      </c>
      <c r="CB279">
        <v>17</v>
      </c>
      <c r="CC279">
        <v>3</v>
      </c>
      <c r="CD279">
        <v>-0.17399999999999999</v>
      </c>
      <c r="CE279">
        <v>0.55689999999999995</v>
      </c>
      <c r="CF279" s="8"/>
    </row>
    <row r="280" spans="1:84" hidden="1" x14ac:dyDescent="0.2">
      <c r="B280" t="str">
        <f>ROW()-1&amp;"_AltersInvert"</f>
        <v>279_AltersInvert</v>
      </c>
      <c r="C280" t="str">
        <f>D280&amp;"_"&amp;
SUBSTITUTE(TRIM(V280)," ","_")&amp;"_"&amp;
TRIM(AC280)&amp;"_"&amp;
"CO2"&amp;TEXT(AN280,"0.00")&amp;"_"&amp;
"pH"&amp;TEXT(AR280,"0.00")&amp;"_"&amp;
"T"&amp;TEXT(BC280,"0.##")</f>
        <v>82_Doryteuthis_pealeii_LARVA_CO2387.00_pH8.03_T19.5</v>
      </c>
      <c r="D280">
        <v>82</v>
      </c>
      <c r="G280" t="s">
        <v>43</v>
      </c>
      <c r="H280" t="s">
        <v>691</v>
      </c>
      <c r="J280">
        <v>2020</v>
      </c>
      <c r="M280" t="s">
        <v>692</v>
      </c>
      <c r="P280" t="s">
        <v>1135</v>
      </c>
      <c r="R280" t="s">
        <v>1127</v>
      </c>
      <c r="S280" t="s">
        <v>1128</v>
      </c>
      <c r="T280" t="s">
        <v>68</v>
      </c>
      <c r="U280" t="s">
        <v>693</v>
      </c>
      <c r="V280" t="s">
        <v>694</v>
      </c>
      <c r="Z280" t="s">
        <v>107</v>
      </c>
      <c r="AA280" t="s">
        <v>107</v>
      </c>
      <c r="AB280" t="s">
        <v>71</v>
      </c>
      <c r="AC280" t="s">
        <v>72</v>
      </c>
      <c r="AD280" t="s">
        <v>52</v>
      </c>
      <c r="AE280" t="s">
        <v>53</v>
      </c>
      <c r="AF280" t="s">
        <v>54</v>
      </c>
      <c r="AG280" t="s">
        <v>52</v>
      </c>
      <c r="AH280" t="s">
        <v>65</v>
      </c>
      <c r="AK280">
        <v>10</v>
      </c>
      <c r="AL280">
        <v>10</v>
      </c>
      <c r="AN280">
        <v>387</v>
      </c>
      <c r="AO280">
        <v>28</v>
      </c>
      <c r="AP280" t="s">
        <v>56</v>
      </c>
      <c r="AQ280" t="s">
        <v>109</v>
      </c>
      <c r="AR280">
        <v>8.0299999999999994</v>
      </c>
      <c r="AS280">
        <v>0.03</v>
      </c>
      <c r="AT280" t="s">
        <v>56</v>
      </c>
      <c r="AU280">
        <v>452</v>
      </c>
      <c r="AV280">
        <v>42</v>
      </c>
      <c r="AW280" t="s">
        <v>56</v>
      </c>
      <c r="AX280">
        <v>7.97</v>
      </c>
      <c r="AY280">
        <v>0.03</v>
      </c>
      <c r="AZ280" t="s">
        <v>56</v>
      </c>
      <c r="BB280">
        <f>LOG(AU280)</f>
        <v>2.655138434811382</v>
      </c>
      <c r="BC280">
        <v>19.5</v>
      </c>
      <c r="BD280" t="s">
        <v>56</v>
      </c>
      <c r="BE280" t="s">
        <v>56</v>
      </c>
      <c r="BF280">
        <v>27.5</v>
      </c>
      <c r="BG280" t="s">
        <v>56</v>
      </c>
      <c r="BH280" t="s">
        <v>56</v>
      </c>
      <c r="BI280">
        <v>65</v>
      </c>
      <c r="BJ280">
        <v>8</v>
      </c>
      <c r="BK280" s="1">
        <v>45914</v>
      </c>
      <c r="BL280" t="s">
        <v>696</v>
      </c>
      <c r="BM280" t="s">
        <v>697</v>
      </c>
      <c r="BN280" t="s">
        <v>60</v>
      </c>
      <c r="BO280" t="s">
        <v>193</v>
      </c>
      <c r="BP280" t="s">
        <v>9</v>
      </c>
      <c r="BQ280" t="s">
        <v>92</v>
      </c>
      <c r="BR280" t="s">
        <v>63</v>
      </c>
      <c r="BT280">
        <v>0.03</v>
      </c>
      <c r="BU280">
        <v>2.5000000000000001E-2</v>
      </c>
      <c r="BV280">
        <v>0.01</v>
      </c>
      <c r="BW280">
        <f>BV280*SQRT(AK280)</f>
        <v>3.1622776601683798E-2</v>
      </c>
      <c r="BX280">
        <v>0.02</v>
      </c>
      <c r="BY280">
        <v>1.4999999999999999E-2</v>
      </c>
      <c r="BZ280">
        <v>0.01</v>
      </c>
      <c r="CA280">
        <f>BZ280*SQRT(AL280)</f>
        <v>3.1622776601683798E-2</v>
      </c>
      <c r="CB280">
        <v>9</v>
      </c>
      <c r="CC280">
        <v>3</v>
      </c>
      <c r="CD280">
        <v>-0.51100000000000001</v>
      </c>
      <c r="CE280">
        <v>0.34150000000000003</v>
      </c>
      <c r="CF280" s="8"/>
    </row>
    <row r="281" spans="1:84" hidden="1" x14ac:dyDescent="0.2">
      <c r="B281" t="str">
        <f>ROW()-1&amp;"_AltersInvert"</f>
        <v>280_AltersInvert</v>
      </c>
      <c r="C281" t="str">
        <f>D281&amp;"_"&amp;
SUBSTITUTE(TRIM(V281)," ","_")&amp;"_"&amp;
TRIM(AC281)&amp;"_"&amp;
"CO2"&amp;TEXT(AN281,"0.00")&amp;"_"&amp;
"pH"&amp;TEXT(AR281,"0.00")&amp;"_"&amp;
"T"&amp;TEXT(BC281,"0.##")</f>
        <v>82_Doryteuthis_pealeii_LARVA_CO2387.00_pH8.03_T19.5</v>
      </c>
      <c r="D281">
        <v>82</v>
      </c>
      <c r="G281" t="s">
        <v>43</v>
      </c>
      <c r="H281" t="s">
        <v>691</v>
      </c>
      <c r="J281">
        <v>2020</v>
      </c>
      <c r="M281" t="s">
        <v>692</v>
      </c>
      <c r="P281" t="s">
        <v>1135</v>
      </c>
      <c r="R281" t="s">
        <v>1127</v>
      </c>
      <c r="S281" t="s">
        <v>1128</v>
      </c>
      <c r="T281" t="s">
        <v>68</v>
      </c>
      <c r="U281" t="s">
        <v>693</v>
      </c>
      <c r="V281" t="s">
        <v>694</v>
      </c>
      <c r="Z281" t="s">
        <v>107</v>
      </c>
      <c r="AA281" t="s">
        <v>107</v>
      </c>
      <c r="AB281" t="s">
        <v>71</v>
      </c>
      <c r="AC281" t="s">
        <v>72</v>
      </c>
      <c r="AD281" t="s">
        <v>52</v>
      </c>
      <c r="AE281" t="s">
        <v>53</v>
      </c>
      <c r="AF281" t="s">
        <v>52</v>
      </c>
      <c r="AG281" t="s">
        <v>52</v>
      </c>
      <c r="AH281" t="s">
        <v>64</v>
      </c>
      <c r="AK281">
        <v>10</v>
      </c>
      <c r="AL281">
        <v>10</v>
      </c>
      <c r="AN281">
        <v>387</v>
      </c>
      <c r="AO281">
        <v>28</v>
      </c>
      <c r="AP281" t="s">
        <v>56</v>
      </c>
      <c r="AQ281" t="s">
        <v>109</v>
      </c>
      <c r="AR281">
        <v>8.0299999999999994</v>
      </c>
      <c r="AS281">
        <v>0.03</v>
      </c>
      <c r="AT281" t="s">
        <v>56</v>
      </c>
      <c r="AU281">
        <v>1907</v>
      </c>
      <c r="AV281">
        <v>108</v>
      </c>
      <c r="AW281" t="s">
        <v>56</v>
      </c>
      <c r="AX281">
        <v>7.42</v>
      </c>
      <c r="AY281">
        <v>0.02</v>
      </c>
      <c r="AZ281" t="s">
        <v>56</v>
      </c>
      <c r="BB281">
        <f>LOG(AU281)</f>
        <v>3.2803506930460058</v>
      </c>
      <c r="BC281">
        <v>19.5</v>
      </c>
      <c r="BD281" t="s">
        <v>56</v>
      </c>
      <c r="BE281" t="s">
        <v>56</v>
      </c>
      <c r="BF281">
        <v>27.5</v>
      </c>
      <c r="BG281" t="s">
        <v>56</v>
      </c>
      <c r="BH281" t="s">
        <v>56</v>
      </c>
      <c r="BI281">
        <v>1520</v>
      </c>
      <c r="BJ281">
        <v>8</v>
      </c>
      <c r="BK281" s="1">
        <v>45914</v>
      </c>
      <c r="BL281" t="s">
        <v>696</v>
      </c>
      <c r="BM281" t="s">
        <v>697</v>
      </c>
      <c r="BN281" t="s">
        <v>60</v>
      </c>
      <c r="BO281" t="s">
        <v>193</v>
      </c>
      <c r="BP281" t="s">
        <v>9</v>
      </c>
      <c r="BQ281" t="s">
        <v>92</v>
      </c>
      <c r="BR281" t="s">
        <v>63</v>
      </c>
      <c r="BT281">
        <v>0.03</v>
      </c>
      <c r="BU281">
        <v>2.5000000000000001E-2</v>
      </c>
      <c r="BV281">
        <v>0.01</v>
      </c>
      <c r="BW281">
        <f>BV281*SQRT(AK281)</f>
        <v>3.1622776601683798E-2</v>
      </c>
      <c r="BX281">
        <v>0.02</v>
      </c>
      <c r="BY281">
        <v>1.4999999999999999E-2</v>
      </c>
      <c r="BZ281">
        <v>0</v>
      </c>
      <c r="CA281">
        <f>BZ281*SQRT(AL281)</f>
        <v>0</v>
      </c>
      <c r="CB281">
        <v>10</v>
      </c>
      <c r="CC281">
        <v>3</v>
      </c>
      <c r="CD281">
        <v>-0.51100000000000001</v>
      </c>
      <c r="CE281">
        <v>0.30149999999999999</v>
      </c>
      <c r="CF281" s="8"/>
    </row>
    <row r="282" spans="1:84" hidden="1" x14ac:dyDescent="0.2">
      <c r="B282" t="str">
        <f>ROW()-1&amp;"_AltersInvert"</f>
        <v>281_AltersInvert</v>
      </c>
      <c r="C282" t="str">
        <f>D282&amp;"_"&amp;
SUBSTITUTE(TRIM(V282)," ","_")&amp;"_"&amp;
TRIM(AC282)&amp;"_"&amp;
"CO2"&amp;TEXT(AN282,"0.00")&amp;"_"&amp;
"pH"&amp;TEXT(AR282,"0.00")&amp;"_"&amp;
"T"&amp;TEXT(BC282,"0.##")</f>
        <v>82_Doryteuthis_pealeii_LARVA_CO2387.00_pH8.03_T19.5</v>
      </c>
      <c r="D282">
        <v>82</v>
      </c>
      <c r="G282" t="s">
        <v>43</v>
      </c>
      <c r="H282" t="s">
        <v>691</v>
      </c>
      <c r="J282">
        <v>2020</v>
      </c>
      <c r="M282" t="s">
        <v>692</v>
      </c>
      <c r="P282" t="s">
        <v>1135</v>
      </c>
      <c r="R282" t="s">
        <v>1127</v>
      </c>
      <c r="S282" t="s">
        <v>1128</v>
      </c>
      <c r="T282" t="s">
        <v>68</v>
      </c>
      <c r="U282" t="s">
        <v>693</v>
      </c>
      <c r="V282" t="s">
        <v>694</v>
      </c>
      <c r="Z282" t="s">
        <v>107</v>
      </c>
      <c r="AA282" t="s">
        <v>107</v>
      </c>
      <c r="AB282" t="s">
        <v>71</v>
      </c>
      <c r="AC282" t="s">
        <v>72</v>
      </c>
      <c r="AD282" t="s">
        <v>52</v>
      </c>
      <c r="AE282" t="s">
        <v>53</v>
      </c>
      <c r="AF282" t="s">
        <v>52</v>
      </c>
      <c r="AG282" t="s">
        <v>52</v>
      </c>
      <c r="AH282" t="s">
        <v>64</v>
      </c>
      <c r="AK282">
        <v>10</v>
      </c>
      <c r="AL282">
        <v>10</v>
      </c>
      <c r="AN282">
        <v>387</v>
      </c>
      <c r="AO282">
        <v>28</v>
      </c>
      <c r="AP282" t="s">
        <v>56</v>
      </c>
      <c r="AQ282" t="s">
        <v>109</v>
      </c>
      <c r="AR282">
        <v>8.0299999999999994</v>
      </c>
      <c r="AS282">
        <v>0.03</v>
      </c>
      <c r="AT282" t="s">
        <v>56</v>
      </c>
      <c r="AU282">
        <v>2691</v>
      </c>
      <c r="AV282">
        <v>87</v>
      </c>
      <c r="AW282" t="s">
        <v>56</v>
      </c>
      <c r="AX282">
        <v>7.28</v>
      </c>
      <c r="AY282">
        <v>0.02</v>
      </c>
      <c r="AZ282" t="s">
        <v>56</v>
      </c>
      <c r="BB282">
        <f>LOG(AU282)</f>
        <v>3.4299136977637543</v>
      </c>
      <c r="BC282">
        <v>19.5</v>
      </c>
      <c r="BD282" t="s">
        <v>56</v>
      </c>
      <c r="BE282" t="s">
        <v>56</v>
      </c>
      <c r="BF282">
        <v>27.5</v>
      </c>
      <c r="BG282" t="s">
        <v>56</v>
      </c>
      <c r="BH282" t="s">
        <v>56</v>
      </c>
      <c r="BI282">
        <v>2304</v>
      </c>
      <c r="BJ282">
        <v>8</v>
      </c>
      <c r="BK282" s="1">
        <v>45914</v>
      </c>
      <c r="BL282" t="s">
        <v>696</v>
      </c>
      <c r="BM282" t="s">
        <v>697</v>
      </c>
      <c r="BN282" t="s">
        <v>60</v>
      </c>
      <c r="BO282" t="s">
        <v>193</v>
      </c>
      <c r="BP282" t="s">
        <v>9</v>
      </c>
      <c r="BQ282" t="s">
        <v>92</v>
      </c>
      <c r="BR282" t="s">
        <v>63</v>
      </c>
      <c r="BT282">
        <v>0.03</v>
      </c>
      <c r="BU282">
        <v>2.5000000000000001E-2</v>
      </c>
      <c r="BV282">
        <v>0.01</v>
      </c>
      <c r="BW282">
        <f>BV282*SQRT(AK282)</f>
        <v>3.1622776601683798E-2</v>
      </c>
      <c r="BX282">
        <v>0.02</v>
      </c>
      <c r="BY282">
        <v>0.02</v>
      </c>
      <c r="BZ282">
        <v>0.01</v>
      </c>
      <c r="CA282">
        <f>BZ282*SQRT(AL282)</f>
        <v>3.1622776601683798E-2</v>
      </c>
      <c r="CB282">
        <v>10</v>
      </c>
      <c r="CC282">
        <v>3</v>
      </c>
      <c r="CD282">
        <v>-0.223</v>
      </c>
      <c r="CE282">
        <v>0.39040000000000002</v>
      </c>
      <c r="CF282" s="8"/>
    </row>
    <row r="283" spans="1:84" hidden="1" x14ac:dyDescent="0.2">
      <c r="B283" t="str">
        <f>ROW()-1&amp;"_AltersInvert"</f>
        <v>282_AltersInvert</v>
      </c>
      <c r="C283" t="str">
        <f>D283&amp;"_"&amp;
SUBSTITUTE(TRIM(V283)," ","_")&amp;"_"&amp;
TRIM(AC283)&amp;"_"&amp;
"CO2"&amp;TEXT(AN283,"0.00")&amp;"_"&amp;
"pH"&amp;TEXT(AR283,"0.00")&amp;"_"&amp;
"T"&amp;TEXT(BC283,"0.##")</f>
        <v>192_Balanus_amphitrite_LARVA_CO2416.00_pHNA_T29.8</v>
      </c>
      <c r="D283">
        <v>192</v>
      </c>
      <c r="G283" t="s">
        <v>43</v>
      </c>
      <c r="H283" t="s">
        <v>911</v>
      </c>
      <c r="J283">
        <v>2015</v>
      </c>
      <c r="M283" t="s">
        <v>45</v>
      </c>
      <c r="P283" t="s">
        <v>1135</v>
      </c>
      <c r="R283" t="s">
        <v>1127</v>
      </c>
      <c r="S283" t="s">
        <v>1128</v>
      </c>
      <c r="T283" t="s">
        <v>131</v>
      </c>
      <c r="U283" t="s">
        <v>860</v>
      </c>
      <c r="V283" t="s">
        <v>912</v>
      </c>
      <c r="Z283" t="s">
        <v>106</v>
      </c>
      <c r="AA283" t="s">
        <v>107</v>
      </c>
      <c r="AB283" t="s">
        <v>71</v>
      </c>
      <c r="AC283" t="s">
        <v>72</v>
      </c>
      <c r="AD283" t="s">
        <v>52</v>
      </c>
      <c r="AE283" t="s">
        <v>53</v>
      </c>
      <c r="AF283" t="s">
        <v>52</v>
      </c>
      <c r="AG283" t="s">
        <v>54</v>
      </c>
      <c r="AH283" t="s">
        <v>55</v>
      </c>
      <c r="AK283">
        <v>3</v>
      </c>
      <c r="AL283">
        <v>3</v>
      </c>
      <c r="AN283">
        <v>416</v>
      </c>
      <c r="AO283" t="s">
        <v>56</v>
      </c>
      <c r="AP283">
        <v>31</v>
      </c>
      <c r="AQ283" t="s">
        <v>56</v>
      </c>
      <c r="AR283" t="s">
        <v>56</v>
      </c>
      <c r="AS283" t="s">
        <v>56</v>
      </c>
      <c r="AT283" t="s">
        <v>56</v>
      </c>
      <c r="AU283">
        <v>784</v>
      </c>
      <c r="AV283" t="s">
        <v>56</v>
      </c>
      <c r="AW283">
        <v>19</v>
      </c>
      <c r="AX283" t="s">
        <v>56</v>
      </c>
      <c r="AY283" t="s">
        <v>56</v>
      </c>
      <c r="AZ283" t="s">
        <v>56</v>
      </c>
      <c r="BB283">
        <f>LOG(AU283)</f>
        <v>2.8943160626844384</v>
      </c>
      <c r="BC283">
        <v>29.8</v>
      </c>
      <c r="BD283" t="s">
        <v>56</v>
      </c>
      <c r="BE283">
        <v>0.2</v>
      </c>
      <c r="BF283">
        <v>29.8</v>
      </c>
      <c r="BG283" t="s">
        <v>56</v>
      </c>
      <c r="BH283">
        <v>0.2</v>
      </c>
      <c r="BI283">
        <v>368</v>
      </c>
      <c r="BJ283">
        <v>0</v>
      </c>
      <c r="BK283" t="s">
        <v>914</v>
      </c>
      <c r="BL283" t="s">
        <v>915</v>
      </c>
      <c r="BM283" t="s">
        <v>206</v>
      </c>
      <c r="BN283" t="s">
        <v>60</v>
      </c>
      <c r="BO283" t="s">
        <v>56</v>
      </c>
      <c r="BP283" t="s">
        <v>194</v>
      </c>
      <c r="BQ283" t="s">
        <v>194</v>
      </c>
      <c r="BR283" t="s">
        <v>63</v>
      </c>
      <c r="BT283">
        <v>1.27</v>
      </c>
      <c r="BU283">
        <v>1.27</v>
      </c>
      <c r="BV283">
        <v>0.02</v>
      </c>
      <c r="BW283">
        <f>BV283*SQRT(AK283)</f>
        <v>3.4641016151377546E-2</v>
      </c>
      <c r="BX283">
        <v>1.23</v>
      </c>
      <c r="BY283">
        <v>1.23</v>
      </c>
      <c r="BZ283">
        <v>0.04</v>
      </c>
      <c r="CA283">
        <f>BZ283*SQRT(AL283)</f>
        <v>6.9282032302755092E-2</v>
      </c>
      <c r="CB283">
        <v>5</v>
      </c>
      <c r="CC283">
        <v>3</v>
      </c>
      <c r="CD283">
        <v>-3.2000000000000001E-2</v>
      </c>
      <c r="CE283">
        <v>1.2999999999999999E-3</v>
      </c>
    </row>
    <row r="284" spans="1:84" hidden="1" x14ac:dyDescent="0.2">
      <c r="B284" t="str">
        <f>ROW()-1&amp;"_AltersInvert"</f>
        <v>283_AltersInvert</v>
      </c>
      <c r="C284" t="str">
        <f>D284&amp;"_"&amp;
SUBSTITUTE(TRIM(V284)," ","_")&amp;"_"&amp;
TRIM(AC284)&amp;"_"&amp;
"CO2"&amp;TEXT(AN284,"0.00")&amp;"_"&amp;
"pH"&amp;TEXT(AR284,"0.00")&amp;"_"&amp;
"T"&amp;TEXT(BC284,"0.##")</f>
        <v>192_Balanus_amphitrite_LARVA_CO2416.00_pHNA_T29.8</v>
      </c>
      <c r="D284">
        <v>192</v>
      </c>
      <c r="G284" t="s">
        <v>43</v>
      </c>
      <c r="H284" t="s">
        <v>911</v>
      </c>
      <c r="J284">
        <v>2015</v>
      </c>
      <c r="M284" t="s">
        <v>45</v>
      </c>
      <c r="P284" t="s">
        <v>1135</v>
      </c>
      <c r="R284" t="s">
        <v>1127</v>
      </c>
      <c r="S284" t="s">
        <v>1128</v>
      </c>
      <c r="T284" t="s">
        <v>131</v>
      </c>
      <c r="U284" t="s">
        <v>860</v>
      </c>
      <c r="V284" t="s">
        <v>912</v>
      </c>
      <c r="Z284" t="s">
        <v>106</v>
      </c>
      <c r="AA284" t="s">
        <v>107</v>
      </c>
      <c r="AB284" t="s">
        <v>71</v>
      </c>
      <c r="AC284" t="s">
        <v>72</v>
      </c>
      <c r="AD284" t="s">
        <v>52</v>
      </c>
      <c r="AE284" t="s">
        <v>53</v>
      </c>
      <c r="AF284" t="s">
        <v>54</v>
      </c>
      <c r="AG284" t="s">
        <v>52</v>
      </c>
      <c r="AH284" t="s">
        <v>65</v>
      </c>
      <c r="AK284">
        <v>3</v>
      </c>
      <c r="AL284">
        <v>3</v>
      </c>
      <c r="AN284">
        <v>416</v>
      </c>
      <c r="AO284" t="s">
        <v>56</v>
      </c>
      <c r="AP284">
        <v>31</v>
      </c>
      <c r="AQ284" t="s">
        <v>56</v>
      </c>
      <c r="AR284" t="s">
        <v>56</v>
      </c>
      <c r="AS284" t="s">
        <v>56</v>
      </c>
      <c r="AT284" t="s">
        <v>56</v>
      </c>
      <c r="AU284">
        <v>412</v>
      </c>
      <c r="AV284" t="s">
        <v>56</v>
      </c>
      <c r="AW284">
        <v>9</v>
      </c>
      <c r="AX284" t="s">
        <v>56</v>
      </c>
      <c r="AY284" t="s">
        <v>56</v>
      </c>
      <c r="AZ284" t="s">
        <v>56</v>
      </c>
      <c r="BB284">
        <f>LOG(AU284)</f>
        <v>2.6148972160331345</v>
      </c>
      <c r="BC284">
        <v>29.8</v>
      </c>
      <c r="BD284" t="s">
        <v>56</v>
      </c>
      <c r="BE284">
        <v>0.2</v>
      </c>
      <c r="BF284">
        <v>33.9</v>
      </c>
      <c r="BG284" t="s">
        <v>56</v>
      </c>
      <c r="BH284">
        <v>0.4</v>
      </c>
      <c r="BI284">
        <v>-4</v>
      </c>
      <c r="BJ284">
        <v>4.0999999999999996</v>
      </c>
      <c r="BK284" t="s">
        <v>914</v>
      </c>
      <c r="BL284" t="s">
        <v>915</v>
      </c>
      <c r="BM284" t="s">
        <v>206</v>
      </c>
      <c r="BN284" t="s">
        <v>60</v>
      </c>
      <c r="BO284" t="s">
        <v>56</v>
      </c>
      <c r="BP284" t="s">
        <v>194</v>
      </c>
      <c r="BQ284" t="s">
        <v>194</v>
      </c>
      <c r="BR284" t="s">
        <v>63</v>
      </c>
      <c r="BT284">
        <v>1.27</v>
      </c>
      <c r="BU284">
        <v>1.27</v>
      </c>
      <c r="BV284">
        <v>0.02</v>
      </c>
      <c r="BW284">
        <f>BV284*SQRT(AK284)</f>
        <v>3.4641016151377546E-2</v>
      </c>
      <c r="BX284">
        <v>1.19</v>
      </c>
      <c r="BY284">
        <v>1.19</v>
      </c>
      <c r="BZ284">
        <v>0.02</v>
      </c>
      <c r="CA284">
        <f>BZ284*SQRT(AL284)</f>
        <v>3.4641016151377546E-2</v>
      </c>
      <c r="CB284">
        <v>5</v>
      </c>
      <c r="CC284">
        <v>3</v>
      </c>
      <c r="CD284">
        <v>-6.5000000000000002E-2</v>
      </c>
      <c r="CE284">
        <v>5.9999999999999995E-4</v>
      </c>
    </row>
    <row r="285" spans="1:84" hidden="1" x14ac:dyDescent="0.2">
      <c r="B285" t="str">
        <f>ROW()-1&amp;"_AltersInvert"</f>
        <v>284_AltersInvert</v>
      </c>
      <c r="C285" t="str">
        <f>D285&amp;"_"&amp;
SUBSTITUTE(TRIM(V285)," ","_")&amp;"_"&amp;
TRIM(AC285)&amp;"_"&amp;
"CO2"&amp;TEXT(AN285,"0.00")&amp;"_"&amp;
"pH"&amp;TEXT(AR285,"0.00")&amp;"_"&amp;
"T"&amp;TEXT(BC285,"0.##")</f>
        <v>192_Balanus_amphitrite_LARVA_CO2416.00_pHNA_T29.8</v>
      </c>
      <c r="D285">
        <v>192</v>
      </c>
      <c r="G285" t="s">
        <v>43</v>
      </c>
      <c r="H285" t="s">
        <v>911</v>
      </c>
      <c r="J285">
        <v>2015</v>
      </c>
      <c r="M285" t="s">
        <v>45</v>
      </c>
      <c r="P285" t="s">
        <v>1135</v>
      </c>
      <c r="R285" t="s">
        <v>1127</v>
      </c>
      <c r="S285" t="s">
        <v>1128</v>
      </c>
      <c r="T285" t="s">
        <v>131</v>
      </c>
      <c r="U285" t="s">
        <v>860</v>
      </c>
      <c r="V285" t="s">
        <v>912</v>
      </c>
      <c r="Z285" t="s">
        <v>106</v>
      </c>
      <c r="AA285" t="s">
        <v>107</v>
      </c>
      <c r="AB285" t="s">
        <v>71</v>
      </c>
      <c r="AC285" t="s">
        <v>72</v>
      </c>
      <c r="AD285" t="s">
        <v>52</v>
      </c>
      <c r="AE285" t="s">
        <v>53</v>
      </c>
      <c r="AF285" t="s">
        <v>52</v>
      </c>
      <c r="AG285" t="s">
        <v>52</v>
      </c>
      <c r="AH285" t="s">
        <v>64</v>
      </c>
      <c r="AK285">
        <v>3</v>
      </c>
      <c r="AL285">
        <v>3</v>
      </c>
      <c r="AN285">
        <v>416</v>
      </c>
      <c r="AO285" t="s">
        <v>56</v>
      </c>
      <c r="AP285">
        <v>31</v>
      </c>
      <c r="AQ285" t="s">
        <v>56</v>
      </c>
      <c r="AR285" t="s">
        <v>56</v>
      </c>
      <c r="AS285" t="s">
        <v>56</v>
      </c>
      <c r="AT285" t="s">
        <v>56</v>
      </c>
      <c r="AU285">
        <v>781</v>
      </c>
      <c r="AV285" t="s">
        <v>56</v>
      </c>
      <c r="AW285">
        <v>22</v>
      </c>
      <c r="AX285" t="s">
        <v>56</v>
      </c>
      <c r="AY285" t="s">
        <v>56</v>
      </c>
      <c r="AZ285" t="s">
        <v>56</v>
      </c>
      <c r="BB285">
        <f>LOG(AU285)</f>
        <v>2.8926510338773004</v>
      </c>
      <c r="BC285">
        <v>29.8</v>
      </c>
      <c r="BD285" t="s">
        <v>56</v>
      </c>
      <c r="BE285">
        <v>0.2</v>
      </c>
      <c r="BF285">
        <v>33.9</v>
      </c>
      <c r="BG285" t="s">
        <v>56</v>
      </c>
      <c r="BH285">
        <v>0.4</v>
      </c>
      <c r="BI285">
        <v>365</v>
      </c>
      <c r="BJ285">
        <v>4.0999999999999996</v>
      </c>
      <c r="BK285" t="s">
        <v>914</v>
      </c>
      <c r="BL285" t="s">
        <v>915</v>
      </c>
      <c r="BM285" t="s">
        <v>206</v>
      </c>
      <c r="BN285" t="s">
        <v>60</v>
      </c>
      <c r="BO285" t="s">
        <v>56</v>
      </c>
      <c r="BP285" t="s">
        <v>194</v>
      </c>
      <c r="BQ285" t="s">
        <v>194</v>
      </c>
      <c r="BR285" t="s">
        <v>63</v>
      </c>
      <c r="BT285">
        <v>1.27</v>
      </c>
      <c r="BU285">
        <v>1.27</v>
      </c>
      <c r="BV285">
        <v>0.02</v>
      </c>
      <c r="BW285">
        <f>BV285*SQRT(AK285)</f>
        <v>3.4641016151377546E-2</v>
      </c>
      <c r="BX285">
        <v>1.01</v>
      </c>
      <c r="BY285">
        <v>1.01</v>
      </c>
      <c r="BZ285">
        <v>0.02</v>
      </c>
      <c r="CA285">
        <f>BZ285*SQRT(AL285)</f>
        <v>3.4641016151377546E-2</v>
      </c>
      <c r="CB285">
        <v>4</v>
      </c>
      <c r="CC285">
        <v>3</v>
      </c>
      <c r="CD285">
        <v>-0.22900000000000001</v>
      </c>
      <c r="CE285">
        <v>6.9999999999999999E-4</v>
      </c>
    </row>
    <row r="286" spans="1:84" hidden="1" x14ac:dyDescent="0.2">
      <c r="A286" s="8"/>
      <c r="B286" t="str">
        <f>ROW()-1&amp;"_AltersInvert"</f>
        <v>285_AltersInvert</v>
      </c>
      <c r="C286" t="str">
        <f>D286&amp;"_"&amp;
SUBSTITUTE(TRIM(V286)," ","_")&amp;"_"&amp;
TRIM(AC286)&amp;"_"&amp;
"CO2"&amp;TEXT(AN286,"0.00")&amp;"_"&amp;
"pH"&amp;TEXT(AR286,"0.00")&amp;"_"&amp;
"T"&amp;TEXT(BC286,"0.##")</f>
        <v>220_Ophryotrocha_labronica_EMBRYO_CO2386.00_pH0.00_T27.</v>
      </c>
      <c r="D286" s="8">
        <v>220</v>
      </c>
      <c r="E286" s="8"/>
      <c r="F286" s="8"/>
      <c r="G286" s="8" t="s">
        <v>43</v>
      </c>
      <c r="H286" s="8" t="s">
        <v>999</v>
      </c>
      <c r="I286" s="8"/>
      <c r="J286" s="8">
        <v>2016</v>
      </c>
      <c r="K286" s="8"/>
      <c r="L286" s="8"/>
      <c r="M286" s="8" t="s">
        <v>1000</v>
      </c>
      <c r="N286" s="8"/>
      <c r="O286" s="8"/>
      <c r="P286" t="s">
        <v>1135</v>
      </c>
      <c r="Q286" s="8"/>
      <c r="R286" s="8" t="s">
        <v>1127</v>
      </c>
      <c r="S286" t="s">
        <v>1128</v>
      </c>
      <c r="T286" s="8" t="s">
        <v>136</v>
      </c>
      <c r="U286" s="8" t="s">
        <v>321</v>
      </c>
      <c r="V286" s="8" t="s">
        <v>322</v>
      </c>
      <c r="W286" s="8" t="str">
        <f>IF(ISNUMBER(MATCH(#REF!,{"Doryteuthis pealeii","Loligo vulgaris","Leptuca thayeri","Stylocheilus striatus","Ophryotrocha labronica"},0)),"N","Y")</f>
        <v>Y</v>
      </c>
      <c r="X286" s="8"/>
      <c r="Y286" s="8"/>
      <c r="Z286" s="8"/>
      <c r="AA286" s="8"/>
      <c r="AB286" s="8"/>
      <c r="AC286" s="8" t="s">
        <v>195</v>
      </c>
      <c r="AD286" s="8"/>
      <c r="AE286" s="8"/>
      <c r="AF286" s="8" t="s">
        <v>52</v>
      </c>
      <c r="AG286" s="8" t="s">
        <v>54</v>
      </c>
      <c r="AH286" s="8" t="s">
        <v>55</v>
      </c>
      <c r="AI286" s="8"/>
      <c r="AJ286" s="8"/>
      <c r="AK286" s="8">
        <v>12</v>
      </c>
      <c r="AL286" s="8">
        <v>12</v>
      </c>
      <c r="AM286" s="8"/>
      <c r="AN286" s="8">
        <v>386</v>
      </c>
      <c r="AO286" s="8"/>
      <c r="AP286" s="8"/>
      <c r="AQ286" s="8"/>
      <c r="AR286" s="8"/>
      <c r="AS286" s="8"/>
      <c r="AT286" s="8"/>
      <c r="AU286" s="8">
        <v>1248</v>
      </c>
      <c r="BA286" s="8"/>
      <c r="BB286" s="8">
        <f>LOG(AU286)</f>
        <v>3.0962145853464054</v>
      </c>
      <c r="BC286" s="8">
        <v>27</v>
      </c>
      <c r="BD286" s="8"/>
      <c r="BE286" s="8"/>
      <c r="BF286" s="8">
        <v>26.9</v>
      </c>
      <c r="BG286" s="8"/>
      <c r="BH286" s="8"/>
      <c r="BI286" s="8">
        <v>862</v>
      </c>
      <c r="BJ286" s="8">
        <v>-0.1</v>
      </c>
      <c r="BK286" s="8" t="s">
        <v>1001</v>
      </c>
      <c r="BL286" s="8" t="s">
        <v>994</v>
      </c>
      <c r="BM286" s="8" t="s">
        <v>262</v>
      </c>
      <c r="BN286" s="8" t="s">
        <v>81</v>
      </c>
      <c r="BO286" s="8" t="s">
        <v>193</v>
      </c>
      <c r="BP286" s="8" t="s">
        <v>92</v>
      </c>
      <c r="BQ286" s="8" t="s">
        <v>92</v>
      </c>
      <c r="BR286" s="8" t="s">
        <v>63</v>
      </c>
      <c r="BS286" s="8"/>
      <c r="BT286" s="8">
        <v>0.62</v>
      </c>
      <c r="BU286" s="8">
        <v>0.61780000000000002</v>
      </c>
      <c r="BV286" s="8">
        <v>0.01</v>
      </c>
      <c r="BW286" s="8">
        <f>BV286*SQRT(AK286)</f>
        <v>3.4641016151377546E-2</v>
      </c>
      <c r="BX286" s="8">
        <v>0.55210000000000004</v>
      </c>
      <c r="BY286" s="8">
        <v>0.55210000000000004</v>
      </c>
      <c r="BZ286" s="8">
        <v>0.01</v>
      </c>
      <c r="CA286" s="8">
        <f>BZ286*SQRT(AL286)</f>
        <v>3.4641016151377546E-2</v>
      </c>
      <c r="CB286" s="8" t="s">
        <v>56</v>
      </c>
      <c r="CC286" s="8"/>
      <c r="CD286" s="8">
        <v>-0.112</v>
      </c>
      <c r="CE286" s="8">
        <v>8.9999999999999998E-4</v>
      </c>
      <c r="CF286" s="8" t="s">
        <v>1134</v>
      </c>
    </row>
    <row r="287" spans="1:84" hidden="1" x14ac:dyDescent="0.2">
      <c r="A287" s="8"/>
      <c r="B287" t="str">
        <f>ROW()-1&amp;"_AltersInvert"</f>
        <v>286_AltersInvert</v>
      </c>
      <c r="C287" t="str">
        <f>D287&amp;"_"&amp;
SUBSTITUTE(TRIM(V287)," ","_")&amp;"_"&amp;
TRIM(AC287)&amp;"_"&amp;
"CO2"&amp;TEXT(AN287,"0.00")&amp;"_"&amp;
"pH"&amp;TEXT(AR287,"0.00")&amp;"_"&amp;
"T"&amp;TEXT(BC287,"0.##")</f>
        <v>220_Ophryotrocha_labronica_EMBRYO_CO2386.00_pH0.00_T27.</v>
      </c>
      <c r="D287" s="8">
        <v>220</v>
      </c>
      <c r="E287" s="8"/>
      <c r="F287" s="8"/>
      <c r="G287" s="8" t="s">
        <v>43</v>
      </c>
      <c r="H287" s="8" t="s">
        <v>999</v>
      </c>
      <c r="I287" s="8"/>
      <c r="J287" s="8">
        <v>2016</v>
      </c>
      <c r="K287" s="8"/>
      <c r="L287" s="8"/>
      <c r="M287" s="8" t="s">
        <v>1000</v>
      </c>
      <c r="N287" s="8"/>
      <c r="O287" s="8"/>
      <c r="P287" t="s">
        <v>1135</v>
      </c>
      <c r="Q287" s="8"/>
      <c r="R287" s="8" t="s">
        <v>1127</v>
      </c>
      <c r="S287" t="s">
        <v>1128</v>
      </c>
      <c r="T287" s="8" t="s">
        <v>136</v>
      </c>
      <c r="U287" s="8" t="s">
        <v>321</v>
      </c>
      <c r="V287" s="8" t="s">
        <v>322</v>
      </c>
      <c r="W287" s="8" t="str">
        <f>IF(ISNUMBER(MATCH(#REF!,{"Doryteuthis pealeii","Loligo vulgaris","Leptuca thayeri","Stylocheilus striatus","Ophryotrocha labronica"},0)),"N","Y")</f>
        <v>Y</v>
      </c>
      <c r="X287" s="8"/>
      <c r="Y287" s="8"/>
      <c r="Z287" s="8"/>
      <c r="AA287" s="8"/>
      <c r="AB287" s="8"/>
      <c r="AC287" s="8" t="s">
        <v>195</v>
      </c>
      <c r="AD287" s="8"/>
      <c r="AE287" s="8"/>
      <c r="AF287" s="8" t="s">
        <v>54</v>
      </c>
      <c r="AG287" s="8" t="s">
        <v>52</v>
      </c>
      <c r="AH287" s="8" t="s">
        <v>65</v>
      </c>
      <c r="AI287" s="8"/>
      <c r="AJ287" s="8"/>
      <c r="AK287" s="8">
        <v>12</v>
      </c>
      <c r="AL287" s="8">
        <v>12</v>
      </c>
      <c r="AM287" s="8"/>
      <c r="AN287" s="8">
        <v>386</v>
      </c>
      <c r="AO287" s="8"/>
      <c r="AP287" s="8"/>
      <c r="AQ287" s="8"/>
      <c r="AR287" s="8"/>
      <c r="AS287" s="8"/>
      <c r="AT287" s="8"/>
      <c r="AU287" s="8">
        <v>402</v>
      </c>
      <c r="BA287" s="8"/>
      <c r="BB287" s="8">
        <f>LOG(AU287)</f>
        <v>2.6042260530844699</v>
      </c>
      <c r="BC287" s="8">
        <v>27</v>
      </c>
      <c r="BD287" s="8"/>
      <c r="BE287" s="8"/>
      <c r="BF287" s="8">
        <v>29.9</v>
      </c>
      <c r="BG287" s="8"/>
      <c r="BH287" s="8"/>
      <c r="BI287" s="8">
        <v>16</v>
      </c>
      <c r="BJ287" s="8">
        <v>2.9</v>
      </c>
      <c r="BK287" s="8" t="s">
        <v>1001</v>
      </c>
      <c r="BL287" s="8" t="s">
        <v>994</v>
      </c>
      <c r="BM287" s="8" t="s">
        <v>262</v>
      </c>
      <c r="BN287" s="8" t="s">
        <v>81</v>
      </c>
      <c r="BO287" s="8" t="s">
        <v>193</v>
      </c>
      <c r="BP287" s="8" t="s">
        <v>92</v>
      </c>
      <c r="BQ287" s="8" t="s">
        <v>92</v>
      </c>
      <c r="BR287" s="8" t="s">
        <v>63</v>
      </c>
      <c r="BS287" s="8"/>
      <c r="BT287" s="8">
        <v>0.62</v>
      </c>
      <c r="BU287" s="8">
        <v>0.61780000000000002</v>
      </c>
      <c r="BV287" s="8">
        <v>0.01</v>
      </c>
      <c r="BW287" s="8">
        <f>BV287*SQRT(AK287)</f>
        <v>3.4641016151377546E-2</v>
      </c>
      <c r="BX287" s="8">
        <v>0.54379999999999995</v>
      </c>
      <c r="BY287" s="8">
        <v>0.54379999999999995</v>
      </c>
      <c r="BZ287" s="8">
        <v>0.01</v>
      </c>
      <c r="CA287" s="8">
        <f>BZ287*SQRT(AL287)</f>
        <v>3.4641016151377546E-2</v>
      </c>
      <c r="CB287" s="8" t="s">
        <v>56</v>
      </c>
      <c r="CC287" s="8"/>
      <c r="CD287" s="8">
        <v>-0.128</v>
      </c>
      <c r="CE287" s="8">
        <v>8.0000000000000004E-4</v>
      </c>
      <c r="CF287" s="8" t="s">
        <v>1134</v>
      </c>
    </row>
    <row r="288" spans="1:84" hidden="1" x14ac:dyDescent="0.2">
      <c r="A288" s="8"/>
      <c r="B288" t="str">
        <f>ROW()-1&amp;"_AltersInvert"</f>
        <v>287_AltersInvert</v>
      </c>
      <c r="C288" t="str">
        <f>D288&amp;"_"&amp;
SUBSTITUTE(TRIM(V288)," ","_")&amp;"_"&amp;
TRIM(AC288)&amp;"_"&amp;
"CO2"&amp;TEXT(AN288,"0.00")&amp;"_"&amp;
"pH"&amp;TEXT(AR288,"0.00")&amp;"_"&amp;
"T"&amp;TEXT(BC288,"0.##")</f>
        <v>220_Ophryotrocha_labronica_EMBRYO_CO2386.00_pH0.00_T27.</v>
      </c>
      <c r="D288" s="8">
        <v>220</v>
      </c>
      <c r="E288" s="8"/>
      <c r="F288" s="8"/>
      <c r="G288" s="8" t="s">
        <v>43</v>
      </c>
      <c r="H288" s="8" t="s">
        <v>999</v>
      </c>
      <c r="I288" s="8"/>
      <c r="J288" s="8">
        <v>2016</v>
      </c>
      <c r="K288" s="8"/>
      <c r="L288" s="8"/>
      <c r="M288" s="8" t="s">
        <v>1000</v>
      </c>
      <c r="N288" s="8"/>
      <c r="O288" s="8"/>
      <c r="P288" t="s">
        <v>1135</v>
      </c>
      <c r="Q288" s="8"/>
      <c r="R288" s="8" t="s">
        <v>1127</v>
      </c>
      <c r="S288" t="s">
        <v>1128</v>
      </c>
      <c r="T288" s="8" t="s">
        <v>136</v>
      </c>
      <c r="U288" s="8" t="s">
        <v>321</v>
      </c>
      <c r="V288" s="8" t="s">
        <v>322</v>
      </c>
      <c r="W288" s="8" t="str">
        <f>IF(ISNUMBER(MATCH(#REF!,{"Doryteuthis pealeii","Loligo vulgaris","Leptuca thayeri","Stylocheilus striatus","Ophryotrocha labronica"},0)),"N","Y")</f>
        <v>Y</v>
      </c>
      <c r="X288" s="8"/>
      <c r="Y288" s="8"/>
      <c r="Z288" s="8"/>
      <c r="AA288" s="8"/>
      <c r="AB288" s="8"/>
      <c r="AC288" s="8" t="s">
        <v>195</v>
      </c>
      <c r="AD288" s="8"/>
      <c r="AE288" s="8"/>
      <c r="AF288" s="8" t="s">
        <v>52</v>
      </c>
      <c r="AG288" s="8" t="s">
        <v>52</v>
      </c>
      <c r="AH288" s="8" t="s">
        <v>64</v>
      </c>
      <c r="AI288" s="8"/>
      <c r="AJ288" s="8"/>
      <c r="AK288" s="8">
        <v>12</v>
      </c>
      <c r="AL288" s="8">
        <v>12</v>
      </c>
      <c r="AM288" s="8"/>
      <c r="AN288" s="8">
        <v>386</v>
      </c>
      <c r="AO288" s="8"/>
      <c r="AP288" s="8"/>
      <c r="AQ288" s="8"/>
      <c r="AR288" s="8"/>
      <c r="AS288" s="8"/>
      <c r="AT288" s="8"/>
      <c r="AU288" s="8">
        <v>1222</v>
      </c>
      <c r="BA288" s="8"/>
      <c r="BB288" s="8">
        <f>LOG(AU288)</f>
        <v>3.0870712059065353</v>
      </c>
      <c r="BC288" s="8">
        <v>27</v>
      </c>
      <c r="BD288" s="8"/>
      <c r="BE288" s="8"/>
      <c r="BF288" s="8">
        <v>29.8</v>
      </c>
      <c r="BG288" s="8"/>
      <c r="BH288" s="8"/>
      <c r="BI288" s="8">
        <v>836</v>
      </c>
      <c r="BJ288" s="8">
        <v>2.8</v>
      </c>
      <c r="BK288" s="8" t="s">
        <v>1001</v>
      </c>
      <c r="BL288" s="8" t="s">
        <v>994</v>
      </c>
      <c r="BM288" s="8" t="s">
        <v>262</v>
      </c>
      <c r="BN288" s="8" t="s">
        <v>81</v>
      </c>
      <c r="BO288" s="8" t="s">
        <v>193</v>
      </c>
      <c r="BP288" s="8" t="s">
        <v>92</v>
      </c>
      <c r="BQ288" s="8" t="s">
        <v>92</v>
      </c>
      <c r="BR288" s="8" t="s">
        <v>63</v>
      </c>
      <c r="BS288" s="8"/>
      <c r="BT288" s="8">
        <v>0.62</v>
      </c>
      <c r="BU288" s="8">
        <v>0.61780000000000002</v>
      </c>
      <c r="BV288" s="8">
        <v>0.01</v>
      </c>
      <c r="BW288" s="8">
        <f>BV288*SQRT(AK288)</f>
        <v>3.4641016151377546E-2</v>
      </c>
      <c r="BX288" s="8">
        <v>0.61990000000000001</v>
      </c>
      <c r="BY288" s="8">
        <v>0.61990000000000001</v>
      </c>
      <c r="BZ288" s="8">
        <v>0.02</v>
      </c>
      <c r="CA288" s="8">
        <f>BZ288*SQRT(AL288)</f>
        <v>6.9282032302755092E-2</v>
      </c>
      <c r="CB288" s="8" t="s">
        <v>56</v>
      </c>
      <c r="CC288" s="8"/>
      <c r="CD288" s="8">
        <v>3.0000000000000001E-3</v>
      </c>
      <c r="CE288" s="8">
        <v>1.1999999999999999E-3</v>
      </c>
      <c r="CF288" s="8" t="s">
        <v>1134</v>
      </c>
    </row>
    <row r="289" spans="1:84" hidden="1" x14ac:dyDescent="0.2">
      <c r="B289" t="str">
        <f>ROW()-1&amp;"_AltersInvert"</f>
        <v>288_AltersInvert</v>
      </c>
      <c r="C289" t="str">
        <f>D289&amp;"_"&amp;
SUBSTITUTE(TRIM(V289)," ","_")&amp;"_"&amp;
TRIM(AC289)&amp;"_"&amp;
"CO2"&amp;TEXT(AN289,"0.00")&amp;"_"&amp;
"pH"&amp;TEXT(AR289,"0.00")&amp;"_"&amp;
"T"&amp;TEXT(BC289,"0.##")</f>
        <v>10_Pocillopora_damicornis _LARVA_CO2420.00_pH8.03_T25.3</v>
      </c>
      <c r="D289">
        <v>10</v>
      </c>
      <c r="G289" t="s">
        <v>43</v>
      </c>
      <c r="H289" t="s">
        <v>199</v>
      </c>
      <c r="J289">
        <v>2013</v>
      </c>
      <c r="M289" t="s">
        <v>200</v>
      </c>
      <c r="P289" t="s">
        <v>1135</v>
      </c>
      <c r="R289" t="s">
        <v>1127</v>
      </c>
      <c r="S289" t="s">
        <v>1128</v>
      </c>
      <c r="T289" t="s">
        <v>103</v>
      </c>
      <c r="U289" t="s">
        <v>201</v>
      </c>
      <c r="V289" t="s">
        <v>202</v>
      </c>
      <c r="Z289" t="s">
        <v>106</v>
      </c>
      <c r="AA289" t="s">
        <v>107</v>
      </c>
      <c r="AB289" t="s">
        <v>71</v>
      </c>
      <c r="AC289" t="s">
        <v>72</v>
      </c>
      <c r="AD289" t="s">
        <v>52</v>
      </c>
      <c r="AE289" t="s">
        <v>53</v>
      </c>
      <c r="AF289" t="s">
        <v>52</v>
      </c>
      <c r="AG289" t="s">
        <v>54</v>
      </c>
      <c r="AH289" t="s">
        <v>55</v>
      </c>
      <c r="AK289">
        <v>3</v>
      </c>
      <c r="AL289">
        <v>3</v>
      </c>
      <c r="AN289">
        <v>420</v>
      </c>
      <c r="AO289">
        <v>13</v>
      </c>
      <c r="AP289" t="s">
        <v>56</v>
      </c>
      <c r="AQ289" t="s">
        <v>109</v>
      </c>
      <c r="AR289">
        <v>8.0299999999999994</v>
      </c>
      <c r="AS289">
        <v>0.01</v>
      </c>
      <c r="AT289" t="s">
        <v>56</v>
      </c>
      <c r="AU289">
        <v>607</v>
      </c>
      <c r="AV289">
        <v>15</v>
      </c>
      <c r="AW289" t="s">
        <v>56</v>
      </c>
      <c r="AX289">
        <v>7.9</v>
      </c>
      <c r="AY289">
        <v>0.01</v>
      </c>
      <c r="AZ289" t="s">
        <v>56</v>
      </c>
      <c r="BB289">
        <f>LOG(AU289)</f>
        <v>2.7831886910752575</v>
      </c>
      <c r="BC289">
        <v>25.3</v>
      </c>
      <c r="BD289">
        <v>0.1</v>
      </c>
      <c r="BE289" t="s">
        <v>56</v>
      </c>
      <c r="BF289">
        <v>25.5</v>
      </c>
      <c r="BG289">
        <v>0.1</v>
      </c>
      <c r="BH289" t="s">
        <v>56</v>
      </c>
      <c r="BI289">
        <v>187</v>
      </c>
      <c r="BJ289">
        <v>0.2</v>
      </c>
      <c r="BK289" t="s">
        <v>56</v>
      </c>
      <c r="BL289" t="s">
        <v>210</v>
      </c>
      <c r="BM289" t="s">
        <v>90</v>
      </c>
      <c r="BN289" t="s">
        <v>81</v>
      </c>
      <c r="BO289" t="s">
        <v>211</v>
      </c>
      <c r="BP289" t="s">
        <v>92</v>
      </c>
      <c r="BQ289" t="s">
        <v>92</v>
      </c>
      <c r="BR289" t="s">
        <v>63</v>
      </c>
      <c r="BT289">
        <v>0.57999999999999996</v>
      </c>
      <c r="BU289">
        <v>0.58031999999999995</v>
      </c>
      <c r="BV289">
        <v>0.02</v>
      </c>
      <c r="BW289">
        <f>BV289*SQRT(AK289)</f>
        <v>3.4641016151377546E-2</v>
      </c>
      <c r="BX289">
        <v>0.68</v>
      </c>
      <c r="BY289">
        <v>0.68263669999999999</v>
      </c>
      <c r="BZ289">
        <v>0.02</v>
      </c>
      <c r="CA289">
        <f>BZ289*SQRT(AL289)</f>
        <v>3.4641016151377546E-2</v>
      </c>
      <c r="CB289">
        <v>9</v>
      </c>
      <c r="CC289">
        <v>4</v>
      </c>
      <c r="CD289">
        <v>0.16200000000000001</v>
      </c>
      <c r="CE289">
        <v>2.3E-3</v>
      </c>
    </row>
    <row r="290" spans="1:84" hidden="1" x14ac:dyDescent="0.2">
      <c r="B290" t="str">
        <f>ROW()-1&amp;"_AltersInvert"</f>
        <v>289_AltersInvert</v>
      </c>
      <c r="C290" t="str">
        <f>D290&amp;"_"&amp;
SUBSTITUTE(TRIM(V290)," ","_")&amp;"_"&amp;
TRIM(AC290)&amp;"_"&amp;
"CO2"&amp;TEXT(AN290,"0.00")&amp;"_"&amp;
"pH"&amp;TEXT(AR290,"0.00")&amp;"_"&amp;
"T"&amp;TEXT(BC290,"0.##")</f>
        <v>10_Pocillopora_damicornis _LARVA_CO2420.00_pH8.03_T25.3</v>
      </c>
      <c r="D290">
        <v>10</v>
      </c>
      <c r="G290" t="s">
        <v>43</v>
      </c>
      <c r="H290" t="s">
        <v>199</v>
      </c>
      <c r="J290">
        <v>2013</v>
      </c>
      <c r="M290" t="s">
        <v>200</v>
      </c>
      <c r="P290" t="s">
        <v>1135</v>
      </c>
      <c r="R290" t="s">
        <v>1127</v>
      </c>
      <c r="S290" t="s">
        <v>1128</v>
      </c>
      <c r="T290" t="s">
        <v>103</v>
      </c>
      <c r="U290" t="s">
        <v>201</v>
      </c>
      <c r="V290" t="s">
        <v>202</v>
      </c>
      <c r="Z290" t="s">
        <v>106</v>
      </c>
      <c r="AA290" t="s">
        <v>107</v>
      </c>
      <c r="AB290" t="s">
        <v>71</v>
      </c>
      <c r="AC290" t="s">
        <v>72</v>
      </c>
      <c r="AD290" t="s">
        <v>52</v>
      </c>
      <c r="AE290" t="s">
        <v>53</v>
      </c>
      <c r="AF290" t="s">
        <v>54</v>
      </c>
      <c r="AG290" t="s">
        <v>52</v>
      </c>
      <c r="AH290" t="s">
        <v>65</v>
      </c>
      <c r="AK290">
        <v>3</v>
      </c>
      <c r="AL290">
        <v>4</v>
      </c>
      <c r="AN290">
        <v>420</v>
      </c>
      <c r="AO290">
        <v>13</v>
      </c>
      <c r="AP290" t="s">
        <v>56</v>
      </c>
      <c r="AQ290" t="s">
        <v>109</v>
      </c>
      <c r="AR290">
        <v>8.0299999999999994</v>
      </c>
      <c r="AS290">
        <v>0.01</v>
      </c>
      <c r="AT290" t="s">
        <v>56</v>
      </c>
      <c r="AU290">
        <v>413</v>
      </c>
      <c r="AV290">
        <v>16</v>
      </c>
      <c r="AW290" t="s">
        <v>56</v>
      </c>
      <c r="AX290">
        <v>8.0500000000000007</v>
      </c>
      <c r="AY290">
        <v>0.02</v>
      </c>
      <c r="AZ290" t="s">
        <v>56</v>
      </c>
      <c r="BB290">
        <f>LOG(AU290)</f>
        <v>2.6159500516564012</v>
      </c>
      <c r="BC290">
        <v>25.3</v>
      </c>
      <c r="BD290">
        <v>0.1</v>
      </c>
      <c r="BE290" t="s">
        <v>56</v>
      </c>
      <c r="BF290">
        <v>29</v>
      </c>
      <c r="BG290">
        <v>0.2</v>
      </c>
      <c r="BH290" t="s">
        <v>56</v>
      </c>
      <c r="BI290">
        <v>-7</v>
      </c>
      <c r="BJ290">
        <v>3.7</v>
      </c>
      <c r="BK290" t="s">
        <v>56</v>
      </c>
      <c r="BL290" t="s">
        <v>210</v>
      </c>
      <c r="BM290" t="s">
        <v>90</v>
      </c>
      <c r="BN290" t="s">
        <v>81</v>
      </c>
      <c r="BO290" t="s">
        <v>211</v>
      </c>
      <c r="BP290" t="s">
        <v>92</v>
      </c>
      <c r="BQ290" t="s">
        <v>92</v>
      </c>
      <c r="BR290" t="s">
        <v>63</v>
      </c>
      <c r="BT290">
        <v>0.57999999999999996</v>
      </c>
      <c r="BU290">
        <v>0.58031999999999995</v>
      </c>
      <c r="BV290">
        <v>0.02</v>
      </c>
      <c r="BW290">
        <f>BV290*SQRT(AK290)</f>
        <v>3.4641016151377546E-2</v>
      </c>
      <c r="BX290">
        <v>0.61</v>
      </c>
      <c r="BY290">
        <v>0.61381149999999995</v>
      </c>
      <c r="BZ290">
        <v>0.04</v>
      </c>
      <c r="CA290">
        <f>BZ290*SQRT(AL290)</f>
        <v>0.08</v>
      </c>
      <c r="CB290">
        <v>9</v>
      </c>
      <c r="CC290">
        <v>4</v>
      </c>
      <c r="CD290">
        <v>5.6000000000000001E-2</v>
      </c>
      <c r="CE290">
        <v>5.4999999999999997E-3</v>
      </c>
    </row>
    <row r="291" spans="1:84" hidden="1" x14ac:dyDescent="0.2">
      <c r="B291" t="str">
        <f>ROW()-1&amp;"_AltersInvert"</f>
        <v>290_AltersInvert</v>
      </c>
      <c r="C291" t="str">
        <f>D291&amp;"_"&amp;
SUBSTITUTE(TRIM(V291)," ","_")&amp;"_"&amp;
TRIM(AC291)&amp;"_"&amp;
"CO2"&amp;TEXT(AN291,"0.00")&amp;"_"&amp;
"pH"&amp;TEXT(AR291,"0.00")&amp;"_"&amp;
"T"&amp;TEXT(BC291,"0.##")</f>
        <v>10_Pocillopora_damicornis _LARVA_CO2420.00_pH8.03_T25.3</v>
      </c>
      <c r="D291">
        <v>10</v>
      </c>
      <c r="G291" t="s">
        <v>43</v>
      </c>
      <c r="H291" t="s">
        <v>199</v>
      </c>
      <c r="J291">
        <v>2013</v>
      </c>
      <c r="M291" t="s">
        <v>200</v>
      </c>
      <c r="P291" t="s">
        <v>1135</v>
      </c>
      <c r="R291" t="s">
        <v>1127</v>
      </c>
      <c r="S291" t="s">
        <v>1128</v>
      </c>
      <c r="T291" t="s">
        <v>103</v>
      </c>
      <c r="U291" t="s">
        <v>201</v>
      </c>
      <c r="V291" t="s">
        <v>202</v>
      </c>
      <c r="Z291" t="s">
        <v>106</v>
      </c>
      <c r="AA291" t="s">
        <v>107</v>
      </c>
      <c r="AB291" t="s">
        <v>71</v>
      </c>
      <c r="AC291" t="s">
        <v>72</v>
      </c>
      <c r="AD291" t="s">
        <v>52</v>
      </c>
      <c r="AE291" t="s">
        <v>53</v>
      </c>
      <c r="AF291" t="s">
        <v>52</v>
      </c>
      <c r="AG291" t="s">
        <v>52</v>
      </c>
      <c r="AH291" t="s">
        <v>64</v>
      </c>
      <c r="AK291">
        <v>3</v>
      </c>
      <c r="AL291">
        <v>5</v>
      </c>
      <c r="AN291">
        <v>420</v>
      </c>
      <c r="AO291">
        <v>13</v>
      </c>
      <c r="AP291" t="s">
        <v>56</v>
      </c>
      <c r="AQ291" t="s">
        <v>109</v>
      </c>
      <c r="AR291">
        <v>8.0299999999999994</v>
      </c>
      <c r="AS291">
        <v>0.01</v>
      </c>
      <c r="AT291" t="s">
        <v>56</v>
      </c>
      <c r="AU291">
        <v>656</v>
      </c>
      <c r="AV291">
        <v>18</v>
      </c>
      <c r="AW291" t="s">
        <v>56</v>
      </c>
      <c r="AX291">
        <v>7.88</v>
      </c>
      <c r="AY291">
        <v>0.01</v>
      </c>
      <c r="AZ291" t="s">
        <v>56</v>
      </c>
      <c r="BB291">
        <f>LOG(AU291)</f>
        <v>2.8169038393756605</v>
      </c>
      <c r="BC291">
        <v>25.3</v>
      </c>
      <c r="BD291">
        <v>0.1</v>
      </c>
      <c r="BE291" t="s">
        <v>56</v>
      </c>
      <c r="BF291">
        <v>29.1</v>
      </c>
      <c r="BG291">
        <v>0.1</v>
      </c>
      <c r="BH291" t="s">
        <v>56</v>
      </c>
      <c r="BI291">
        <v>236</v>
      </c>
      <c r="BJ291">
        <v>3.9</v>
      </c>
      <c r="BK291" t="s">
        <v>56</v>
      </c>
      <c r="BL291" t="s">
        <v>210</v>
      </c>
      <c r="BM291" t="s">
        <v>90</v>
      </c>
      <c r="BN291" t="s">
        <v>81</v>
      </c>
      <c r="BO291" t="s">
        <v>211</v>
      </c>
      <c r="BP291" t="s">
        <v>92</v>
      </c>
      <c r="BQ291" t="s">
        <v>92</v>
      </c>
      <c r="BR291" t="s">
        <v>63</v>
      </c>
      <c r="BT291">
        <v>0.57999999999999996</v>
      </c>
      <c r="BU291">
        <v>0.58031999999999995</v>
      </c>
      <c r="BV291">
        <v>0.02</v>
      </c>
      <c r="BW291">
        <f>BV291*SQRT(AK291)</f>
        <v>3.4641016151377546E-2</v>
      </c>
      <c r="BX291">
        <v>0.63</v>
      </c>
      <c r="BY291">
        <v>0.63353250000000005</v>
      </c>
      <c r="BZ291">
        <v>0.02</v>
      </c>
      <c r="CA291">
        <f>BZ291*SQRT(AL291)</f>
        <v>4.4721359549995794E-2</v>
      </c>
      <c r="CB291">
        <v>9</v>
      </c>
      <c r="CC291">
        <v>4</v>
      </c>
      <c r="CD291">
        <v>8.7999999999999995E-2</v>
      </c>
      <c r="CE291">
        <v>3.0000000000000001E-3</v>
      </c>
    </row>
    <row r="292" spans="1:84" hidden="1" x14ac:dyDescent="0.2">
      <c r="B292" t="str">
        <f>ROW()-1&amp;"_AltersInvert"</f>
        <v>291_AltersInvert</v>
      </c>
      <c r="C292" t="str">
        <f>D292&amp;"_"&amp;
SUBSTITUTE(TRIM(V292)," ","_")&amp;"_"&amp;
TRIM(AC292)&amp;"_"&amp;
"CO2"&amp;TEXT(AN292,"0.00")&amp;"_"&amp;
"pH"&amp;TEXT(AR292,"0.00")&amp;"_"&amp;
"T"&amp;TEXT(BC292,"0.##")</f>
        <v>198_Acanthaster_planci_LARVA_CO2477.00_pH8.10_T26.3</v>
      </c>
      <c r="D292">
        <v>198</v>
      </c>
      <c r="G292" t="s">
        <v>43</v>
      </c>
      <c r="H292" t="s">
        <v>936</v>
      </c>
      <c r="J292">
        <v>2014</v>
      </c>
      <c r="M292" t="s">
        <v>381</v>
      </c>
      <c r="P292" t="s">
        <v>1135</v>
      </c>
      <c r="R292" t="s">
        <v>1127</v>
      </c>
      <c r="S292" t="s">
        <v>1128</v>
      </c>
      <c r="T292" t="s">
        <v>46</v>
      </c>
      <c r="U292" t="s">
        <v>937</v>
      </c>
      <c r="V292" t="s">
        <v>938</v>
      </c>
      <c r="Z292" t="s">
        <v>106</v>
      </c>
      <c r="AA292" t="s">
        <v>107</v>
      </c>
      <c r="AB292" t="s">
        <v>71</v>
      </c>
      <c r="AC292" t="s">
        <v>72</v>
      </c>
      <c r="AD292" t="s">
        <v>52</v>
      </c>
      <c r="AE292" t="s">
        <v>53</v>
      </c>
      <c r="AF292" t="s">
        <v>52</v>
      </c>
      <c r="AG292" t="s">
        <v>54</v>
      </c>
      <c r="AH292" t="s">
        <v>55</v>
      </c>
      <c r="AK292">
        <v>5</v>
      </c>
      <c r="AL292">
        <v>5</v>
      </c>
      <c r="AN292">
        <v>477</v>
      </c>
      <c r="AO292">
        <v>6</v>
      </c>
      <c r="AP292" t="s">
        <v>56</v>
      </c>
      <c r="AQ292" t="s">
        <v>118</v>
      </c>
      <c r="AR292">
        <v>8.1</v>
      </c>
      <c r="AS292" t="s">
        <v>56</v>
      </c>
      <c r="AT292" t="s">
        <v>56</v>
      </c>
      <c r="AU292">
        <v>1895</v>
      </c>
      <c r="AV292">
        <v>13</v>
      </c>
      <c r="AW292" t="s">
        <v>56</v>
      </c>
      <c r="AX292">
        <v>7.6</v>
      </c>
      <c r="AY292" t="s">
        <v>56</v>
      </c>
      <c r="AZ292" t="s">
        <v>56</v>
      </c>
      <c r="BB292">
        <f>LOG(AU292)</f>
        <v>3.2776092143040914</v>
      </c>
      <c r="BC292">
        <v>26.3</v>
      </c>
      <c r="BD292">
        <v>0</v>
      </c>
      <c r="BE292" t="s">
        <v>56</v>
      </c>
      <c r="BF292">
        <v>26.3</v>
      </c>
      <c r="BG292">
        <v>0</v>
      </c>
      <c r="BH292" t="s">
        <v>56</v>
      </c>
      <c r="BI292">
        <v>1418</v>
      </c>
      <c r="BJ292">
        <v>0</v>
      </c>
      <c r="BK292" t="s">
        <v>939</v>
      </c>
      <c r="BL292" t="s">
        <v>941</v>
      </c>
      <c r="BM292" t="s">
        <v>90</v>
      </c>
      <c r="BN292" t="s">
        <v>81</v>
      </c>
      <c r="BO292" t="s">
        <v>56</v>
      </c>
      <c r="BP292" t="s">
        <v>92</v>
      </c>
      <c r="BQ292" t="s">
        <v>92</v>
      </c>
      <c r="BR292" t="s">
        <v>63</v>
      </c>
      <c r="BT292">
        <v>1.5</v>
      </c>
      <c r="BU292">
        <v>1.5</v>
      </c>
      <c r="BV292">
        <v>0.02</v>
      </c>
      <c r="BW292">
        <f>BV292*SQRT(AK292)</f>
        <v>4.4721359549995794E-2</v>
      </c>
      <c r="BX292">
        <v>1.31</v>
      </c>
      <c r="BY292">
        <v>1.31</v>
      </c>
      <c r="BZ292">
        <v>0.02</v>
      </c>
      <c r="CA292">
        <f>BZ292*SQRT(AL292)</f>
        <v>4.4721359549995794E-2</v>
      </c>
      <c r="CB292">
        <v>10</v>
      </c>
      <c r="CC292">
        <v>10</v>
      </c>
      <c r="CD292">
        <v>-0.13500000000000001</v>
      </c>
      <c r="CE292">
        <v>4.0000000000000002E-4</v>
      </c>
    </row>
    <row r="293" spans="1:84" hidden="1" x14ac:dyDescent="0.2">
      <c r="B293" t="str">
        <f>ROW()-1&amp;"_AltersInvert"</f>
        <v>292_AltersInvert</v>
      </c>
      <c r="C293" t="str">
        <f>D293&amp;"_"&amp;
SUBSTITUTE(TRIM(V293)," ","_")&amp;"_"&amp;
TRIM(AC293)&amp;"_"&amp;
"CO2"&amp;TEXT(AN293,"0.00")&amp;"_"&amp;
"pH"&amp;TEXT(AR293,"0.00")&amp;"_"&amp;
"T"&amp;TEXT(BC293,"0.##")</f>
        <v>198_Acanthaster_planci_LARVA_CO2477.00_pH8.10_T26.3</v>
      </c>
      <c r="D293">
        <v>198</v>
      </c>
      <c r="G293" t="s">
        <v>43</v>
      </c>
      <c r="H293" t="s">
        <v>936</v>
      </c>
      <c r="J293">
        <v>2014</v>
      </c>
      <c r="M293" t="s">
        <v>381</v>
      </c>
      <c r="P293" t="s">
        <v>1135</v>
      </c>
      <c r="R293" t="s">
        <v>1127</v>
      </c>
      <c r="S293" t="s">
        <v>1128</v>
      </c>
      <c r="T293" t="s">
        <v>46</v>
      </c>
      <c r="U293" t="s">
        <v>937</v>
      </c>
      <c r="V293" t="s">
        <v>938</v>
      </c>
      <c r="Z293" t="s">
        <v>106</v>
      </c>
      <c r="AA293" t="s">
        <v>107</v>
      </c>
      <c r="AB293" t="s">
        <v>71</v>
      </c>
      <c r="AC293" t="s">
        <v>72</v>
      </c>
      <c r="AD293" t="s">
        <v>52</v>
      </c>
      <c r="AE293" t="s">
        <v>53</v>
      </c>
      <c r="AF293" t="s">
        <v>52</v>
      </c>
      <c r="AG293" t="s">
        <v>54</v>
      </c>
      <c r="AH293" t="s">
        <v>55</v>
      </c>
      <c r="AK293">
        <v>5</v>
      </c>
      <c r="AL293">
        <v>5</v>
      </c>
      <c r="AN293">
        <v>477</v>
      </c>
      <c r="AO293">
        <v>6</v>
      </c>
      <c r="AP293" t="s">
        <v>56</v>
      </c>
      <c r="AQ293" t="s">
        <v>118</v>
      </c>
      <c r="AR293">
        <v>8.1</v>
      </c>
      <c r="AS293" t="s">
        <v>56</v>
      </c>
      <c r="AT293" t="s">
        <v>56</v>
      </c>
      <c r="AU293">
        <v>1060</v>
      </c>
      <c r="AV293">
        <v>9</v>
      </c>
      <c r="AW293" t="s">
        <v>56</v>
      </c>
      <c r="AX293">
        <v>7.8</v>
      </c>
      <c r="AY293" t="s">
        <v>56</v>
      </c>
      <c r="AZ293" t="s">
        <v>56</v>
      </c>
      <c r="BB293">
        <f>LOG(AU293)</f>
        <v>3.0253058652647704</v>
      </c>
      <c r="BC293">
        <v>26.3</v>
      </c>
      <c r="BD293">
        <v>0</v>
      </c>
      <c r="BE293" t="s">
        <v>56</v>
      </c>
      <c r="BF293">
        <v>26.3</v>
      </c>
      <c r="BG293">
        <v>0</v>
      </c>
      <c r="BH293" t="s">
        <v>56</v>
      </c>
      <c r="BI293">
        <v>583</v>
      </c>
      <c r="BJ293">
        <v>0</v>
      </c>
      <c r="BK293" t="s">
        <v>939</v>
      </c>
      <c r="BL293" t="s">
        <v>941</v>
      </c>
      <c r="BM293" t="s">
        <v>90</v>
      </c>
      <c r="BN293" t="s">
        <v>81</v>
      </c>
      <c r="BO293" t="s">
        <v>56</v>
      </c>
      <c r="BP293" t="s">
        <v>92</v>
      </c>
      <c r="BQ293" t="s">
        <v>92</v>
      </c>
      <c r="BR293" t="s">
        <v>63</v>
      </c>
      <c r="BT293">
        <v>1.5</v>
      </c>
      <c r="BU293">
        <v>1.5</v>
      </c>
      <c r="BV293">
        <v>0.02</v>
      </c>
      <c r="BW293">
        <f>BV293*SQRT(AK293)</f>
        <v>4.4721359549995794E-2</v>
      </c>
      <c r="BX293">
        <v>1.45</v>
      </c>
      <c r="BY293">
        <v>1.45</v>
      </c>
      <c r="BZ293">
        <v>0.04</v>
      </c>
      <c r="CA293">
        <f>BZ293*SQRT(AL293)</f>
        <v>8.9442719099991588E-2</v>
      </c>
      <c r="CB293">
        <v>10</v>
      </c>
      <c r="CC293">
        <v>10</v>
      </c>
      <c r="CD293">
        <v>-3.4000000000000002E-2</v>
      </c>
      <c r="CE293">
        <v>8.9999999999999998E-4</v>
      </c>
    </row>
    <row r="294" spans="1:84" hidden="1" x14ac:dyDescent="0.2">
      <c r="B294" t="str">
        <f>ROW()-1&amp;"_AltersInvert"</f>
        <v>293_AltersInvert</v>
      </c>
      <c r="C294" t="str">
        <f>D294&amp;"_"&amp;
SUBSTITUTE(TRIM(V294)," ","_")&amp;"_"&amp;
TRIM(AC294)&amp;"_"&amp;
"CO2"&amp;TEXT(AN294,"0.00")&amp;"_"&amp;
"pH"&amp;TEXT(AR294,"0.00")&amp;"_"&amp;
"T"&amp;TEXT(BC294,"0.##")</f>
        <v>198_Acanthaster_planci_LARVA_CO2477.00_pH8.10_T26.3</v>
      </c>
      <c r="D294">
        <v>198</v>
      </c>
      <c r="G294" t="s">
        <v>43</v>
      </c>
      <c r="H294" t="s">
        <v>936</v>
      </c>
      <c r="J294">
        <v>2014</v>
      </c>
      <c r="M294" t="s">
        <v>381</v>
      </c>
      <c r="P294" t="s">
        <v>1135</v>
      </c>
      <c r="R294" t="s">
        <v>1127</v>
      </c>
      <c r="S294" t="s">
        <v>1128</v>
      </c>
      <c r="T294" t="s">
        <v>46</v>
      </c>
      <c r="U294" t="s">
        <v>937</v>
      </c>
      <c r="V294" t="s">
        <v>938</v>
      </c>
      <c r="Z294" t="s">
        <v>106</v>
      </c>
      <c r="AA294" t="s">
        <v>107</v>
      </c>
      <c r="AB294" t="s">
        <v>71</v>
      </c>
      <c r="AC294" t="s">
        <v>72</v>
      </c>
      <c r="AD294" t="s">
        <v>52</v>
      </c>
      <c r="AE294" t="s">
        <v>53</v>
      </c>
      <c r="AF294" t="s">
        <v>54</v>
      </c>
      <c r="AG294" t="s">
        <v>52</v>
      </c>
      <c r="AH294" t="s">
        <v>65</v>
      </c>
      <c r="AK294">
        <v>5</v>
      </c>
      <c r="AL294">
        <v>5</v>
      </c>
      <c r="AN294">
        <v>477</v>
      </c>
      <c r="AO294">
        <v>6</v>
      </c>
      <c r="AP294" t="s">
        <v>56</v>
      </c>
      <c r="AQ294" t="s">
        <v>118</v>
      </c>
      <c r="AR294">
        <v>8.1</v>
      </c>
      <c r="AS294" t="s">
        <v>56</v>
      </c>
      <c r="AT294" t="s">
        <v>56</v>
      </c>
      <c r="AU294">
        <v>480</v>
      </c>
      <c r="AV294">
        <v>6</v>
      </c>
      <c r="AW294" t="s">
        <v>56</v>
      </c>
      <c r="AX294">
        <v>8.1</v>
      </c>
      <c r="AY294" t="s">
        <v>56</v>
      </c>
      <c r="AZ294" t="s">
        <v>56</v>
      </c>
      <c r="BB294">
        <f>LOG(AU294)</f>
        <v>2.6812412373755872</v>
      </c>
      <c r="BC294">
        <v>26.3</v>
      </c>
      <c r="BD294">
        <v>0</v>
      </c>
      <c r="BE294" t="s">
        <v>56</v>
      </c>
      <c r="BF294">
        <v>27.8</v>
      </c>
      <c r="BG294">
        <v>0</v>
      </c>
      <c r="BH294" t="s">
        <v>56</v>
      </c>
      <c r="BI294">
        <v>3</v>
      </c>
      <c r="BJ294">
        <v>1.5</v>
      </c>
      <c r="BK294" t="s">
        <v>939</v>
      </c>
      <c r="BL294" t="s">
        <v>941</v>
      </c>
      <c r="BM294" t="s">
        <v>90</v>
      </c>
      <c r="BN294" t="s">
        <v>81</v>
      </c>
      <c r="BO294" t="s">
        <v>56</v>
      </c>
      <c r="BP294" t="s">
        <v>92</v>
      </c>
      <c r="BQ294" t="s">
        <v>92</v>
      </c>
      <c r="BR294" t="s">
        <v>63</v>
      </c>
      <c r="BT294">
        <v>1.5</v>
      </c>
      <c r="BU294">
        <v>1.5</v>
      </c>
      <c r="BV294">
        <v>0.02</v>
      </c>
      <c r="BW294">
        <f>BV294*SQRT(AK294)</f>
        <v>4.4721359549995794E-2</v>
      </c>
      <c r="BX294">
        <v>1.54</v>
      </c>
      <c r="BY294">
        <v>1.54</v>
      </c>
      <c r="BZ294">
        <v>0.02</v>
      </c>
      <c r="CA294">
        <f>BZ294*SQRT(AL294)</f>
        <v>4.4721359549995794E-2</v>
      </c>
      <c r="CB294">
        <v>10</v>
      </c>
      <c r="CC294">
        <v>10</v>
      </c>
      <c r="CD294">
        <v>2.5999999999999999E-2</v>
      </c>
      <c r="CE294">
        <v>2.9999999999999997E-4</v>
      </c>
      <c r="CF294" s="8"/>
    </row>
    <row r="295" spans="1:84" hidden="1" x14ac:dyDescent="0.2">
      <c r="B295" t="str">
        <f>ROW()-1&amp;"_AltersInvert"</f>
        <v>294_AltersInvert</v>
      </c>
      <c r="C295" t="str">
        <f>D295&amp;"_"&amp;
SUBSTITUTE(TRIM(V295)," ","_")&amp;"_"&amp;
TRIM(AC295)&amp;"_"&amp;
"CO2"&amp;TEXT(AN295,"0.00")&amp;"_"&amp;
"pH"&amp;TEXT(AR295,"0.00")&amp;"_"&amp;
"T"&amp;TEXT(BC295,"0.##")</f>
        <v>198_Acanthaster_planci_LARVA_CO2477.00_pH8.10_T26.3</v>
      </c>
      <c r="D295">
        <v>198</v>
      </c>
      <c r="G295" t="s">
        <v>43</v>
      </c>
      <c r="H295" t="s">
        <v>936</v>
      </c>
      <c r="J295">
        <v>2014</v>
      </c>
      <c r="M295" t="s">
        <v>381</v>
      </c>
      <c r="P295" t="s">
        <v>1135</v>
      </c>
      <c r="R295" t="s">
        <v>1127</v>
      </c>
      <c r="S295" t="s">
        <v>1128</v>
      </c>
      <c r="T295" t="s">
        <v>46</v>
      </c>
      <c r="U295" t="s">
        <v>937</v>
      </c>
      <c r="V295" t="s">
        <v>938</v>
      </c>
      <c r="Z295" t="s">
        <v>106</v>
      </c>
      <c r="AA295" t="s">
        <v>107</v>
      </c>
      <c r="AB295" t="s">
        <v>71</v>
      </c>
      <c r="AC295" t="s">
        <v>72</v>
      </c>
      <c r="AD295" t="s">
        <v>52</v>
      </c>
      <c r="AE295" t="s">
        <v>53</v>
      </c>
      <c r="AF295" t="s">
        <v>52</v>
      </c>
      <c r="AG295" t="s">
        <v>52</v>
      </c>
      <c r="AH295" t="s">
        <v>64</v>
      </c>
      <c r="AK295">
        <v>5</v>
      </c>
      <c r="AL295">
        <v>5</v>
      </c>
      <c r="AN295">
        <v>477</v>
      </c>
      <c r="AO295">
        <v>6</v>
      </c>
      <c r="AP295" t="s">
        <v>56</v>
      </c>
      <c r="AQ295" t="s">
        <v>118</v>
      </c>
      <c r="AR295">
        <v>8.1</v>
      </c>
      <c r="AS295" t="s">
        <v>56</v>
      </c>
      <c r="AT295" t="s">
        <v>56</v>
      </c>
      <c r="AU295">
        <v>1919</v>
      </c>
      <c r="AV295">
        <v>13</v>
      </c>
      <c r="AW295" t="s">
        <v>56</v>
      </c>
      <c r="AX295">
        <v>7.6</v>
      </c>
      <c r="AY295" t="s">
        <v>56</v>
      </c>
      <c r="AZ295" t="s">
        <v>56</v>
      </c>
      <c r="BB295">
        <f>LOG(AU295)</f>
        <v>3.2830749747354715</v>
      </c>
      <c r="BC295">
        <v>26.3</v>
      </c>
      <c r="BD295">
        <v>0</v>
      </c>
      <c r="BE295" t="s">
        <v>56</v>
      </c>
      <c r="BF295">
        <v>27.8</v>
      </c>
      <c r="BG295">
        <v>0</v>
      </c>
      <c r="BH295" t="s">
        <v>56</v>
      </c>
      <c r="BI295">
        <v>1442</v>
      </c>
      <c r="BJ295">
        <v>1.5</v>
      </c>
      <c r="BK295" t="s">
        <v>939</v>
      </c>
      <c r="BL295" t="s">
        <v>941</v>
      </c>
      <c r="BM295" t="s">
        <v>90</v>
      </c>
      <c r="BN295" t="s">
        <v>81</v>
      </c>
      <c r="BO295" t="s">
        <v>56</v>
      </c>
      <c r="BP295" t="s">
        <v>92</v>
      </c>
      <c r="BQ295" t="s">
        <v>92</v>
      </c>
      <c r="BR295" t="s">
        <v>63</v>
      </c>
      <c r="BT295">
        <v>1.5</v>
      </c>
      <c r="BU295">
        <v>1.5</v>
      </c>
      <c r="BV295">
        <v>0.02</v>
      </c>
      <c r="BW295">
        <f>BV295*SQRT(AK295)</f>
        <v>4.4721359549995794E-2</v>
      </c>
      <c r="BX295">
        <v>1.25</v>
      </c>
      <c r="BY295">
        <v>1.25</v>
      </c>
      <c r="BZ295">
        <v>0.02</v>
      </c>
      <c r="CA295">
        <f>BZ295*SQRT(AL295)</f>
        <v>4.4721359549995794E-2</v>
      </c>
      <c r="CB295">
        <v>10</v>
      </c>
      <c r="CC295">
        <v>10</v>
      </c>
      <c r="CD295">
        <v>-0.182</v>
      </c>
      <c r="CE295">
        <v>4.0000000000000002E-4</v>
      </c>
    </row>
    <row r="296" spans="1:84" hidden="1" x14ac:dyDescent="0.2">
      <c r="B296" t="str">
        <f>ROW()-1&amp;"_AltersInvert"</f>
        <v>295_AltersInvert</v>
      </c>
      <c r="C296" t="str">
        <f>D296&amp;"_"&amp;
SUBSTITUTE(TRIM(V296)," ","_")&amp;"_"&amp;
TRIM(AC296)&amp;"_"&amp;
"CO2"&amp;TEXT(AN296,"0.00")&amp;"_"&amp;
"pH"&amp;TEXT(AR296,"0.00")&amp;"_"&amp;
"T"&amp;TEXT(BC296,"0.##")</f>
        <v>198_Acanthaster_planci_LARVA_CO2477.00_pH8.10_T26.3</v>
      </c>
      <c r="D296">
        <v>198</v>
      </c>
      <c r="G296" t="s">
        <v>43</v>
      </c>
      <c r="H296" t="s">
        <v>936</v>
      </c>
      <c r="J296">
        <v>2014</v>
      </c>
      <c r="M296" t="s">
        <v>381</v>
      </c>
      <c r="P296" t="s">
        <v>1135</v>
      </c>
      <c r="R296" t="s">
        <v>1127</v>
      </c>
      <c r="S296" t="s">
        <v>1128</v>
      </c>
      <c r="T296" t="s">
        <v>46</v>
      </c>
      <c r="U296" t="s">
        <v>937</v>
      </c>
      <c r="V296" t="s">
        <v>938</v>
      </c>
      <c r="Z296" t="s">
        <v>106</v>
      </c>
      <c r="AA296" t="s">
        <v>107</v>
      </c>
      <c r="AB296" t="s">
        <v>71</v>
      </c>
      <c r="AC296" t="s">
        <v>72</v>
      </c>
      <c r="AD296" t="s">
        <v>52</v>
      </c>
      <c r="AE296" t="s">
        <v>53</v>
      </c>
      <c r="AF296" t="s">
        <v>52</v>
      </c>
      <c r="AG296" t="s">
        <v>52</v>
      </c>
      <c r="AH296" t="s">
        <v>64</v>
      </c>
      <c r="AK296">
        <v>5</v>
      </c>
      <c r="AL296">
        <v>5</v>
      </c>
      <c r="AN296">
        <v>477</v>
      </c>
      <c r="AO296">
        <v>6</v>
      </c>
      <c r="AP296" t="s">
        <v>56</v>
      </c>
      <c r="AQ296" t="s">
        <v>118</v>
      </c>
      <c r="AR296">
        <v>8.1</v>
      </c>
      <c r="AS296" t="s">
        <v>56</v>
      </c>
      <c r="AT296" t="s">
        <v>56</v>
      </c>
      <c r="AU296">
        <v>1072</v>
      </c>
      <c r="AV296">
        <v>9</v>
      </c>
      <c r="AW296" t="s">
        <v>56</v>
      </c>
      <c r="AX296">
        <v>7.8</v>
      </c>
      <c r="AY296" t="s">
        <v>56</v>
      </c>
      <c r="AZ296" t="s">
        <v>56</v>
      </c>
      <c r="BB296">
        <f>LOG(AU296)</f>
        <v>3.030194785356751</v>
      </c>
      <c r="BC296">
        <v>26.3</v>
      </c>
      <c r="BD296">
        <v>0</v>
      </c>
      <c r="BE296" t="s">
        <v>56</v>
      </c>
      <c r="BF296">
        <v>27.8</v>
      </c>
      <c r="BG296">
        <v>0</v>
      </c>
      <c r="BH296" t="s">
        <v>56</v>
      </c>
      <c r="BI296">
        <v>595</v>
      </c>
      <c r="BJ296">
        <v>1.5</v>
      </c>
      <c r="BK296" t="s">
        <v>939</v>
      </c>
      <c r="BL296" t="s">
        <v>941</v>
      </c>
      <c r="BM296" t="s">
        <v>90</v>
      </c>
      <c r="BN296" t="s">
        <v>81</v>
      </c>
      <c r="BO296" t="s">
        <v>56</v>
      </c>
      <c r="BP296" t="s">
        <v>92</v>
      </c>
      <c r="BQ296" t="s">
        <v>92</v>
      </c>
      <c r="BR296" t="s">
        <v>63</v>
      </c>
      <c r="BT296">
        <v>1.5</v>
      </c>
      <c r="BU296">
        <v>1.5</v>
      </c>
      <c r="BV296">
        <v>0.02</v>
      </c>
      <c r="BW296">
        <f>BV296*SQRT(AK296)</f>
        <v>4.4721359549995794E-2</v>
      </c>
      <c r="BX296">
        <v>1.35</v>
      </c>
      <c r="BY296">
        <v>1.35</v>
      </c>
      <c r="BZ296">
        <v>0.03</v>
      </c>
      <c r="CA296">
        <f>BZ296*SQRT(AL296)</f>
        <v>6.7082039324993695E-2</v>
      </c>
      <c r="CB296">
        <v>10</v>
      </c>
      <c r="CC296">
        <v>10</v>
      </c>
      <c r="CD296">
        <v>-0.105</v>
      </c>
      <c r="CE296">
        <v>6.9999999999999999E-4</v>
      </c>
    </row>
    <row r="297" spans="1:84" hidden="1" x14ac:dyDescent="0.2">
      <c r="A297" s="8"/>
      <c r="B297" t="str">
        <f>ROW()-1&amp;"_AltersInvert"</f>
        <v>296_AltersInvert</v>
      </c>
      <c r="C297" t="str">
        <f>D297&amp;"_"&amp;
SUBSTITUTE(TRIM(V297)," ","_")&amp;"_"&amp;
TRIM(AC297)&amp;"_"&amp;
"CO2"&amp;TEXT(AN297,"0.00")&amp;"_"&amp;
"pH"&amp;TEXT(AR297,"0.00")&amp;"_"&amp;
"T"&amp;TEXT(BC297,"0.##")</f>
        <v>112_Loligo_vulgaris_EMBRYO_CO2433.00_pH8.03_T13.2</v>
      </c>
      <c r="D297" s="8">
        <v>112</v>
      </c>
      <c r="E297" s="8"/>
      <c r="F297" s="8"/>
      <c r="G297" s="8" t="s">
        <v>43</v>
      </c>
      <c r="H297" s="8" t="s">
        <v>832</v>
      </c>
      <c r="I297" s="8" t="s">
        <v>1130</v>
      </c>
      <c r="J297" s="8">
        <v>2014</v>
      </c>
      <c r="K297" s="8"/>
      <c r="L297" s="8"/>
      <c r="M297" s="8" t="s">
        <v>463</v>
      </c>
      <c r="N297" s="8"/>
      <c r="O297" s="8"/>
      <c r="P297" t="s">
        <v>1135</v>
      </c>
      <c r="Q297" s="8"/>
      <c r="R297" s="8" t="s">
        <v>1127</v>
      </c>
      <c r="S297" t="s">
        <v>1128</v>
      </c>
      <c r="T297" s="8" t="s">
        <v>68</v>
      </c>
      <c r="U297" s="8" t="s">
        <v>693</v>
      </c>
      <c r="V297" s="8" t="s">
        <v>833</v>
      </c>
      <c r="W297" s="8" t="str">
        <f>IF(ISNUMBER(MATCH(#REF!,{"Doryteuthis pealeii","Loligo vulgaris","Leptuca thayeri","Stylocheilus striatus","Ophryotrocha labronica"},0)),"N","Y")</f>
        <v>Y</v>
      </c>
      <c r="X297" s="8"/>
      <c r="Y297" s="8"/>
      <c r="Z297" s="8" t="s">
        <v>49</v>
      </c>
      <c r="AA297" s="8" t="s">
        <v>49</v>
      </c>
      <c r="AB297" s="8" t="s">
        <v>71</v>
      </c>
      <c r="AC297" s="8" t="s">
        <v>195</v>
      </c>
      <c r="AD297" s="8" t="s">
        <v>52</v>
      </c>
      <c r="AE297" s="8" t="s">
        <v>53</v>
      </c>
      <c r="AF297" s="8" t="s">
        <v>52</v>
      </c>
      <c r="AG297" s="8" t="s">
        <v>54</v>
      </c>
      <c r="AH297" s="8" t="s">
        <v>55</v>
      </c>
      <c r="AI297" s="8"/>
      <c r="AJ297" s="8"/>
      <c r="AK297" s="8">
        <v>60</v>
      </c>
      <c r="AL297" s="8">
        <v>60</v>
      </c>
      <c r="AM297" s="8"/>
      <c r="AN297" s="8">
        <v>433</v>
      </c>
      <c r="AO297" s="8" t="s">
        <v>56</v>
      </c>
      <c r="AP297" s="8">
        <v>24</v>
      </c>
      <c r="AQ297" s="8" t="s">
        <v>109</v>
      </c>
      <c r="AR297" s="8">
        <v>8.0299999999999994</v>
      </c>
      <c r="AS297" s="8" t="s">
        <v>56</v>
      </c>
      <c r="AT297" s="8">
        <v>0.02</v>
      </c>
      <c r="AU297" s="8">
        <v>1682</v>
      </c>
      <c r="AV297" t="s">
        <v>56</v>
      </c>
      <c r="AW297">
        <v>132</v>
      </c>
      <c r="AX297">
        <v>7.51</v>
      </c>
      <c r="AY297" t="s">
        <v>56</v>
      </c>
      <c r="AZ297">
        <v>0.03</v>
      </c>
      <c r="BA297" s="8"/>
      <c r="BB297" s="8">
        <f>LOG(AU297)</f>
        <v>3.2258259914618934</v>
      </c>
      <c r="BC297" s="8">
        <v>13.2</v>
      </c>
      <c r="BD297" s="8" t="s">
        <v>56</v>
      </c>
      <c r="BE297" s="8">
        <v>0.3</v>
      </c>
      <c r="BF297" s="8">
        <v>13.2</v>
      </c>
      <c r="BG297" s="8" t="s">
        <v>56</v>
      </c>
      <c r="BH297" s="8">
        <v>0.3</v>
      </c>
      <c r="BI297" s="8">
        <v>1249</v>
      </c>
      <c r="BJ297" s="8">
        <v>0</v>
      </c>
      <c r="BK297" s="8" t="s">
        <v>834</v>
      </c>
      <c r="BL297" s="8" t="s">
        <v>837</v>
      </c>
      <c r="BM297" s="8" t="s">
        <v>305</v>
      </c>
      <c r="BN297" s="8" t="s">
        <v>81</v>
      </c>
      <c r="BO297" s="8" t="s">
        <v>838</v>
      </c>
      <c r="BP297" s="8" t="s">
        <v>194</v>
      </c>
      <c r="BQ297" s="8" t="s">
        <v>190</v>
      </c>
      <c r="BR297" s="8" t="s">
        <v>63</v>
      </c>
      <c r="BS297" s="8"/>
      <c r="BT297" s="8">
        <v>35.06</v>
      </c>
      <c r="BU297" s="8">
        <v>35.062635</v>
      </c>
      <c r="BV297" s="8">
        <v>0.01</v>
      </c>
      <c r="BW297" s="8">
        <f>BV297*SQRT(AK297)</f>
        <v>7.7459666924148338E-2</v>
      </c>
      <c r="BX297" s="8">
        <v>34.15</v>
      </c>
      <c r="BY297" s="8">
        <v>34.146868300000001</v>
      </c>
      <c r="BZ297" s="8">
        <v>0.02</v>
      </c>
      <c r="CA297" s="8">
        <f>BZ297*SQRT(AL297)</f>
        <v>0.15491933384829668</v>
      </c>
      <c r="CB297" s="8">
        <v>15</v>
      </c>
      <c r="CC297" s="8">
        <v>10</v>
      </c>
      <c r="CD297" s="8">
        <v>-2.5999999999999999E-2</v>
      </c>
      <c r="CE297" s="8">
        <v>1E-4</v>
      </c>
      <c r="CF297" s="8" t="s">
        <v>1134</v>
      </c>
    </row>
    <row r="298" spans="1:84" hidden="1" x14ac:dyDescent="0.2">
      <c r="A298" s="8"/>
      <c r="B298" t="str">
        <f>ROW()-1&amp;"_AltersInvert"</f>
        <v>297_AltersInvert</v>
      </c>
      <c r="C298" t="str">
        <f>D298&amp;"_"&amp;
SUBSTITUTE(TRIM(V298)," ","_")&amp;"_"&amp;
TRIM(AC298)&amp;"_"&amp;
"CO2"&amp;TEXT(AN298,"0.00")&amp;"_"&amp;
"pH"&amp;TEXT(AR298,"0.00")&amp;"_"&amp;
"T"&amp;TEXT(BC298,"0.##")</f>
        <v>112_Loligo_vulgaris_EMBRYO_CO2433.00_pH8.03_T13.2</v>
      </c>
      <c r="D298" s="8">
        <v>112</v>
      </c>
      <c r="E298" s="8"/>
      <c r="F298" s="8"/>
      <c r="G298" s="8" t="s">
        <v>43</v>
      </c>
      <c r="H298" s="8" t="s">
        <v>832</v>
      </c>
      <c r="I298" s="8" t="s">
        <v>1130</v>
      </c>
      <c r="J298" s="8">
        <v>2014</v>
      </c>
      <c r="K298" s="8"/>
      <c r="L298" s="8"/>
      <c r="M298" s="8" t="s">
        <v>463</v>
      </c>
      <c r="N298" s="8"/>
      <c r="O298" s="8"/>
      <c r="P298" t="s">
        <v>1135</v>
      </c>
      <c r="Q298" s="8"/>
      <c r="R298" s="8" t="s">
        <v>1127</v>
      </c>
      <c r="S298" t="s">
        <v>1128</v>
      </c>
      <c r="T298" s="8" t="s">
        <v>68</v>
      </c>
      <c r="U298" s="8" t="s">
        <v>693</v>
      </c>
      <c r="V298" s="8" t="s">
        <v>833</v>
      </c>
      <c r="W298" s="8" t="str">
        <f>IF(ISNUMBER(MATCH(#REF!,{"Doryteuthis pealeii","Loligo vulgaris","Leptuca thayeri","Stylocheilus striatus","Ophryotrocha labronica"},0)),"N","Y")</f>
        <v>Y</v>
      </c>
      <c r="X298" s="8"/>
      <c r="Y298" s="8"/>
      <c r="Z298" s="8" t="s">
        <v>49</v>
      </c>
      <c r="AA298" s="8" t="s">
        <v>49</v>
      </c>
      <c r="AB298" s="8" t="s">
        <v>71</v>
      </c>
      <c r="AC298" s="8" t="s">
        <v>195</v>
      </c>
      <c r="AD298" s="8" t="s">
        <v>52</v>
      </c>
      <c r="AE298" s="8" t="s">
        <v>53</v>
      </c>
      <c r="AF298" s="8" t="s">
        <v>54</v>
      </c>
      <c r="AG298" s="8" t="s">
        <v>52</v>
      </c>
      <c r="AH298" s="8" t="s">
        <v>65</v>
      </c>
      <c r="AI298" s="8"/>
      <c r="AJ298" s="8"/>
      <c r="AK298" s="8">
        <v>60</v>
      </c>
      <c r="AL298" s="8">
        <v>60</v>
      </c>
      <c r="AM298" s="8"/>
      <c r="AN298" s="8">
        <v>433</v>
      </c>
      <c r="AO298" s="8" t="s">
        <v>56</v>
      </c>
      <c r="AP298" s="8">
        <v>24</v>
      </c>
      <c r="AQ298" s="8" t="s">
        <v>109</v>
      </c>
      <c r="AR298" s="8">
        <v>8.0299999999999994</v>
      </c>
      <c r="AS298" s="8" t="s">
        <v>56</v>
      </c>
      <c r="AT298" s="8">
        <v>0.02</v>
      </c>
      <c r="AU298" s="8">
        <v>440</v>
      </c>
      <c r="AV298" t="s">
        <v>56</v>
      </c>
      <c r="AW298">
        <v>12</v>
      </c>
      <c r="AX298">
        <v>8.0299999999999994</v>
      </c>
      <c r="AY298" t="s">
        <v>56</v>
      </c>
      <c r="AZ298">
        <v>0.01</v>
      </c>
      <c r="BA298" s="8"/>
      <c r="BB298" s="8">
        <f>LOG(AU298)</f>
        <v>2.6434526764861874</v>
      </c>
      <c r="BC298" s="8">
        <v>13.2</v>
      </c>
      <c r="BD298" s="8" t="s">
        <v>56</v>
      </c>
      <c r="BE298" s="8">
        <v>0.3</v>
      </c>
      <c r="BF298" s="8">
        <v>15.1</v>
      </c>
      <c r="BG298" s="8" t="s">
        <v>56</v>
      </c>
      <c r="BH298" s="8">
        <v>0.3</v>
      </c>
      <c r="BI298" s="8">
        <v>7</v>
      </c>
      <c r="BJ298" s="8">
        <v>1.9</v>
      </c>
      <c r="BK298" s="8" t="s">
        <v>834</v>
      </c>
      <c r="BL298" s="8" t="s">
        <v>837</v>
      </c>
      <c r="BM298" s="8" t="s">
        <v>305</v>
      </c>
      <c r="BN298" s="8" t="s">
        <v>81</v>
      </c>
      <c r="BO298" s="8" t="s">
        <v>838</v>
      </c>
      <c r="BP298" s="8" t="s">
        <v>194</v>
      </c>
      <c r="BQ298" s="8" t="s">
        <v>190</v>
      </c>
      <c r="BR298" s="8" t="s">
        <v>63</v>
      </c>
      <c r="BS298" s="8"/>
      <c r="BT298" s="8">
        <v>35.06</v>
      </c>
      <c r="BU298" s="8">
        <v>35.062635</v>
      </c>
      <c r="BV298" s="8">
        <v>0.01</v>
      </c>
      <c r="BW298" s="8">
        <f>BV298*SQRT(AK298)</f>
        <v>7.7459666924148338E-2</v>
      </c>
      <c r="BX298" s="8">
        <v>36.17</v>
      </c>
      <c r="BY298" s="8">
        <v>36.168466500000001</v>
      </c>
      <c r="BZ298" s="8">
        <v>0.03</v>
      </c>
      <c r="CA298" s="8">
        <f>BZ298*SQRT(AL298)</f>
        <v>0.232379000772445</v>
      </c>
      <c r="CB298" s="8">
        <v>15</v>
      </c>
      <c r="CC298" s="8">
        <v>10</v>
      </c>
      <c r="CD298" s="8">
        <v>3.1E-2</v>
      </c>
      <c r="CE298" s="8">
        <v>1E-4</v>
      </c>
      <c r="CF298" s="8" t="s">
        <v>1134</v>
      </c>
    </row>
    <row r="299" spans="1:84" hidden="1" x14ac:dyDescent="0.2">
      <c r="A299" s="8"/>
      <c r="B299" t="str">
        <f>ROW()-1&amp;"_AltersInvert"</f>
        <v>298_AltersInvert</v>
      </c>
      <c r="C299" t="str">
        <f>D299&amp;"_"&amp;
SUBSTITUTE(TRIM(V299)," ","_")&amp;"_"&amp;
TRIM(AC299)&amp;"_"&amp;
"CO2"&amp;TEXT(AN299,"0.00")&amp;"_"&amp;
"pH"&amp;TEXT(AR299,"0.00")&amp;"_"&amp;
"T"&amp;TEXT(BC299,"0.##")</f>
        <v>112_Loligo_vulgaris_EMBRYO_CO2433.00_pH8.03_T13.2</v>
      </c>
      <c r="D299" s="8">
        <v>112</v>
      </c>
      <c r="E299" s="8"/>
      <c r="F299" s="8"/>
      <c r="G299" s="8" t="s">
        <v>43</v>
      </c>
      <c r="H299" s="8" t="s">
        <v>832</v>
      </c>
      <c r="I299" s="8" t="s">
        <v>1130</v>
      </c>
      <c r="J299" s="8">
        <v>2014</v>
      </c>
      <c r="K299" s="8"/>
      <c r="L299" s="8"/>
      <c r="M299" s="8" t="s">
        <v>463</v>
      </c>
      <c r="N299" s="8"/>
      <c r="O299" s="8"/>
      <c r="P299" t="s">
        <v>1135</v>
      </c>
      <c r="Q299" s="8"/>
      <c r="R299" s="8" t="s">
        <v>1127</v>
      </c>
      <c r="S299" t="s">
        <v>1128</v>
      </c>
      <c r="T299" s="8" t="s">
        <v>68</v>
      </c>
      <c r="U299" s="8" t="s">
        <v>693</v>
      </c>
      <c r="V299" s="8" t="s">
        <v>833</v>
      </c>
      <c r="W299" s="8" t="str">
        <f>IF(ISNUMBER(MATCH(#REF!,{"Doryteuthis pealeii","Loligo vulgaris","Leptuca thayeri","Stylocheilus striatus","Ophryotrocha labronica"},0)),"N","Y")</f>
        <v>Y</v>
      </c>
      <c r="X299" s="8"/>
      <c r="Y299" s="8"/>
      <c r="Z299" s="8" t="s">
        <v>49</v>
      </c>
      <c r="AA299" s="8" t="s">
        <v>49</v>
      </c>
      <c r="AB299" s="8" t="s">
        <v>71</v>
      </c>
      <c r="AC299" s="8" t="s">
        <v>195</v>
      </c>
      <c r="AD299" s="8" t="s">
        <v>52</v>
      </c>
      <c r="AE299" s="8" t="s">
        <v>53</v>
      </c>
      <c r="AF299" s="8" t="s">
        <v>52</v>
      </c>
      <c r="AG299" s="8" t="s">
        <v>52</v>
      </c>
      <c r="AH299" s="8" t="s">
        <v>64</v>
      </c>
      <c r="AI299" s="8"/>
      <c r="AJ299" s="8"/>
      <c r="AK299" s="8">
        <v>60</v>
      </c>
      <c r="AL299" s="8">
        <v>60</v>
      </c>
      <c r="AM299" s="8"/>
      <c r="AN299" s="8">
        <v>433</v>
      </c>
      <c r="AO299" s="8" t="s">
        <v>56</v>
      </c>
      <c r="AP299" s="8">
        <v>24</v>
      </c>
      <c r="AQ299" s="8" t="s">
        <v>109</v>
      </c>
      <c r="AR299" s="8">
        <v>8.0299999999999994</v>
      </c>
      <c r="AS299" s="8" t="s">
        <v>56</v>
      </c>
      <c r="AT299" s="8">
        <v>0.02</v>
      </c>
      <c r="AU299" s="8">
        <v>1641</v>
      </c>
      <c r="AV299" t="s">
        <v>56</v>
      </c>
      <c r="AW299">
        <v>80</v>
      </c>
      <c r="AX299">
        <v>7.53</v>
      </c>
      <c r="AY299" t="s">
        <v>56</v>
      </c>
      <c r="AZ299">
        <v>0.02</v>
      </c>
      <c r="BA299" s="8"/>
      <c r="BB299" s="8">
        <f>LOG(AU299)</f>
        <v>3.2151085810530931</v>
      </c>
      <c r="BC299" s="8">
        <v>13.2</v>
      </c>
      <c r="BD299" s="8" t="s">
        <v>56</v>
      </c>
      <c r="BE299" s="8">
        <v>0.3</v>
      </c>
      <c r="BF299" s="8">
        <v>15.3</v>
      </c>
      <c r="BG299" s="8" t="s">
        <v>56</v>
      </c>
      <c r="BH299" s="8">
        <v>0.2</v>
      </c>
      <c r="BI299" s="8">
        <v>1208</v>
      </c>
      <c r="BJ299" s="8">
        <v>2.1</v>
      </c>
      <c r="BK299" s="8" t="s">
        <v>834</v>
      </c>
      <c r="BL299" s="8" t="s">
        <v>837</v>
      </c>
      <c r="BM299" s="8" t="s">
        <v>305</v>
      </c>
      <c r="BN299" s="8" t="s">
        <v>81</v>
      </c>
      <c r="BO299" s="8" t="s">
        <v>838</v>
      </c>
      <c r="BP299" s="8" t="s">
        <v>194</v>
      </c>
      <c r="BQ299" s="8" t="s">
        <v>83</v>
      </c>
      <c r="BR299" s="8" t="s">
        <v>63</v>
      </c>
      <c r="BS299" s="8"/>
      <c r="BT299" s="8">
        <v>35.06</v>
      </c>
      <c r="BU299" s="8">
        <v>35.062635</v>
      </c>
      <c r="BV299" s="8">
        <v>0.01</v>
      </c>
      <c r="BW299" s="8">
        <f>BV299*SQRT(AK299)</f>
        <v>7.7459666924148338E-2</v>
      </c>
      <c r="BX299" s="8">
        <v>36</v>
      </c>
      <c r="BY299" s="8">
        <v>35.995680299999997</v>
      </c>
      <c r="BZ299" s="8">
        <v>0.01</v>
      </c>
      <c r="CA299" s="8">
        <f>BZ299*SQRT(AL299)</f>
        <v>7.7459666924148338E-2</v>
      </c>
      <c r="CB299" s="8">
        <v>15</v>
      </c>
      <c r="CC299" s="8">
        <v>10</v>
      </c>
      <c r="CD299" s="8">
        <v>2.5999999999999999E-2</v>
      </c>
      <c r="CE299" s="8">
        <v>1E-4</v>
      </c>
      <c r="CF299" s="8" t="s">
        <v>1134</v>
      </c>
    </row>
    <row r="300" spans="1:84" hidden="1" x14ac:dyDescent="0.2">
      <c r="A300" s="8"/>
      <c r="B300" t="str">
        <f>ROW()-1&amp;"_AltersInvert"</f>
        <v>299_AltersInvert</v>
      </c>
      <c r="C300" t="str">
        <f>D300&amp;"_"&amp;
SUBSTITUTE(TRIM(V300)," ","_")&amp;"_"&amp;
TRIM(AC300)&amp;"_"&amp;
"CO2"&amp;TEXT(AN300,"0.00")&amp;"_"&amp;
"pH"&amp;TEXT(AR300,"0.00")&amp;"_"&amp;
"T"&amp;TEXT(BC300,"0.##")</f>
        <v>112_Loligo_vulgaris_EMBRYO_CO2433.00_pH8.03_T13.2</v>
      </c>
      <c r="D300" s="8">
        <v>112</v>
      </c>
      <c r="E300" s="8"/>
      <c r="F300" s="8"/>
      <c r="G300" s="8" t="s">
        <v>43</v>
      </c>
      <c r="H300" s="8" t="s">
        <v>832</v>
      </c>
      <c r="I300" s="8" t="s">
        <v>1130</v>
      </c>
      <c r="J300" s="8">
        <v>2014</v>
      </c>
      <c r="K300" s="8"/>
      <c r="L300" s="8"/>
      <c r="M300" s="8" t="s">
        <v>463</v>
      </c>
      <c r="N300" s="8"/>
      <c r="O300" s="8"/>
      <c r="P300" t="s">
        <v>1135</v>
      </c>
      <c r="Q300" s="8"/>
      <c r="R300" s="8" t="s">
        <v>1127</v>
      </c>
      <c r="S300" t="s">
        <v>1128</v>
      </c>
      <c r="T300" s="8" t="s">
        <v>68</v>
      </c>
      <c r="U300" s="8" t="s">
        <v>693</v>
      </c>
      <c r="V300" s="8" t="s">
        <v>833</v>
      </c>
      <c r="W300" s="8" t="str">
        <f>IF(ISNUMBER(MATCH(#REF!,{"Doryteuthis pealeii","Loligo vulgaris","Leptuca thayeri","Stylocheilus striatus","Ophryotrocha labronica"},0)),"N","Y")</f>
        <v>Y</v>
      </c>
      <c r="X300" s="8"/>
      <c r="Y300" s="8"/>
      <c r="Z300" s="8" t="s">
        <v>49</v>
      </c>
      <c r="AA300" s="8" t="s">
        <v>49</v>
      </c>
      <c r="AB300" s="8" t="s">
        <v>71</v>
      </c>
      <c r="AC300" s="8" t="s">
        <v>195</v>
      </c>
      <c r="AD300" s="8" t="s">
        <v>52</v>
      </c>
      <c r="AE300" s="8" t="s">
        <v>53</v>
      </c>
      <c r="AF300" s="8" t="s">
        <v>52</v>
      </c>
      <c r="AG300" s="8" t="s">
        <v>54</v>
      </c>
      <c r="AH300" s="8" t="s">
        <v>55</v>
      </c>
      <c r="AI300" s="8"/>
      <c r="AJ300" s="8"/>
      <c r="AK300" s="8">
        <v>3</v>
      </c>
      <c r="AL300" s="8">
        <v>3</v>
      </c>
      <c r="AM300" s="8"/>
      <c r="AN300" s="8">
        <v>433</v>
      </c>
      <c r="AO300" s="8" t="s">
        <v>56</v>
      </c>
      <c r="AP300" s="8">
        <v>24</v>
      </c>
      <c r="AQ300" s="8" t="s">
        <v>109</v>
      </c>
      <c r="AR300" s="8">
        <v>8.0299999999999994</v>
      </c>
      <c r="AS300" s="8" t="s">
        <v>56</v>
      </c>
      <c r="AT300" s="8">
        <v>0.02</v>
      </c>
      <c r="AU300" s="8">
        <v>1682</v>
      </c>
      <c r="AV300" t="s">
        <v>56</v>
      </c>
      <c r="AW300">
        <v>132</v>
      </c>
      <c r="AX300">
        <v>7.51</v>
      </c>
      <c r="AY300" t="s">
        <v>56</v>
      </c>
      <c r="AZ300">
        <v>0.03</v>
      </c>
      <c r="BA300" s="8"/>
      <c r="BB300" s="8">
        <f>LOG(AU300)</f>
        <v>3.2258259914618934</v>
      </c>
      <c r="BC300" s="8">
        <v>13.2</v>
      </c>
      <c r="BD300" s="8" t="s">
        <v>56</v>
      </c>
      <c r="BE300" s="8">
        <v>0.3</v>
      </c>
      <c r="BF300" s="8">
        <v>13.2</v>
      </c>
      <c r="BG300" s="8" t="s">
        <v>56</v>
      </c>
      <c r="BH300" s="8">
        <v>0.3</v>
      </c>
      <c r="BI300" s="8">
        <v>1249</v>
      </c>
      <c r="BJ300" s="8">
        <v>0</v>
      </c>
      <c r="BK300" s="8" t="s">
        <v>834</v>
      </c>
      <c r="BL300" s="8" t="s">
        <v>839</v>
      </c>
      <c r="BM300" s="8" t="s">
        <v>209</v>
      </c>
      <c r="BN300" s="8" t="s">
        <v>60</v>
      </c>
      <c r="BO300" s="8" t="s">
        <v>840</v>
      </c>
      <c r="BP300" s="8" t="s">
        <v>194</v>
      </c>
      <c r="BQ300" s="8" t="s">
        <v>190</v>
      </c>
      <c r="BR300" s="8" t="s">
        <v>63</v>
      </c>
      <c r="BS300" s="8"/>
      <c r="BT300" s="8">
        <v>0.36</v>
      </c>
      <c r="BU300" s="8">
        <v>0.362205</v>
      </c>
      <c r="BV300" s="8">
        <v>0.05</v>
      </c>
      <c r="BW300" s="8">
        <f>BV300*SQRT(AK300)</f>
        <v>8.6602540378443865E-2</v>
      </c>
      <c r="BX300" s="8">
        <v>0.7</v>
      </c>
      <c r="BY300" s="8">
        <v>0.69921259999999996</v>
      </c>
      <c r="BZ300" s="8">
        <v>0.01</v>
      </c>
      <c r="CA300" s="8">
        <f>BZ300*SQRT(AL300)</f>
        <v>1.7320508075688773E-2</v>
      </c>
      <c r="CB300" s="8">
        <v>15</v>
      </c>
      <c r="CC300" s="8">
        <v>10</v>
      </c>
      <c r="CD300" s="8">
        <v>0.65800000000000003</v>
      </c>
      <c r="CE300" s="8">
        <v>1.61E-2</v>
      </c>
      <c r="CF300" s="8" t="s">
        <v>1134</v>
      </c>
    </row>
    <row r="301" spans="1:84" hidden="1" x14ac:dyDescent="0.2">
      <c r="A301" s="8"/>
      <c r="B301" t="str">
        <f>ROW()-1&amp;"_AltersInvert"</f>
        <v>300_AltersInvert</v>
      </c>
      <c r="C301" t="str">
        <f>D301&amp;"_"&amp;
SUBSTITUTE(TRIM(V301)," ","_")&amp;"_"&amp;
TRIM(AC301)&amp;"_"&amp;
"CO2"&amp;TEXT(AN301,"0.00")&amp;"_"&amp;
"pH"&amp;TEXT(AR301,"0.00")&amp;"_"&amp;
"T"&amp;TEXT(BC301,"0.##")</f>
        <v>112_Loligo_vulgaris_EMBRYO_CO2433.00_pH8.03_T13.2</v>
      </c>
      <c r="D301" s="8">
        <v>112</v>
      </c>
      <c r="E301" s="8"/>
      <c r="F301" s="8"/>
      <c r="G301" s="8" t="s">
        <v>43</v>
      </c>
      <c r="H301" s="8" t="s">
        <v>832</v>
      </c>
      <c r="I301" s="8" t="s">
        <v>1130</v>
      </c>
      <c r="J301" s="8">
        <v>2014</v>
      </c>
      <c r="K301" s="8"/>
      <c r="L301" s="8"/>
      <c r="M301" s="8" t="s">
        <v>463</v>
      </c>
      <c r="N301" s="8"/>
      <c r="O301" s="8"/>
      <c r="P301" t="s">
        <v>1135</v>
      </c>
      <c r="Q301" s="8"/>
      <c r="R301" s="8" t="s">
        <v>1127</v>
      </c>
      <c r="S301" t="s">
        <v>1128</v>
      </c>
      <c r="T301" s="8" t="s">
        <v>68</v>
      </c>
      <c r="U301" s="8" t="s">
        <v>693</v>
      </c>
      <c r="V301" s="8" t="s">
        <v>833</v>
      </c>
      <c r="W301" s="8" t="str">
        <f>IF(ISNUMBER(MATCH(#REF!,{"Doryteuthis pealeii","Loligo vulgaris","Leptuca thayeri","Stylocheilus striatus","Ophryotrocha labronica"},0)),"N","Y")</f>
        <v>Y</v>
      </c>
      <c r="X301" s="8"/>
      <c r="Y301" s="8"/>
      <c r="Z301" s="8" t="s">
        <v>49</v>
      </c>
      <c r="AA301" s="8" t="s">
        <v>49</v>
      </c>
      <c r="AB301" s="8" t="s">
        <v>71</v>
      </c>
      <c r="AC301" s="8" t="s">
        <v>195</v>
      </c>
      <c r="AD301" s="8" t="s">
        <v>52</v>
      </c>
      <c r="AE301" s="8" t="s">
        <v>53</v>
      </c>
      <c r="AF301" s="8" t="s">
        <v>54</v>
      </c>
      <c r="AG301" s="8" t="s">
        <v>52</v>
      </c>
      <c r="AH301" s="8" t="s">
        <v>65</v>
      </c>
      <c r="AI301" s="8"/>
      <c r="AJ301" s="8"/>
      <c r="AK301" s="8">
        <v>3</v>
      </c>
      <c r="AL301" s="8">
        <v>3</v>
      </c>
      <c r="AM301" s="8"/>
      <c r="AN301" s="8">
        <v>433</v>
      </c>
      <c r="AO301" s="8" t="s">
        <v>56</v>
      </c>
      <c r="AP301" s="8">
        <v>24</v>
      </c>
      <c r="AQ301" s="8" t="s">
        <v>109</v>
      </c>
      <c r="AR301" s="8">
        <v>8.0299999999999994</v>
      </c>
      <c r="AS301" s="8" t="s">
        <v>56</v>
      </c>
      <c r="AT301" s="8">
        <v>0.02</v>
      </c>
      <c r="AU301" s="8">
        <v>440</v>
      </c>
      <c r="AV301" t="s">
        <v>56</v>
      </c>
      <c r="AW301">
        <v>12</v>
      </c>
      <c r="AX301">
        <v>8.0299999999999994</v>
      </c>
      <c r="AY301" t="s">
        <v>56</v>
      </c>
      <c r="AZ301">
        <v>0.01</v>
      </c>
      <c r="BA301" s="8"/>
      <c r="BB301" s="8">
        <f>LOG(AU301)</f>
        <v>2.6434526764861874</v>
      </c>
      <c r="BC301" s="8">
        <v>13.2</v>
      </c>
      <c r="BD301" s="8" t="s">
        <v>56</v>
      </c>
      <c r="BE301" s="8">
        <v>0.3</v>
      </c>
      <c r="BF301" s="8">
        <v>15.1</v>
      </c>
      <c r="BG301" s="8" t="s">
        <v>56</v>
      </c>
      <c r="BH301" s="8">
        <v>0.3</v>
      </c>
      <c r="BI301" s="8">
        <v>7</v>
      </c>
      <c r="BJ301" s="8">
        <v>1.9</v>
      </c>
      <c r="BK301" s="8" t="s">
        <v>834</v>
      </c>
      <c r="BL301" s="8" t="s">
        <v>839</v>
      </c>
      <c r="BM301" s="8" t="s">
        <v>209</v>
      </c>
      <c r="BN301" s="8" t="s">
        <v>60</v>
      </c>
      <c r="BO301" s="8" t="s">
        <v>840</v>
      </c>
      <c r="BP301" s="8" t="s">
        <v>194</v>
      </c>
      <c r="BQ301" s="8" t="s">
        <v>190</v>
      </c>
      <c r="BR301" s="8" t="s">
        <v>63</v>
      </c>
      <c r="BS301" s="8"/>
      <c r="BT301" s="8">
        <v>0.36</v>
      </c>
      <c r="BU301" s="8">
        <v>0.362205</v>
      </c>
      <c r="BV301" s="8">
        <v>0.05</v>
      </c>
      <c r="BW301" s="8">
        <f>BV301*SQRT(AK301)</f>
        <v>8.6602540378443865E-2</v>
      </c>
      <c r="BX301" s="8">
        <v>0.44</v>
      </c>
      <c r="BY301" s="8">
        <v>0.44094489999999997</v>
      </c>
      <c r="BZ301" s="8">
        <v>0.02</v>
      </c>
      <c r="CA301" s="8">
        <f>BZ301*SQRT(AL301)</f>
        <v>3.4641016151377546E-2</v>
      </c>
      <c r="CB301" s="8">
        <v>15</v>
      </c>
      <c r="CC301" s="8">
        <v>10</v>
      </c>
      <c r="CD301" s="8">
        <v>0.19700000000000001</v>
      </c>
      <c r="CE301" s="8">
        <v>1.78E-2</v>
      </c>
      <c r="CF301" s="8" t="s">
        <v>1134</v>
      </c>
    </row>
    <row r="302" spans="1:84" hidden="1" x14ac:dyDescent="0.2">
      <c r="A302" s="8"/>
      <c r="B302" t="str">
        <f>ROW()-1&amp;"_AltersInvert"</f>
        <v>301_AltersInvert</v>
      </c>
      <c r="C302" t="str">
        <f>D302&amp;"_"&amp;
SUBSTITUTE(TRIM(V302)," ","_")&amp;"_"&amp;
TRIM(AC302)&amp;"_"&amp;
"CO2"&amp;TEXT(AN302,"0.00")&amp;"_"&amp;
"pH"&amp;TEXT(AR302,"0.00")&amp;"_"&amp;
"T"&amp;TEXT(BC302,"0.##")</f>
        <v>112_Loligo_vulgaris_EMBRYO_CO2433.00_pH8.03_T13.2</v>
      </c>
      <c r="D302" s="8">
        <v>112</v>
      </c>
      <c r="E302" s="8"/>
      <c r="F302" s="8"/>
      <c r="G302" s="8" t="s">
        <v>43</v>
      </c>
      <c r="H302" s="8" t="s">
        <v>832</v>
      </c>
      <c r="I302" s="8" t="s">
        <v>1130</v>
      </c>
      <c r="J302" s="8">
        <v>2014</v>
      </c>
      <c r="K302" s="8"/>
      <c r="L302" s="8"/>
      <c r="M302" s="8" t="s">
        <v>463</v>
      </c>
      <c r="N302" s="8"/>
      <c r="O302" s="8"/>
      <c r="P302" t="s">
        <v>1135</v>
      </c>
      <c r="Q302" s="8"/>
      <c r="R302" s="8" t="s">
        <v>1127</v>
      </c>
      <c r="S302" t="s">
        <v>1128</v>
      </c>
      <c r="T302" s="8" t="s">
        <v>68</v>
      </c>
      <c r="U302" s="8" t="s">
        <v>693</v>
      </c>
      <c r="V302" s="8" t="s">
        <v>833</v>
      </c>
      <c r="W302" s="8" t="str">
        <f>IF(ISNUMBER(MATCH(#REF!,{"Doryteuthis pealeii","Loligo vulgaris","Leptuca thayeri","Stylocheilus striatus","Ophryotrocha labronica"},0)),"N","Y")</f>
        <v>Y</v>
      </c>
      <c r="X302" s="8"/>
      <c r="Y302" s="8"/>
      <c r="Z302" s="8" t="s">
        <v>49</v>
      </c>
      <c r="AA302" s="8" t="s">
        <v>49</v>
      </c>
      <c r="AB302" s="8" t="s">
        <v>71</v>
      </c>
      <c r="AC302" s="8" t="s">
        <v>195</v>
      </c>
      <c r="AD302" s="8" t="s">
        <v>52</v>
      </c>
      <c r="AE302" s="8" t="s">
        <v>53</v>
      </c>
      <c r="AF302" s="8" t="s">
        <v>52</v>
      </c>
      <c r="AG302" s="8" t="s">
        <v>52</v>
      </c>
      <c r="AH302" s="8" t="s">
        <v>64</v>
      </c>
      <c r="AI302" s="8"/>
      <c r="AJ302" s="8"/>
      <c r="AK302" s="8">
        <v>3</v>
      </c>
      <c r="AL302" s="8">
        <v>3</v>
      </c>
      <c r="AM302" s="8"/>
      <c r="AN302" s="8">
        <v>433</v>
      </c>
      <c r="AO302" s="8" t="s">
        <v>56</v>
      </c>
      <c r="AP302" s="8">
        <v>24</v>
      </c>
      <c r="AQ302" s="8" t="s">
        <v>109</v>
      </c>
      <c r="AR302" s="8">
        <v>8.0299999999999994</v>
      </c>
      <c r="AS302" s="8" t="s">
        <v>56</v>
      </c>
      <c r="AT302" s="8">
        <v>0.02</v>
      </c>
      <c r="AU302" s="8">
        <v>1641</v>
      </c>
      <c r="AV302" t="s">
        <v>56</v>
      </c>
      <c r="AW302">
        <v>80</v>
      </c>
      <c r="AX302">
        <v>7.53</v>
      </c>
      <c r="AY302" t="s">
        <v>56</v>
      </c>
      <c r="AZ302">
        <v>0.02</v>
      </c>
      <c r="BA302" s="8"/>
      <c r="BB302" s="8">
        <f>LOG(AU302)</f>
        <v>3.2151085810530931</v>
      </c>
      <c r="BC302" s="8">
        <v>13.2</v>
      </c>
      <c r="BD302" s="8" t="s">
        <v>56</v>
      </c>
      <c r="BE302" s="8">
        <v>0.3</v>
      </c>
      <c r="BF302" s="8">
        <v>15.3</v>
      </c>
      <c r="BG302" s="8" t="s">
        <v>56</v>
      </c>
      <c r="BH302" s="8">
        <v>0.2</v>
      </c>
      <c r="BI302" s="8">
        <v>1208</v>
      </c>
      <c r="BJ302" s="8">
        <v>2.1</v>
      </c>
      <c r="BK302" s="8" t="s">
        <v>834</v>
      </c>
      <c r="BL302" s="8" t="s">
        <v>839</v>
      </c>
      <c r="BM302" s="8" t="s">
        <v>209</v>
      </c>
      <c r="BN302" s="8" t="s">
        <v>60</v>
      </c>
      <c r="BO302" s="8" t="s">
        <v>840</v>
      </c>
      <c r="BP302" s="8" t="s">
        <v>194</v>
      </c>
      <c r="BQ302" s="8" t="s">
        <v>190</v>
      </c>
      <c r="BR302" s="8" t="s">
        <v>63</v>
      </c>
      <c r="BS302" s="8"/>
      <c r="BT302" s="8">
        <v>0.36</v>
      </c>
      <c r="BU302" s="8">
        <v>0.362205</v>
      </c>
      <c r="BV302" s="8">
        <v>0.05</v>
      </c>
      <c r="BW302" s="8">
        <f>BV302*SQRT(AK302)</f>
        <v>8.6602540378443865E-2</v>
      </c>
      <c r="BX302" s="8">
        <v>0.7</v>
      </c>
      <c r="BY302" s="8">
        <v>0.69921259999999996</v>
      </c>
      <c r="BZ302" s="8">
        <v>0.02</v>
      </c>
      <c r="CA302" s="8">
        <f>BZ302*SQRT(AL302)</f>
        <v>3.4641016151377546E-2</v>
      </c>
      <c r="CB302" s="8">
        <v>15</v>
      </c>
      <c r="CC302" s="8">
        <v>10</v>
      </c>
      <c r="CD302" s="8">
        <v>0.65800000000000003</v>
      </c>
      <c r="CE302" s="8">
        <v>1.6299999999999999E-2</v>
      </c>
      <c r="CF302" s="8" t="s">
        <v>1134</v>
      </c>
    </row>
    <row r="303" spans="1:84" hidden="1" x14ac:dyDescent="0.2">
      <c r="B303" t="str">
        <f>ROW()-1&amp;"_AltersInvert"</f>
        <v>302_AltersInvert</v>
      </c>
      <c r="C303" t="str">
        <f>D303&amp;"_"&amp;
SUBSTITUTE(TRIM(V303)," ","_")&amp;"_"&amp;
TRIM(AC303)&amp;"_"&amp;
"CO2"&amp;TEXT(AN303,"0.00")&amp;"_"&amp;
"pH"&amp;TEXT(AR303,"0.00")&amp;"_"&amp;
"T"&amp;TEXT(BC303,"0.##")</f>
        <v>72_Crassostrea_gigas_LARVA_CO2519.00_pH8.04_T23.9</v>
      </c>
      <c r="D303">
        <v>72</v>
      </c>
      <c r="G303" t="s">
        <v>43</v>
      </c>
      <c r="H303" t="s">
        <v>648</v>
      </c>
      <c r="J303">
        <v>2014</v>
      </c>
      <c r="M303" t="s">
        <v>314</v>
      </c>
      <c r="P303" t="s">
        <v>1135</v>
      </c>
      <c r="R303" t="s">
        <v>1127</v>
      </c>
      <c r="S303" t="s">
        <v>1128</v>
      </c>
      <c r="T303" t="s">
        <v>68</v>
      </c>
      <c r="U303" t="s">
        <v>167</v>
      </c>
      <c r="V303" t="s">
        <v>168</v>
      </c>
      <c r="Z303" t="s">
        <v>49</v>
      </c>
      <c r="AA303" t="s">
        <v>49</v>
      </c>
      <c r="AB303" t="s">
        <v>71</v>
      </c>
      <c r="AC303" t="s">
        <v>72</v>
      </c>
      <c r="AD303" t="s">
        <v>54</v>
      </c>
      <c r="AE303" t="s">
        <v>53</v>
      </c>
      <c r="AF303" t="s">
        <v>52</v>
      </c>
      <c r="AG303" t="s">
        <v>54</v>
      </c>
      <c r="AH303" t="s">
        <v>55</v>
      </c>
      <c r="AK303">
        <v>4</v>
      </c>
      <c r="AL303">
        <v>4</v>
      </c>
      <c r="AN303">
        <v>519</v>
      </c>
      <c r="AO303" t="s">
        <v>56</v>
      </c>
      <c r="AP303">
        <v>35</v>
      </c>
      <c r="AQ303" t="s">
        <v>57</v>
      </c>
      <c r="AR303">
        <v>8.0399999999999991</v>
      </c>
      <c r="AS303" t="s">
        <v>56</v>
      </c>
      <c r="AT303">
        <v>0.01</v>
      </c>
      <c r="AU303">
        <v>2166</v>
      </c>
      <c r="AV303" t="s">
        <v>56</v>
      </c>
      <c r="AW303">
        <v>385</v>
      </c>
      <c r="AX303">
        <v>7.47</v>
      </c>
      <c r="AY303" t="s">
        <v>56</v>
      </c>
      <c r="AZ303">
        <v>0.06</v>
      </c>
      <c r="BB303">
        <f>LOG(AU303)</f>
        <v>3.3356584522893016</v>
      </c>
      <c r="BC303">
        <v>23.9</v>
      </c>
      <c r="BD303" t="s">
        <v>56</v>
      </c>
      <c r="BE303">
        <v>0</v>
      </c>
      <c r="BF303">
        <v>22.1</v>
      </c>
      <c r="BG303" t="s">
        <v>56</v>
      </c>
      <c r="BH303">
        <v>0.1</v>
      </c>
      <c r="BI303">
        <v>1647</v>
      </c>
      <c r="BJ303">
        <v>-1.8</v>
      </c>
      <c r="BK303" t="s">
        <v>56</v>
      </c>
      <c r="BL303" t="s">
        <v>262</v>
      </c>
      <c r="BM303" t="s">
        <v>262</v>
      </c>
      <c r="BN303" t="s">
        <v>81</v>
      </c>
      <c r="BO303" t="s">
        <v>652</v>
      </c>
      <c r="BP303" t="s">
        <v>92</v>
      </c>
      <c r="BQ303" t="s">
        <v>92</v>
      </c>
      <c r="BR303" t="s">
        <v>63</v>
      </c>
      <c r="BT303">
        <v>2.79</v>
      </c>
      <c r="BU303">
        <v>2.79</v>
      </c>
      <c r="BV303">
        <v>0.08</v>
      </c>
      <c r="BW303">
        <f>BV303*SQRT(AK303)</f>
        <v>0.16</v>
      </c>
      <c r="BX303">
        <v>2.1</v>
      </c>
      <c r="BY303">
        <v>2.1</v>
      </c>
      <c r="BZ303">
        <v>0.04</v>
      </c>
      <c r="CA303">
        <f>BZ303*SQRT(AL303)</f>
        <v>0.08</v>
      </c>
      <c r="CB303">
        <v>15</v>
      </c>
      <c r="CC303">
        <v>4</v>
      </c>
      <c r="CD303">
        <v>-0.28399999999999997</v>
      </c>
      <c r="CE303">
        <v>1.1999999999999999E-3</v>
      </c>
      <c r="CF303" s="8"/>
    </row>
    <row r="304" spans="1:84" hidden="1" x14ac:dyDescent="0.2">
      <c r="B304" t="str">
        <f>ROW()-1&amp;"_AltersInvert"</f>
        <v>303_AltersInvert</v>
      </c>
      <c r="C304" t="str">
        <f>D304&amp;"_"&amp;
SUBSTITUTE(TRIM(V304)," ","_")&amp;"_"&amp;
TRIM(AC304)&amp;"_"&amp;
"CO2"&amp;TEXT(AN304,"0.00")&amp;"_"&amp;
"pH"&amp;TEXT(AR304,"0.00")&amp;"_"&amp;
"T"&amp;TEXT(BC304,"0.##")</f>
        <v>72_Crassostrea_gigas_LARVA_CO2519.00_pH8.04_T23.9</v>
      </c>
      <c r="D304">
        <v>72</v>
      </c>
      <c r="G304" t="s">
        <v>43</v>
      </c>
      <c r="H304" t="s">
        <v>648</v>
      </c>
      <c r="J304">
        <v>2014</v>
      </c>
      <c r="M304" t="s">
        <v>314</v>
      </c>
      <c r="P304" t="s">
        <v>1135</v>
      </c>
      <c r="R304" t="s">
        <v>1127</v>
      </c>
      <c r="S304" t="s">
        <v>1128</v>
      </c>
      <c r="T304" t="s">
        <v>68</v>
      </c>
      <c r="U304" t="s">
        <v>167</v>
      </c>
      <c r="V304" t="s">
        <v>168</v>
      </c>
      <c r="Z304" t="s">
        <v>49</v>
      </c>
      <c r="AA304" t="s">
        <v>49</v>
      </c>
      <c r="AB304" t="s">
        <v>71</v>
      </c>
      <c r="AC304" t="s">
        <v>72</v>
      </c>
      <c r="AD304" t="s">
        <v>54</v>
      </c>
      <c r="AE304" t="s">
        <v>53</v>
      </c>
      <c r="AF304" t="s">
        <v>54</v>
      </c>
      <c r="AG304" t="s">
        <v>52</v>
      </c>
      <c r="AH304" t="s">
        <v>65</v>
      </c>
      <c r="AK304">
        <v>4</v>
      </c>
      <c r="AL304">
        <v>4</v>
      </c>
      <c r="AN304">
        <v>519</v>
      </c>
      <c r="AO304" t="s">
        <v>56</v>
      </c>
      <c r="AP304">
        <v>35</v>
      </c>
      <c r="AQ304" t="s">
        <v>57</v>
      </c>
      <c r="AR304">
        <v>8.0399999999999991</v>
      </c>
      <c r="AS304" t="s">
        <v>56</v>
      </c>
      <c r="AT304">
        <v>0.01</v>
      </c>
      <c r="AU304">
        <v>532</v>
      </c>
      <c r="AV304" t="s">
        <v>56</v>
      </c>
      <c r="AW304">
        <v>31</v>
      </c>
      <c r="AX304">
        <v>8.0500000000000007</v>
      </c>
      <c r="AY304" t="s">
        <v>56</v>
      </c>
      <c r="AZ304">
        <v>0.12</v>
      </c>
      <c r="BB304">
        <f>LOG(AU304)</f>
        <v>2.7259116322950483</v>
      </c>
      <c r="BC304">
        <v>23.9</v>
      </c>
      <c r="BD304" t="s">
        <v>56</v>
      </c>
      <c r="BE304">
        <v>0</v>
      </c>
      <c r="BF304">
        <v>30.1</v>
      </c>
      <c r="BG304" t="s">
        <v>56</v>
      </c>
      <c r="BH304">
        <v>0.1</v>
      </c>
      <c r="BI304">
        <v>13</v>
      </c>
      <c r="BJ304">
        <v>6.2</v>
      </c>
      <c r="BK304" t="s">
        <v>56</v>
      </c>
      <c r="BL304" t="s">
        <v>262</v>
      </c>
      <c r="BM304" t="s">
        <v>262</v>
      </c>
      <c r="BN304" t="s">
        <v>81</v>
      </c>
      <c r="BO304" t="s">
        <v>652</v>
      </c>
      <c r="BP304" t="s">
        <v>92</v>
      </c>
      <c r="BQ304" t="s">
        <v>92</v>
      </c>
      <c r="BR304" t="s">
        <v>63</v>
      </c>
      <c r="BT304">
        <v>2.79</v>
      </c>
      <c r="BU304">
        <v>2.79</v>
      </c>
      <c r="BV304">
        <v>0.08</v>
      </c>
      <c r="BW304">
        <f>BV304*SQRT(AK304)</f>
        <v>0.16</v>
      </c>
      <c r="BX304">
        <v>4.05</v>
      </c>
      <c r="BY304">
        <v>4.05</v>
      </c>
      <c r="BZ304">
        <v>0.19</v>
      </c>
      <c r="CA304">
        <f>BZ304*SQRT(AL304)</f>
        <v>0.38</v>
      </c>
      <c r="CB304">
        <v>15</v>
      </c>
      <c r="CC304">
        <v>4</v>
      </c>
      <c r="CD304">
        <v>0.373</v>
      </c>
      <c r="CE304">
        <v>3.0000000000000001E-3</v>
      </c>
      <c r="CF304" s="8"/>
    </row>
    <row r="305" spans="1:84" hidden="1" x14ac:dyDescent="0.2">
      <c r="B305" t="str">
        <f>ROW()-1&amp;"_AltersInvert"</f>
        <v>304_AltersInvert</v>
      </c>
      <c r="C305" t="str">
        <f>D305&amp;"_"&amp;
SUBSTITUTE(TRIM(V305)," ","_")&amp;"_"&amp;
TRIM(AC305)&amp;"_"&amp;
"CO2"&amp;TEXT(AN305,"0.00")&amp;"_"&amp;
"pH"&amp;TEXT(AR305,"0.00")&amp;"_"&amp;
"T"&amp;TEXT(BC305,"0.##")</f>
        <v>72_Crassostrea_gigas_LARVA_CO2519.00_pH8.04_T23.9</v>
      </c>
      <c r="D305">
        <v>72</v>
      </c>
      <c r="G305" t="s">
        <v>43</v>
      </c>
      <c r="H305" t="s">
        <v>648</v>
      </c>
      <c r="J305">
        <v>2014</v>
      </c>
      <c r="M305" t="s">
        <v>314</v>
      </c>
      <c r="P305" t="s">
        <v>1135</v>
      </c>
      <c r="R305" t="s">
        <v>1127</v>
      </c>
      <c r="S305" t="s">
        <v>1128</v>
      </c>
      <c r="T305" t="s">
        <v>68</v>
      </c>
      <c r="U305" t="s">
        <v>167</v>
      </c>
      <c r="V305" t="s">
        <v>168</v>
      </c>
      <c r="Z305" t="s">
        <v>49</v>
      </c>
      <c r="AA305" t="s">
        <v>49</v>
      </c>
      <c r="AB305" t="s">
        <v>71</v>
      </c>
      <c r="AC305" t="s">
        <v>72</v>
      </c>
      <c r="AD305" t="s">
        <v>54</v>
      </c>
      <c r="AE305" t="s">
        <v>53</v>
      </c>
      <c r="AF305" t="s">
        <v>52</v>
      </c>
      <c r="AG305" t="s">
        <v>52</v>
      </c>
      <c r="AH305" t="s">
        <v>64</v>
      </c>
      <c r="AK305">
        <v>4</v>
      </c>
      <c r="AL305">
        <v>4</v>
      </c>
      <c r="AN305">
        <v>519</v>
      </c>
      <c r="AO305" t="s">
        <v>56</v>
      </c>
      <c r="AP305">
        <v>35</v>
      </c>
      <c r="AQ305" t="s">
        <v>57</v>
      </c>
      <c r="AR305">
        <v>8.0399999999999991</v>
      </c>
      <c r="AS305" t="s">
        <v>56</v>
      </c>
      <c r="AT305">
        <v>0.01</v>
      </c>
      <c r="AU305">
        <v>1566</v>
      </c>
      <c r="AV305" t="s">
        <v>56</v>
      </c>
      <c r="AW305">
        <v>113</v>
      </c>
      <c r="AX305">
        <v>7.63</v>
      </c>
      <c r="AY305" t="s">
        <v>56</v>
      </c>
      <c r="AZ305">
        <v>0.03</v>
      </c>
      <c r="BB305">
        <f>LOG(AU305)</f>
        <v>3.1947917577219247</v>
      </c>
      <c r="BC305">
        <v>23.9</v>
      </c>
      <c r="BD305" t="s">
        <v>56</v>
      </c>
      <c r="BE305">
        <v>0</v>
      </c>
      <c r="BF305">
        <v>30</v>
      </c>
      <c r="BG305" t="s">
        <v>56</v>
      </c>
      <c r="BH305">
        <v>0.1</v>
      </c>
      <c r="BI305">
        <v>1047</v>
      </c>
      <c r="BJ305">
        <v>6.1</v>
      </c>
      <c r="BK305" t="s">
        <v>56</v>
      </c>
      <c r="BL305" t="s">
        <v>262</v>
      </c>
      <c r="BM305" t="s">
        <v>262</v>
      </c>
      <c r="BN305" t="s">
        <v>81</v>
      </c>
      <c r="BO305" t="s">
        <v>652</v>
      </c>
      <c r="BP305" t="s">
        <v>92</v>
      </c>
      <c r="BQ305" t="s">
        <v>92</v>
      </c>
      <c r="BR305" t="s">
        <v>63</v>
      </c>
      <c r="BT305">
        <v>2.79</v>
      </c>
      <c r="BU305">
        <v>2.79</v>
      </c>
      <c r="BV305">
        <v>0.08</v>
      </c>
      <c r="BW305">
        <f>BV305*SQRT(AK305)</f>
        <v>0.16</v>
      </c>
      <c r="BX305">
        <v>3.91</v>
      </c>
      <c r="BY305">
        <v>3.91</v>
      </c>
      <c r="BZ305">
        <v>0.1</v>
      </c>
      <c r="CA305">
        <f>BZ305*SQRT(AL305)</f>
        <v>0.2</v>
      </c>
      <c r="CB305">
        <v>15</v>
      </c>
      <c r="CC305">
        <v>4</v>
      </c>
      <c r="CD305">
        <v>0.33700000000000002</v>
      </c>
      <c r="CE305">
        <v>1.5E-3</v>
      </c>
      <c r="CF305" s="8"/>
    </row>
    <row r="306" spans="1:84" hidden="1" x14ac:dyDescent="0.2">
      <c r="A306" s="8"/>
      <c r="B306" t="str">
        <f>ROW()-1&amp;"_AltersInvert"</f>
        <v>305_AltersInvert</v>
      </c>
      <c r="C306" t="str">
        <f>D306&amp;"_"&amp;
SUBSTITUTE(TRIM(V306)," ","_")&amp;"_"&amp;
TRIM(AC306)&amp;"_"&amp;
"CO2"&amp;TEXT(AN306,"0.00")&amp;"_"&amp;
"pH"&amp;TEXT(AR306,"0.00")&amp;"_"&amp;
"T"&amp;TEXT(BC306,"0.##")</f>
        <v>82_Doryteuthis_pealeii_EMBRYO_CO2387.00_pH8.03_T19.5</v>
      </c>
      <c r="D306" s="8">
        <v>82</v>
      </c>
      <c r="E306" s="8"/>
      <c r="F306" s="8"/>
      <c r="G306" s="8" t="s">
        <v>43</v>
      </c>
      <c r="H306" s="8" t="s">
        <v>691</v>
      </c>
      <c r="I306" s="8" t="s">
        <v>1130</v>
      </c>
      <c r="J306" s="8">
        <v>2020</v>
      </c>
      <c r="K306" s="8"/>
      <c r="L306" s="8"/>
      <c r="M306" s="8" t="s">
        <v>692</v>
      </c>
      <c r="N306" s="8"/>
      <c r="O306" s="8"/>
      <c r="P306" t="s">
        <v>1135</v>
      </c>
      <c r="Q306" s="8"/>
      <c r="R306" s="8" t="s">
        <v>1127</v>
      </c>
      <c r="S306" t="s">
        <v>1128</v>
      </c>
      <c r="T306" s="8" t="s">
        <v>68</v>
      </c>
      <c r="U306" s="8" t="s">
        <v>693</v>
      </c>
      <c r="V306" s="8" t="s">
        <v>694</v>
      </c>
      <c r="W306" s="8" t="str">
        <f>IF(ISNUMBER(MATCH(#REF!,{"Doryteuthis pealeii","Loligo vulgaris","Leptuca thayeri","Stylocheilus striatus","Ophryotrocha labronica"},0)),"N","Y")</f>
        <v>Y</v>
      </c>
      <c r="X306" s="8"/>
      <c r="Y306" s="8"/>
      <c r="Z306" s="8" t="s">
        <v>107</v>
      </c>
      <c r="AA306" s="8" t="s">
        <v>107</v>
      </c>
      <c r="AB306" s="8" t="s">
        <v>71</v>
      </c>
      <c r="AC306" s="8" t="s">
        <v>195</v>
      </c>
      <c r="AD306" s="8" t="s">
        <v>52</v>
      </c>
      <c r="AE306" s="8" t="s">
        <v>53</v>
      </c>
      <c r="AF306" s="8" t="s">
        <v>52</v>
      </c>
      <c r="AG306" s="8" t="s">
        <v>54</v>
      </c>
      <c r="AH306" s="8" t="s">
        <v>55</v>
      </c>
      <c r="AI306" s="8"/>
      <c r="AJ306" s="8"/>
      <c r="AK306" s="8">
        <v>3</v>
      </c>
      <c r="AL306" s="8">
        <v>3</v>
      </c>
      <c r="AM306" s="8"/>
      <c r="AN306" s="8">
        <v>387</v>
      </c>
      <c r="AO306" s="8">
        <v>28</v>
      </c>
      <c r="AP306" s="8" t="s">
        <v>56</v>
      </c>
      <c r="AQ306" s="8" t="s">
        <v>109</v>
      </c>
      <c r="AR306" s="8">
        <v>8.0299999999999994</v>
      </c>
      <c r="AS306" s="8">
        <v>0.03</v>
      </c>
      <c r="AT306" s="8" t="s">
        <v>56</v>
      </c>
      <c r="AU306" s="8">
        <v>1908</v>
      </c>
      <c r="AV306">
        <v>89</v>
      </c>
      <c r="AW306" t="s">
        <v>56</v>
      </c>
      <c r="AX306">
        <v>7.41</v>
      </c>
      <c r="AY306">
        <v>0.02</v>
      </c>
      <c r="AZ306" t="s">
        <v>56</v>
      </c>
      <c r="BA306" s="8"/>
      <c r="BB306" s="8">
        <f>LOG(AU306)</f>
        <v>3.2805783703680764</v>
      </c>
      <c r="BC306" s="8">
        <v>19.5</v>
      </c>
      <c r="BD306" s="8" t="s">
        <v>56</v>
      </c>
      <c r="BE306" s="8" t="s">
        <v>56</v>
      </c>
      <c r="BF306" s="8">
        <v>19.5</v>
      </c>
      <c r="BG306" s="8" t="s">
        <v>56</v>
      </c>
      <c r="BH306" s="8" t="s">
        <v>56</v>
      </c>
      <c r="BI306" s="8">
        <v>1521</v>
      </c>
      <c r="BJ306" s="8">
        <v>0</v>
      </c>
      <c r="BK306" s="9">
        <v>45914</v>
      </c>
      <c r="BL306" s="8" t="s">
        <v>695</v>
      </c>
      <c r="BM306" s="8" t="s">
        <v>249</v>
      </c>
      <c r="BN306" s="8" t="s">
        <v>60</v>
      </c>
      <c r="BO306" s="8" t="s">
        <v>250</v>
      </c>
      <c r="BP306" s="8" t="s">
        <v>9</v>
      </c>
      <c r="BQ306" s="8" t="s">
        <v>83</v>
      </c>
      <c r="BR306" s="8" t="s">
        <v>63</v>
      </c>
      <c r="BS306" s="8"/>
      <c r="BT306" s="8">
        <v>15.8</v>
      </c>
      <c r="BU306" s="8">
        <v>15.8</v>
      </c>
      <c r="BV306" s="8">
        <v>0.1</v>
      </c>
      <c r="BW306" s="8">
        <f>BV306*SQRT(AK306)</f>
        <v>0.17320508075688773</v>
      </c>
      <c r="BX306" s="8">
        <v>16.7</v>
      </c>
      <c r="BY306" s="8">
        <v>16.7</v>
      </c>
      <c r="BZ306" s="8">
        <v>0.3</v>
      </c>
      <c r="CA306" s="8">
        <f>BZ306*SQRT(AL306)</f>
        <v>0.51961524227066314</v>
      </c>
      <c r="CB306" s="8">
        <v>17</v>
      </c>
      <c r="CC306" s="8">
        <v>3</v>
      </c>
      <c r="CD306" s="8">
        <v>5.5E-2</v>
      </c>
      <c r="CE306" s="8">
        <v>4.0000000000000002E-4</v>
      </c>
      <c r="CF306" s="8" t="s">
        <v>1134</v>
      </c>
    </row>
    <row r="307" spans="1:84" hidden="1" x14ac:dyDescent="0.2">
      <c r="D307">
        <v>17</v>
      </c>
      <c r="G307" t="s">
        <v>43</v>
      </c>
      <c r="H307" t="s">
        <v>256</v>
      </c>
      <c r="J307">
        <v>2013</v>
      </c>
      <c r="M307" t="s">
        <v>257</v>
      </c>
      <c r="T307" t="s">
        <v>68</v>
      </c>
      <c r="U307" t="s">
        <v>258</v>
      </c>
      <c r="V307" t="s">
        <v>259</v>
      </c>
      <c r="Z307" t="s">
        <v>49</v>
      </c>
      <c r="AA307" t="s">
        <v>49</v>
      </c>
      <c r="AB307" t="s">
        <v>50</v>
      </c>
      <c r="AC307" t="s">
        <v>51</v>
      </c>
      <c r="AD307" t="s">
        <v>52</v>
      </c>
      <c r="AE307" t="s">
        <v>53</v>
      </c>
      <c r="AF307" t="s">
        <v>54</v>
      </c>
      <c r="AG307" t="s">
        <v>52</v>
      </c>
      <c r="AH307" t="s">
        <v>65</v>
      </c>
      <c r="AK307">
        <v>64</v>
      </c>
      <c r="AL307">
        <v>64</v>
      </c>
      <c r="AN307">
        <v>428</v>
      </c>
      <c r="AO307">
        <v>17</v>
      </c>
      <c r="AP307" t="s">
        <v>56</v>
      </c>
      <c r="AQ307" t="s">
        <v>57</v>
      </c>
      <c r="AR307">
        <v>8.0299999999999994</v>
      </c>
      <c r="AS307">
        <v>0.01</v>
      </c>
      <c r="AT307" t="s">
        <v>56</v>
      </c>
      <c r="AU307">
        <v>428</v>
      </c>
      <c r="AV307">
        <v>13</v>
      </c>
      <c r="AW307" t="s">
        <v>56</v>
      </c>
      <c r="AX307">
        <v>8.0399999999999991</v>
      </c>
      <c r="AY307">
        <v>0.01</v>
      </c>
      <c r="AZ307" t="s">
        <v>56</v>
      </c>
      <c r="BB307">
        <f>LOG(AU307)</f>
        <v>2.6314437690131722</v>
      </c>
      <c r="BC307">
        <v>14.4</v>
      </c>
      <c r="BD307">
        <v>0.1</v>
      </c>
      <c r="BE307" t="s">
        <v>56</v>
      </c>
      <c r="BF307">
        <v>20.9</v>
      </c>
      <c r="BG307">
        <v>0</v>
      </c>
      <c r="BH307" t="s">
        <v>56</v>
      </c>
      <c r="BI307">
        <v>0</v>
      </c>
      <c r="BJ307">
        <v>6.5</v>
      </c>
      <c r="BK307" t="s">
        <v>56</v>
      </c>
      <c r="BL307" t="s">
        <v>260</v>
      </c>
      <c r="BM307" t="s">
        <v>260</v>
      </c>
      <c r="BN307" t="s">
        <v>60</v>
      </c>
      <c r="BO307" t="s">
        <v>82</v>
      </c>
      <c r="BP307" t="s">
        <v>194</v>
      </c>
      <c r="BR307" t="s">
        <v>63</v>
      </c>
      <c r="BT307">
        <v>19.7</v>
      </c>
      <c r="BU307">
        <v>19.701087000000001</v>
      </c>
      <c r="BV307">
        <v>1.0900000000000001</v>
      </c>
      <c r="BW307">
        <f>BV307*SQRT(AK307)</f>
        <v>8.7200000000000006</v>
      </c>
      <c r="BX307">
        <v>25.48</v>
      </c>
      <c r="BY307">
        <v>25.475543500000001</v>
      </c>
      <c r="BZ307">
        <v>0.75</v>
      </c>
      <c r="CA307">
        <f>BZ307*SQRT(AL307)</f>
        <v>6</v>
      </c>
      <c r="CB307">
        <v>30</v>
      </c>
      <c r="CC307">
        <v>1</v>
      </c>
      <c r="CD307">
        <v>0.25700000000000001</v>
      </c>
      <c r="CE307">
        <v>3.8999999999999998E-3</v>
      </c>
    </row>
    <row r="308" spans="1:84" hidden="1" x14ac:dyDescent="0.2">
      <c r="D308">
        <v>17</v>
      </c>
      <c r="G308" t="s">
        <v>43</v>
      </c>
      <c r="H308" t="s">
        <v>256</v>
      </c>
      <c r="J308">
        <v>2013</v>
      </c>
      <c r="M308" t="s">
        <v>257</v>
      </c>
      <c r="T308" t="s">
        <v>68</v>
      </c>
      <c r="U308" t="s">
        <v>258</v>
      </c>
      <c r="V308" t="s">
        <v>259</v>
      </c>
      <c r="Z308" t="s">
        <v>49</v>
      </c>
      <c r="AA308" t="s">
        <v>49</v>
      </c>
      <c r="AB308" t="s">
        <v>50</v>
      </c>
      <c r="AC308" t="s">
        <v>51</v>
      </c>
      <c r="AD308" t="s">
        <v>52</v>
      </c>
      <c r="AE308" t="s">
        <v>53</v>
      </c>
      <c r="AF308" t="s">
        <v>52</v>
      </c>
      <c r="AG308" t="s">
        <v>54</v>
      </c>
      <c r="AH308" t="s">
        <v>55</v>
      </c>
      <c r="AK308">
        <v>64</v>
      </c>
      <c r="AL308">
        <v>64</v>
      </c>
      <c r="AN308">
        <v>428</v>
      </c>
      <c r="AO308">
        <v>17</v>
      </c>
      <c r="AP308" t="s">
        <v>56</v>
      </c>
      <c r="AQ308" t="s">
        <v>57</v>
      </c>
      <c r="AR308">
        <v>8.0299999999999994</v>
      </c>
      <c r="AS308">
        <v>0.01</v>
      </c>
      <c r="AT308" t="s">
        <v>56</v>
      </c>
      <c r="AU308">
        <v>998</v>
      </c>
      <c r="AV308">
        <v>30</v>
      </c>
      <c r="AW308" t="s">
        <v>56</v>
      </c>
      <c r="AX308">
        <v>7.67</v>
      </c>
      <c r="AY308">
        <v>0.01</v>
      </c>
      <c r="AZ308" t="s">
        <v>56</v>
      </c>
      <c r="BB308">
        <f>LOG(AU308)</f>
        <v>2.999130541287371</v>
      </c>
      <c r="BC308">
        <v>14.4</v>
      </c>
      <c r="BD308">
        <v>0.1</v>
      </c>
      <c r="BE308" t="s">
        <v>56</v>
      </c>
      <c r="BF308">
        <v>14.9</v>
      </c>
      <c r="BG308">
        <v>0.1</v>
      </c>
      <c r="BH308" t="s">
        <v>56</v>
      </c>
      <c r="BI308">
        <v>570</v>
      </c>
      <c r="BJ308">
        <v>0.5</v>
      </c>
      <c r="BK308" t="s">
        <v>56</v>
      </c>
      <c r="BL308" t="s">
        <v>260</v>
      </c>
      <c r="BM308" t="s">
        <v>260</v>
      </c>
      <c r="BN308" t="s">
        <v>60</v>
      </c>
      <c r="BO308" t="s">
        <v>82</v>
      </c>
      <c r="BP308" t="s">
        <v>194</v>
      </c>
      <c r="BR308" t="s">
        <v>63</v>
      </c>
      <c r="BT308">
        <v>19.7</v>
      </c>
      <c r="BU308">
        <v>19.701087000000001</v>
      </c>
      <c r="BV308">
        <v>1.0900000000000001</v>
      </c>
      <c r="BW308">
        <f>BV308*SQRT(AK308)</f>
        <v>8.7200000000000006</v>
      </c>
      <c r="BX308">
        <v>32</v>
      </c>
      <c r="BY308">
        <v>31.997282599999998</v>
      </c>
      <c r="BZ308">
        <v>0.88</v>
      </c>
      <c r="CA308">
        <f>BZ308*SQRT(AL308)</f>
        <v>7.04</v>
      </c>
      <c r="CB308">
        <v>30</v>
      </c>
      <c r="CC308">
        <v>1</v>
      </c>
      <c r="CD308">
        <v>0.48499999999999999</v>
      </c>
      <c r="CE308">
        <v>3.8E-3</v>
      </c>
    </row>
    <row r="309" spans="1:84" hidden="1" x14ac:dyDescent="0.2">
      <c r="D309">
        <v>17</v>
      </c>
      <c r="G309" t="s">
        <v>43</v>
      </c>
      <c r="H309" t="s">
        <v>256</v>
      </c>
      <c r="J309">
        <v>2013</v>
      </c>
      <c r="M309" t="s">
        <v>257</v>
      </c>
      <c r="T309" t="s">
        <v>68</v>
      </c>
      <c r="U309" t="s">
        <v>258</v>
      </c>
      <c r="V309" t="s">
        <v>259</v>
      </c>
      <c r="Z309" t="s">
        <v>49</v>
      </c>
      <c r="AA309" t="s">
        <v>49</v>
      </c>
      <c r="AB309" t="s">
        <v>50</v>
      </c>
      <c r="AC309" t="s">
        <v>51</v>
      </c>
      <c r="AD309" t="s">
        <v>52</v>
      </c>
      <c r="AE309" t="s">
        <v>53</v>
      </c>
      <c r="AF309" t="s">
        <v>52</v>
      </c>
      <c r="AG309" t="s">
        <v>52</v>
      </c>
      <c r="AH309" t="s">
        <v>64</v>
      </c>
      <c r="AK309">
        <v>64</v>
      </c>
      <c r="AL309">
        <v>64</v>
      </c>
      <c r="AN309">
        <v>428</v>
      </c>
      <c r="AO309">
        <v>17</v>
      </c>
      <c r="AP309" t="s">
        <v>56</v>
      </c>
      <c r="AQ309" t="s">
        <v>57</v>
      </c>
      <c r="AR309">
        <v>8.0299999999999994</v>
      </c>
      <c r="AS309">
        <v>0.01</v>
      </c>
      <c r="AT309" t="s">
        <v>56</v>
      </c>
      <c r="AU309">
        <v>1185</v>
      </c>
      <c r="AV309">
        <v>33</v>
      </c>
      <c r="AW309" t="s">
        <v>56</v>
      </c>
      <c r="AX309">
        <v>7.65</v>
      </c>
      <c r="AY309">
        <v>0.01</v>
      </c>
      <c r="AZ309" t="s">
        <v>56</v>
      </c>
      <c r="BB309">
        <f>LOG(AU309)</f>
        <v>3.0737183503461227</v>
      </c>
      <c r="BC309">
        <v>14.4</v>
      </c>
      <c r="BD309">
        <v>0.1</v>
      </c>
      <c r="BE309" t="s">
        <v>56</v>
      </c>
      <c r="BF309">
        <v>20.7</v>
      </c>
      <c r="BG309">
        <v>0.1</v>
      </c>
      <c r="BH309" t="s">
        <v>56</v>
      </c>
      <c r="BI309">
        <v>757</v>
      </c>
      <c r="BJ309">
        <v>6.3</v>
      </c>
      <c r="BK309" t="s">
        <v>56</v>
      </c>
      <c r="BL309" t="s">
        <v>260</v>
      </c>
      <c r="BM309" t="s">
        <v>260</v>
      </c>
      <c r="BN309" t="s">
        <v>60</v>
      </c>
      <c r="BO309" t="s">
        <v>82</v>
      </c>
      <c r="BP309" t="s">
        <v>194</v>
      </c>
      <c r="BR309" t="s">
        <v>63</v>
      </c>
      <c r="BT309">
        <v>19.7</v>
      </c>
      <c r="BU309">
        <v>19.701087000000001</v>
      </c>
      <c r="BV309">
        <v>1.0900000000000001</v>
      </c>
      <c r="BW309">
        <f>BV309*SQRT(AK309)</f>
        <v>8.7200000000000006</v>
      </c>
      <c r="BX309">
        <v>38.72</v>
      </c>
      <c r="BY309">
        <v>38.722826099999999</v>
      </c>
      <c r="BZ309">
        <v>1.83</v>
      </c>
      <c r="CA309">
        <f>BZ309*SQRT(AL309)</f>
        <v>14.64</v>
      </c>
      <c r="CB309">
        <v>30</v>
      </c>
      <c r="CC309">
        <v>1</v>
      </c>
      <c r="CD309">
        <v>0.67600000000000005</v>
      </c>
      <c r="CE309">
        <v>5.3E-3</v>
      </c>
    </row>
    <row r="310" spans="1:84" hidden="1" x14ac:dyDescent="0.2">
      <c r="D310">
        <v>17</v>
      </c>
      <c r="G310" t="s">
        <v>114</v>
      </c>
      <c r="H310" t="s">
        <v>256</v>
      </c>
      <c r="J310">
        <v>2013</v>
      </c>
      <c r="M310" t="s">
        <v>257</v>
      </c>
      <c r="T310" t="s">
        <v>68</v>
      </c>
      <c r="U310" t="s">
        <v>258</v>
      </c>
      <c r="V310" t="s">
        <v>259</v>
      </c>
      <c r="Z310" t="s">
        <v>49</v>
      </c>
      <c r="AA310" t="s">
        <v>49</v>
      </c>
      <c r="AB310" t="s">
        <v>50</v>
      </c>
      <c r="AC310" t="s">
        <v>51</v>
      </c>
      <c r="AD310" t="s">
        <v>52</v>
      </c>
      <c r="AE310" t="s">
        <v>53</v>
      </c>
      <c r="AF310" t="s">
        <v>52</v>
      </c>
      <c r="AG310" t="s">
        <v>54</v>
      </c>
      <c r="AH310" t="s">
        <v>55</v>
      </c>
      <c r="AK310">
        <v>64</v>
      </c>
      <c r="AL310">
        <v>64</v>
      </c>
      <c r="AM310" t="s">
        <v>263</v>
      </c>
      <c r="AN310">
        <v>428</v>
      </c>
      <c r="AO310">
        <v>17</v>
      </c>
      <c r="AP310" t="s">
        <v>56</v>
      </c>
      <c r="AQ310" t="s">
        <v>57</v>
      </c>
      <c r="AR310">
        <v>8.0299999999999994</v>
      </c>
      <c r="AS310">
        <v>0.01</v>
      </c>
      <c r="AT310" t="s">
        <v>56</v>
      </c>
      <c r="AU310">
        <v>998</v>
      </c>
      <c r="AV310">
        <v>30</v>
      </c>
      <c r="AW310" t="s">
        <v>56</v>
      </c>
      <c r="AX310">
        <v>7.67</v>
      </c>
      <c r="AY310">
        <v>0.01</v>
      </c>
      <c r="AZ310" t="s">
        <v>56</v>
      </c>
      <c r="BB310">
        <f>LOG(AU310)</f>
        <v>2.999130541287371</v>
      </c>
      <c r="BC310">
        <v>14.4</v>
      </c>
      <c r="BD310">
        <v>0.1</v>
      </c>
      <c r="BE310" t="s">
        <v>56</v>
      </c>
      <c r="BF310">
        <v>14.9</v>
      </c>
      <c r="BG310">
        <v>0.1</v>
      </c>
      <c r="BH310" t="s">
        <v>56</v>
      </c>
      <c r="BI310">
        <v>570</v>
      </c>
      <c r="BJ310">
        <v>0</v>
      </c>
      <c r="BK310" t="s">
        <v>56</v>
      </c>
      <c r="BL310" t="s">
        <v>261</v>
      </c>
      <c r="BM310" t="s">
        <v>262</v>
      </c>
      <c r="BN310" t="s">
        <v>81</v>
      </c>
      <c r="BO310" t="s">
        <v>82</v>
      </c>
      <c r="BP310" t="s">
        <v>92</v>
      </c>
      <c r="BR310" t="s">
        <v>63</v>
      </c>
      <c r="BT310">
        <v>3.06</v>
      </c>
      <c r="BU310">
        <v>7.96</v>
      </c>
      <c r="BV310">
        <v>0.86</v>
      </c>
      <c r="BW310">
        <f>BV310*SQRT(AK310)</f>
        <v>6.88</v>
      </c>
      <c r="BX310">
        <v>-2.4500000000000002</v>
      </c>
      <c r="BY310">
        <v>2.4500000000000002</v>
      </c>
      <c r="BZ310">
        <v>0.01</v>
      </c>
      <c r="CA310">
        <f>BZ310*SQRT(AL310)</f>
        <v>0.08</v>
      </c>
      <c r="CB310">
        <v>30</v>
      </c>
      <c r="CC310">
        <v>1</v>
      </c>
      <c r="CE310">
        <v>1.17E-2</v>
      </c>
    </row>
    <row r="311" spans="1:84" hidden="1" x14ac:dyDescent="0.2">
      <c r="D311">
        <v>17</v>
      </c>
      <c r="G311" t="s">
        <v>114</v>
      </c>
      <c r="H311" t="s">
        <v>256</v>
      </c>
      <c r="J311">
        <v>2013</v>
      </c>
      <c r="M311" t="s">
        <v>257</v>
      </c>
      <c r="T311" t="s">
        <v>68</v>
      </c>
      <c r="U311" t="s">
        <v>258</v>
      </c>
      <c r="V311" t="s">
        <v>259</v>
      </c>
      <c r="Z311" t="s">
        <v>49</v>
      </c>
      <c r="AA311" t="s">
        <v>49</v>
      </c>
      <c r="AB311" t="s">
        <v>50</v>
      </c>
      <c r="AC311" t="s">
        <v>51</v>
      </c>
      <c r="AD311" t="s">
        <v>52</v>
      </c>
      <c r="AE311" t="s">
        <v>53</v>
      </c>
      <c r="AF311" t="s">
        <v>52</v>
      </c>
      <c r="AG311" t="s">
        <v>52</v>
      </c>
      <c r="AH311" t="s">
        <v>64</v>
      </c>
      <c r="AK311">
        <v>64</v>
      </c>
      <c r="AL311">
        <v>64</v>
      </c>
      <c r="AM311" t="s">
        <v>263</v>
      </c>
      <c r="AN311">
        <v>428</v>
      </c>
      <c r="AO311">
        <v>17</v>
      </c>
      <c r="AP311" t="s">
        <v>56</v>
      </c>
      <c r="AQ311" t="s">
        <v>57</v>
      </c>
      <c r="AR311">
        <v>8.0299999999999994</v>
      </c>
      <c r="AS311">
        <v>0.01</v>
      </c>
      <c r="AT311" t="s">
        <v>56</v>
      </c>
      <c r="AU311">
        <v>1185</v>
      </c>
      <c r="AV311">
        <v>33</v>
      </c>
      <c r="AW311" t="s">
        <v>56</v>
      </c>
      <c r="AX311">
        <v>7.65</v>
      </c>
      <c r="AY311">
        <v>0.01</v>
      </c>
      <c r="AZ311" t="s">
        <v>56</v>
      </c>
      <c r="BB311">
        <f>LOG(AU311)</f>
        <v>3.0737183503461227</v>
      </c>
      <c r="BC311">
        <v>14.4</v>
      </c>
      <c r="BD311">
        <v>0.1</v>
      </c>
      <c r="BE311" t="s">
        <v>56</v>
      </c>
      <c r="BF311">
        <v>20.7</v>
      </c>
      <c r="BG311">
        <v>0.1</v>
      </c>
      <c r="BH311" t="s">
        <v>56</v>
      </c>
      <c r="BI311">
        <v>757</v>
      </c>
      <c r="BJ311">
        <v>6</v>
      </c>
      <c r="BK311" t="s">
        <v>56</v>
      </c>
      <c r="BL311" t="s">
        <v>261</v>
      </c>
      <c r="BM311" t="s">
        <v>262</v>
      </c>
      <c r="BN311" t="s">
        <v>81</v>
      </c>
      <c r="BO311" t="s">
        <v>82</v>
      </c>
      <c r="BP311" t="s">
        <v>92</v>
      </c>
      <c r="BR311" t="s">
        <v>63</v>
      </c>
      <c r="BT311">
        <v>3.06</v>
      </c>
      <c r="BU311">
        <v>9.68</v>
      </c>
      <c r="BV311">
        <v>0.86</v>
      </c>
      <c r="BW311">
        <f>BV311*SQRT(AK311)</f>
        <v>6.88</v>
      </c>
      <c r="BX311">
        <v>-3.31</v>
      </c>
      <c r="BY311">
        <v>3.31</v>
      </c>
      <c r="BZ311">
        <v>0.01</v>
      </c>
      <c r="CA311">
        <f>BZ311*SQRT(AL311)</f>
        <v>0.08</v>
      </c>
      <c r="CB311">
        <v>30</v>
      </c>
      <c r="CC311">
        <v>1</v>
      </c>
      <c r="CE311">
        <v>7.9000000000000008E-3</v>
      </c>
    </row>
    <row r="312" spans="1:84" hidden="1" x14ac:dyDescent="0.2">
      <c r="D312">
        <v>17</v>
      </c>
      <c r="G312" t="s">
        <v>114</v>
      </c>
      <c r="H312" t="s">
        <v>256</v>
      </c>
      <c r="J312">
        <v>2013</v>
      </c>
      <c r="M312" t="s">
        <v>257</v>
      </c>
      <c r="T312" t="s">
        <v>68</v>
      </c>
      <c r="U312" t="s">
        <v>258</v>
      </c>
      <c r="V312" t="s">
        <v>259</v>
      </c>
      <c r="Z312" t="s">
        <v>49</v>
      </c>
      <c r="AA312" t="s">
        <v>49</v>
      </c>
      <c r="AB312" t="s">
        <v>50</v>
      </c>
      <c r="AC312" t="s">
        <v>51</v>
      </c>
      <c r="AD312" t="s">
        <v>52</v>
      </c>
      <c r="AE312" t="s">
        <v>53</v>
      </c>
      <c r="AF312" t="s">
        <v>54</v>
      </c>
      <c r="AG312" t="s">
        <v>52</v>
      </c>
      <c r="AH312" t="s">
        <v>65</v>
      </c>
      <c r="AK312">
        <v>64</v>
      </c>
      <c r="AL312">
        <v>64</v>
      </c>
      <c r="AM312" t="s">
        <v>263</v>
      </c>
      <c r="AN312">
        <v>428</v>
      </c>
      <c r="AO312">
        <v>17</v>
      </c>
      <c r="AP312" t="s">
        <v>56</v>
      </c>
      <c r="AQ312" t="s">
        <v>57</v>
      </c>
      <c r="AR312">
        <v>8.0299999999999994</v>
      </c>
      <c r="AS312">
        <v>0.01</v>
      </c>
      <c r="AT312" t="s">
        <v>56</v>
      </c>
      <c r="AU312">
        <v>428</v>
      </c>
      <c r="AV312">
        <v>13</v>
      </c>
      <c r="AW312" t="s">
        <v>56</v>
      </c>
      <c r="AX312">
        <v>8.0399999999999991</v>
      </c>
      <c r="AY312">
        <v>0.01</v>
      </c>
      <c r="AZ312" t="s">
        <v>56</v>
      </c>
      <c r="BB312">
        <f>LOG(AU312)</f>
        <v>2.6314437690131722</v>
      </c>
      <c r="BC312">
        <v>14.4</v>
      </c>
      <c r="BD312">
        <v>0.1</v>
      </c>
      <c r="BE312" t="s">
        <v>56</v>
      </c>
      <c r="BF312">
        <v>20.9</v>
      </c>
      <c r="BG312">
        <v>0</v>
      </c>
      <c r="BH312" t="s">
        <v>56</v>
      </c>
      <c r="BI312">
        <v>0</v>
      </c>
      <c r="BJ312">
        <v>6</v>
      </c>
      <c r="BK312" t="s">
        <v>56</v>
      </c>
      <c r="BL312" t="s">
        <v>261</v>
      </c>
      <c r="BM312" t="s">
        <v>262</v>
      </c>
      <c r="BN312" t="s">
        <v>81</v>
      </c>
      <c r="BO312" t="s">
        <v>82</v>
      </c>
      <c r="BP312" t="s">
        <v>92</v>
      </c>
      <c r="BR312" t="s">
        <v>63</v>
      </c>
      <c r="BT312">
        <v>3.06</v>
      </c>
      <c r="BU312">
        <v>7.8</v>
      </c>
      <c r="BV312">
        <v>0.86</v>
      </c>
      <c r="BW312">
        <f>BV312*SQRT(AK312)</f>
        <v>6.88</v>
      </c>
      <c r="BX312">
        <v>-2.37</v>
      </c>
      <c r="BY312">
        <v>2.37</v>
      </c>
      <c r="BZ312">
        <v>0.01</v>
      </c>
      <c r="CA312">
        <f>BZ312*SQRT(AL312)</f>
        <v>0.08</v>
      </c>
      <c r="CB312">
        <v>30</v>
      </c>
      <c r="CC312">
        <v>1</v>
      </c>
      <c r="CE312">
        <v>1.2200000000000001E-2</v>
      </c>
    </row>
    <row r="313" spans="1:84" hidden="1" x14ac:dyDescent="0.2">
      <c r="D313">
        <v>18</v>
      </c>
      <c r="G313" t="s">
        <v>43</v>
      </c>
      <c r="H313" t="s">
        <v>264</v>
      </c>
      <c r="J313">
        <v>2014</v>
      </c>
      <c r="M313" t="s">
        <v>265</v>
      </c>
      <c r="T313" t="s">
        <v>68</v>
      </c>
      <c r="U313" t="s">
        <v>266</v>
      </c>
      <c r="V313" t="s">
        <v>267</v>
      </c>
      <c r="Z313" t="s">
        <v>177</v>
      </c>
      <c r="AA313" t="s">
        <v>177</v>
      </c>
      <c r="AB313" t="s">
        <v>50</v>
      </c>
      <c r="AC313" t="s">
        <v>51</v>
      </c>
      <c r="AD313" t="s">
        <v>52</v>
      </c>
      <c r="AE313" t="s">
        <v>53</v>
      </c>
      <c r="AF313" t="s">
        <v>52</v>
      </c>
      <c r="AG313" t="s">
        <v>52</v>
      </c>
      <c r="AH313" t="s">
        <v>64</v>
      </c>
      <c r="AK313">
        <v>3</v>
      </c>
      <c r="AL313">
        <v>3</v>
      </c>
      <c r="AN313">
        <v>476</v>
      </c>
      <c r="AO313" t="s">
        <v>56</v>
      </c>
      <c r="AP313" t="s">
        <v>56</v>
      </c>
      <c r="AQ313" t="s">
        <v>109</v>
      </c>
      <c r="AR313">
        <v>8.01</v>
      </c>
      <c r="AS313" t="s">
        <v>56</v>
      </c>
      <c r="AT313">
        <v>0.04</v>
      </c>
      <c r="AU313">
        <v>1060</v>
      </c>
      <c r="AV313" t="s">
        <v>56</v>
      </c>
      <c r="AW313" t="s">
        <v>56</v>
      </c>
      <c r="AX313">
        <v>7.72</v>
      </c>
      <c r="AY313" t="s">
        <v>56</v>
      </c>
      <c r="AZ313">
        <v>0.06</v>
      </c>
      <c r="BB313">
        <f>LOG(AU313)</f>
        <v>3.0253058652647704</v>
      </c>
      <c r="BC313">
        <v>18.2</v>
      </c>
      <c r="BD313" t="s">
        <v>56</v>
      </c>
      <c r="BE313" t="s">
        <v>56</v>
      </c>
      <c r="BF313">
        <v>20.9</v>
      </c>
      <c r="BG313" t="s">
        <v>56</v>
      </c>
      <c r="BH313" t="s">
        <v>56</v>
      </c>
      <c r="BI313">
        <v>584</v>
      </c>
      <c r="BJ313">
        <v>2.7</v>
      </c>
      <c r="BK313" t="s">
        <v>56</v>
      </c>
      <c r="BL313" t="s">
        <v>268</v>
      </c>
      <c r="BM313" t="s">
        <v>232</v>
      </c>
      <c r="BN313" t="s">
        <v>81</v>
      </c>
      <c r="BO313" t="s">
        <v>269</v>
      </c>
      <c r="BP313" t="s">
        <v>234</v>
      </c>
      <c r="BR313" t="s">
        <v>63</v>
      </c>
      <c r="BT313">
        <v>1.04</v>
      </c>
      <c r="BU313">
        <v>1.0394000000000001</v>
      </c>
      <c r="BV313">
        <v>0.31</v>
      </c>
      <c r="BW313">
        <f>BV313*SQRT(AK313)</f>
        <v>0.53693575034635188</v>
      </c>
      <c r="BX313">
        <v>0.44</v>
      </c>
      <c r="BY313">
        <v>0.44094</v>
      </c>
      <c r="BZ313">
        <v>0.88</v>
      </c>
      <c r="CA313">
        <f>BZ313*SQRT(AL313)</f>
        <v>1.524204710660612</v>
      </c>
      <c r="CB313">
        <v>304</v>
      </c>
      <c r="CC313">
        <v>3</v>
      </c>
      <c r="CD313">
        <v>-0.85699999999999998</v>
      </c>
      <c r="CE313">
        <v>4.0918000000000001</v>
      </c>
    </row>
    <row r="314" spans="1:84" hidden="1" x14ac:dyDescent="0.2">
      <c r="D314">
        <v>18</v>
      </c>
      <c r="G314" t="s">
        <v>43</v>
      </c>
      <c r="H314" t="s">
        <v>264</v>
      </c>
      <c r="J314">
        <v>2014</v>
      </c>
      <c r="M314" t="s">
        <v>265</v>
      </c>
      <c r="T314" t="s">
        <v>68</v>
      </c>
      <c r="U314" t="s">
        <v>266</v>
      </c>
      <c r="V314" t="s">
        <v>267</v>
      </c>
      <c r="Z314" t="s">
        <v>177</v>
      </c>
      <c r="AA314" t="s">
        <v>177</v>
      </c>
      <c r="AB314" t="s">
        <v>50</v>
      </c>
      <c r="AC314" t="s">
        <v>51</v>
      </c>
      <c r="AD314" t="s">
        <v>52</v>
      </c>
      <c r="AE314" t="s">
        <v>53</v>
      </c>
      <c r="AF314" t="s">
        <v>52</v>
      </c>
      <c r="AG314" t="s">
        <v>52</v>
      </c>
      <c r="AH314" t="s">
        <v>64</v>
      </c>
      <c r="AK314">
        <v>20</v>
      </c>
      <c r="AL314">
        <v>60</v>
      </c>
      <c r="AN314">
        <v>476</v>
      </c>
      <c r="AO314" t="s">
        <v>56</v>
      </c>
      <c r="AP314" t="s">
        <v>56</v>
      </c>
      <c r="AQ314" t="s">
        <v>109</v>
      </c>
      <c r="AR314">
        <v>8.01</v>
      </c>
      <c r="AS314" t="s">
        <v>56</v>
      </c>
      <c r="AT314">
        <v>0.04</v>
      </c>
      <c r="AU314">
        <v>1060</v>
      </c>
      <c r="AV314" t="s">
        <v>56</v>
      </c>
      <c r="AW314" t="s">
        <v>56</v>
      </c>
      <c r="AX314">
        <v>7.72</v>
      </c>
      <c r="AY314" t="s">
        <v>56</v>
      </c>
      <c r="AZ314">
        <v>0.06</v>
      </c>
      <c r="BB314">
        <f>LOG(AU314)</f>
        <v>3.0253058652647704</v>
      </c>
      <c r="BC314">
        <v>18.2</v>
      </c>
      <c r="BD314" t="s">
        <v>56</v>
      </c>
      <c r="BE314" t="s">
        <v>56</v>
      </c>
      <c r="BF314">
        <v>20.9</v>
      </c>
      <c r="BG314" t="s">
        <v>56</v>
      </c>
      <c r="BH314" t="s">
        <v>56</v>
      </c>
      <c r="BI314">
        <v>584</v>
      </c>
      <c r="BJ314">
        <v>2.7</v>
      </c>
      <c r="BK314" t="s">
        <v>56</v>
      </c>
      <c r="BL314" t="s">
        <v>270</v>
      </c>
      <c r="BM314" t="s">
        <v>90</v>
      </c>
      <c r="BN314" t="s">
        <v>81</v>
      </c>
      <c r="BO314" t="s">
        <v>180</v>
      </c>
      <c r="BP314" t="s">
        <v>92</v>
      </c>
      <c r="BR314" t="s">
        <v>63</v>
      </c>
      <c r="BT314">
        <v>1.07</v>
      </c>
      <c r="BU314">
        <v>1.0676000000000001</v>
      </c>
      <c r="BV314">
        <v>0.05</v>
      </c>
      <c r="BW314">
        <f>BV314*SQRT(AK314)</f>
        <v>0.22360679774997899</v>
      </c>
      <c r="BX314">
        <v>0.95</v>
      </c>
      <c r="BY314">
        <v>0.94876000000000005</v>
      </c>
      <c r="BZ314">
        <v>0.15</v>
      </c>
      <c r="CA314">
        <f>BZ314*SQRT(AL314)</f>
        <v>1.1618950038622251</v>
      </c>
      <c r="CB314">
        <v>304</v>
      </c>
      <c r="CC314">
        <v>3</v>
      </c>
      <c r="CD314">
        <v>-0.11799999999999999</v>
      </c>
      <c r="CE314">
        <v>2.6700000000000002E-2</v>
      </c>
    </row>
    <row r="315" spans="1:84" hidden="1" x14ac:dyDescent="0.2">
      <c r="D315">
        <v>18</v>
      </c>
      <c r="G315" t="s">
        <v>43</v>
      </c>
      <c r="H315" t="s">
        <v>264</v>
      </c>
      <c r="J315">
        <v>2014</v>
      </c>
      <c r="M315" t="s">
        <v>265</v>
      </c>
      <c r="T315" t="s">
        <v>68</v>
      </c>
      <c r="U315" t="s">
        <v>266</v>
      </c>
      <c r="V315" t="s">
        <v>267</v>
      </c>
      <c r="Z315" t="s">
        <v>177</v>
      </c>
      <c r="AA315" t="s">
        <v>177</v>
      </c>
      <c r="AB315" t="s">
        <v>50</v>
      </c>
      <c r="AC315" t="s">
        <v>51</v>
      </c>
      <c r="AD315" t="s">
        <v>52</v>
      </c>
      <c r="AE315" t="s">
        <v>53</v>
      </c>
      <c r="AF315" t="s">
        <v>54</v>
      </c>
      <c r="AG315" t="s">
        <v>52</v>
      </c>
      <c r="AH315" t="s">
        <v>65</v>
      </c>
      <c r="AK315">
        <v>20</v>
      </c>
      <c r="AL315">
        <v>60</v>
      </c>
      <c r="AN315">
        <v>476</v>
      </c>
      <c r="AO315" t="s">
        <v>56</v>
      </c>
      <c r="AP315" t="s">
        <v>56</v>
      </c>
      <c r="AQ315" t="s">
        <v>109</v>
      </c>
      <c r="AR315">
        <v>8.01</v>
      </c>
      <c r="AS315" t="s">
        <v>56</v>
      </c>
      <c r="AT315">
        <v>0.04</v>
      </c>
      <c r="AU315">
        <v>479</v>
      </c>
      <c r="AV315" t="s">
        <v>56</v>
      </c>
      <c r="AW315" t="s">
        <v>56</v>
      </c>
      <c r="AX315">
        <v>8.01</v>
      </c>
      <c r="AY315" t="s">
        <v>56</v>
      </c>
      <c r="AZ315">
        <v>0.04</v>
      </c>
      <c r="BB315">
        <f>LOG(AU315)</f>
        <v>2.6803355134145632</v>
      </c>
      <c r="BC315">
        <v>18.2</v>
      </c>
      <c r="BD315" t="s">
        <v>56</v>
      </c>
      <c r="BE315" t="s">
        <v>56</v>
      </c>
      <c r="BF315">
        <v>20.8</v>
      </c>
      <c r="BG315" t="s">
        <v>56</v>
      </c>
      <c r="BH315" t="s">
        <v>56</v>
      </c>
      <c r="BI315">
        <v>3</v>
      </c>
      <c r="BJ315">
        <v>2.6</v>
      </c>
      <c r="BK315" t="s">
        <v>56</v>
      </c>
      <c r="BL315" t="s">
        <v>270</v>
      </c>
      <c r="BM315" t="s">
        <v>90</v>
      </c>
      <c r="BN315" t="s">
        <v>81</v>
      </c>
      <c r="BO315" t="s">
        <v>180</v>
      </c>
      <c r="BP315" t="s">
        <v>92</v>
      </c>
      <c r="BR315" t="s">
        <v>63</v>
      </c>
      <c r="BT315">
        <v>1.07</v>
      </c>
      <c r="BU315">
        <v>1.0676000000000001</v>
      </c>
      <c r="BV315">
        <v>0.05</v>
      </c>
      <c r="BW315">
        <f>BV315*SQRT(AK315)</f>
        <v>0.22360679774997899</v>
      </c>
      <c r="BX315">
        <v>0.99</v>
      </c>
      <c r="BY315">
        <v>0.98587000000000002</v>
      </c>
      <c r="BZ315">
        <v>0.19</v>
      </c>
      <c r="CA315">
        <f>BZ315*SQRT(AL315)</f>
        <v>1.4717336715588185</v>
      </c>
      <c r="CB315">
        <v>304</v>
      </c>
      <c r="CC315">
        <v>3</v>
      </c>
      <c r="CD315">
        <v>-0.08</v>
      </c>
      <c r="CE315">
        <v>3.9699999999999999E-2</v>
      </c>
    </row>
    <row r="316" spans="1:84" hidden="1" x14ac:dyDescent="0.2">
      <c r="D316">
        <v>18</v>
      </c>
      <c r="G316" t="s">
        <v>43</v>
      </c>
      <c r="H316" t="s">
        <v>264</v>
      </c>
      <c r="J316">
        <v>2014</v>
      </c>
      <c r="M316" t="s">
        <v>265</v>
      </c>
      <c r="T316" t="s">
        <v>68</v>
      </c>
      <c r="U316" t="s">
        <v>266</v>
      </c>
      <c r="V316" t="s">
        <v>267</v>
      </c>
      <c r="Z316" t="s">
        <v>177</v>
      </c>
      <c r="AA316" t="s">
        <v>177</v>
      </c>
      <c r="AB316" t="s">
        <v>50</v>
      </c>
      <c r="AC316" t="s">
        <v>51</v>
      </c>
      <c r="AD316" t="s">
        <v>52</v>
      </c>
      <c r="AE316" t="s">
        <v>53</v>
      </c>
      <c r="AF316" t="s">
        <v>52</v>
      </c>
      <c r="AG316" t="s">
        <v>54</v>
      </c>
      <c r="AH316" t="s">
        <v>55</v>
      </c>
      <c r="AK316">
        <v>3</v>
      </c>
      <c r="AL316">
        <v>3</v>
      </c>
      <c r="AN316">
        <v>476</v>
      </c>
      <c r="AO316" t="s">
        <v>56</v>
      </c>
      <c r="AP316" t="s">
        <v>56</v>
      </c>
      <c r="AQ316" t="s">
        <v>109</v>
      </c>
      <c r="AR316">
        <v>8.01</v>
      </c>
      <c r="AS316" t="s">
        <v>56</v>
      </c>
      <c r="AT316">
        <v>0.04</v>
      </c>
      <c r="AU316">
        <v>1090</v>
      </c>
      <c r="AV316" t="s">
        <v>56</v>
      </c>
      <c r="AW316" t="s">
        <v>56</v>
      </c>
      <c r="AX316">
        <v>7.71</v>
      </c>
      <c r="AY316" t="s">
        <v>56</v>
      </c>
      <c r="AZ316">
        <v>0.06</v>
      </c>
      <c r="BB316">
        <f>LOG(AU316)</f>
        <v>3.0374264979406238</v>
      </c>
      <c r="BC316">
        <v>18.2</v>
      </c>
      <c r="BD316" t="s">
        <v>56</v>
      </c>
      <c r="BE316" t="s">
        <v>56</v>
      </c>
      <c r="BF316">
        <v>18.2</v>
      </c>
      <c r="BG316" t="s">
        <v>56</v>
      </c>
      <c r="BH316" t="s">
        <v>56</v>
      </c>
      <c r="BI316">
        <v>614</v>
      </c>
      <c r="BJ316">
        <v>0</v>
      </c>
      <c r="BK316" t="s">
        <v>56</v>
      </c>
      <c r="BL316" t="s">
        <v>268</v>
      </c>
      <c r="BM316" t="s">
        <v>232</v>
      </c>
      <c r="BN316" t="s">
        <v>81</v>
      </c>
      <c r="BO316" t="s">
        <v>269</v>
      </c>
      <c r="BP316" t="s">
        <v>234</v>
      </c>
      <c r="BR316" t="s">
        <v>63</v>
      </c>
      <c r="BT316">
        <v>1.04</v>
      </c>
      <c r="BU316">
        <v>1.0394000000000001</v>
      </c>
      <c r="BV316">
        <v>0.31</v>
      </c>
      <c r="BW316">
        <f>BV316*SQRT(AK316)</f>
        <v>0.53693575034635188</v>
      </c>
      <c r="BX316">
        <v>0.98</v>
      </c>
      <c r="BY316">
        <v>0.97638000000000003</v>
      </c>
      <c r="BZ316">
        <v>0.79</v>
      </c>
      <c r="CA316">
        <f>BZ316*SQRT(AL316)</f>
        <v>1.368320137979413</v>
      </c>
      <c r="CB316">
        <v>304</v>
      </c>
      <c r="CC316">
        <v>3</v>
      </c>
      <c r="CD316">
        <v>-6.3E-2</v>
      </c>
      <c r="CE316">
        <v>0.74219999999999997</v>
      </c>
    </row>
    <row r="317" spans="1:84" hidden="1" x14ac:dyDescent="0.2">
      <c r="D317">
        <v>18</v>
      </c>
      <c r="G317" t="s">
        <v>43</v>
      </c>
      <c r="H317" t="s">
        <v>264</v>
      </c>
      <c r="J317">
        <v>2014</v>
      </c>
      <c r="M317" t="s">
        <v>265</v>
      </c>
      <c r="T317" t="s">
        <v>68</v>
      </c>
      <c r="U317" t="s">
        <v>266</v>
      </c>
      <c r="V317" t="s">
        <v>267</v>
      </c>
      <c r="Z317" t="s">
        <v>177</v>
      </c>
      <c r="AA317" t="s">
        <v>177</v>
      </c>
      <c r="AB317" t="s">
        <v>50</v>
      </c>
      <c r="AC317" t="s">
        <v>51</v>
      </c>
      <c r="AD317" t="s">
        <v>52</v>
      </c>
      <c r="AE317" t="s">
        <v>53</v>
      </c>
      <c r="AF317" t="s">
        <v>52</v>
      </c>
      <c r="AG317" t="s">
        <v>54</v>
      </c>
      <c r="AH317" t="s">
        <v>55</v>
      </c>
      <c r="AK317">
        <v>3</v>
      </c>
      <c r="AL317">
        <v>3</v>
      </c>
      <c r="AN317">
        <v>476</v>
      </c>
      <c r="AO317" t="s">
        <v>56</v>
      </c>
      <c r="AP317" t="s">
        <v>56</v>
      </c>
      <c r="AQ317" t="s">
        <v>109</v>
      </c>
      <c r="AR317">
        <v>8.01</v>
      </c>
      <c r="AS317" t="s">
        <v>56</v>
      </c>
      <c r="AT317">
        <v>0.04</v>
      </c>
      <c r="AU317">
        <v>1090</v>
      </c>
      <c r="AV317" t="s">
        <v>56</v>
      </c>
      <c r="AW317" t="s">
        <v>56</v>
      </c>
      <c r="AX317">
        <v>7.71</v>
      </c>
      <c r="AY317" t="s">
        <v>56</v>
      </c>
      <c r="AZ317">
        <v>0.06</v>
      </c>
      <c r="BB317">
        <f>LOG(AU317)</f>
        <v>3.0374264979406238</v>
      </c>
      <c r="BC317">
        <v>18.2</v>
      </c>
      <c r="BD317" t="s">
        <v>56</v>
      </c>
      <c r="BE317" t="s">
        <v>56</v>
      </c>
      <c r="BF317">
        <v>18.2</v>
      </c>
      <c r="BG317" t="s">
        <v>56</v>
      </c>
      <c r="BH317" t="s">
        <v>56</v>
      </c>
      <c r="BI317">
        <v>614</v>
      </c>
      <c r="BJ317">
        <v>0</v>
      </c>
      <c r="BK317" t="s">
        <v>56</v>
      </c>
      <c r="BL317" t="s">
        <v>271</v>
      </c>
      <c r="BM317" t="s">
        <v>272</v>
      </c>
      <c r="BN317" t="s">
        <v>60</v>
      </c>
      <c r="BO317" t="s">
        <v>273</v>
      </c>
      <c r="BP317" t="s">
        <v>194</v>
      </c>
      <c r="BR317" t="s">
        <v>63</v>
      </c>
      <c r="BT317">
        <v>3.52</v>
      </c>
      <c r="BU317">
        <v>3.5158999999999998</v>
      </c>
      <c r="BV317">
        <v>0.27</v>
      </c>
      <c r="BW317">
        <f>BV317*SQRT(AK317)</f>
        <v>0.4676537180435969</v>
      </c>
      <c r="BX317">
        <v>3.31</v>
      </c>
      <c r="BY317">
        <v>3.3056999999999999</v>
      </c>
      <c r="BZ317">
        <v>0.17</v>
      </c>
      <c r="CA317">
        <f>BZ317*SQRT(AL317)</f>
        <v>0.29444863728670917</v>
      </c>
      <c r="CB317">
        <v>304</v>
      </c>
      <c r="CC317">
        <v>3</v>
      </c>
      <c r="CD317">
        <v>-6.2E-2</v>
      </c>
      <c r="CE317">
        <v>8.5000000000000006E-3</v>
      </c>
    </row>
    <row r="318" spans="1:84" hidden="1" x14ac:dyDescent="0.2">
      <c r="D318">
        <v>18</v>
      </c>
      <c r="G318" t="s">
        <v>43</v>
      </c>
      <c r="H318" t="s">
        <v>264</v>
      </c>
      <c r="J318">
        <v>2014</v>
      </c>
      <c r="M318" t="s">
        <v>265</v>
      </c>
      <c r="T318" t="s">
        <v>68</v>
      </c>
      <c r="U318" t="s">
        <v>266</v>
      </c>
      <c r="V318" t="s">
        <v>267</v>
      </c>
      <c r="Z318" t="s">
        <v>177</v>
      </c>
      <c r="AA318" t="s">
        <v>177</v>
      </c>
      <c r="AB318" t="s">
        <v>50</v>
      </c>
      <c r="AC318" t="s">
        <v>51</v>
      </c>
      <c r="AD318" t="s">
        <v>52</v>
      </c>
      <c r="AE318" t="s">
        <v>53</v>
      </c>
      <c r="AF318" t="s">
        <v>52</v>
      </c>
      <c r="AG318" t="s">
        <v>54</v>
      </c>
      <c r="AH318" t="s">
        <v>55</v>
      </c>
      <c r="AK318">
        <v>3</v>
      </c>
      <c r="AL318">
        <v>3</v>
      </c>
      <c r="AN318">
        <v>476</v>
      </c>
      <c r="AO318" t="s">
        <v>56</v>
      </c>
      <c r="AP318" t="s">
        <v>56</v>
      </c>
      <c r="AQ318" t="s">
        <v>109</v>
      </c>
      <c r="AR318">
        <v>8.01</v>
      </c>
      <c r="AS318" t="s">
        <v>56</v>
      </c>
      <c r="AT318">
        <v>0.04</v>
      </c>
      <c r="AU318">
        <v>1090</v>
      </c>
      <c r="AV318" t="s">
        <v>56</v>
      </c>
      <c r="AW318" t="s">
        <v>56</v>
      </c>
      <c r="AX318">
        <v>7.71</v>
      </c>
      <c r="AY318" t="s">
        <v>56</v>
      </c>
      <c r="AZ318">
        <v>0.06</v>
      </c>
      <c r="BB318">
        <f>LOG(AU318)</f>
        <v>3.0374264979406238</v>
      </c>
      <c r="BC318">
        <v>18.2</v>
      </c>
      <c r="BD318" t="s">
        <v>56</v>
      </c>
      <c r="BE318" t="s">
        <v>56</v>
      </c>
      <c r="BF318">
        <v>18.2</v>
      </c>
      <c r="BG318" t="s">
        <v>56</v>
      </c>
      <c r="BH318" t="s">
        <v>56</v>
      </c>
      <c r="BI318">
        <v>614</v>
      </c>
      <c r="BJ318">
        <v>0</v>
      </c>
      <c r="BK318" t="s">
        <v>56</v>
      </c>
      <c r="BL318" t="s">
        <v>274</v>
      </c>
      <c r="BM318" t="s">
        <v>59</v>
      </c>
      <c r="BN318" t="s">
        <v>60</v>
      </c>
      <c r="BO318" t="s">
        <v>275</v>
      </c>
      <c r="BP318" t="s">
        <v>62</v>
      </c>
      <c r="BR318" t="s">
        <v>63</v>
      </c>
      <c r="BT318">
        <v>22.6</v>
      </c>
      <c r="BU318">
        <v>22.603000000000002</v>
      </c>
      <c r="BV318">
        <v>2.67</v>
      </c>
      <c r="BW318">
        <f>BV318*SQRT(AK318)</f>
        <v>4.6245756562089015</v>
      </c>
      <c r="BX318">
        <v>21.97</v>
      </c>
      <c r="BY318">
        <v>21.968</v>
      </c>
      <c r="BZ318">
        <v>1.27</v>
      </c>
      <c r="CA318">
        <f>BZ318*SQRT(AL318)</f>
        <v>2.1997045256124741</v>
      </c>
      <c r="CB318">
        <v>304</v>
      </c>
      <c r="CC318">
        <v>3</v>
      </c>
      <c r="CD318">
        <v>-2.8000000000000001E-2</v>
      </c>
      <c r="CE318">
        <v>1.7299999999999999E-2</v>
      </c>
    </row>
    <row r="319" spans="1:84" hidden="1" x14ac:dyDescent="0.2">
      <c r="D319">
        <v>18</v>
      </c>
      <c r="G319" t="s">
        <v>43</v>
      </c>
      <c r="H319" t="s">
        <v>264</v>
      </c>
      <c r="J319">
        <v>2014</v>
      </c>
      <c r="M319" t="s">
        <v>265</v>
      </c>
      <c r="T319" t="s">
        <v>68</v>
      </c>
      <c r="U319" t="s">
        <v>266</v>
      </c>
      <c r="V319" t="s">
        <v>267</v>
      </c>
      <c r="Z319" t="s">
        <v>177</v>
      </c>
      <c r="AA319" t="s">
        <v>177</v>
      </c>
      <c r="AB319" t="s">
        <v>50</v>
      </c>
      <c r="AC319" t="s">
        <v>51</v>
      </c>
      <c r="AD319" t="s">
        <v>52</v>
      </c>
      <c r="AE319" t="s">
        <v>53</v>
      </c>
      <c r="AF319" t="s">
        <v>52</v>
      </c>
      <c r="AG319" t="s">
        <v>54</v>
      </c>
      <c r="AH319" t="s">
        <v>55</v>
      </c>
      <c r="AK319">
        <v>20</v>
      </c>
      <c r="AL319">
        <v>60</v>
      </c>
      <c r="AN319">
        <v>476</v>
      </c>
      <c r="AO319" t="s">
        <v>56</v>
      </c>
      <c r="AP319" t="s">
        <v>56</v>
      </c>
      <c r="AQ319" t="s">
        <v>109</v>
      </c>
      <c r="AR319">
        <v>8.01</v>
      </c>
      <c r="AS319" t="s">
        <v>56</v>
      </c>
      <c r="AT319">
        <v>0.04</v>
      </c>
      <c r="AU319">
        <v>1090</v>
      </c>
      <c r="AV319" t="s">
        <v>56</v>
      </c>
      <c r="AW319" t="s">
        <v>56</v>
      </c>
      <c r="AX319">
        <v>7.71</v>
      </c>
      <c r="AY319" t="s">
        <v>56</v>
      </c>
      <c r="AZ319">
        <v>0.06</v>
      </c>
      <c r="BB319">
        <f>LOG(AU319)</f>
        <v>3.0374264979406238</v>
      </c>
      <c r="BC319">
        <v>18.2</v>
      </c>
      <c r="BD319" t="s">
        <v>56</v>
      </c>
      <c r="BE319" t="s">
        <v>56</v>
      </c>
      <c r="BF319">
        <v>18.2</v>
      </c>
      <c r="BG319" t="s">
        <v>56</v>
      </c>
      <c r="BH319" t="s">
        <v>56</v>
      </c>
      <c r="BI319">
        <v>614</v>
      </c>
      <c r="BJ319">
        <v>0</v>
      </c>
      <c r="BK319" t="s">
        <v>56</v>
      </c>
      <c r="BL319" t="s">
        <v>270</v>
      </c>
      <c r="BM319" t="s">
        <v>90</v>
      </c>
      <c r="BN319" t="s">
        <v>81</v>
      </c>
      <c r="BO319" t="s">
        <v>180</v>
      </c>
      <c r="BP319" t="s">
        <v>92</v>
      </c>
      <c r="BR319" t="s">
        <v>63</v>
      </c>
      <c r="BT319">
        <v>1.07</v>
      </c>
      <c r="BU319">
        <v>1.0676000000000001</v>
      </c>
      <c r="BV319">
        <v>0.05</v>
      </c>
      <c r="BW319">
        <f>BV319*SQRT(AK319)</f>
        <v>0.22360679774997899</v>
      </c>
      <c r="BX319">
        <v>1.06</v>
      </c>
      <c r="BY319">
        <v>1.0601</v>
      </c>
      <c r="BZ319">
        <v>0.2</v>
      </c>
      <c r="CA319">
        <f>BZ319*SQRT(AL319)</f>
        <v>1.5491933384829668</v>
      </c>
      <c r="CB319">
        <v>304</v>
      </c>
      <c r="CC319">
        <v>3</v>
      </c>
      <c r="CD319">
        <v>-7.0000000000000001E-3</v>
      </c>
      <c r="CE319">
        <v>3.6499999999999998E-2</v>
      </c>
    </row>
    <row r="320" spans="1:84" hidden="1" x14ac:dyDescent="0.2">
      <c r="D320">
        <v>18</v>
      </c>
      <c r="G320" t="s">
        <v>43</v>
      </c>
      <c r="H320" t="s">
        <v>264</v>
      </c>
      <c r="J320">
        <v>2014</v>
      </c>
      <c r="M320" t="s">
        <v>265</v>
      </c>
      <c r="T320" t="s">
        <v>68</v>
      </c>
      <c r="U320" t="s">
        <v>266</v>
      </c>
      <c r="V320" t="s">
        <v>267</v>
      </c>
      <c r="Z320" t="s">
        <v>177</v>
      </c>
      <c r="AA320" t="s">
        <v>177</v>
      </c>
      <c r="AB320" t="s">
        <v>50</v>
      </c>
      <c r="AC320" t="s">
        <v>51</v>
      </c>
      <c r="AD320" t="s">
        <v>52</v>
      </c>
      <c r="AE320" t="s">
        <v>53</v>
      </c>
      <c r="AF320" t="s">
        <v>52</v>
      </c>
      <c r="AG320" t="s">
        <v>52</v>
      </c>
      <c r="AH320" t="s">
        <v>64</v>
      </c>
      <c r="AK320">
        <v>3</v>
      </c>
      <c r="AL320">
        <v>3</v>
      </c>
      <c r="AN320">
        <v>476</v>
      </c>
      <c r="AO320" t="s">
        <v>56</v>
      </c>
      <c r="AP320" t="s">
        <v>56</v>
      </c>
      <c r="AQ320" t="s">
        <v>109</v>
      </c>
      <c r="AR320">
        <v>8.01</v>
      </c>
      <c r="AS320" t="s">
        <v>56</v>
      </c>
      <c r="AT320">
        <v>0.04</v>
      </c>
      <c r="AU320">
        <v>1060</v>
      </c>
      <c r="AV320" t="s">
        <v>56</v>
      </c>
      <c r="AW320" t="s">
        <v>56</v>
      </c>
      <c r="AX320">
        <v>7.72</v>
      </c>
      <c r="AY320" t="s">
        <v>56</v>
      </c>
      <c r="AZ320">
        <v>0.06</v>
      </c>
      <c r="BB320">
        <f>LOG(AU320)</f>
        <v>3.0253058652647704</v>
      </c>
      <c r="BC320">
        <v>18.2</v>
      </c>
      <c r="BD320" t="s">
        <v>56</v>
      </c>
      <c r="BE320" t="s">
        <v>56</v>
      </c>
      <c r="BF320">
        <v>20.9</v>
      </c>
      <c r="BG320" t="s">
        <v>56</v>
      </c>
      <c r="BH320" t="s">
        <v>56</v>
      </c>
      <c r="BI320">
        <v>584</v>
      </c>
      <c r="BJ320">
        <v>2.7</v>
      </c>
      <c r="BK320" t="s">
        <v>56</v>
      </c>
      <c r="BL320" t="s">
        <v>274</v>
      </c>
      <c r="BM320" t="s">
        <v>59</v>
      </c>
      <c r="BN320" t="s">
        <v>60</v>
      </c>
      <c r="BO320" t="s">
        <v>275</v>
      </c>
      <c r="BP320" t="s">
        <v>62</v>
      </c>
      <c r="BR320" t="s">
        <v>63</v>
      </c>
      <c r="BT320">
        <v>22.6</v>
      </c>
      <c r="BU320">
        <v>22.603000000000002</v>
      </c>
      <c r="BV320">
        <v>2.67</v>
      </c>
      <c r="BW320">
        <f>BV320*SQRT(AK320)</f>
        <v>4.6245756562089015</v>
      </c>
      <c r="BX320">
        <v>22.48</v>
      </c>
      <c r="BY320">
        <v>22.475999999999999</v>
      </c>
      <c r="BZ320">
        <v>1.27</v>
      </c>
      <c r="CA320">
        <f>BZ320*SQRT(AL320)</f>
        <v>2.1997045256124741</v>
      </c>
      <c r="CB320">
        <v>304</v>
      </c>
      <c r="CC320">
        <v>3</v>
      </c>
      <c r="CD320">
        <v>-6.0000000000000001E-3</v>
      </c>
      <c r="CE320">
        <v>1.7100000000000001E-2</v>
      </c>
    </row>
    <row r="321" spans="4:83" hidden="1" x14ac:dyDescent="0.2">
      <c r="D321">
        <v>18</v>
      </c>
      <c r="G321" t="s">
        <v>43</v>
      </c>
      <c r="H321" t="s">
        <v>264</v>
      </c>
      <c r="J321">
        <v>2014</v>
      </c>
      <c r="M321" t="s">
        <v>265</v>
      </c>
      <c r="T321" t="s">
        <v>68</v>
      </c>
      <c r="U321" t="s">
        <v>266</v>
      </c>
      <c r="V321" t="s">
        <v>267</v>
      </c>
      <c r="Z321" t="s">
        <v>177</v>
      </c>
      <c r="AA321" t="s">
        <v>177</v>
      </c>
      <c r="AB321" t="s">
        <v>50</v>
      </c>
      <c r="AC321" t="s">
        <v>51</v>
      </c>
      <c r="AD321" t="s">
        <v>52</v>
      </c>
      <c r="AE321" t="s">
        <v>53</v>
      </c>
      <c r="AF321" t="s">
        <v>54</v>
      </c>
      <c r="AG321" t="s">
        <v>52</v>
      </c>
      <c r="AH321" t="s">
        <v>65</v>
      </c>
      <c r="AK321">
        <v>3</v>
      </c>
      <c r="AL321">
        <v>3</v>
      </c>
      <c r="AN321">
        <v>476</v>
      </c>
      <c r="AO321" t="s">
        <v>56</v>
      </c>
      <c r="AP321" t="s">
        <v>56</v>
      </c>
      <c r="AQ321" t="s">
        <v>109</v>
      </c>
      <c r="AR321">
        <v>8.01</v>
      </c>
      <c r="AS321" t="s">
        <v>56</v>
      </c>
      <c r="AT321">
        <v>0.04</v>
      </c>
      <c r="AU321">
        <v>479</v>
      </c>
      <c r="AV321" t="s">
        <v>56</v>
      </c>
      <c r="AW321" t="s">
        <v>56</v>
      </c>
      <c r="AX321">
        <v>8.01</v>
      </c>
      <c r="AY321" t="s">
        <v>56</v>
      </c>
      <c r="AZ321">
        <v>0.04</v>
      </c>
      <c r="BB321">
        <f>LOG(AU321)</f>
        <v>2.6803355134145632</v>
      </c>
      <c r="BC321">
        <v>18.2</v>
      </c>
      <c r="BD321" t="s">
        <v>56</v>
      </c>
      <c r="BE321" t="s">
        <v>56</v>
      </c>
      <c r="BF321">
        <v>20.8</v>
      </c>
      <c r="BG321" t="s">
        <v>56</v>
      </c>
      <c r="BH321" t="s">
        <v>56</v>
      </c>
      <c r="BI321">
        <v>3</v>
      </c>
      <c r="BJ321">
        <v>2.6</v>
      </c>
      <c r="BK321" t="s">
        <v>56</v>
      </c>
      <c r="BL321" t="s">
        <v>271</v>
      </c>
      <c r="BM321" t="s">
        <v>272</v>
      </c>
      <c r="BN321" t="s">
        <v>60</v>
      </c>
      <c r="BO321" t="s">
        <v>273</v>
      </c>
      <c r="BP321" t="s">
        <v>194</v>
      </c>
      <c r="BR321" t="s">
        <v>63</v>
      </c>
      <c r="BT321">
        <v>3.52</v>
      </c>
      <c r="BU321">
        <v>3.5158999999999998</v>
      </c>
      <c r="BV321">
        <v>0.27</v>
      </c>
      <c r="BW321">
        <f>BV321*SQRT(AK321)</f>
        <v>0.4676537180435969</v>
      </c>
      <c r="BX321">
        <v>3.61</v>
      </c>
      <c r="BY321">
        <v>3.6114999999999999</v>
      </c>
      <c r="BZ321">
        <v>0.23</v>
      </c>
      <c r="CA321">
        <f>BZ321*SQRT(AL321)</f>
        <v>0.39837168574084175</v>
      </c>
      <c r="CB321">
        <v>304</v>
      </c>
      <c r="CC321">
        <v>3</v>
      </c>
      <c r="CD321">
        <v>2.7E-2</v>
      </c>
      <c r="CE321">
        <v>9.7999999999999997E-3</v>
      </c>
    </row>
    <row r="322" spans="4:83" hidden="1" x14ac:dyDescent="0.2">
      <c r="D322">
        <v>18</v>
      </c>
      <c r="G322" t="s">
        <v>43</v>
      </c>
      <c r="H322" t="s">
        <v>264</v>
      </c>
      <c r="J322">
        <v>2014</v>
      </c>
      <c r="M322" t="s">
        <v>265</v>
      </c>
      <c r="T322" t="s">
        <v>68</v>
      </c>
      <c r="U322" t="s">
        <v>266</v>
      </c>
      <c r="V322" t="s">
        <v>267</v>
      </c>
      <c r="Z322" t="s">
        <v>177</v>
      </c>
      <c r="AA322" t="s">
        <v>177</v>
      </c>
      <c r="AB322" t="s">
        <v>50</v>
      </c>
      <c r="AC322" t="s">
        <v>51</v>
      </c>
      <c r="AD322" t="s">
        <v>52</v>
      </c>
      <c r="AE322" t="s">
        <v>53</v>
      </c>
      <c r="AF322" t="s">
        <v>52</v>
      </c>
      <c r="AG322" t="s">
        <v>54</v>
      </c>
      <c r="AH322" t="s">
        <v>55</v>
      </c>
      <c r="AK322">
        <v>18</v>
      </c>
      <c r="AL322">
        <v>18</v>
      </c>
      <c r="AN322">
        <v>476</v>
      </c>
      <c r="AO322" t="s">
        <v>56</v>
      </c>
      <c r="AP322" t="s">
        <v>56</v>
      </c>
      <c r="AQ322" t="s">
        <v>109</v>
      </c>
      <c r="AR322">
        <v>8.01</v>
      </c>
      <c r="AS322" t="s">
        <v>56</v>
      </c>
      <c r="AT322">
        <v>0.04</v>
      </c>
      <c r="AU322">
        <v>1090</v>
      </c>
      <c r="AV322" t="s">
        <v>56</v>
      </c>
      <c r="AW322" t="s">
        <v>56</v>
      </c>
      <c r="AX322">
        <v>7.71</v>
      </c>
      <c r="AY322" t="s">
        <v>56</v>
      </c>
      <c r="AZ322">
        <v>0.06</v>
      </c>
      <c r="BB322">
        <f>LOG(AU322)</f>
        <v>3.0374264979406238</v>
      </c>
      <c r="BC322">
        <v>18.2</v>
      </c>
      <c r="BD322" t="s">
        <v>56</v>
      </c>
      <c r="BE322" t="s">
        <v>56</v>
      </c>
      <c r="BF322">
        <v>18.2</v>
      </c>
      <c r="BG322" t="s">
        <v>56</v>
      </c>
      <c r="BH322" t="s">
        <v>56</v>
      </c>
      <c r="BI322">
        <v>614</v>
      </c>
      <c r="BJ322">
        <v>0</v>
      </c>
      <c r="BK322" t="s">
        <v>56</v>
      </c>
      <c r="BL322" t="s">
        <v>276</v>
      </c>
      <c r="BM322" t="s">
        <v>276</v>
      </c>
      <c r="BN322" t="s">
        <v>60</v>
      </c>
      <c r="BO322" t="s">
        <v>277</v>
      </c>
      <c r="BP322" t="s">
        <v>194</v>
      </c>
      <c r="BR322" t="s">
        <v>63</v>
      </c>
      <c r="BT322">
        <v>0.95</v>
      </c>
      <c r="BU322">
        <v>0.95445000000000002</v>
      </c>
      <c r="BV322">
        <v>0.13</v>
      </c>
      <c r="BW322">
        <f>BV322*SQRT(AK322)</f>
        <v>0.551543289325507</v>
      </c>
      <c r="BX322">
        <v>1</v>
      </c>
      <c r="BY322">
        <v>1.0022</v>
      </c>
      <c r="BZ322">
        <v>0.11</v>
      </c>
      <c r="CA322">
        <f>BZ322*SQRT(AL322)</f>
        <v>0.46669047558312132</v>
      </c>
      <c r="CB322">
        <v>304</v>
      </c>
      <c r="CC322">
        <v>3</v>
      </c>
      <c r="CD322">
        <v>4.9000000000000002E-2</v>
      </c>
      <c r="CE322">
        <v>3.1300000000000001E-2</v>
      </c>
    </row>
    <row r="323" spans="4:83" hidden="1" x14ac:dyDescent="0.2">
      <c r="D323">
        <v>18</v>
      </c>
      <c r="G323" t="s">
        <v>43</v>
      </c>
      <c r="H323" t="s">
        <v>264</v>
      </c>
      <c r="J323">
        <v>2014</v>
      </c>
      <c r="M323" t="s">
        <v>265</v>
      </c>
      <c r="T323" t="s">
        <v>68</v>
      </c>
      <c r="U323" t="s">
        <v>266</v>
      </c>
      <c r="V323" t="s">
        <v>267</v>
      </c>
      <c r="Z323" t="s">
        <v>177</v>
      </c>
      <c r="AA323" t="s">
        <v>177</v>
      </c>
      <c r="AB323" t="s">
        <v>50</v>
      </c>
      <c r="AC323" t="s">
        <v>51</v>
      </c>
      <c r="AD323" t="s">
        <v>52</v>
      </c>
      <c r="AE323" t="s">
        <v>53</v>
      </c>
      <c r="AF323" t="s">
        <v>54</v>
      </c>
      <c r="AG323" t="s">
        <v>52</v>
      </c>
      <c r="AH323" t="s">
        <v>65</v>
      </c>
      <c r="AK323">
        <v>3</v>
      </c>
      <c r="AL323">
        <v>3</v>
      </c>
      <c r="AN323">
        <v>476</v>
      </c>
      <c r="AO323" t="s">
        <v>56</v>
      </c>
      <c r="AP323" t="s">
        <v>56</v>
      </c>
      <c r="AQ323" t="s">
        <v>109</v>
      </c>
      <c r="AR323">
        <v>8.01</v>
      </c>
      <c r="AS323" t="s">
        <v>56</v>
      </c>
      <c r="AT323">
        <v>0.04</v>
      </c>
      <c r="AU323">
        <v>479</v>
      </c>
      <c r="AV323" t="s">
        <v>56</v>
      </c>
      <c r="AW323" t="s">
        <v>56</v>
      </c>
      <c r="AX323">
        <v>8.01</v>
      </c>
      <c r="AY323" t="s">
        <v>56</v>
      </c>
      <c r="AZ323">
        <v>0.04</v>
      </c>
      <c r="BB323">
        <f>LOG(AU323)</f>
        <v>2.6803355134145632</v>
      </c>
      <c r="BC323">
        <v>18.2</v>
      </c>
      <c r="BD323" t="s">
        <v>56</v>
      </c>
      <c r="BE323" t="s">
        <v>56</v>
      </c>
      <c r="BF323">
        <v>20.8</v>
      </c>
      <c r="BG323" t="s">
        <v>56</v>
      </c>
      <c r="BH323" t="s">
        <v>56</v>
      </c>
      <c r="BI323">
        <v>3</v>
      </c>
      <c r="BJ323">
        <v>2.6</v>
      </c>
      <c r="BK323" t="s">
        <v>56</v>
      </c>
      <c r="BL323" t="s">
        <v>274</v>
      </c>
      <c r="BM323" t="s">
        <v>59</v>
      </c>
      <c r="BN323" t="s">
        <v>60</v>
      </c>
      <c r="BO323" t="s">
        <v>275</v>
      </c>
      <c r="BP323" t="s">
        <v>62</v>
      </c>
      <c r="BR323" t="s">
        <v>63</v>
      </c>
      <c r="BT323">
        <v>22.6</v>
      </c>
      <c r="BU323">
        <v>22.603000000000002</v>
      </c>
      <c r="BV323">
        <v>2.67</v>
      </c>
      <c r="BW323">
        <f>BV323*SQRT(AK323)</f>
        <v>4.6245756562089015</v>
      </c>
      <c r="BX323">
        <v>25.14</v>
      </c>
      <c r="BY323">
        <v>25.143000000000001</v>
      </c>
      <c r="BZ323">
        <v>1.4</v>
      </c>
      <c r="CA323">
        <f>BZ323*SQRT(AL323)</f>
        <v>2.4248711305964279</v>
      </c>
      <c r="CB323">
        <v>304</v>
      </c>
      <c r="CC323">
        <v>3</v>
      </c>
      <c r="CD323">
        <v>0.106</v>
      </c>
      <c r="CE323">
        <v>1.7000000000000001E-2</v>
      </c>
    </row>
    <row r="324" spans="4:83" hidden="1" x14ac:dyDescent="0.2">
      <c r="D324">
        <v>18</v>
      </c>
      <c r="G324" t="s">
        <v>43</v>
      </c>
      <c r="H324" t="s">
        <v>264</v>
      </c>
      <c r="J324">
        <v>2014</v>
      </c>
      <c r="M324" t="s">
        <v>265</v>
      </c>
      <c r="T324" t="s">
        <v>68</v>
      </c>
      <c r="U324" t="s">
        <v>266</v>
      </c>
      <c r="V324" t="s">
        <v>267</v>
      </c>
      <c r="Z324" t="s">
        <v>177</v>
      </c>
      <c r="AA324" t="s">
        <v>177</v>
      </c>
      <c r="AB324" t="s">
        <v>50</v>
      </c>
      <c r="AC324" t="s">
        <v>51</v>
      </c>
      <c r="AD324" t="s">
        <v>52</v>
      </c>
      <c r="AE324" t="s">
        <v>53</v>
      </c>
      <c r="AF324" t="s">
        <v>52</v>
      </c>
      <c r="AG324" t="s">
        <v>52</v>
      </c>
      <c r="AH324" t="s">
        <v>64</v>
      </c>
      <c r="AK324">
        <v>3</v>
      </c>
      <c r="AL324">
        <v>3</v>
      </c>
      <c r="AN324">
        <v>476</v>
      </c>
      <c r="AO324" t="s">
        <v>56</v>
      </c>
      <c r="AP324" t="s">
        <v>56</v>
      </c>
      <c r="AQ324" t="s">
        <v>109</v>
      </c>
      <c r="AR324">
        <v>8.01</v>
      </c>
      <c r="AS324" t="s">
        <v>56</v>
      </c>
      <c r="AT324">
        <v>0.04</v>
      </c>
      <c r="AU324">
        <v>1060</v>
      </c>
      <c r="AV324" t="s">
        <v>56</v>
      </c>
      <c r="AW324" t="s">
        <v>56</v>
      </c>
      <c r="AX324">
        <v>7.72</v>
      </c>
      <c r="AY324" t="s">
        <v>56</v>
      </c>
      <c r="AZ324">
        <v>0.06</v>
      </c>
      <c r="BB324">
        <f>LOG(AU324)</f>
        <v>3.0253058652647704</v>
      </c>
      <c r="BC324">
        <v>18.2</v>
      </c>
      <c r="BD324" t="s">
        <v>56</v>
      </c>
      <c r="BE324" t="s">
        <v>56</v>
      </c>
      <c r="BF324">
        <v>20.9</v>
      </c>
      <c r="BG324" t="s">
        <v>56</v>
      </c>
      <c r="BH324" t="s">
        <v>56</v>
      </c>
      <c r="BI324">
        <v>584</v>
      </c>
      <c r="BJ324">
        <v>2.7</v>
      </c>
      <c r="BK324" t="s">
        <v>56</v>
      </c>
      <c r="BL324" t="s">
        <v>271</v>
      </c>
      <c r="BM324" t="s">
        <v>272</v>
      </c>
      <c r="BN324" t="s">
        <v>60</v>
      </c>
      <c r="BO324" t="s">
        <v>273</v>
      </c>
      <c r="BP324" t="s">
        <v>194</v>
      </c>
      <c r="BR324" t="s">
        <v>63</v>
      </c>
      <c r="BT324">
        <v>3.52</v>
      </c>
      <c r="BU324">
        <v>3.5158999999999998</v>
      </c>
      <c r="BV324">
        <v>0.27</v>
      </c>
      <c r="BW324">
        <f>BV324*SQRT(AK324)</f>
        <v>0.4676537180435969</v>
      </c>
      <c r="BX324">
        <v>4.45</v>
      </c>
      <c r="BY324">
        <v>4.4522000000000004</v>
      </c>
      <c r="BZ324">
        <v>0.25</v>
      </c>
      <c r="CA324">
        <f>BZ324*SQRT(AL324)</f>
        <v>0.4330127018922193</v>
      </c>
      <c r="CB324">
        <v>304</v>
      </c>
      <c r="CC324">
        <v>3</v>
      </c>
      <c r="CD324">
        <v>0.23599999999999999</v>
      </c>
      <c r="CE324">
        <v>8.8999999999999999E-3</v>
      </c>
    </row>
    <row r="325" spans="4:83" hidden="1" x14ac:dyDescent="0.2">
      <c r="D325">
        <v>18</v>
      </c>
      <c r="G325" t="s">
        <v>43</v>
      </c>
      <c r="H325" t="s">
        <v>264</v>
      </c>
      <c r="J325">
        <v>2014</v>
      </c>
      <c r="M325" t="s">
        <v>265</v>
      </c>
      <c r="T325" t="s">
        <v>68</v>
      </c>
      <c r="U325" t="s">
        <v>266</v>
      </c>
      <c r="V325" t="s">
        <v>267</v>
      </c>
      <c r="Z325" t="s">
        <v>177</v>
      </c>
      <c r="AA325" t="s">
        <v>177</v>
      </c>
      <c r="AB325" t="s">
        <v>50</v>
      </c>
      <c r="AC325" t="s">
        <v>51</v>
      </c>
      <c r="AD325" t="s">
        <v>52</v>
      </c>
      <c r="AE325" t="s">
        <v>53</v>
      </c>
      <c r="AF325" t="s">
        <v>52</v>
      </c>
      <c r="AG325" t="s">
        <v>52</v>
      </c>
      <c r="AH325" t="s">
        <v>64</v>
      </c>
      <c r="AK325">
        <v>18</v>
      </c>
      <c r="AL325">
        <v>18</v>
      </c>
      <c r="AN325">
        <v>476</v>
      </c>
      <c r="AO325" t="s">
        <v>56</v>
      </c>
      <c r="AP325" t="s">
        <v>56</v>
      </c>
      <c r="AQ325" t="s">
        <v>109</v>
      </c>
      <c r="AR325">
        <v>8.01</v>
      </c>
      <c r="AS325" t="s">
        <v>56</v>
      </c>
      <c r="AT325">
        <v>0.04</v>
      </c>
      <c r="AU325">
        <v>1060</v>
      </c>
      <c r="AV325" t="s">
        <v>56</v>
      </c>
      <c r="AW325" t="s">
        <v>56</v>
      </c>
      <c r="AX325">
        <v>7.72</v>
      </c>
      <c r="AY325" t="s">
        <v>56</v>
      </c>
      <c r="AZ325">
        <v>0.06</v>
      </c>
      <c r="BB325">
        <f>LOG(AU325)</f>
        <v>3.0253058652647704</v>
      </c>
      <c r="BC325">
        <v>18.2</v>
      </c>
      <c r="BD325" t="s">
        <v>56</v>
      </c>
      <c r="BE325" t="s">
        <v>56</v>
      </c>
      <c r="BF325">
        <v>20.9</v>
      </c>
      <c r="BG325" t="s">
        <v>56</v>
      </c>
      <c r="BH325" t="s">
        <v>56</v>
      </c>
      <c r="BI325">
        <v>584</v>
      </c>
      <c r="BJ325">
        <v>2.7</v>
      </c>
      <c r="BK325" t="s">
        <v>56</v>
      </c>
      <c r="BL325" t="s">
        <v>276</v>
      </c>
      <c r="BM325" t="s">
        <v>276</v>
      </c>
      <c r="BN325" t="s">
        <v>60</v>
      </c>
      <c r="BO325" t="s">
        <v>277</v>
      </c>
      <c r="BP325" t="s">
        <v>194</v>
      </c>
      <c r="BR325" t="s">
        <v>63</v>
      </c>
      <c r="BT325">
        <v>0.95</v>
      </c>
      <c r="BU325">
        <v>0.95445000000000002</v>
      </c>
      <c r="BV325">
        <v>0.13</v>
      </c>
      <c r="BW325">
        <f>BV325*SQRT(AK325)</f>
        <v>0.551543289325507</v>
      </c>
      <c r="BX325">
        <v>1.25</v>
      </c>
      <c r="BY325">
        <v>1.2538</v>
      </c>
      <c r="BZ325">
        <v>0.2</v>
      </c>
      <c r="CA325">
        <f>BZ325*SQRT(AL325)</f>
        <v>0.84852813742385702</v>
      </c>
      <c r="CB325">
        <v>304</v>
      </c>
      <c r="CC325">
        <v>3</v>
      </c>
      <c r="CD325">
        <v>0.27300000000000002</v>
      </c>
      <c r="CE325">
        <v>4.4999999999999998E-2</v>
      </c>
    </row>
    <row r="326" spans="4:83" hidden="1" x14ac:dyDescent="0.2">
      <c r="D326">
        <v>18</v>
      </c>
      <c r="G326" t="s">
        <v>43</v>
      </c>
      <c r="H326" t="s">
        <v>264</v>
      </c>
      <c r="J326">
        <v>2014</v>
      </c>
      <c r="M326" t="s">
        <v>265</v>
      </c>
      <c r="T326" t="s">
        <v>68</v>
      </c>
      <c r="U326" t="s">
        <v>266</v>
      </c>
      <c r="V326" t="s">
        <v>267</v>
      </c>
      <c r="Z326" t="s">
        <v>177</v>
      </c>
      <c r="AA326" t="s">
        <v>177</v>
      </c>
      <c r="AB326" t="s">
        <v>50</v>
      </c>
      <c r="AC326" t="s">
        <v>51</v>
      </c>
      <c r="AD326" t="s">
        <v>52</v>
      </c>
      <c r="AE326" t="s">
        <v>53</v>
      </c>
      <c r="AF326" t="s">
        <v>54</v>
      </c>
      <c r="AG326" t="s">
        <v>52</v>
      </c>
      <c r="AH326" t="s">
        <v>65</v>
      </c>
      <c r="AK326">
        <v>18</v>
      </c>
      <c r="AL326">
        <v>18</v>
      </c>
      <c r="AN326">
        <v>476</v>
      </c>
      <c r="AO326" t="s">
        <v>56</v>
      </c>
      <c r="AP326" t="s">
        <v>56</v>
      </c>
      <c r="AQ326" t="s">
        <v>109</v>
      </c>
      <c r="AR326">
        <v>8.01</v>
      </c>
      <c r="AS326" t="s">
        <v>56</v>
      </c>
      <c r="AT326">
        <v>0.04</v>
      </c>
      <c r="AU326">
        <v>479</v>
      </c>
      <c r="AV326" t="s">
        <v>56</v>
      </c>
      <c r="AW326" t="s">
        <v>56</v>
      </c>
      <c r="AX326">
        <v>8.01</v>
      </c>
      <c r="AY326" t="s">
        <v>56</v>
      </c>
      <c r="AZ326">
        <v>0.04</v>
      </c>
      <c r="BB326">
        <f>LOG(AU326)</f>
        <v>2.6803355134145632</v>
      </c>
      <c r="BC326">
        <v>18.2</v>
      </c>
      <c r="BD326" t="s">
        <v>56</v>
      </c>
      <c r="BE326" t="s">
        <v>56</v>
      </c>
      <c r="BF326">
        <v>20.8</v>
      </c>
      <c r="BG326" t="s">
        <v>56</v>
      </c>
      <c r="BH326" t="s">
        <v>56</v>
      </c>
      <c r="BI326">
        <v>3</v>
      </c>
      <c r="BJ326">
        <v>2.6</v>
      </c>
      <c r="BK326" t="s">
        <v>56</v>
      </c>
      <c r="BL326" t="s">
        <v>276</v>
      </c>
      <c r="BM326" t="s">
        <v>276</v>
      </c>
      <c r="BN326" t="s">
        <v>60</v>
      </c>
      <c r="BO326" t="s">
        <v>277</v>
      </c>
      <c r="BP326" t="s">
        <v>194</v>
      </c>
      <c r="BR326" t="s">
        <v>63</v>
      </c>
      <c r="BT326">
        <v>0.95</v>
      </c>
      <c r="BU326">
        <v>0.95445000000000002</v>
      </c>
      <c r="BV326">
        <v>0.13</v>
      </c>
      <c r="BW326">
        <f>BV326*SQRT(AK326)</f>
        <v>0.551543289325507</v>
      </c>
      <c r="BX326">
        <v>1.31</v>
      </c>
      <c r="BY326">
        <v>1.3059000000000001</v>
      </c>
      <c r="BZ326">
        <v>0.17</v>
      </c>
      <c r="CA326">
        <f>BZ326*SQRT(AL326)</f>
        <v>0.72124891681027847</v>
      </c>
      <c r="CB326">
        <v>304</v>
      </c>
      <c r="CC326">
        <v>3</v>
      </c>
      <c r="CD326">
        <v>0.314</v>
      </c>
      <c r="CE326">
        <v>3.5400000000000001E-2</v>
      </c>
    </row>
    <row r="327" spans="4:83" hidden="1" x14ac:dyDescent="0.2">
      <c r="D327">
        <v>18</v>
      </c>
      <c r="G327" t="s">
        <v>43</v>
      </c>
      <c r="H327" t="s">
        <v>264</v>
      </c>
      <c r="J327">
        <v>2014</v>
      </c>
      <c r="M327" t="s">
        <v>265</v>
      </c>
      <c r="T327" t="s">
        <v>68</v>
      </c>
      <c r="U327" t="s">
        <v>266</v>
      </c>
      <c r="V327" t="s">
        <v>267</v>
      </c>
      <c r="Z327" t="s">
        <v>177</v>
      </c>
      <c r="AA327" t="s">
        <v>177</v>
      </c>
      <c r="AB327" t="s">
        <v>50</v>
      </c>
      <c r="AC327" t="s">
        <v>51</v>
      </c>
      <c r="AD327" t="s">
        <v>52</v>
      </c>
      <c r="AE327" t="s">
        <v>53</v>
      </c>
      <c r="AF327" t="s">
        <v>54</v>
      </c>
      <c r="AG327" t="s">
        <v>52</v>
      </c>
      <c r="AH327" t="s">
        <v>65</v>
      </c>
      <c r="AK327">
        <v>3</v>
      </c>
      <c r="AL327">
        <v>3</v>
      </c>
      <c r="AN327">
        <v>476</v>
      </c>
      <c r="AO327" t="s">
        <v>56</v>
      </c>
      <c r="AP327" t="s">
        <v>56</v>
      </c>
      <c r="AQ327" t="s">
        <v>109</v>
      </c>
      <c r="AR327">
        <v>8.01</v>
      </c>
      <c r="AS327" t="s">
        <v>56</v>
      </c>
      <c r="AT327">
        <v>0.04</v>
      </c>
      <c r="AU327">
        <v>479</v>
      </c>
      <c r="AV327" t="s">
        <v>56</v>
      </c>
      <c r="AW327" t="s">
        <v>56</v>
      </c>
      <c r="AX327">
        <v>8.01</v>
      </c>
      <c r="AY327" t="s">
        <v>56</v>
      </c>
      <c r="AZ327">
        <v>0.04</v>
      </c>
      <c r="BB327">
        <f>LOG(AU327)</f>
        <v>2.6803355134145632</v>
      </c>
      <c r="BC327">
        <v>18.2</v>
      </c>
      <c r="BD327" t="s">
        <v>56</v>
      </c>
      <c r="BE327" t="s">
        <v>56</v>
      </c>
      <c r="BF327">
        <v>20.8</v>
      </c>
      <c r="BG327" t="s">
        <v>56</v>
      </c>
      <c r="BH327" t="s">
        <v>56</v>
      </c>
      <c r="BI327">
        <v>3</v>
      </c>
      <c r="BJ327">
        <v>2.6</v>
      </c>
      <c r="BK327" t="s">
        <v>56</v>
      </c>
      <c r="BL327" t="s">
        <v>268</v>
      </c>
      <c r="BM327" t="s">
        <v>232</v>
      </c>
      <c r="BN327" t="s">
        <v>81</v>
      </c>
      <c r="BO327" t="s">
        <v>269</v>
      </c>
      <c r="BP327" t="s">
        <v>234</v>
      </c>
      <c r="BR327" t="s">
        <v>63</v>
      </c>
      <c r="BT327">
        <v>1.04</v>
      </c>
      <c r="BU327">
        <v>1.0394000000000001</v>
      </c>
      <c r="BV327">
        <v>0.31</v>
      </c>
      <c r="BW327">
        <f>BV327*SQRT(AK327)</f>
        <v>0.53693575034635188</v>
      </c>
      <c r="BX327">
        <v>1.98</v>
      </c>
      <c r="BY327">
        <v>1.9843</v>
      </c>
      <c r="BZ327">
        <v>0.82</v>
      </c>
      <c r="CA327">
        <f>BZ327*SQRT(AL327)</f>
        <v>1.4202816622064791</v>
      </c>
      <c r="CB327">
        <v>304</v>
      </c>
      <c r="CC327">
        <v>3</v>
      </c>
      <c r="CD327">
        <v>0.64700000000000002</v>
      </c>
      <c r="CE327">
        <v>0.2621</v>
      </c>
    </row>
    <row r="328" spans="4:83" hidden="1" x14ac:dyDescent="0.2">
      <c r="D328">
        <v>19</v>
      </c>
      <c r="G328" t="s">
        <v>43</v>
      </c>
      <c r="H328" t="s">
        <v>278</v>
      </c>
      <c r="J328">
        <v>2010</v>
      </c>
      <c r="M328" t="s">
        <v>279</v>
      </c>
      <c r="T328" t="s">
        <v>103</v>
      </c>
      <c r="U328" t="s">
        <v>280</v>
      </c>
      <c r="V328" t="s">
        <v>281</v>
      </c>
      <c r="Z328" t="s">
        <v>49</v>
      </c>
      <c r="AA328" t="s">
        <v>49</v>
      </c>
      <c r="AB328" t="s">
        <v>50</v>
      </c>
      <c r="AC328" t="s">
        <v>51</v>
      </c>
      <c r="AD328" t="s">
        <v>52</v>
      </c>
      <c r="AE328" t="s">
        <v>53</v>
      </c>
      <c r="AF328" t="s">
        <v>52</v>
      </c>
      <c r="AG328" t="s">
        <v>54</v>
      </c>
      <c r="AH328" t="s">
        <v>55</v>
      </c>
      <c r="AK328">
        <v>6</v>
      </c>
      <c r="AL328">
        <v>6</v>
      </c>
      <c r="AN328">
        <v>423</v>
      </c>
      <c r="AO328">
        <v>3</v>
      </c>
      <c r="AP328" t="s">
        <v>56</v>
      </c>
      <c r="AQ328" t="s">
        <v>109</v>
      </c>
      <c r="AR328">
        <v>8.06</v>
      </c>
      <c r="AS328">
        <v>0</v>
      </c>
      <c r="AT328" t="s">
        <v>56</v>
      </c>
      <c r="AU328">
        <v>713</v>
      </c>
      <c r="AV328">
        <v>4</v>
      </c>
      <c r="AW328" t="s">
        <v>56</v>
      </c>
      <c r="AX328">
        <v>7.87</v>
      </c>
      <c r="AY328">
        <v>0</v>
      </c>
      <c r="AZ328" t="s">
        <v>56</v>
      </c>
      <c r="BB328">
        <f>LOG(AU328)</f>
        <v>2.8530895298518657</v>
      </c>
      <c r="BC328">
        <v>21.7</v>
      </c>
      <c r="BD328">
        <v>0.1</v>
      </c>
      <c r="BE328" t="s">
        <v>56</v>
      </c>
      <c r="BF328">
        <v>21.7</v>
      </c>
      <c r="BG328">
        <v>0.1</v>
      </c>
      <c r="BH328" t="s">
        <v>56</v>
      </c>
      <c r="BI328">
        <v>290</v>
      </c>
      <c r="BJ328">
        <v>0</v>
      </c>
      <c r="BK328" t="s">
        <v>282</v>
      </c>
      <c r="BL328" t="s">
        <v>182</v>
      </c>
      <c r="BM328" t="s">
        <v>59</v>
      </c>
      <c r="BN328" t="s">
        <v>60</v>
      </c>
      <c r="BO328" t="s">
        <v>283</v>
      </c>
      <c r="BP328" t="s">
        <v>62</v>
      </c>
      <c r="BR328" t="s">
        <v>63</v>
      </c>
      <c r="BT328">
        <v>622.80999999999995</v>
      </c>
      <c r="BU328">
        <v>622.80999999999995</v>
      </c>
      <c r="BV328">
        <v>52.63</v>
      </c>
      <c r="BW328">
        <f>BV328*SQRT(AK328)</f>
        <v>128.91664516267866</v>
      </c>
      <c r="BX328">
        <v>470.76</v>
      </c>
      <c r="BY328">
        <v>470.76</v>
      </c>
      <c r="BZ328">
        <v>70.180000000000007</v>
      </c>
      <c r="CA328">
        <f>BZ328*SQRT(AL328)</f>
        <v>171.90519014852345</v>
      </c>
      <c r="CB328">
        <v>30</v>
      </c>
      <c r="CC328">
        <v>1</v>
      </c>
      <c r="CD328">
        <v>-0.28000000000000003</v>
      </c>
      <c r="CE328">
        <v>2.9399999999999999E-2</v>
      </c>
    </row>
    <row r="329" spans="4:83" hidden="1" x14ac:dyDescent="0.2">
      <c r="D329">
        <v>19</v>
      </c>
      <c r="G329" t="s">
        <v>43</v>
      </c>
      <c r="H329" t="s">
        <v>278</v>
      </c>
      <c r="J329">
        <v>2010</v>
      </c>
      <c r="M329" t="s">
        <v>279</v>
      </c>
      <c r="T329" t="s">
        <v>103</v>
      </c>
      <c r="U329" t="s">
        <v>280</v>
      </c>
      <c r="V329" t="s">
        <v>281</v>
      </c>
      <c r="Z329" t="s">
        <v>49</v>
      </c>
      <c r="AA329" t="s">
        <v>49</v>
      </c>
      <c r="AB329" t="s">
        <v>50</v>
      </c>
      <c r="AC329" t="s">
        <v>51</v>
      </c>
      <c r="AD329" t="s">
        <v>52</v>
      </c>
      <c r="AE329" t="s">
        <v>53</v>
      </c>
      <c r="AF329" t="s">
        <v>52</v>
      </c>
      <c r="AG329" t="s">
        <v>54</v>
      </c>
      <c r="AH329" t="s">
        <v>55</v>
      </c>
      <c r="AK329">
        <v>10</v>
      </c>
      <c r="AL329">
        <v>10</v>
      </c>
      <c r="AN329">
        <v>423</v>
      </c>
      <c r="AO329">
        <v>3</v>
      </c>
      <c r="AP329" t="s">
        <v>56</v>
      </c>
      <c r="AQ329" t="s">
        <v>109</v>
      </c>
      <c r="AR329">
        <v>8.06</v>
      </c>
      <c r="AS329">
        <v>0</v>
      </c>
      <c r="AT329" t="s">
        <v>56</v>
      </c>
      <c r="AU329">
        <v>713</v>
      </c>
      <c r="AV329">
        <v>4</v>
      </c>
      <c r="AW329" t="s">
        <v>56</v>
      </c>
      <c r="AX329">
        <v>7.87</v>
      </c>
      <c r="AY329">
        <v>0</v>
      </c>
      <c r="AZ329" t="s">
        <v>56</v>
      </c>
      <c r="BB329">
        <f>LOG(AU329)</f>
        <v>2.8530895298518657</v>
      </c>
      <c r="BC329">
        <v>21.7</v>
      </c>
      <c r="BD329">
        <v>0.1</v>
      </c>
      <c r="BE329" t="s">
        <v>56</v>
      </c>
      <c r="BF329">
        <v>21.7</v>
      </c>
      <c r="BG329">
        <v>0.1</v>
      </c>
      <c r="BH329" t="s">
        <v>56</v>
      </c>
      <c r="BI329">
        <v>290</v>
      </c>
      <c r="BJ329">
        <v>0</v>
      </c>
      <c r="BK329" t="s">
        <v>284</v>
      </c>
      <c r="BL329" t="s">
        <v>234</v>
      </c>
      <c r="BM329" t="s">
        <v>232</v>
      </c>
      <c r="BN329" t="s">
        <v>81</v>
      </c>
      <c r="BO329" t="s">
        <v>285</v>
      </c>
      <c r="BP329" t="s">
        <v>234</v>
      </c>
      <c r="BR329" t="s">
        <v>63</v>
      </c>
      <c r="BT329">
        <v>175.37</v>
      </c>
      <c r="BU329">
        <v>175.37</v>
      </c>
      <c r="BV329">
        <v>10.07</v>
      </c>
      <c r="BW329">
        <f>BV329*SQRT(AK329)</f>
        <v>31.844136037895584</v>
      </c>
      <c r="BX329">
        <v>165.38</v>
      </c>
      <c r="BY329">
        <v>165.3785</v>
      </c>
      <c r="BZ329">
        <v>11.67</v>
      </c>
      <c r="CA329">
        <f>BZ329*SQRT(AL329)</f>
        <v>36.903780294164989</v>
      </c>
      <c r="CB329">
        <v>30</v>
      </c>
      <c r="CC329">
        <v>1</v>
      </c>
      <c r="CD329">
        <v>-5.8999999999999997E-2</v>
      </c>
      <c r="CE329">
        <v>8.3000000000000001E-3</v>
      </c>
    </row>
    <row r="330" spans="4:83" hidden="1" x14ac:dyDescent="0.2">
      <c r="D330">
        <v>19</v>
      </c>
      <c r="G330" t="s">
        <v>43</v>
      </c>
      <c r="H330" t="s">
        <v>278</v>
      </c>
      <c r="J330">
        <v>2010</v>
      </c>
      <c r="M330" t="s">
        <v>279</v>
      </c>
      <c r="T330" t="s">
        <v>103</v>
      </c>
      <c r="U330" t="s">
        <v>280</v>
      </c>
      <c r="V330" t="s">
        <v>281</v>
      </c>
      <c r="Z330" t="s">
        <v>49</v>
      </c>
      <c r="AA330" t="s">
        <v>49</v>
      </c>
      <c r="AB330" t="s">
        <v>50</v>
      </c>
      <c r="AC330" t="s">
        <v>51</v>
      </c>
      <c r="AD330" t="s">
        <v>52</v>
      </c>
      <c r="AE330" t="s">
        <v>53</v>
      </c>
      <c r="AF330" t="s">
        <v>52</v>
      </c>
      <c r="AG330" t="s">
        <v>52</v>
      </c>
      <c r="AH330" t="s">
        <v>64</v>
      </c>
      <c r="AK330">
        <v>10</v>
      </c>
      <c r="AL330">
        <v>10</v>
      </c>
      <c r="AN330">
        <v>423</v>
      </c>
      <c r="AO330">
        <v>3</v>
      </c>
      <c r="AP330" t="s">
        <v>56</v>
      </c>
      <c r="AQ330" t="s">
        <v>109</v>
      </c>
      <c r="AR330">
        <v>8.06</v>
      </c>
      <c r="AS330">
        <v>0</v>
      </c>
      <c r="AT330" t="s">
        <v>56</v>
      </c>
      <c r="AU330">
        <v>779</v>
      </c>
      <c r="AV330">
        <v>6</v>
      </c>
      <c r="AW330" t="s">
        <v>56</v>
      </c>
      <c r="AX330">
        <v>7.84</v>
      </c>
      <c r="AY330">
        <v>0</v>
      </c>
      <c r="AZ330" t="s">
        <v>56</v>
      </c>
      <c r="BB330">
        <f>LOG(AU330)</f>
        <v>2.8915374576725643</v>
      </c>
      <c r="BC330">
        <v>21.7</v>
      </c>
      <c r="BD330">
        <v>0.1</v>
      </c>
      <c r="BE330" t="s">
        <v>56</v>
      </c>
      <c r="BF330">
        <v>24.5</v>
      </c>
      <c r="BG330">
        <v>0.2</v>
      </c>
      <c r="BH330" t="s">
        <v>56</v>
      </c>
      <c r="BI330">
        <v>356</v>
      </c>
      <c r="BJ330">
        <v>2.8</v>
      </c>
      <c r="BK330" t="s">
        <v>284</v>
      </c>
      <c r="BL330" t="s">
        <v>234</v>
      </c>
      <c r="BM330" t="s">
        <v>232</v>
      </c>
      <c r="BN330" t="s">
        <v>81</v>
      </c>
      <c r="BO330" t="s">
        <v>285</v>
      </c>
      <c r="BP330" t="s">
        <v>234</v>
      </c>
      <c r="BR330" t="s">
        <v>63</v>
      </c>
      <c r="BT330">
        <v>175.37</v>
      </c>
      <c r="BU330">
        <v>175.37</v>
      </c>
      <c r="BV330">
        <v>10.07</v>
      </c>
      <c r="BW330">
        <f>BV330*SQRT(AK330)</f>
        <v>31.844136037895584</v>
      </c>
      <c r="BX330">
        <v>174.06</v>
      </c>
      <c r="BY330">
        <v>174.05500000000001</v>
      </c>
      <c r="BZ330">
        <v>12.39</v>
      </c>
      <c r="CA330">
        <f>BZ330*SQRT(AL330)</f>
        <v>39.180620209486221</v>
      </c>
      <c r="CB330">
        <v>30</v>
      </c>
      <c r="CC330">
        <v>1</v>
      </c>
      <c r="CD330">
        <v>-8.0000000000000002E-3</v>
      </c>
      <c r="CE330">
        <v>8.3999999999999995E-3</v>
      </c>
    </row>
    <row r="331" spans="4:83" hidden="1" x14ac:dyDescent="0.2">
      <c r="D331">
        <v>19</v>
      </c>
      <c r="G331" t="s">
        <v>43</v>
      </c>
      <c r="H331" t="s">
        <v>278</v>
      </c>
      <c r="J331">
        <v>2010</v>
      </c>
      <c r="M331" t="s">
        <v>279</v>
      </c>
      <c r="T331" t="s">
        <v>103</v>
      </c>
      <c r="U331" t="s">
        <v>280</v>
      </c>
      <c r="V331" t="s">
        <v>281</v>
      </c>
      <c r="Z331" t="s">
        <v>49</v>
      </c>
      <c r="AA331" t="s">
        <v>49</v>
      </c>
      <c r="AB331" t="s">
        <v>50</v>
      </c>
      <c r="AC331" t="s">
        <v>51</v>
      </c>
      <c r="AD331" t="s">
        <v>52</v>
      </c>
      <c r="AE331" t="s">
        <v>53</v>
      </c>
      <c r="AF331" t="s">
        <v>52</v>
      </c>
      <c r="AG331" t="s">
        <v>52</v>
      </c>
      <c r="AH331" t="s">
        <v>64</v>
      </c>
      <c r="AK331">
        <v>6</v>
      </c>
      <c r="AL331">
        <v>6</v>
      </c>
      <c r="AN331">
        <v>423</v>
      </c>
      <c r="AO331">
        <v>3</v>
      </c>
      <c r="AP331" t="s">
        <v>56</v>
      </c>
      <c r="AQ331" t="s">
        <v>109</v>
      </c>
      <c r="AR331">
        <v>8.06</v>
      </c>
      <c r="AS331">
        <v>0</v>
      </c>
      <c r="AT331" t="s">
        <v>56</v>
      </c>
      <c r="AU331">
        <v>779</v>
      </c>
      <c r="AV331">
        <v>6</v>
      </c>
      <c r="AW331" t="s">
        <v>56</v>
      </c>
      <c r="AX331">
        <v>7.84</v>
      </c>
      <c r="AY331">
        <v>0</v>
      </c>
      <c r="AZ331" t="s">
        <v>56</v>
      </c>
      <c r="BB331">
        <f>LOG(AU331)</f>
        <v>2.8915374576725643</v>
      </c>
      <c r="BC331">
        <v>21.7</v>
      </c>
      <c r="BD331">
        <v>0.1</v>
      </c>
      <c r="BE331" t="s">
        <v>56</v>
      </c>
      <c r="BF331">
        <v>24.5</v>
      </c>
      <c r="BG331">
        <v>0.2</v>
      </c>
      <c r="BH331" t="s">
        <v>56</v>
      </c>
      <c r="BI331">
        <v>356</v>
      </c>
      <c r="BJ331">
        <v>2.8</v>
      </c>
      <c r="BK331" t="s">
        <v>282</v>
      </c>
      <c r="BL331" t="s">
        <v>182</v>
      </c>
      <c r="BM331" t="s">
        <v>59</v>
      </c>
      <c r="BN331" t="s">
        <v>60</v>
      </c>
      <c r="BO331" t="s">
        <v>283</v>
      </c>
      <c r="BP331" t="s">
        <v>62</v>
      </c>
      <c r="BR331" t="s">
        <v>63</v>
      </c>
      <c r="BT331">
        <v>622.80999999999995</v>
      </c>
      <c r="BU331">
        <v>622.80999999999995</v>
      </c>
      <c r="BV331">
        <v>52.63</v>
      </c>
      <c r="BW331">
        <f>BV331*SQRT(AK331)</f>
        <v>128.91664516267866</v>
      </c>
      <c r="BX331">
        <v>719.3</v>
      </c>
      <c r="BY331">
        <v>719.3</v>
      </c>
      <c r="BZ331">
        <v>67.25</v>
      </c>
      <c r="CA331">
        <f>BZ331*SQRT(AL331)</f>
        <v>164.7281852021687</v>
      </c>
      <c r="CB331">
        <v>30</v>
      </c>
      <c r="CC331">
        <v>1</v>
      </c>
      <c r="CD331">
        <v>0.14399999999999999</v>
      </c>
      <c r="CE331">
        <v>1.5900000000000001E-2</v>
      </c>
    </row>
    <row r="332" spans="4:83" hidden="1" x14ac:dyDescent="0.2">
      <c r="D332">
        <v>19</v>
      </c>
      <c r="G332" t="s">
        <v>43</v>
      </c>
      <c r="H332" t="s">
        <v>278</v>
      </c>
      <c r="J332">
        <v>2010</v>
      </c>
      <c r="M332" t="s">
        <v>279</v>
      </c>
      <c r="T332" t="s">
        <v>103</v>
      </c>
      <c r="U332" t="s">
        <v>280</v>
      </c>
      <c r="V332" t="s">
        <v>281</v>
      </c>
      <c r="Z332" t="s">
        <v>49</v>
      </c>
      <c r="AA332" t="s">
        <v>49</v>
      </c>
      <c r="AB332" t="s">
        <v>50</v>
      </c>
      <c r="AC332" t="s">
        <v>51</v>
      </c>
      <c r="AD332" t="s">
        <v>52</v>
      </c>
      <c r="AE332" t="s">
        <v>53</v>
      </c>
      <c r="AF332" t="s">
        <v>54</v>
      </c>
      <c r="AG332" t="s">
        <v>52</v>
      </c>
      <c r="AH332" t="s">
        <v>65</v>
      </c>
      <c r="AK332">
        <v>10</v>
      </c>
      <c r="AL332">
        <v>10</v>
      </c>
      <c r="AN332">
        <v>423</v>
      </c>
      <c r="AO332">
        <v>3</v>
      </c>
      <c r="AP332" t="s">
        <v>56</v>
      </c>
      <c r="AQ332" t="s">
        <v>109</v>
      </c>
      <c r="AR332">
        <v>8.06</v>
      </c>
      <c r="AS332">
        <v>0</v>
      </c>
      <c r="AT332" t="s">
        <v>56</v>
      </c>
      <c r="AU332">
        <v>475</v>
      </c>
      <c r="AV332">
        <v>4</v>
      </c>
      <c r="AW332" t="s">
        <v>56</v>
      </c>
      <c r="AX332">
        <v>8.01</v>
      </c>
      <c r="AY332">
        <v>0</v>
      </c>
      <c r="AZ332" t="s">
        <v>56</v>
      </c>
      <c r="BB332">
        <f>LOG(AU332)</f>
        <v>2.6766936096248664</v>
      </c>
      <c r="BC332">
        <v>21.7</v>
      </c>
      <c r="BD332">
        <v>0.1</v>
      </c>
      <c r="BE332" t="s">
        <v>56</v>
      </c>
      <c r="BF332">
        <v>24.5</v>
      </c>
      <c r="BG332">
        <v>0.1</v>
      </c>
      <c r="BH332" t="s">
        <v>56</v>
      </c>
      <c r="BI332">
        <v>52</v>
      </c>
      <c r="BJ332">
        <v>2.8</v>
      </c>
      <c r="BK332" t="s">
        <v>284</v>
      </c>
      <c r="BL332" t="s">
        <v>234</v>
      </c>
      <c r="BM332" t="s">
        <v>232</v>
      </c>
      <c r="BN332" t="s">
        <v>81</v>
      </c>
      <c r="BO332" t="s">
        <v>285</v>
      </c>
      <c r="BP332" t="s">
        <v>234</v>
      </c>
      <c r="BR332" t="s">
        <v>63</v>
      </c>
      <c r="BT332">
        <v>175.37</v>
      </c>
      <c r="BU332">
        <v>175.37</v>
      </c>
      <c r="BV332">
        <v>10.07</v>
      </c>
      <c r="BW332">
        <f>BV332*SQRT(AK332)</f>
        <v>31.844136037895584</v>
      </c>
      <c r="BX332">
        <v>205.56</v>
      </c>
      <c r="BY332">
        <v>205.56</v>
      </c>
      <c r="BZ332">
        <v>5.29</v>
      </c>
      <c r="CA332">
        <f>BZ332*SQRT(AL332)</f>
        <v>16.728448822290726</v>
      </c>
      <c r="CB332">
        <v>30</v>
      </c>
      <c r="CC332">
        <v>1</v>
      </c>
      <c r="CD332">
        <v>0.159</v>
      </c>
      <c r="CE332">
        <v>4.0000000000000001E-3</v>
      </c>
    </row>
    <row r="333" spans="4:83" hidden="1" x14ac:dyDescent="0.2">
      <c r="D333">
        <v>19</v>
      </c>
      <c r="G333" t="s">
        <v>43</v>
      </c>
      <c r="H333" t="s">
        <v>278</v>
      </c>
      <c r="J333">
        <v>2010</v>
      </c>
      <c r="M333" t="s">
        <v>279</v>
      </c>
      <c r="T333" t="s">
        <v>103</v>
      </c>
      <c r="U333" t="s">
        <v>280</v>
      </c>
      <c r="V333" t="s">
        <v>281</v>
      </c>
      <c r="Z333" t="s">
        <v>49</v>
      </c>
      <c r="AA333" t="s">
        <v>49</v>
      </c>
      <c r="AB333" t="s">
        <v>50</v>
      </c>
      <c r="AC333" t="s">
        <v>51</v>
      </c>
      <c r="AD333" t="s">
        <v>52</v>
      </c>
      <c r="AE333" t="s">
        <v>53</v>
      </c>
      <c r="AF333" t="s">
        <v>54</v>
      </c>
      <c r="AG333" t="s">
        <v>52</v>
      </c>
      <c r="AH333" t="s">
        <v>65</v>
      </c>
      <c r="AK333">
        <v>6</v>
      </c>
      <c r="AL333">
        <v>6</v>
      </c>
      <c r="AN333">
        <v>423</v>
      </c>
      <c r="AO333">
        <v>3</v>
      </c>
      <c r="AP333" t="s">
        <v>56</v>
      </c>
      <c r="AQ333" t="s">
        <v>109</v>
      </c>
      <c r="AR333">
        <v>8.06</v>
      </c>
      <c r="AS333">
        <v>0</v>
      </c>
      <c r="AT333" t="s">
        <v>56</v>
      </c>
      <c r="AU333">
        <v>475</v>
      </c>
      <c r="AV333">
        <v>4</v>
      </c>
      <c r="AW333" t="s">
        <v>56</v>
      </c>
      <c r="AX333">
        <v>8.01</v>
      </c>
      <c r="AY333">
        <v>0</v>
      </c>
      <c r="AZ333" t="s">
        <v>56</v>
      </c>
      <c r="BB333">
        <f>LOG(AU333)</f>
        <v>2.6766936096248664</v>
      </c>
      <c r="BC333">
        <v>21.7</v>
      </c>
      <c r="BD333">
        <v>0.1</v>
      </c>
      <c r="BE333" t="s">
        <v>56</v>
      </c>
      <c r="BF333">
        <v>24.5</v>
      </c>
      <c r="BG333">
        <v>0.1</v>
      </c>
      <c r="BH333" t="s">
        <v>56</v>
      </c>
      <c r="BI333">
        <v>52</v>
      </c>
      <c r="BJ333">
        <v>2.8</v>
      </c>
      <c r="BK333" t="s">
        <v>282</v>
      </c>
      <c r="BL333" t="s">
        <v>182</v>
      </c>
      <c r="BM333" t="s">
        <v>59</v>
      </c>
      <c r="BN333" t="s">
        <v>60</v>
      </c>
      <c r="BO333" t="s">
        <v>283</v>
      </c>
      <c r="BP333" t="s">
        <v>62</v>
      </c>
      <c r="BR333" t="s">
        <v>63</v>
      </c>
      <c r="BT333">
        <v>622.80999999999995</v>
      </c>
      <c r="BU333">
        <v>622.80999999999995</v>
      </c>
      <c r="BV333">
        <v>52.63</v>
      </c>
      <c r="BW333">
        <f>BV333*SQRT(AK333)</f>
        <v>128.91664516267866</v>
      </c>
      <c r="BX333">
        <v>830.41</v>
      </c>
      <c r="BY333">
        <v>830.41</v>
      </c>
      <c r="BZ333">
        <v>260.19</v>
      </c>
      <c r="CA333">
        <f>BZ333*SQRT(AL333)</f>
        <v>637.33273617475504</v>
      </c>
      <c r="CB333">
        <v>30</v>
      </c>
      <c r="CC333">
        <v>1</v>
      </c>
      <c r="CD333">
        <v>0.28799999999999998</v>
      </c>
      <c r="CE333">
        <v>0.1053</v>
      </c>
    </row>
    <row r="334" spans="4:83" hidden="1" x14ac:dyDescent="0.2">
      <c r="D334">
        <v>20</v>
      </c>
      <c r="G334" t="s">
        <v>43</v>
      </c>
      <c r="H334" t="s">
        <v>286</v>
      </c>
      <c r="J334">
        <v>2013</v>
      </c>
      <c r="M334" t="s">
        <v>257</v>
      </c>
      <c r="T334" t="s">
        <v>46</v>
      </c>
      <c r="U334" t="s">
        <v>287</v>
      </c>
      <c r="V334" t="s">
        <v>288</v>
      </c>
      <c r="Z334" t="s">
        <v>49</v>
      </c>
      <c r="AA334" t="s">
        <v>49</v>
      </c>
      <c r="AB334" t="s">
        <v>50</v>
      </c>
      <c r="AC334" t="s">
        <v>51</v>
      </c>
      <c r="AD334" t="s">
        <v>52</v>
      </c>
      <c r="AE334" t="s">
        <v>53</v>
      </c>
      <c r="AF334" t="s">
        <v>52</v>
      </c>
      <c r="AG334" t="s">
        <v>54</v>
      </c>
      <c r="AH334" t="s">
        <v>55</v>
      </c>
      <c r="AK334">
        <v>12</v>
      </c>
      <c r="AL334">
        <v>12</v>
      </c>
      <c r="AN334">
        <v>388</v>
      </c>
      <c r="AO334">
        <v>5</v>
      </c>
      <c r="AP334" t="s">
        <v>56</v>
      </c>
      <c r="AQ334" t="s">
        <v>56</v>
      </c>
      <c r="AR334">
        <v>8.1199999999999992</v>
      </c>
      <c r="AS334">
        <v>0</v>
      </c>
      <c r="AT334" t="s">
        <v>56</v>
      </c>
      <c r="AU334">
        <v>640</v>
      </c>
      <c r="AV334">
        <v>9</v>
      </c>
      <c r="AW334" t="s">
        <v>56</v>
      </c>
      <c r="AX334">
        <v>7.93</v>
      </c>
      <c r="AY334">
        <v>0</v>
      </c>
      <c r="AZ334" t="s">
        <v>56</v>
      </c>
      <c r="BB334">
        <f>LOG(AU334)</f>
        <v>2.8061799739838871</v>
      </c>
      <c r="BC334">
        <v>15.1</v>
      </c>
      <c r="BD334">
        <v>0</v>
      </c>
      <c r="BE334" t="s">
        <v>56</v>
      </c>
      <c r="BF334">
        <v>15</v>
      </c>
      <c r="BG334">
        <v>0</v>
      </c>
      <c r="BH334" t="s">
        <v>56</v>
      </c>
      <c r="BI334">
        <v>252</v>
      </c>
      <c r="BJ334">
        <v>0</v>
      </c>
      <c r="BK334" t="s">
        <v>289</v>
      </c>
      <c r="BL334" t="s">
        <v>290</v>
      </c>
      <c r="BM334" t="s">
        <v>75</v>
      </c>
      <c r="BN334" t="s">
        <v>60</v>
      </c>
      <c r="BO334" t="s">
        <v>291</v>
      </c>
      <c r="BP334" t="s">
        <v>77</v>
      </c>
      <c r="BR334" t="s">
        <v>84</v>
      </c>
      <c r="BT334">
        <v>146.51</v>
      </c>
      <c r="BU334">
        <v>146.512</v>
      </c>
      <c r="BV334">
        <v>13.95</v>
      </c>
      <c r="BW334">
        <f>BV334*SQRT(AK334)</f>
        <v>48.324217531171669</v>
      </c>
      <c r="BX334">
        <v>163.95</v>
      </c>
      <c r="BY334">
        <v>163.953</v>
      </c>
      <c r="BZ334">
        <v>10.47</v>
      </c>
      <c r="CA334">
        <f>BZ334*SQRT(AL334)</f>
        <v>36.269143910492289</v>
      </c>
      <c r="CB334">
        <v>5</v>
      </c>
      <c r="CC334">
        <v>6</v>
      </c>
      <c r="CD334">
        <v>0.112</v>
      </c>
      <c r="CE334">
        <v>1.3100000000000001E-2</v>
      </c>
    </row>
    <row r="335" spans="4:83" hidden="1" x14ac:dyDescent="0.2">
      <c r="D335">
        <v>20</v>
      </c>
      <c r="G335" t="s">
        <v>43</v>
      </c>
      <c r="H335" t="s">
        <v>286</v>
      </c>
      <c r="J335">
        <v>2013</v>
      </c>
      <c r="M335" t="s">
        <v>257</v>
      </c>
      <c r="T335" t="s">
        <v>46</v>
      </c>
      <c r="U335" t="s">
        <v>287</v>
      </c>
      <c r="V335" t="s">
        <v>288</v>
      </c>
      <c r="Z335" t="s">
        <v>49</v>
      </c>
      <c r="AA335" t="s">
        <v>49</v>
      </c>
      <c r="AB335" t="s">
        <v>50</v>
      </c>
      <c r="AC335" t="s">
        <v>51</v>
      </c>
      <c r="AD335" t="s">
        <v>52</v>
      </c>
      <c r="AE335" t="s">
        <v>53</v>
      </c>
      <c r="AF335" t="s">
        <v>54</v>
      </c>
      <c r="AG335" t="s">
        <v>52</v>
      </c>
      <c r="AH335" t="s">
        <v>65</v>
      </c>
      <c r="AK335">
        <v>12</v>
      </c>
      <c r="AL335">
        <v>12</v>
      </c>
      <c r="AN335">
        <v>388</v>
      </c>
      <c r="AO335">
        <v>5</v>
      </c>
      <c r="AP335" t="s">
        <v>56</v>
      </c>
      <c r="AQ335" t="s">
        <v>56</v>
      </c>
      <c r="AR335">
        <v>8.1199999999999992</v>
      </c>
      <c r="AS335">
        <v>0</v>
      </c>
      <c r="AT335" t="s">
        <v>56</v>
      </c>
      <c r="AU335">
        <v>389</v>
      </c>
      <c r="AV335">
        <v>4</v>
      </c>
      <c r="AW335" t="s">
        <v>56</v>
      </c>
      <c r="AX335">
        <v>8.11</v>
      </c>
      <c r="AY335">
        <v>0</v>
      </c>
      <c r="AZ335" t="s">
        <v>56</v>
      </c>
      <c r="BB335">
        <f>LOG(AU335)</f>
        <v>2.5899496013257077</v>
      </c>
      <c r="BC335">
        <v>15.1</v>
      </c>
      <c r="BD335">
        <v>0</v>
      </c>
      <c r="BE335" t="s">
        <v>56</v>
      </c>
      <c r="BF335">
        <v>19.899999999999999</v>
      </c>
      <c r="BG335">
        <v>0</v>
      </c>
      <c r="BH335" t="s">
        <v>56</v>
      </c>
      <c r="BI335">
        <v>1</v>
      </c>
      <c r="BJ335">
        <v>4.8</v>
      </c>
      <c r="BK335" t="s">
        <v>289</v>
      </c>
      <c r="BL335" t="s">
        <v>290</v>
      </c>
      <c r="BM335" t="s">
        <v>75</v>
      </c>
      <c r="BN335" t="s">
        <v>60</v>
      </c>
      <c r="BO335" t="s">
        <v>291</v>
      </c>
      <c r="BP335" t="s">
        <v>77</v>
      </c>
      <c r="BR335" t="s">
        <v>84</v>
      </c>
      <c r="BT335">
        <v>146.51</v>
      </c>
      <c r="BU335">
        <v>146.512</v>
      </c>
      <c r="BV335">
        <v>13.95</v>
      </c>
      <c r="BW335">
        <f>BV335*SQRT(AK335)</f>
        <v>48.324217531171669</v>
      </c>
      <c r="BX335">
        <v>185.47</v>
      </c>
      <c r="BY335">
        <v>185.465</v>
      </c>
      <c r="BZ335">
        <v>11.63</v>
      </c>
      <c r="CA335">
        <f>BZ335*SQRT(AL335)</f>
        <v>40.28750178405209</v>
      </c>
      <c r="CB335">
        <v>5</v>
      </c>
      <c r="CC335">
        <v>6</v>
      </c>
      <c r="CD335">
        <v>0.23599999999999999</v>
      </c>
      <c r="CE335">
        <v>1.2999999999999999E-2</v>
      </c>
    </row>
    <row r="336" spans="4:83" hidden="1" x14ac:dyDescent="0.2">
      <c r="D336">
        <v>20</v>
      </c>
      <c r="G336" t="s">
        <v>43</v>
      </c>
      <c r="H336" t="s">
        <v>286</v>
      </c>
      <c r="J336">
        <v>2013</v>
      </c>
      <c r="M336" t="s">
        <v>257</v>
      </c>
      <c r="T336" t="s">
        <v>46</v>
      </c>
      <c r="U336" t="s">
        <v>287</v>
      </c>
      <c r="V336" t="s">
        <v>288</v>
      </c>
      <c r="Z336" t="s">
        <v>49</v>
      </c>
      <c r="AA336" t="s">
        <v>49</v>
      </c>
      <c r="AB336" t="s">
        <v>50</v>
      </c>
      <c r="AC336" t="s">
        <v>51</v>
      </c>
      <c r="AD336" t="s">
        <v>52</v>
      </c>
      <c r="AE336" t="s">
        <v>53</v>
      </c>
      <c r="AF336" t="s">
        <v>52</v>
      </c>
      <c r="AG336" t="s">
        <v>52</v>
      </c>
      <c r="AH336" t="s">
        <v>64</v>
      </c>
      <c r="AK336">
        <v>12</v>
      </c>
      <c r="AL336">
        <v>12</v>
      </c>
      <c r="AN336">
        <v>388</v>
      </c>
      <c r="AO336">
        <v>5</v>
      </c>
      <c r="AP336" t="s">
        <v>56</v>
      </c>
      <c r="AQ336" t="s">
        <v>56</v>
      </c>
      <c r="AR336">
        <v>8.1199999999999992</v>
      </c>
      <c r="AS336">
        <v>0</v>
      </c>
      <c r="AT336" t="s">
        <v>56</v>
      </c>
      <c r="AU336">
        <v>651</v>
      </c>
      <c r="AV336">
        <v>3</v>
      </c>
      <c r="AW336" t="s">
        <v>56</v>
      </c>
      <c r="AX336">
        <v>7.93</v>
      </c>
      <c r="AY336">
        <v>0</v>
      </c>
      <c r="AZ336" t="s">
        <v>56</v>
      </c>
      <c r="BB336">
        <f>LOG(AU336)</f>
        <v>2.8135809885681922</v>
      </c>
      <c r="BC336">
        <v>15.1</v>
      </c>
      <c r="BD336">
        <v>0</v>
      </c>
      <c r="BE336" t="s">
        <v>56</v>
      </c>
      <c r="BF336">
        <v>19.899999999999999</v>
      </c>
      <c r="BG336">
        <v>0</v>
      </c>
      <c r="BH336" t="s">
        <v>56</v>
      </c>
      <c r="BI336">
        <v>263</v>
      </c>
      <c r="BJ336">
        <v>4.8</v>
      </c>
      <c r="BK336" t="s">
        <v>289</v>
      </c>
      <c r="BL336" t="s">
        <v>290</v>
      </c>
      <c r="BM336" t="s">
        <v>75</v>
      </c>
      <c r="BN336" t="s">
        <v>60</v>
      </c>
      <c r="BO336" t="s">
        <v>291</v>
      </c>
      <c r="BP336" t="s">
        <v>77</v>
      </c>
      <c r="BR336" t="s">
        <v>84</v>
      </c>
      <c r="BT336">
        <v>146.51</v>
      </c>
      <c r="BU336">
        <v>146.512</v>
      </c>
      <c r="BV336">
        <v>13.95</v>
      </c>
      <c r="BW336">
        <f>BV336*SQRT(AK336)</f>
        <v>48.324217531171669</v>
      </c>
      <c r="BX336">
        <v>193.61</v>
      </c>
      <c r="BY336">
        <v>193.60499999999999</v>
      </c>
      <c r="BZ336">
        <v>22.67</v>
      </c>
      <c r="CA336">
        <f>BZ336*SQRT(AL336)</f>
        <v>78.531183615172893</v>
      </c>
      <c r="CB336">
        <v>5</v>
      </c>
      <c r="CC336">
        <v>6</v>
      </c>
      <c r="CD336">
        <v>0.27900000000000003</v>
      </c>
      <c r="CE336">
        <v>2.2800000000000001E-2</v>
      </c>
    </row>
    <row r="337" spans="1:84" hidden="1" x14ac:dyDescent="0.2">
      <c r="A337" s="8"/>
      <c r="B337" t="str">
        <f>ROW()-1&amp;"_AltersInvert"</f>
        <v>336_AltersInvert</v>
      </c>
      <c r="C337" t="str">
        <f>D337&amp;"_"&amp;
SUBSTITUTE(TRIM(V337)," ","_")&amp;"_"&amp;
TRIM(AC337)&amp;"_"&amp;
"CO2"&amp;TEXT(AN337,"0.00")&amp;"_"&amp;
"pH"&amp;TEXT(AR337,"0.00")&amp;"_"&amp;
"T"&amp;TEXT(BC337,"0.##")</f>
        <v>82_Doryteuthis_pealeii_EMBRYO_CO2387.00_pH8.03_T19.5</v>
      </c>
      <c r="D337" s="8">
        <v>82</v>
      </c>
      <c r="E337" s="8"/>
      <c r="F337" s="8"/>
      <c r="G337" s="8" t="s">
        <v>43</v>
      </c>
      <c r="H337" s="8" t="s">
        <v>691</v>
      </c>
      <c r="I337" s="8" t="s">
        <v>1130</v>
      </c>
      <c r="J337" s="8">
        <v>2020</v>
      </c>
      <c r="K337" s="8"/>
      <c r="L337" s="8"/>
      <c r="M337" s="8" t="s">
        <v>692</v>
      </c>
      <c r="N337" s="8"/>
      <c r="O337" s="8"/>
      <c r="P337" t="s">
        <v>1135</v>
      </c>
      <c r="Q337" s="8"/>
      <c r="R337" s="8" t="s">
        <v>1127</v>
      </c>
      <c r="S337" t="s">
        <v>1128</v>
      </c>
      <c r="T337" s="8" t="s">
        <v>68</v>
      </c>
      <c r="U337" s="8" t="s">
        <v>693</v>
      </c>
      <c r="V337" s="8" t="s">
        <v>694</v>
      </c>
      <c r="W337" s="8" t="str">
        <f>IF(ISNUMBER(MATCH(#REF!,{"Doryteuthis pealeii","Loligo vulgaris","Leptuca thayeri","Stylocheilus striatus","Ophryotrocha labronica"},0)),"N","Y")</f>
        <v>Y</v>
      </c>
      <c r="X337" s="8"/>
      <c r="Y337" s="8"/>
      <c r="Z337" s="8" t="s">
        <v>107</v>
      </c>
      <c r="AA337" s="8" t="s">
        <v>107</v>
      </c>
      <c r="AB337" s="8" t="s">
        <v>71</v>
      </c>
      <c r="AC337" s="8" t="s">
        <v>195</v>
      </c>
      <c r="AD337" s="8" t="s">
        <v>52</v>
      </c>
      <c r="AE337" s="8" t="s">
        <v>53</v>
      </c>
      <c r="AF337" s="8" t="s">
        <v>52</v>
      </c>
      <c r="AG337" s="8" t="s">
        <v>54</v>
      </c>
      <c r="AH337" s="8" t="s">
        <v>55</v>
      </c>
      <c r="AI337" s="8"/>
      <c r="AJ337" s="8"/>
      <c r="AK337" s="8">
        <v>3</v>
      </c>
      <c r="AL337" s="8">
        <v>3</v>
      </c>
      <c r="AM337" s="8"/>
      <c r="AN337" s="8">
        <v>387</v>
      </c>
      <c r="AO337" s="8">
        <v>28</v>
      </c>
      <c r="AP337" s="8" t="s">
        <v>56</v>
      </c>
      <c r="AQ337" s="8" t="s">
        <v>109</v>
      </c>
      <c r="AR337" s="8">
        <v>8.0299999999999994</v>
      </c>
      <c r="AS337" s="8">
        <v>0.03</v>
      </c>
      <c r="AT337" s="8" t="s">
        <v>56</v>
      </c>
      <c r="AU337" s="8">
        <v>2687</v>
      </c>
      <c r="AV337">
        <v>89</v>
      </c>
      <c r="AW337" t="s">
        <v>56</v>
      </c>
      <c r="AX337">
        <v>7.26</v>
      </c>
      <c r="AY337">
        <v>0.01</v>
      </c>
      <c r="AZ337" t="s">
        <v>56</v>
      </c>
      <c r="BA337" s="8"/>
      <c r="BB337" s="8">
        <f>LOG(AU337)</f>
        <v>3.4292676664331685</v>
      </c>
      <c r="BC337" s="8">
        <v>19.5</v>
      </c>
      <c r="BD337" s="8" t="s">
        <v>56</v>
      </c>
      <c r="BE337" s="8" t="s">
        <v>56</v>
      </c>
      <c r="BF337" s="8">
        <v>19.5</v>
      </c>
      <c r="BG337" s="8" t="s">
        <v>56</v>
      </c>
      <c r="BH337" s="8" t="s">
        <v>56</v>
      </c>
      <c r="BI337" s="8">
        <v>2300</v>
      </c>
      <c r="BJ337" s="8">
        <v>0</v>
      </c>
      <c r="BK337" s="9">
        <v>45914</v>
      </c>
      <c r="BL337" s="8" t="s">
        <v>695</v>
      </c>
      <c r="BM337" s="8" t="s">
        <v>249</v>
      </c>
      <c r="BN337" s="8" t="s">
        <v>60</v>
      </c>
      <c r="BO337" s="8" t="s">
        <v>250</v>
      </c>
      <c r="BP337" s="8" t="s">
        <v>9</v>
      </c>
      <c r="BQ337" s="8" t="s">
        <v>190</v>
      </c>
      <c r="BR337" s="8" t="s">
        <v>63</v>
      </c>
      <c r="BS337" s="8"/>
      <c r="BT337" s="8">
        <v>15.8</v>
      </c>
      <c r="BU337" s="8">
        <v>15.8</v>
      </c>
      <c r="BV337" s="8">
        <v>0.1</v>
      </c>
      <c r="BW337" s="8">
        <f>BV337*SQRT(AK337)</f>
        <v>0.17320508075688773</v>
      </c>
      <c r="BX337" s="8">
        <v>17.7</v>
      </c>
      <c r="BY337" s="8">
        <v>17.7</v>
      </c>
      <c r="BZ337" s="8">
        <v>0.5</v>
      </c>
      <c r="CA337" s="8">
        <f>BZ337*SQRT(AL337)</f>
        <v>0.8660254037844386</v>
      </c>
      <c r="CB337" s="8">
        <v>17</v>
      </c>
      <c r="CC337" s="8">
        <v>3</v>
      </c>
      <c r="CD337" s="8">
        <v>0.114</v>
      </c>
      <c r="CE337" s="8">
        <v>8.0000000000000004E-4</v>
      </c>
      <c r="CF337" s="8" t="s">
        <v>1134</v>
      </c>
    </row>
    <row r="338" spans="1:84" hidden="1" x14ac:dyDescent="0.2">
      <c r="A338" s="8"/>
      <c r="B338" t="str">
        <f>ROW()-1&amp;"_AltersInvert"</f>
        <v>337_AltersInvert</v>
      </c>
      <c r="C338" t="str">
        <f>D338&amp;"_"&amp;
SUBSTITUTE(TRIM(V338)," ","_")&amp;"_"&amp;
TRIM(AC338)&amp;"_"&amp;
"CO2"&amp;TEXT(AN338,"0.00")&amp;"_"&amp;
"pH"&amp;TEXT(AR338,"0.00")&amp;"_"&amp;
"T"&amp;TEXT(BC338,"0.##")</f>
        <v>82_Doryteuthis_pealeii_EMBRYO_CO2387.00_pH8.03_T19.5</v>
      </c>
      <c r="D338" s="8">
        <v>82</v>
      </c>
      <c r="E338" s="8"/>
      <c r="F338" s="8"/>
      <c r="G338" s="8" t="s">
        <v>43</v>
      </c>
      <c r="H338" s="8" t="s">
        <v>691</v>
      </c>
      <c r="I338" s="8" t="s">
        <v>1130</v>
      </c>
      <c r="J338" s="8">
        <v>2020</v>
      </c>
      <c r="K338" s="8"/>
      <c r="L338" s="8"/>
      <c r="M338" s="8" t="s">
        <v>692</v>
      </c>
      <c r="N338" s="8"/>
      <c r="O338" s="8"/>
      <c r="P338" t="s">
        <v>1135</v>
      </c>
      <c r="Q338" s="8"/>
      <c r="R338" s="8" t="s">
        <v>1127</v>
      </c>
      <c r="S338" t="s">
        <v>1128</v>
      </c>
      <c r="T338" s="8" t="s">
        <v>68</v>
      </c>
      <c r="U338" s="8" t="s">
        <v>693</v>
      </c>
      <c r="V338" s="8" t="s">
        <v>694</v>
      </c>
      <c r="W338" s="8" t="str">
        <f>IF(ISNUMBER(MATCH(#REF!,{"Doryteuthis pealeii","Loligo vulgaris","Leptuca thayeri","Stylocheilus striatus","Ophryotrocha labronica"},0)),"N","Y")</f>
        <v>Y</v>
      </c>
      <c r="X338" s="8"/>
      <c r="Y338" s="8"/>
      <c r="Z338" s="8" t="s">
        <v>107</v>
      </c>
      <c r="AA338" s="8" t="s">
        <v>107</v>
      </c>
      <c r="AB338" s="8" t="s">
        <v>71</v>
      </c>
      <c r="AC338" s="8" t="s">
        <v>195</v>
      </c>
      <c r="AD338" s="8" t="s">
        <v>52</v>
      </c>
      <c r="AE338" s="8" t="s">
        <v>53</v>
      </c>
      <c r="AF338" s="8" t="s">
        <v>54</v>
      </c>
      <c r="AG338" s="8" t="s">
        <v>52</v>
      </c>
      <c r="AH338" s="8" t="s">
        <v>65</v>
      </c>
      <c r="AI338" s="8"/>
      <c r="AJ338" s="8"/>
      <c r="AK338" s="8">
        <v>3</v>
      </c>
      <c r="AL338" s="8">
        <v>3</v>
      </c>
      <c r="AM338" s="8"/>
      <c r="AN338" s="8">
        <v>387</v>
      </c>
      <c r="AO338" s="8">
        <v>28</v>
      </c>
      <c r="AP338" s="8" t="s">
        <v>56</v>
      </c>
      <c r="AQ338" s="8" t="s">
        <v>109</v>
      </c>
      <c r="AR338" s="8">
        <v>8.0299999999999994</v>
      </c>
      <c r="AS338" s="8">
        <v>0.03</v>
      </c>
      <c r="AT338" s="8" t="s">
        <v>56</v>
      </c>
      <c r="AU338" s="8">
        <v>452</v>
      </c>
      <c r="AV338">
        <v>42</v>
      </c>
      <c r="AW338" t="s">
        <v>56</v>
      </c>
      <c r="AX338">
        <v>7.97</v>
      </c>
      <c r="AY338">
        <v>0.03</v>
      </c>
      <c r="AZ338" t="s">
        <v>56</v>
      </c>
      <c r="BA338" s="8"/>
      <c r="BB338" s="8">
        <f>LOG(AU338)</f>
        <v>2.655138434811382</v>
      </c>
      <c r="BC338" s="8">
        <v>19.5</v>
      </c>
      <c r="BD338" s="8" t="s">
        <v>56</v>
      </c>
      <c r="BE338" s="8" t="s">
        <v>56</v>
      </c>
      <c r="BF338" s="8">
        <v>27.5</v>
      </c>
      <c r="BG338" s="8" t="s">
        <v>56</v>
      </c>
      <c r="BH338" s="8" t="s">
        <v>56</v>
      </c>
      <c r="BI338" s="8">
        <v>65</v>
      </c>
      <c r="BJ338" s="8">
        <v>8</v>
      </c>
      <c r="BK338" s="9">
        <v>45914</v>
      </c>
      <c r="BL338" s="8" t="s">
        <v>695</v>
      </c>
      <c r="BM338" s="8" t="s">
        <v>249</v>
      </c>
      <c r="BN338" s="8" t="s">
        <v>60</v>
      </c>
      <c r="BO338" s="8" t="s">
        <v>250</v>
      </c>
      <c r="BP338" s="8" t="s">
        <v>9</v>
      </c>
      <c r="BQ338" s="8" t="s">
        <v>190</v>
      </c>
      <c r="BR338" s="8" t="s">
        <v>63</v>
      </c>
      <c r="BS338" s="8"/>
      <c r="BT338" s="8">
        <v>15.8</v>
      </c>
      <c r="BU338" s="8">
        <v>15.8</v>
      </c>
      <c r="BV338" s="8">
        <v>0.1</v>
      </c>
      <c r="BW338" s="8">
        <f>BV338*SQRT(AK338)</f>
        <v>0.17320508075688773</v>
      </c>
      <c r="BX338" s="8">
        <v>9.4</v>
      </c>
      <c r="BY338" s="8">
        <v>9.4</v>
      </c>
      <c r="BZ338" s="8">
        <v>0.2</v>
      </c>
      <c r="CA338" s="8">
        <f>BZ338*SQRT(AL338)</f>
        <v>0.34641016151377546</v>
      </c>
      <c r="CB338" s="8">
        <v>9</v>
      </c>
      <c r="CC338" s="8">
        <v>3</v>
      </c>
      <c r="CD338" s="8">
        <v>-0.51900000000000002</v>
      </c>
      <c r="CE338" s="8">
        <v>5.0000000000000001E-4</v>
      </c>
      <c r="CF338" s="8" t="s">
        <v>1134</v>
      </c>
    </row>
    <row r="339" spans="1:84" hidden="1" x14ac:dyDescent="0.2">
      <c r="A339" s="8"/>
      <c r="B339" t="str">
        <f>ROW()-1&amp;"_AltersInvert"</f>
        <v>338_AltersInvert</v>
      </c>
      <c r="C339" t="str">
        <f>D339&amp;"_"&amp;
SUBSTITUTE(TRIM(V339)," ","_")&amp;"_"&amp;
TRIM(AC339)&amp;"_"&amp;
"CO2"&amp;TEXT(AN339,"0.00")&amp;"_"&amp;
"pH"&amp;TEXT(AR339,"0.00")&amp;"_"&amp;
"T"&amp;TEXT(BC339,"0.##")</f>
        <v>82_Doryteuthis_pealeii_EMBRYO_CO2387.00_pH8.03_T19.5</v>
      </c>
      <c r="D339" s="8">
        <v>82</v>
      </c>
      <c r="E339" s="8"/>
      <c r="F339" s="8"/>
      <c r="G339" s="8" t="s">
        <v>43</v>
      </c>
      <c r="H339" s="8" t="s">
        <v>691</v>
      </c>
      <c r="I339" s="8" t="s">
        <v>1130</v>
      </c>
      <c r="J339" s="8">
        <v>2020</v>
      </c>
      <c r="K339" s="8"/>
      <c r="L339" s="8"/>
      <c r="M339" s="8" t="s">
        <v>692</v>
      </c>
      <c r="N339" s="8"/>
      <c r="O339" s="8"/>
      <c r="P339" t="s">
        <v>1135</v>
      </c>
      <c r="Q339" s="8"/>
      <c r="R339" s="8" t="s">
        <v>1127</v>
      </c>
      <c r="S339" t="s">
        <v>1128</v>
      </c>
      <c r="T339" s="8" t="s">
        <v>68</v>
      </c>
      <c r="U339" s="8" t="s">
        <v>693</v>
      </c>
      <c r="V339" s="8" t="s">
        <v>694</v>
      </c>
      <c r="W339" s="8" t="str">
        <f>IF(ISNUMBER(MATCH(#REF!,{"Doryteuthis pealeii","Loligo vulgaris","Leptuca thayeri","Stylocheilus striatus","Ophryotrocha labronica"},0)),"N","Y")</f>
        <v>Y</v>
      </c>
      <c r="X339" s="8"/>
      <c r="Y339" s="8"/>
      <c r="Z339" s="8" t="s">
        <v>107</v>
      </c>
      <c r="AA339" s="8" t="s">
        <v>107</v>
      </c>
      <c r="AB339" s="8" t="s">
        <v>71</v>
      </c>
      <c r="AC339" s="8" t="s">
        <v>195</v>
      </c>
      <c r="AD339" s="8" t="s">
        <v>52</v>
      </c>
      <c r="AE339" s="8" t="s">
        <v>53</v>
      </c>
      <c r="AF339" s="8" t="s">
        <v>52</v>
      </c>
      <c r="AG339" s="8" t="s">
        <v>52</v>
      </c>
      <c r="AH339" s="8" t="s">
        <v>64</v>
      </c>
      <c r="AI339" s="8"/>
      <c r="AJ339" s="8"/>
      <c r="AK339" s="8">
        <v>3</v>
      </c>
      <c r="AL339" s="8">
        <v>3</v>
      </c>
      <c r="AM339" s="8"/>
      <c r="AN339" s="8">
        <v>387</v>
      </c>
      <c r="AO339" s="8">
        <v>28</v>
      </c>
      <c r="AP339" s="8" t="s">
        <v>56</v>
      </c>
      <c r="AQ339" s="8" t="s">
        <v>109</v>
      </c>
      <c r="AR339" s="8">
        <v>8.0299999999999994</v>
      </c>
      <c r="AS339" s="8">
        <v>0.03</v>
      </c>
      <c r="AT339" s="8" t="s">
        <v>56</v>
      </c>
      <c r="AU339" s="8">
        <v>1907</v>
      </c>
      <c r="AV339">
        <v>108</v>
      </c>
      <c r="AW339" t="s">
        <v>56</v>
      </c>
      <c r="AX339">
        <v>7.42</v>
      </c>
      <c r="AY339">
        <v>0.02</v>
      </c>
      <c r="AZ339" t="s">
        <v>56</v>
      </c>
      <c r="BA339" s="8"/>
      <c r="BB339" s="8">
        <f>LOG(AU339)</f>
        <v>3.2803506930460058</v>
      </c>
      <c r="BC339" s="8">
        <v>19.5</v>
      </c>
      <c r="BD339" s="8" t="s">
        <v>56</v>
      </c>
      <c r="BE339" s="8" t="s">
        <v>56</v>
      </c>
      <c r="BF339" s="8">
        <v>27.5</v>
      </c>
      <c r="BG339" s="8" t="s">
        <v>56</v>
      </c>
      <c r="BH339" s="8" t="s">
        <v>56</v>
      </c>
      <c r="BI339" s="8">
        <v>1520</v>
      </c>
      <c r="BJ339" s="8">
        <v>8</v>
      </c>
      <c r="BK339" s="9">
        <v>45914</v>
      </c>
      <c r="BL339" s="8" t="s">
        <v>695</v>
      </c>
      <c r="BM339" s="8" t="s">
        <v>249</v>
      </c>
      <c r="BN339" s="8" t="s">
        <v>60</v>
      </c>
      <c r="BO339" s="8" t="s">
        <v>250</v>
      </c>
      <c r="BP339" s="8" t="s">
        <v>9</v>
      </c>
      <c r="BQ339" s="8" t="s">
        <v>190</v>
      </c>
      <c r="BR339" s="8" t="s">
        <v>63</v>
      </c>
      <c r="BS339" s="8"/>
      <c r="BT339" s="8">
        <v>15.8</v>
      </c>
      <c r="BU339" s="8">
        <v>15.8</v>
      </c>
      <c r="BV339" s="8">
        <v>0.1</v>
      </c>
      <c r="BW339" s="8">
        <f>BV339*SQRT(AK339)</f>
        <v>0.17320508075688773</v>
      </c>
      <c r="BX339" s="8">
        <v>9.5</v>
      </c>
      <c r="BY339" s="8">
        <v>9.5</v>
      </c>
      <c r="BZ339" s="8">
        <v>0.1</v>
      </c>
      <c r="CA339" s="8">
        <f>BZ339*SQRT(AL339)</f>
        <v>0.17320508075688773</v>
      </c>
      <c r="CB339" s="8">
        <v>10</v>
      </c>
      <c r="CC339" s="8">
        <v>3</v>
      </c>
      <c r="CD339" s="8">
        <v>-0.50900000000000001</v>
      </c>
      <c r="CE339" s="8">
        <v>2.0000000000000001E-4</v>
      </c>
      <c r="CF339" s="8" t="s">
        <v>1134</v>
      </c>
    </row>
    <row r="340" spans="1:84" hidden="1" x14ac:dyDescent="0.2">
      <c r="A340" s="8"/>
      <c r="B340" t="str">
        <f>ROW()-1&amp;"_AltersInvert"</f>
        <v>339_AltersInvert</v>
      </c>
      <c r="C340" t="str">
        <f>D340&amp;"_"&amp;
SUBSTITUTE(TRIM(V340)," ","_")&amp;"_"&amp;
TRIM(AC340)&amp;"_"&amp;
"CO2"&amp;TEXT(AN340,"0.00")&amp;"_"&amp;
"pH"&amp;TEXT(AR340,"0.00")&amp;"_"&amp;
"T"&amp;TEXT(BC340,"0.##")</f>
        <v>82_Doryteuthis_pealeii_EMBRYO_CO2387.00_pH8.03_T19.5</v>
      </c>
      <c r="D340" s="8">
        <v>82</v>
      </c>
      <c r="E340" s="8"/>
      <c r="F340" s="8"/>
      <c r="G340" s="8" t="s">
        <v>43</v>
      </c>
      <c r="H340" s="8" t="s">
        <v>691</v>
      </c>
      <c r="I340" s="8" t="s">
        <v>1130</v>
      </c>
      <c r="J340" s="8">
        <v>2020</v>
      </c>
      <c r="K340" s="8"/>
      <c r="L340" s="8"/>
      <c r="M340" s="8" t="s">
        <v>692</v>
      </c>
      <c r="N340" s="8"/>
      <c r="O340" s="8"/>
      <c r="P340" t="s">
        <v>1135</v>
      </c>
      <c r="Q340" s="8"/>
      <c r="R340" s="8" t="s">
        <v>1127</v>
      </c>
      <c r="S340" t="s">
        <v>1128</v>
      </c>
      <c r="T340" s="8" t="s">
        <v>68</v>
      </c>
      <c r="U340" s="8" t="s">
        <v>693</v>
      </c>
      <c r="V340" s="8" t="s">
        <v>694</v>
      </c>
      <c r="W340" s="8" t="str">
        <f>IF(ISNUMBER(MATCH(#REF!,{"Doryteuthis pealeii","Loligo vulgaris","Leptuca thayeri","Stylocheilus striatus","Ophryotrocha labronica"},0)),"N","Y")</f>
        <v>Y</v>
      </c>
      <c r="X340" s="8"/>
      <c r="Y340" s="8"/>
      <c r="Z340" s="8" t="s">
        <v>107</v>
      </c>
      <c r="AA340" s="8" t="s">
        <v>107</v>
      </c>
      <c r="AB340" s="8" t="s">
        <v>71</v>
      </c>
      <c r="AC340" s="8" t="s">
        <v>195</v>
      </c>
      <c r="AD340" s="8" t="s">
        <v>52</v>
      </c>
      <c r="AE340" s="8" t="s">
        <v>53</v>
      </c>
      <c r="AF340" s="8" t="s">
        <v>52</v>
      </c>
      <c r="AG340" s="8" t="s">
        <v>52</v>
      </c>
      <c r="AH340" s="8" t="s">
        <v>64</v>
      </c>
      <c r="AI340" s="8"/>
      <c r="AJ340" s="8"/>
      <c r="AK340" s="8">
        <v>3</v>
      </c>
      <c r="AL340" s="8">
        <v>3</v>
      </c>
      <c r="AM340" s="8"/>
      <c r="AN340" s="8">
        <v>387</v>
      </c>
      <c r="AO340" s="8">
        <v>28</v>
      </c>
      <c r="AP340" s="8" t="s">
        <v>56</v>
      </c>
      <c r="AQ340" s="8" t="s">
        <v>109</v>
      </c>
      <c r="AR340" s="8">
        <v>8.0299999999999994</v>
      </c>
      <c r="AS340" s="8">
        <v>0.03</v>
      </c>
      <c r="AT340" s="8" t="s">
        <v>56</v>
      </c>
      <c r="AU340" s="8">
        <v>2691</v>
      </c>
      <c r="AV340">
        <v>87</v>
      </c>
      <c r="AW340" t="s">
        <v>56</v>
      </c>
      <c r="AX340">
        <v>7.28</v>
      </c>
      <c r="AY340">
        <v>0.02</v>
      </c>
      <c r="AZ340" t="s">
        <v>56</v>
      </c>
      <c r="BA340" s="8"/>
      <c r="BB340" s="8">
        <f>LOG(AU340)</f>
        <v>3.4299136977637543</v>
      </c>
      <c r="BC340" s="8">
        <v>19.5</v>
      </c>
      <c r="BD340" s="8" t="s">
        <v>56</v>
      </c>
      <c r="BE340" s="8" t="s">
        <v>56</v>
      </c>
      <c r="BF340" s="8">
        <v>27.5</v>
      </c>
      <c r="BG340" s="8" t="s">
        <v>56</v>
      </c>
      <c r="BH340" s="8" t="s">
        <v>56</v>
      </c>
      <c r="BI340" s="8">
        <v>2304</v>
      </c>
      <c r="BJ340" s="8">
        <v>8</v>
      </c>
      <c r="BK340" s="9">
        <v>45914</v>
      </c>
      <c r="BL340" s="8" t="s">
        <v>695</v>
      </c>
      <c r="BM340" s="8" t="s">
        <v>249</v>
      </c>
      <c r="BN340" s="8" t="s">
        <v>60</v>
      </c>
      <c r="BO340" s="8" t="s">
        <v>250</v>
      </c>
      <c r="BP340" s="8" t="s">
        <v>9</v>
      </c>
      <c r="BQ340" s="8" t="s">
        <v>190</v>
      </c>
      <c r="BR340" s="8" t="s">
        <v>63</v>
      </c>
      <c r="BS340" s="8"/>
      <c r="BT340" s="8">
        <v>15.8</v>
      </c>
      <c r="BU340" s="8">
        <v>15.8</v>
      </c>
      <c r="BV340" s="8">
        <v>0.1</v>
      </c>
      <c r="BW340" s="8">
        <f>BV340*SQRT(AK340)</f>
        <v>0.17320508075688773</v>
      </c>
      <c r="BX340" s="8">
        <v>9.6999999999999993</v>
      </c>
      <c r="BY340" s="8">
        <v>9.6999999999999993</v>
      </c>
      <c r="BZ340" s="8">
        <v>0.4</v>
      </c>
      <c r="CA340" s="8">
        <f>BZ340*SQRT(AL340)</f>
        <v>0.69282032302755092</v>
      </c>
      <c r="CB340" s="8">
        <v>10</v>
      </c>
      <c r="CC340" s="8">
        <v>3</v>
      </c>
      <c r="CD340" s="8">
        <v>-0.48799999999999999</v>
      </c>
      <c r="CE340" s="8">
        <v>1.6999999999999999E-3</v>
      </c>
      <c r="CF340" s="8" t="s">
        <v>1134</v>
      </c>
    </row>
    <row r="341" spans="1:84" hidden="1" x14ac:dyDescent="0.2">
      <c r="B341" t="str">
        <f>ROW()-1&amp;"_AltersInvert"</f>
        <v>340_AltersInvert</v>
      </c>
      <c r="C341" t="str">
        <f>D341&amp;"_"&amp;
SUBSTITUTE(TRIM(V341)," ","_")&amp;"_"&amp;
TRIM(AC341)&amp;"_"&amp;
"CO2"&amp;TEXT(AN341,"0.00")&amp;"_"&amp;
"pH"&amp;TEXT(AR341,"0.00")&amp;"_"&amp;
"T"&amp;TEXT(BC341,"0.##")</f>
        <v>52_Pocillopora_damicornis_LARVA_CO2459.00_pH8.00_T28.</v>
      </c>
      <c r="D341">
        <v>52</v>
      </c>
      <c r="G341" t="s">
        <v>43</v>
      </c>
      <c r="H341" t="s">
        <v>536</v>
      </c>
      <c r="J341">
        <v>2017</v>
      </c>
      <c r="M341" t="s">
        <v>174</v>
      </c>
      <c r="P341" t="s">
        <v>1135</v>
      </c>
      <c r="R341" t="s">
        <v>1127</v>
      </c>
      <c r="S341" t="s">
        <v>1128</v>
      </c>
      <c r="T341" t="s">
        <v>103</v>
      </c>
      <c r="U341" t="s">
        <v>201</v>
      </c>
      <c r="V341" t="s">
        <v>214</v>
      </c>
      <c r="Z341" t="s">
        <v>106</v>
      </c>
      <c r="AA341" t="s">
        <v>107</v>
      </c>
      <c r="AB341" t="s">
        <v>71</v>
      </c>
      <c r="AC341" t="s">
        <v>72</v>
      </c>
      <c r="AD341" t="s">
        <v>52</v>
      </c>
      <c r="AE341" t="s">
        <v>53</v>
      </c>
      <c r="AF341" t="s">
        <v>52</v>
      </c>
      <c r="AG341" t="s">
        <v>54</v>
      </c>
      <c r="AH341" t="s">
        <v>55</v>
      </c>
      <c r="AK341">
        <v>20</v>
      </c>
      <c r="AL341">
        <v>20</v>
      </c>
      <c r="AM341" t="s">
        <v>364</v>
      </c>
      <c r="AN341">
        <v>459</v>
      </c>
      <c r="AO341">
        <v>4</v>
      </c>
      <c r="AP341" t="s">
        <v>56</v>
      </c>
      <c r="AQ341" t="s">
        <v>109</v>
      </c>
      <c r="AR341">
        <v>8</v>
      </c>
      <c r="AS341">
        <v>0</v>
      </c>
      <c r="AT341" t="s">
        <v>56</v>
      </c>
      <c r="AU341">
        <v>1002</v>
      </c>
      <c r="AV341">
        <v>22</v>
      </c>
      <c r="AW341" t="s">
        <v>56</v>
      </c>
      <c r="AX341">
        <v>7.72</v>
      </c>
      <c r="AY341">
        <v>0.01</v>
      </c>
      <c r="AZ341" t="s">
        <v>56</v>
      </c>
      <c r="BB341">
        <f>LOG(AU341)</f>
        <v>3.0008677215312267</v>
      </c>
      <c r="BC341">
        <v>28</v>
      </c>
      <c r="BD341">
        <v>0.1</v>
      </c>
      <c r="BE341" t="s">
        <v>56</v>
      </c>
      <c r="BF341">
        <v>28.1</v>
      </c>
      <c r="BG341">
        <v>0.2</v>
      </c>
      <c r="BH341" t="s">
        <v>56</v>
      </c>
      <c r="BI341">
        <v>543</v>
      </c>
      <c r="BJ341">
        <v>0.1</v>
      </c>
      <c r="BK341" t="s">
        <v>537</v>
      </c>
      <c r="BL341" t="s">
        <v>538</v>
      </c>
      <c r="BM341" t="s">
        <v>90</v>
      </c>
      <c r="BN341" t="s">
        <v>81</v>
      </c>
      <c r="BO341" t="s">
        <v>180</v>
      </c>
      <c r="BP341" t="s">
        <v>92</v>
      </c>
      <c r="BQ341" t="s">
        <v>92</v>
      </c>
      <c r="BR341" t="s">
        <v>63</v>
      </c>
      <c r="BT341">
        <v>-0.05</v>
      </c>
      <c r="BU341">
        <v>-4.8140000000000002E-2</v>
      </c>
      <c r="BV341">
        <v>0.04</v>
      </c>
      <c r="BW341">
        <f>BV341*SQRT(AK341)</f>
        <v>0.17888543819998318</v>
      </c>
      <c r="BX341">
        <v>-7.0000000000000007E-2</v>
      </c>
      <c r="BY341">
        <v>-6.7833699999999997E-2</v>
      </c>
      <c r="BZ341">
        <v>0.04</v>
      </c>
      <c r="CA341">
        <f>BZ341*SQRT(AL341)</f>
        <v>0.17888543819998318</v>
      </c>
      <c r="CB341">
        <v>1</v>
      </c>
      <c r="CC341">
        <v>2</v>
      </c>
      <c r="CD341">
        <v>-0.34300000000000003</v>
      </c>
      <c r="CE341">
        <v>0.87939999999999996</v>
      </c>
    </row>
    <row r="342" spans="1:84" hidden="1" x14ac:dyDescent="0.2">
      <c r="D342">
        <v>22</v>
      </c>
      <c r="G342" t="s">
        <v>43</v>
      </c>
      <c r="H342" t="s">
        <v>298</v>
      </c>
      <c r="J342">
        <v>2013</v>
      </c>
      <c r="M342" t="s">
        <v>299</v>
      </c>
      <c r="T342" t="s">
        <v>131</v>
      </c>
      <c r="U342" t="s">
        <v>300</v>
      </c>
      <c r="V342" t="s">
        <v>301</v>
      </c>
      <c r="Z342" t="s">
        <v>49</v>
      </c>
      <c r="AA342" t="s">
        <v>49</v>
      </c>
      <c r="AB342" t="s">
        <v>50</v>
      </c>
      <c r="AC342" t="s">
        <v>51</v>
      </c>
      <c r="AD342" t="s">
        <v>52</v>
      </c>
      <c r="AE342" t="s">
        <v>134</v>
      </c>
      <c r="AF342" t="s">
        <v>52</v>
      </c>
      <c r="AG342" t="s">
        <v>52</v>
      </c>
      <c r="AH342" t="s">
        <v>64</v>
      </c>
      <c r="AK342">
        <v>60</v>
      </c>
      <c r="AL342">
        <v>60</v>
      </c>
      <c r="AN342">
        <v>480</v>
      </c>
      <c r="AO342">
        <v>56</v>
      </c>
      <c r="AP342" t="s">
        <v>56</v>
      </c>
      <c r="AQ342" t="s">
        <v>57</v>
      </c>
      <c r="AR342">
        <v>8.07</v>
      </c>
      <c r="AS342">
        <v>0.02</v>
      </c>
      <c r="AT342" t="s">
        <v>56</v>
      </c>
      <c r="AU342">
        <v>1074</v>
      </c>
      <c r="AV342">
        <v>24</v>
      </c>
      <c r="AW342" t="s">
        <v>56</v>
      </c>
      <c r="AX342">
        <v>7.79</v>
      </c>
      <c r="AY342">
        <v>0.01</v>
      </c>
      <c r="AZ342" t="s">
        <v>56</v>
      </c>
      <c r="BB342">
        <f>LOG(AU342)</f>
        <v>3.0310042813635367</v>
      </c>
      <c r="BC342">
        <v>16.2</v>
      </c>
      <c r="BD342">
        <v>0.1</v>
      </c>
      <c r="BE342" t="s">
        <v>56</v>
      </c>
      <c r="BF342">
        <v>19.100000000000001</v>
      </c>
      <c r="BG342">
        <v>0.1</v>
      </c>
      <c r="BH342" t="s">
        <v>56</v>
      </c>
      <c r="BI342">
        <v>595</v>
      </c>
      <c r="BJ342">
        <v>2.8</v>
      </c>
      <c r="BK342" t="s">
        <v>56</v>
      </c>
      <c r="BL342" t="s">
        <v>302</v>
      </c>
      <c r="BM342" t="s">
        <v>218</v>
      </c>
      <c r="BN342" t="s">
        <v>60</v>
      </c>
      <c r="BO342" t="s">
        <v>303</v>
      </c>
      <c r="BP342" t="s">
        <v>194</v>
      </c>
      <c r="BR342" t="s">
        <v>63</v>
      </c>
      <c r="BT342">
        <v>35.04</v>
      </c>
      <c r="BU342">
        <v>35.044248000000003</v>
      </c>
      <c r="BV342">
        <v>2.12</v>
      </c>
      <c r="BW342">
        <f>BV342*SQRT(AK342)</f>
        <v>16.421449387919449</v>
      </c>
      <c r="BX342">
        <v>33.72</v>
      </c>
      <c r="BY342">
        <v>33.716814200000002</v>
      </c>
      <c r="BZ342">
        <v>2.92</v>
      </c>
      <c r="CA342">
        <f>BZ342*SQRT(AL342)</f>
        <v>22.618222741851316</v>
      </c>
      <c r="CB342">
        <v>20</v>
      </c>
      <c r="CC342">
        <v>4</v>
      </c>
      <c r="CD342">
        <v>-3.9E-2</v>
      </c>
      <c r="CE342">
        <v>1.12E-2</v>
      </c>
    </row>
    <row r="343" spans="1:84" hidden="1" x14ac:dyDescent="0.2">
      <c r="D343">
        <v>22</v>
      </c>
      <c r="G343" t="s">
        <v>43</v>
      </c>
      <c r="H343" t="s">
        <v>298</v>
      </c>
      <c r="J343">
        <v>2013</v>
      </c>
      <c r="M343" t="s">
        <v>299</v>
      </c>
      <c r="T343" t="s">
        <v>131</v>
      </c>
      <c r="U343" t="s">
        <v>300</v>
      </c>
      <c r="V343" t="s">
        <v>301</v>
      </c>
      <c r="Z343" t="s">
        <v>49</v>
      </c>
      <c r="AA343" t="s">
        <v>49</v>
      </c>
      <c r="AB343" t="s">
        <v>50</v>
      </c>
      <c r="AC343" t="s">
        <v>51</v>
      </c>
      <c r="AD343" t="s">
        <v>52</v>
      </c>
      <c r="AE343" t="s">
        <v>134</v>
      </c>
      <c r="AF343" t="s">
        <v>54</v>
      </c>
      <c r="AG343" t="s">
        <v>52</v>
      </c>
      <c r="AH343" t="s">
        <v>65</v>
      </c>
      <c r="AK343">
        <v>60</v>
      </c>
      <c r="AL343">
        <v>60</v>
      </c>
      <c r="AN343">
        <v>480</v>
      </c>
      <c r="AO343">
        <v>56</v>
      </c>
      <c r="AP343" t="s">
        <v>56</v>
      </c>
      <c r="AQ343" t="s">
        <v>57</v>
      </c>
      <c r="AR343">
        <v>8.07</v>
      </c>
      <c r="AS343">
        <v>0.02</v>
      </c>
      <c r="AT343" t="s">
        <v>56</v>
      </c>
      <c r="AU343">
        <v>545</v>
      </c>
      <c r="AV343">
        <v>28</v>
      </c>
      <c r="AW343" t="s">
        <v>56</v>
      </c>
      <c r="AX343">
        <v>8.0500000000000007</v>
      </c>
      <c r="AY343">
        <v>0.12</v>
      </c>
      <c r="AZ343" t="s">
        <v>56</v>
      </c>
      <c r="BB343">
        <f>LOG(AU343)</f>
        <v>2.7363965022766426</v>
      </c>
      <c r="BC343">
        <v>16.2</v>
      </c>
      <c r="BD343">
        <v>0.1</v>
      </c>
      <c r="BE343" t="s">
        <v>56</v>
      </c>
      <c r="BF343">
        <v>18.899999999999999</v>
      </c>
      <c r="BG343">
        <v>0.1</v>
      </c>
      <c r="BH343" t="s">
        <v>56</v>
      </c>
      <c r="BI343">
        <v>65</v>
      </c>
      <c r="BJ343">
        <v>2.7</v>
      </c>
      <c r="BK343" t="s">
        <v>56</v>
      </c>
      <c r="BL343" t="s">
        <v>304</v>
      </c>
      <c r="BM343" t="s">
        <v>305</v>
      </c>
      <c r="BN343" t="s">
        <v>81</v>
      </c>
      <c r="BO343" t="s">
        <v>306</v>
      </c>
      <c r="BP343" t="s">
        <v>194</v>
      </c>
      <c r="BR343" t="s">
        <v>63</v>
      </c>
      <c r="BT343">
        <v>32.18</v>
      </c>
      <c r="BU343">
        <v>32.177778000000004</v>
      </c>
      <c r="BV343">
        <v>0.53</v>
      </c>
      <c r="BW343">
        <f>BV343*SQRT(AK343)</f>
        <v>4.1053623469798621</v>
      </c>
      <c r="BX343">
        <v>31.82</v>
      </c>
      <c r="BY343">
        <v>31.822222199999999</v>
      </c>
      <c r="BZ343">
        <v>0.53</v>
      </c>
      <c r="CA343">
        <f>BZ343*SQRT(AL343)</f>
        <v>4.1053623469798621</v>
      </c>
      <c r="CB343">
        <v>20</v>
      </c>
      <c r="CC343">
        <v>4</v>
      </c>
      <c r="CD343">
        <v>-1.0999999999999999E-2</v>
      </c>
      <c r="CE343">
        <v>5.9999999999999995E-4</v>
      </c>
    </row>
    <row r="344" spans="1:84" hidden="1" x14ac:dyDescent="0.2">
      <c r="D344">
        <v>22</v>
      </c>
      <c r="G344" t="s">
        <v>43</v>
      </c>
      <c r="H344" t="s">
        <v>298</v>
      </c>
      <c r="J344">
        <v>2013</v>
      </c>
      <c r="M344" t="s">
        <v>299</v>
      </c>
      <c r="T344" t="s">
        <v>131</v>
      </c>
      <c r="U344" t="s">
        <v>300</v>
      </c>
      <c r="V344" t="s">
        <v>301</v>
      </c>
      <c r="Z344" t="s">
        <v>49</v>
      </c>
      <c r="AA344" t="s">
        <v>49</v>
      </c>
      <c r="AB344" t="s">
        <v>50</v>
      </c>
      <c r="AC344" t="s">
        <v>51</v>
      </c>
      <c r="AD344" t="s">
        <v>52</v>
      </c>
      <c r="AE344" t="s">
        <v>134</v>
      </c>
      <c r="AF344" t="s">
        <v>52</v>
      </c>
      <c r="AG344" t="s">
        <v>52</v>
      </c>
      <c r="AH344" t="s">
        <v>64</v>
      </c>
      <c r="AK344">
        <v>60</v>
      </c>
      <c r="AL344">
        <v>60</v>
      </c>
      <c r="AN344">
        <v>480</v>
      </c>
      <c r="AO344">
        <v>56</v>
      </c>
      <c r="AP344" t="s">
        <v>56</v>
      </c>
      <c r="AQ344" t="s">
        <v>57</v>
      </c>
      <c r="AR344">
        <v>8.07</v>
      </c>
      <c r="AS344">
        <v>0.02</v>
      </c>
      <c r="AT344" t="s">
        <v>56</v>
      </c>
      <c r="AU344">
        <v>1074</v>
      </c>
      <c r="AV344">
        <v>24</v>
      </c>
      <c r="AW344" t="s">
        <v>56</v>
      </c>
      <c r="AX344">
        <v>7.79</v>
      </c>
      <c r="AY344">
        <v>0.01</v>
      </c>
      <c r="AZ344" t="s">
        <v>56</v>
      </c>
      <c r="BB344">
        <f>LOG(AU344)</f>
        <v>3.0310042813635367</v>
      </c>
      <c r="BC344">
        <v>16.2</v>
      </c>
      <c r="BD344">
        <v>0.1</v>
      </c>
      <c r="BE344" t="s">
        <v>56</v>
      </c>
      <c r="BF344">
        <v>19.100000000000001</v>
      </c>
      <c r="BG344">
        <v>0.1</v>
      </c>
      <c r="BH344" t="s">
        <v>56</v>
      </c>
      <c r="BI344">
        <v>595</v>
      </c>
      <c r="BJ344">
        <v>2.8</v>
      </c>
      <c r="BK344" t="s">
        <v>56</v>
      </c>
      <c r="BL344" t="s">
        <v>304</v>
      </c>
      <c r="BM344" t="s">
        <v>305</v>
      </c>
      <c r="BN344" t="s">
        <v>81</v>
      </c>
      <c r="BO344" t="s">
        <v>306</v>
      </c>
      <c r="BP344" t="s">
        <v>194</v>
      </c>
      <c r="BR344" t="s">
        <v>63</v>
      </c>
      <c r="BT344">
        <v>32.18</v>
      </c>
      <c r="BU344">
        <v>32.177778000000004</v>
      </c>
      <c r="BV344">
        <v>0.53</v>
      </c>
      <c r="BW344">
        <f>BV344*SQRT(AK344)</f>
        <v>4.1053623469798621</v>
      </c>
      <c r="BX344">
        <v>32.89</v>
      </c>
      <c r="BY344">
        <v>32.888888899999998</v>
      </c>
      <c r="BZ344">
        <v>0.36</v>
      </c>
      <c r="CA344">
        <f>BZ344*SQRT(AL344)</f>
        <v>2.78854800926934</v>
      </c>
      <c r="CB344">
        <v>20</v>
      </c>
      <c r="CC344">
        <v>4</v>
      </c>
      <c r="CD344">
        <v>2.1999999999999999E-2</v>
      </c>
      <c r="CE344">
        <v>4.0000000000000002E-4</v>
      </c>
    </row>
    <row r="345" spans="1:84" hidden="1" x14ac:dyDescent="0.2">
      <c r="D345">
        <v>22</v>
      </c>
      <c r="G345" t="s">
        <v>43</v>
      </c>
      <c r="H345" t="s">
        <v>298</v>
      </c>
      <c r="J345">
        <v>2013</v>
      </c>
      <c r="M345" t="s">
        <v>299</v>
      </c>
      <c r="T345" t="s">
        <v>131</v>
      </c>
      <c r="U345" t="s">
        <v>300</v>
      </c>
      <c r="V345" t="s">
        <v>301</v>
      </c>
      <c r="Z345" t="s">
        <v>49</v>
      </c>
      <c r="AA345" t="s">
        <v>49</v>
      </c>
      <c r="AB345" t="s">
        <v>50</v>
      </c>
      <c r="AC345" t="s">
        <v>51</v>
      </c>
      <c r="AD345" t="s">
        <v>52</v>
      </c>
      <c r="AE345" t="s">
        <v>134</v>
      </c>
      <c r="AF345" t="s">
        <v>52</v>
      </c>
      <c r="AG345" t="s">
        <v>54</v>
      </c>
      <c r="AH345" t="s">
        <v>55</v>
      </c>
      <c r="AK345">
        <v>60</v>
      </c>
      <c r="AL345">
        <v>60</v>
      </c>
      <c r="AN345">
        <v>480</v>
      </c>
      <c r="AO345">
        <v>56</v>
      </c>
      <c r="AP345" t="s">
        <v>56</v>
      </c>
      <c r="AQ345" t="s">
        <v>57</v>
      </c>
      <c r="AR345">
        <v>8.07</v>
      </c>
      <c r="AS345">
        <v>0.02</v>
      </c>
      <c r="AT345" t="s">
        <v>56</v>
      </c>
      <c r="AU345">
        <v>868</v>
      </c>
      <c r="AV345">
        <v>48</v>
      </c>
      <c r="AW345" t="s">
        <v>56</v>
      </c>
      <c r="AX345">
        <v>7.83</v>
      </c>
      <c r="AY345">
        <v>0.02</v>
      </c>
      <c r="AZ345" t="s">
        <v>56</v>
      </c>
      <c r="BB345">
        <f>LOG(AU345)</f>
        <v>2.9385197251764921</v>
      </c>
      <c r="BC345">
        <v>16.2</v>
      </c>
      <c r="BD345">
        <v>0.1</v>
      </c>
      <c r="BE345" t="s">
        <v>56</v>
      </c>
      <c r="BF345">
        <v>16.100000000000001</v>
      </c>
      <c r="BG345">
        <v>0.1</v>
      </c>
      <c r="BH345" t="s">
        <v>56</v>
      </c>
      <c r="BI345">
        <v>389</v>
      </c>
      <c r="BJ345">
        <v>-0.1</v>
      </c>
      <c r="BK345" t="s">
        <v>56</v>
      </c>
      <c r="BL345" t="s">
        <v>304</v>
      </c>
      <c r="BM345" t="s">
        <v>305</v>
      </c>
      <c r="BN345" t="s">
        <v>81</v>
      </c>
      <c r="BO345" t="s">
        <v>306</v>
      </c>
      <c r="BP345" t="s">
        <v>194</v>
      </c>
      <c r="BR345" t="s">
        <v>63</v>
      </c>
      <c r="BT345">
        <v>32.18</v>
      </c>
      <c r="BU345">
        <v>32.177778000000004</v>
      </c>
      <c r="BV345">
        <v>0.53</v>
      </c>
      <c r="BW345">
        <f>BV345*SQRT(AK345)</f>
        <v>4.1053623469798621</v>
      </c>
      <c r="BX345">
        <v>33.24</v>
      </c>
      <c r="BY345">
        <v>33.244444399999999</v>
      </c>
      <c r="BZ345">
        <v>0.36</v>
      </c>
      <c r="CA345">
        <f>BZ345*SQRT(AL345)</f>
        <v>2.78854800926934</v>
      </c>
      <c r="CB345">
        <v>20</v>
      </c>
      <c r="CC345">
        <v>4</v>
      </c>
      <c r="CD345">
        <v>3.3000000000000002E-2</v>
      </c>
      <c r="CE345">
        <v>4.0000000000000002E-4</v>
      </c>
    </row>
    <row r="346" spans="1:84" hidden="1" x14ac:dyDescent="0.2">
      <c r="D346">
        <v>22</v>
      </c>
      <c r="G346" t="s">
        <v>43</v>
      </c>
      <c r="H346" t="s">
        <v>298</v>
      </c>
      <c r="J346">
        <v>2013</v>
      </c>
      <c r="M346" t="s">
        <v>299</v>
      </c>
      <c r="T346" t="s">
        <v>131</v>
      </c>
      <c r="U346" t="s">
        <v>300</v>
      </c>
      <c r="V346" t="s">
        <v>301</v>
      </c>
      <c r="Z346" t="s">
        <v>49</v>
      </c>
      <c r="AA346" t="s">
        <v>49</v>
      </c>
      <c r="AB346" t="s">
        <v>50</v>
      </c>
      <c r="AC346" t="s">
        <v>51</v>
      </c>
      <c r="AD346" t="s">
        <v>52</v>
      </c>
      <c r="AE346" t="s">
        <v>134</v>
      </c>
      <c r="AF346" t="s">
        <v>54</v>
      </c>
      <c r="AG346" t="s">
        <v>52</v>
      </c>
      <c r="AH346" t="s">
        <v>65</v>
      </c>
      <c r="AK346">
        <v>60</v>
      </c>
      <c r="AL346">
        <v>60</v>
      </c>
      <c r="AN346">
        <v>480</v>
      </c>
      <c r="AO346">
        <v>56</v>
      </c>
      <c r="AP346" t="s">
        <v>56</v>
      </c>
      <c r="AQ346" t="s">
        <v>57</v>
      </c>
      <c r="AR346">
        <v>8.07</v>
      </c>
      <c r="AS346">
        <v>0.02</v>
      </c>
      <c r="AT346" t="s">
        <v>56</v>
      </c>
      <c r="AU346">
        <v>545</v>
      </c>
      <c r="AV346">
        <v>28</v>
      </c>
      <c r="AW346" t="s">
        <v>56</v>
      </c>
      <c r="AX346">
        <v>8.0500000000000007</v>
      </c>
      <c r="AY346">
        <v>0.12</v>
      </c>
      <c r="AZ346" t="s">
        <v>56</v>
      </c>
      <c r="BB346">
        <f>LOG(AU346)</f>
        <v>2.7363965022766426</v>
      </c>
      <c r="BC346">
        <v>16.2</v>
      </c>
      <c r="BD346">
        <v>0.1</v>
      </c>
      <c r="BE346" t="s">
        <v>56</v>
      </c>
      <c r="BF346">
        <v>18.899999999999999</v>
      </c>
      <c r="BG346">
        <v>0.1</v>
      </c>
      <c r="BH346" t="s">
        <v>56</v>
      </c>
      <c r="BI346">
        <v>65</v>
      </c>
      <c r="BJ346">
        <v>2.7</v>
      </c>
      <c r="BK346" t="s">
        <v>56</v>
      </c>
      <c r="BL346" t="s">
        <v>302</v>
      </c>
      <c r="BM346" t="s">
        <v>218</v>
      </c>
      <c r="BN346" t="s">
        <v>60</v>
      </c>
      <c r="BO346" t="s">
        <v>303</v>
      </c>
      <c r="BP346" t="s">
        <v>194</v>
      </c>
      <c r="BR346" t="s">
        <v>63</v>
      </c>
      <c r="BT346">
        <v>35.04</v>
      </c>
      <c r="BU346">
        <v>35.044248000000003</v>
      </c>
      <c r="BV346">
        <v>2.12</v>
      </c>
      <c r="BW346">
        <f>BV346*SQRT(AK346)</f>
        <v>16.421449387919449</v>
      </c>
      <c r="BX346">
        <v>36.64</v>
      </c>
      <c r="BY346">
        <v>36.637168099999997</v>
      </c>
      <c r="BZ346">
        <v>2.12</v>
      </c>
      <c r="CA346">
        <f>BZ346*SQRT(AL346)</f>
        <v>16.421449387919449</v>
      </c>
      <c r="CB346">
        <v>20</v>
      </c>
      <c r="CC346">
        <v>4</v>
      </c>
      <c r="CD346">
        <v>4.3999999999999997E-2</v>
      </c>
      <c r="CE346">
        <v>7.0000000000000001E-3</v>
      </c>
    </row>
    <row r="347" spans="1:84" hidden="1" x14ac:dyDescent="0.2">
      <c r="D347">
        <v>22</v>
      </c>
      <c r="G347" t="s">
        <v>43</v>
      </c>
      <c r="H347" t="s">
        <v>298</v>
      </c>
      <c r="J347">
        <v>2013</v>
      </c>
      <c r="M347" t="s">
        <v>299</v>
      </c>
      <c r="T347" t="s">
        <v>131</v>
      </c>
      <c r="U347" t="s">
        <v>300</v>
      </c>
      <c r="V347" t="s">
        <v>301</v>
      </c>
      <c r="Z347" t="s">
        <v>49</v>
      </c>
      <c r="AA347" t="s">
        <v>49</v>
      </c>
      <c r="AB347" t="s">
        <v>50</v>
      </c>
      <c r="AC347" t="s">
        <v>51</v>
      </c>
      <c r="AD347" t="s">
        <v>52</v>
      </c>
      <c r="AE347" t="s">
        <v>134</v>
      </c>
      <c r="AF347" t="s">
        <v>52</v>
      </c>
      <c r="AG347" t="s">
        <v>54</v>
      </c>
      <c r="AH347" t="s">
        <v>55</v>
      </c>
      <c r="AK347">
        <v>60</v>
      </c>
      <c r="AL347">
        <v>60</v>
      </c>
      <c r="AN347">
        <v>480</v>
      </c>
      <c r="AO347">
        <v>56</v>
      </c>
      <c r="AP347" t="s">
        <v>56</v>
      </c>
      <c r="AQ347" t="s">
        <v>57</v>
      </c>
      <c r="AR347">
        <v>8.07</v>
      </c>
      <c r="AS347">
        <v>0.02</v>
      </c>
      <c r="AT347" t="s">
        <v>56</v>
      </c>
      <c r="AU347">
        <v>868</v>
      </c>
      <c r="AV347">
        <v>48</v>
      </c>
      <c r="AW347" t="s">
        <v>56</v>
      </c>
      <c r="AX347">
        <v>7.83</v>
      </c>
      <c r="AY347">
        <v>0.02</v>
      </c>
      <c r="AZ347" t="s">
        <v>56</v>
      </c>
      <c r="BB347">
        <f>LOG(AU347)</f>
        <v>2.9385197251764921</v>
      </c>
      <c r="BC347">
        <v>16.2</v>
      </c>
      <c r="BD347">
        <v>0.1</v>
      </c>
      <c r="BE347" t="s">
        <v>56</v>
      </c>
      <c r="BF347">
        <v>16.100000000000001</v>
      </c>
      <c r="BG347">
        <v>0.1</v>
      </c>
      <c r="BH347" t="s">
        <v>56</v>
      </c>
      <c r="BI347">
        <v>389</v>
      </c>
      <c r="BJ347">
        <v>-0.1</v>
      </c>
      <c r="BK347" t="s">
        <v>56</v>
      </c>
      <c r="BL347" t="s">
        <v>302</v>
      </c>
      <c r="BM347" t="s">
        <v>218</v>
      </c>
      <c r="BN347" t="s">
        <v>60</v>
      </c>
      <c r="BO347" t="s">
        <v>303</v>
      </c>
      <c r="BP347" t="s">
        <v>194</v>
      </c>
      <c r="BR347" t="s">
        <v>63</v>
      </c>
      <c r="BT347">
        <v>35.04</v>
      </c>
      <c r="BU347">
        <v>35.044248000000003</v>
      </c>
      <c r="BV347">
        <v>2.12</v>
      </c>
      <c r="BW347">
        <f>BV347*SQRT(AK347)</f>
        <v>16.421449387919449</v>
      </c>
      <c r="BX347">
        <v>48.85</v>
      </c>
      <c r="BY347">
        <v>48.849557500000003</v>
      </c>
      <c r="BZ347">
        <v>4.25</v>
      </c>
      <c r="CA347">
        <f>BZ347*SQRT(AL347)</f>
        <v>32.920358442763046</v>
      </c>
      <c r="CB347">
        <v>20</v>
      </c>
      <c r="CC347">
        <v>4</v>
      </c>
      <c r="CD347">
        <v>0.33200000000000002</v>
      </c>
      <c r="CE347">
        <v>1.12E-2</v>
      </c>
    </row>
    <row r="348" spans="1:84" hidden="1" x14ac:dyDescent="0.2">
      <c r="D348">
        <v>52</v>
      </c>
      <c r="G348" t="s">
        <v>43</v>
      </c>
      <c r="H348" t="s">
        <v>536</v>
      </c>
      <c r="J348">
        <v>2017</v>
      </c>
      <c r="M348" t="s">
        <v>174</v>
      </c>
      <c r="P348" t="s">
        <v>1135</v>
      </c>
      <c r="R348" t="s">
        <v>1127</v>
      </c>
      <c r="S348" t="s">
        <v>1128</v>
      </c>
      <c r="T348" t="s">
        <v>103</v>
      </c>
      <c r="U348" t="s">
        <v>201</v>
      </c>
      <c r="V348" t="s">
        <v>214</v>
      </c>
      <c r="Z348" t="s">
        <v>106</v>
      </c>
      <c r="AA348" t="s">
        <v>107</v>
      </c>
      <c r="AB348" t="s">
        <v>71</v>
      </c>
      <c r="AC348" t="s">
        <v>72</v>
      </c>
      <c r="AD348" t="s">
        <v>52</v>
      </c>
      <c r="AE348" t="s">
        <v>53</v>
      </c>
      <c r="AF348" t="s">
        <v>54</v>
      </c>
      <c r="AG348" t="s">
        <v>52</v>
      </c>
      <c r="AH348" t="s">
        <v>65</v>
      </c>
      <c r="AK348">
        <v>20</v>
      </c>
      <c r="AL348">
        <v>20</v>
      </c>
      <c r="AM348" t="s">
        <v>263</v>
      </c>
      <c r="AN348">
        <v>459</v>
      </c>
      <c r="AO348">
        <v>4</v>
      </c>
      <c r="AP348" t="s">
        <v>56</v>
      </c>
      <c r="AQ348" t="s">
        <v>109</v>
      </c>
      <c r="AR348">
        <v>8</v>
      </c>
      <c r="AS348">
        <v>0</v>
      </c>
      <c r="AT348" t="s">
        <v>56</v>
      </c>
      <c r="AU348">
        <v>496</v>
      </c>
      <c r="AV348">
        <v>9</v>
      </c>
      <c r="AW348" t="s">
        <v>56</v>
      </c>
      <c r="AX348">
        <v>7.97</v>
      </c>
      <c r="AY348">
        <v>0.01</v>
      </c>
      <c r="AZ348" t="s">
        <v>56</v>
      </c>
      <c r="BB348">
        <f>LOG(AU348)</f>
        <v>2.6954816764901977</v>
      </c>
      <c r="BC348">
        <v>28</v>
      </c>
      <c r="BD348">
        <v>0.1</v>
      </c>
      <c r="BE348" t="s">
        <v>56</v>
      </c>
      <c r="BF348">
        <v>30.6</v>
      </c>
      <c r="BG348">
        <v>0.1</v>
      </c>
      <c r="BH348" t="s">
        <v>56</v>
      </c>
      <c r="BI348">
        <v>37</v>
      </c>
      <c r="BJ348">
        <v>3</v>
      </c>
      <c r="BK348" t="s">
        <v>537</v>
      </c>
      <c r="BL348" t="s">
        <v>538</v>
      </c>
      <c r="BM348" t="s">
        <v>90</v>
      </c>
      <c r="BN348" t="s">
        <v>81</v>
      </c>
      <c r="BO348" t="s">
        <v>180</v>
      </c>
      <c r="BP348" t="s">
        <v>92</v>
      </c>
      <c r="BQ348" s="8" t="s">
        <v>190</v>
      </c>
      <c r="BR348" t="s">
        <v>63</v>
      </c>
      <c r="BT348">
        <v>-0.05</v>
      </c>
      <c r="BU348">
        <v>4.8140000000000002E-2</v>
      </c>
      <c r="BV348">
        <v>0.04</v>
      </c>
      <c r="BW348">
        <f>BV348*SQRT(AK348)</f>
        <v>0.17888543819998318</v>
      </c>
      <c r="BX348">
        <v>0.06</v>
      </c>
      <c r="BY348">
        <v>0.1531729</v>
      </c>
      <c r="BZ348">
        <v>0.05</v>
      </c>
      <c r="CA348">
        <f>BZ348*SQRT(AL348)</f>
        <v>0.22360679774997899</v>
      </c>
      <c r="CB348">
        <v>1</v>
      </c>
      <c r="CC348">
        <v>2</v>
      </c>
      <c r="CE348">
        <v>0.63739999999999997</v>
      </c>
      <c r="CF348" s="8"/>
    </row>
    <row r="349" spans="1:84" hidden="1" x14ac:dyDescent="0.2">
      <c r="D349">
        <v>52</v>
      </c>
      <c r="G349" t="s">
        <v>43</v>
      </c>
      <c r="H349" t="s">
        <v>536</v>
      </c>
      <c r="J349">
        <v>2017</v>
      </c>
      <c r="M349" t="s">
        <v>174</v>
      </c>
      <c r="P349" t="s">
        <v>1135</v>
      </c>
      <c r="R349" t="s">
        <v>1127</v>
      </c>
      <c r="S349" t="s">
        <v>1128</v>
      </c>
      <c r="T349" t="s">
        <v>103</v>
      </c>
      <c r="U349" t="s">
        <v>201</v>
      </c>
      <c r="V349" t="s">
        <v>214</v>
      </c>
      <c r="Z349" t="s">
        <v>106</v>
      </c>
      <c r="AA349" t="s">
        <v>107</v>
      </c>
      <c r="AB349" t="s">
        <v>71</v>
      </c>
      <c r="AC349" t="s">
        <v>72</v>
      </c>
      <c r="AD349" t="s">
        <v>52</v>
      </c>
      <c r="AE349" t="s">
        <v>53</v>
      </c>
      <c r="AF349" t="s">
        <v>52</v>
      </c>
      <c r="AG349" t="s">
        <v>52</v>
      </c>
      <c r="AH349" t="s">
        <v>64</v>
      </c>
      <c r="AK349">
        <v>20</v>
      </c>
      <c r="AL349">
        <v>20</v>
      </c>
      <c r="AM349" t="s">
        <v>263</v>
      </c>
      <c r="AN349">
        <v>459</v>
      </c>
      <c r="AO349">
        <v>4</v>
      </c>
      <c r="AP349" t="s">
        <v>56</v>
      </c>
      <c r="AQ349" t="s">
        <v>109</v>
      </c>
      <c r="AR349">
        <v>8</v>
      </c>
      <c r="AS349">
        <v>0</v>
      </c>
      <c r="AT349" t="s">
        <v>56</v>
      </c>
      <c r="AU349">
        <v>1068</v>
      </c>
      <c r="AV349">
        <v>33</v>
      </c>
      <c r="AW349" t="s">
        <v>56</v>
      </c>
      <c r="AX349">
        <v>7.69</v>
      </c>
      <c r="AY349">
        <v>0.01</v>
      </c>
      <c r="AZ349" t="s">
        <v>56</v>
      </c>
      <c r="BB349">
        <f>LOG(AU349)</f>
        <v>3.0285712526925375</v>
      </c>
      <c r="BC349">
        <v>28</v>
      </c>
      <c r="BD349">
        <v>0.1</v>
      </c>
      <c r="BE349" t="s">
        <v>56</v>
      </c>
      <c r="BF349">
        <v>30.8</v>
      </c>
      <c r="BG349">
        <v>0.2</v>
      </c>
      <c r="BH349" t="s">
        <v>56</v>
      </c>
      <c r="BI349">
        <v>609</v>
      </c>
      <c r="BJ349">
        <v>3</v>
      </c>
      <c r="BK349" t="s">
        <v>537</v>
      </c>
      <c r="BL349" t="s">
        <v>538</v>
      </c>
      <c r="BM349" t="s">
        <v>90</v>
      </c>
      <c r="BN349" t="s">
        <v>81</v>
      </c>
      <c r="BO349" t="s">
        <v>180</v>
      </c>
      <c r="BP349" t="s">
        <v>92</v>
      </c>
      <c r="BQ349" s="8" t="s">
        <v>190</v>
      </c>
      <c r="BR349" t="s">
        <v>63</v>
      </c>
      <c r="BT349">
        <v>-0.05</v>
      </c>
      <c r="BU349">
        <v>4.8140000000000002E-2</v>
      </c>
      <c r="BV349">
        <v>0.04</v>
      </c>
      <c r="BW349">
        <f>BV349*SQRT(AK349)</f>
        <v>0.17888543819998318</v>
      </c>
      <c r="BX349">
        <v>0.02</v>
      </c>
      <c r="BY349">
        <v>0.1190372</v>
      </c>
      <c r="BZ349">
        <v>0.02</v>
      </c>
      <c r="CA349">
        <f>BZ349*SQRT(AL349)</f>
        <v>8.9442719099991588E-2</v>
      </c>
      <c r="CB349">
        <v>1</v>
      </c>
      <c r="CC349">
        <v>2</v>
      </c>
      <c r="CE349">
        <v>0.58609999999999995</v>
      </c>
      <c r="CF349" s="8"/>
    </row>
    <row r="350" spans="1:84" hidden="1" x14ac:dyDescent="0.2">
      <c r="B350" t="str">
        <f>ROW()-1&amp;"_AltersInvert"</f>
        <v>349_AltersInvert</v>
      </c>
      <c r="C350" t="str">
        <f>D350&amp;"_"&amp;
SUBSTITUTE(TRIM(V350)," ","_")&amp;"_"&amp;
TRIM(AC350)&amp;"_"&amp;
"CO2"&amp;TEXT(AN350,"0.00")&amp;"_"&amp;
"pH"&amp;TEXT(AR350,"0.00")&amp;"_"&amp;
"T"&amp;TEXT(BC350,"0.##")</f>
        <v>84_Pocillopora_damicornis_LARVA_CO2466.00_pH7.99_T28.4</v>
      </c>
      <c r="D350">
        <v>84</v>
      </c>
      <c r="G350" t="s">
        <v>43</v>
      </c>
      <c r="H350" t="s">
        <v>711</v>
      </c>
      <c r="J350">
        <v>2018</v>
      </c>
      <c r="M350" t="s">
        <v>265</v>
      </c>
      <c r="P350" t="s">
        <v>1135</v>
      </c>
      <c r="R350" t="s">
        <v>1127</v>
      </c>
      <c r="S350" t="s">
        <v>1128</v>
      </c>
      <c r="T350" t="s">
        <v>103</v>
      </c>
      <c r="U350" t="s">
        <v>201</v>
      </c>
      <c r="V350" t="s">
        <v>214</v>
      </c>
      <c r="Z350" t="s">
        <v>106</v>
      </c>
      <c r="AA350" t="s">
        <v>107</v>
      </c>
      <c r="AB350" t="s">
        <v>71</v>
      </c>
      <c r="AC350" t="s">
        <v>72</v>
      </c>
      <c r="AD350" t="s">
        <v>54</v>
      </c>
      <c r="AE350" t="s">
        <v>53</v>
      </c>
      <c r="AF350" t="s">
        <v>52</v>
      </c>
      <c r="AG350" t="s">
        <v>54</v>
      </c>
      <c r="AH350" t="s">
        <v>55</v>
      </c>
      <c r="AK350">
        <v>20</v>
      </c>
      <c r="AL350">
        <v>20</v>
      </c>
      <c r="AN350">
        <v>466</v>
      </c>
      <c r="AO350">
        <v>7</v>
      </c>
      <c r="AP350" t="s">
        <v>56</v>
      </c>
      <c r="AQ350" t="s">
        <v>109</v>
      </c>
      <c r="AR350">
        <v>7.99</v>
      </c>
      <c r="AS350">
        <v>0.01</v>
      </c>
      <c r="AT350" t="s">
        <v>56</v>
      </c>
      <c r="AU350">
        <v>1034</v>
      </c>
      <c r="AV350">
        <v>62</v>
      </c>
      <c r="AW350" t="s">
        <v>56</v>
      </c>
      <c r="AX350">
        <v>7.7</v>
      </c>
      <c r="AY350">
        <v>0.02</v>
      </c>
      <c r="AZ350" t="s">
        <v>56</v>
      </c>
      <c r="BB350">
        <f>LOG(AU350)</f>
        <v>3.0145205387579237</v>
      </c>
      <c r="BC350">
        <v>28.4</v>
      </c>
      <c r="BD350">
        <v>0.1</v>
      </c>
      <c r="BE350" t="s">
        <v>56</v>
      </c>
      <c r="BF350">
        <v>27.9</v>
      </c>
      <c r="BG350">
        <v>0.3</v>
      </c>
      <c r="BH350" t="s">
        <v>56</v>
      </c>
      <c r="BI350">
        <v>568</v>
      </c>
      <c r="BJ350">
        <v>-0.5</v>
      </c>
      <c r="BK350" t="s">
        <v>56</v>
      </c>
      <c r="BL350" t="s">
        <v>712</v>
      </c>
      <c r="BM350" t="s">
        <v>90</v>
      </c>
      <c r="BN350" t="s">
        <v>81</v>
      </c>
      <c r="BO350" t="s">
        <v>713</v>
      </c>
      <c r="BP350" t="s">
        <v>92</v>
      </c>
      <c r="BQ350" t="s">
        <v>92</v>
      </c>
      <c r="BR350" t="s">
        <v>714</v>
      </c>
      <c r="BT350">
        <v>0.65</v>
      </c>
      <c r="BU350">
        <v>0.65200000000000002</v>
      </c>
      <c r="BV350">
        <v>0.04</v>
      </c>
      <c r="BW350">
        <f>BV350*SQRT(AK350)</f>
        <v>0.17888543819998318</v>
      </c>
      <c r="BX350">
        <v>0.72</v>
      </c>
      <c r="BY350">
        <v>0.71840000000000004</v>
      </c>
      <c r="BZ350">
        <v>0.05</v>
      </c>
      <c r="CA350">
        <f>BZ350*SQRT(AL350)</f>
        <v>0.22360679774997899</v>
      </c>
      <c r="CB350">
        <v>1</v>
      </c>
      <c r="CC350">
        <v>2</v>
      </c>
      <c r="CD350">
        <v>9.7000000000000003E-2</v>
      </c>
      <c r="CE350">
        <v>7.4000000000000003E-3</v>
      </c>
      <c r="CF350" s="8"/>
    </row>
    <row r="351" spans="1:84" hidden="1" x14ac:dyDescent="0.2">
      <c r="B351" t="str">
        <f>ROW()-1&amp;"_AltersInvert"</f>
        <v>350_AltersInvert</v>
      </c>
      <c r="C351" t="str">
        <f>D351&amp;"_"&amp;
SUBSTITUTE(TRIM(V351)," ","_")&amp;"_"&amp;
TRIM(AC351)&amp;"_"&amp;
"CO2"&amp;TEXT(AN351,"0.00")&amp;"_"&amp;
"pH"&amp;TEXT(AR351,"0.00")&amp;"_"&amp;
"T"&amp;TEXT(BC351,"0.##")</f>
        <v>84_Pocillopora_damicornis_LARVA_CO2466.00_pH7.99_T28.4</v>
      </c>
      <c r="D351">
        <v>84</v>
      </c>
      <c r="G351" t="s">
        <v>43</v>
      </c>
      <c r="H351" t="s">
        <v>711</v>
      </c>
      <c r="J351">
        <v>2018</v>
      </c>
      <c r="M351" t="s">
        <v>265</v>
      </c>
      <c r="P351" t="s">
        <v>1135</v>
      </c>
      <c r="R351" t="s">
        <v>1127</v>
      </c>
      <c r="S351" t="s">
        <v>1128</v>
      </c>
      <c r="T351" t="s">
        <v>103</v>
      </c>
      <c r="U351" t="s">
        <v>201</v>
      </c>
      <c r="V351" t="s">
        <v>214</v>
      </c>
      <c r="Z351" t="s">
        <v>106</v>
      </c>
      <c r="AA351" t="s">
        <v>107</v>
      </c>
      <c r="AB351" t="s">
        <v>71</v>
      </c>
      <c r="AC351" t="s">
        <v>72</v>
      </c>
      <c r="AD351" t="s">
        <v>54</v>
      </c>
      <c r="AE351" t="s">
        <v>53</v>
      </c>
      <c r="AF351" t="s">
        <v>54</v>
      </c>
      <c r="AG351" t="s">
        <v>52</v>
      </c>
      <c r="AH351" t="s">
        <v>65</v>
      </c>
      <c r="AK351">
        <v>20</v>
      </c>
      <c r="AL351">
        <v>20</v>
      </c>
      <c r="AN351">
        <v>466</v>
      </c>
      <c r="AO351">
        <v>7</v>
      </c>
      <c r="AP351" t="s">
        <v>56</v>
      </c>
      <c r="AQ351" t="s">
        <v>109</v>
      </c>
      <c r="AR351">
        <v>7.99</v>
      </c>
      <c r="AS351">
        <v>0.01</v>
      </c>
      <c r="AT351" t="s">
        <v>56</v>
      </c>
      <c r="AU351">
        <v>467</v>
      </c>
      <c r="AV351">
        <v>5</v>
      </c>
      <c r="AW351" t="s">
        <v>56</v>
      </c>
      <c r="AX351">
        <v>7.99</v>
      </c>
      <c r="AY351">
        <v>0</v>
      </c>
      <c r="AZ351" t="s">
        <v>56</v>
      </c>
      <c r="BB351">
        <f>LOG(AU351)</f>
        <v>2.6693168805661123</v>
      </c>
      <c r="BC351">
        <v>28.4</v>
      </c>
      <c r="BD351">
        <v>0.1</v>
      </c>
      <c r="BE351" t="s">
        <v>56</v>
      </c>
      <c r="BF351">
        <v>31.1</v>
      </c>
      <c r="BG351">
        <v>0.2</v>
      </c>
      <c r="BH351" t="s">
        <v>56</v>
      </c>
      <c r="BI351">
        <v>1</v>
      </c>
      <c r="BJ351">
        <v>2.7</v>
      </c>
      <c r="BK351" t="s">
        <v>56</v>
      </c>
      <c r="BL351" t="s">
        <v>712</v>
      </c>
      <c r="BM351" t="s">
        <v>90</v>
      </c>
      <c r="BN351" t="s">
        <v>81</v>
      </c>
      <c r="BO351" t="s">
        <v>713</v>
      </c>
      <c r="BP351" t="s">
        <v>92</v>
      </c>
      <c r="BQ351" t="s">
        <v>92</v>
      </c>
      <c r="BR351" t="s">
        <v>714</v>
      </c>
      <c r="BT351">
        <v>0.65</v>
      </c>
      <c r="BU351">
        <v>0.65200000000000002</v>
      </c>
      <c r="BV351">
        <v>0.04</v>
      </c>
      <c r="BW351">
        <f>BV351*SQRT(AK351)</f>
        <v>0.17888543819998318</v>
      </c>
      <c r="BX351">
        <v>0.7</v>
      </c>
      <c r="BY351">
        <v>0.70240000000000002</v>
      </c>
      <c r="BZ351">
        <v>0.03</v>
      </c>
      <c r="CA351">
        <f>BZ351*SQRT(AL351)</f>
        <v>0.13416407864998739</v>
      </c>
      <c r="CB351">
        <v>1</v>
      </c>
      <c r="CC351">
        <v>2</v>
      </c>
      <c r="CD351">
        <v>7.3999999999999996E-2</v>
      </c>
      <c r="CE351">
        <v>5.4000000000000003E-3</v>
      </c>
      <c r="CF351" s="8"/>
    </row>
    <row r="352" spans="1:84" hidden="1" x14ac:dyDescent="0.2">
      <c r="B352" t="str">
        <f>ROW()-1&amp;"_AltersInvert"</f>
        <v>351_AltersInvert</v>
      </c>
      <c r="C352" t="str">
        <f>D352&amp;"_"&amp;
SUBSTITUTE(TRIM(V352)," ","_")&amp;"_"&amp;
TRIM(AC352)&amp;"_"&amp;
"CO2"&amp;TEXT(AN352,"0.00")&amp;"_"&amp;
"pH"&amp;TEXT(AR352,"0.00")&amp;"_"&amp;
"T"&amp;TEXT(BC352,"0.##")</f>
        <v>84_Pocillopora_damicornis_LARVA_CO2466.00_pH7.99_T28.4</v>
      </c>
      <c r="D352">
        <v>84</v>
      </c>
      <c r="G352" t="s">
        <v>43</v>
      </c>
      <c r="H352" t="s">
        <v>711</v>
      </c>
      <c r="J352">
        <v>2018</v>
      </c>
      <c r="M352" t="s">
        <v>265</v>
      </c>
      <c r="P352" t="s">
        <v>1135</v>
      </c>
      <c r="R352" t="s">
        <v>1127</v>
      </c>
      <c r="S352" t="s">
        <v>1128</v>
      </c>
      <c r="T352" t="s">
        <v>103</v>
      </c>
      <c r="U352" t="s">
        <v>201</v>
      </c>
      <c r="V352" t="s">
        <v>214</v>
      </c>
      <c r="Z352" t="s">
        <v>106</v>
      </c>
      <c r="AA352" t="s">
        <v>107</v>
      </c>
      <c r="AB352" t="s">
        <v>71</v>
      </c>
      <c r="AC352" t="s">
        <v>72</v>
      </c>
      <c r="AD352" t="s">
        <v>54</v>
      </c>
      <c r="AE352" t="s">
        <v>53</v>
      </c>
      <c r="AF352" t="s">
        <v>52</v>
      </c>
      <c r="AG352" t="s">
        <v>52</v>
      </c>
      <c r="AH352" t="s">
        <v>64</v>
      </c>
      <c r="AK352">
        <v>20</v>
      </c>
      <c r="AL352">
        <v>20</v>
      </c>
      <c r="AN352">
        <v>466</v>
      </c>
      <c r="AO352">
        <v>7</v>
      </c>
      <c r="AP352" t="s">
        <v>56</v>
      </c>
      <c r="AQ352" t="s">
        <v>109</v>
      </c>
      <c r="AR352">
        <v>7.99</v>
      </c>
      <c r="AS352">
        <v>0.01</v>
      </c>
      <c r="AT352" t="s">
        <v>56</v>
      </c>
      <c r="AU352">
        <v>1007</v>
      </c>
      <c r="AV352">
        <v>79</v>
      </c>
      <c r="AW352" t="s">
        <v>56</v>
      </c>
      <c r="AX352">
        <v>7.71</v>
      </c>
      <c r="AY352">
        <v>0.03</v>
      </c>
      <c r="AZ352" t="s">
        <v>56</v>
      </c>
      <c r="BB352">
        <f>LOG(AU352)</f>
        <v>3.003029470553618</v>
      </c>
      <c r="BC352">
        <v>28.4</v>
      </c>
      <c r="BD352">
        <v>0.1</v>
      </c>
      <c r="BE352" t="s">
        <v>56</v>
      </c>
      <c r="BF352">
        <v>30.7</v>
      </c>
      <c r="BG352">
        <v>0.2</v>
      </c>
      <c r="BH352" t="s">
        <v>56</v>
      </c>
      <c r="BI352">
        <v>541</v>
      </c>
      <c r="BJ352">
        <v>2.2999999999999998</v>
      </c>
      <c r="BK352" t="s">
        <v>56</v>
      </c>
      <c r="BL352" t="s">
        <v>712</v>
      </c>
      <c r="BM352" t="s">
        <v>90</v>
      </c>
      <c r="BN352" t="s">
        <v>81</v>
      </c>
      <c r="BO352" t="s">
        <v>713</v>
      </c>
      <c r="BP352" t="s">
        <v>92</v>
      </c>
      <c r="BQ352" t="s">
        <v>92</v>
      </c>
      <c r="BR352" t="s">
        <v>714</v>
      </c>
      <c r="BT352">
        <v>0.65</v>
      </c>
      <c r="BU352">
        <v>0.65200000000000002</v>
      </c>
      <c r="BV352">
        <v>0.04</v>
      </c>
      <c r="BW352">
        <f>BV352*SQRT(AK352)</f>
        <v>0.17888543819998318</v>
      </c>
      <c r="BX352">
        <v>0.64</v>
      </c>
      <c r="BY352">
        <v>0.63600000000000001</v>
      </c>
      <c r="BZ352">
        <v>0.03</v>
      </c>
      <c r="CA352">
        <f>BZ352*SQRT(AL352)</f>
        <v>0.13416407864998739</v>
      </c>
      <c r="CB352">
        <v>1</v>
      </c>
      <c r="CC352">
        <v>2</v>
      </c>
      <c r="CD352">
        <v>-2.5000000000000001E-2</v>
      </c>
      <c r="CE352">
        <v>5.4999999999999997E-3</v>
      </c>
      <c r="CF352" s="8"/>
    </row>
    <row r="353" spans="1:84" hidden="1" x14ac:dyDescent="0.2">
      <c r="B353" t="str">
        <f>ROW()-1&amp;"_AltersInvert"</f>
        <v>352_AltersInvert</v>
      </c>
      <c r="C353" t="str">
        <f>D353&amp;"_"&amp;
SUBSTITUTE(TRIM(V353)," ","_")&amp;"_"&amp;
TRIM(AC353)&amp;"_"&amp;
"CO2"&amp;TEXT(AN353,"0.00")&amp;"_"&amp;
"pH"&amp;TEXT(AR353,"0.00")&amp;"_"&amp;
"T"&amp;TEXT(BC353,"0.##")</f>
        <v>82_Doryteuthis_pealeii_LARVA_CO2387.00_pH8.03_T19.5</v>
      </c>
      <c r="D353">
        <v>82</v>
      </c>
      <c r="G353" t="s">
        <v>43</v>
      </c>
      <c r="H353" t="s">
        <v>691</v>
      </c>
      <c r="J353">
        <v>2020</v>
      </c>
      <c r="M353" t="s">
        <v>692</v>
      </c>
      <c r="P353" t="s">
        <v>1135</v>
      </c>
      <c r="R353" t="s">
        <v>1127</v>
      </c>
      <c r="S353" t="s">
        <v>1128</v>
      </c>
      <c r="T353" t="s">
        <v>68</v>
      </c>
      <c r="U353" t="s">
        <v>693</v>
      </c>
      <c r="V353" t="s">
        <v>694</v>
      </c>
      <c r="Z353" t="s">
        <v>107</v>
      </c>
      <c r="AA353" t="s">
        <v>107</v>
      </c>
      <c r="AB353" t="s">
        <v>71</v>
      </c>
      <c r="AC353" t="s">
        <v>72</v>
      </c>
      <c r="AD353" t="s">
        <v>52</v>
      </c>
      <c r="AE353" t="s">
        <v>53</v>
      </c>
      <c r="AF353" t="s">
        <v>52</v>
      </c>
      <c r="AG353" t="s">
        <v>54</v>
      </c>
      <c r="AH353" t="s">
        <v>55</v>
      </c>
      <c r="AK353">
        <v>10</v>
      </c>
      <c r="AL353">
        <v>10</v>
      </c>
      <c r="AN353">
        <v>387</v>
      </c>
      <c r="AO353">
        <v>28</v>
      </c>
      <c r="AP353" t="s">
        <v>56</v>
      </c>
      <c r="AQ353" t="s">
        <v>109</v>
      </c>
      <c r="AR353">
        <v>8.0299999999999994</v>
      </c>
      <c r="AS353">
        <v>0.03</v>
      </c>
      <c r="AT353" t="s">
        <v>56</v>
      </c>
      <c r="AU353">
        <v>2687</v>
      </c>
      <c r="AV353">
        <v>89</v>
      </c>
      <c r="AW353" t="s">
        <v>56</v>
      </c>
      <c r="AX353">
        <v>7.26</v>
      </c>
      <c r="AY353">
        <v>0.01</v>
      </c>
      <c r="AZ353" t="s">
        <v>56</v>
      </c>
      <c r="BB353">
        <f>LOG(AU353)</f>
        <v>3.4292676664331685</v>
      </c>
      <c r="BC353">
        <v>19.5</v>
      </c>
      <c r="BD353" t="s">
        <v>56</v>
      </c>
      <c r="BE353" t="s">
        <v>56</v>
      </c>
      <c r="BF353">
        <v>19.5</v>
      </c>
      <c r="BG353" t="s">
        <v>56</v>
      </c>
      <c r="BH353" t="s">
        <v>56</v>
      </c>
      <c r="BI353">
        <v>2300</v>
      </c>
      <c r="BJ353">
        <v>0</v>
      </c>
      <c r="BK353" s="1">
        <v>45914</v>
      </c>
      <c r="BL353" t="s">
        <v>698</v>
      </c>
      <c r="BM353" t="s">
        <v>90</v>
      </c>
      <c r="BN353" t="s">
        <v>81</v>
      </c>
      <c r="BO353" t="s">
        <v>180</v>
      </c>
      <c r="BP353" t="s">
        <v>92</v>
      </c>
      <c r="BQ353" t="s">
        <v>92</v>
      </c>
      <c r="BR353" t="s">
        <v>63</v>
      </c>
      <c r="BT353">
        <v>1.73</v>
      </c>
      <c r="BU353">
        <v>1.73</v>
      </c>
      <c r="BV353">
        <v>7.0000000000000007E-2</v>
      </c>
      <c r="BW353">
        <f>BV353*SQRT(AK353)</f>
        <v>0.22135943621178658</v>
      </c>
      <c r="BX353">
        <v>1.5</v>
      </c>
      <c r="BY353">
        <v>1.5</v>
      </c>
      <c r="BZ353">
        <v>0.13</v>
      </c>
      <c r="CA353">
        <f>BZ353*SQRT(AL353)</f>
        <v>0.41109609582188933</v>
      </c>
      <c r="CB353">
        <v>17</v>
      </c>
      <c r="CC353">
        <v>3</v>
      </c>
      <c r="CD353">
        <v>-0.14299999999999999</v>
      </c>
      <c r="CE353">
        <v>9.1000000000000004E-3</v>
      </c>
      <c r="CF353" s="8"/>
    </row>
    <row r="354" spans="1:84" hidden="1" x14ac:dyDescent="0.2">
      <c r="B354" t="str">
        <f>ROW()-1&amp;"_AltersInvert"</f>
        <v>353_AltersInvert</v>
      </c>
      <c r="C354" t="str">
        <f>D354&amp;"_"&amp;
SUBSTITUTE(TRIM(V354)," ","_")&amp;"_"&amp;
TRIM(AC354)&amp;"_"&amp;
"CO2"&amp;TEXT(AN354,"0.00")&amp;"_"&amp;
"pH"&amp;TEXT(AR354,"0.00")&amp;"_"&amp;
"T"&amp;TEXT(BC354,"0.##")</f>
        <v>82_Doryteuthis_pealeii_LARVA_CO2387.00_pH8.03_T19.5</v>
      </c>
      <c r="D354">
        <v>82</v>
      </c>
      <c r="G354" t="s">
        <v>43</v>
      </c>
      <c r="H354" t="s">
        <v>691</v>
      </c>
      <c r="J354">
        <v>2020</v>
      </c>
      <c r="M354" t="s">
        <v>692</v>
      </c>
      <c r="P354" t="s">
        <v>1135</v>
      </c>
      <c r="R354" t="s">
        <v>1127</v>
      </c>
      <c r="S354" t="s">
        <v>1128</v>
      </c>
      <c r="T354" t="s">
        <v>68</v>
      </c>
      <c r="U354" t="s">
        <v>693</v>
      </c>
      <c r="V354" t="s">
        <v>694</v>
      </c>
      <c r="Z354" t="s">
        <v>107</v>
      </c>
      <c r="AA354" t="s">
        <v>107</v>
      </c>
      <c r="AB354" t="s">
        <v>71</v>
      </c>
      <c r="AC354" t="s">
        <v>72</v>
      </c>
      <c r="AD354" t="s">
        <v>52</v>
      </c>
      <c r="AE354" t="s">
        <v>53</v>
      </c>
      <c r="AF354" t="s">
        <v>52</v>
      </c>
      <c r="AG354" t="s">
        <v>54</v>
      </c>
      <c r="AH354" t="s">
        <v>55</v>
      </c>
      <c r="AK354">
        <v>10</v>
      </c>
      <c r="AL354">
        <v>10</v>
      </c>
      <c r="AN354">
        <v>387</v>
      </c>
      <c r="AO354">
        <v>28</v>
      </c>
      <c r="AP354" t="s">
        <v>56</v>
      </c>
      <c r="AQ354" t="s">
        <v>109</v>
      </c>
      <c r="AR354">
        <v>8.0299999999999994</v>
      </c>
      <c r="AS354">
        <v>0.03</v>
      </c>
      <c r="AT354" t="s">
        <v>56</v>
      </c>
      <c r="AU354">
        <v>1908</v>
      </c>
      <c r="AV354">
        <v>89</v>
      </c>
      <c r="AW354" t="s">
        <v>56</v>
      </c>
      <c r="AX354">
        <v>7.41</v>
      </c>
      <c r="AY354">
        <v>0.02</v>
      </c>
      <c r="AZ354" t="s">
        <v>56</v>
      </c>
      <c r="BB354">
        <f>LOG(AU354)</f>
        <v>3.2805783703680764</v>
      </c>
      <c r="BC354">
        <v>19.5</v>
      </c>
      <c r="BD354" t="s">
        <v>56</v>
      </c>
      <c r="BE354" t="s">
        <v>56</v>
      </c>
      <c r="BF354">
        <v>19.5</v>
      </c>
      <c r="BG354" t="s">
        <v>56</v>
      </c>
      <c r="BH354" t="s">
        <v>56</v>
      </c>
      <c r="BI354">
        <v>1521</v>
      </c>
      <c r="BJ354">
        <v>0</v>
      </c>
      <c r="BK354" s="1">
        <v>45914</v>
      </c>
      <c r="BL354" t="s">
        <v>698</v>
      </c>
      <c r="BM354" t="s">
        <v>90</v>
      </c>
      <c r="BN354" t="s">
        <v>81</v>
      </c>
      <c r="BO354" t="s">
        <v>180</v>
      </c>
      <c r="BP354" t="s">
        <v>92</v>
      </c>
      <c r="BQ354" t="s">
        <v>92</v>
      </c>
      <c r="BR354" t="s">
        <v>63</v>
      </c>
      <c r="BT354">
        <v>1.73</v>
      </c>
      <c r="BU354">
        <v>1.73</v>
      </c>
      <c r="BV354">
        <v>7.0000000000000007E-2</v>
      </c>
      <c r="BW354">
        <f>BV354*SQRT(AK354)</f>
        <v>0.22135943621178658</v>
      </c>
      <c r="BX354">
        <v>1.62</v>
      </c>
      <c r="BY354">
        <v>1.62</v>
      </c>
      <c r="BZ354">
        <v>0.08</v>
      </c>
      <c r="CA354">
        <f>BZ354*SQRT(AL354)</f>
        <v>0.25298221281347039</v>
      </c>
      <c r="CB354">
        <v>17</v>
      </c>
      <c r="CC354">
        <v>3</v>
      </c>
      <c r="CD354">
        <v>-6.6000000000000003E-2</v>
      </c>
      <c r="CE354">
        <v>4.1000000000000003E-3</v>
      </c>
      <c r="CF354" s="8"/>
    </row>
    <row r="355" spans="1:84" hidden="1" x14ac:dyDescent="0.2">
      <c r="B355" t="str">
        <f>ROW()-1&amp;"_AltersInvert"</f>
        <v>354_AltersInvert</v>
      </c>
      <c r="C355" t="str">
        <f>D355&amp;"_"&amp;
SUBSTITUTE(TRIM(V355)," ","_")&amp;"_"&amp;
TRIM(AC355)&amp;"_"&amp;
"CO2"&amp;TEXT(AN355,"0.00")&amp;"_"&amp;
"pH"&amp;TEXT(AR355,"0.00")&amp;"_"&amp;
"T"&amp;TEXT(BC355,"0.##")</f>
        <v>82_Doryteuthis_pealeii_LARVA_CO2387.00_pH8.03_T19.5</v>
      </c>
      <c r="D355">
        <v>82</v>
      </c>
      <c r="G355" t="s">
        <v>43</v>
      </c>
      <c r="H355" t="s">
        <v>691</v>
      </c>
      <c r="J355">
        <v>2020</v>
      </c>
      <c r="M355" t="s">
        <v>692</v>
      </c>
      <c r="P355" t="s">
        <v>1135</v>
      </c>
      <c r="R355" t="s">
        <v>1127</v>
      </c>
      <c r="S355" t="s">
        <v>1128</v>
      </c>
      <c r="T355" t="s">
        <v>68</v>
      </c>
      <c r="U355" t="s">
        <v>693</v>
      </c>
      <c r="V355" t="s">
        <v>694</v>
      </c>
      <c r="Z355" t="s">
        <v>107</v>
      </c>
      <c r="AA355" t="s">
        <v>107</v>
      </c>
      <c r="AB355" t="s">
        <v>71</v>
      </c>
      <c r="AC355" t="s">
        <v>72</v>
      </c>
      <c r="AD355" t="s">
        <v>52</v>
      </c>
      <c r="AE355" t="s">
        <v>53</v>
      </c>
      <c r="AF355" t="s">
        <v>54</v>
      </c>
      <c r="AG355" t="s">
        <v>52</v>
      </c>
      <c r="AH355" t="s">
        <v>65</v>
      </c>
      <c r="AK355">
        <v>10</v>
      </c>
      <c r="AL355">
        <v>10</v>
      </c>
      <c r="AN355">
        <v>387</v>
      </c>
      <c r="AO355">
        <v>28</v>
      </c>
      <c r="AP355" t="s">
        <v>56</v>
      </c>
      <c r="AQ355" t="s">
        <v>109</v>
      </c>
      <c r="AR355">
        <v>8.0299999999999994</v>
      </c>
      <c r="AS355">
        <v>0.03</v>
      </c>
      <c r="AT355" t="s">
        <v>56</v>
      </c>
      <c r="AU355">
        <v>452</v>
      </c>
      <c r="AV355">
        <v>42</v>
      </c>
      <c r="AW355" t="s">
        <v>56</v>
      </c>
      <c r="AX355">
        <v>7.97</v>
      </c>
      <c r="AY355">
        <v>0.03</v>
      </c>
      <c r="AZ355" t="s">
        <v>56</v>
      </c>
      <c r="BB355">
        <f>LOG(AU355)</f>
        <v>2.655138434811382</v>
      </c>
      <c r="BC355">
        <v>19.5</v>
      </c>
      <c r="BD355" t="s">
        <v>56</v>
      </c>
      <c r="BE355" t="s">
        <v>56</v>
      </c>
      <c r="BF355">
        <v>27.5</v>
      </c>
      <c r="BG355" t="s">
        <v>56</v>
      </c>
      <c r="BH355" t="s">
        <v>56</v>
      </c>
      <c r="BI355">
        <v>65</v>
      </c>
      <c r="BJ355">
        <v>8</v>
      </c>
      <c r="BK355" s="1">
        <v>45914</v>
      </c>
      <c r="BL355" t="s">
        <v>698</v>
      </c>
      <c r="BM355" t="s">
        <v>90</v>
      </c>
      <c r="BN355" t="s">
        <v>81</v>
      </c>
      <c r="BO355" t="s">
        <v>180</v>
      </c>
      <c r="BP355" t="s">
        <v>92</v>
      </c>
      <c r="BQ355" t="s">
        <v>92</v>
      </c>
      <c r="BR355" t="s">
        <v>63</v>
      </c>
      <c r="BT355">
        <v>1.73</v>
      </c>
      <c r="BU355">
        <v>1.73</v>
      </c>
      <c r="BV355">
        <v>7.0000000000000007E-2</v>
      </c>
      <c r="BW355">
        <f>BV355*SQRT(AK355)</f>
        <v>0.22135943621178658</v>
      </c>
      <c r="BX355">
        <v>1.52</v>
      </c>
      <c r="BY355">
        <v>1.52</v>
      </c>
      <c r="BZ355">
        <v>0.1</v>
      </c>
      <c r="CA355">
        <f>BZ355*SQRT(AL355)</f>
        <v>0.316227766016838</v>
      </c>
      <c r="CB355">
        <v>9</v>
      </c>
      <c r="CC355">
        <v>3</v>
      </c>
      <c r="CD355">
        <v>-0.129</v>
      </c>
      <c r="CE355">
        <v>6.0000000000000001E-3</v>
      </c>
      <c r="CF355" s="8"/>
    </row>
    <row r="356" spans="1:84" hidden="1" x14ac:dyDescent="0.2">
      <c r="B356" t="str">
        <f>ROW()-1&amp;"_AltersInvert"</f>
        <v>355_AltersInvert</v>
      </c>
      <c r="C356" t="str">
        <f>D356&amp;"_"&amp;
SUBSTITUTE(TRIM(V356)," ","_")&amp;"_"&amp;
TRIM(AC356)&amp;"_"&amp;
"CO2"&amp;TEXT(AN356,"0.00")&amp;"_"&amp;
"pH"&amp;TEXT(AR356,"0.00")&amp;"_"&amp;
"T"&amp;TEXT(BC356,"0.##")</f>
        <v>82_Doryteuthis_pealeii_LARVA_CO2387.00_pH8.03_T19.5</v>
      </c>
      <c r="D356">
        <v>82</v>
      </c>
      <c r="G356" t="s">
        <v>43</v>
      </c>
      <c r="H356" t="s">
        <v>691</v>
      </c>
      <c r="J356">
        <v>2020</v>
      </c>
      <c r="M356" t="s">
        <v>692</v>
      </c>
      <c r="P356" t="s">
        <v>1135</v>
      </c>
      <c r="R356" t="s">
        <v>1127</v>
      </c>
      <c r="S356" t="s">
        <v>1128</v>
      </c>
      <c r="T356" t="s">
        <v>68</v>
      </c>
      <c r="U356" t="s">
        <v>693</v>
      </c>
      <c r="V356" t="s">
        <v>694</v>
      </c>
      <c r="Z356" t="s">
        <v>107</v>
      </c>
      <c r="AA356" t="s">
        <v>107</v>
      </c>
      <c r="AB356" t="s">
        <v>71</v>
      </c>
      <c r="AC356" t="s">
        <v>72</v>
      </c>
      <c r="AD356" t="s">
        <v>52</v>
      </c>
      <c r="AE356" t="s">
        <v>53</v>
      </c>
      <c r="AF356" t="s">
        <v>52</v>
      </c>
      <c r="AG356" t="s">
        <v>52</v>
      </c>
      <c r="AH356" t="s">
        <v>64</v>
      </c>
      <c r="AK356">
        <v>10</v>
      </c>
      <c r="AL356">
        <v>10</v>
      </c>
      <c r="AN356">
        <v>387</v>
      </c>
      <c r="AO356">
        <v>28</v>
      </c>
      <c r="AP356" t="s">
        <v>56</v>
      </c>
      <c r="AQ356" t="s">
        <v>109</v>
      </c>
      <c r="AR356">
        <v>8.0299999999999994</v>
      </c>
      <c r="AS356">
        <v>0.03</v>
      </c>
      <c r="AT356" t="s">
        <v>56</v>
      </c>
      <c r="AU356">
        <v>2691</v>
      </c>
      <c r="AV356">
        <v>87</v>
      </c>
      <c r="AW356" t="s">
        <v>56</v>
      </c>
      <c r="AX356">
        <v>7.28</v>
      </c>
      <c r="AY356">
        <v>0.02</v>
      </c>
      <c r="AZ356" t="s">
        <v>56</v>
      </c>
      <c r="BB356">
        <f>LOG(AU356)</f>
        <v>3.4299136977637543</v>
      </c>
      <c r="BC356">
        <v>19.5</v>
      </c>
      <c r="BD356" t="s">
        <v>56</v>
      </c>
      <c r="BE356" t="s">
        <v>56</v>
      </c>
      <c r="BF356">
        <v>27.5</v>
      </c>
      <c r="BG356" t="s">
        <v>56</v>
      </c>
      <c r="BH356" t="s">
        <v>56</v>
      </c>
      <c r="BI356">
        <v>2304</v>
      </c>
      <c r="BJ356">
        <v>8</v>
      </c>
      <c r="BK356" s="1">
        <v>45914</v>
      </c>
      <c r="BL356" t="s">
        <v>698</v>
      </c>
      <c r="BM356" t="s">
        <v>90</v>
      </c>
      <c r="BN356" t="s">
        <v>81</v>
      </c>
      <c r="BO356" t="s">
        <v>180</v>
      </c>
      <c r="BP356" t="s">
        <v>92</v>
      </c>
      <c r="BQ356" t="s">
        <v>92</v>
      </c>
      <c r="BR356" t="s">
        <v>63</v>
      </c>
      <c r="BT356">
        <v>1.73</v>
      </c>
      <c r="BU356">
        <v>1.73</v>
      </c>
      <c r="BV356">
        <v>7.0000000000000007E-2</v>
      </c>
      <c r="BW356">
        <f>BV356*SQRT(AK356)</f>
        <v>0.22135943621178658</v>
      </c>
      <c r="BX356">
        <v>1.47</v>
      </c>
      <c r="BY356">
        <v>1.47</v>
      </c>
      <c r="BZ356">
        <v>0.11</v>
      </c>
      <c r="CA356">
        <f>BZ356*SQRT(AL356)</f>
        <v>0.34785054261852177</v>
      </c>
      <c r="CB356">
        <v>10</v>
      </c>
      <c r="CC356">
        <v>3</v>
      </c>
      <c r="CD356">
        <v>-0.16300000000000001</v>
      </c>
      <c r="CE356">
        <v>7.1999999999999998E-3</v>
      </c>
      <c r="CF356" s="8"/>
    </row>
    <row r="357" spans="1:84" hidden="1" x14ac:dyDescent="0.2">
      <c r="B357" t="str">
        <f>ROW()-1&amp;"_AltersInvert"</f>
        <v>356_AltersInvert</v>
      </c>
      <c r="C357" t="str">
        <f>D357&amp;"_"&amp;
SUBSTITUTE(TRIM(V357)," ","_")&amp;"_"&amp;
TRIM(AC357)&amp;"_"&amp;
"CO2"&amp;TEXT(AN357,"0.00")&amp;"_"&amp;
"pH"&amp;TEXT(AR357,"0.00")&amp;"_"&amp;
"T"&amp;TEXT(BC357,"0.##")</f>
        <v>82_Doryteuthis_pealeii_LARVA_CO2387.00_pH8.03_T19.5</v>
      </c>
      <c r="D357">
        <v>82</v>
      </c>
      <c r="G357" t="s">
        <v>43</v>
      </c>
      <c r="H357" t="s">
        <v>691</v>
      </c>
      <c r="J357">
        <v>2020</v>
      </c>
      <c r="M357" t="s">
        <v>692</v>
      </c>
      <c r="P357" t="s">
        <v>1135</v>
      </c>
      <c r="R357" t="s">
        <v>1127</v>
      </c>
      <c r="S357" t="s">
        <v>1128</v>
      </c>
      <c r="T357" t="s">
        <v>68</v>
      </c>
      <c r="U357" t="s">
        <v>693</v>
      </c>
      <c r="V357" t="s">
        <v>694</v>
      </c>
      <c r="Z357" t="s">
        <v>107</v>
      </c>
      <c r="AA357" t="s">
        <v>107</v>
      </c>
      <c r="AB357" t="s">
        <v>71</v>
      </c>
      <c r="AC357" t="s">
        <v>72</v>
      </c>
      <c r="AD357" t="s">
        <v>52</v>
      </c>
      <c r="AE357" t="s">
        <v>53</v>
      </c>
      <c r="AF357" t="s">
        <v>52</v>
      </c>
      <c r="AG357" t="s">
        <v>52</v>
      </c>
      <c r="AH357" t="s">
        <v>64</v>
      </c>
      <c r="AK357">
        <v>10</v>
      </c>
      <c r="AL357">
        <v>10</v>
      </c>
      <c r="AN357">
        <v>387</v>
      </c>
      <c r="AO357">
        <v>28</v>
      </c>
      <c r="AP357" t="s">
        <v>56</v>
      </c>
      <c r="AQ357" t="s">
        <v>109</v>
      </c>
      <c r="AR357">
        <v>8.0299999999999994</v>
      </c>
      <c r="AS357">
        <v>0.03</v>
      </c>
      <c r="AT357" t="s">
        <v>56</v>
      </c>
      <c r="AU357">
        <v>1907</v>
      </c>
      <c r="AV357">
        <v>108</v>
      </c>
      <c r="AW357" t="s">
        <v>56</v>
      </c>
      <c r="AX357">
        <v>7.42</v>
      </c>
      <c r="AY357">
        <v>0.02</v>
      </c>
      <c r="AZ357" t="s">
        <v>56</v>
      </c>
      <c r="BB357">
        <f>LOG(AU357)</f>
        <v>3.2803506930460058</v>
      </c>
      <c r="BC357">
        <v>19.5</v>
      </c>
      <c r="BD357" t="s">
        <v>56</v>
      </c>
      <c r="BE357" t="s">
        <v>56</v>
      </c>
      <c r="BF357">
        <v>27.5</v>
      </c>
      <c r="BG357" t="s">
        <v>56</v>
      </c>
      <c r="BH357" t="s">
        <v>56</v>
      </c>
      <c r="BI357">
        <v>1520</v>
      </c>
      <c r="BJ357">
        <v>8</v>
      </c>
      <c r="BK357" s="1">
        <v>45914</v>
      </c>
      <c r="BL357" t="s">
        <v>698</v>
      </c>
      <c r="BM357" t="s">
        <v>90</v>
      </c>
      <c r="BN357" t="s">
        <v>81</v>
      </c>
      <c r="BO357" t="s">
        <v>180</v>
      </c>
      <c r="BP357" t="s">
        <v>92</v>
      </c>
      <c r="BQ357" t="s">
        <v>92</v>
      </c>
      <c r="BR357" t="s">
        <v>63</v>
      </c>
      <c r="BT357">
        <v>1.73</v>
      </c>
      <c r="BU357">
        <v>1.73</v>
      </c>
      <c r="BV357">
        <v>7.0000000000000007E-2</v>
      </c>
      <c r="BW357">
        <f>BV357*SQRT(AK357)</f>
        <v>0.22135943621178658</v>
      </c>
      <c r="BX357">
        <v>1.48</v>
      </c>
      <c r="BY357">
        <v>1.48</v>
      </c>
      <c r="BZ357">
        <v>7.0000000000000007E-2</v>
      </c>
      <c r="CA357">
        <f>BZ357*SQRT(AL357)</f>
        <v>0.22135943621178658</v>
      </c>
      <c r="CB357">
        <v>10</v>
      </c>
      <c r="CC357">
        <v>3</v>
      </c>
      <c r="CD357">
        <v>-0.156</v>
      </c>
      <c r="CE357">
        <v>3.8999999999999998E-3</v>
      </c>
      <c r="CF357" s="8"/>
    </row>
    <row r="358" spans="1:84" hidden="1" x14ac:dyDescent="0.2">
      <c r="B358" t="str">
        <f>ROW()-1&amp;"_AltersInvert"</f>
        <v>357_AltersInvert</v>
      </c>
      <c r="C358" t="str">
        <f>D358&amp;"_"&amp;
SUBSTITUTE(TRIM(V358)," ","_")&amp;"_"&amp;
TRIM(AC358)&amp;"_"&amp;
"CO2"&amp;TEXT(AN358,"0.00")&amp;"_"&amp;
"pH"&amp;TEXT(AR358,"0.00")&amp;"_"&amp;
"T"&amp;TEXT(BC358,"0.##")</f>
        <v>75_Laternula_elliptica_LARVA_CO2458.00_pH7.97_T-1.6</v>
      </c>
      <c r="D358">
        <v>75</v>
      </c>
      <c r="G358" t="s">
        <v>43</v>
      </c>
      <c r="H358" t="s">
        <v>662</v>
      </c>
      <c r="J358">
        <v>2017</v>
      </c>
      <c r="M358" t="s">
        <v>436</v>
      </c>
      <c r="P358" t="s">
        <v>1135</v>
      </c>
      <c r="R358" t="s">
        <v>1127</v>
      </c>
      <c r="S358" t="s">
        <v>1128</v>
      </c>
      <c r="T358" t="s">
        <v>68</v>
      </c>
      <c r="U358" t="s">
        <v>663</v>
      </c>
      <c r="V358" t="s">
        <v>664</v>
      </c>
      <c r="Z358" t="s">
        <v>475</v>
      </c>
      <c r="AA358" t="s">
        <v>475</v>
      </c>
      <c r="AB358" t="s">
        <v>71</v>
      </c>
      <c r="AC358" t="s">
        <v>72</v>
      </c>
      <c r="AD358" t="s">
        <v>52</v>
      </c>
      <c r="AE358" t="s">
        <v>53</v>
      </c>
      <c r="AF358" t="s">
        <v>52</v>
      </c>
      <c r="AG358" t="s">
        <v>54</v>
      </c>
      <c r="AH358" t="s">
        <v>55</v>
      </c>
      <c r="AK358">
        <v>3</v>
      </c>
      <c r="AL358">
        <v>3</v>
      </c>
      <c r="AN358">
        <v>458</v>
      </c>
      <c r="AO358">
        <v>2</v>
      </c>
      <c r="AP358" t="s">
        <v>56</v>
      </c>
      <c r="AQ358" t="s">
        <v>109</v>
      </c>
      <c r="AR358">
        <v>7.97</v>
      </c>
      <c r="AS358">
        <v>0</v>
      </c>
      <c r="AT358" t="s">
        <v>56</v>
      </c>
      <c r="AU358">
        <v>1045</v>
      </c>
      <c r="AV358">
        <v>3</v>
      </c>
      <c r="AW358" t="s">
        <v>56</v>
      </c>
      <c r="AX358">
        <v>7.63</v>
      </c>
      <c r="AY358">
        <v>0</v>
      </c>
      <c r="AZ358" t="s">
        <v>56</v>
      </c>
      <c r="BB358">
        <f>LOG(AU358)</f>
        <v>3.019116290447073</v>
      </c>
      <c r="BC358">
        <v>-1.6</v>
      </c>
      <c r="BD358">
        <v>0</v>
      </c>
      <c r="BE358" t="s">
        <v>56</v>
      </c>
      <c r="BF358">
        <v>-1.6</v>
      </c>
      <c r="BG358">
        <v>0</v>
      </c>
      <c r="BH358" t="s">
        <v>56</v>
      </c>
      <c r="BI358">
        <v>587</v>
      </c>
      <c r="BJ358">
        <v>0</v>
      </c>
      <c r="BK358" t="s">
        <v>56</v>
      </c>
      <c r="BL358" t="s">
        <v>665</v>
      </c>
      <c r="BM358" t="s">
        <v>262</v>
      </c>
      <c r="BN358" t="s">
        <v>81</v>
      </c>
      <c r="BO358" t="s">
        <v>91</v>
      </c>
      <c r="BP358" t="s">
        <v>92</v>
      </c>
      <c r="BQ358" t="s">
        <v>92</v>
      </c>
      <c r="BR358" t="s">
        <v>63</v>
      </c>
      <c r="BT358">
        <v>5.98</v>
      </c>
      <c r="BU358">
        <v>5.9749999999999996</v>
      </c>
      <c r="BV358">
        <v>0.14000000000000001</v>
      </c>
      <c r="BW358">
        <f>BV358*SQRT(AK358)</f>
        <v>0.24248711305964282</v>
      </c>
      <c r="BX358">
        <v>2.97</v>
      </c>
      <c r="BY358">
        <v>2.9689999999999999</v>
      </c>
      <c r="BZ358">
        <v>2.14</v>
      </c>
      <c r="CA358">
        <f>BZ358*SQRT(AL358)</f>
        <v>3.7065887281973975</v>
      </c>
      <c r="CB358">
        <v>27</v>
      </c>
      <c r="CC358">
        <v>3</v>
      </c>
      <c r="CD358">
        <v>-0.69899999999999995</v>
      </c>
      <c r="CE358">
        <v>0.51870000000000005</v>
      </c>
    </row>
    <row r="359" spans="1:84" hidden="1" x14ac:dyDescent="0.2">
      <c r="B359" t="str">
        <f>ROW()-1&amp;"_AltersInvert"</f>
        <v>358_AltersInvert</v>
      </c>
      <c r="C359" t="str">
        <f>D359&amp;"_"&amp;
SUBSTITUTE(TRIM(V359)," ","_")&amp;"_"&amp;
TRIM(AC359)&amp;"_"&amp;
"CO2"&amp;TEXT(AN359,"0.00")&amp;"_"&amp;
"pH"&amp;TEXT(AR359,"0.00")&amp;"_"&amp;
"T"&amp;TEXT(BC359,"0.##")</f>
        <v>75_Laternula_elliptica_LARVA_CO2458.00_pH7.97_T-1.6</v>
      </c>
      <c r="D359">
        <v>75</v>
      </c>
      <c r="G359" t="s">
        <v>43</v>
      </c>
      <c r="H359" t="s">
        <v>662</v>
      </c>
      <c r="J359">
        <v>2017</v>
      </c>
      <c r="M359" t="s">
        <v>436</v>
      </c>
      <c r="P359" t="s">
        <v>1135</v>
      </c>
      <c r="R359" t="s">
        <v>1127</v>
      </c>
      <c r="S359" t="s">
        <v>1128</v>
      </c>
      <c r="T359" t="s">
        <v>68</v>
      </c>
      <c r="U359" t="s">
        <v>663</v>
      </c>
      <c r="V359" t="s">
        <v>664</v>
      </c>
      <c r="Z359" t="s">
        <v>475</v>
      </c>
      <c r="AA359" t="s">
        <v>475</v>
      </c>
      <c r="AB359" t="s">
        <v>71</v>
      </c>
      <c r="AC359" t="s">
        <v>72</v>
      </c>
      <c r="AD359" t="s">
        <v>52</v>
      </c>
      <c r="AE359" t="s">
        <v>53</v>
      </c>
      <c r="AF359" t="s">
        <v>52</v>
      </c>
      <c r="AG359" t="s">
        <v>54</v>
      </c>
      <c r="AH359" t="s">
        <v>55</v>
      </c>
      <c r="AK359">
        <v>3</v>
      </c>
      <c r="AL359">
        <v>3</v>
      </c>
      <c r="AN359">
        <v>458</v>
      </c>
      <c r="AO359">
        <v>2</v>
      </c>
      <c r="AP359" t="s">
        <v>56</v>
      </c>
      <c r="AQ359" t="s">
        <v>109</v>
      </c>
      <c r="AR359">
        <v>7.97</v>
      </c>
      <c r="AS359">
        <v>0</v>
      </c>
      <c r="AT359" t="s">
        <v>56</v>
      </c>
      <c r="AU359">
        <v>714</v>
      </c>
      <c r="AV359">
        <v>3</v>
      </c>
      <c r="AW359" t="s">
        <v>56</v>
      </c>
      <c r="AX359">
        <v>7.79</v>
      </c>
      <c r="AY359">
        <v>0</v>
      </c>
      <c r="AZ359" t="s">
        <v>56</v>
      </c>
      <c r="BB359">
        <f>LOG(AU359)</f>
        <v>2.8536982117761744</v>
      </c>
      <c r="BC359">
        <v>-1.6</v>
      </c>
      <c r="BD359">
        <v>0</v>
      </c>
      <c r="BE359" t="s">
        <v>56</v>
      </c>
      <c r="BF359">
        <v>-1.6</v>
      </c>
      <c r="BG359">
        <v>0</v>
      </c>
      <c r="BH359" t="s">
        <v>56</v>
      </c>
      <c r="BI359">
        <v>256</v>
      </c>
      <c r="BJ359">
        <v>0</v>
      </c>
      <c r="BK359" t="s">
        <v>56</v>
      </c>
      <c r="BL359" t="s">
        <v>665</v>
      </c>
      <c r="BM359" t="s">
        <v>262</v>
      </c>
      <c r="BN359" t="s">
        <v>81</v>
      </c>
      <c r="BO359" t="s">
        <v>91</v>
      </c>
      <c r="BP359" t="s">
        <v>92</v>
      </c>
      <c r="BQ359" t="s">
        <v>92</v>
      </c>
      <c r="BR359" t="s">
        <v>63</v>
      </c>
      <c r="BT359">
        <v>5.98</v>
      </c>
      <c r="BU359">
        <v>5.9749999999999996</v>
      </c>
      <c r="BV359">
        <v>0.14000000000000001</v>
      </c>
      <c r="BW359">
        <f>BV359*SQRT(AK359)</f>
        <v>0.24248711305964282</v>
      </c>
      <c r="BX359">
        <v>6.59</v>
      </c>
      <c r="BY359">
        <v>6.5910000000000002</v>
      </c>
      <c r="BZ359">
        <v>0.43</v>
      </c>
      <c r="CA359">
        <f>BZ359*SQRT(AL359)</f>
        <v>0.74478184725461716</v>
      </c>
      <c r="CB359">
        <v>27</v>
      </c>
      <c r="CC359">
        <v>3</v>
      </c>
      <c r="CD359">
        <v>9.8000000000000004E-2</v>
      </c>
      <c r="CE359">
        <v>4.8999999999999998E-3</v>
      </c>
      <c r="CF359" s="8"/>
    </row>
    <row r="360" spans="1:84" hidden="1" x14ac:dyDescent="0.2">
      <c r="B360" t="str">
        <f>ROW()-1&amp;"_AltersInvert"</f>
        <v>359_AltersInvert</v>
      </c>
      <c r="C360" t="str">
        <f>D360&amp;"_"&amp;
SUBSTITUTE(TRIM(V360)," ","_")&amp;"_"&amp;
TRIM(AC360)&amp;"_"&amp;
"CO2"&amp;TEXT(AN360,"0.00")&amp;"_"&amp;
"pH"&amp;TEXT(AR360,"0.00")&amp;"_"&amp;
"T"&amp;TEXT(BC360,"0.##")</f>
        <v>75_Laternula_elliptica_LARVA_CO2458.00_pH7.97_T-1.6</v>
      </c>
      <c r="D360">
        <v>75</v>
      </c>
      <c r="G360" t="s">
        <v>43</v>
      </c>
      <c r="H360" t="s">
        <v>662</v>
      </c>
      <c r="J360">
        <v>2017</v>
      </c>
      <c r="M360" t="s">
        <v>436</v>
      </c>
      <c r="P360" t="s">
        <v>1135</v>
      </c>
      <c r="R360" t="s">
        <v>1127</v>
      </c>
      <c r="S360" t="s">
        <v>1128</v>
      </c>
      <c r="T360" t="s">
        <v>68</v>
      </c>
      <c r="U360" t="s">
        <v>663</v>
      </c>
      <c r="V360" t="s">
        <v>664</v>
      </c>
      <c r="Z360" t="s">
        <v>475</v>
      </c>
      <c r="AA360" t="s">
        <v>475</v>
      </c>
      <c r="AB360" t="s">
        <v>71</v>
      </c>
      <c r="AC360" t="s">
        <v>72</v>
      </c>
      <c r="AD360" t="s">
        <v>52</v>
      </c>
      <c r="AE360" t="s">
        <v>53</v>
      </c>
      <c r="AF360" t="s">
        <v>54</v>
      </c>
      <c r="AG360" t="s">
        <v>52</v>
      </c>
      <c r="AH360" t="s">
        <v>65</v>
      </c>
      <c r="AK360">
        <v>3</v>
      </c>
      <c r="AL360">
        <v>3</v>
      </c>
      <c r="AN360">
        <v>458</v>
      </c>
      <c r="AO360">
        <v>2</v>
      </c>
      <c r="AP360" t="s">
        <v>56</v>
      </c>
      <c r="AQ360" t="s">
        <v>109</v>
      </c>
      <c r="AR360">
        <v>7.97</v>
      </c>
      <c r="AS360">
        <v>0</v>
      </c>
      <c r="AT360" t="s">
        <v>56</v>
      </c>
      <c r="AU360">
        <v>460</v>
      </c>
      <c r="AV360">
        <v>2</v>
      </c>
      <c r="AW360" t="s">
        <v>56</v>
      </c>
      <c r="AX360">
        <v>7.99</v>
      </c>
      <c r="AY360">
        <v>0</v>
      </c>
      <c r="AZ360" t="s">
        <v>56</v>
      </c>
      <c r="BB360">
        <f>LOG(AU360)</f>
        <v>2.6627578316815739</v>
      </c>
      <c r="BC360">
        <v>-1.6</v>
      </c>
      <c r="BD360">
        <v>0</v>
      </c>
      <c r="BE360" t="s">
        <v>56</v>
      </c>
      <c r="BF360">
        <v>-0.5</v>
      </c>
      <c r="BG360">
        <v>0</v>
      </c>
      <c r="BH360" t="s">
        <v>56</v>
      </c>
      <c r="BI360">
        <v>2</v>
      </c>
      <c r="BJ360">
        <v>1.1000000000000001</v>
      </c>
      <c r="BK360" t="s">
        <v>56</v>
      </c>
      <c r="BL360" t="s">
        <v>665</v>
      </c>
      <c r="BM360" t="s">
        <v>262</v>
      </c>
      <c r="BN360" t="s">
        <v>81</v>
      </c>
      <c r="BO360" t="s">
        <v>91</v>
      </c>
      <c r="BP360" t="s">
        <v>92</v>
      </c>
      <c r="BQ360" t="s">
        <v>92</v>
      </c>
      <c r="BR360" t="s">
        <v>63</v>
      </c>
      <c r="BT360">
        <v>5.98</v>
      </c>
      <c r="BU360">
        <v>5.9749999999999996</v>
      </c>
      <c r="BV360">
        <v>0.14000000000000001</v>
      </c>
      <c r="BW360">
        <f>BV360*SQRT(AK360)</f>
        <v>0.24248711305964282</v>
      </c>
      <c r="BX360">
        <v>7.64</v>
      </c>
      <c r="BY360">
        <v>7.64</v>
      </c>
      <c r="BZ360">
        <v>0.62</v>
      </c>
      <c r="CA360">
        <f>BZ360*SQRT(AL360)</f>
        <v>1.0738715006927038</v>
      </c>
      <c r="CB360">
        <v>27</v>
      </c>
      <c r="CC360">
        <v>3</v>
      </c>
      <c r="CD360">
        <v>0.246</v>
      </c>
      <c r="CE360">
        <v>7.1000000000000004E-3</v>
      </c>
      <c r="CF360" s="8"/>
    </row>
    <row r="361" spans="1:84" hidden="1" x14ac:dyDescent="0.2">
      <c r="B361" t="str">
        <f>ROW()-1&amp;"_AltersInvert"</f>
        <v>360_AltersInvert</v>
      </c>
      <c r="C361" t="str">
        <f>D361&amp;"_"&amp;
SUBSTITUTE(TRIM(V361)," ","_")&amp;"_"&amp;
TRIM(AC361)&amp;"_"&amp;
"CO2"&amp;TEXT(AN361,"0.00")&amp;"_"&amp;
"pH"&amp;TEXT(AR361,"0.00")&amp;"_"&amp;
"T"&amp;TEXT(BC361,"0.##")</f>
        <v>75_Laternula_elliptica_LARVA_CO2458.00_pH7.97_T-1.6</v>
      </c>
      <c r="D361">
        <v>75</v>
      </c>
      <c r="G361" t="s">
        <v>43</v>
      </c>
      <c r="H361" t="s">
        <v>662</v>
      </c>
      <c r="J361">
        <v>2017</v>
      </c>
      <c r="M361" t="s">
        <v>436</v>
      </c>
      <c r="P361" t="s">
        <v>1135</v>
      </c>
      <c r="R361" t="s">
        <v>1127</v>
      </c>
      <c r="S361" t="s">
        <v>1128</v>
      </c>
      <c r="T361" t="s">
        <v>68</v>
      </c>
      <c r="U361" t="s">
        <v>663</v>
      </c>
      <c r="V361" t="s">
        <v>664</v>
      </c>
      <c r="Z361" t="s">
        <v>475</v>
      </c>
      <c r="AA361" t="s">
        <v>475</v>
      </c>
      <c r="AB361" t="s">
        <v>71</v>
      </c>
      <c r="AC361" t="s">
        <v>72</v>
      </c>
      <c r="AD361" t="s">
        <v>52</v>
      </c>
      <c r="AE361" t="s">
        <v>53</v>
      </c>
      <c r="AF361" t="s">
        <v>54</v>
      </c>
      <c r="AG361" t="s">
        <v>52</v>
      </c>
      <c r="AH361" t="s">
        <v>65</v>
      </c>
      <c r="AK361">
        <v>3</v>
      </c>
      <c r="AL361">
        <v>3</v>
      </c>
      <c r="AN361">
        <v>458</v>
      </c>
      <c r="AO361">
        <v>2</v>
      </c>
      <c r="AP361" t="s">
        <v>56</v>
      </c>
      <c r="AQ361" t="s">
        <v>109</v>
      </c>
      <c r="AR361">
        <v>7.97</v>
      </c>
      <c r="AS361">
        <v>0</v>
      </c>
      <c r="AT361" t="s">
        <v>56</v>
      </c>
      <c r="AU361">
        <v>462</v>
      </c>
      <c r="AV361">
        <v>2</v>
      </c>
      <c r="AW361" t="s">
        <v>56</v>
      </c>
      <c r="AX361">
        <v>7.99</v>
      </c>
      <c r="AY361">
        <v>0</v>
      </c>
      <c r="AZ361" t="s">
        <v>56</v>
      </c>
      <c r="BB361">
        <f>LOG(AU361)</f>
        <v>2.6646419755561257</v>
      </c>
      <c r="BC361">
        <v>-1.6</v>
      </c>
      <c r="BD361">
        <v>0</v>
      </c>
      <c r="BE361" t="s">
        <v>56</v>
      </c>
      <c r="BF361">
        <v>0.4</v>
      </c>
      <c r="BG361">
        <v>0</v>
      </c>
      <c r="BH361" t="s">
        <v>56</v>
      </c>
      <c r="BI361">
        <v>4</v>
      </c>
      <c r="BJ361">
        <v>2</v>
      </c>
      <c r="BK361" t="s">
        <v>56</v>
      </c>
      <c r="BL361" t="s">
        <v>665</v>
      </c>
      <c r="BM361" t="s">
        <v>262</v>
      </c>
      <c r="BN361" t="s">
        <v>81</v>
      </c>
      <c r="BO361" t="s">
        <v>91</v>
      </c>
      <c r="BP361" t="s">
        <v>92</v>
      </c>
      <c r="BQ361" t="s">
        <v>92</v>
      </c>
      <c r="BR361" t="s">
        <v>63</v>
      </c>
      <c r="BT361">
        <v>5.98</v>
      </c>
      <c r="BU361">
        <v>5.9749999999999996</v>
      </c>
      <c r="BV361">
        <v>0.14000000000000001</v>
      </c>
      <c r="BW361">
        <f>BV361*SQRT(AK361)</f>
        <v>0.24248711305964282</v>
      </c>
      <c r="BX361">
        <v>7.97</v>
      </c>
      <c r="BY361">
        <v>7.9669999999999996</v>
      </c>
      <c r="BZ361">
        <v>0.33</v>
      </c>
      <c r="CA361">
        <f>BZ361*SQRT(AL361)</f>
        <v>0.57157676649772948</v>
      </c>
      <c r="CB361">
        <v>27</v>
      </c>
      <c r="CC361">
        <v>3</v>
      </c>
      <c r="CD361">
        <v>0.28799999999999998</v>
      </c>
      <c r="CE361">
        <v>2.3E-3</v>
      </c>
      <c r="CF361" s="8"/>
    </row>
    <row r="362" spans="1:84" hidden="1" x14ac:dyDescent="0.2">
      <c r="B362" t="str">
        <f>ROW()-1&amp;"_AltersInvert"</f>
        <v>361_AltersInvert</v>
      </c>
      <c r="C362" t="str">
        <f>D362&amp;"_"&amp;
SUBSTITUTE(TRIM(V362)," ","_")&amp;"_"&amp;
TRIM(AC362)&amp;"_"&amp;
"CO2"&amp;TEXT(AN362,"0.00")&amp;"_"&amp;
"pH"&amp;TEXT(AR362,"0.00")&amp;"_"&amp;
"T"&amp;TEXT(BC362,"0.##")</f>
        <v>75_Laternula_elliptica_LARVA_CO2458.00_pH7.97_T-1.6</v>
      </c>
      <c r="D362">
        <v>75</v>
      </c>
      <c r="G362" t="s">
        <v>43</v>
      </c>
      <c r="H362" t="s">
        <v>662</v>
      </c>
      <c r="J362">
        <v>2017</v>
      </c>
      <c r="M362" t="s">
        <v>436</v>
      </c>
      <c r="P362" t="s">
        <v>1135</v>
      </c>
      <c r="R362" t="s">
        <v>1127</v>
      </c>
      <c r="S362" t="s">
        <v>1128</v>
      </c>
      <c r="T362" t="s">
        <v>68</v>
      </c>
      <c r="U362" t="s">
        <v>663</v>
      </c>
      <c r="V362" t="s">
        <v>664</v>
      </c>
      <c r="Z362" t="s">
        <v>475</v>
      </c>
      <c r="AA362" t="s">
        <v>475</v>
      </c>
      <c r="AB362" t="s">
        <v>71</v>
      </c>
      <c r="AC362" t="s">
        <v>72</v>
      </c>
      <c r="AD362" t="s">
        <v>52</v>
      </c>
      <c r="AE362" t="s">
        <v>53</v>
      </c>
      <c r="AF362" t="s">
        <v>52</v>
      </c>
      <c r="AG362" t="s">
        <v>52</v>
      </c>
      <c r="AH362" t="s">
        <v>64</v>
      </c>
      <c r="AK362">
        <v>3</v>
      </c>
      <c r="AL362">
        <v>3</v>
      </c>
      <c r="AN362">
        <v>458</v>
      </c>
      <c r="AO362">
        <v>2</v>
      </c>
      <c r="AP362" t="s">
        <v>56</v>
      </c>
      <c r="AQ362" t="s">
        <v>109</v>
      </c>
      <c r="AR362">
        <v>7.97</v>
      </c>
      <c r="AS362">
        <v>0</v>
      </c>
      <c r="AT362" t="s">
        <v>56</v>
      </c>
      <c r="AU362">
        <v>704</v>
      </c>
      <c r="AV362">
        <v>2</v>
      </c>
      <c r="AW362" t="s">
        <v>56</v>
      </c>
      <c r="AX362">
        <v>7.8</v>
      </c>
      <c r="AY362">
        <v>0</v>
      </c>
      <c r="AZ362" t="s">
        <v>56</v>
      </c>
      <c r="BB362">
        <f>LOG(AU362)</f>
        <v>2.847572659142112</v>
      </c>
      <c r="BC362">
        <v>-1.6</v>
      </c>
      <c r="BD362">
        <v>0</v>
      </c>
      <c r="BE362" t="s">
        <v>56</v>
      </c>
      <c r="BF362">
        <v>-0.5</v>
      </c>
      <c r="BG362">
        <v>0</v>
      </c>
      <c r="BH362" t="s">
        <v>56</v>
      </c>
      <c r="BI362">
        <v>245</v>
      </c>
      <c r="BJ362">
        <v>1.1000000000000001</v>
      </c>
      <c r="BK362" t="s">
        <v>56</v>
      </c>
      <c r="BL362" t="s">
        <v>665</v>
      </c>
      <c r="BM362" t="s">
        <v>262</v>
      </c>
      <c r="BN362" t="s">
        <v>81</v>
      </c>
      <c r="BO362" t="s">
        <v>91</v>
      </c>
      <c r="BP362" t="s">
        <v>92</v>
      </c>
      <c r="BQ362" t="s">
        <v>92</v>
      </c>
      <c r="BR362" t="s">
        <v>63</v>
      </c>
      <c r="BT362">
        <v>5.98</v>
      </c>
      <c r="BU362">
        <v>5.9749999999999996</v>
      </c>
      <c r="BV362">
        <v>0.14000000000000001</v>
      </c>
      <c r="BW362">
        <f>BV362*SQRT(AK362)</f>
        <v>0.24248711305964282</v>
      </c>
      <c r="BX362">
        <v>6.16</v>
      </c>
      <c r="BY362">
        <v>6.1559999999999997</v>
      </c>
      <c r="BZ362">
        <v>0.11</v>
      </c>
      <c r="CA362">
        <f>BZ362*SQRT(AL362)</f>
        <v>0.1905255888325765</v>
      </c>
      <c r="CB362">
        <v>27</v>
      </c>
      <c r="CC362">
        <v>3</v>
      </c>
      <c r="CD362">
        <v>0.03</v>
      </c>
      <c r="CE362">
        <v>8.9999999999999998E-4</v>
      </c>
    </row>
    <row r="363" spans="1:84" hidden="1" x14ac:dyDescent="0.2">
      <c r="B363" t="str">
        <f>ROW()-1&amp;"_AltersInvert"</f>
        <v>362_AltersInvert</v>
      </c>
      <c r="C363" t="str">
        <f>D363&amp;"_"&amp;
SUBSTITUTE(TRIM(V363)," ","_")&amp;"_"&amp;
TRIM(AC363)&amp;"_"&amp;
"CO2"&amp;TEXT(AN363,"0.00")&amp;"_"&amp;
"pH"&amp;TEXT(AR363,"0.00")&amp;"_"&amp;
"T"&amp;TEXT(BC363,"0.##")</f>
        <v>75_Laternula_elliptica_LARVA_CO2458.00_pH7.97_T-1.6</v>
      </c>
      <c r="D363">
        <v>75</v>
      </c>
      <c r="G363" t="s">
        <v>43</v>
      </c>
      <c r="H363" t="s">
        <v>662</v>
      </c>
      <c r="J363">
        <v>2017</v>
      </c>
      <c r="M363" t="s">
        <v>436</v>
      </c>
      <c r="P363" t="s">
        <v>1135</v>
      </c>
      <c r="R363" t="s">
        <v>1127</v>
      </c>
      <c r="S363" t="s">
        <v>1128</v>
      </c>
      <c r="T363" t="s">
        <v>68</v>
      </c>
      <c r="U363" t="s">
        <v>663</v>
      </c>
      <c r="V363" t="s">
        <v>664</v>
      </c>
      <c r="Z363" t="s">
        <v>475</v>
      </c>
      <c r="AA363" t="s">
        <v>475</v>
      </c>
      <c r="AB363" t="s">
        <v>71</v>
      </c>
      <c r="AC363" t="s">
        <v>72</v>
      </c>
      <c r="AD363" t="s">
        <v>52</v>
      </c>
      <c r="AE363" t="s">
        <v>53</v>
      </c>
      <c r="AF363" t="s">
        <v>52</v>
      </c>
      <c r="AG363" t="s">
        <v>52</v>
      </c>
      <c r="AH363" t="s">
        <v>64</v>
      </c>
      <c r="AK363">
        <v>3</v>
      </c>
      <c r="AL363">
        <v>3</v>
      </c>
      <c r="AN363">
        <v>458</v>
      </c>
      <c r="AO363">
        <v>2</v>
      </c>
      <c r="AP363" t="s">
        <v>56</v>
      </c>
      <c r="AQ363" t="s">
        <v>109</v>
      </c>
      <c r="AR363">
        <v>7.97</v>
      </c>
      <c r="AS363">
        <v>0</v>
      </c>
      <c r="AT363" t="s">
        <v>56</v>
      </c>
      <c r="AU363">
        <v>1021</v>
      </c>
      <c r="AV363">
        <v>3</v>
      </c>
      <c r="AW363" t="s">
        <v>56</v>
      </c>
      <c r="AX363">
        <v>7.64</v>
      </c>
      <c r="AY363">
        <v>0</v>
      </c>
      <c r="AZ363" t="s">
        <v>56</v>
      </c>
      <c r="BB363">
        <f>LOG(AU363)</f>
        <v>3.0090257420869104</v>
      </c>
      <c r="BC363">
        <v>-1.6</v>
      </c>
      <c r="BD363">
        <v>0</v>
      </c>
      <c r="BE363" t="s">
        <v>56</v>
      </c>
      <c r="BF363">
        <v>-0.5</v>
      </c>
      <c r="BG363">
        <v>0</v>
      </c>
      <c r="BH363" t="s">
        <v>56</v>
      </c>
      <c r="BI363">
        <v>562</v>
      </c>
      <c r="BJ363">
        <v>1.1000000000000001</v>
      </c>
      <c r="BK363" t="s">
        <v>56</v>
      </c>
      <c r="BL363" t="s">
        <v>665</v>
      </c>
      <c r="BM363" t="s">
        <v>262</v>
      </c>
      <c r="BN363" t="s">
        <v>81</v>
      </c>
      <c r="BO363" t="s">
        <v>91</v>
      </c>
      <c r="BP363" t="s">
        <v>92</v>
      </c>
      <c r="BQ363" t="s">
        <v>92</v>
      </c>
      <c r="BR363" t="s">
        <v>63</v>
      </c>
      <c r="BT363">
        <v>5.98</v>
      </c>
      <c r="BU363">
        <v>5.9749999999999996</v>
      </c>
      <c r="BV363">
        <v>0.14000000000000001</v>
      </c>
      <c r="BW363">
        <f>BV363*SQRT(AK363)</f>
        <v>0.24248711305964282</v>
      </c>
      <c r="BX363">
        <v>8.94</v>
      </c>
      <c r="BY363">
        <v>8.9440000000000008</v>
      </c>
      <c r="BZ363">
        <v>0.57999999999999996</v>
      </c>
      <c r="CA363">
        <f>BZ363*SQRT(AL363)</f>
        <v>1.0045894683899488</v>
      </c>
      <c r="CB363">
        <v>27</v>
      </c>
      <c r="CC363">
        <v>3</v>
      </c>
      <c r="CD363">
        <v>0.40300000000000002</v>
      </c>
      <c r="CE363">
        <v>4.7999999999999996E-3</v>
      </c>
      <c r="CF363" s="8"/>
    </row>
    <row r="364" spans="1:84" hidden="1" x14ac:dyDescent="0.2">
      <c r="B364" t="str">
        <f>ROW()-1&amp;"_AltersInvert"</f>
        <v>363_AltersInvert</v>
      </c>
      <c r="C364" t="str">
        <f>D364&amp;"_"&amp;
SUBSTITUTE(TRIM(V364)," ","_")&amp;"_"&amp;
TRIM(AC364)&amp;"_"&amp;
"CO2"&amp;TEXT(AN364,"0.00")&amp;"_"&amp;
"pH"&amp;TEXT(AR364,"0.00")&amp;"_"&amp;
"T"&amp;TEXT(BC364,"0.##")</f>
        <v>75_Laternula_elliptica_LARVA_CO2458.00_pH7.97_T-1.6</v>
      </c>
      <c r="D364">
        <v>75</v>
      </c>
      <c r="G364" t="s">
        <v>43</v>
      </c>
      <c r="H364" t="s">
        <v>662</v>
      </c>
      <c r="J364">
        <v>2017</v>
      </c>
      <c r="M364" t="s">
        <v>436</v>
      </c>
      <c r="P364" t="s">
        <v>1135</v>
      </c>
      <c r="R364" t="s">
        <v>1127</v>
      </c>
      <c r="S364" t="s">
        <v>1128</v>
      </c>
      <c r="T364" t="s">
        <v>68</v>
      </c>
      <c r="U364" t="s">
        <v>663</v>
      </c>
      <c r="V364" t="s">
        <v>664</v>
      </c>
      <c r="Z364" t="s">
        <v>475</v>
      </c>
      <c r="AA364" t="s">
        <v>475</v>
      </c>
      <c r="AB364" t="s">
        <v>71</v>
      </c>
      <c r="AC364" t="s">
        <v>72</v>
      </c>
      <c r="AD364" t="s">
        <v>52</v>
      </c>
      <c r="AE364" t="s">
        <v>53</v>
      </c>
      <c r="AF364" t="s">
        <v>52</v>
      </c>
      <c r="AG364" t="s">
        <v>52</v>
      </c>
      <c r="AH364" t="s">
        <v>64</v>
      </c>
      <c r="AK364">
        <v>3</v>
      </c>
      <c r="AL364">
        <v>3</v>
      </c>
      <c r="AN364">
        <v>458</v>
      </c>
      <c r="AO364">
        <v>2</v>
      </c>
      <c r="AP364" t="s">
        <v>56</v>
      </c>
      <c r="AQ364" t="s">
        <v>109</v>
      </c>
      <c r="AR364">
        <v>7.97</v>
      </c>
      <c r="AS364">
        <v>0</v>
      </c>
      <c r="AT364" t="s">
        <v>56</v>
      </c>
      <c r="AU364">
        <v>1052</v>
      </c>
      <c r="AV364">
        <v>4</v>
      </c>
      <c r="AW364" t="s">
        <v>56</v>
      </c>
      <c r="AX364">
        <v>7.63</v>
      </c>
      <c r="AY364">
        <v>0</v>
      </c>
      <c r="AZ364" t="s">
        <v>56</v>
      </c>
      <c r="BB364">
        <f>LOG(AU364)</f>
        <v>3.0220157398177201</v>
      </c>
      <c r="BC364">
        <v>-1.6</v>
      </c>
      <c r="BD364">
        <v>0</v>
      </c>
      <c r="BE364" t="s">
        <v>56</v>
      </c>
      <c r="BF364">
        <v>0.4</v>
      </c>
      <c r="BG364">
        <v>0</v>
      </c>
      <c r="BH364" t="s">
        <v>56</v>
      </c>
      <c r="BI364">
        <v>594</v>
      </c>
      <c r="BJ364">
        <v>2</v>
      </c>
      <c r="BK364" t="s">
        <v>56</v>
      </c>
      <c r="BL364" t="s">
        <v>665</v>
      </c>
      <c r="BM364" t="s">
        <v>262</v>
      </c>
      <c r="BN364" t="s">
        <v>81</v>
      </c>
      <c r="BO364" t="s">
        <v>91</v>
      </c>
      <c r="BP364" t="s">
        <v>92</v>
      </c>
      <c r="BQ364" t="s">
        <v>92</v>
      </c>
      <c r="BR364" t="s">
        <v>63</v>
      </c>
      <c r="BT364">
        <v>5.98</v>
      </c>
      <c r="BU364">
        <v>5.9749999999999996</v>
      </c>
      <c r="BV364">
        <v>0.14000000000000001</v>
      </c>
      <c r="BW364">
        <f>BV364*SQRT(AK364)</f>
        <v>0.24248711305964282</v>
      </c>
      <c r="BX364">
        <v>10.14</v>
      </c>
      <c r="BY364">
        <v>10.14</v>
      </c>
      <c r="BZ364">
        <v>1.34</v>
      </c>
      <c r="CA364">
        <f>BZ364*SQRT(AL364)</f>
        <v>2.3209480821422956</v>
      </c>
      <c r="CB364">
        <v>27</v>
      </c>
      <c r="CC364">
        <v>3</v>
      </c>
      <c r="CD364">
        <v>0.52900000000000003</v>
      </c>
      <c r="CE364">
        <v>1.7999999999999999E-2</v>
      </c>
      <c r="CF364" s="8"/>
    </row>
    <row r="365" spans="1:84" hidden="1" x14ac:dyDescent="0.2">
      <c r="B365" t="str">
        <f>ROW()-1&amp;"_AltersInvert"</f>
        <v>364_AltersInvert</v>
      </c>
      <c r="C365" t="str">
        <f>D365&amp;"_"&amp;
SUBSTITUTE(TRIM(V365)," ","_")&amp;"_"&amp;
TRIM(AC365)&amp;"_"&amp;
"CO2"&amp;TEXT(AN365,"0.00")&amp;"_"&amp;
"pH"&amp;TEXT(AR365,"0.00")&amp;"_"&amp;
"T"&amp;TEXT(BC365,"0.##")</f>
        <v>52_Pocillopora_damicornis_LARVA_CO2494.00_pH7.97_T27.8</v>
      </c>
      <c r="D365">
        <v>52</v>
      </c>
      <c r="G365" t="s">
        <v>43</v>
      </c>
      <c r="H365" t="s">
        <v>536</v>
      </c>
      <c r="J365">
        <v>2017</v>
      </c>
      <c r="M365" t="s">
        <v>174</v>
      </c>
      <c r="P365" t="s">
        <v>1135</v>
      </c>
      <c r="R365" t="s">
        <v>1127</v>
      </c>
      <c r="S365" t="s">
        <v>1128</v>
      </c>
      <c r="T365" t="s">
        <v>103</v>
      </c>
      <c r="U365" t="s">
        <v>201</v>
      </c>
      <c r="V365" t="s">
        <v>214</v>
      </c>
      <c r="Z365" t="s">
        <v>106</v>
      </c>
      <c r="AA365" t="s">
        <v>107</v>
      </c>
      <c r="AB365" t="s">
        <v>71</v>
      </c>
      <c r="AC365" t="s">
        <v>72</v>
      </c>
      <c r="AD365" t="s">
        <v>52</v>
      </c>
      <c r="AE365" t="s">
        <v>53</v>
      </c>
      <c r="AF365" t="s">
        <v>52</v>
      </c>
      <c r="AG365" t="s">
        <v>54</v>
      </c>
      <c r="AH365" t="s">
        <v>55</v>
      </c>
      <c r="AK365">
        <v>20</v>
      </c>
      <c r="AL365">
        <v>20</v>
      </c>
      <c r="AM365" t="s">
        <v>364</v>
      </c>
      <c r="AN365">
        <v>494</v>
      </c>
      <c r="AO365">
        <v>9</v>
      </c>
      <c r="AP365" t="s">
        <v>56</v>
      </c>
      <c r="AQ365" t="s">
        <v>109</v>
      </c>
      <c r="AR365">
        <v>7.97</v>
      </c>
      <c r="AS365">
        <v>0.01</v>
      </c>
      <c r="AT365" t="s">
        <v>56</v>
      </c>
      <c r="AU365">
        <v>923</v>
      </c>
      <c r="AV365">
        <v>14</v>
      </c>
      <c r="AW365" t="s">
        <v>56</v>
      </c>
      <c r="AX365">
        <v>7.73</v>
      </c>
      <c r="AY365">
        <v>0.01</v>
      </c>
      <c r="AZ365" t="s">
        <v>56</v>
      </c>
      <c r="BB365">
        <f>LOG(AU365)</f>
        <v>2.965201701025912</v>
      </c>
      <c r="BC365">
        <v>27.8</v>
      </c>
      <c r="BD365">
        <v>0.2</v>
      </c>
      <c r="BE365" t="s">
        <v>56</v>
      </c>
      <c r="BF365">
        <v>27.7</v>
      </c>
      <c r="BG365">
        <v>0.2</v>
      </c>
      <c r="BH365" t="s">
        <v>56</v>
      </c>
      <c r="BI365">
        <v>429</v>
      </c>
      <c r="BJ365">
        <v>-0.1</v>
      </c>
      <c r="BK365" t="s">
        <v>539</v>
      </c>
      <c r="BL365" t="s">
        <v>538</v>
      </c>
      <c r="BM365" t="s">
        <v>90</v>
      </c>
      <c r="BN365" t="s">
        <v>81</v>
      </c>
      <c r="BO365" t="s">
        <v>180</v>
      </c>
      <c r="BP365" t="s">
        <v>92</v>
      </c>
      <c r="BQ365" t="s">
        <v>92</v>
      </c>
      <c r="BR365" t="s">
        <v>63</v>
      </c>
      <c r="BT365">
        <v>-0.39</v>
      </c>
      <c r="BU365">
        <v>-0.39474799999999999</v>
      </c>
      <c r="BV365">
        <v>0.06</v>
      </c>
      <c r="BW365">
        <f>BV365*SQRT(AK365)</f>
        <v>0.26832815729997478</v>
      </c>
      <c r="BX365">
        <v>-0.21</v>
      </c>
      <c r="BY365">
        <v>-0.20962800000000001</v>
      </c>
      <c r="BZ365">
        <v>7.0000000000000007E-2</v>
      </c>
      <c r="CA365">
        <f>BZ365*SQRT(AL365)</f>
        <v>0.31304951684997062</v>
      </c>
      <c r="CB365">
        <v>1</v>
      </c>
      <c r="CC365">
        <v>2</v>
      </c>
      <c r="CD365">
        <v>0.63300000000000001</v>
      </c>
      <c r="CE365">
        <v>0.1234</v>
      </c>
    </row>
    <row r="366" spans="1:84" hidden="1" x14ac:dyDescent="0.2">
      <c r="B366" t="str">
        <f>ROW()-1&amp;"_AltersInvert"</f>
        <v>365_AltersInvert</v>
      </c>
      <c r="C366" t="str">
        <f>D366&amp;"_"&amp;
SUBSTITUTE(TRIM(V366)," ","_")&amp;"_"&amp;
TRIM(AC366)&amp;"_"&amp;
"CO2"&amp;TEXT(AN366,"0.00")&amp;"_"&amp;
"pH"&amp;TEXT(AR366,"0.00")&amp;"_"&amp;
"T"&amp;TEXT(BC366,"0.##")</f>
        <v>52_Pocillopora_damicornis_LARVA_CO2494.00_pH7.97_T27.8</v>
      </c>
      <c r="D366">
        <v>52</v>
      </c>
      <c r="G366" t="s">
        <v>43</v>
      </c>
      <c r="H366" t="s">
        <v>536</v>
      </c>
      <c r="J366">
        <v>2017</v>
      </c>
      <c r="M366" t="s">
        <v>174</v>
      </c>
      <c r="P366" t="s">
        <v>1135</v>
      </c>
      <c r="R366" t="s">
        <v>1127</v>
      </c>
      <c r="S366" t="s">
        <v>1128</v>
      </c>
      <c r="T366" t="s">
        <v>103</v>
      </c>
      <c r="U366" t="s">
        <v>201</v>
      </c>
      <c r="V366" t="s">
        <v>214</v>
      </c>
      <c r="Z366" t="s">
        <v>106</v>
      </c>
      <c r="AA366" t="s">
        <v>107</v>
      </c>
      <c r="AB366" t="s">
        <v>71</v>
      </c>
      <c r="AC366" t="s">
        <v>72</v>
      </c>
      <c r="AD366" t="s">
        <v>52</v>
      </c>
      <c r="AE366" t="s">
        <v>53</v>
      </c>
      <c r="AF366" t="s">
        <v>54</v>
      </c>
      <c r="AG366" t="s">
        <v>52</v>
      </c>
      <c r="AH366" t="s">
        <v>65</v>
      </c>
      <c r="AK366">
        <v>20</v>
      </c>
      <c r="AL366">
        <v>20</v>
      </c>
      <c r="AM366" t="s">
        <v>364</v>
      </c>
      <c r="AN366">
        <v>494</v>
      </c>
      <c r="AO366">
        <v>9</v>
      </c>
      <c r="AP366" t="s">
        <v>56</v>
      </c>
      <c r="AQ366" t="s">
        <v>109</v>
      </c>
      <c r="AR366">
        <v>7.97</v>
      </c>
      <c r="AS366">
        <v>0.01</v>
      </c>
      <c r="AT366" t="s">
        <v>56</v>
      </c>
      <c r="AU366">
        <v>487</v>
      </c>
      <c r="AV366">
        <v>9</v>
      </c>
      <c r="AW366" t="s">
        <v>56</v>
      </c>
      <c r="AX366">
        <v>7.98</v>
      </c>
      <c r="AY366">
        <v>0.01</v>
      </c>
      <c r="AZ366" t="s">
        <v>56</v>
      </c>
      <c r="BB366">
        <f>LOG(AU366)</f>
        <v>2.6875289612146345</v>
      </c>
      <c r="BC366">
        <v>27.8</v>
      </c>
      <c r="BD366">
        <v>0.2</v>
      </c>
      <c r="BE366" t="s">
        <v>56</v>
      </c>
      <c r="BF366">
        <v>30.5</v>
      </c>
      <c r="BG366">
        <v>0.1</v>
      </c>
      <c r="BH366" t="s">
        <v>56</v>
      </c>
      <c r="BI366">
        <v>-7</v>
      </c>
      <c r="BJ366">
        <v>2.8</v>
      </c>
      <c r="BK366" t="s">
        <v>539</v>
      </c>
      <c r="BL366" t="s">
        <v>538</v>
      </c>
      <c r="BM366" t="s">
        <v>90</v>
      </c>
      <c r="BN366" t="s">
        <v>81</v>
      </c>
      <c r="BO366" t="s">
        <v>180</v>
      </c>
      <c r="BP366" t="s">
        <v>92</v>
      </c>
      <c r="BQ366" t="s">
        <v>92</v>
      </c>
      <c r="BR366" t="s">
        <v>63</v>
      </c>
      <c r="BT366">
        <v>-0.39</v>
      </c>
      <c r="BU366">
        <v>-0.39474799999999999</v>
      </c>
      <c r="BV366">
        <v>0.06</v>
      </c>
      <c r="BW366">
        <f>BV366*SQRT(AK366)</f>
        <v>0.26832815729997478</v>
      </c>
      <c r="BX366">
        <v>-0.35</v>
      </c>
      <c r="BY366">
        <v>-0.35273520000000003</v>
      </c>
      <c r="BZ366">
        <v>0.05</v>
      </c>
      <c r="CA366">
        <f>BZ366*SQRT(AL366)</f>
        <v>0.22360679774997899</v>
      </c>
      <c r="CB366">
        <v>1</v>
      </c>
      <c r="CC366">
        <v>2</v>
      </c>
      <c r="CD366">
        <v>0.113</v>
      </c>
      <c r="CE366">
        <v>4.0399999999999998E-2</v>
      </c>
    </row>
    <row r="367" spans="1:84" hidden="1" x14ac:dyDescent="0.2">
      <c r="B367" t="str">
        <f>ROW()-1&amp;"_AltersInvert"</f>
        <v>366_AltersInvert</v>
      </c>
      <c r="C367" t="str">
        <f>D367&amp;"_"&amp;
SUBSTITUTE(TRIM(V367)," ","_")&amp;"_"&amp;
TRIM(AC367)&amp;"_"&amp;
"CO2"&amp;TEXT(AN367,"0.00")&amp;"_"&amp;
"pH"&amp;TEXT(AR367,"0.00")&amp;"_"&amp;
"T"&amp;TEXT(BC367,"0.##")</f>
        <v>52_Pocillopora_damicornis_LARVA_CO2494.00_pH7.97_T27.8</v>
      </c>
      <c r="D367">
        <v>52</v>
      </c>
      <c r="G367" t="s">
        <v>43</v>
      </c>
      <c r="H367" t="s">
        <v>536</v>
      </c>
      <c r="J367">
        <v>2017</v>
      </c>
      <c r="M367" t="s">
        <v>174</v>
      </c>
      <c r="P367" t="s">
        <v>1135</v>
      </c>
      <c r="R367" t="s">
        <v>1127</v>
      </c>
      <c r="S367" t="s">
        <v>1128</v>
      </c>
      <c r="T367" t="s">
        <v>103</v>
      </c>
      <c r="U367" t="s">
        <v>201</v>
      </c>
      <c r="V367" t="s">
        <v>214</v>
      </c>
      <c r="Z367" t="s">
        <v>106</v>
      </c>
      <c r="AA367" t="s">
        <v>107</v>
      </c>
      <c r="AB367" t="s">
        <v>71</v>
      </c>
      <c r="AC367" t="s">
        <v>72</v>
      </c>
      <c r="AD367" t="s">
        <v>52</v>
      </c>
      <c r="AE367" t="s">
        <v>53</v>
      </c>
      <c r="AF367" t="s">
        <v>52</v>
      </c>
      <c r="AG367" t="s">
        <v>52</v>
      </c>
      <c r="AH367" t="s">
        <v>64</v>
      </c>
      <c r="AK367">
        <v>20</v>
      </c>
      <c r="AL367">
        <v>20</v>
      </c>
      <c r="AM367" t="s">
        <v>364</v>
      </c>
      <c r="AN367">
        <v>494</v>
      </c>
      <c r="AO367">
        <v>9</v>
      </c>
      <c r="AP367" t="s">
        <v>56</v>
      </c>
      <c r="AQ367" t="s">
        <v>109</v>
      </c>
      <c r="AR367">
        <v>7.97</v>
      </c>
      <c r="AS367">
        <v>0.01</v>
      </c>
      <c r="AT367" t="s">
        <v>56</v>
      </c>
      <c r="AU367">
        <v>900</v>
      </c>
      <c r="AV367">
        <v>9</v>
      </c>
      <c r="AW367" t="s">
        <v>56</v>
      </c>
      <c r="AX367">
        <v>7.75</v>
      </c>
      <c r="AY367">
        <v>0</v>
      </c>
      <c r="AZ367" t="s">
        <v>56</v>
      </c>
      <c r="BB367">
        <f>LOG(AU367)</f>
        <v>2.9542425094393248</v>
      </c>
      <c r="BC367">
        <v>27.8</v>
      </c>
      <c r="BD367">
        <v>0.2</v>
      </c>
      <c r="BE367" t="s">
        <v>56</v>
      </c>
      <c r="BF367">
        <v>30.4</v>
      </c>
      <c r="BG367">
        <v>0</v>
      </c>
      <c r="BH367" t="s">
        <v>56</v>
      </c>
      <c r="BI367">
        <v>406</v>
      </c>
      <c r="BJ367">
        <v>2.7</v>
      </c>
      <c r="BK367" t="s">
        <v>539</v>
      </c>
      <c r="BL367" t="s">
        <v>538</v>
      </c>
      <c r="BM367" t="s">
        <v>90</v>
      </c>
      <c r="BN367" t="s">
        <v>81</v>
      </c>
      <c r="BO367" t="s">
        <v>180</v>
      </c>
      <c r="BP367" t="s">
        <v>92</v>
      </c>
      <c r="BQ367" t="s">
        <v>92</v>
      </c>
      <c r="BR367" t="s">
        <v>63</v>
      </c>
      <c r="BT367">
        <v>-0.39</v>
      </c>
      <c r="BU367">
        <v>-0.39474799999999999</v>
      </c>
      <c r="BV367">
        <v>0.06</v>
      </c>
      <c r="BW367">
        <f>BV367*SQRT(AK367)</f>
        <v>0.26832815729997478</v>
      </c>
      <c r="BX367">
        <v>-0.28000000000000003</v>
      </c>
      <c r="BY367">
        <v>-0.27658640000000001</v>
      </c>
      <c r="BZ367">
        <v>0.06</v>
      </c>
      <c r="CA367">
        <f>BZ367*SQRT(AL367)</f>
        <v>0.26832815729997478</v>
      </c>
      <c r="CB367">
        <v>1</v>
      </c>
      <c r="CC367">
        <v>2</v>
      </c>
      <c r="CD367">
        <v>0.35599999999999998</v>
      </c>
      <c r="CE367">
        <v>6.9099999999999995E-2</v>
      </c>
    </row>
    <row r="368" spans="1:84" hidden="1" x14ac:dyDescent="0.2">
      <c r="A368" s="8"/>
      <c r="B368" s="8"/>
      <c r="C368" s="8" t="s">
        <v>1129</v>
      </c>
      <c r="D368" s="8">
        <v>202</v>
      </c>
      <c r="E368" s="8"/>
      <c r="F368" s="8"/>
      <c r="G368" s="8" t="s">
        <v>43</v>
      </c>
      <c r="H368" s="8" t="s">
        <v>951</v>
      </c>
      <c r="I368" s="8" t="s">
        <v>1131</v>
      </c>
      <c r="J368" s="8">
        <v>2021</v>
      </c>
      <c r="K368" s="8"/>
      <c r="L368" s="8"/>
      <c r="M368" s="8" t="s">
        <v>94</v>
      </c>
      <c r="N368" s="8"/>
      <c r="O368" s="8"/>
      <c r="P368" s="8"/>
      <c r="Q368" s="8"/>
      <c r="R368" s="8"/>
      <c r="S368" s="8"/>
      <c r="T368" s="8" t="s">
        <v>68</v>
      </c>
      <c r="U368" s="8" t="s">
        <v>167</v>
      </c>
      <c r="V368" s="8" t="s">
        <v>442</v>
      </c>
      <c r="W368" s="8"/>
      <c r="X368" s="8"/>
      <c r="Y368" s="8"/>
      <c r="Z368" s="8" t="s">
        <v>49</v>
      </c>
      <c r="AA368" s="8" t="s">
        <v>49</v>
      </c>
      <c r="AB368" s="8" t="s">
        <v>71</v>
      </c>
      <c r="AC368" s="8" t="s">
        <v>195</v>
      </c>
      <c r="AD368" s="8" t="s">
        <v>54</v>
      </c>
      <c r="AE368" s="8" t="s">
        <v>53</v>
      </c>
      <c r="AF368" s="8" t="s">
        <v>54</v>
      </c>
      <c r="AG368" s="8" t="s">
        <v>52</v>
      </c>
      <c r="AH368" s="8" t="s">
        <v>65</v>
      </c>
      <c r="AI368" s="8"/>
      <c r="AJ368" s="8"/>
      <c r="AK368" s="8">
        <v>3</v>
      </c>
      <c r="AL368" s="8">
        <v>3</v>
      </c>
      <c r="AM368" s="8"/>
      <c r="AN368" s="8">
        <v>367</v>
      </c>
      <c r="AO368" s="8">
        <v>2</v>
      </c>
      <c r="AP368" s="8" t="s">
        <v>56</v>
      </c>
      <c r="AQ368" s="8" t="s">
        <v>109</v>
      </c>
      <c r="AR368" s="8">
        <v>8.1</v>
      </c>
      <c r="AS368" s="8">
        <v>0</v>
      </c>
      <c r="AT368" s="8" t="s">
        <v>56</v>
      </c>
      <c r="AU368" s="8">
        <v>369</v>
      </c>
      <c r="AV368">
        <v>10</v>
      </c>
      <c r="AW368" t="s">
        <v>56</v>
      </c>
      <c r="AX368">
        <v>8.1</v>
      </c>
      <c r="AY368">
        <v>0</v>
      </c>
      <c r="AZ368" t="s">
        <v>56</v>
      </c>
      <c r="BA368" s="8"/>
      <c r="BB368" s="8">
        <f>LOG(AU368)</f>
        <v>2.5670263661590602</v>
      </c>
      <c r="BC368" s="8">
        <v>24</v>
      </c>
      <c r="BD368" s="8">
        <v>1</v>
      </c>
      <c r="BE368" s="8" t="s">
        <v>56</v>
      </c>
      <c r="BF368" s="8">
        <v>28</v>
      </c>
      <c r="BG368" s="8">
        <v>1</v>
      </c>
      <c r="BH368" s="8" t="s">
        <v>56</v>
      </c>
      <c r="BI368" s="8">
        <v>2</v>
      </c>
      <c r="BJ368" s="8">
        <v>4</v>
      </c>
      <c r="BK368" s="8" t="s">
        <v>56</v>
      </c>
      <c r="BL368" s="8" t="s">
        <v>952</v>
      </c>
      <c r="BM368" s="8" t="s">
        <v>192</v>
      </c>
      <c r="BN368" s="8" t="s">
        <v>60</v>
      </c>
      <c r="BO368" s="8" t="s">
        <v>446</v>
      </c>
      <c r="BP368" s="8" t="s">
        <v>194</v>
      </c>
      <c r="BQ368" s="8" t="s">
        <v>190</v>
      </c>
      <c r="BR368" s="8" t="s">
        <v>63</v>
      </c>
      <c r="BS368" s="8"/>
      <c r="BT368" s="8">
        <v>3.87</v>
      </c>
      <c r="BU368" s="8">
        <v>3.8719999999999999</v>
      </c>
      <c r="BV368" s="8">
        <v>0.18</v>
      </c>
      <c r="BW368" s="8">
        <f>BV368*SQRT(AK368)</f>
        <v>0.31176914536239786</v>
      </c>
      <c r="BX368" s="8">
        <v>2.5099999999999998</v>
      </c>
      <c r="BY368" s="8">
        <v>2.5049999999999999</v>
      </c>
      <c r="BZ368" s="8">
        <v>0.18</v>
      </c>
      <c r="CA368" s="8">
        <f>BZ368*SQRT(AL368)</f>
        <v>0.31176914536239786</v>
      </c>
      <c r="CB368" s="8">
        <v>1</v>
      </c>
      <c r="CC368" s="8">
        <v>3</v>
      </c>
      <c r="CD368" s="8">
        <v>-0.435</v>
      </c>
      <c r="CE368" s="8">
        <v>7.4999999999999997E-3</v>
      </c>
      <c r="CF368" s="8"/>
    </row>
    <row r="369" spans="1:84" hidden="1" x14ac:dyDescent="0.2">
      <c r="A369" s="8"/>
      <c r="B369" s="8"/>
      <c r="C369" s="8" t="s">
        <v>1129</v>
      </c>
      <c r="D369" s="8">
        <v>202</v>
      </c>
      <c r="E369" s="8"/>
      <c r="F369" s="8"/>
      <c r="G369" s="8" t="s">
        <v>43</v>
      </c>
      <c r="H369" s="8" t="s">
        <v>951</v>
      </c>
      <c r="I369" s="8" t="s">
        <v>1131</v>
      </c>
      <c r="J369" s="8">
        <v>2021</v>
      </c>
      <c r="K369" s="8"/>
      <c r="L369" s="8"/>
      <c r="M369" s="8" t="s">
        <v>94</v>
      </c>
      <c r="N369" s="8"/>
      <c r="O369" s="8"/>
      <c r="P369" s="8"/>
      <c r="Q369" s="8"/>
      <c r="R369" s="8"/>
      <c r="S369" s="8"/>
      <c r="T369" s="8" t="s">
        <v>68</v>
      </c>
      <c r="U369" s="8" t="s">
        <v>167</v>
      </c>
      <c r="V369" s="8" t="s">
        <v>442</v>
      </c>
      <c r="W369" s="8"/>
      <c r="X369" s="8"/>
      <c r="Y369" s="8"/>
      <c r="Z369" s="8" t="s">
        <v>49</v>
      </c>
      <c r="AA369" s="8" t="s">
        <v>49</v>
      </c>
      <c r="AB369" s="8" t="s">
        <v>71</v>
      </c>
      <c r="AC369" s="8" t="s">
        <v>195</v>
      </c>
      <c r="AD369" s="8" t="s">
        <v>54</v>
      </c>
      <c r="AE369" s="8" t="s">
        <v>53</v>
      </c>
      <c r="AF369" s="8" t="s">
        <v>52</v>
      </c>
      <c r="AG369" s="8" t="s">
        <v>52</v>
      </c>
      <c r="AH369" s="8" t="s">
        <v>64</v>
      </c>
      <c r="AI369" s="8"/>
      <c r="AJ369" s="8"/>
      <c r="AK369" s="8">
        <v>3</v>
      </c>
      <c r="AL369" s="8">
        <v>3</v>
      </c>
      <c r="AM369" s="8"/>
      <c r="AN369" s="8">
        <v>367</v>
      </c>
      <c r="AO369" s="8">
        <v>2</v>
      </c>
      <c r="AP369" s="8" t="s">
        <v>56</v>
      </c>
      <c r="AQ369" s="8" t="s">
        <v>109</v>
      </c>
      <c r="AR369" s="8">
        <v>8.1</v>
      </c>
      <c r="AS369" s="8">
        <v>0</v>
      </c>
      <c r="AT369" s="8" t="s">
        <v>56</v>
      </c>
      <c r="AU369" s="8">
        <v>850</v>
      </c>
      <c r="AV369">
        <v>10</v>
      </c>
      <c r="AW369" t="s">
        <v>56</v>
      </c>
      <c r="AX369">
        <v>7.8</v>
      </c>
      <c r="AY369">
        <v>0</v>
      </c>
      <c r="AZ369" t="s">
        <v>56</v>
      </c>
      <c r="BA369" s="8"/>
      <c r="BB369" s="8">
        <f>LOG(AU369)</f>
        <v>2.9294189257142929</v>
      </c>
      <c r="BC369" s="8">
        <v>24</v>
      </c>
      <c r="BD369" s="8">
        <v>1</v>
      </c>
      <c r="BE369" s="8" t="s">
        <v>56</v>
      </c>
      <c r="BF369" s="8">
        <v>28</v>
      </c>
      <c r="BG369" s="8">
        <v>1</v>
      </c>
      <c r="BH369" s="8" t="s">
        <v>56</v>
      </c>
      <c r="BI369" s="8">
        <v>483</v>
      </c>
      <c r="BJ369" s="8">
        <v>4</v>
      </c>
      <c r="BK369" s="8" t="s">
        <v>56</v>
      </c>
      <c r="BL369" s="8" t="s">
        <v>952</v>
      </c>
      <c r="BM369" s="8" t="s">
        <v>192</v>
      </c>
      <c r="BN369" s="8" t="s">
        <v>60</v>
      </c>
      <c r="BO369" s="8" t="s">
        <v>446</v>
      </c>
      <c r="BP369" s="8" t="s">
        <v>194</v>
      </c>
      <c r="BQ369" s="8" t="s">
        <v>190</v>
      </c>
      <c r="BR369" s="8" t="s">
        <v>63</v>
      </c>
      <c r="BS369" s="8"/>
      <c r="BT369" s="8">
        <v>3.87</v>
      </c>
      <c r="BU369" s="8">
        <v>3.8719999999999999</v>
      </c>
      <c r="BV369" s="8">
        <v>0.18</v>
      </c>
      <c r="BW369" s="8">
        <f>BV369*SQRT(AK369)</f>
        <v>0.31176914536239786</v>
      </c>
      <c r="BX369" s="8">
        <v>3.96</v>
      </c>
      <c r="BY369" s="8">
        <v>3.9630000000000001</v>
      </c>
      <c r="BZ369" s="8">
        <v>0.18</v>
      </c>
      <c r="CA369" s="8">
        <f>BZ369*SQRT(AL369)</f>
        <v>0.31176914536239786</v>
      </c>
      <c r="CB369" s="8">
        <v>1</v>
      </c>
      <c r="CC369" s="8">
        <v>3</v>
      </c>
      <c r="CD369" s="8">
        <v>2.3E-2</v>
      </c>
      <c r="CE369" s="8">
        <v>4.3E-3</v>
      </c>
      <c r="CF369" s="8"/>
    </row>
    <row r="370" spans="1:84" hidden="1" x14ac:dyDescent="0.2">
      <c r="A370" s="8"/>
      <c r="B370" s="8"/>
      <c r="C370" s="8" t="s">
        <v>1129</v>
      </c>
      <c r="D370" s="8">
        <v>202</v>
      </c>
      <c r="E370" s="8"/>
      <c r="F370" s="8"/>
      <c r="G370" s="8" t="s">
        <v>43</v>
      </c>
      <c r="H370" s="8" t="s">
        <v>951</v>
      </c>
      <c r="I370" s="8" t="s">
        <v>1131</v>
      </c>
      <c r="J370" s="8">
        <v>2021</v>
      </c>
      <c r="K370" s="8"/>
      <c r="L370" s="8"/>
      <c r="M370" s="8" t="s">
        <v>94</v>
      </c>
      <c r="N370" s="8"/>
      <c r="O370" s="8"/>
      <c r="P370" s="8"/>
      <c r="Q370" s="8"/>
      <c r="R370" s="8"/>
      <c r="S370" s="8"/>
      <c r="T370" s="8" t="s">
        <v>68</v>
      </c>
      <c r="U370" s="8" t="s">
        <v>167</v>
      </c>
      <c r="V370" s="8" t="s">
        <v>442</v>
      </c>
      <c r="W370" s="8"/>
      <c r="X370" s="8"/>
      <c r="Y370" s="8"/>
      <c r="Z370" s="8" t="s">
        <v>49</v>
      </c>
      <c r="AA370" s="8" t="s">
        <v>49</v>
      </c>
      <c r="AB370" s="8" t="s">
        <v>71</v>
      </c>
      <c r="AC370" s="8" t="s">
        <v>195</v>
      </c>
      <c r="AD370" s="8" t="s">
        <v>54</v>
      </c>
      <c r="AE370" s="8" t="s">
        <v>53</v>
      </c>
      <c r="AF370" s="8" t="s">
        <v>52</v>
      </c>
      <c r="AG370" s="8" t="s">
        <v>54</v>
      </c>
      <c r="AH370" s="8" t="s">
        <v>55</v>
      </c>
      <c r="AI370" s="8"/>
      <c r="AJ370" s="8"/>
      <c r="AK370" s="8">
        <v>3</v>
      </c>
      <c r="AL370" s="8">
        <v>3</v>
      </c>
      <c r="AM370" s="8"/>
      <c r="AN370" s="8">
        <v>367</v>
      </c>
      <c r="AO370" s="8">
        <v>2</v>
      </c>
      <c r="AP370" s="8" t="s">
        <v>56</v>
      </c>
      <c r="AQ370" s="8" t="s">
        <v>109</v>
      </c>
      <c r="AR370" s="8">
        <v>8.1</v>
      </c>
      <c r="AS370" s="8">
        <v>0</v>
      </c>
      <c r="AT370" s="8" t="s">
        <v>56</v>
      </c>
      <c r="AU370" s="8">
        <v>843</v>
      </c>
      <c r="AV370">
        <v>4</v>
      </c>
      <c r="AW370" t="s">
        <v>56</v>
      </c>
      <c r="AX370">
        <v>7.8</v>
      </c>
      <c r="AY370">
        <v>0</v>
      </c>
      <c r="AZ370" t="s">
        <v>56</v>
      </c>
      <c r="BA370" s="8"/>
      <c r="BB370" s="8">
        <f>LOG(AU370)</f>
        <v>2.9258275746247424</v>
      </c>
      <c r="BC370" s="8">
        <v>24</v>
      </c>
      <c r="BD370" s="8">
        <v>1</v>
      </c>
      <c r="BE370" s="8" t="s">
        <v>56</v>
      </c>
      <c r="BF370" s="8">
        <v>24</v>
      </c>
      <c r="BG370" s="8">
        <v>1</v>
      </c>
      <c r="BH370" s="8" t="s">
        <v>56</v>
      </c>
      <c r="BI370" s="8">
        <v>476</v>
      </c>
      <c r="BJ370" s="8">
        <v>0</v>
      </c>
      <c r="BK370" s="8" t="s">
        <v>56</v>
      </c>
      <c r="BL370" s="8" t="s">
        <v>952</v>
      </c>
      <c r="BM370" s="8" t="s">
        <v>192</v>
      </c>
      <c r="BN370" s="8" t="s">
        <v>60</v>
      </c>
      <c r="BO370" s="8" t="s">
        <v>446</v>
      </c>
      <c r="BP370" s="8" t="s">
        <v>194</v>
      </c>
      <c r="BQ370" s="8" t="s">
        <v>190</v>
      </c>
      <c r="BR370" s="8" t="s">
        <v>63</v>
      </c>
      <c r="BS370" s="8"/>
      <c r="BT370" s="8">
        <v>3.87</v>
      </c>
      <c r="BU370" s="8">
        <v>3.8719999999999999</v>
      </c>
      <c r="BV370" s="8">
        <v>0.18</v>
      </c>
      <c r="BW370" s="8">
        <f>BV370*SQRT(AK370)</f>
        <v>0.31176914536239786</v>
      </c>
      <c r="BX370" s="8">
        <v>4.33</v>
      </c>
      <c r="BY370" s="8">
        <v>4.3280000000000003</v>
      </c>
      <c r="BZ370" s="8">
        <v>0.16</v>
      </c>
      <c r="CA370" s="8">
        <f>BZ370*SQRT(AL370)</f>
        <v>0.27712812921102037</v>
      </c>
      <c r="CB370" s="8">
        <v>1</v>
      </c>
      <c r="CC370" s="8">
        <v>3</v>
      </c>
      <c r="CD370" s="8">
        <v>0.111</v>
      </c>
      <c r="CE370" s="8">
        <v>3.5999999999999999E-3</v>
      </c>
      <c r="CF370" s="8"/>
    </row>
    <row r="371" spans="1:84" hidden="1" x14ac:dyDescent="0.2">
      <c r="B371" t="str">
        <f>ROW()-1&amp;"_AltersInvert"</f>
        <v>370_AltersInvert</v>
      </c>
      <c r="C371" t="str">
        <f>D371&amp;"_"&amp;
SUBSTITUTE(TRIM(V371)," ","_")&amp;"_"&amp;
TRIM(AC371)&amp;"_"&amp;
"CO2"&amp;TEXT(AN371,"0.00")&amp;"_"&amp;
"pH"&amp;TEXT(AR371,"0.00")&amp;"_"&amp;
"T"&amp;TEXT(BC371,"0.##")</f>
        <v>93_Menippe_mercenaria_LARVA_CO2484.00_pHNA_T30.1</v>
      </c>
      <c r="D371">
        <v>93</v>
      </c>
      <c r="G371" t="s">
        <v>43</v>
      </c>
      <c r="H371" t="s">
        <v>749</v>
      </c>
      <c r="J371">
        <v>2018</v>
      </c>
      <c r="M371" t="s">
        <v>750</v>
      </c>
      <c r="P371" t="s">
        <v>1135</v>
      </c>
      <c r="R371" t="s">
        <v>1127</v>
      </c>
      <c r="S371" t="s">
        <v>1128</v>
      </c>
      <c r="T371" t="s">
        <v>131</v>
      </c>
      <c r="U371" t="s">
        <v>751</v>
      </c>
      <c r="V371" t="s">
        <v>752</v>
      </c>
      <c r="Z371" t="s">
        <v>106</v>
      </c>
      <c r="AA371" t="s">
        <v>107</v>
      </c>
      <c r="AB371" t="s">
        <v>71</v>
      </c>
      <c r="AC371" t="s">
        <v>72</v>
      </c>
      <c r="AD371" t="s">
        <v>52</v>
      </c>
      <c r="AE371" t="s">
        <v>53</v>
      </c>
      <c r="AF371" t="s">
        <v>52</v>
      </c>
      <c r="AG371" t="s">
        <v>54</v>
      </c>
      <c r="AH371" t="s">
        <v>55</v>
      </c>
      <c r="AK371">
        <v>8</v>
      </c>
      <c r="AL371">
        <v>8</v>
      </c>
      <c r="AN371">
        <v>484</v>
      </c>
      <c r="AO371" t="s">
        <v>56</v>
      </c>
      <c r="AP371">
        <v>29</v>
      </c>
      <c r="AQ371" t="s">
        <v>56</v>
      </c>
      <c r="AR371" t="s">
        <v>56</v>
      </c>
      <c r="AS371" t="s">
        <v>56</v>
      </c>
      <c r="AT371" t="s">
        <v>56</v>
      </c>
      <c r="AU371">
        <v>1149</v>
      </c>
      <c r="AV371" t="s">
        <v>56</v>
      </c>
      <c r="AW371">
        <v>104</v>
      </c>
      <c r="AX371" t="s">
        <v>56</v>
      </c>
      <c r="AY371" t="s">
        <v>56</v>
      </c>
      <c r="AZ371" t="s">
        <v>56</v>
      </c>
      <c r="BB371">
        <f>LOG(AU371)</f>
        <v>3.060320028688285</v>
      </c>
      <c r="BC371">
        <v>30.1</v>
      </c>
      <c r="BD371" t="s">
        <v>56</v>
      </c>
      <c r="BE371">
        <v>0.3</v>
      </c>
      <c r="BF371">
        <v>30</v>
      </c>
      <c r="BG371" t="s">
        <v>56</v>
      </c>
      <c r="BH371">
        <v>0.3</v>
      </c>
      <c r="BI371">
        <v>665</v>
      </c>
      <c r="BJ371">
        <v>-0.1</v>
      </c>
      <c r="BK371" t="s">
        <v>56</v>
      </c>
      <c r="BL371" t="s">
        <v>753</v>
      </c>
      <c r="BM371" t="s">
        <v>753</v>
      </c>
      <c r="BN371" t="s">
        <v>60</v>
      </c>
      <c r="BO371" t="s">
        <v>250</v>
      </c>
      <c r="BP371" t="s">
        <v>9</v>
      </c>
      <c r="BQ371" t="s">
        <v>9</v>
      </c>
      <c r="BR371" t="s">
        <v>63</v>
      </c>
      <c r="BT371">
        <v>5.71</v>
      </c>
      <c r="BU371">
        <v>5.7112400000000001</v>
      </c>
      <c r="BV371">
        <v>0.14000000000000001</v>
      </c>
      <c r="BW371">
        <f>BV371*SQRT(AK371)</f>
        <v>0.39597979746446665</v>
      </c>
      <c r="BX371">
        <v>6.5</v>
      </c>
      <c r="BY371">
        <v>6.498062</v>
      </c>
      <c r="BZ371">
        <v>0.12</v>
      </c>
      <c r="CA371">
        <f>BZ371*SQRT(AL371)</f>
        <v>0.33941125496954283</v>
      </c>
      <c r="CB371">
        <v>28</v>
      </c>
      <c r="CC371">
        <v>8</v>
      </c>
      <c r="CD371">
        <v>0.129</v>
      </c>
      <c r="CE371">
        <v>8.9999999999999998E-4</v>
      </c>
      <c r="CF371" s="8"/>
    </row>
    <row r="372" spans="1:84" hidden="1" x14ac:dyDescent="0.2">
      <c r="D372">
        <v>24</v>
      </c>
      <c r="G372" t="s">
        <v>43</v>
      </c>
      <c r="H372" t="s">
        <v>313</v>
      </c>
      <c r="J372">
        <v>2016</v>
      </c>
      <c r="M372" t="s">
        <v>314</v>
      </c>
      <c r="T372" t="s">
        <v>68</v>
      </c>
      <c r="U372" t="s">
        <v>315</v>
      </c>
      <c r="V372" t="s">
        <v>316</v>
      </c>
      <c r="Z372" t="s">
        <v>106</v>
      </c>
      <c r="AA372" t="s">
        <v>107</v>
      </c>
      <c r="AB372" t="s">
        <v>50</v>
      </c>
      <c r="AC372" t="s">
        <v>51</v>
      </c>
      <c r="AD372" t="s">
        <v>54</v>
      </c>
      <c r="AE372" t="s">
        <v>53</v>
      </c>
      <c r="AF372" t="s">
        <v>52</v>
      </c>
      <c r="AG372" t="s">
        <v>54</v>
      </c>
      <c r="AH372" t="s">
        <v>55</v>
      </c>
      <c r="AK372">
        <v>180</v>
      </c>
      <c r="AL372">
        <v>180</v>
      </c>
      <c r="AN372">
        <v>360</v>
      </c>
      <c r="AO372" t="s">
        <v>56</v>
      </c>
      <c r="AP372">
        <v>2</v>
      </c>
      <c r="AQ372" t="s">
        <v>57</v>
      </c>
      <c r="AR372">
        <v>8.1</v>
      </c>
      <c r="AS372" t="s">
        <v>56</v>
      </c>
      <c r="AT372" t="s">
        <v>56</v>
      </c>
      <c r="AU372">
        <v>863</v>
      </c>
      <c r="AV372" t="s">
        <v>56</v>
      </c>
      <c r="AW372">
        <v>7</v>
      </c>
      <c r="AX372">
        <v>7.8</v>
      </c>
      <c r="AY372" t="s">
        <v>56</v>
      </c>
      <c r="AZ372" t="s">
        <v>56</v>
      </c>
      <c r="BB372">
        <f>LOG(AU372)</f>
        <v>2.9360107957152097</v>
      </c>
      <c r="BC372">
        <v>23.3</v>
      </c>
      <c r="BD372" t="s">
        <v>56</v>
      </c>
      <c r="BE372">
        <v>0</v>
      </c>
      <c r="BF372">
        <v>22.8</v>
      </c>
      <c r="BG372" t="s">
        <v>56</v>
      </c>
      <c r="BH372">
        <v>0</v>
      </c>
      <c r="BI372">
        <v>503</v>
      </c>
      <c r="BJ372">
        <v>-0.5</v>
      </c>
      <c r="BK372" t="s">
        <v>56</v>
      </c>
      <c r="BL372" t="s">
        <v>317</v>
      </c>
      <c r="BM372" t="s">
        <v>232</v>
      </c>
      <c r="BN372" t="s">
        <v>81</v>
      </c>
      <c r="BO372" t="s">
        <v>318</v>
      </c>
      <c r="BP372" t="s">
        <v>234</v>
      </c>
      <c r="BR372" t="s">
        <v>63</v>
      </c>
      <c r="BT372">
        <v>22.75</v>
      </c>
      <c r="BU372">
        <v>22.75</v>
      </c>
      <c r="BV372">
        <v>0.03</v>
      </c>
      <c r="BW372">
        <f>BV372*SQRT(AK372)</f>
        <v>0.40249223594996214</v>
      </c>
      <c r="BX372">
        <v>2.7</v>
      </c>
      <c r="BY372">
        <v>2.7</v>
      </c>
      <c r="BZ372">
        <v>0</v>
      </c>
      <c r="CA372">
        <f>BZ372*SQRT(AL372)</f>
        <v>0</v>
      </c>
      <c r="CB372">
        <v>60</v>
      </c>
      <c r="CC372">
        <v>3</v>
      </c>
      <c r="CD372">
        <v>-2.1309999999999998</v>
      </c>
      <c r="CE372">
        <v>1E-4</v>
      </c>
    </row>
    <row r="373" spans="1:84" hidden="1" x14ac:dyDescent="0.2">
      <c r="D373">
        <v>24</v>
      </c>
      <c r="G373" t="s">
        <v>43</v>
      </c>
      <c r="H373" t="s">
        <v>313</v>
      </c>
      <c r="J373">
        <v>2016</v>
      </c>
      <c r="M373" t="s">
        <v>314</v>
      </c>
      <c r="T373" t="s">
        <v>68</v>
      </c>
      <c r="U373" t="s">
        <v>315</v>
      </c>
      <c r="V373" t="s">
        <v>316</v>
      </c>
      <c r="Z373" t="s">
        <v>106</v>
      </c>
      <c r="AA373" t="s">
        <v>107</v>
      </c>
      <c r="AB373" t="s">
        <v>50</v>
      </c>
      <c r="AC373" t="s">
        <v>51</v>
      </c>
      <c r="AD373" t="s">
        <v>54</v>
      </c>
      <c r="AE373" t="s">
        <v>53</v>
      </c>
      <c r="AF373" t="s">
        <v>52</v>
      </c>
      <c r="AG373" t="s">
        <v>52</v>
      </c>
      <c r="AH373" t="s">
        <v>64</v>
      </c>
      <c r="AK373">
        <v>180</v>
      </c>
      <c r="AL373">
        <v>180</v>
      </c>
      <c r="AN373">
        <v>360</v>
      </c>
      <c r="AO373" t="s">
        <v>56</v>
      </c>
      <c r="AP373">
        <v>2</v>
      </c>
      <c r="AQ373" t="s">
        <v>57</v>
      </c>
      <c r="AR373">
        <v>8.1</v>
      </c>
      <c r="AS373" t="s">
        <v>56</v>
      </c>
      <c r="AT373" t="s">
        <v>56</v>
      </c>
      <c r="AU373">
        <v>788</v>
      </c>
      <c r="AV373" t="s">
        <v>56</v>
      </c>
      <c r="AW373">
        <v>2</v>
      </c>
      <c r="AX373">
        <v>7.8</v>
      </c>
      <c r="AY373" t="s">
        <v>56</v>
      </c>
      <c r="AZ373" t="s">
        <v>56</v>
      </c>
      <c r="BB373">
        <f>LOG(AU373)</f>
        <v>2.8965262174895554</v>
      </c>
      <c r="BC373">
        <v>23.3</v>
      </c>
      <c r="BD373" t="s">
        <v>56</v>
      </c>
      <c r="BE373">
        <v>0</v>
      </c>
      <c r="BF373">
        <v>28.3</v>
      </c>
      <c r="BG373" t="s">
        <v>56</v>
      </c>
      <c r="BH373">
        <v>0.1</v>
      </c>
      <c r="BI373">
        <v>428</v>
      </c>
      <c r="BJ373">
        <v>5</v>
      </c>
      <c r="BK373" t="s">
        <v>56</v>
      </c>
      <c r="BL373" t="s">
        <v>317</v>
      </c>
      <c r="BM373" t="s">
        <v>232</v>
      </c>
      <c r="BN373" t="s">
        <v>81</v>
      </c>
      <c r="BO373" t="s">
        <v>318</v>
      </c>
      <c r="BP373" t="s">
        <v>234</v>
      </c>
      <c r="BR373" t="s">
        <v>63</v>
      </c>
      <c r="BT373">
        <v>22.75</v>
      </c>
      <c r="BU373">
        <v>22.75</v>
      </c>
      <c r="BV373">
        <v>0.03</v>
      </c>
      <c r="BW373">
        <f>BV373*SQRT(AK373)</f>
        <v>0.40249223594996214</v>
      </c>
      <c r="BX373">
        <v>18.03</v>
      </c>
      <c r="BY373">
        <v>18.03</v>
      </c>
      <c r="BZ373">
        <v>0.02</v>
      </c>
      <c r="CA373">
        <f>BZ373*SQRT(AL373)</f>
        <v>0.26832815729997478</v>
      </c>
      <c r="CB373">
        <v>60</v>
      </c>
      <c r="CC373">
        <v>3</v>
      </c>
      <c r="CD373">
        <v>-0.23300000000000001</v>
      </c>
      <c r="CE373">
        <v>1E-4</v>
      </c>
    </row>
    <row r="374" spans="1:84" hidden="1" x14ac:dyDescent="0.2">
      <c r="D374">
        <v>24</v>
      </c>
      <c r="G374" t="s">
        <v>43</v>
      </c>
      <c r="H374" t="s">
        <v>313</v>
      </c>
      <c r="J374">
        <v>2016</v>
      </c>
      <c r="M374" t="s">
        <v>314</v>
      </c>
      <c r="T374" t="s">
        <v>68</v>
      </c>
      <c r="U374" t="s">
        <v>315</v>
      </c>
      <c r="V374" t="s">
        <v>316</v>
      </c>
      <c r="Z374" t="s">
        <v>106</v>
      </c>
      <c r="AA374" t="s">
        <v>107</v>
      </c>
      <c r="AB374" t="s">
        <v>50</v>
      </c>
      <c r="AC374" t="s">
        <v>51</v>
      </c>
      <c r="AD374" t="s">
        <v>54</v>
      </c>
      <c r="AE374" t="s">
        <v>53</v>
      </c>
      <c r="AF374" t="s">
        <v>54</v>
      </c>
      <c r="AG374" t="s">
        <v>52</v>
      </c>
      <c r="AH374" t="s">
        <v>65</v>
      </c>
      <c r="AK374">
        <v>180</v>
      </c>
      <c r="AL374">
        <v>180</v>
      </c>
      <c r="AN374">
        <v>360</v>
      </c>
      <c r="AO374" t="s">
        <v>56</v>
      </c>
      <c r="AP374">
        <v>2</v>
      </c>
      <c r="AQ374" t="s">
        <v>57</v>
      </c>
      <c r="AR374">
        <v>8.1</v>
      </c>
      <c r="AS374" t="s">
        <v>56</v>
      </c>
      <c r="AT374" t="s">
        <v>56</v>
      </c>
      <c r="AU374">
        <v>323</v>
      </c>
      <c r="AV374" t="s">
        <v>56</v>
      </c>
      <c r="AW374">
        <v>3</v>
      </c>
      <c r="AX374">
        <v>8.1</v>
      </c>
      <c r="AY374" t="s">
        <v>56</v>
      </c>
      <c r="AZ374" t="s">
        <v>56</v>
      </c>
      <c r="BB374">
        <f>LOG(AU374)</f>
        <v>2.509202522331103</v>
      </c>
      <c r="BC374">
        <v>23.3</v>
      </c>
      <c r="BD374" t="s">
        <v>56</v>
      </c>
      <c r="BE374">
        <v>0</v>
      </c>
      <c r="BF374">
        <v>28.3</v>
      </c>
      <c r="BG374" t="s">
        <v>56</v>
      </c>
      <c r="BH374">
        <v>0</v>
      </c>
      <c r="BI374">
        <v>-38</v>
      </c>
      <c r="BJ374">
        <v>5</v>
      </c>
      <c r="BK374" t="s">
        <v>56</v>
      </c>
      <c r="BL374" t="s">
        <v>317</v>
      </c>
      <c r="BM374" t="s">
        <v>232</v>
      </c>
      <c r="BN374" t="s">
        <v>81</v>
      </c>
      <c r="BO374" t="s">
        <v>318</v>
      </c>
      <c r="BP374" t="s">
        <v>234</v>
      </c>
      <c r="BR374" t="s">
        <v>63</v>
      </c>
      <c r="BT374">
        <v>22.75</v>
      </c>
      <c r="BU374">
        <v>22.75</v>
      </c>
      <c r="BV374">
        <v>0.03</v>
      </c>
      <c r="BW374">
        <f>BV374*SQRT(AK374)</f>
        <v>0.40249223594996214</v>
      </c>
      <c r="BX374">
        <v>26.12</v>
      </c>
      <c r="BY374">
        <v>26.12</v>
      </c>
      <c r="BZ374">
        <v>0.01</v>
      </c>
      <c r="CA374">
        <f>BZ374*SQRT(AL374)</f>
        <v>0.13416407864998739</v>
      </c>
      <c r="CB374">
        <v>60</v>
      </c>
      <c r="CC374">
        <v>3</v>
      </c>
      <c r="CD374">
        <v>0.13800000000000001</v>
      </c>
      <c r="CE374">
        <v>1E-4</v>
      </c>
    </row>
    <row r="375" spans="1:84" hidden="1" x14ac:dyDescent="0.2">
      <c r="D375">
        <v>25</v>
      </c>
      <c r="G375" t="s">
        <v>43</v>
      </c>
      <c r="H375" t="s">
        <v>319</v>
      </c>
      <c r="J375">
        <v>2017</v>
      </c>
      <c r="M375" t="s">
        <v>320</v>
      </c>
      <c r="T375" t="s">
        <v>136</v>
      </c>
      <c r="U375" t="s">
        <v>321</v>
      </c>
      <c r="V375" t="s">
        <v>322</v>
      </c>
      <c r="Z375" t="s">
        <v>49</v>
      </c>
      <c r="AA375" t="s">
        <v>49</v>
      </c>
      <c r="AB375" t="s">
        <v>50</v>
      </c>
      <c r="AC375" t="s">
        <v>51</v>
      </c>
      <c r="AD375" t="s">
        <v>52</v>
      </c>
      <c r="AE375" t="s">
        <v>53</v>
      </c>
      <c r="AF375" t="s">
        <v>52</v>
      </c>
      <c r="AG375" t="s">
        <v>54</v>
      </c>
      <c r="AH375" t="s">
        <v>55</v>
      </c>
      <c r="AK375">
        <v>11</v>
      </c>
      <c r="AL375">
        <v>9</v>
      </c>
      <c r="AM375" t="s">
        <v>326</v>
      </c>
      <c r="AN375">
        <v>674</v>
      </c>
      <c r="AO375">
        <v>41</v>
      </c>
      <c r="AP375" t="s">
        <v>56</v>
      </c>
      <c r="AQ375" t="s">
        <v>57</v>
      </c>
      <c r="AR375">
        <v>8.01</v>
      </c>
      <c r="AS375" t="s">
        <v>56</v>
      </c>
      <c r="AT375">
        <v>0.14000000000000001</v>
      </c>
      <c r="AU375">
        <v>1974</v>
      </c>
      <c r="AV375">
        <v>93</v>
      </c>
      <c r="AW375" t="s">
        <v>56</v>
      </c>
      <c r="AX375">
        <v>7.59</v>
      </c>
      <c r="AY375" t="s">
        <v>56</v>
      </c>
      <c r="AZ375">
        <v>0.13</v>
      </c>
      <c r="BB375">
        <f>LOG(AU375)</f>
        <v>3.2953471483336179</v>
      </c>
      <c r="BC375">
        <v>27.1</v>
      </c>
      <c r="BD375">
        <v>0</v>
      </c>
      <c r="BE375" t="s">
        <v>56</v>
      </c>
      <c r="BF375">
        <v>27</v>
      </c>
      <c r="BG375">
        <v>0</v>
      </c>
      <c r="BH375" t="s">
        <v>56</v>
      </c>
      <c r="BI375">
        <v>1300</v>
      </c>
      <c r="BJ375">
        <v>-0.1</v>
      </c>
      <c r="BK375" t="s">
        <v>323</v>
      </c>
      <c r="BL375" t="s">
        <v>324</v>
      </c>
      <c r="BM375" t="s">
        <v>324</v>
      </c>
      <c r="BN375" t="s">
        <v>60</v>
      </c>
      <c r="BO375" t="s">
        <v>325</v>
      </c>
      <c r="BP375" t="s">
        <v>194</v>
      </c>
      <c r="BR375" t="s">
        <v>63</v>
      </c>
      <c r="BT375">
        <v>0.11</v>
      </c>
      <c r="BU375">
        <v>0.114</v>
      </c>
      <c r="BV375">
        <v>0</v>
      </c>
      <c r="BW375">
        <f>BV375*SQRT(AK375)</f>
        <v>0</v>
      </c>
      <c r="BX375">
        <v>0.02</v>
      </c>
      <c r="BY375">
        <v>0.02</v>
      </c>
      <c r="BZ375">
        <v>0</v>
      </c>
      <c r="CA375">
        <f>BZ375*SQRT(AL375)</f>
        <v>0</v>
      </c>
      <c r="CB375" t="s">
        <v>56</v>
      </c>
      <c r="CC375">
        <v>4</v>
      </c>
      <c r="CD375">
        <v>-1.74</v>
      </c>
      <c r="CE375">
        <v>2.8500000000000001E-2</v>
      </c>
    </row>
    <row r="376" spans="1:84" hidden="1" x14ac:dyDescent="0.2">
      <c r="D376">
        <v>25</v>
      </c>
      <c r="G376" t="s">
        <v>43</v>
      </c>
      <c r="H376" t="s">
        <v>319</v>
      </c>
      <c r="J376">
        <v>2017</v>
      </c>
      <c r="M376" t="s">
        <v>320</v>
      </c>
      <c r="T376" t="s">
        <v>136</v>
      </c>
      <c r="U376" t="s">
        <v>321</v>
      </c>
      <c r="V376" t="s">
        <v>322</v>
      </c>
      <c r="Z376" t="s">
        <v>49</v>
      </c>
      <c r="AA376" t="s">
        <v>49</v>
      </c>
      <c r="AB376" t="s">
        <v>50</v>
      </c>
      <c r="AC376" t="s">
        <v>51</v>
      </c>
      <c r="AD376" t="s">
        <v>52</v>
      </c>
      <c r="AE376" t="s">
        <v>53</v>
      </c>
      <c r="AF376" t="s">
        <v>54</v>
      </c>
      <c r="AG376" t="s">
        <v>52</v>
      </c>
      <c r="AH376" t="s">
        <v>65</v>
      </c>
      <c r="AK376">
        <v>11</v>
      </c>
      <c r="AL376">
        <v>4</v>
      </c>
      <c r="AM376" t="s">
        <v>326</v>
      </c>
      <c r="AN376">
        <v>674</v>
      </c>
      <c r="AO376">
        <v>41</v>
      </c>
      <c r="AP376" t="s">
        <v>56</v>
      </c>
      <c r="AQ376" t="s">
        <v>57</v>
      </c>
      <c r="AR376">
        <v>8.01</v>
      </c>
      <c r="AS376" t="s">
        <v>56</v>
      </c>
      <c r="AT376">
        <v>0.14000000000000001</v>
      </c>
      <c r="AU376">
        <v>729</v>
      </c>
      <c r="AV376">
        <v>40</v>
      </c>
      <c r="AW376" t="s">
        <v>56</v>
      </c>
      <c r="AX376">
        <v>8.01</v>
      </c>
      <c r="AY376" t="s">
        <v>56</v>
      </c>
      <c r="AZ376">
        <v>0.16</v>
      </c>
      <c r="BB376">
        <f>LOG(AU376)</f>
        <v>2.8627275283179747</v>
      </c>
      <c r="BC376">
        <v>27.1</v>
      </c>
      <c r="BD376">
        <v>0</v>
      </c>
      <c r="BE376" t="s">
        <v>56</v>
      </c>
      <c r="BF376">
        <v>29.9</v>
      </c>
      <c r="BG376">
        <v>0</v>
      </c>
      <c r="BH376" t="s">
        <v>56</v>
      </c>
      <c r="BI376">
        <v>55</v>
      </c>
      <c r="BJ376">
        <v>2.8</v>
      </c>
      <c r="BK376" t="s">
        <v>323</v>
      </c>
      <c r="BL376" t="s">
        <v>324</v>
      </c>
      <c r="BM376" t="s">
        <v>324</v>
      </c>
      <c r="BN376" t="s">
        <v>60</v>
      </c>
      <c r="BO376" t="s">
        <v>325</v>
      </c>
      <c r="BP376" t="s">
        <v>194</v>
      </c>
      <c r="BR376" t="s">
        <v>63</v>
      </c>
      <c r="BT376">
        <v>0.11</v>
      </c>
      <c r="BU376">
        <v>0.114</v>
      </c>
      <c r="BV376">
        <v>0</v>
      </c>
      <c r="BW376">
        <f>BV376*SQRT(AK376)</f>
        <v>0</v>
      </c>
      <c r="BX376">
        <v>0.03</v>
      </c>
      <c r="BY376">
        <v>0.03</v>
      </c>
      <c r="BZ376">
        <v>0.01</v>
      </c>
      <c r="CA376">
        <f>BZ376*SQRT(AL376)</f>
        <v>0.02</v>
      </c>
      <c r="CB376" t="s">
        <v>56</v>
      </c>
      <c r="CC376">
        <v>4</v>
      </c>
      <c r="CD376">
        <v>-1.335</v>
      </c>
      <c r="CE376">
        <v>2.8500000000000001E-2</v>
      </c>
    </row>
    <row r="377" spans="1:84" hidden="1" x14ac:dyDescent="0.2">
      <c r="D377">
        <v>25</v>
      </c>
      <c r="G377" t="s">
        <v>43</v>
      </c>
      <c r="H377" t="s">
        <v>319</v>
      </c>
      <c r="J377">
        <v>2017</v>
      </c>
      <c r="M377" t="s">
        <v>320</v>
      </c>
      <c r="T377" t="s">
        <v>136</v>
      </c>
      <c r="U377" t="s">
        <v>321</v>
      </c>
      <c r="V377" t="s">
        <v>322</v>
      </c>
      <c r="Z377" t="s">
        <v>49</v>
      </c>
      <c r="AA377" t="s">
        <v>49</v>
      </c>
      <c r="AB377" t="s">
        <v>50</v>
      </c>
      <c r="AC377" t="s">
        <v>51</v>
      </c>
      <c r="AD377" t="s">
        <v>52</v>
      </c>
      <c r="AE377" t="s">
        <v>53</v>
      </c>
      <c r="AF377" t="s">
        <v>52</v>
      </c>
      <c r="AG377" t="s">
        <v>52</v>
      </c>
      <c r="AH377" t="s">
        <v>64</v>
      </c>
      <c r="AK377">
        <v>11</v>
      </c>
      <c r="AL377">
        <v>5</v>
      </c>
      <c r="AM377" t="s">
        <v>326</v>
      </c>
      <c r="AN377">
        <v>674</v>
      </c>
      <c r="AO377">
        <v>41</v>
      </c>
      <c r="AP377" t="s">
        <v>56</v>
      </c>
      <c r="AQ377" t="s">
        <v>57</v>
      </c>
      <c r="AR377">
        <v>8.01</v>
      </c>
      <c r="AS377" t="s">
        <v>56</v>
      </c>
      <c r="AT377">
        <v>0.14000000000000001</v>
      </c>
      <c r="AU377">
        <v>2171</v>
      </c>
      <c r="AV377">
        <v>89</v>
      </c>
      <c r="AW377" t="s">
        <v>56</v>
      </c>
      <c r="AX377">
        <v>7.61</v>
      </c>
      <c r="AY377" t="s">
        <v>56</v>
      </c>
      <c r="AZ377">
        <v>0.16</v>
      </c>
      <c r="BB377">
        <f>LOG(AU377)</f>
        <v>3.3366598234544202</v>
      </c>
      <c r="BC377">
        <v>27.1</v>
      </c>
      <c r="BD377">
        <v>0</v>
      </c>
      <c r="BE377" t="s">
        <v>56</v>
      </c>
      <c r="BF377">
        <v>29.8</v>
      </c>
      <c r="BG377">
        <v>0</v>
      </c>
      <c r="BH377" t="s">
        <v>56</v>
      </c>
      <c r="BI377">
        <v>1498</v>
      </c>
      <c r="BJ377">
        <v>2.7</v>
      </c>
      <c r="BK377" t="s">
        <v>323</v>
      </c>
      <c r="BL377" t="s">
        <v>324</v>
      </c>
      <c r="BM377" t="s">
        <v>324</v>
      </c>
      <c r="BN377" t="s">
        <v>60</v>
      </c>
      <c r="BO377" t="s">
        <v>325</v>
      </c>
      <c r="BP377" t="s">
        <v>194</v>
      </c>
      <c r="BR377" t="s">
        <v>63</v>
      </c>
      <c r="BT377">
        <v>0.11</v>
      </c>
      <c r="BU377">
        <v>0.114</v>
      </c>
      <c r="BV377">
        <v>0</v>
      </c>
      <c r="BW377">
        <f>BV377*SQRT(AK377)</f>
        <v>0</v>
      </c>
      <c r="BX377">
        <v>0.04</v>
      </c>
      <c r="BY377">
        <v>0.04</v>
      </c>
      <c r="BZ377">
        <v>0</v>
      </c>
      <c r="CA377">
        <f>BZ377*SQRT(AL377)</f>
        <v>0</v>
      </c>
      <c r="CB377" t="s">
        <v>56</v>
      </c>
      <c r="CC377">
        <v>4</v>
      </c>
      <c r="CD377">
        <v>-1.0469999999999999</v>
      </c>
      <c r="CE377">
        <v>1.32E-2</v>
      </c>
    </row>
    <row r="378" spans="1:84" hidden="1" x14ac:dyDescent="0.2">
      <c r="D378">
        <v>25</v>
      </c>
      <c r="G378" t="s">
        <v>43</v>
      </c>
      <c r="H378" t="s">
        <v>319</v>
      </c>
      <c r="J378">
        <v>2017</v>
      </c>
      <c r="M378" t="s">
        <v>320</v>
      </c>
      <c r="T378" t="s">
        <v>136</v>
      </c>
      <c r="U378" t="s">
        <v>321</v>
      </c>
      <c r="V378" t="s">
        <v>322</v>
      </c>
      <c r="Z378" t="s">
        <v>49</v>
      </c>
      <c r="AA378" t="s">
        <v>49</v>
      </c>
      <c r="AB378" t="s">
        <v>50</v>
      </c>
      <c r="AC378" t="s">
        <v>51</v>
      </c>
      <c r="AD378" t="s">
        <v>52</v>
      </c>
      <c r="AE378" t="s">
        <v>53</v>
      </c>
      <c r="AF378" t="s">
        <v>52</v>
      </c>
      <c r="AG378" t="s">
        <v>52</v>
      </c>
      <c r="AH378" t="s">
        <v>64</v>
      </c>
      <c r="AK378">
        <v>12</v>
      </c>
      <c r="AL378">
        <v>3</v>
      </c>
      <c r="AM378" t="s">
        <v>326</v>
      </c>
      <c r="AN378">
        <v>674</v>
      </c>
      <c r="AO378">
        <v>41</v>
      </c>
      <c r="AP378" t="s">
        <v>56</v>
      </c>
      <c r="AQ378" t="s">
        <v>57</v>
      </c>
      <c r="AR378">
        <v>8.01</v>
      </c>
      <c r="AS378" t="s">
        <v>56</v>
      </c>
      <c r="AT378">
        <v>0.14000000000000001</v>
      </c>
      <c r="AU378">
        <v>2171</v>
      </c>
      <c r="AV378">
        <v>89</v>
      </c>
      <c r="AW378" t="s">
        <v>56</v>
      </c>
      <c r="AX378">
        <v>7.61</v>
      </c>
      <c r="AY378" t="s">
        <v>56</v>
      </c>
      <c r="AZ378">
        <v>0.16</v>
      </c>
      <c r="BB378">
        <f>LOG(AU378)</f>
        <v>3.3366598234544202</v>
      </c>
      <c r="BC378">
        <v>27.1</v>
      </c>
      <c r="BD378">
        <v>0</v>
      </c>
      <c r="BE378" t="s">
        <v>56</v>
      </c>
      <c r="BF378">
        <v>29.8</v>
      </c>
      <c r="BG378">
        <v>0</v>
      </c>
      <c r="BH378" t="s">
        <v>56</v>
      </c>
      <c r="BI378">
        <v>1498</v>
      </c>
      <c r="BJ378">
        <v>2.7</v>
      </c>
      <c r="BK378" t="s">
        <v>323</v>
      </c>
      <c r="BL378" t="s">
        <v>327</v>
      </c>
      <c r="BM378" t="s">
        <v>327</v>
      </c>
      <c r="BN378" t="s">
        <v>81</v>
      </c>
      <c r="BO378" t="s">
        <v>328</v>
      </c>
      <c r="BP378" t="s">
        <v>190</v>
      </c>
      <c r="BR378" t="s">
        <v>63</v>
      </c>
      <c r="BT378">
        <v>512.08000000000004</v>
      </c>
      <c r="BU378">
        <v>512.08000000000004</v>
      </c>
      <c r="BV378">
        <v>60.12</v>
      </c>
      <c r="BW378">
        <f>BV378*SQRT(AK378)</f>
        <v>208.26178910208179</v>
      </c>
      <c r="BX378">
        <v>234.33</v>
      </c>
      <c r="BY378">
        <v>234.33</v>
      </c>
      <c r="BZ378">
        <v>73.64</v>
      </c>
      <c r="CA378">
        <f>BZ378*SQRT(AL378)</f>
        <v>127.54822146937212</v>
      </c>
      <c r="CB378" t="s">
        <v>56</v>
      </c>
      <c r="CC378">
        <v>4</v>
      </c>
      <c r="CD378">
        <v>-0.78200000000000003</v>
      </c>
      <c r="CE378">
        <v>0.1125</v>
      </c>
    </row>
    <row r="379" spans="1:84" hidden="1" x14ac:dyDescent="0.2">
      <c r="D379">
        <v>25</v>
      </c>
      <c r="G379" t="s">
        <v>43</v>
      </c>
      <c r="H379" t="s">
        <v>319</v>
      </c>
      <c r="J379">
        <v>2017</v>
      </c>
      <c r="M379" t="s">
        <v>320</v>
      </c>
      <c r="T379" t="s">
        <v>136</v>
      </c>
      <c r="U379" t="s">
        <v>321</v>
      </c>
      <c r="V379" t="s">
        <v>322</v>
      </c>
      <c r="Z379" t="s">
        <v>49</v>
      </c>
      <c r="AA379" t="s">
        <v>49</v>
      </c>
      <c r="AB379" t="s">
        <v>50</v>
      </c>
      <c r="AC379" t="s">
        <v>51</v>
      </c>
      <c r="AD379" t="s">
        <v>52</v>
      </c>
      <c r="AE379" t="s">
        <v>53</v>
      </c>
      <c r="AF379" t="s">
        <v>54</v>
      </c>
      <c r="AG379" t="s">
        <v>52</v>
      </c>
      <c r="AH379" t="s">
        <v>65</v>
      </c>
      <c r="AK379">
        <v>12</v>
      </c>
      <c r="AL379">
        <v>7</v>
      </c>
      <c r="AM379" t="s">
        <v>326</v>
      </c>
      <c r="AN379">
        <v>674</v>
      </c>
      <c r="AO379">
        <v>41</v>
      </c>
      <c r="AP379" t="s">
        <v>56</v>
      </c>
      <c r="AQ379" t="s">
        <v>57</v>
      </c>
      <c r="AR379">
        <v>8.01</v>
      </c>
      <c r="AS379" t="s">
        <v>56</v>
      </c>
      <c r="AT379">
        <v>0.14000000000000001</v>
      </c>
      <c r="AU379">
        <v>729</v>
      </c>
      <c r="AV379">
        <v>40</v>
      </c>
      <c r="AW379" t="s">
        <v>56</v>
      </c>
      <c r="AX379">
        <v>8.01</v>
      </c>
      <c r="AY379" t="s">
        <v>56</v>
      </c>
      <c r="AZ379">
        <v>0.16</v>
      </c>
      <c r="BB379">
        <f>LOG(AU379)</f>
        <v>2.8627275283179747</v>
      </c>
      <c r="BC379">
        <v>27.1</v>
      </c>
      <c r="BD379">
        <v>0</v>
      </c>
      <c r="BE379" t="s">
        <v>56</v>
      </c>
      <c r="BF379">
        <v>29.9</v>
      </c>
      <c r="BG379">
        <v>0</v>
      </c>
      <c r="BH379" t="s">
        <v>56</v>
      </c>
      <c r="BI379">
        <v>55</v>
      </c>
      <c r="BJ379">
        <v>2.8</v>
      </c>
      <c r="BK379" t="s">
        <v>323</v>
      </c>
      <c r="BL379" t="s">
        <v>327</v>
      </c>
      <c r="BM379" t="s">
        <v>327</v>
      </c>
      <c r="BN379" t="s">
        <v>81</v>
      </c>
      <c r="BO379" t="s">
        <v>328</v>
      </c>
      <c r="BP379" t="s">
        <v>190</v>
      </c>
      <c r="BR379" t="s">
        <v>63</v>
      </c>
      <c r="BT379">
        <v>512.08000000000004</v>
      </c>
      <c r="BU379">
        <v>512.08000000000004</v>
      </c>
      <c r="BV379">
        <v>60.12</v>
      </c>
      <c r="BW379">
        <f>BV379*SQRT(AK379)</f>
        <v>208.26178910208179</v>
      </c>
      <c r="BX379">
        <v>272.86</v>
      </c>
      <c r="BY379">
        <v>272.86</v>
      </c>
      <c r="BZ379">
        <v>99.25</v>
      </c>
      <c r="CA379">
        <f>BZ379*SQRT(AL379)</f>
        <v>262.5908176231606</v>
      </c>
      <c r="CB379" t="s">
        <v>56</v>
      </c>
      <c r="CC379">
        <v>4</v>
      </c>
      <c r="CD379">
        <v>-0.63</v>
      </c>
      <c r="CE379">
        <v>0.14610000000000001</v>
      </c>
    </row>
    <row r="380" spans="1:84" hidden="1" x14ac:dyDescent="0.2">
      <c r="D380">
        <v>25</v>
      </c>
      <c r="G380" t="s">
        <v>43</v>
      </c>
      <c r="H380" t="s">
        <v>319</v>
      </c>
      <c r="J380">
        <v>2017</v>
      </c>
      <c r="M380" t="s">
        <v>320</v>
      </c>
      <c r="T380" t="s">
        <v>136</v>
      </c>
      <c r="U380" t="s">
        <v>321</v>
      </c>
      <c r="V380" t="s">
        <v>322</v>
      </c>
      <c r="Z380" t="s">
        <v>49</v>
      </c>
      <c r="AA380" t="s">
        <v>49</v>
      </c>
      <c r="AB380" t="s">
        <v>50</v>
      </c>
      <c r="AC380" t="s">
        <v>51</v>
      </c>
      <c r="AD380" t="s">
        <v>52</v>
      </c>
      <c r="AE380" t="s">
        <v>53</v>
      </c>
      <c r="AF380" t="s">
        <v>54</v>
      </c>
      <c r="AG380" t="s">
        <v>52</v>
      </c>
      <c r="AH380" t="s">
        <v>65</v>
      </c>
      <c r="AK380">
        <v>12</v>
      </c>
      <c r="AL380">
        <v>6</v>
      </c>
      <c r="AM380" t="s">
        <v>326</v>
      </c>
      <c r="AN380">
        <v>674</v>
      </c>
      <c r="AO380">
        <v>41</v>
      </c>
      <c r="AP380" t="s">
        <v>56</v>
      </c>
      <c r="AQ380" t="s">
        <v>57</v>
      </c>
      <c r="AR380">
        <v>8.01</v>
      </c>
      <c r="AS380" t="s">
        <v>56</v>
      </c>
      <c r="AT380">
        <v>0.14000000000000001</v>
      </c>
      <c r="AU380">
        <v>729</v>
      </c>
      <c r="AV380">
        <v>40</v>
      </c>
      <c r="AW380" t="s">
        <v>56</v>
      </c>
      <c r="AX380">
        <v>8.01</v>
      </c>
      <c r="AY380" t="s">
        <v>56</v>
      </c>
      <c r="AZ380">
        <v>0.16</v>
      </c>
      <c r="BB380">
        <f>LOG(AU380)</f>
        <v>2.8627275283179747</v>
      </c>
      <c r="BC380">
        <v>27.1</v>
      </c>
      <c r="BD380">
        <v>0</v>
      </c>
      <c r="BE380" t="s">
        <v>56</v>
      </c>
      <c r="BF380">
        <v>29.9</v>
      </c>
      <c r="BG380">
        <v>0</v>
      </c>
      <c r="BH380" t="s">
        <v>56</v>
      </c>
      <c r="BI380">
        <v>55</v>
      </c>
      <c r="BJ380">
        <v>2.8</v>
      </c>
      <c r="BK380" t="s">
        <v>323</v>
      </c>
      <c r="BL380" t="s">
        <v>179</v>
      </c>
      <c r="BM380" t="s">
        <v>90</v>
      </c>
      <c r="BN380" t="s">
        <v>81</v>
      </c>
      <c r="BO380" t="s">
        <v>329</v>
      </c>
      <c r="BP380" t="s">
        <v>92</v>
      </c>
      <c r="BR380" t="s">
        <v>63</v>
      </c>
      <c r="BT380">
        <v>18.11</v>
      </c>
      <c r="BU380">
        <v>18.11</v>
      </c>
      <c r="BV380">
        <v>0.28999999999999998</v>
      </c>
      <c r="BW380">
        <f>BV380*SQRT(AK380)</f>
        <v>1.0045894683899488</v>
      </c>
      <c r="BX380">
        <v>17.420000000000002</v>
      </c>
      <c r="BY380">
        <v>17.420000000000002</v>
      </c>
      <c r="BZ380">
        <v>1.62</v>
      </c>
      <c r="CA380">
        <f>BZ380*SQRT(AL380)</f>
        <v>3.9681733833087485</v>
      </c>
      <c r="CB380" t="s">
        <v>56</v>
      </c>
      <c r="CC380">
        <v>4</v>
      </c>
      <c r="CD380">
        <v>-3.9E-2</v>
      </c>
      <c r="CE380">
        <v>8.9999999999999993E-3</v>
      </c>
    </row>
    <row r="381" spans="1:84" hidden="1" x14ac:dyDescent="0.2">
      <c r="D381">
        <v>25</v>
      </c>
      <c r="G381" t="s">
        <v>43</v>
      </c>
      <c r="H381" t="s">
        <v>319</v>
      </c>
      <c r="J381">
        <v>2017</v>
      </c>
      <c r="M381" t="s">
        <v>320</v>
      </c>
      <c r="T381" t="s">
        <v>136</v>
      </c>
      <c r="U381" t="s">
        <v>321</v>
      </c>
      <c r="V381" t="s">
        <v>322</v>
      </c>
      <c r="Z381" t="s">
        <v>49</v>
      </c>
      <c r="AA381" t="s">
        <v>49</v>
      </c>
      <c r="AB381" t="s">
        <v>50</v>
      </c>
      <c r="AC381" t="s">
        <v>51</v>
      </c>
      <c r="AD381" t="s">
        <v>52</v>
      </c>
      <c r="AE381" t="s">
        <v>53</v>
      </c>
      <c r="AF381" t="s">
        <v>52</v>
      </c>
      <c r="AG381" t="s">
        <v>54</v>
      </c>
      <c r="AH381" t="s">
        <v>55</v>
      </c>
      <c r="AK381">
        <v>12</v>
      </c>
      <c r="AL381">
        <v>12</v>
      </c>
      <c r="AM381" t="s">
        <v>326</v>
      </c>
      <c r="AN381">
        <v>674</v>
      </c>
      <c r="AO381">
        <v>41</v>
      </c>
      <c r="AP381" t="s">
        <v>56</v>
      </c>
      <c r="AQ381" t="s">
        <v>57</v>
      </c>
      <c r="AR381">
        <v>8.01</v>
      </c>
      <c r="AS381" t="s">
        <v>56</v>
      </c>
      <c r="AT381">
        <v>0.14000000000000001</v>
      </c>
      <c r="AU381">
        <v>1974</v>
      </c>
      <c r="AV381">
        <v>93</v>
      </c>
      <c r="AW381" t="s">
        <v>56</v>
      </c>
      <c r="AX381">
        <v>7.59</v>
      </c>
      <c r="AY381" t="s">
        <v>56</v>
      </c>
      <c r="AZ381">
        <v>0.13</v>
      </c>
      <c r="BB381">
        <f>LOG(AU381)</f>
        <v>3.2953471483336179</v>
      </c>
      <c r="BC381">
        <v>27.1</v>
      </c>
      <c r="BD381">
        <v>0</v>
      </c>
      <c r="BE381" t="s">
        <v>56</v>
      </c>
      <c r="BF381">
        <v>27</v>
      </c>
      <c r="BG381">
        <v>0</v>
      </c>
      <c r="BH381" t="s">
        <v>56</v>
      </c>
      <c r="BI381">
        <v>1300</v>
      </c>
      <c r="BJ381">
        <v>-0.1</v>
      </c>
      <c r="BK381" t="s">
        <v>323</v>
      </c>
      <c r="BL381" t="s">
        <v>179</v>
      </c>
      <c r="BM381" t="s">
        <v>90</v>
      </c>
      <c r="BN381" t="s">
        <v>81</v>
      </c>
      <c r="BO381" t="s">
        <v>329</v>
      </c>
      <c r="BP381" t="s">
        <v>92</v>
      </c>
      <c r="BR381" t="s">
        <v>63</v>
      </c>
      <c r="BT381">
        <v>18.11</v>
      </c>
      <c r="BU381">
        <v>18.11</v>
      </c>
      <c r="BV381">
        <v>0.28999999999999998</v>
      </c>
      <c r="BW381">
        <f>BV381*SQRT(AK381)</f>
        <v>1.0045894683899488</v>
      </c>
      <c r="BX381">
        <v>17.52</v>
      </c>
      <c r="BY381">
        <v>17.52</v>
      </c>
      <c r="BZ381">
        <v>0.27</v>
      </c>
      <c r="CA381">
        <f>BZ381*SQRT(AL381)</f>
        <v>0.9353074360871938</v>
      </c>
      <c r="CB381" t="s">
        <v>56</v>
      </c>
      <c r="CC381">
        <v>4</v>
      </c>
      <c r="CD381">
        <v>-3.3000000000000002E-2</v>
      </c>
      <c r="CE381">
        <v>5.0000000000000001E-4</v>
      </c>
    </row>
    <row r="382" spans="1:84" hidden="1" x14ac:dyDescent="0.2">
      <c r="D382">
        <v>25</v>
      </c>
      <c r="G382" t="s">
        <v>43</v>
      </c>
      <c r="H382" t="s">
        <v>319</v>
      </c>
      <c r="J382">
        <v>2017</v>
      </c>
      <c r="M382" t="s">
        <v>320</v>
      </c>
      <c r="T382" t="s">
        <v>136</v>
      </c>
      <c r="U382" t="s">
        <v>321</v>
      </c>
      <c r="V382" t="s">
        <v>322</v>
      </c>
      <c r="Z382" t="s">
        <v>49</v>
      </c>
      <c r="AA382" t="s">
        <v>49</v>
      </c>
      <c r="AB382" t="s">
        <v>50</v>
      </c>
      <c r="AC382" t="s">
        <v>108</v>
      </c>
      <c r="AD382" t="s">
        <v>52</v>
      </c>
      <c r="AE382" t="s">
        <v>53</v>
      </c>
      <c r="AF382" t="s">
        <v>52</v>
      </c>
      <c r="AG382" t="s">
        <v>54</v>
      </c>
      <c r="AH382" t="s">
        <v>55</v>
      </c>
      <c r="AK382">
        <v>12</v>
      </c>
      <c r="AL382">
        <v>12</v>
      </c>
      <c r="AM382" t="s">
        <v>326</v>
      </c>
      <c r="AN382">
        <v>674</v>
      </c>
      <c r="AO382">
        <v>41</v>
      </c>
      <c r="AP382" t="s">
        <v>56</v>
      </c>
      <c r="AQ382" t="s">
        <v>57</v>
      </c>
      <c r="AR382">
        <v>8.01</v>
      </c>
      <c r="AS382" t="s">
        <v>56</v>
      </c>
      <c r="AT382">
        <v>0.14000000000000001</v>
      </c>
      <c r="AU382">
        <v>1974</v>
      </c>
      <c r="AV382">
        <v>93</v>
      </c>
      <c r="AW382" t="s">
        <v>56</v>
      </c>
      <c r="AX382">
        <v>7.59</v>
      </c>
      <c r="AY382" t="s">
        <v>56</v>
      </c>
      <c r="AZ382">
        <v>0.13</v>
      </c>
      <c r="BB382">
        <f>LOG(AU382)</f>
        <v>3.2953471483336179</v>
      </c>
      <c r="BC382">
        <v>27.1</v>
      </c>
      <c r="BD382">
        <v>0</v>
      </c>
      <c r="BE382" t="s">
        <v>56</v>
      </c>
      <c r="BF382">
        <v>27</v>
      </c>
      <c r="BG382">
        <v>0</v>
      </c>
      <c r="BH382" t="s">
        <v>56</v>
      </c>
      <c r="BI382">
        <v>1300</v>
      </c>
      <c r="BJ382">
        <v>-0.1</v>
      </c>
      <c r="BK382" t="s">
        <v>323</v>
      </c>
      <c r="BL382" t="s">
        <v>262</v>
      </c>
      <c r="BM382" t="s">
        <v>249</v>
      </c>
      <c r="BN382" t="s">
        <v>60</v>
      </c>
      <c r="BO382" t="s">
        <v>330</v>
      </c>
      <c r="BP382" t="s">
        <v>9</v>
      </c>
      <c r="BR382" t="s">
        <v>63</v>
      </c>
      <c r="BT382">
        <v>1.58</v>
      </c>
      <c r="BU382">
        <v>1.58</v>
      </c>
      <c r="BV382">
        <v>0.05</v>
      </c>
      <c r="BW382">
        <f>BV382*SQRT(AK382)</f>
        <v>0.17320508075688773</v>
      </c>
      <c r="BX382">
        <v>1.55</v>
      </c>
      <c r="BY382">
        <v>1.55</v>
      </c>
      <c r="BZ382">
        <v>0.05</v>
      </c>
      <c r="CA382">
        <f>BZ382*SQRT(AL382)</f>
        <v>0.17320508075688773</v>
      </c>
      <c r="CB382" t="s">
        <v>56</v>
      </c>
      <c r="CC382">
        <v>4</v>
      </c>
      <c r="CD382">
        <v>-1.9E-2</v>
      </c>
      <c r="CE382">
        <v>1.6999999999999999E-3</v>
      </c>
    </row>
    <row r="383" spans="1:84" hidden="1" x14ac:dyDescent="0.2">
      <c r="D383">
        <v>25</v>
      </c>
      <c r="G383" t="s">
        <v>43</v>
      </c>
      <c r="H383" t="s">
        <v>319</v>
      </c>
      <c r="J383">
        <v>2017</v>
      </c>
      <c r="M383" t="s">
        <v>320</v>
      </c>
      <c r="T383" t="s">
        <v>136</v>
      </c>
      <c r="U383" t="s">
        <v>321</v>
      </c>
      <c r="V383" t="s">
        <v>322</v>
      </c>
      <c r="Z383" t="s">
        <v>49</v>
      </c>
      <c r="AA383" t="s">
        <v>49</v>
      </c>
      <c r="AB383" t="s">
        <v>50</v>
      </c>
      <c r="AC383" t="s">
        <v>51</v>
      </c>
      <c r="AD383" t="s">
        <v>52</v>
      </c>
      <c r="AE383" t="s">
        <v>53</v>
      </c>
      <c r="AF383" t="s">
        <v>52</v>
      </c>
      <c r="AG383" t="s">
        <v>52</v>
      </c>
      <c r="AH383" t="s">
        <v>64</v>
      </c>
      <c r="AK383">
        <v>12</v>
      </c>
      <c r="AL383">
        <v>3</v>
      </c>
      <c r="AM383" t="s">
        <v>326</v>
      </c>
      <c r="AN383">
        <v>674</v>
      </c>
      <c r="AO383">
        <v>41</v>
      </c>
      <c r="AP383" t="s">
        <v>56</v>
      </c>
      <c r="AQ383" t="s">
        <v>57</v>
      </c>
      <c r="AR383">
        <v>8.01</v>
      </c>
      <c r="AS383" t="s">
        <v>56</v>
      </c>
      <c r="AT383">
        <v>0.14000000000000001</v>
      </c>
      <c r="AU383">
        <v>2171</v>
      </c>
      <c r="AV383">
        <v>89</v>
      </c>
      <c r="AW383" t="s">
        <v>56</v>
      </c>
      <c r="AX383">
        <v>7.61</v>
      </c>
      <c r="AY383" t="s">
        <v>56</v>
      </c>
      <c r="AZ383">
        <v>0.16</v>
      </c>
      <c r="BB383">
        <f>LOG(AU383)</f>
        <v>3.3366598234544202</v>
      </c>
      <c r="BC383">
        <v>27.1</v>
      </c>
      <c r="BD383">
        <v>0</v>
      </c>
      <c r="BE383" t="s">
        <v>56</v>
      </c>
      <c r="BF383">
        <v>29.8</v>
      </c>
      <c r="BG383">
        <v>0</v>
      </c>
      <c r="BH383" t="s">
        <v>56</v>
      </c>
      <c r="BI383">
        <v>1498</v>
      </c>
      <c r="BJ383">
        <v>2.7</v>
      </c>
      <c r="BK383" t="s">
        <v>323</v>
      </c>
      <c r="BL383" t="s">
        <v>179</v>
      </c>
      <c r="BM383" t="s">
        <v>90</v>
      </c>
      <c r="BN383" t="s">
        <v>81</v>
      </c>
      <c r="BO383" t="s">
        <v>329</v>
      </c>
      <c r="BP383" t="s">
        <v>92</v>
      </c>
      <c r="BR383" t="s">
        <v>63</v>
      </c>
      <c r="BT383">
        <v>18.11</v>
      </c>
      <c r="BU383">
        <v>18.11</v>
      </c>
      <c r="BV383">
        <v>0.28999999999999998</v>
      </c>
      <c r="BW383">
        <f>BV383*SQRT(AK383)</f>
        <v>1.0045894683899488</v>
      </c>
      <c r="BX383">
        <v>17.78</v>
      </c>
      <c r="BY383">
        <v>17.78</v>
      </c>
      <c r="BZ383">
        <v>1.39</v>
      </c>
      <c r="CA383">
        <f>BZ383*SQRT(AL383)</f>
        <v>2.407550622520739</v>
      </c>
      <c r="CB383" t="s">
        <v>56</v>
      </c>
      <c r="CC383">
        <v>4</v>
      </c>
      <c r="CD383">
        <v>-1.7999999999999999E-2</v>
      </c>
      <c r="CE383">
        <v>6.4000000000000003E-3</v>
      </c>
    </row>
    <row r="384" spans="1:84" hidden="1" x14ac:dyDescent="0.2">
      <c r="D384">
        <v>25</v>
      </c>
      <c r="G384" t="s">
        <v>43</v>
      </c>
      <c r="H384" t="s">
        <v>319</v>
      </c>
      <c r="J384">
        <v>2017</v>
      </c>
      <c r="M384" t="s">
        <v>320</v>
      </c>
      <c r="T384" t="s">
        <v>136</v>
      </c>
      <c r="U384" t="s">
        <v>321</v>
      </c>
      <c r="V384" t="s">
        <v>322</v>
      </c>
      <c r="Z384" t="s">
        <v>49</v>
      </c>
      <c r="AA384" t="s">
        <v>49</v>
      </c>
      <c r="AB384" t="s">
        <v>50</v>
      </c>
      <c r="AC384" t="s">
        <v>51</v>
      </c>
      <c r="AD384" t="s">
        <v>52</v>
      </c>
      <c r="AE384" t="s">
        <v>53</v>
      </c>
      <c r="AF384" t="s">
        <v>52</v>
      </c>
      <c r="AG384" t="s">
        <v>54</v>
      </c>
      <c r="AH384" t="s">
        <v>55</v>
      </c>
      <c r="AK384">
        <v>12</v>
      </c>
      <c r="AL384">
        <v>12</v>
      </c>
      <c r="AM384" t="s">
        <v>326</v>
      </c>
      <c r="AN384">
        <v>674</v>
      </c>
      <c r="AO384">
        <v>41</v>
      </c>
      <c r="AP384" t="s">
        <v>56</v>
      </c>
      <c r="AQ384" t="s">
        <v>57</v>
      </c>
      <c r="AR384">
        <v>8.01</v>
      </c>
      <c r="AS384" t="s">
        <v>56</v>
      </c>
      <c r="AT384">
        <v>0.14000000000000001</v>
      </c>
      <c r="AU384">
        <v>1974</v>
      </c>
      <c r="AV384">
        <v>93</v>
      </c>
      <c r="AW384" t="s">
        <v>56</v>
      </c>
      <c r="AX384">
        <v>7.59</v>
      </c>
      <c r="AY384" t="s">
        <v>56</v>
      </c>
      <c r="AZ384">
        <v>0.13</v>
      </c>
      <c r="BB384">
        <f>LOG(AU384)</f>
        <v>3.2953471483336179</v>
      </c>
      <c r="BC384">
        <v>27.1</v>
      </c>
      <c r="BD384">
        <v>0</v>
      </c>
      <c r="BE384" t="s">
        <v>56</v>
      </c>
      <c r="BF384">
        <v>27</v>
      </c>
      <c r="BG384">
        <v>0</v>
      </c>
      <c r="BH384" t="s">
        <v>56</v>
      </c>
      <c r="BI384">
        <v>1300</v>
      </c>
      <c r="BJ384">
        <v>-0.1</v>
      </c>
      <c r="BK384" t="s">
        <v>323</v>
      </c>
      <c r="BL384" t="s">
        <v>327</v>
      </c>
      <c r="BM384" t="s">
        <v>327</v>
      </c>
      <c r="BN384" t="s">
        <v>81</v>
      </c>
      <c r="BO384" t="s">
        <v>328</v>
      </c>
      <c r="BP384" t="s">
        <v>190</v>
      </c>
      <c r="BR384" t="s">
        <v>63</v>
      </c>
      <c r="BT384">
        <v>512.08000000000004</v>
      </c>
      <c r="BU384">
        <v>512.08000000000004</v>
      </c>
      <c r="BV384">
        <v>60.12</v>
      </c>
      <c r="BW384">
        <f>BV384*SQRT(AK384)</f>
        <v>208.26178910208179</v>
      </c>
      <c r="BX384">
        <v>520.58000000000004</v>
      </c>
      <c r="BY384">
        <v>520.58000000000004</v>
      </c>
      <c r="BZ384">
        <v>73.569999999999993</v>
      </c>
      <c r="CA384">
        <f>BZ384*SQRT(AL384)</f>
        <v>254.85395582568458</v>
      </c>
      <c r="CB384" t="s">
        <v>56</v>
      </c>
      <c r="CC384">
        <v>4</v>
      </c>
      <c r="CD384">
        <v>1.6E-2</v>
      </c>
      <c r="CE384">
        <v>3.3799999999999997E-2</v>
      </c>
    </row>
    <row r="385" spans="4:83" hidden="1" x14ac:dyDescent="0.2">
      <c r="D385">
        <v>25</v>
      </c>
      <c r="G385" t="s">
        <v>43</v>
      </c>
      <c r="H385" t="s">
        <v>319</v>
      </c>
      <c r="J385">
        <v>2017</v>
      </c>
      <c r="M385" t="s">
        <v>320</v>
      </c>
      <c r="T385" t="s">
        <v>136</v>
      </c>
      <c r="U385" t="s">
        <v>321</v>
      </c>
      <c r="V385" t="s">
        <v>322</v>
      </c>
      <c r="Z385" t="s">
        <v>49</v>
      </c>
      <c r="AA385" t="s">
        <v>49</v>
      </c>
      <c r="AB385" t="s">
        <v>50</v>
      </c>
      <c r="AC385" t="s">
        <v>51</v>
      </c>
      <c r="AD385" t="s">
        <v>52</v>
      </c>
      <c r="AE385" t="s">
        <v>53</v>
      </c>
      <c r="AF385" t="s">
        <v>54</v>
      </c>
      <c r="AG385" t="s">
        <v>52</v>
      </c>
      <c r="AH385" t="s">
        <v>65</v>
      </c>
      <c r="AK385">
        <v>12</v>
      </c>
      <c r="AL385">
        <v>7</v>
      </c>
      <c r="AM385" t="s">
        <v>326</v>
      </c>
      <c r="AN385">
        <v>674</v>
      </c>
      <c r="AO385">
        <v>41</v>
      </c>
      <c r="AP385" t="s">
        <v>56</v>
      </c>
      <c r="AQ385" t="s">
        <v>57</v>
      </c>
      <c r="AR385">
        <v>8.01</v>
      </c>
      <c r="AS385" t="s">
        <v>56</v>
      </c>
      <c r="AT385">
        <v>0.14000000000000001</v>
      </c>
      <c r="AU385">
        <v>729</v>
      </c>
      <c r="AV385">
        <v>40</v>
      </c>
      <c r="AW385" t="s">
        <v>56</v>
      </c>
      <c r="AX385">
        <v>8.01</v>
      </c>
      <c r="AY385" t="s">
        <v>56</v>
      </c>
      <c r="AZ385">
        <v>0.16</v>
      </c>
      <c r="BB385">
        <f>LOG(AU385)</f>
        <v>2.8627275283179747</v>
      </c>
      <c r="BC385">
        <v>27.1</v>
      </c>
      <c r="BD385">
        <v>0</v>
      </c>
      <c r="BE385" t="s">
        <v>56</v>
      </c>
      <c r="BF385">
        <v>29.9</v>
      </c>
      <c r="BG385">
        <v>0</v>
      </c>
      <c r="BH385" t="s">
        <v>56</v>
      </c>
      <c r="BI385">
        <v>55</v>
      </c>
      <c r="BJ385">
        <v>2.8</v>
      </c>
      <c r="BK385" t="s">
        <v>323</v>
      </c>
      <c r="BL385" t="s">
        <v>83</v>
      </c>
      <c r="BM385" t="s">
        <v>83</v>
      </c>
      <c r="BN385" t="s">
        <v>81</v>
      </c>
      <c r="BO385" t="s">
        <v>82</v>
      </c>
      <c r="BP385" t="s">
        <v>83</v>
      </c>
      <c r="BR385" t="s">
        <v>63</v>
      </c>
      <c r="BT385">
        <v>69.819999999999993</v>
      </c>
      <c r="BU385">
        <v>69.819999999999993</v>
      </c>
      <c r="BV385">
        <v>4.33</v>
      </c>
      <c r="BW385">
        <f>BV385*SQRT(AK385)</f>
        <v>14.999559993546477</v>
      </c>
      <c r="BX385">
        <v>75.33</v>
      </c>
      <c r="BY385">
        <v>75.33</v>
      </c>
      <c r="BZ385">
        <v>1.61</v>
      </c>
      <c r="CA385">
        <f>BZ385*SQRT(AL385)</f>
        <v>4.2596596108139915</v>
      </c>
      <c r="CB385" t="s">
        <v>56</v>
      </c>
      <c r="CC385">
        <v>4</v>
      </c>
      <c r="CD385">
        <v>7.5999999999999998E-2</v>
      </c>
      <c r="CE385">
        <v>4.3E-3</v>
      </c>
    </row>
    <row r="386" spans="4:83" hidden="1" x14ac:dyDescent="0.2">
      <c r="D386">
        <v>25</v>
      </c>
      <c r="G386" t="s">
        <v>43</v>
      </c>
      <c r="H386" t="s">
        <v>319</v>
      </c>
      <c r="J386">
        <v>2017</v>
      </c>
      <c r="M386" t="s">
        <v>320</v>
      </c>
      <c r="T386" t="s">
        <v>136</v>
      </c>
      <c r="U386" t="s">
        <v>321</v>
      </c>
      <c r="V386" t="s">
        <v>322</v>
      </c>
      <c r="Z386" t="s">
        <v>49</v>
      </c>
      <c r="AA386" t="s">
        <v>49</v>
      </c>
      <c r="AB386" t="s">
        <v>50</v>
      </c>
      <c r="AC386" t="s">
        <v>108</v>
      </c>
      <c r="AD386" t="s">
        <v>52</v>
      </c>
      <c r="AE386" t="s">
        <v>53</v>
      </c>
      <c r="AF386" t="s">
        <v>52</v>
      </c>
      <c r="AG386" t="s">
        <v>52</v>
      </c>
      <c r="AH386" t="s">
        <v>64</v>
      </c>
      <c r="AK386">
        <v>12</v>
      </c>
      <c r="AL386">
        <v>3</v>
      </c>
      <c r="AM386" t="s">
        <v>326</v>
      </c>
      <c r="AN386">
        <v>674</v>
      </c>
      <c r="AO386">
        <v>41</v>
      </c>
      <c r="AP386" t="s">
        <v>56</v>
      </c>
      <c r="AQ386" t="s">
        <v>57</v>
      </c>
      <c r="AR386">
        <v>8.01</v>
      </c>
      <c r="AS386" t="s">
        <v>56</v>
      </c>
      <c r="AT386">
        <v>0.14000000000000001</v>
      </c>
      <c r="AU386">
        <v>2171</v>
      </c>
      <c r="AV386">
        <v>89</v>
      </c>
      <c r="AW386" t="s">
        <v>56</v>
      </c>
      <c r="AX386">
        <v>7.61</v>
      </c>
      <c r="AY386" t="s">
        <v>56</v>
      </c>
      <c r="AZ386">
        <v>0.16</v>
      </c>
      <c r="BB386">
        <f>LOG(AU386)</f>
        <v>3.3366598234544202</v>
      </c>
      <c r="BC386">
        <v>27.1</v>
      </c>
      <c r="BD386">
        <v>0</v>
      </c>
      <c r="BE386" t="s">
        <v>56</v>
      </c>
      <c r="BF386">
        <v>29.8</v>
      </c>
      <c r="BG386">
        <v>0</v>
      </c>
      <c r="BH386" t="s">
        <v>56</v>
      </c>
      <c r="BI386">
        <v>1498</v>
      </c>
      <c r="BJ386">
        <v>2.7</v>
      </c>
      <c r="BK386" t="s">
        <v>323</v>
      </c>
      <c r="BL386" t="s">
        <v>262</v>
      </c>
      <c r="BM386" t="s">
        <v>249</v>
      </c>
      <c r="BN386" t="s">
        <v>60</v>
      </c>
      <c r="BO386" t="s">
        <v>330</v>
      </c>
      <c r="BP386" t="s">
        <v>9</v>
      </c>
      <c r="BR386" t="s">
        <v>63</v>
      </c>
      <c r="BT386">
        <v>1.58</v>
      </c>
      <c r="BU386">
        <v>1.58</v>
      </c>
      <c r="BV386">
        <v>0.05</v>
      </c>
      <c r="BW386">
        <f>BV386*SQRT(AK386)</f>
        <v>0.17320508075688773</v>
      </c>
      <c r="BX386">
        <v>1.71</v>
      </c>
      <c r="BY386">
        <v>1.71</v>
      </c>
      <c r="BZ386">
        <v>0.06</v>
      </c>
      <c r="CA386">
        <f>BZ386*SQRT(AL386)</f>
        <v>0.10392304845413262</v>
      </c>
      <c r="CB386" t="s">
        <v>56</v>
      </c>
      <c r="CC386">
        <v>4</v>
      </c>
      <c r="CD386">
        <v>7.9000000000000001E-2</v>
      </c>
      <c r="CE386">
        <v>2.2000000000000001E-3</v>
      </c>
    </row>
    <row r="387" spans="4:83" hidden="1" x14ac:dyDescent="0.2">
      <c r="D387">
        <v>25</v>
      </c>
      <c r="G387" t="s">
        <v>43</v>
      </c>
      <c r="H387" t="s">
        <v>319</v>
      </c>
      <c r="J387">
        <v>2017</v>
      </c>
      <c r="M387" t="s">
        <v>320</v>
      </c>
      <c r="T387" t="s">
        <v>136</v>
      </c>
      <c r="U387" t="s">
        <v>321</v>
      </c>
      <c r="V387" t="s">
        <v>322</v>
      </c>
      <c r="Z387" t="s">
        <v>49</v>
      </c>
      <c r="AA387" t="s">
        <v>49</v>
      </c>
      <c r="AB387" t="s">
        <v>50</v>
      </c>
      <c r="AC387" t="s">
        <v>108</v>
      </c>
      <c r="AD387" t="s">
        <v>52</v>
      </c>
      <c r="AE387" t="s">
        <v>53</v>
      </c>
      <c r="AF387" t="s">
        <v>54</v>
      </c>
      <c r="AG387" t="s">
        <v>52</v>
      </c>
      <c r="AH387" t="s">
        <v>65</v>
      </c>
      <c r="AK387">
        <v>12</v>
      </c>
      <c r="AL387">
        <v>7</v>
      </c>
      <c r="AM387" t="s">
        <v>326</v>
      </c>
      <c r="AN387">
        <v>674</v>
      </c>
      <c r="AO387">
        <v>41</v>
      </c>
      <c r="AP387" t="s">
        <v>56</v>
      </c>
      <c r="AQ387" t="s">
        <v>57</v>
      </c>
      <c r="AR387">
        <v>8.01</v>
      </c>
      <c r="AS387" t="s">
        <v>56</v>
      </c>
      <c r="AT387">
        <v>0.14000000000000001</v>
      </c>
      <c r="AU387">
        <v>729</v>
      </c>
      <c r="AV387">
        <v>40</v>
      </c>
      <c r="AW387" t="s">
        <v>56</v>
      </c>
      <c r="AX387">
        <v>8.01</v>
      </c>
      <c r="AY387" t="s">
        <v>56</v>
      </c>
      <c r="AZ387">
        <v>0.16</v>
      </c>
      <c r="BB387">
        <f>LOG(AU387)</f>
        <v>2.8627275283179747</v>
      </c>
      <c r="BC387">
        <v>27.1</v>
      </c>
      <c r="BD387">
        <v>0</v>
      </c>
      <c r="BE387" t="s">
        <v>56</v>
      </c>
      <c r="BF387">
        <v>29.9</v>
      </c>
      <c r="BG387">
        <v>0</v>
      </c>
      <c r="BH387" t="s">
        <v>56</v>
      </c>
      <c r="BI387">
        <v>55</v>
      </c>
      <c r="BJ387">
        <v>2.8</v>
      </c>
      <c r="BK387" t="s">
        <v>323</v>
      </c>
      <c r="BL387" t="s">
        <v>262</v>
      </c>
      <c r="BM387" t="s">
        <v>249</v>
      </c>
      <c r="BN387" t="s">
        <v>60</v>
      </c>
      <c r="BO387" t="s">
        <v>330</v>
      </c>
      <c r="BP387" t="s">
        <v>9</v>
      </c>
      <c r="BR387" t="s">
        <v>63</v>
      </c>
      <c r="BT387">
        <v>1.58</v>
      </c>
      <c r="BU387">
        <v>1.58</v>
      </c>
      <c r="BV387">
        <v>0.05</v>
      </c>
      <c r="BW387">
        <f>BV387*SQRT(AK387)</f>
        <v>0.17320508075688773</v>
      </c>
      <c r="BX387">
        <v>1.72</v>
      </c>
      <c r="BY387">
        <v>1.72</v>
      </c>
      <c r="BZ387">
        <v>0.06</v>
      </c>
      <c r="CA387">
        <f>BZ387*SQRT(AL387)</f>
        <v>0.15874507866387544</v>
      </c>
      <c r="CB387" t="s">
        <v>56</v>
      </c>
      <c r="CC387">
        <v>4</v>
      </c>
      <c r="CD387">
        <v>8.5000000000000006E-2</v>
      </c>
      <c r="CE387">
        <v>2.3E-3</v>
      </c>
    </row>
    <row r="388" spans="4:83" hidden="1" x14ac:dyDescent="0.2">
      <c r="D388">
        <v>25</v>
      </c>
      <c r="G388" t="s">
        <v>43</v>
      </c>
      <c r="H388" t="s">
        <v>319</v>
      </c>
      <c r="J388">
        <v>2017</v>
      </c>
      <c r="M388" t="s">
        <v>320</v>
      </c>
      <c r="T388" t="s">
        <v>136</v>
      </c>
      <c r="U388" t="s">
        <v>321</v>
      </c>
      <c r="V388" t="s">
        <v>322</v>
      </c>
      <c r="Z388" t="s">
        <v>49</v>
      </c>
      <c r="AA388" t="s">
        <v>49</v>
      </c>
      <c r="AB388" t="s">
        <v>50</v>
      </c>
      <c r="AC388" t="s">
        <v>51</v>
      </c>
      <c r="AD388" t="s">
        <v>52</v>
      </c>
      <c r="AE388" t="s">
        <v>53</v>
      </c>
      <c r="AF388" t="s">
        <v>52</v>
      </c>
      <c r="AG388" t="s">
        <v>52</v>
      </c>
      <c r="AH388" t="s">
        <v>64</v>
      </c>
      <c r="AK388">
        <v>12</v>
      </c>
      <c r="AL388">
        <v>3</v>
      </c>
      <c r="AM388" t="s">
        <v>326</v>
      </c>
      <c r="AN388">
        <v>674</v>
      </c>
      <c r="AO388">
        <v>41</v>
      </c>
      <c r="AP388" t="s">
        <v>56</v>
      </c>
      <c r="AQ388" t="s">
        <v>57</v>
      </c>
      <c r="AR388">
        <v>8.01</v>
      </c>
      <c r="AS388" t="s">
        <v>56</v>
      </c>
      <c r="AT388">
        <v>0.14000000000000001</v>
      </c>
      <c r="AU388">
        <v>2171</v>
      </c>
      <c r="AV388">
        <v>89</v>
      </c>
      <c r="AW388" t="s">
        <v>56</v>
      </c>
      <c r="AX388">
        <v>7.61</v>
      </c>
      <c r="AY388" t="s">
        <v>56</v>
      </c>
      <c r="AZ388">
        <v>0.16</v>
      </c>
      <c r="BB388">
        <f>LOG(AU388)</f>
        <v>3.3366598234544202</v>
      </c>
      <c r="BC388">
        <v>27.1</v>
      </c>
      <c r="BD388">
        <v>0</v>
      </c>
      <c r="BE388" t="s">
        <v>56</v>
      </c>
      <c r="BF388">
        <v>29.8</v>
      </c>
      <c r="BG388">
        <v>0</v>
      </c>
      <c r="BH388" t="s">
        <v>56</v>
      </c>
      <c r="BI388">
        <v>1498</v>
      </c>
      <c r="BJ388">
        <v>2.7</v>
      </c>
      <c r="BK388" t="s">
        <v>323</v>
      </c>
      <c r="BL388" t="s">
        <v>83</v>
      </c>
      <c r="BM388" t="s">
        <v>83</v>
      </c>
      <c r="BN388" t="s">
        <v>81</v>
      </c>
      <c r="BO388" t="s">
        <v>82</v>
      </c>
      <c r="BP388" t="s">
        <v>83</v>
      </c>
      <c r="BR388" t="s">
        <v>63</v>
      </c>
      <c r="BT388">
        <v>69.819999999999993</v>
      </c>
      <c r="BU388">
        <v>69.819999999999993</v>
      </c>
      <c r="BV388">
        <v>4.33</v>
      </c>
      <c r="BW388">
        <f>BV388*SQRT(AK388)</f>
        <v>14.999559993546477</v>
      </c>
      <c r="BX388">
        <v>80.3</v>
      </c>
      <c r="BY388">
        <v>80.3</v>
      </c>
      <c r="BZ388">
        <v>4.88</v>
      </c>
      <c r="CA388">
        <f>BZ388*SQRT(AL388)</f>
        <v>8.452407940936121</v>
      </c>
      <c r="CB388" t="s">
        <v>56</v>
      </c>
      <c r="CC388">
        <v>4</v>
      </c>
      <c r="CD388">
        <v>0.14000000000000001</v>
      </c>
      <c r="CE388">
        <v>7.4999999999999997E-3</v>
      </c>
    </row>
    <row r="389" spans="4:83" hidden="1" x14ac:dyDescent="0.2">
      <c r="D389">
        <v>25</v>
      </c>
      <c r="G389" t="s">
        <v>43</v>
      </c>
      <c r="H389" t="s">
        <v>319</v>
      </c>
      <c r="J389">
        <v>2017</v>
      </c>
      <c r="M389" t="s">
        <v>320</v>
      </c>
      <c r="T389" t="s">
        <v>136</v>
      </c>
      <c r="U389" t="s">
        <v>321</v>
      </c>
      <c r="V389" t="s">
        <v>322</v>
      </c>
      <c r="Z389" t="s">
        <v>49</v>
      </c>
      <c r="AA389" t="s">
        <v>49</v>
      </c>
      <c r="AB389" t="s">
        <v>50</v>
      </c>
      <c r="AC389" t="s">
        <v>51</v>
      </c>
      <c r="AD389" t="s">
        <v>52</v>
      </c>
      <c r="AE389" t="s">
        <v>53</v>
      </c>
      <c r="AF389" t="s">
        <v>52</v>
      </c>
      <c r="AG389" t="s">
        <v>54</v>
      </c>
      <c r="AH389" t="s">
        <v>55</v>
      </c>
      <c r="AK389">
        <v>12</v>
      </c>
      <c r="AL389">
        <v>12</v>
      </c>
      <c r="AM389" t="s">
        <v>326</v>
      </c>
      <c r="AN389">
        <v>674</v>
      </c>
      <c r="AO389">
        <v>41</v>
      </c>
      <c r="AP389" t="s">
        <v>56</v>
      </c>
      <c r="AQ389" t="s">
        <v>57</v>
      </c>
      <c r="AR389">
        <v>8.01</v>
      </c>
      <c r="AS389" t="s">
        <v>56</v>
      </c>
      <c r="AT389">
        <v>0.14000000000000001</v>
      </c>
      <c r="AU389">
        <v>1974</v>
      </c>
      <c r="AV389">
        <v>93</v>
      </c>
      <c r="AW389" t="s">
        <v>56</v>
      </c>
      <c r="AX389">
        <v>7.59</v>
      </c>
      <c r="AY389" t="s">
        <v>56</v>
      </c>
      <c r="AZ389">
        <v>0.13</v>
      </c>
      <c r="BB389">
        <f>LOG(AU389)</f>
        <v>3.2953471483336179</v>
      </c>
      <c r="BC389">
        <v>27.1</v>
      </c>
      <c r="BD389">
        <v>0</v>
      </c>
      <c r="BE389" t="s">
        <v>56</v>
      </c>
      <c r="BF389">
        <v>27</v>
      </c>
      <c r="BG389">
        <v>0</v>
      </c>
      <c r="BH389" t="s">
        <v>56</v>
      </c>
      <c r="BI389">
        <v>1300</v>
      </c>
      <c r="BJ389">
        <v>-0.1</v>
      </c>
      <c r="BK389" t="s">
        <v>323</v>
      </c>
      <c r="BL389" t="s">
        <v>83</v>
      </c>
      <c r="BM389" t="s">
        <v>83</v>
      </c>
      <c r="BN389" t="s">
        <v>81</v>
      </c>
      <c r="BO389" t="s">
        <v>82</v>
      </c>
      <c r="BP389" t="s">
        <v>83</v>
      </c>
      <c r="BR389" t="s">
        <v>63</v>
      </c>
      <c r="BT389">
        <v>69.819999999999993</v>
      </c>
      <c r="BU389">
        <v>69.819999999999993</v>
      </c>
      <c r="BV389">
        <v>4.33</v>
      </c>
      <c r="BW389">
        <f>BV389*SQRT(AK389)</f>
        <v>14.999559993546477</v>
      </c>
      <c r="BX389">
        <v>81.67</v>
      </c>
      <c r="BY389">
        <v>81.67</v>
      </c>
      <c r="BZ389">
        <v>3.13</v>
      </c>
      <c r="CA389">
        <f>BZ389*SQRT(AL389)</f>
        <v>10.842638055381171</v>
      </c>
      <c r="CB389" t="s">
        <v>56</v>
      </c>
      <c r="CC389">
        <v>4</v>
      </c>
      <c r="CD389">
        <v>0.157</v>
      </c>
      <c r="CE389">
        <v>5.3E-3</v>
      </c>
    </row>
    <row r="390" spans="4:83" hidden="1" x14ac:dyDescent="0.2">
      <c r="D390">
        <v>26</v>
      </c>
      <c r="G390" t="s">
        <v>43</v>
      </c>
      <c r="H390" t="s">
        <v>331</v>
      </c>
      <c r="J390">
        <v>2013</v>
      </c>
      <c r="M390" t="s">
        <v>332</v>
      </c>
      <c r="T390" t="s">
        <v>68</v>
      </c>
      <c r="U390" t="s">
        <v>333</v>
      </c>
      <c r="V390" t="s">
        <v>334</v>
      </c>
      <c r="Z390" t="s">
        <v>49</v>
      </c>
      <c r="AA390" t="s">
        <v>49</v>
      </c>
      <c r="AB390" t="s">
        <v>50</v>
      </c>
      <c r="AC390" t="s">
        <v>51</v>
      </c>
      <c r="AD390" t="s">
        <v>54</v>
      </c>
      <c r="AE390" t="s">
        <v>53</v>
      </c>
      <c r="AF390" t="s">
        <v>52</v>
      </c>
      <c r="AG390" t="s">
        <v>54</v>
      </c>
      <c r="AH390" t="s">
        <v>55</v>
      </c>
      <c r="AK390">
        <v>9</v>
      </c>
      <c r="AL390">
        <v>9</v>
      </c>
      <c r="AN390">
        <v>430</v>
      </c>
      <c r="AO390">
        <v>17</v>
      </c>
      <c r="AP390" t="s">
        <v>56</v>
      </c>
      <c r="AQ390" t="s">
        <v>57</v>
      </c>
      <c r="AR390">
        <v>8.14</v>
      </c>
      <c r="AS390">
        <v>0.01</v>
      </c>
      <c r="AT390" t="s">
        <v>56</v>
      </c>
      <c r="AU390">
        <v>744</v>
      </c>
      <c r="AV390">
        <v>31</v>
      </c>
      <c r="AW390" t="s">
        <v>56</v>
      </c>
      <c r="AX390">
        <v>7.95</v>
      </c>
      <c r="AY390">
        <v>0.01</v>
      </c>
      <c r="AZ390" t="s">
        <v>56</v>
      </c>
      <c r="BB390">
        <f>LOG(AU390)</f>
        <v>2.8715729355458786</v>
      </c>
      <c r="BC390">
        <v>22.4</v>
      </c>
      <c r="BD390">
        <v>0.1</v>
      </c>
      <c r="BE390" t="s">
        <v>56</v>
      </c>
      <c r="BF390">
        <v>22.2</v>
      </c>
      <c r="BG390">
        <v>0.1</v>
      </c>
      <c r="BH390" t="s">
        <v>56</v>
      </c>
      <c r="BI390">
        <v>315</v>
      </c>
      <c r="BJ390">
        <v>-0.2</v>
      </c>
      <c r="BK390" t="s">
        <v>335</v>
      </c>
      <c r="BL390" t="s">
        <v>336</v>
      </c>
      <c r="BM390" t="s">
        <v>336</v>
      </c>
      <c r="BN390" t="s">
        <v>81</v>
      </c>
      <c r="BO390" t="s">
        <v>337</v>
      </c>
      <c r="BP390" t="s">
        <v>194</v>
      </c>
      <c r="BR390" t="s">
        <v>63</v>
      </c>
      <c r="BT390">
        <v>0.11</v>
      </c>
      <c r="BU390">
        <v>0.113</v>
      </c>
      <c r="BV390">
        <v>0.02</v>
      </c>
      <c r="BW390">
        <f>BV390*SQRT(AK390)</f>
        <v>0.06</v>
      </c>
      <c r="BX390">
        <v>0.06</v>
      </c>
      <c r="BY390">
        <v>6.2E-2</v>
      </c>
      <c r="BZ390">
        <v>0.01</v>
      </c>
      <c r="CA390">
        <f>BZ390*SQRT(AL390)</f>
        <v>0.03</v>
      </c>
      <c r="CB390">
        <v>105</v>
      </c>
      <c r="CC390">
        <v>2</v>
      </c>
      <c r="CD390">
        <v>-0.6</v>
      </c>
      <c r="CE390">
        <v>5.1400000000000001E-2</v>
      </c>
    </row>
    <row r="391" spans="4:83" hidden="1" x14ac:dyDescent="0.2">
      <c r="D391">
        <v>26</v>
      </c>
      <c r="G391" t="s">
        <v>43</v>
      </c>
      <c r="H391" t="s">
        <v>331</v>
      </c>
      <c r="J391">
        <v>2013</v>
      </c>
      <c r="M391" t="s">
        <v>332</v>
      </c>
      <c r="T391" t="s">
        <v>68</v>
      </c>
      <c r="U391" t="s">
        <v>333</v>
      </c>
      <c r="V391" t="s">
        <v>334</v>
      </c>
      <c r="Z391" t="s">
        <v>49</v>
      </c>
      <c r="AA391" t="s">
        <v>49</v>
      </c>
      <c r="AB391" t="s">
        <v>50</v>
      </c>
      <c r="AC391" t="s">
        <v>51</v>
      </c>
      <c r="AD391" t="s">
        <v>54</v>
      </c>
      <c r="AE391" t="s">
        <v>53</v>
      </c>
      <c r="AF391" t="s">
        <v>54</v>
      </c>
      <c r="AG391" t="s">
        <v>52</v>
      </c>
      <c r="AH391" t="s">
        <v>65</v>
      </c>
      <c r="AK391">
        <v>7</v>
      </c>
      <c r="AL391">
        <v>7</v>
      </c>
      <c r="AM391" t="s">
        <v>342</v>
      </c>
      <c r="AN391">
        <v>430</v>
      </c>
      <c r="AO391">
        <v>17</v>
      </c>
      <c r="AP391" t="s">
        <v>56</v>
      </c>
      <c r="AQ391" t="s">
        <v>57</v>
      </c>
      <c r="AR391">
        <v>8.14</v>
      </c>
      <c r="AS391">
        <v>0.01</v>
      </c>
      <c r="AT391" t="s">
        <v>56</v>
      </c>
      <c r="AU391">
        <v>536</v>
      </c>
      <c r="AV391">
        <v>27</v>
      </c>
      <c r="AW391" t="s">
        <v>56</v>
      </c>
      <c r="AX391">
        <v>8.08</v>
      </c>
      <c r="AY391">
        <v>0.01</v>
      </c>
      <c r="AZ391" t="s">
        <v>56</v>
      </c>
      <c r="BB391">
        <f>LOG(AU391)</f>
        <v>2.7291647896927702</v>
      </c>
      <c r="BC391">
        <v>22.4</v>
      </c>
      <c r="BD391">
        <v>0.1</v>
      </c>
      <c r="BE391" t="s">
        <v>56</v>
      </c>
      <c r="BF391">
        <v>26.7</v>
      </c>
      <c r="BG391">
        <v>0.1</v>
      </c>
      <c r="BH391" t="s">
        <v>56</v>
      </c>
      <c r="BI391">
        <v>106</v>
      </c>
      <c r="BJ391">
        <v>4.3</v>
      </c>
      <c r="BK391" t="s">
        <v>335</v>
      </c>
      <c r="BL391" t="s">
        <v>338</v>
      </c>
      <c r="BM391" t="s">
        <v>339</v>
      </c>
      <c r="BN391" t="s">
        <v>340</v>
      </c>
      <c r="BO391" t="s">
        <v>341</v>
      </c>
      <c r="BP391" t="s">
        <v>194</v>
      </c>
      <c r="BR391" t="s">
        <v>63</v>
      </c>
      <c r="BT391">
        <v>1.42</v>
      </c>
      <c r="BU391">
        <v>1.42</v>
      </c>
      <c r="BV391">
        <v>0.28999999999999998</v>
      </c>
      <c r="BW391">
        <f>BV391*SQRT(AK391)</f>
        <v>0.76726788020873127</v>
      </c>
      <c r="BX391">
        <v>2.2799999999999998</v>
      </c>
      <c r="BY391">
        <v>2.2799999999999998</v>
      </c>
      <c r="BZ391">
        <v>0.37</v>
      </c>
      <c r="CA391">
        <f>BZ391*SQRT(AL391)</f>
        <v>0.97892798509389856</v>
      </c>
      <c r="CB391">
        <v>105</v>
      </c>
      <c r="CC391">
        <v>2</v>
      </c>
      <c r="CD391">
        <v>-0.47399999999999998</v>
      </c>
      <c r="CE391">
        <v>6.8000000000000005E-2</v>
      </c>
    </row>
    <row r="392" spans="4:83" hidden="1" x14ac:dyDescent="0.2">
      <c r="D392">
        <v>26</v>
      </c>
      <c r="G392" t="s">
        <v>43</v>
      </c>
      <c r="H392" t="s">
        <v>331</v>
      </c>
      <c r="J392">
        <v>2013</v>
      </c>
      <c r="M392" t="s">
        <v>332</v>
      </c>
      <c r="T392" t="s">
        <v>68</v>
      </c>
      <c r="U392" t="s">
        <v>333</v>
      </c>
      <c r="V392" t="s">
        <v>334</v>
      </c>
      <c r="Z392" t="s">
        <v>49</v>
      </c>
      <c r="AA392" t="s">
        <v>49</v>
      </c>
      <c r="AB392" t="s">
        <v>50</v>
      </c>
      <c r="AC392" t="s">
        <v>51</v>
      </c>
      <c r="AD392" t="s">
        <v>54</v>
      </c>
      <c r="AE392" t="s">
        <v>53</v>
      </c>
      <c r="AF392" t="s">
        <v>52</v>
      </c>
      <c r="AG392" t="s">
        <v>52</v>
      </c>
      <c r="AH392" t="s">
        <v>64</v>
      </c>
      <c r="AK392">
        <v>9</v>
      </c>
      <c r="AL392">
        <v>9</v>
      </c>
      <c r="AN392">
        <v>430</v>
      </c>
      <c r="AO392">
        <v>17</v>
      </c>
      <c r="AP392" t="s">
        <v>56</v>
      </c>
      <c r="AQ392" t="s">
        <v>57</v>
      </c>
      <c r="AR392">
        <v>8.14</v>
      </c>
      <c r="AS392">
        <v>0.01</v>
      </c>
      <c r="AT392" t="s">
        <v>56</v>
      </c>
      <c r="AU392">
        <v>796</v>
      </c>
      <c r="AV392">
        <v>47</v>
      </c>
      <c r="AW392" t="s">
        <v>56</v>
      </c>
      <c r="AX392">
        <v>7.94</v>
      </c>
      <c r="AY392">
        <v>0.02</v>
      </c>
      <c r="AZ392" t="s">
        <v>56</v>
      </c>
      <c r="BB392">
        <f>LOG(AU392)</f>
        <v>2.9009130677376689</v>
      </c>
      <c r="BC392">
        <v>22.4</v>
      </c>
      <c r="BD392">
        <v>0.1</v>
      </c>
      <c r="BE392" t="s">
        <v>56</v>
      </c>
      <c r="BF392">
        <v>26.7</v>
      </c>
      <c r="BG392">
        <v>0.1</v>
      </c>
      <c r="BH392" t="s">
        <v>56</v>
      </c>
      <c r="BI392">
        <v>367</v>
      </c>
      <c r="BJ392">
        <v>4.3</v>
      </c>
      <c r="BK392" t="s">
        <v>335</v>
      </c>
      <c r="BL392" t="s">
        <v>336</v>
      </c>
      <c r="BM392" t="s">
        <v>336</v>
      </c>
      <c r="BN392" t="s">
        <v>81</v>
      </c>
      <c r="BO392" t="s">
        <v>337</v>
      </c>
      <c r="BP392" t="s">
        <v>194</v>
      </c>
      <c r="BR392" t="s">
        <v>63</v>
      </c>
      <c r="BT392">
        <v>0.11</v>
      </c>
      <c r="BU392">
        <v>0.113</v>
      </c>
      <c r="BV392">
        <v>0.02</v>
      </c>
      <c r="BW392">
        <f>BV392*SQRT(AK392)</f>
        <v>0.06</v>
      </c>
      <c r="BX392">
        <v>0.08</v>
      </c>
      <c r="BY392">
        <v>7.5999999999999998E-2</v>
      </c>
      <c r="BZ392">
        <v>0.01</v>
      </c>
      <c r="CA392">
        <f>BZ392*SQRT(AL392)</f>
        <v>0.03</v>
      </c>
      <c r="CB392">
        <v>105</v>
      </c>
      <c r="CC392">
        <v>2</v>
      </c>
      <c r="CD392">
        <v>-0.39700000000000002</v>
      </c>
      <c r="CE392">
        <v>5.4600000000000003E-2</v>
      </c>
    </row>
    <row r="393" spans="4:83" hidden="1" x14ac:dyDescent="0.2">
      <c r="D393">
        <v>26</v>
      </c>
      <c r="G393" t="s">
        <v>43</v>
      </c>
      <c r="H393" t="s">
        <v>331</v>
      </c>
      <c r="J393">
        <v>2013</v>
      </c>
      <c r="M393" t="s">
        <v>332</v>
      </c>
      <c r="T393" t="s">
        <v>68</v>
      </c>
      <c r="U393" t="s">
        <v>167</v>
      </c>
      <c r="V393" t="s">
        <v>343</v>
      </c>
      <c r="Z393" t="s">
        <v>49</v>
      </c>
      <c r="AA393" t="s">
        <v>49</v>
      </c>
      <c r="AB393" t="s">
        <v>50</v>
      </c>
      <c r="AC393" t="s">
        <v>51</v>
      </c>
      <c r="AD393" t="s">
        <v>54</v>
      </c>
      <c r="AE393" t="s">
        <v>53</v>
      </c>
      <c r="AF393" t="s">
        <v>54</v>
      </c>
      <c r="AG393" t="s">
        <v>52</v>
      </c>
      <c r="AH393" t="s">
        <v>65</v>
      </c>
      <c r="AK393">
        <v>9</v>
      </c>
      <c r="AL393">
        <v>3</v>
      </c>
      <c r="AN393">
        <v>430</v>
      </c>
      <c r="AO393">
        <v>17</v>
      </c>
      <c r="AP393" t="s">
        <v>56</v>
      </c>
      <c r="AQ393" t="s">
        <v>57</v>
      </c>
      <c r="AR393">
        <v>8.14</v>
      </c>
      <c r="AS393">
        <v>0.01</v>
      </c>
      <c r="AT393" t="s">
        <v>56</v>
      </c>
      <c r="AU393">
        <v>536</v>
      </c>
      <c r="AV393">
        <v>27</v>
      </c>
      <c r="AW393" t="s">
        <v>56</v>
      </c>
      <c r="AX393">
        <v>8.08</v>
      </c>
      <c r="AY393">
        <v>0.01</v>
      </c>
      <c r="AZ393" t="s">
        <v>56</v>
      </c>
      <c r="BB393">
        <f>LOG(AU393)</f>
        <v>2.7291647896927702</v>
      </c>
      <c r="BC393">
        <v>22.4</v>
      </c>
      <c r="BD393">
        <v>0.1</v>
      </c>
      <c r="BE393" t="s">
        <v>56</v>
      </c>
      <c r="BF393">
        <v>26.7</v>
      </c>
      <c r="BG393">
        <v>0.1</v>
      </c>
      <c r="BH393" t="s">
        <v>56</v>
      </c>
      <c r="BI393">
        <v>106</v>
      </c>
      <c r="BJ393">
        <v>4.3</v>
      </c>
      <c r="BK393" t="s">
        <v>344</v>
      </c>
      <c r="BL393" t="s">
        <v>336</v>
      </c>
      <c r="BM393" t="s">
        <v>336</v>
      </c>
      <c r="BN393" t="s">
        <v>81</v>
      </c>
      <c r="BO393" t="s">
        <v>337</v>
      </c>
      <c r="BP393" t="s">
        <v>194</v>
      </c>
      <c r="BR393" t="s">
        <v>63</v>
      </c>
      <c r="BT393">
        <v>0.1</v>
      </c>
      <c r="BU393">
        <v>0.1</v>
      </c>
      <c r="BV393">
        <v>0.01</v>
      </c>
      <c r="BW393">
        <f>BV393*SQRT(AK393)</f>
        <v>0.03</v>
      </c>
      <c r="BX393">
        <v>7.0000000000000007E-2</v>
      </c>
      <c r="BY393">
        <v>7.0000000000000007E-2</v>
      </c>
      <c r="BZ393">
        <v>0</v>
      </c>
      <c r="CA393">
        <f>BZ393*SQRT(AL393)</f>
        <v>0</v>
      </c>
      <c r="CB393">
        <v>56</v>
      </c>
      <c r="CC393">
        <v>2</v>
      </c>
      <c r="CD393">
        <v>-0.35699999999999998</v>
      </c>
      <c r="CE393">
        <v>0.01</v>
      </c>
    </row>
    <row r="394" spans="4:83" hidden="1" x14ac:dyDescent="0.2">
      <c r="D394">
        <v>26</v>
      </c>
      <c r="G394" t="s">
        <v>43</v>
      </c>
      <c r="H394" t="s">
        <v>331</v>
      </c>
      <c r="J394">
        <v>2013</v>
      </c>
      <c r="M394" t="s">
        <v>332</v>
      </c>
      <c r="T394" t="s">
        <v>68</v>
      </c>
      <c r="U394" t="s">
        <v>333</v>
      </c>
      <c r="V394" t="s">
        <v>334</v>
      </c>
      <c r="Z394" t="s">
        <v>49</v>
      </c>
      <c r="AA394" t="s">
        <v>49</v>
      </c>
      <c r="AB394" t="s">
        <v>50</v>
      </c>
      <c r="AC394" t="s">
        <v>51</v>
      </c>
      <c r="AD394" t="s">
        <v>54</v>
      </c>
      <c r="AE394" t="s">
        <v>53</v>
      </c>
      <c r="AF394" t="s">
        <v>54</v>
      </c>
      <c r="AG394" t="s">
        <v>52</v>
      </c>
      <c r="AH394" t="s">
        <v>65</v>
      </c>
      <c r="AK394">
        <v>9</v>
      </c>
      <c r="AL394">
        <v>9</v>
      </c>
      <c r="AN394">
        <v>430</v>
      </c>
      <c r="AO394">
        <v>17</v>
      </c>
      <c r="AP394" t="s">
        <v>56</v>
      </c>
      <c r="AQ394" t="s">
        <v>57</v>
      </c>
      <c r="AR394">
        <v>8.14</v>
      </c>
      <c r="AS394">
        <v>0.01</v>
      </c>
      <c r="AT394" t="s">
        <v>56</v>
      </c>
      <c r="AU394">
        <v>536</v>
      </c>
      <c r="AV394">
        <v>27</v>
      </c>
      <c r="AW394" t="s">
        <v>56</v>
      </c>
      <c r="AX394">
        <v>8.08</v>
      </c>
      <c r="AY394">
        <v>0.01</v>
      </c>
      <c r="AZ394" t="s">
        <v>56</v>
      </c>
      <c r="BB394">
        <f>LOG(AU394)</f>
        <v>2.7291647896927702</v>
      </c>
      <c r="BC394">
        <v>22.4</v>
      </c>
      <c r="BD394">
        <v>0.1</v>
      </c>
      <c r="BE394" t="s">
        <v>56</v>
      </c>
      <c r="BF394">
        <v>26.7</v>
      </c>
      <c r="BG394">
        <v>0.1</v>
      </c>
      <c r="BH394" t="s">
        <v>56</v>
      </c>
      <c r="BI394">
        <v>106</v>
      </c>
      <c r="BJ394">
        <v>4.3</v>
      </c>
      <c r="BK394" t="s">
        <v>335</v>
      </c>
      <c r="BL394" t="s">
        <v>336</v>
      </c>
      <c r="BM394" t="s">
        <v>336</v>
      </c>
      <c r="BN394" t="s">
        <v>81</v>
      </c>
      <c r="BO394" t="s">
        <v>337</v>
      </c>
      <c r="BP394" t="s">
        <v>194</v>
      </c>
      <c r="BR394" t="s">
        <v>63</v>
      </c>
      <c r="BT394">
        <v>0.11</v>
      </c>
      <c r="BU394">
        <v>0.113</v>
      </c>
      <c r="BV394">
        <v>0.02</v>
      </c>
      <c r="BW394">
        <f>BV394*SQRT(AK394)</f>
        <v>0.06</v>
      </c>
      <c r="BX394">
        <v>0.1</v>
      </c>
      <c r="BY394">
        <v>0.10100000000000001</v>
      </c>
      <c r="BZ394">
        <v>0.02</v>
      </c>
      <c r="CA394">
        <f>BZ394*SQRT(AL394)</f>
        <v>0.06</v>
      </c>
      <c r="CB394">
        <v>105</v>
      </c>
      <c r="CC394">
        <v>2</v>
      </c>
      <c r="CD394">
        <v>-0.112</v>
      </c>
      <c r="CE394">
        <v>5.7099999999999998E-2</v>
      </c>
    </row>
    <row r="395" spans="4:83" hidden="1" x14ac:dyDescent="0.2">
      <c r="D395">
        <v>26</v>
      </c>
      <c r="G395" t="s">
        <v>43</v>
      </c>
      <c r="H395" t="s">
        <v>331</v>
      </c>
      <c r="J395">
        <v>2013</v>
      </c>
      <c r="M395" t="s">
        <v>332</v>
      </c>
      <c r="T395" t="s">
        <v>68</v>
      </c>
      <c r="U395" t="s">
        <v>167</v>
      </c>
      <c r="V395" t="s">
        <v>343</v>
      </c>
      <c r="Z395" t="s">
        <v>49</v>
      </c>
      <c r="AA395" t="s">
        <v>49</v>
      </c>
      <c r="AB395" t="s">
        <v>50</v>
      </c>
      <c r="AC395" t="s">
        <v>51</v>
      </c>
      <c r="AD395" t="s">
        <v>54</v>
      </c>
      <c r="AE395" t="s">
        <v>53</v>
      </c>
      <c r="AF395" t="s">
        <v>52</v>
      </c>
      <c r="AG395" t="s">
        <v>52</v>
      </c>
      <c r="AH395" t="s">
        <v>64</v>
      </c>
      <c r="AK395">
        <v>7</v>
      </c>
      <c r="AL395">
        <v>2</v>
      </c>
      <c r="AM395" t="s">
        <v>342</v>
      </c>
      <c r="AN395">
        <v>430</v>
      </c>
      <c r="AO395">
        <v>17</v>
      </c>
      <c r="AP395" t="s">
        <v>56</v>
      </c>
      <c r="AQ395" t="s">
        <v>57</v>
      </c>
      <c r="AR395">
        <v>8.14</v>
      </c>
      <c r="AS395">
        <v>0.01</v>
      </c>
      <c r="AT395" t="s">
        <v>56</v>
      </c>
      <c r="AU395">
        <v>796</v>
      </c>
      <c r="AV395">
        <v>47</v>
      </c>
      <c r="AW395" t="s">
        <v>56</v>
      </c>
      <c r="AX395">
        <v>7.94</v>
      </c>
      <c r="AY395">
        <v>0.02</v>
      </c>
      <c r="AZ395" t="s">
        <v>56</v>
      </c>
      <c r="BB395">
        <f>LOG(AU395)</f>
        <v>2.9009130677376689</v>
      </c>
      <c r="BC395">
        <v>22.4</v>
      </c>
      <c r="BD395">
        <v>0.1</v>
      </c>
      <c r="BE395" t="s">
        <v>56</v>
      </c>
      <c r="BF395">
        <v>26.7</v>
      </c>
      <c r="BG395">
        <v>0.1</v>
      </c>
      <c r="BH395" t="s">
        <v>56</v>
      </c>
      <c r="BI395">
        <v>367</v>
      </c>
      <c r="BJ395">
        <v>4.3</v>
      </c>
      <c r="BK395" t="s">
        <v>344</v>
      </c>
      <c r="BL395" t="s">
        <v>338</v>
      </c>
      <c r="BM395" t="s">
        <v>339</v>
      </c>
      <c r="BN395" t="s">
        <v>340</v>
      </c>
      <c r="BO395" t="s">
        <v>341</v>
      </c>
      <c r="BP395" t="s">
        <v>194</v>
      </c>
      <c r="BR395" t="s">
        <v>63</v>
      </c>
      <c r="BT395">
        <v>1.6</v>
      </c>
      <c r="BU395">
        <v>1.6</v>
      </c>
      <c r="BV395">
        <v>0.38</v>
      </c>
      <c r="BW395">
        <f>BV395*SQRT(AK395)</f>
        <v>1.0053854982045445</v>
      </c>
      <c r="BX395">
        <v>1.75</v>
      </c>
      <c r="BY395">
        <v>1.75</v>
      </c>
      <c r="BZ395">
        <v>0.11</v>
      </c>
      <c r="CA395">
        <f>BZ395*SQRT(AL395)</f>
        <v>0.15556349186104046</v>
      </c>
      <c r="CB395">
        <v>56</v>
      </c>
      <c r="CC395">
        <v>2</v>
      </c>
      <c r="CD395">
        <v>-0.09</v>
      </c>
      <c r="CE395">
        <v>6.0400000000000002E-2</v>
      </c>
    </row>
    <row r="396" spans="4:83" hidden="1" x14ac:dyDescent="0.2">
      <c r="D396">
        <v>26</v>
      </c>
      <c r="G396" t="s">
        <v>43</v>
      </c>
      <c r="H396" t="s">
        <v>331</v>
      </c>
      <c r="J396">
        <v>2013</v>
      </c>
      <c r="M396" t="s">
        <v>332</v>
      </c>
      <c r="T396" t="s">
        <v>68</v>
      </c>
      <c r="U396" t="s">
        <v>333</v>
      </c>
      <c r="V396" t="s">
        <v>334</v>
      </c>
      <c r="Z396" t="s">
        <v>49</v>
      </c>
      <c r="AA396" t="s">
        <v>49</v>
      </c>
      <c r="AB396" t="s">
        <v>50</v>
      </c>
      <c r="AC396" t="s">
        <v>51</v>
      </c>
      <c r="AD396" t="s">
        <v>54</v>
      </c>
      <c r="AE396" t="s">
        <v>53</v>
      </c>
      <c r="AF396" t="s">
        <v>52</v>
      </c>
      <c r="AG396" t="s">
        <v>54</v>
      </c>
      <c r="AH396" t="s">
        <v>55</v>
      </c>
      <c r="AK396">
        <v>7</v>
      </c>
      <c r="AL396">
        <v>7</v>
      </c>
      <c r="AM396" t="s">
        <v>342</v>
      </c>
      <c r="AN396">
        <v>430</v>
      </c>
      <c r="AO396">
        <v>17</v>
      </c>
      <c r="AP396" t="s">
        <v>56</v>
      </c>
      <c r="AQ396" t="s">
        <v>57</v>
      </c>
      <c r="AR396">
        <v>8.14</v>
      </c>
      <c r="AS396">
        <v>0.01</v>
      </c>
      <c r="AT396" t="s">
        <v>56</v>
      </c>
      <c r="AU396">
        <v>744</v>
      </c>
      <c r="AV396">
        <v>31</v>
      </c>
      <c r="AW396" t="s">
        <v>56</v>
      </c>
      <c r="AX396">
        <v>7.95</v>
      </c>
      <c r="AY396">
        <v>0.01</v>
      </c>
      <c r="AZ396" t="s">
        <v>56</v>
      </c>
      <c r="BB396">
        <f>LOG(AU396)</f>
        <v>2.8715729355458786</v>
      </c>
      <c r="BC396">
        <v>22.4</v>
      </c>
      <c r="BD396">
        <v>0.1</v>
      </c>
      <c r="BE396" t="s">
        <v>56</v>
      </c>
      <c r="BF396">
        <v>22.2</v>
      </c>
      <c r="BG396">
        <v>0.1</v>
      </c>
      <c r="BH396" t="s">
        <v>56</v>
      </c>
      <c r="BI396">
        <v>315</v>
      </c>
      <c r="BJ396">
        <v>-0.2</v>
      </c>
      <c r="BK396" t="s">
        <v>335</v>
      </c>
      <c r="BL396" t="s">
        <v>338</v>
      </c>
      <c r="BM396" t="s">
        <v>339</v>
      </c>
      <c r="BN396" t="s">
        <v>340</v>
      </c>
      <c r="BO396" t="s">
        <v>341</v>
      </c>
      <c r="BP396" t="s">
        <v>194</v>
      </c>
      <c r="BR396" t="s">
        <v>63</v>
      </c>
      <c r="BT396">
        <v>1.42</v>
      </c>
      <c r="BU396">
        <v>1.42</v>
      </c>
      <c r="BV396">
        <v>0.28999999999999998</v>
      </c>
      <c r="BW396">
        <f>BV396*SQRT(AK396)</f>
        <v>0.76726788020873127</v>
      </c>
      <c r="BX396">
        <v>1.45</v>
      </c>
      <c r="BY396">
        <v>1.45</v>
      </c>
      <c r="BZ396">
        <v>0.23</v>
      </c>
      <c r="CA396">
        <f>BZ396*SQRT(AL396)</f>
        <v>0.60852280154485594</v>
      </c>
      <c r="CB396">
        <v>105</v>
      </c>
      <c r="CC396">
        <v>2</v>
      </c>
      <c r="CD396">
        <v>-2.1000000000000001E-2</v>
      </c>
      <c r="CE396">
        <v>6.6900000000000001E-2</v>
      </c>
    </row>
    <row r="397" spans="4:83" hidden="1" x14ac:dyDescent="0.2">
      <c r="D397">
        <v>26</v>
      </c>
      <c r="G397" t="s">
        <v>43</v>
      </c>
      <c r="H397" t="s">
        <v>331</v>
      </c>
      <c r="J397">
        <v>2013</v>
      </c>
      <c r="M397" t="s">
        <v>332</v>
      </c>
      <c r="T397" t="s">
        <v>68</v>
      </c>
      <c r="U397" t="s">
        <v>167</v>
      </c>
      <c r="V397" t="s">
        <v>343</v>
      </c>
      <c r="Z397" t="s">
        <v>49</v>
      </c>
      <c r="AA397" t="s">
        <v>49</v>
      </c>
      <c r="AB397" t="s">
        <v>50</v>
      </c>
      <c r="AC397" t="s">
        <v>51</v>
      </c>
      <c r="AD397" t="s">
        <v>54</v>
      </c>
      <c r="AE397" t="s">
        <v>53</v>
      </c>
      <c r="AF397" t="s">
        <v>52</v>
      </c>
      <c r="AG397" t="s">
        <v>54</v>
      </c>
      <c r="AH397" t="s">
        <v>55</v>
      </c>
      <c r="AK397">
        <v>9</v>
      </c>
      <c r="AL397">
        <v>9</v>
      </c>
      <c r="AN397">
        <v>430</v>
      </c>
      <c r="AO397">
        <v>17</v>
      </c>
      <c r="AP397" t="s">
        <v>56</v>
      </c>
      <c r="AQ397" t="s">
        <v>57</v>
      </c>
      <c r="AR397">
        <v>8.14</v>
      </c>
      <c r="AS397">
        <v>0.01</v>
      </c>
      <c r="AT397" t="s">
        <v>56</v>
      </c>
      <c r="AU397">
        <v>744</v>
      </c>
      <c r="AV397">
        <v>31</v>
      </c>
      <c r="AW397" t="s">
        <v>56</v>
      </c>
      <c r="AX397">
        <v>7.95</v>
      </c>
      <c r="AY397">
        <v>0.01</v>
      </c>
      <c r="AZ397" t="s">
        <v>56</v>
      </c>
      <c r="BB397">
        <f>LOG(AU397)</f>
        <v>2.8715729355458786</v>
      </c>
      <c r="BC397">
        <v>22.4</v>
      </c>
      <c r="BD397">
        <v>0.1</v>
      </c>
      <c r="BE397" t="s">
        <v>56</v>
      </c>
      <c r="BF397">
        <v>22.2</v>
      </c>
      <c r="BG397">
        <v>0.1</v>
      </c>
      <c r="BH397" t="s">
        <v>56</v>
      </c>
      <c r="BI397">
        <v>315</v>
      </c>
      <c r="BJ397">
        <v>-0.2</v>
      </c>
      <c r="BK397" t="s">
        <v>344</v>
      </c>
      <c r="BL397" t="s">
        <v>336</v>
      </c>
      <c r="BM397" t="s">
        <v>336</v>
      </c>
      <c r="BN397" t="s">
        <v>81</v>
      </c>
      <c r="BO397" t="s">
        <v>337</v>
      </c>
      <c r="BP397" t="s">
        <v>194</v>
      </c>
      <c r="BR397" t="s">
        <v>63</v>
      </c>
      <c r="BT397">
        <v>0.1</v>
      </c>
      <c r="BU397">
        <v>0.1</v>
      </c>
      <c r="BV397">
        <v>0.01</v>
      </c>
      <c r="BW397">
        <f>BV397*SQRT(AK397)</f>
        <v>0.03</v>
      </c>
      <c r="BX397">
        <v>0.1</v>
      </c>
      <c r="BY397">
        <v>0.1</v>
      </c>
      <c r="BZ397">
        <v>0.01</v>
      </c>
      <c r="CA397">
        <f>BZ397*SQRT(AL397)</f>
        <v>0.03</v>
      </c>
      <c r="CB397">
        <v>56</v>
      </c>
      <c r="CC397">
        <v>2</v>
      </c>
      <c r="CD397">
        <v>0</v>
      </c>
      <c r="CE397">
        <v>0.02</v>
      </c>
    </row>
    <row r="398" spans="4:83" hidden="1" x14ac:dyDescent="0.2">
      <c r="D398">
        <v>26</v>
      </c>
      <c r="G398" t="s">
        <v>43</v>
      </c>
      <c r="H398" t="s">
        <v>331</v>
      </c>
      <c r="J398">
        <v>2013</v>
      </c>
      <c r="M398" t="s">
        <v>332</v>
      </c>
      <c r="T398" t="s">
        <v>68</v>
      </c>
      <c r="U398" t="s">
        <v>167</v>
      </c>
      <c r="V398" t="s">
        <v>343</v>
      </c>
      <c r="Z398" t="s">
        <v>49</v>
      </c>
      <c r="AA398" t="s">
        <v>49</v>
      </c>
      <c r="AB398" t="s">
        <v>50</v>
      </c>
      <c r="AC398" t="s">
        <v>51</v>
      </c>
      <c r="AD398" t="s">
        <v>54</v>
      </c>
      <c r="AE398" t="s">
        <v>53</v>
      </c>
      <c r="AF398" t="s">
        <v>52</v>
      </c>
      <c r="AG398" t="s">
        <v>52</v>
      </c>
      <c r="AH398" t="s">
        <v>64</v>
      </c>
      <c r="AK398">
        <v>9</v>
      </c>
      <c r="AL398">
        <v>3</v>
      </c>
      <c r="AN398">
        <v>430</v>
      </c>
      <c r="AO398">
        <v>17</v>
      </c>
      <c r="AP398" t="s">
        <v>56</v>
      </c>
      <c r="AQ398" t="s">
        <v>57</v>
      </c>
      <c r="AR398">
        <v>8.14</v>
      </c>
      <c r="AS398">
        <v>0.01</v>
      </c>
      <c r="AT398" t="s">
        <v>56</v>
      </c>
      <c r="AU398">
        <v>796</v>
      </c>
      <c r="AV398">
        <v>47</v>
      </c>
      <c r="AW398" t="s">
        <v>56</v>
      </c>
      <c r="AX398">
        <v>7.94</v>
      </c>
      <c r="AY398">
        <v>0.02</v>
      </c>
      <c r="AZ398" t="s">
        <v>56</v>
      </c>
      <c r="BB398">
        <f>LOG(AU398)</f>
        <v>2.9009130677376689</v>
      </c>
      <c r="BC398">
        <v>22.4</v>
      </c>
      <c r="BD398">
        <v>0.1</v>
      </c>
      <c r="BE398" t="s">
        <v>56</v>
      </c>
      <c r="BF398">
        <v>26.7</v>
      </c>
      <c r="BG398">
        <v>0.1</v>
      </c>
      <c r="BH398" t="s">
        <v>56</v>
      </c>
      <c r="BI398">
        <v>367</v>
      </c>
      <c r="BJ398">
        <v>4.3</v>
      </c>
      <c r="BK398" t="s">
        <v>344</v>
      </c>
      <c r="BL398" t="s">
        <v>336</v>
      </c>
      <c r="BM398" t="s">
        <v>336</v>
      </c>
      <c r="BN398" t="s">
        <v>81</v>
      </c>
      <c r="BO398" t="s">
        <v>337</v>
      </c>
      <c r="BP398" t="s">
        <v>194</v>
      </c>
      <c r="BR398" t="s">
        <v>63</v>
      </c>
      <c r="BT398">
        <v>0.1</v>
      </c>
      <c r="BU398">
        <v>0.1</v>
      </c>
      <c r="BV398">
        <v>0.01</v>
      </c>
      <c r="BW398">
        <f>BV398*SQRT(AK398)</f>
        <v>0.03</v>
      </c>
      <c r="BX398">
        <v>0.1</v>
      </c>
      <c r="BY398">
        <v>0.1</v>
      </c>
      <c r="BZ398">
        <v>0.01</v>
      </c>
      <c r="CA398">
        <f>BZ398*SQRT(AL398)</f>
        <v>1.7320508075688773E-2</v>
      </c>
      <c r="CB398">
        <v>56</v>
      </c>
      <c r="CC398">
        <v>2</v>
      </c>
      <c r="CD398">
        <v>0</v>
      </c>
      <c r="CE398">
        <v>0.02</v>
      </c>
    </row>
    <row r="399" spans="4:83" hidden="1" x14ac:dyDescent="0.2">
      <c r="D399">
        <v>26</v>
      </c>
      <c r="G399" t="s">
        <v>43</v>
      </c>
      <c r="H399" t="s">
        <v>331</v>
      </c>
      <c r="J399">
        <v>2013</v>
      </c>
      <c r="M399" t="s">
        <v>332</v>
      </c>
      <c r="T399" t="s">
        <v>68</v>
      </c>
      <c r="U399" t="s">
        <v>167</v>
      </c>
      <c r="V399" t="s">
        <v>343</v>
      </c>
      <c r="Z399" t="s">
        <v>49</v>
      </c>
      <c r="AA399" t="s">
        <v>49</v>
      </c>
      <c r="AB399" t="s">
        <v>50</v>
      </c>
      <c r="AC399" t="s">
        <v>51</v>
      </c>
      <c r="AD399" t="s">
        <v>54</v>
      </c>
      <c r="AE399" t="s">
        <v>53</v>
      </c>
      <c r="AF399" t="s">
        <v>52</v>
      </c>
      <c r="AG399" t="s">
        <v>54</v>
      </c>
      <c r="AH399" t="s">
        <v>55</v>
      </c>
      <c r="AK399">
        <v>9</v>
      </c>
      <c r="AL399">
        <v>9</v>
      </c>
      <c r="AN399">
        <v>430</v>
      </c>
      <c r="AO399">
        <v>17</v>
      </c>
      <c r="AP399" t="s">
        <v>56</v>
      </c>
      <c r="AQ399" t="s">
        <v>57</v>
      </c>
      <c r="AR399">
        <v>8.14</v>
      </c>
      <c r="AS399">
        <v>0.01</v>
      </c>
      <c r="AT399" t="s">
        <v>56</v>
      </c>
      <c r="AU399">
        <v>744</v>
      </c>
      <c r="AV399">
        <v>31</v>
      </c>
      <c r="AW399" t="s">
        <v>56</v>
      </c>
      <c r="AX399">
        <v>7.95</v>
      </c>
      <c r="AY399">
        <v>0.01</v>
      </c>
      <c r="AZ399" t="s">
        <v>56</v>
      </c>
      <c r="BB399">
        <f>LOG(AU399)</f>
        <v>2.8715729355458786</v>
      </c>
      <c r="BC399">
        <v>22.4</v>
      </c>
      <c r="BD399">
        <v>0.1</v>
      </c>
      <c r="BE399" t="s">
        <v>56</v>
      </c>
      <c r="BF399">
        <v>22.2</v>
      </c>
      <c r="BG399">
        <v>0.1</v>
      </c>
      <c r="BH399" t="s">
        <v>56</v>
      </c>
      <c r="BI399">
        <v>315</v>
      </c>
      <c r="BJ399">
        <v>-0.2</v>
      </c>
      <c r="BK399" t="s">
        <v>344</v>
      </c>
      <c r="BL399" t="s">
        <v>345</v>
      </c>
      <c r="BM399" t="s">
        <v>59</v>
      </c>
      <c r="BN399" t="s">
        <v>60</v>
      </c>
      <c r="BO399" t="s">
        <v>346</v>
      </c>
      <c r="BP399" t="s">
        <v>62</v>
      </c>
      <c r="BR399" t="s">
        <v>63</v>
      </c>
      <c r="BT399">
        <v>38.700000000000003</v>
      </c>
      <c r="BU399">
        <v>38.700000000000003</v>
      </c>
      <c r="BV399">
        <v>3.35</v>
      </c>
      <c r="BW399">
        <f>BV399*SQRT(AK399)</f>
        <v>10.050000000000001</v>
      </c>
      <c r="BX399">
        <v>38.71</v>
      </c>
      <c r="BY399">
        <v>38.71</v>
      </c>
      <c r="BZ399">
        <v>4.63</v>
      </c>
      <c r="CA399">
        <f>BZ399*SQRT(AL399)</f>
        <v>13.89</v>
      </c>
      <c r="CB399">
        <v>56</v>
      </c>
      <c r="CC399">
        <v>2</v>
      </c>
      <c r="CD399">
        <v>0</v>
      </c>
      <c r="CE399">
        <v>2.18E-2</v>
      </c>
    </row>
    <row r="400" spans="4:83" hidden="1" x14ac:dyDescent="0.2">
      <c r="D400">
        <v>26</v>
      </c>
      <c r="G400" t="s">
        <v>43</v>
      </c>
      <c r="H400" t="s">
        <v>331</v>
      </c>
      <c r="J400">
        <v>2013</v>
      </c>
      <c r="M400" t="s">
        <v>332</v>
      </c>
      <c r="T400" t="s">
        <v>68</v>
      </c>
      <c r="U400" t="s">
        <v>333</v>
      </c>
      <c r="V400" t="s">
        <v>334</v>
      </c>
      <c r="Z400" t="s">
        <v>49</v>
      </c>
      <c r="AA400" t="s">
        <v>49</v>
      </c>
      <c r="AB400" t="s">
        <v>50</v>
      </c>
      <c r="AC400" t="s">
        <v>51</v>
      </c>
      <c r="AD400" t="s">
        <v>54</v>
      </c>
      <c r="AE400" t="s">
        <v>53</v>
      </c>
      <c r="AF400" t="s">
        <v>52</v>
      </c>
      <c r="AG400" t="s">
        <v>52</v>
      </c>
      <c r="AH400" t="s">
        <v>64</v>
      </c>
      <c r="AK400">
        <v>7</v>
      </c>
      <c r="AL400">
        <v>7</v>
      </c>
      <c r="AM400" t="s">
        <v>342</v>
      </c>
      <c r="AN400">
        <v>430</v>
      </c>
      <c r="AO400">
        <v>17</v>
      </c>
      <c r="AP400" t="s">
        <v>56</v>
      </c>
      <c r="AQ400" t="s">
        <v>57</v>
      </c>
      <c r="AR400">
        <v>8.14</v>
      </c>
      <c r="AS400">
        <v>0.01</v>
      </c>
      <c r="AT400" t="s">
        <v>56</v>
      </c>
      <c r="AU400">
        <v>796</v>
      </c>
      <c r="AV400">
        <v>47</v>
      </c>
      <c r="AW400" t="s">
        <v>56</v>
      </c>
      <c r="AX400">
        <v>7.94</v>
      </c>
      <c r="AY400">
        <v>0.02</v>
      </c>
      <c r="AZ400" t="s">
        <v>56</v>
      </c>
      <c r="BB400">
        <f>LOG(AU400)</f>
        <v>2.9009130677376689</v>
      </c>
      <c r="BC400">
        <v>22.4</v>
      </c>
      <c r="BD400">
        <v>0.1</v>
      </c>
      <c r="BE400" t="s">
        <v>56</v>
      </c>
      <c r="BF400">
        <v>26.7</v>
      </c>
      <c r="BG400">
        <v>0.1</v>
      </c>
      <c r="BH400" t="s">
        <v>56</v>
      </c>
      <c r="BI400">
        <v>367</v>
      </c>
      <c r="BJ400">
        <v>4.3</v>
      </c>
      <c r="BK400" t="s">
        <v>335</v>
      </c>
      <c r="BL400" t="s">
        <v>338</v>
      </c>
      <c r="BM400" t="s">
        <v>339</v>
      </c>
      <c r="BN400" t="s">
        <v>340</v>
      </c>
      <c r="BO400" t="s">
        <v>341</v>
      </c>
      <c r="BP400" t="s">
        <v>194</v>
      </c>
      <c r="BR400" t="s">
        <v>63</v>
      </c>
      <c r="BT400">
        <v>1.42</v>
      </c>
      <c r="BU400">
        <v>1.42</v>
      </c>
      <c r="BV400">
        <v>0.28999999999999998</v>
      </c>
      <c r="BW400">
        <f>BV400*SQRT(AK400)</f>
        <v>0.76726788020873127</v>
      </c>
      <c r="BX400">
        <v>1.01</v>
      </c>
      <c r="BY400">
        <v>1.01</v>
      </c>
      <c r="BZ400">
        <v>0.18</v>
      </c>
      <c r="CA400">
        <f>BZ400*SQRT(AL400)</f>
        <v>0.47623523599162632</v>
      </c>
      <c r="CB400">
        <v>105</v>
      </c>
      <c r="CC400">
        <v>2</v>
      </c>
      <c r="CD400">
        <v>0.34100000000000003</v>
      </c>
      <c r="CE400">
        <v>7.3499999999999996E-2</v>
      </c>
    </row>
    <row r="401" spans="4:83" hidden="1" x14ac:dyDescent="0.2">
      <c r="D401">
        <v>26</v>
      </c>
      <c r="G401" t="s">
        <v>43</v>
      </c>
      <c r="H401" t="s">
        <v>331</v>
      </c>
      <c r="J401">
        <v>2013</v>
      </c>
      <c r="M401" t="s">
        <v>332</v>
      </c>
      <c r="T401" t="s">
        <v>68</v>
      </c>
      <c r="U401" t="s">
        <v>167</v>
      </c>
      <c r="V401" t="s">
        <v>343</v>
      </c>
      <c r="Z401" t="s">
        <v>49</v>
      </c>
      <c r="AA401" t="s">
        <v>49</v>
      </c>
      <c r="AB401" t="s">
        <v>50</v>
      </c>
      <c r="AC401" t="s">
        <v>51</v>
      </c>
      <c r="AD401" t="s">
        <v>54</v>
      </c>
      <c r="AE401" t="s">
        <v>53</v>
      </c>
      <c r="AF401" t="s">
        <v>54</v>
      </c>
      <c r="AG401" t="s">
        <v>52</v>
      </c>
      <c r="AH401" t="s">
        <v>65</v>
      </c>
      <c r="AK401">
        <v>9</v>
      </c>
      <c r="AL401">
        <v>3</v>
      </c>
      <c r="AN401">
        <v>430</v>
      </c>
      <c r="AO401">
        <v>17</v>
      </c>
      <c r="AP401" t="s">
        <v>56</v>
      </c>
      <c r="AQ401" t="s">
        <v>57</v>
      </c>
      <c r="AR401">
        <v>8.14</v>
      </c>
      <c r="AS401">
        <v>0.01</v>
      </c>
      <c r="AT401" t="s">
        <v>56</v>
      </c>
      <c r="AU401">
        <v>536</v>
      </c>
      <c r="AV401">
        <v>27</v>
      </c>
      <c r="AW401" t="s">
        <v>56</v>
      </c>
      <c r="AX401">
        <v>8.08</v>
      </c>
      <c r="AY401">
        <v>0.01</v>
      </c>
      <c r="AZ401" t="s">
        <v>56</v>
      </c>
      <c r="BB401">
        <f>LOG(AU401)</f>
        <v>2.7291647896927702</v>
      </c>
      <c r="BC401">
        <v>22.4</v>
      </c>
      <c r="BD401">
        <v>0.1</v>
      </c>
      <c r="BE401" t="s">
        <v>56</v>
      </c>
      <c r="BF401">
        <v>26.7</v>
      </c>
      <c r="BG401">
        <v>0.1</v>
      </c>
      <c r="BH401" t="s">
        <v>56</v>
      </c>
      <c r="BI401">
        <v>106</v>
      </c>
      <c r="BJ401">
        <v>4.3</v>
      </c>
      <c r="BK401" t="s">
        <v>344</v>
      </c>
      <c r="BL401" t="s">
        <v>345</v>
      </c>
      <c r="BM401" t="s">
        <v>59</v>
      </c>
      <c r="BN401" t="s">
        <v>60</v>
      </c>
      <c r="BO401" t="s">
        <v>346</v>
      </c>
      <c r="BP401" t="s">
        <v>62</v>
      </c>
      <c r="BR401" t="s">
        <v>63</v>
      </c>
      <c r="BT401">
        <v>38.700000000000003</v>
      </c>
      <c r="BU401">
        <v>38.700000000000003</v>
      </c>
      <c r="BV401">
        <v>3.35</v>
      </c>
      <c r="BW401">
        <f>BV401*SQRT(AK401)</f>
        <v>10.050000000000001</v>
      </c>
      <c r="BX401">
        <v>65.77</v>
      </c>
      <c r="BY401">
        <v>65.77</v>
      </c>
      <c r="BZ401">
        <v>19.72</v>
      </c>
      <c r="CA401">
        <f>BZ401*SQRT(AL401)</f>
        <v>34.156041925258258</v>
      </c>
      <c r="CB401">
        <v>56</v>
      </c>
      <c r="CC401">
        <v>2</v>
      </c>
      <c r="CD401">
        <v>0.53</v>
      </c>
      <c r="CE401">
        <v>9.74E-2</v>
      </c>
    </row>
    <row r="402" spans="4:83" hidden="1" x14ac:dyDescent="0.2">
      <c r="D402">
        <v>26</v>
      </c>
      <c r="G402" t="s">
        <v>43</v>
      </c>
      <c r="H402" t="s">
        <v>331</v>
      </c>
      <c r="J402">
        <v>2013</v>
      </c>
      <c r="M402" t="s">
        <v>332</v>
      </c>
      <c r="T402" t="s">
        <v>68</v>
      </c>
      <c r="U402" t="s">
        <v>167</v>
      </c>
      <c r="V402" t="s">
        <v>343</v>
      </c>
      <c r="Z402" t="s">
        <v>49</v>
      </c>
      <c r="AA402" t="s">
        <v>49</v>
      </c>
      <c r="AB402" t="s">
        <v>50</v>
      </c>
      <c r="AC402" t="s">
        <v>51</v>
      </c>
      <c r="AD402" t="s">
        <v>54</v>
      </c>
      <c r="AE402" t="s">
        <v>53</v>
      </c>
      <c r="AF402" t="s">
        <v>54</v>
      </c>
      <c r="AG402" t="s">
        <v>52</v>
      </c>
      <c r="AH402" t="s">
        <v>65</v>
      </c>
      <c r="AK402">
        <v>7</v>
      </c>
      <c r="AL402">
        <v>2</v>
      </c>
      <c r="AM402" t="s">
        <v>342</v>
      </c>
      <c r="AN402">
        <v>430</v>
      </c>
      <c r="AO402">
        <v>17</v>
      </c>
      <c r="AP402" t="s">
        <v>56</v>
      </c>
      <c r="AQ402" t="s">
        <v>57</v>
      </c>
      <c r="AR402">
        <v>8.14</v>
      </c>
      <c r="AS402">
        <v>0.01</v>
      </c>
      <c r="AT402" t="s">
        <v>56</v>
      </c>
      <c r="AU402">
        <v>536</v>
      </c>
      <c r="AV402">
        <v>27</v>
      </c>
      <c r="AW402" t="s">
        <v>56</v>
      </c>
      <c r="AX402">
        <v>8.08</v>
      </c>
      <c r="AY402">
        <v>0.01</v>
      </c>
      <c r="AZ402" t="s">
        <v>56</v>
      </c>
      <c r="BB402">
        <f>LOG(AU402)</f>
        <v>2.7291647896927702</v>
      </c>
      <c r="BC402">
        <v>22.4</v>
      </c>
      <c r="BD402">
        <v>0.1</v>
      </c>
      <c r="BE402" t="s">
        <v>56</v>
      </c>
      <c r="BF402">
        <v>26.7</v>
      </c>
      <c r="BG402">
        <v>0.1</v>
      </c>
      <c r="BH402" t="s">
        <v>56</v>
      </c>
      <c r="BI402">
        <v>106</v>
      </c>
      <c r="BJ402">
        <v>4.3</v>
      </c>
      <c r="BK402" t="s">
        <v>344</v>
      </c>
      <c r="BL402" t="s">
        <v>338</v>
      </c>
      <c r="BM402" t="s">
        <v>339</v>
      </c>
      <c r="BN402" t="s">
        <v>340</v>
      </c>
      <c r="BO402" t="s">
        <v>341</v>
      </c>
      <c r="BP402" t="s">
        <v>194</v>
      </c>
      <c r="BR402" t="s">
        <v>63</v>
      </c>
      <c r="BT402">
        <v>1.6</v>
      </c>
      <c r="BU402">
        <v>1.6</v>
      </c>
      <c r="BV402">
        <v>0.38</v>
      </c>
      <c r="BW402">
        <f>BV402*SQRT(AK402)</f>
        <v>1.0053854982045445</v>
      </c>
      <c r="BX402">
        <v>0.82</v>
      </c>
      <c r="BY402">
        <v>0.82</v>
      </c>
      <c r="BZ402">
        <v>0.15</v>
      </c>
      <c r="CA402">
        <f>BZ402*SQRT(AL402)</f>
        <v>0.21213203435596426</v>
      </c>
      <c r="CB402">
        <v>56</v>
      </c>
      <c r="CC402">
        <v>2</v>
      </c>
      <c r="CD402">
        <v>0.66800000000000004</v>
      </c>
      <c r="CE402">
        <v>8.9899999999999994E-2</v>
      </c>
    </row>
    <row r="403" spans="4:83" hidden="1" x14ac:dyDescent="0.2">
      <c r="D403">
        <v>26</v>
      </c>
      <c r="G403" t="s">
        <v>43</v>
      </c>
      <c r="H403" t="s">
        <v>331</v>
      </c>
      <c r="J403">
        <v>2013</v>
      </c>
      <c r="M403" t="s">
        <v>332</v>
      </c>
      <c r="T403" t="s">
        <v>68</v>
      </c>
      <c r="U403" t="s">
        <v>333</v>
      </c>
      <c r="V403" t="s">
        <v>334</v>
      </c>
      <c r="Z403" t="s">
        <v>49</v>
      </c>
      <c r="AA403" t="s">
        <v>49</v>
      </c>
      <c r="AB403" t="s">
        <v>50</v>
      </c>
      <c r="AC403" t="s">
        <v>51</v>
      </c>
      <c r="AD403" t="s">
        <v>54</v>
      </c>
      <c r="AE403" t="s">
        <v>53</v>
      </c>
      <c r="AF403" t="s">
        <v>52</v>
      </c>
      <c r="AG403" t="s">
        <v>54</v>
      </c>
      <c r="AH403" t="s">
        <v>55</v>
      </c>
      <c r="AK403">
        <v>9</v>
      </c>
      <c r="AL403">
        <v>9</v>
      </c>
      <c r="AN403">
        <v>430</v>
      </c>
      <c r="AO403">
        <v>17</v>
      </c>
      <c r="AP403" t="s">
        <v>56</v>
      </c>
      <c r="AQ403" t="s">
        <v>57</v>
      </c>
      <c r="AR403">
        <v>8.14</v>
      </c>
      <c r="AS403">
        <v>0.01</v>
      </c>
      <c r="AT403" t="s">
        <v>56</v>
      </c>
      <c r="AU403">
        <v>744</v>
      </c>
      <c r="AV403">
        <v>31</v>
      </c>
      <c r="AW403" t="s">
        <v>56</v>
      </c>
      <c r="AX403">
        <v>7.95</v>
      </c>
      <c r="AY403">
        <v>0.01</v>
      </c>
      <c r="AZ403" t="s">
        <v>56</v>
      </c>
      <c r="BB403">
        <f>LOG(AU403)</f>
        <v>2.8715729355458786</v>
      </c>
      <c r="BC403">
        <v>22.4</v>
      </c>
      <c r="BD403">
        <v>0.1</v>
      </c>
      <c r="BE403" t="s">
        <v>56</v>
      </c>
      <c r="BF403">
        <v>22.2</v>
      </c>
      <c r="BG403">
        <v>0.1</v>
      </c>
      <c r="BH403" t="s">
        <v>56</v>
      </c>
      <c r="BI403">
        <v>315</v>
      </c>
      <c r="BJ403">
        <v>-0.2</v>
      </c>
      <c r="BK403" t="s">
        <v>335</v>
      </c>
      <c r="BL403" t="s">
        <v>345</v>
      </c>
      <c r="BM403" t="s">
        <v>59</v>
      </c>
      <c r="BN403" t="s">
        <v>60</v>
      </c>
      <c r="BO403" t="s">
        <v>346</v>
      </c>
      <c r="BP403" t="s">
        <v>62</v>
      </c>
      <c r="BR403" t="s">
        <v>63</v>
      </c>
      <c r="BT403">
        <v>10.4</v>
      </c>
      <c r="BU403">
        <v>10.4</v>
      </c>
      <c r="BV403">
        <v>2.58</v>
      </c>
      <c r="BW403">
        <f>BV403*SQRT(AK403)</f>
        <v>7.74</v>
      </c>
      <c r="BX403">
        <v>21.37</v>
      </c>
      <c r="BY403">
        <v>21.37</v>
      </c>
      <c r="BZ403">
        <v>2.16</v>
      </c>
      <c r="CA403">
        <f>BZ403*SQRT(AL403)</f>
        <v>6.48</v>
      </c>
      <c r="CB403">
        <v>105</v>
      </c>
      <c r="CC403">
        <v>2</v>
      </c>
      <c r="CD403">
        <v>0.72</v>
      </c>
      <c r="CE403">
        <v>7.1800000000000003E-2</v>
      </c>
    </row>
    <row r="404" spans="4:83" hidden="1" x14ac:dyDescent="0.2">
      <c r="D404">
        <v>26</v>
      </c>
      <c r="G404" t="s">
        <v>43</v>
      </c>
      <c r="H404" t="s">
        <v>331</v>
      </c>
      <c r="J404">
        <v>2013</v>
      </c>
      <c r="M404" t="s">
        <v>332</v>
      </c>
      <c r="T404" t="s">
        <v>68</v>
      </c>
      <c r="U404" t="s">
        <v>167</v>
      </c>
      <c r="V404" t="s">
        <v>343</v>
      </c>
      <c r="Z404" t="s">
        <v>49</v>
      </c>
      <c r="AA404" t="s">
        <v>49</v>
      </c>
      <c r="AB404" t="s">
        <v>50</v>
      </c>
      <c r="AC404" t="s">
        <v>51</v>
      </c>
      <c r="AD404" t="s">
        <v>54</v>
      </c>
      <c r="AE404" t="s">
        <v>53</v>
      </c>
      <c r="AF404" t="s">
        <v>52</v>
      </c>
      <c r="AG404" t="s">
        <v>52</v>
      </c>
      <c r="AH404" t="s">
        <v>64</v>
      </c>
      <c r="AK404">
        <v>9</v>
      </c>
      <c r="AL404">
        <v>3</v>
      </c>
      <c r="AN404">
        <v>430</v>
      </c>
      <c r="AO404">
        <v>17</v>
      </c>
      <c r="AP404" t="s">
        <v>56</v>
      </c>
      <c r="AQ404" t="s">
        <v>57</v>
      </c>
      <c r="AR404">
        <v>8.14</v>
      </c>
      <c r="AS404">
        <v>0.01</v>
      </c>
      <c r="AT404" t="s">
        <v>56</v>
      </c>
      <c r="AU404">
        <v>796</v>
      </c>
      <c r="AV404">
        <v>47</v>
      </c>
      <c r="AW404" t="s">
        <v>56</v>
      </c>
      <c r="AX404">
        <v>7.94</v>
      </c>
      <c r="AY404">
        <v>0.02</v>
      </c>
      <c r="AZ404" t="s">
        <v>56</v>
      </c>
      <c r="BB404">
        <f>LOG(AU404)</f>
        <v>2.9009130677376689</v>
      </c>
      <c r="BC404">
        <v>22.4</v>
      </c>
      <c r="BD404">
        <v>0.1</v>
      </c>
      <c r="BE404" t="s">
        <v>56</v>
      </c>
      <c r="BF404">
        <v>26.7</v>
      </c>
      <c r="BG404">
        <v>0.1</v>
      </c>
      <c r="BH404" t="s">
        <v>56</v>
      </c>
      <c r="BI404">
        <v>367</v>
      </c>
      <c r="BJ404">
        <v>4.3</v>
      </c>
      <c r="BK404" t="s">
        <v>344</v>
      </c>
      <c r="BL404" t="s">
        <v>345</v>
      </c>
      <c r="BM404" t="s">
        <v>59</v>
      </c>
      <c r="BN404" t="s">
        <v>60</v>
      </c>
      <c r="BO404" t="s">
        <v>346</v>
      </c>
      <c r="BP404" t="s">
        <v>62</v>
      </c>
      <c r="BR404" t="s">
        <v>63</v>
      </c>
      <c r="BT404">
        <v>38.700000000000003</v>
      </c>
      <c r="BU404">
        <v>38.700000000000003</v>
      </c>
      <c r="BV404">
        <v>3.35</v>
      </c>
      <c r="BW404">
        <f>BV404*SQRT(AK404)</f>
        <v>10.050000000000001</v>
      </c>
      <c r="BX404">
        <v>86.35</v>
      </c>
      <c r="BY404">
        <v>86.35</v>
      </c>
      <c r="BZ404">
        <v>10.91</v>
      </c>
      <c r="CA404">
        <f>BZ404*SQRT(AL404)</f>
        <v>18.896674310576451</v>
      </c>
      <c r="CB404">
        <v>56</v>
      </c>
      <c r="CC404">
        <v>2</v>
      </c>
      <c r="CD404">
        <v>0.80300000000000005</v>
      </c>
      <c r="CE404">
        <v>2.35E-2</v>
      </c>
    </row>
    <row r="405" spans="4:83" hidden="1" x14ac:dyDescent="0.2">
      <c r="D405">
        <v>26</v>
      </c>
      <c r="G405" t="s">
        <v>43</v>
      </c>
      <c r="H405" t="s">
        <v>331</v>
      </c>
      <c r="J405">
        <v>2013</v>
      </c>
      <c r="M405" t="s">
        <v>332</v>
      </c>
      <c r="T405" t="s">
        <v>68</v>
      </c>
      <c r="U405" t="s">
        <v>333</v>
      </c>
      <c r="V405" t="s">
        <v>334</v>
      </c>
      <c r="Z405" t="s">
        <v>49</v>
      </c>
      <c r="AA405" t="s">
        <v>49</v>
      </c>
      <c r="AB405" t="s">
        <v>50</v>
      </c>
      <c r="AC405" t="s">
        <v>51</v>
      </c>
      <c r="AD405" t="s">
        <v>54</v>
      </c>
      <c r="AE405" t="s">
        <v>53</v>
      </c>
      <c r="AF405" t="s">
        <v>54</v>
      </c>
      <c r="AG405" t="s">
        <v>52</v>
      </c>
      <c r="AH405" t="s">
        <v>65</v>
      </c>
      <c r="AK405">
        <v>9</v>
      </c>
      <c r="AL405">
        <v>9</v>
      </c>
      <c r="AN405">
        <v>430</v>
      </c>
      <c r="AO405">
        <v>17</v>
      </c>
      <c r="AP405" t="s">
        <v>56</v>
      </c>
      <c r="AQ405" t="s">
        <v>57</v>
      </c>
      <c r="AR405">
        <v>8.14</v>
      </c>
      <c r="AS405">
        <v>0.01</v>
      </c>
      <c r="AT405" t="s">
        <v>56</v>
      </c>
      <c r="AU405">
        <v>536</v>
      </c>
      <c r="AV405">
        <v>27</v>
      </c>
      <c r="AW405" t="s">
        <v>56</v>
      </c>
      <c r="AX405">
        <v>8.08</v>
      </c>
      <c r="AY405">
        <v>0.01</v>
      </c>
      <c r="AZ405" t="s">
        <v>56</v>
      </c>
      <c r="BB405">
        <f>LOG(AU405)</f>
        <v>2.7291647896927702</v>
      </c>
      <c r="BC405">
        <v>22.4</v>
      </c>
      <c r="BD405">
        <v>0.1</v>
      </c>
      <c r="BE405" t="s">
        <v>56</v>
      </c>
      <c r="BF405">
        <v>26.7</v>
      </c>
      <c r="BG405">
        <v>0.1</v>
      </c>
      <c r="BH405" t="s">
        <v>56</v>
      </c>
      <c r="BI405">
        <v>106</v>
      </c>
      <c r="BJ405">
        <v>4.3</v>
      </c>
      <c r="BK405" t="s">
        <v>335</v>
      </c>
      <c r="BL405" t="s">
        <v>345</v>
      </c>
      <c r="BM405" t="s">
        <v>59</v>
      </c>
      <c r="BN405" t="s">
        <v>60</v>
      </c>
      <c r="BO405" t="s">
        <v>346</v>
      </c>
      <c r="BP405" t="s">
        <v>62</v>
      </c>
      <c r="BR405" t="s">
        <v>63</v>
      </c>
      <c r="BT405">
        <v>10.4</v>
      </c>
      <c r="BU405">
        <v>10.4</v>
      </c>
      <c r="BV405">
        <v>2.58</v>
      </c>
      <c r="BW405">
        <f>BV405*SQRT(AK405)</f>
        <v>7.74</v>
      </c>
      <c r="BX405">
        <v>23.41</v>
      </c>
      <c r="BY405">
        <v>23.41</v>
      </c>
      <c r="BZ405">
        <v>3.87</v>
      </c>
      <c r="CA405">
        <f>BZ405*SQRT(AL405)</f>
        <v>11.61</v>
      </c>
      <c r="CB405">
        <v>105</v>
      </c>
      <c r="CC405">
        <v>2</v>
      </c>
      <c r="CD405">
        <v>0.81100000000000005</v>
      </c>
      <c r="CE405">
        <v>8.8900000000000007E-2</v>
      </c>
    </row>
    <row r="406" spans="4:83" hidden="1" x14ac:dyDescent="0.2">
      <c r="D406">
        <v>26</v>
      </c>
      <c r="G406" t="s">
        <v>43</v>
      </c>
      <c r="H406" t="s">
        <v>331</v>
      </c>
      <c r="J406">
        <v>2013</v>
      </c>
      <c r="M406" t="s">
        <v>332</v>
      </c>
      <c r="T406" t="s">
        <v>68</v>
      </c>
      <c r="U406" t="s">
        <v>333</v>
      </c>
      <c r="V406" t="s">
        <v>334</v>
      </c>
      <c r="Z406" t="s">
        <v>49</v>
      </c>
      <c r="AA406" t="s">
        <v>49</v>
      </c>
      <c r="AB406" t="s">
        <v>50</v>
      </c>
      <c r="AC406" t="s">
        <v>51</v>
      </c>
      <c r="AD406" t="s">
        <v>54</v>
      </c>
      <c r="AE406" t="s">
        <v>53</v>
      </c>
      <c r="AF406" t="s">
        <v>52</v>
      </c>
      <c r="AG406" t="s">
        <v>52</v>
      </c>
      <c r="AH406" t="s">
        <v>64</v>
      </c>
      <c r="AK406">
        <v>9</v>
      </c>
      <c r="AL406">
        <v>9</v>
      </c>
      <c r="AN406">
        <v>430</v>
      </c>
      <c r="AO406">
        <v>17</v>
      </c>
      <c r="AP406" t="s">
        <v>56</v>
      </c>
      <c r="AQ406" t="s">
        <v>57</v>
      </c>
      <c r="AR406">
        <v>8.14</v>
      </c>
      <c r="AS406">
        <v>0.01</v>
      </c>
      <c r="AT406" t="s">
        <v>56</v>
      </c>
      <c r="AU406">
        <v>796</v>
      </c>
      <c r="AV406">
        <v>47</v>
      </c>
      <c r="AW406" t="s">
        <v>56</v>
      </c>
      <c r="AX406">
        <v>7.94</v>
      </c>
      <c r="AY406">
        <v>0.02</v>
      </c>
      <c r="AZ406" t="s">
        <v>56</v>
      </c>
      <c r="BB406">
        <f>LOG(AU406)</f>
        <v>2.9009130677376689</v>
      </c>
      <c r="BC406">
        <v>22.4</v>
      </c>
      <c r="BD406">
        <v>0.1</v>
      </c>
      <c r="BE406" t="s">
        <v>56</v>
      </c>
      <c r="BF406">
        <v>26.7</v>
      </c>
      <c r="BG406">
        <v>0.1</v>
      </c>
      <c r="BH406" t="s">
        <v>56</v>
      </c>
      <c r="BI406">
        <v>367</v>
      </c>
      <c r="BJ406">
        <v>4.3</v>
      </c>
      <c r="BK406" t="s">
        <v>335</v>
      </c>
      <c r="BL406" t="s">
        <v>345</v>
      </c>
      <c r="BM406" t="s">
        <v>59</v>
      </c>
      <c r="BN406" t="s">
        <v>60</v>
      </c>
      <c r="BO406" t="s">
        <v>346</v>
      </c>
      <c r="BP406" t="s">
        <v>62</v>
      </c>
      <c r="BR406" t="s">
        <v>63</v>
      </c>
      <c r="BT406">
        <v>10.4</v>
      </c>
      <c r="BU406">
        <v>10.4</v>
      </c>
      <c r="BV406">
        <v>2.58</v>
      </c>
      <c r="BW406">
        <f>BV406*SQRT(AK406)</f>
        <v>7.74</v>
      </c>
      <c r="BX406">
        <v>30.51</v>
      </c>
      <c r="BY406">
        <v>30.51</v>
      </c>
      <c r="BZ406">
        <v>4.3099999999999996</v>
      </c>
      <c r="CA406">
        <f>BZ406*SQRT(AL406)</f>
        <v>12.93</v>
      </c>
      <c r="CB406">
        <v>105</v>
      </c>
      <c r="CC406">
        <v>2</v>
      </c>
      <c r="CD406">
        <v>1.0760000000000001</v>
      </c>
      <c r="CE406">
        <v>8.1500000000000003E-2</v>
      </c>
    </row>
    <row r="407" spans="4:83" hidden="1" x14ac:dyDescent="0.2">
      <c r="D407">
        <v>26</v>
      </c>
      <c r="G407" t="s">
        <v>43</v>
      </c>
      <c r="H407" t="s">
        <v>331</v>
      </c>
      <c r="J407">
        <v>2013</v>
      </c>
      <c r="M407" t="s">
        <v>332</v>
      </c>
      <c r="T407" t="s">
        <v>68</v>
      </c>
      <c r="U407" t="s">
        <v>167</v>
      </c>
      <c r="V407" t="s">
        <v>343</v>
      </c>
      <c r="Z407" t="s">
        <v>49</v>
      </c>
      <c r="AA407" t="s">
        <v>49</v>
      </c>
      <c r="AB407" t="s">
        <v>50</v>
      </c>
      <c r="AC407" t="s">
        <v>51</v>
      </c>
      <c r="AD407" t="s">
        <v>54</v>
      </c>
      <c r="AE407" t="s">
        <v>53</v>
      </c>
      <c r="AF407" t="s">
        <v>52</v>
      </c>
      <c r="AG407" t="s">
        <v>54</v>
      </c>
      <c r="AH407" t="s">
        <v>55</v>
      </c>
      <c r="AK407">
        <v>7</v>
      </c>
      <c r="AL407">
        <v>7</v>
      </c>
      <c r="AM407" t="s">
        <v>342</v>
      </c>
      <c r="AN407">
        <v>430</v>
      </c>
      <c r="AO407">
        <v>17</v>
      </c>
      <c r="AP407" t="s">
        <v>56</v>
      </c>
      <c r="AQ407" t="s">
        <v>57</v>
      </c>
      <c r="AR407">
        <v>8.14</v>
      </c>
      <c r="AS407">
        <v>0.01</v>
      </c>
      <c r="AT407" t="s">
        <v>56</v>
      </c>
      <c r="AU407">
        <v>744</v>
      </c>
      <c r="AV407">
        <v>31</v>
      </c>
      <c r="AW407" t="s">
        <v>56</v>
      </c>
      <c r="AX407">
        <v>7.95</v>
      </c>
      <c r="AY407">
        <v>0.01</v>
      </c>
      <c r="AZ407" t="s">
        <v>56</v>
      </c>
      <c r="BB407">
        <f>LOG(AU407)</f>
        <v>2.8715729355458786</v>
      </c>
      <c r="BC407">
        <v>22.4</v>
      </c>
      <c r="BD407">
        <v>0.1</v>
      </c>
      <c r="BE407" t="s">
        <v>56</v>
      </c>
      <c r="BF407">
        <v>22.2</v>
      </c>
      <c r="BG407">
        <v>0.1</v>
      </c>
      <c r="BH407" t="s">
        <v>56</v>
      </c>
      <c r="BI407">
        <v>315</v>
      </c>
      <c r="BJ407">
        <v>-0.2</v>
      </c>
      <c r="BK407" t="s">
        <v>344</v>
      </c>
      <c r="BL407" t="s">
        <v>338</v>
      </c>
      <c r="BM407" t="s">
        <v>339</v>
      </c>
      <c r="BN407" t="s">
        <v>340</v>
      </c>
      <c r="BO407" t="s">
        <v>341</v>
      </c>
      <c r="BP407" t="s">
        <v>194</v>
      </c>
      <c r="BR407" t="s">
        <v>63</v>
      </c>
      <c r="BT407">
        <v>1.6</v>
      </c>
      <c r="BU407">
        <v>1.6</v>
      </c>
      <c r="BV407">
        <v>0.38</v>
      </c>
      <c r="BW407">
        <f>BV407*SQRT(AK407)</f>
        <v>1.0053854982045445</v>
      </c>
      <c r="BX407">
        <v>0.52</v>
      </c>
      <c r="BY407">
        <v>0.52</v>
      </c>
      <c r="BZ407">
        <v>7.0000000000000007E-2</v>
      </c>
      <c r="CA407">
        <f>BZ407*SQRT(AL407)</f>
        <v>0.18520259177452136</v>
      </c>
      <c r="CB407">
        <v>56</v>
      </c>
      <c r="CC407">
        <v>2</v>
      </c>
      <c r="CD407">
        <v>1.1240000000000001</v>
      </c>
      <c r="CE407">
        <v>7.4499999999999997E-2</v>
      </c>
    </row>
    <row r="408" spans="4:83" hidden="1" x14ac:dyDescent="0.2">
      <c r="D408">
        <v>27</v>
      </c>
      <c r="G408" t="s">
        <v>43</v>
      </c>
      <c r="H408" t="s">
        <v>347</v>
      </c>
      <c r="J408">
        <v>2016</v>
      </c>
      <c r="M408" t="s">
        <v>67</v>
      </c>
      <c r="T408" t="s">
        <v>103</v>
      </c>
      <c r="U408" t="s">
        <v>348</v>
      </c>
      <c r="V408" t="s">
        <v>349</v>
      </c>
      <c r="Z408" t="s">
        <v>49</v>
      </c>
      <c r="AA408" t="s">
        <v>49</v>
      </c>
      <c r="AB408" t="s">
        <v>50</v>
      </c>
      <c r="AC408" t="s">
        <v>51</v>
      </c>
      <c r="AD408" t="s">
        <v>52</v>
      </c>
      <c r="AE408" t="s">
        <v>53</v>
      </c>
      <c r="AF408" t="s">
        <v>52</v>
      </c>
      <c r="AG408" t="s">
        <v>52</v>
      </c>
      <c r="AH408" t="s">
        <v>64</v>
      </c>
      <c r="AK408">
        <v>15</v>
      </c>
      <c r="AL408">
        <v>15</v>
      </c>
      <c r="AM408" t="s">
        <v>353</v>
      </c>
      <c r="AN408">
        <v>432</v>
      </c>
      <c r="AO408">
        <v>5</v>
      </c>
      <c r="AP408" t="s">
        <v>56</v>
      </c>
      <c r="AQ408" t="s">
        <v>109</v>
      </c>
      <c r="AR408">
        <v>8.0500000000000007</v>
      </c>
      <c r="AS408">
        <v>0</v>
      </c>
      <c r="AT408" t="s">
        <v>56</v>
      </c>
      <c r="AU408">
        <v>1056</v>
      </c>
      <c r="AV408">
        <v>5</v>
      </c>
      <c r="AW408" t="s">
        <v>56</v>
      </c>
      <c r="AX408">
        <v>7.71</v>
      </c>
      <c r="AY408">
        <v>0</v>
      </c>
      <c r="AZ408" t="s">
        <v>56</v>
      </c>
      <c r="BB408">
        <f>LOG(AU408)</f>
        <v>3.0236639181977933</v>
      </c>
      <c r="BC408">
        <v>17.399999999999999</v>
      </c>
      <c r="BD408" t="s">
        <v>56</v>
      </c>
      <c r="BE408" t="s">
        <v>56</v>
      </c>
      <c r="BF408">
        <v>19.899999999999999</v>
      </c>
      <c r="BG408" t="s">
        <v>56</v>
      </c>
      <c r="BH408" t="s">
        <v>56</v>
      </c>
      <c r="BI408">
        <v>624</v>
      </c>
      <c r="BJ408">
        <v>2.5</v>
      </c>
      <c r="BK408" t="s">
        <v>350</v>
      </c>
      <c r="BL408" t="s">
        <v>232</v>
      </c>
      <c r="BM408" t="s">
        <v>232</v>
      </c>
      <c r="BN408" t="s">
        <v>81</v>
      </c>
      <c r="BO408" t="s">
        <v>351</v>
      </c>
      <c r="BP408" t="s">
        <v>352</v>
      </c>
      <c r="BR408" t="s">
        <v>63</v>
      </c>
      <c r="BT408">
        <v>0.51</v>
      </c>
      <c r="BU408">
        <v>0.51387000000000005</v>
      </c>
      <c r="BV408">
        <v>0.1</v>
      </c>
      <c r="BW408">
        <f>BV408*SQRT(AK408)</f>
        <v>0.3872983346207417</v>
      </c>
      <c r="BX408">
        <v>0.34</v>
      </c>
      <c r="BY408">
        <v>0.33942460000000002</v>
      </c>
      <c r="BZ408">
        <v>7.0000000000000007E-2</v>
      </c>
      <c r="CA408">
        <f>BZ408*SQRT(AL408)</f>
        <v>0.2711088342345192</v>
      </c>
      <c r="CB408">
        <v>369</v>
      </c>
      <c r="CC408">
        <v>3</v>
      </c>
      <c r="CD408">
        <v>-0.41499999999999998</v>
      </c>
      <c r="CE408">
        <v>8.5699999999999998E-2</v>
      </c>
    </row>
    <row r="409" spans="4:83" hidden="1" x14ac:dyDescent="0.2">
      <c r="D409">
        <v>27</v>
      </c>
      <c r="G409" t="s">
        <v>43</v>
      </c>
      <c r="H409" t="s">
        <v>347</v>
      </c>
      <c r="J409">
        <v>2016</v>
      </c>
      <c r="M409" t="s">
        <v>67</v>
      </c>
      <c r="T409" t="s">
        <v>103</v>
      </c>
      <c r="U409" t="s">
        <v>348</v>
      </c>
      <c r="V409" t="s">
        <v>349</v>
      </c>
      <c r="Z409" t="s">
        <v>49</v>
      </c>
      <c r="AA409" t="s">
        <v>49</v>
      </c>
      <c r="AB409" t="s">
        <v>50</v>
      </c>
      <c r="AC409" t="s">
        <v>51</v>
      </c>
      <c r="AD409" t="s">
        <v>52</v>
      </c>
      <c r="AE409" t="s">
        <v>53</v>
      </c>
      <c r="AF409" t="s">
        <v>54</v>
      </c>
      <c r="AG409" t="s">
        <v>52</v>
      </c>
      <c r="AH409" t="s">
        <v>65</v>
      </c>
      <c r="AK409">
        <v>24</v>
      </c>
      <c r="AL409">
        <v>24</v>
      </c>
      <c r="AM409" t="s">
        <v>353</v>
      </c>
      <c r="AN409">
        <v>432</v>
      </c>
      <c r="AO409">
        <v>5</v>
      </c>
      <c r="AP409" t="s">
        <v>56</v>
      </c>
      <c r="AQ409" t="s">
        <v>109</v>
      </c>
      <c r="AR409">
        <v>8.0500000000000007</v>
      </c>
      <c r="AS409">
        <v>0</v>
      </c>
      <c r="AT409" t="s">
        <v>56</v>
      </c>
      <c r="AU409">
        <v>466</v>
      </c>
      <c r="AV409">
        <v>5</v>
      </c>
      <c r="AW409" t="s">
        <v>56</v>
      </c>
      <c r="AX409">
        <v>8.02</v>
      </c>
      <c r="AY409">
        <v>0</v>
      </c>
      <c r="AZ409" t="s">
        <v>56</v>
      </c>
      <c r="BB409">
        <f>LOG(AU409)</f>
        <v>2.6683859166900001</v>
      </c>
      <c r="BC409">
        <v>17.399999999999999</v>
      </c>
      <c r="BD409" t="s">
        <v>56</v>
      </c>
      <c r="BE409" t="s">
        <v>56</v>
      </c>
      <c r="BF409">
        <v>19.899999999999999</v>
      </c>
      <c r="BG409" t="s">
        <v>56</v>
      </c>
      <c r="BH409" t="s">
        <v>56</v>
      </c>
      <c r="BI409">
        <v>34</v>
      </c>
      <c r="BJ409">
        <v>2.5</v>
      </c>
      <c r="BK409" t="s">
        <v>56</v>
      </c>
      <c r="BL409" t="s">
        <v>354</v>
      </c>
      <c r="BM409" t="s">
        <v>354</v>
      </c>
      <c r="BN409" t="s">
        <v>60</v>
      </c>
      <c r="BO409" t="s">
        <v>355</v>
      </c>
      <c r="BP409" t="s">
        <v>194</v>
      </c>
      <c r="BR409" t="s">
        <v>63</v>
      </c>
      <c r="BT409">
        <v>743.8</v>
      </c>
      <c r="BU409">
        <v>743.8</v>
      </c>
      <c r="BV409">
        <v>94.4</v>
      </c>
      <c r="BW409">
        <f>BV409*SQRT(AK409)</f>
        <v>462.46366343746399</v>
      </c>
      <c r="BX409">
        <v>564.1</v>
      </c>
      <c r="BY409">
        <v>564.1</v>
      </c>
      <c r="BZ409">
        <v>58.3</v>
      </c>
      <c r="CA409">
        <f>BZ409*SQRT(AL409)</f>
        <v>285.61050400851855</v>
      </c>
      <c r="CB409">
        <v>369</v>
      </c>
      <c r="CC409">
        <v>3</v>
      </c>
      <c r="CD409">
        <v>-0.27700000000000002</v>
      </c>
      <c r="CE409">
        <v>2.6800000000000001E-2</v>
      </c>
    </row>
    <row r="410" spans="4:83" hidden="1" x14ac:dyDescent="0.2">
      <c r="D410">
        <v>27</v>
      </c>
      <c r="G410" t="s">
        <v>43</v>
      </c>
      <c r="H410" t="s">
        <v>347</v>
      </c>
      <c r="J410">
        <v>2016</v>
      </c>
      <c r="M410" t="s">
        <v>67</v>
      </c>
      <c r="T410" t="s">
        <v>103</v>
      </c>
      <c r="U410" t="s">
        <v>348</v>
      </c>
      <c r="V410" t="s">
        <v>349</v>
      </c>
      <c r="Z410" t="s">
        <v>49</v>
      </c>
      <c r="AA410" t="s">
        <v>49</v>
      </c>
      <c r="AB410" t="s">
        <v>50</v>
      </c>
      <c r="AC410" t="s">
        <v>51</v>
      </c>
      <c r="AD410" t="s">
        <v>52</v>
      </c>
      <c r="AE410" t="s">
        <v>53</v>
      </c>
      <c r="AF410" t="s">
        <v>52</v>
      </c>
      <c r="AG410" t="s">
        <v>52</v>
      </c>
      <c r="AH410" t="s">
        <v>64</v>
      </c>
      <c r="AK410">
        <v>24</v>
      </c>
      <c r="AL410">
        <v>24</v>
      </c>
      <c r="AM410" t="s">
        <v>353</v>
      </c>
      <c r="AN410">
        <v>432</v>
      </c>
      <c r="AO410">
        <v>5</v>
      </c>
      <c r="AP410" t="s">
        <v>56</v>
      </c>
      <c r="AQ410" t="s">
        <v>109</v>
      </c>
      <c r="AR410">
        <v>8.0500000000000007</v>
      </c>
      <c r="AS410">
        <v>0</v>
      </c>
      <c r="AT410" t="s">
        <v>56</v>
      </c>
      <c r="AU410">
        <v>1056</v>
      </c>
      <c r="AV410">
        <v>5</v>
      </c>
      <c r="AW410" t="s">
        <v>56</v>
      </c>
      <c r="AX410">
        <v>7.71</v>
      </c>
      <c r="AY410">
        <v>0</v>
      </c>
      <c r="AZ410" t="s">
        <v>56</v>
      </c>
      <c r="BB410">
        <f>LOG(AU410)</f>
        <v>3.0236639181977933</v>
      </c>
      <c r="BC410">
        <v>17.399999999999999</v>
      </c>
      <c r="BD410" t="s">
        <v>56</v>
      </c>
      <c r="BE410" t="s">
        <v>56</v>
      </c>
      <c r="BF410">
        <v>19.899999999999999</v>
      </c>
      <c r="BG410" t="s">
        <v>56</v>
      </c>
      <c r="BH410" t="s">
        <v>56</v>
      </c>
      <c r="BI410">
        <v>624</v>
      </c>
      <c r="BJ410">
        <v>2.5</v>
      </c>
      <c r="BK410" t="s">
        <v>56</v>
      </c>
      <c r="BL410" t="s">
        <v>354</v>
      </c>
      <c r="BM410" t="s">
        <v>354</v>
      </c>
      <c r="BN410" t="s">
        <v>60</v>
      </c>
      <c r="BO410" t="s">
        <v>355</v>
      </c>
      <c r="BP410" t="s">
        <v>194</v>
      </c>
      <c r="BR410" t="s">
        <v>63</v>
      </c>
      <c r="BT410">
        <v>743.8</v>
      </c>
      <c r="BU410">
        <v>743.8</v>
      </c>
      <c r="BV410">
        <v>94.4</v>
      </c>
      <c r="BW410">
        <f>BV410*SQRT(AK410)</f>
        <v>462.46366343746399</v>
      </c>
      <c r="BX410">
        <v>595.5</v>
      </c>
      <c r="BY410">
        <v>595.5</v>
      </c>
      <c r="BZ410">
        <v>71.900000000000006</v>
      </c>
      <c r="CA410">
        <f>BZ410*SQRT(AL410)</f>
        <v>352.236625012221</v>
      </c>
      <c r="CB410">
        <v>369</v>
      </c>
      <c r="CC410">
        <v>3</v>
      </c>
      <c r="CD410">
        <v>-0.222</v>
      </c>
      <c r="CE410">
        <v>3.0700000000000002E-2</v>
      </c>
    </row>
    <row r="411" spans="4:83" hidden="1" x14ac:dyDescent="0.2">
      <c r="D411">
        <v>27</v>
      </c>
      <c r="G411" t="s">
        <v>43</v>
      </c>
      <c r="H411" t="s">
        <v>347</v>
      </c>
      <c r="J411">
        <v>2016</v>
      </c>
      <c r="M411" t="s">
        <v>67</v>
      </c>
      <c r="T411" t="s">
        <v>103</v>
      </c>
      <c r="U411" t="s">
        <v>348</v>
      </c>
      <c r="V411" t="s">
        <v>349</v>
      </c>
      <c r="Z411" t="s">
        <v>49</v>
      </c>
      <c r="AA411" t="s">
        <v>49</v>
      </c>
      <c r="AB411" t="s">
        <v>50</v>
      </c>
      <c r="AC411" t="s">
        <v>51</v>
      </c>
      <c r="AD411" t="s">
        <v>52</v>
      </c>
      <c r="AE411" t="s">
        <v>53</v>
      </c>
      <c r="AF411" t="s">
        <v>52</v>
      </c>
      <c r="AG411" t="s">
        <v>54</v>
      </c>
      <c r="AH411" t="s">
        <v>55</v>
      </c>
      <c r="AK411">
        <v>15</v>
      </c>
      <c r="AL411">
        <v>15</v>
      </c>
      <c r="AM411" t="s">
        <v>353</v>
      </c>
      <c r="AN411">
        <v>432</v>
      </c>
      <c r="AO411">
        <v>5</v>
      </c>
      <c r="AP411" t="s">
        <v>56</v>
      </c>
      <c r="AQ411" t="s">
        <v>109</v>
      </c>
      <c r="AR411">
        <v>8.0500000000000007</v>
      </c>
      <c r="AS411">
        <v>0</v>
      </c>
      <c r="AT411" t="s">
        <v>56</v>
      </c>
      <c r="AU411">
        <v>1028</v>
      </c>
      <c r="AV411">
        <v>14</v>
      </c>
      <c r="AW411" t="s">
        <v>56</v>
      </c>
      <c r="AX411">
        <v>7.72</v>
      </c>
      <c r="AY411">
        <v>0.01</v>
      </c>
      <c r="AZ411" t="s">
        <v>56</v>
      </c>
      <c r="BB411">
        <f>LOG(AU411)</f>
        <v>3.0119931146592571</v>
      </c>
      <c r="BC411">
        <v>17.399999999999999</v>
      </c>
      <c r="BD411" t="s">
        <v>56</v>
      </c>
      <c r="BE411" t="s">
        <v>56</v>
      </c>
      <c r="BF411">
        <v>17.399999999999999</v>
      </c>
      <c r="BG411" t="s">
        <v>56</v>
      </c>
      <c r="BH411" t="s">
        <v>56</v>
      </c>
      <c r="BI411">
        <v>596</v>
      </c>
      <c r="BJ411">
        <v>0</v>
      </c>
      <c r="BK411" t="s">
        <v>350</v>
      </c>
      <c r="BL411" t="s">
        <v>232</v>
      </c>
      <c r="BM411" t="s">
        <v>232</v>
      </c>
      <c r="BN411" t="s">
        <v>81</v>
      </c>
      <c r="BO411" t="s">
        <v>351</v>
      </c>
      <c r="BP411" t="s">
        <v>352</v>
      </c>
      <c r="BR411" t="s">
        <v>63</v>
      </c>
      <c r="BT411">
        <v>0.51</v>
      </c>
      <c r="BU411">
        <v>0.51</v>
      </c>
      <c r="BV411">
        <v>0.1</v>
      </c>
      <c r="BW411">
        <f>BV411*SQRT(AK411)</f>
        <v>0.3872983346207417</v>
      </c>
      <c r="BX411">
        <v>0.41</v>
      </c>
      <c r="BY411">
        <v>0.4117056</v>
      </c>
      <c r="BZ411">
        <v>0.06</v>
      </c>
      <c r="CA411">
        <f>BZ411*SQRT(AL411)</f>
        <v>0.232379000772445</v>
      </c>
      <c r="CB411">
        <v>369</v>
      </c>
      <c r="CC411">
        <v>3</v>
      </c>
      <c r="CD411">
        <v>-0.222</v>
      </c>
      <c r="CE411">
        <v>6.0499999999999998E-2</v>
      </c>
    </row>
    <row r="412" spans="4:83" hidden="1" x14ac:dyDescent="0.2">
      <c r="D412">
        <v>27</v>
      </c>
      <c r="G412" t="s">
        <v>43</v>
      </c>
      <c r="H412" t="s">
        <v>347</v>
      </c>
      <c r="J412">
        <v>2016</v>
      </c>
      <c r="M412" t="s">
        <v>67</v>
      </c>
      <c r="T412" t="s">
        <v>103</v>
      </c>
      <c r="U412" t="s">
        <v>348</v>
      </c>
      <c r="V412" t="s">
        <v>356</v>
      </c>
      <c r="Z412" t="s">
        <v>49</v>
      </c>
      <c r="AA412" t="s">
        <v>49</v>
      </c>
      <c r="AB412" t="s">
        <v>50</v>
      </c>
      <c r="AC412" t="s">
        <v>51</v>
      </c>
      <c r="AD412" t="s">
        <v>52</v>
      </c>
      <c r="AE412" t="s">
        <v>53</v>
      </c>
      <c r="AF412" t="s">
        <v>52</v>
      </c>
      <c r="AG412" t="s">
        <v>52</v>
      </c>
      <c r="AH412" t="s">
        <v>64</v>
      </c>
      <c r="AK412">
        <v>15</v>
      </c>
      <c r="AL412">
        <v>15</v>
      </c>
      <c r="AM412" t="s">
        <v>353</v>
      </c>
      <c r="AN412">
        <v>432</v>
      </c>
      <c r="AO412">
        <v>5</v>
      </c>
      <c r="AP412" t="s">
        <v>56</v>
      </c>
      <c r="AQ412" t="s">
        <v>109</v>
      </c>
      <c r="AR412">
        <v>8.0500000000000007</v>
      </c>
      <c r="AS412">
        <v>0</v>
      </c>
      <c r="AT412" t="s">
        <v>56</v>
      </c>
      <c r="AU412">
        <v>1056</v>
      </c>
      <c r="AV412">
        <v>5</v>
      </c>
      <c r="AW412" t="s">
        <v>56</v>
      </c>
      <c r="AX412">
        <v>7.71</v>
      </c>
      <c r="AY412">
        <v>0</v>
      </c>
      <c r="AZ412" t="s">
        <v>56</v>
      </c>
      <c r="BB412">
        <f>LOG(AU412)</f>
        <v>3.0236639181977933</v>
      </c>
      <c r="BC412">
        <v>17.399999999999999</v>
      </c>
      <c r="BD412" t="s">
        <v>56</v>
      </c>
      <c r="BE412" t="s">
        <v>56</v>
      </c>
      <c r="BF412">
        <v>19.899999999999999</v>
      </c>
      <c r="BG412" t="s">
        <v>56</v>
      </c>
      <c r="BH412" t="s">
        <v>56</v>
      </c>
      <c r="BI412">
        <v>624</v>
      </c>
      <c r="BJ412">
        <v>2.5</v>
      </c>
      <c r="BK412" t="s">
        <v>350</v>
      </c>
      <c r="BL412" t="s">
        <v>232</v>
      </c>
      <c r="BM412" t="s">
        <v>232</v>
      </c>
      <c r="BN412" t="s">
        <v>81</v>
      </c>
      <c r="BO412" t="s">
        <v>351</v>
      </c>
      <c r="BP412" t="s">
        <v>352</v>
      </c>
      <c r="BR412" t="s">
        <v>63</v>
      </c>
      <c r="BT412">
        <v>0.47</v>
      </c>
      <c r="BU412">
        <v>0.46922900000000001</v>
      </c>
      <c r="BV412">
        <v>0.06</v>
      </c>
      <c r="BW412">
        <f>BV412*SQRT(AK412)</f>
        <v>0.232379000772445</v>
      </c>
      <c r="BX412">
        <v>0.38</v>
      </c>
      <c r="BY412">
        <v>0.38373980000000002</v>
      </c>
      <c r="BZ412">
        <v>0.09</v>
      </c>
      <c r="CA412">
        <f>BZ412*SQRT(AL412)</f>
        <v>0.3485685011586675</v>
      </c>
      <c r="CB412">
        <v>369</v>
      </c>
      <c r="CC412">
        <v>3</v>
      </c>
      <c r="CD412">
        <v>-0.20100000000000001</v>
      </c>
      <c r="CE412">
        <v>7.1599999999999997E-2</v>
      </c>
    </row>
    <row r="413" spans="4:83" hidden="1" x14ac:dyDescent="0.2">
      <c r="D413">
        <v>27</v>
      </c>
      <c r="G413" t="s">
        <v>43</v>
      </c>
      <c r="H413" t="s">
        <v>347</v>
      </c>
      <c r="J413">
        <v>2016</v>
      </c>
      <c r="M413" t="s">
        <v>67</v>
      </c>
      <c r="T413" t="s">
        <v>103</v>
      </c>
      <c r="U413" t="s">
        <v>348</v>
      </c>
      <c r="V413" t="s">
        <v>356</v>
      </c>
      <c r="Z413" t="s">
        <v>49</v>
      </c>
      <c r="AA413" t="s">
        <v>49</v>
      </c>
      <c r="AB413" t="s">
        <v>50</v>
      </c>
      <c r="AC413" t="s">
        <v>51</v>
      </c>
      <c r="AD413" t="s">
        <v>52</v>
      </c>
      <c r="AE413" t="s">
        <v>53</v>
      </c>
      <c r="AF413" t="s">
        <v>54</v>
      </c>
      <c r="AG413" t="s">
        <v>52</v>
      </c>
      <c r="AH413" t="s">
        <v>65</v>
      </c>
      <c r="AK413">
        <v>24</v>
      </c>
      <c r="AL413">
        <v>24</v>
      </c>
      <c r="AM413" t="s">
        <v>353</v>
      </c>
      <c r="AN413">
        <v>432</v>
      </c>
      <c r="AO413">
        <v>5</v>
      </c>
      <c r="AP413" t="s">
        <v>56</v>
      </c>
      <c r="AQ413" t="s">
        <v>109</v>
      </c>
      <c r="AR413">
        <v>8.0500000000000007</v>
      </c>
      <c r="AS413">
        <v>0</v>
      </c>
      <c r="AT413" t="s">
        <v>56</v>
      </c>
      <c r="AU413">
        <v>466</v>
      </c>
      <c r="AV413">
        <v>5</v>
      </c>
      <c r="AW413" t="s">
        <v>56</v>
      </c>
      <c r="AX413">
        <v>8.02</v>
      </c>
      <c r="AY413">
        <v>0</v>
      </c>
      <c r="AZ413" t="s">
        <v>56</v>
      </c>
      <c r="BB413">
        <f>LOG(AU413)</f>
        <v>2.6683859166900001</v>
      </c>
      <c r="BC413">
        <v>17.399999999999999</v>
      </c>
      <c r="BD413" t="s">
        <v>56</v>
      </c>
      <c r="BE413" t="s">
        <v>56</v>
      </c>
      <c r="BF413">
        <v>19.899999999999999</v>
      </c>
      <c r="BG413" t="s">
        <v>56</v>
      </c>
      <c r="BH413" t="s">
        <v>56</v>
      </c>
      <c r="BI413">
        <v>34</v>
      </c>
      <c r="BJ413">
        <v>2.5</v>
      </c>
      <c r="BK413" t="s">
        <v>56</v>
      </c>
      <c r="BL413" t="s">
        <v>354</v>
      </c>
      <c r="BM413" t="s">
        <v>354</v>
      </c>
      <c r="BN413" t="s">
        <v>60</v>
      </c>
      <c r="BO413" t="s">
        <v>355</v>
      </c>
      <c r="BP413" t="s">
        <v>194</v>
      </c>
      <c r="BR413" t="s">
        <v>63</v>
      </c>
      <c r="BT413">
        <v>507.46</v>
      </c>
      <c r="BU413">
        <v>507.46300000000002</v>
      </c>
      <c r="BV413">
        <v>89.55</v>
      </c>
      <c r="BW413">
        <f>BV413*SQRT(AK413)</f>
        <v>438.70361293246714</v>
      </c>
      <c r="BX413">
        <v>435.82</v>
      </c>
      <c r="BY413">
        <v>435.82100000000003</v>
      </c>
      <c r="BZ413">
        <v>71.64</v>
      </c>
      <c r="CA413">
        <f>BZ413*SQRT(AL413)</f>
        <v>350.96289034597373</v>
      </c>
      <c r="CB413">
        <v>369</v>
      </c>
      <c r="CC413">
        <v>3</v>
      </c>
      <c r="CD413">
        <v>-0.152</v>
      </c>
      <c r="CE413">
        <v>5.8200000000000002E-2</v>
      </c>
    </row>
    <row r="414" spans="4:83" hidden="1" x14ac:dyDescent="0.2">
      <c r="D414">
        <v>27</v>
      </c>
      <c r="G414" t="s">
        <v>43</v>
      </c>
      <c r="H414" t="s">
        <v>347</v>
      </c>
      <c r="J414">
        <v>2016</v>
      </c>
      <c r="M414" t="s">
        <v>67</v>
      </c>
      <c r="T414" t="s">
        <v>103</v>
      </c>
      <c r="U414" t="s">
        <v>348</v>
      </c>
      <c r="V414" t="s">
        <v>349</v>
      </c>
      <c r="Z414" t="s">
        <v>49</v>
      </c>
      <c r="AA414" t="s">
        <v>49</v>
      </c>
      <c r="AB414" t="s">
        <v>50</v>
      </c>
      <c r="AC414" t="s">
        <v>51</v>
      </c>
      <c r="AD414" t="s">
        <v>52</v>
      </c>
      <c r="AE414" t="s">
        <v>53</v>
      </c>
      <c r="AF414" t="s">
        <v>54</v>
      </c>
      <c r="AG414" t="s">
        <v>52</v>
      </c>
      <c r="AH414" t="s">
        <v>65</v>
      </c>
      <c r="AK414">
        <v>15</v>
      </c>
      <c r="AL414">
        <v>15</v>
      </c>
      <c r="AM414" t="s">
        <v>353</v>
      </c>
      <c r="AN414">
        <v>432</v>
      </c>
      <c r="AO414">
        <v>5</v>
      </c>
      <c r="AP414" t="s">
        <v>56</v>
      </c>
      <c r="AQ414" t="s">
        <v>109</v>
      </c>
      <c r="AR414">
        <v>8.0500000000000007</v>
      </c>
      <c r="AS414">
        <v>0</v>
      </c>
      <c r="AT414" t="s">
        <v>56</v>
      </c>
      <c r="AU414">
        <v>466</v>
      </c>
      <c r="AV414">
        <v>5</v>
      </c>
      <c r="AW414" t="s">
        <v>56</v>
      </c>
      <c r="AX414">
        <v>8.02</v>
      </c>
      <c r="AY414">
        <v>0</v>
      </c>
      <c r="AZ414" t="s">
        <v>56</v>
      </c>
      <c r="BB414">
        <f>LOG(AU414)</f>
        <v>2.6683859166900001</v>
      </c>
      <c r="BC414">
        <v>17.399999999999999</v>
      </c>
      <c r="BD414" t="s">
        <v>56</v>
      </c>
      <c r="BE414" t="s">
        <v>56</v>
      </c>
      <c r="BF414">
        <v>19.899999999999999</v>
      </c>
      <c r="BG414" t="s">
        <v>56</v>
      </c>
      <c r="BH414" t="s">
        <v>56</v>
      </c>
      <c r="BI414">
        <v>34</v>
      </c>
      <c r="BJ414">
        <v>2.5</v>
      </c>
      <c r="BK414" t="s">
        <v>350</v>
      </c>
      <c r="BL414" t="s">
        <v>232</v>
      </c>
      <c r="BM414" t="s">
        <v>232</v>
      </c>
      <c r="BN414" t="s">
        <v>81</v>
      </c>
      <c r="BO414" t="s">
        <v>351</v>
      </c>
      <c r="BP414" t="s">
        <v>352</v>
      </c>
      <c r="BR414" t="s">
        <v>63</v>
      </c>
      <c r="BT414">
        <v>0.51</v>
      </c>
      <c r="BU414">
        <v>0.51387000000000005</v>
      </c>
      <c r="BV414">
        <v>0.1</v>
      </c>
      <c r="BW414">
        <f>BV414*SQRT(AK414)</f>
        <v>0.3872983346207417</v>
      </c>
      <c r="BX414">
        <v>0.46</v>
      </c>
      <c r="BY414">
        <v>0.45507989999999998</v>
      </c>
      <c r="BZ414">
        <v>0.08</v>
      </c>
      <c r="CA414">
        <f>BZ414*SQRT(AL414)</f>
        <v>0.30983866769659335</v>
      </c>
      <c r="CB414">
        <v>369</v>
      </c>
      <c r="CC414">
        <v>3</v>
      </c>
      <c r="CD414">
        <v>-0.121</v>
      </c>
      <c r="CE414">
        <v>7.3499999999999996E-2</v>
      </c>
    </row>
    <row r="415" spans="4:83" hidden="1" x14ac:dyDescent="0.2">
      <c r="D415">
        <v>27</v>
      </c>
      <c r="G415" t="s">
        <v>43</v>
      </c>
      <c r="H415" t="s">
        <v>347</v>
      </c>
      <c r="J415">
        <v>2016</v>
      </c>
      <c r="M415" t="s">
        <v>67</v>
      </c>
      <c r="T415" t="s">
        <v>103</v>
      </c>
      <c r="U415" t="s">
        <v>348</v>
      </c>
      <c r="V415" t="s">
        <v>356</v>
      </c>
      <c r="Z415" t="s">
        <v>49</v>
      </c>
      <c r="AA415" t="s">
        <v>49</v>
      </c>
      <c r="AB415" t="s">
        <v>50</v>
      </c>
      <c r="AC415" t="s">
        <v>51</v>
      </c>
      <c r="AD415" t="s">
        <v>52</v>
      </c>
      <c r="AE415" t="s">
        <v>53</v>
      </c>
      <c r="AF415" t="s">
        <v>52</v>
      </c>
      <c r="AG415" t="s">
        <v>52</v>
      </c>
      <c r="AH415" t="s">
        <v>64</v>
      </c>
      <c r="AK415">
        <v>24</v>
      </c>
      <c r="AL415">
        <v>24</v>
      </c>
      <c r="AM415" t="s">
        <v>353</v>
      </c>
      <c r="AN415">
        <v>432</v>
      </c>
      <c r="AO415">
        <v>5</v>
      </c>
      <c r="AP415" t="s">
        <v>56</v>
      </c>
      <c r="AQ415" t="s">
        <v>109</v>
      </c>
      <c r="AR415">
        <v>8.0500000000000007</v>
      </c>
      <c r="AS415">
        <v>0</v>
      </c>
      <c r="AT415" t="s">
        <v>56</v>
      </c>
      <c r="AU415">
        <v>1056</v>
      </c>
      <c r="AV415">
        <v>5</v>
      </c>
      <c r="AW415" t="s">
        <v>56</v>
      </c>
      <c r="AX415">
        <v>7.71</v>
      </c>
      <c r="AY415">
        <v>0</v>
      </c>
      <c r="AZ415" t="s">
        <v>56</v>
      </c>
      <c r="BB415">
        <f>LOG(AU415)</f>
        <v>3.0236639181977933</v>
      </c>
      <c r="BC415">
        <v>17.399999999999999</v>
      </c>
      <c r="BD415" t="s">
        <v>56</v>
      </c>
      <c r="BE415" t="s">
        <v>56</v>
      </c>
      <c r="BF415">
        <v>19.899999999999999</v>
      </c>
      <c r="BG415" t="s">
        <v>56</v>
      </c>
      <c r="BH415" t="s">
        <v>56</v>
      </c>
      <c r="BI415">
        <v>624</v>
      </c>
      <c r="BJ415">
        <v>2.5</v>
      </c>
      <c r="BK415" t="s">
        <v>56</v>
      </c>
      <c r="BL415" t="s">
        <v>354</v>
      </c>
      <c r="BM415" t="s">
        <v>354</v>
      </c>
      <c r="BN415" t="s">
        <v>60</v>
      </c>
      <c r="BO415" t="s">
        <v>355</v>
      </c>
      <c r="BP415" t="s">
        <v>194</v>
      </c>
      <c r="BR415" t="s">
        <v>63</v>
      </c>
      <c r="BT415">
        <v>507.46</v>
      </c>
      <c r="BU415">
        <v>507.46300000000002</v>
      </c>
      <c r="BV415">
        <v>89.55</v>
      </c>
      <c r="BW415">
        <f>BV415*SQRT(AK415)</f>
        <v>438.70361293246714</v>
      </c>
      <c r="BX415">
        <v>459.7</v>
      </c>
      <c r="BY415">
        <v>459.70100000000002</v>
      </c>
      <c r="BZ415">
        <v>77.61</v>
      </c>
      <c r="CA415">
        <f>BZ415*SQRT(AL415)</f>
        <v>380.20979787480485</v>
      </c>
      <c r="CB415">
        <v>369</v>
      </c>
      <c r="CC415">
        <v>3</v>
      </c>
      <c r="CD415">
        <v>-9.9000000000000005E-2</v>
      </c>
      <c r="CE415">
        <v>5.96E-2</v>
      </c>
    </row>
    <row r="416" spans="4:83" hidden="1" x14ac:dyDescent="0.2">
      <c r="D416">
        <v>27</v>
      </c>
      <c r="G416" t="s">
        <v>43</v>
      </c>
      <c r="H416" t="s">
        <v>347</v>
      </c>
      <c r="J416">
        <v>2016</v>
      </c>
      <c r="M416" t="s">
        <v>67</v>
      </c>
      <c r="T416" t="s">
        <v>103</v>
      </c>
      <c r="U416" t="s">
        <v>348</v>
      </c>
      <c r="V416" t="s">
        <v>356</v>
      </c>
      <c r="Z416" t="s">
        <v>49</v>
      </c>
      <c r="AA416" t="s">
        <v>49</v>
      </c>
      <c r="AB416" t="s">
        <v>50</v>
      </c>
      <c r="AC416" t="s">
        <v>51</v>
      </c>
      <c r="AD416" t="s">
        <v>52</v>
      </c>
      <c r="AE416" t="s">
        <v>53</v>
      </c>
      <c r="AF416" t="s">
        <v>54</v>
      </c>
      <c r="AG416" t="s">
        <v>52</v>
      </c>
      <c r="AH416" t="s">
        <v>65</v>
      </c>
      <c r="AK416">
        <v>15</v>
      </c>
      <c r="AL416">
        <v>15</v>
      </c>
      <c r="AM416" t="s">
        <v>353</v>
      </c>
      <c r="AN416">
        <v>432</v>
      </c>
      <c r="AO416">
        <v>5</v>
      </c>
      <c r="AP416" t="s">
        <v>56</v>
      </c>
      <c r="AQ416" t="s">
        <v>109</v>
      </c>
      <c r="AR416">
        <v>8.0500000000000007</v>
      </c>
      <c r="AS416">
        <v>0</v>
      </c>
      <c r="AT416" t="s">
        <v>56</v>
      </c>
      <c r="AU416">
        <v>466</v>
      </c>
      <c r="AV416">
        <v>5</v>
      </c>
      <c r="AW416" t="s">
        <v>56</v>
      </c>
      <c r="AX416">
        <v>8.02</v>
      </c>
      <c r="AY416">
        <v>0</v>
      </c>
      <c r="AZ416" t="s">
        <v>56</v>
      </c>
      <c r="BB416">
        <f>LOG(AU416)</f>
        <v>2.6683859166900001</v>
      </c>
      <c r="BC416">
        <v>17.399999999999999</v>
      </c>
      <c r="BD416" t="s">
        <v>56</v>
      </c>
      <c r="BE416" t="s">
        <v>56</v>
      </c>
      <c r="BF416">
        <v>19.899999999999999</v>
      </c>
      <c r="BG416" t="s">
        <v>56</v>
      </c>
      <c r="BH416" t="s">
        <v>56</v>
      </c>
      <c r="BI416">
        <v>34</v>
      </c>
      <c r="BJ416">
        <v>2.5</v>
      </c>
      <c r="BK416" t="s">
        <v>350</v>
      </c>
      <c r="BL416" t="s">
        <v>232</v>
      </c>
      <c r="BM416" t="s">
        <v>232</v>
      </c>
      <c r="BN416" t="s">
        <v>81</v>
      </c>
      <c r="BO416" t="s">
        <v>351</v>
      </c>
      <c r="BP416" t="s">
        <v>352</v>
      </c>
      <c r="BR416" t="s">
        <v>63</v>
      </c>
      <c r="BT416">
        <v>0.47</v>
      </c>
      <c r="BU416">
        <v>0.46922900000000001</v>
      </c>
      <c r="BV416">
        <v>0.06</v>
      </c>
      <c r="BW416">
        <f>BV416*SQRT(AK416)</f>
        <v>0.232379000772445</v>
      </c>
      <c r="BX416">
        <v>0.43</v>
      </c>
      <c r="BY416">
        <v>0.4293072</v>
      </c>
      <c r="BZ416">
        <v>0.06</v>
      </c>
      <c r="CA416">
        <f>BZ416*SQRT(AL416)</f>
        <v>0.232379000772445</v>
      </c>
      <c r="CB416">
        <v>369</v>
      </c>
      <c r="CC416">
        <v>3</v>
      </c>
      <c r="CD416">
        <v>-8.8999999999999996E-2</v>
      </c>
      <c r="CE416">
        <v>3.5400000000000001E-2</v>
      </c>
    </row>
    <row r="417" spans="4:83" hidden="1" x14ac:dyDescent="0.2">
      <c r="D417">
        <v>27</v>
      </c>
      <c r="G417" t="s">
        <v>43</v>
      </c>
      <c r="H417" t="s">
        <v>347</v>
      </c>
      <c r="J417">
        <v>2016</v>
      </c>
      <c r="M417" t="s">
        <v>67</v>
      </c>
      <c r="T417" t="s">
        <v>103</v>
      </c>
      <c r="U417" t="s">
        <v>348</v>
      </c>
      <c r="V417" t="s">
        <v>356</v>
      </c>
      <c r="Z417" t="s">
        <v>49</v>
      </c>
      <c r="AA417" t="s">
        <v>49</v>
      </c>
      <c r="AB417" t="s">
        <v>50</v>
      </c>
      <c r="AC417" t="s">
        <v>51</v>
      </c>
      <c r="AD417" t="s">
        <v>52</v>
      </c>
      <c r="AE417" t="s">
        <v>53</v>
      </c>
      <c r="AF417" t="s">
        <v>52</v>
      </c>
      <c r="AG417" t="s">
        <v>54</v>
      </c>
      <c r="AH417" t="s">
        <v>55</v>
      </c>
      <c r="AK417">
        <v>15</v>
      </c>
      <c r="AL417">
        <v>15</v>
      </c>
      <c r="AM417" t="s">
        <v>353</v>
      </c>
      <c r="AN417">
        <v>432</v>
      </c>
      <c r="AO417">
        <v>5</v>
      </c>
      <c r="AP417" t="s">
        <v>56</v>
      </c>
      <c r="AQ417" t="s">
        <v>109</v>
      </c>
      <c r="AR417">
        <v>8.0500000000000007</v>
      </c>
      <c r="AS417">
        <v>0</v>
      </c>
      <c r="AT417" t="s">
        <v>56</v>
      </c>
      <c r="AU417">
        <v>1028</v>
      </c>
      <c r="AV417">
        <v>14</v>
      </c>
      <c r="AW417" t="s">
        <v>56</v>
      </c>
      <c r="AX417">
        <v>7.72</v>
      </c>
      <c r="AY417">
        <v>0.01</v>
      </c>
      <c r="AZ417" t="s">
        <v>56</v>
      </c>
      <c r="BB417">
        <f>LOG(AU417)</f>
        <v>3.0119931146592571</v>
      </c>
      <c r="BC417">
        <v>17.399999999999999</v>
      </c>
      <c r="BD417" t="s">
        <v>56</v>
      </c>
      <c r="BE417" t="s">
        <v>56</v>
      </c>
      <c r="BF417">
        <v>17.399999999999999</v>
      </c>
      <c r="BG417" t="s">
        <v>56</v>
      </c>
      <c r="BH417" t="s">
        <v>56</v>
      </c>
      <c r="BI417">
        <v>596</v>
      </c>
      <c r="BJ417">
        <v>0</v>
      </c>
      <c r="BK417" t="s">
        <v>350</v>
      </c>
      <c r="BL417" t="s">
        <v>232</v>
      </c>
      <c r="BM417" t="s">
        <v>232</v>
      </c>
      <c r="BN417" t="s">
        <v>81</v>
      </c>
      <c r="BO417" t="s">
        <v>351</v>
      </c>
      <c r="BP417" t="s">
        <v>352</v>
      </c>
      <c r="BR417" t="s">
        <v>63</v>
      </c>
      <c r="BT417">
        <v>0.47</v>
      </c>
      <c r="BU417">
        <v>0.46922900000000001</v>
      </c>
      <c r="BV417">
        <v>0.06</v>
      </c>
      <c r="BW417">
        <f>BV417*SQRT(AK417)</f>
        <v>0.232379000772445</v>
      </c>
      <c r="BX417">
        <v>0.45</v>
      </c>
      <c r="BY417">
        <v>0.44522499999999998</v>
      </c>
      <c r="BZ417">
        <v>0.05</v>
      </c>
      <c r="CA417">
        <f>BZ417*SQRT(AL417)</f>
        <v>0.19364916731037085</v>
      </c>
      <c r="CB417">
        <v>369</v>
      </c>
      <c r="CC417">
        <v>3</v>
      </c>
      <c r="CD417">
        <v>-5.2999999999999999E-2</v>
      </c>
      <c r="CE417">
        <v>2.92E-2</v>
      </c>
    </row>
    <row r="418" spans="4:83" hidden="1" x14ac:dyDescent="0.2">
      <c r="D418">
        <v>27</v>
      </c>
      <c r="G418" t="s">
        <v>43</v>
      </c>
      <c r="H418" t="s">
        <v>347</v>
      </c>
      <c r="J418">
        <v>2016</v>
      </c>
      <c r="M418" t="s">
        <v>67</v>
      </c>
      <c r="T418" t="s">
        <v>103</v>
      </c>
      <c r="U418" t="s">
        <v>348</v>
      </c>
      <c r="V418" t="s">
        <v>349</v>
      </c>
      <c r="Z418" t="s">
        <v>49</v>
      </c>
      <c r="AA418" t="s">
        <v>49</v>
      </c>
      <c r="AB418" t="s">
        <v>50</v>
      </c>
      <c r="AC418" t="s">
        <v>51</v>
      </c>
      <c r="AD418" t="s">
        <v>52</v>
      </c>
      <c r="AE418" t="s">
        <v>53</v>
      </c>
      <c r="AF418" t="s">
        <v>52</v>
      </c>
      <c r="AG418" t="s">
        <v>54</v>
      </c>
      <c r="AH418" t="s">
        <v>55</v>
      </c>
      <c r="AK418">
        <v>12</v>
      </c>
      <c r="AL418">
        <v>12</v>
      </c>
      <c r="AM418" t="s">
        <v>353</v>
      </c>
      <c r="AN418">
        <v>432</v>
      </c>
      <c r="AO418">
        <v>5</v>
      </c>
      <c r="AP418" t="s">
        <v>56</v>
      </c>
      <c r="AQ418" t="s">
        <v>109</v>
      </c>
      <c r="AR418">
        <v>8.0500000000000007</v>
      </c>
      <c r="AS418">
        <v>0</v>
      </c>
      <c r="AT418" t="s">
        <v>56</v>
      </c>
      <c r="AU418">
        <v>1028</v>
      </c>
      <c r="AV418">
        <v>14</v>
      </c>
      <c r="AW418" t="s">
        <v>56</v>
      </c>
      <c r="AX418">
        <v>7.72</v>
      </c>
      <c r="AY418">
        <v>0.01</v>
      </c>
      <c r="AZ418" t="s">
        <v>56</v>
      </c>
      <c r="BB418">
        <f>LOG(AU418)</f>
        <v>3.0119931146592571</v>
      </c>
      <c r="BC418">
        <v>17.399999999999999</v>
      </c>
      <c r="BD418" t="s">
        <v>56</v>
      </c>
      <c r="BE418" t="s">
        <v>56</v>
      </c>
      <c r="BF418">
        <v>17.399999999999999</v>
      </c>
      <c r="BG418" t="s">
        <v>56</v>
      </c>
      <c r="BH418" t="s">
        <v>56</v>
      </c>
      <c r="BI418">
        <v>596</v>
      </c>
      <c r="BJ418">
        <v>0</v>
      </c>
      <c r="BK418" t="s">
        <v>56</v>
      </c>
      <c r="BL418" t="s">
        <v>357</v>
      </c>
      <c r="BM418" t="s">
        <v>98</v>
      </c>
      <c r="BN418" t="s">
        <v>81</v>
      </c>
      <c r="BO418" t="s">
        <v>358</v>
      </c>
      <c r="BP418" t="s">
        <v>100</v>
      </c>
      <c r="BR418" t="s">
        <v>63</v>
      </c>
      <c r="BT418">
        <v>2.44</v>
      </c>
      <c r="BU418">
        <v>2.4390200000000002</v>
      </c>
      <c r="BV418">
        <v>0.03</v>
      </c>
      <c r="BW418">
        <f>BV418*SQRT(AK418)</f>
        <v>0.10392304845413262</v>
      </c>
      <c r="BX418">
        <v>2.4</v>
      </c>
      <c r="BY418">
        <v>2.3963399999999999</v>
      </c>
      <c r="BZ418">
        <v>0.17</v>
      </c>
      <c r="CA418">
        <f>BZ418*SQRT(AL418)</f>
        <v>0.58889727457341834</v>
      </c>
      <c r="CB418">
        <v>369</v>
      </c>
      <c r="CC418">
        <v>3</v>
      </c>
      <c r="CD418">
        <v>-1.7999999999999999E-2</v>
      </c>
      <c r="CE418">
        <v>5.1999999999999998E-3</v>
      </c>
    </row>
    <row r="419" spans="4:83" hidden="1" x14ac:dyDescent="0.2">
      <c r="D419">
        <v>27</v>
      </c>
      <c r="G419" t="s">
        <v>43</v>
      </c>
      <c r="H419" t="s">
        <v>347</v>
      </c>
      <c r="J419">
        <v>2016</v>
      </c>
      <c r="M419" t="s">
        <v>67</v>
      </c>
      <c r="T419" t="s">
        <v>103</v>
      </c>
      <c r="U419" t="s">
        <v>348</v>
      </c>
      <c r="V419" t="s">
        <v>349</v>
      </c>
      <c r="Z419" t="s">
        <v>49</v>
      </c>
      <c r="AA419" t="s">
        <v>49</v>
      </c>
      <c r="AB419" t="s">
        <v>50</v>
      </c>
      <c r="AC419" t="s">
        <v>51</v>
      </c>
      <c r="AD419" t="s">
        <v>52</v>
      </c>
      <c r="AE419" t="s">
        <v>53</v>
      </c>
      <c r="AF419" t="s">
        <v>52</v>
      </c>
      <c r="AG419" t="s">
        <v>52</v>
      </c>
      <c r="AH419" t="s">
        <v>64</v>
      </c>
      <c r="AK419">
        <v>12</v>
      </c>
      <c r="AL419">
        <v>12</v>
      </c>
      <c r="AM419" t="s">
        <v>353</v>
      </c>
      <c r="AN419">
        <v>432</v>
      </c>
      <c r="AO419">
        <v>5</v>
      </c>
      <c r="AP419" t="s">
        <v>56</v>
      </c>
      <c r="AQ419" t="s">
        <v>109</v>
      </c>
      <c r="AR419">
        <v>8.0500000000000007</v>
      </c>
      <c r="AS419">
        <v>0</v>
      </c>
      <c r="AT419" t="s">
        <v>56</v>
      </c>
      <c r="AU419">
        <v>1056</v>
      </c>
      <c r="AV419">
        <v>5</v>
      </c>
      <c r="AW419" t="s">
        <v>56</v>
      </c>
      <c r="AX419">
        <v>7.71</v>
      </c>
      <c r="AY419">
        <v>0</v>
      </c>
      <c r="AZ419" t="s">
        <v>56</v>
      </c>
      <c r="BB419">
        <f>LOG(AU419)</f>
        <v>3.0236639181977933</v>
      </c>
      <c r="BC419">
        <v>17.399999999999999</v>
      </c>
      <c r="BD419" t="s">
        <v>56</v>
      </c>
      <c r="BE419" t="s">
        <v>56</v>
      </c>
      <c r="BF419">
        <v>19.899999999999999</v>
      </c>
      <c r="BG419" t="s">
        <v>56</v>
      </c>
      <c r="BH419" t="s">
        <v>56</v>
      </c>
      <c r="BI419">
        <v>624</v>
      </c>
      <c r="BJ419">
        <v>2.5</v>
      </c>
      <c r="BK419" t="s">
        <v>56</v>
      </c>
      <c r="BL419" t="s">
        <v>357</v>
      </c>
      <c r="BM419" t="s">
        <v>98</v>
      </c>
      <c r="BN419" t="s">
        <v>81</v>
      </c>
      <c r="BO419" t="s">
        <v>358</v>
      </c>
      <c r="BP419" t="s">
        <v>100</v>
      </c>
      <c r="BR419" t="s">
        <v>63</v>
      </c>
      <c r="BT419">
        <v>2.44</v>
      </c>
      <c r="BU419">
        <v>2.4390200000000002</v>
      </c>
      <c r="BV419">
        <v>0.03</v>
      </c>
      <c r="BW419">
        <f>BV419*SQRT(AK419)</f>
        <v>0.10392304845413262</v>
      </c>
      <c r="BX419">
        <v>2.4300000000000002</v>
      </c>
      <c r="BY419">
        <v>2.4268299999999998</v>
      </c>
      <c r="BZ419">
        <v>0.15</v>
      </c>
      <c r="CA419">
        <f>BZ419*SQRT(AL419)</f>
        <v>0.51961524227066314</v>
      </c>
      <c r="CB419">
        <v>369</v>
      </c>
      <c r="CC419">
        <v>3</v>
      </c>
      <c r="CD419">
        <v>-5.0000000000000001E-3</v>
      </c>
      <c r="CE419">
        <v>3.8E-3</v>
      </c>
    </row>
    <row r="420" spans="4:83" hidden="1" x14ac:dyDescent="0.2">
      <c r="D420">
        <v>27</v>
      </c>
      <c r="G420" t="s">
        <v>43</v>
      </c>
      <c r="H420" t="s">
        <v>347</v>
      </c>
      <c r="J420">
        <v>2016</v>
      </c>
      <c r="M420" t="s">
        <v>67</v>
      </c>
      <c r="T420" t="s">
        <v>103</v>
      </c>
      <c r="U420" t="s">
        <v>348</v>
      </c>
      <c r="V420" t="s">
        <v>356</v>
      </c>
      <c r="Z420" t="s">
        <v>49</v>
      </c>
      <c r="AA420" t="s">
        <v>49</v>
      </c>
      <c r="AB420" t="s">
        <v>50</v>
      </c>
      <c r="AC420" t="s">
        <v>51</v>
      </c>
      <c r="AD420" t="s">
        <v>52</v>
      </c>
      <c r="AE420" t="s">
        <v>53</v>
      </c>
      <c r="AF420" t="s">
        <v>54</v>
      </c>
      <c r="AG420" t="s">
        <v>52</v>
      </c>
      <c r="AH420" t="s">
        <v>65</v>
      </c>
      <c r="AK420">
        <v>12</v>
      </c>
      <c r="AL420">
        <v>12</v>
      </c>
      <c r="AM420" t="s">
        <v>353</v>
      </c>
      <c r="AN420">
        <v>432</v>
      </c>
      <c r="AO420">
        <v>5</v>
      </c>
      <c r="AP420" t="s">
        <v>56</v>
      </c>
      <c r="AQ420" t="s">
        <v>109</v>
      </c>
      <c r="AR420">
        <v>8.0500000000000007</v>
      </c>
      <c r="AS420">
        <v>0</v>
      </c>
      <c r="AT420" t="s">
        <v>56</v>
      </c>
      <c r="AU420">
        <v>466</v>
      </c>
      <c r="AV420">
        <v>5</v>
      </c>
      <c r="AW420" t="s">
        <v>56</v>
      </c>
      <c r="AX420">
        <v>8.02</v>
      </c>
      <c r="AY420">
        <v>0</v>
      </c>
      <c r="AZ420" t="s">
        <v>56</v>
      </c>
      <c r="BB420">
        <f>LOG(AU420)</f>
        <v>2.6683859166900001</v>
      </c>
      <c r="BC420">
        <v>17.399999999999999</v>
      </c>
      <c r="BD420" t="s">
        <v>56</v>
      </c>
      <c r="BE420" t="s">
        <v>56</v>
      </c>
      <c r="BF420">
        <v>19.899999999999999</v>
      </c>
      <c r="BG420" t="s">
        <v>56</v>
      </c>
      <c r="BH420" t="s">
        <v>56</v>
      </c>
      <c r="BI420">
        <v>34</v>
      </c>
      <c r="BJ420">
        <v>2.5</v>
      </c>
      <c r="BK420" t="s">
        <v>56</v>
      </c>
      <c r="BL420" t="s">
        <v>357</v>
      </c>
      <c r="BM420" t="s">
        <v>98</v>
      </c>
      <c r="BN420" t="s">
        <v>81</v>
      </c>
      <c r="BO420" t="s">
        <v>358</v>
      </c>
      <c r="BP420" t="s">
        <v>100</v>
      </c>
      <c r="BR420" t="s">
        <v>63</v>
      </c>
      <c r="BT420">
        <v>2.23</v>
      </c>
      <c r="BU420">
        <v>2.23</v>
      </c>
      <c r="BV420">
        <v>0.05</v>
      </c>
      <c r="BW420">
        <f>BV420*SQRT(AK420)</f>
        <v>0.17320508075688773</v>
      </c>
      <c r="BX420">
        <v>2.2400000000000002</v>
      </c>
      <c r="BY420">
        <v>2.2439</v>
      </c>
      <c r="BZ420">
        <v>0.13</v>
      </c>
      <c r="CA420">
        <f>BZ420*SQRT(AL420)</f>
        <v>0.4503332099679081</v>
      </c>
      <c r="CB420">
        <v>369</v>
      </c>
      <c r="CC420">
        <v>3</v>
      </c>
      <c r="CD420">
        <v>5.0000000000000001E-3</v>
      </c>
      <c r="CE420">
        <v>3.8999999999999998E-3</v>
      </c>
    </row>
    <row r="421" spans="4:83" hidden="1" x14ac:dyDescent="0.2">
      <c r="D421">
        <v>27</v>
      </c>
      <c r="G421" t="s">
        <v>43</v>
      </c>
      <c r="H421" t="s">
        <v>347</v>
      </c>
      <c r="J421">
        <v>2016</v>
      </c>
      <c r="M421" t="s">
        <v>67</v>
      </c>
      <c r="T421" t="s">
        <v>103</v>
      </c>
      <c r="U421" t="s">
        <v>348</v>
      </c>
      <c r="V421" t="s">
        <v>356</v>
      </c>
      <c r="Z421" t="s">
        <v>49</v>
      </c>
      <c r="AA421" t="s">
        <v>49</v>
      </c>
      <c r="AB421" t="s">
        <v>50</v>
      </c>
      <c r="AC421" t="s">
        <v>51</v>
      </c>
      <c r="AD421" t="s">
        <v>52</v>
      </c>
      <c r="AE421" t="s">
        <v>53</v>
      </c>
      <c r="AF421" t="s">
        <v>52</v>
      </c>
      <c r="AG421" t="s">
        <v>54</v>
      </c>
      <c r="AH421" t="s">
        <v>55</v>
      </c>
      <c r="AK421">
        <v>12</v>
      </c>
      <c r="AL421">
        <v>12</v>
      </c>
      <c r="AM421" t="s">
        <v>353</v>
      </c>
      <c r="AN421">
        <v>432</v>
      </c>
      <c r="AO421">
        <v>5</v>
      </c>
      <c r="AP421" t="s">
        <v>56</v>
      </c>
      <c r="AQ421" t="s">
        <v>109</v>
      </c>
      <c r="AR421">
        <v>8.0500000000000007</v>
      </c>
      <c r="AS421">
        <v>0</v>
      </c>
      <c r="AT421" t="s">
        <v>56</v>
      </c>
      <c r="AU421">
        <v>1028</v>
      </c>
      <c r="AV421">
        <v>14</v>
      </c>
      <c r="AW421" t="s">
        <v>56</v>
      </c>
      <c r="AX421">
        <v>7.72</v>
      </c>
      <c r="AY421">
        <v>0.01</v>
      </c>
      <c r="AZ421" t="s">
        <v>56</v>
      </c>
      <c r="BB421">
        <f>LOG(AU421)</f>
        <v>3.0119931146592571</v>
      </c>
      <c r="BC421">
        <v>17.399999999999999</v>
      </c>
      <c r="BD421" t="s">
        <v>56</v>
      </c>
      <c r="BE421" t="s">
        <v>56</v>
      </c>
      <c r="BF421">
        <v>17.399999999999999</v>
      </c>
      <c r="BG421" t="s">
        <v>56</v>
      </c>
      <c r="BH421" t="s">
        <v>56</v>
      </c>
      <c r="BI421">
        <v>596</v>
      </c>
      <c r="BJ421">
        <v>0</v>
      </c>
      <c r="BK421" t="s">
        <v>56</v>
      </c>
      <c r="BL421" t="s">
        <v>357</v>
      </c>
      <c r="BM421" t="s">
        <v>98</v>
      </c>
      <c r="BN421" t="s">
        <v>81</v>
      </c>
      <c r="BO421" t="s">
        <v>358</v>
      </c>
      <c r="BP421" t="s">
        <v>100</v>
      </c>
      <c r="BR421" t="s">
        <v>63</v>
      </c>
      <c r="BT421">
        <v>2.23</v>
      </c>
      <c r="BU421">
        <v>2.2317100000000001</v>
      </c>
      <c r="BV421">
        <v>0.05</v>
      </c>
      <c r="BW421">
        <f>BV421*SQRT(AK421)</f>
        <v>0.17320508075688773</v>
      </c>
      <c r="BX421">
        <v>2.27</v>
      </c>
      <c r="BY421">
        <v>2.2682899999999999</v>
      </c>
      <c r="BZ421">
        <v>0.08</v>
      </c>
      <c r="CA421">
        <f>BZ421*SQRT(AL421)</f>
        <v>0.27712812921102037</v>
      </c>
      <c r="CB421">
        <v>369</v>
      </c>
      <c r="CC421">
        <v>3</v>
      </c>
      <c r="CD421">
        <v>1.6E-2</v>
      </c>
      <c r="CE421">
        <v>1.8E-3</v>
      </c>
    </row>
    <row r="422" spans="4:83" hidden="1" x14ac:dyDescent="0.2">
      <c r="D422">
        <v>27</v>
      </c>
      <c r="G422" t="s">
        <v>43</v>
      </c>
      <c r="H422" t="s">
        <v>347</v>
      </c>
      <c r="J422">
        <v>2016</v>
      </c>
      <c r="M422" t="s">
        <v>67</v>
      </c>
      <c r="T422" t="s">
        <v>103</v>
      </c>
      <c r="U422" t="s">
        <v>348</v>
      </c>
      <c r="V422" t="s">
        <v>349</v>
      </c>
      <c r="Z422" t="s">
        <v>49</v>
      </c>
      <c r="AA422" t="s">
        <v>49</v>
      </c>
      <c r="AB422" t="s">
        <v>50</v>
      </c>
      <c r="AC422" t="s">
        <v>51</v>
      </c>
      <c r="AD422" t="s">
        <v>52</v>
      </c>
      <c r="AE422" t="s">
        <v>53</v>
      </c>
      <c r="AF422" t="s">
        <v>54</v>
      </c>
      <c r="AG422" t="s">
        <v>52</v>
      </c>
      <c r="AH422" t="s">
        <v>65</v>
      </c>
      <c r="AK422">
        <v>12</v>
      </c>
      <c r="AL422">
        <v>12</v>
      </c>
      <c r="AM422" t="s">
        <v>353</v>
      </c>
      <c r="AN422">
        <v>432</v>
      </c>
      <c r="AO422">
        <v>5</v>
      </c>
      <c r="AP422" t="s">
        <v>56</v>
      </c>
      <c r="AQ422" t="s">
        <v>109</v>
      </c>
      <c r="AR422">
        <v>8.0500000000000007</v>
      </c>
      <c r="AS422">
        <v>0</v>
      </c>
      <c r="AT422" t="s">
        <v>56</v>
      </c>
      <c r="AU422">
        <v>466</v>
      </c>
      <c r="AV422">
        <v>5</v>
      </c>
      <c r="AW422" t="s">
        <v>56</v>
      </c>
      <c r="AX422">
        <v>8.02</v>
      </c>
      <c r="AY422">
        <v>0</v>
      </c>
      <c r="AZ422" t="s">
        <v>56</v>
      </c>
      <c r="BB422">
        <f>LOG(AU422)</f>
        <v>2.6683859166900001</v>
      </c>
      <c r="BC422">
        <v>17.399999999999999</v>
      </c>
      <c r="BD422" t="s">
        <v>56</v>
      </c>
      <c r="BE422" t="s">
        <v>56</v>
      </c>
      <c r="BF422">
        <v>19.899999999999999</v>
      </c>
      <c r="BG422" t="s">
        <v>56</v>
      </c>
      <c r="BH422" t="s">
        <v>56</v>
      </c>
      <c r="BI422">
        <v>34</v>
      </c>
      <c r="BJ422">
        <v>2.5</v>
      </c>
      <c r="BK422" t="s">
        <v>56</v>
      </c>
      <c r="BL422" t="s">
        <v>357</v>
      </c>
      <c r="BM422" t="s">
        <v>98</v>
      </c>
      <c r="BN422" t="s">
        <v>81</v>
      </c>
      <c r="BO422" t="s">
        <v>358</v>
      </c>
      <c r="BP422" t="s">
        <v>100</v>
      </c>
      <c r="BR422" t="s">
        <v>63</v>
      </c>
      <c r="BT422">
        <v>2.44</v>
      </c>
      <c r="BU422">
        <v>2.4390200000000002</v>
      </c>
      <c r="BV422">
        <v>0.03</v>
      </c>
      <c r="BW422">
        <f>BV422*SQRT(AK422)</f>
        <v>0.10392304845413262</v>
      </c>
      <c r="BX422">
        <v>2.54</v>
      </c>
      <c r="BY422">
        <v>2.5365899999999999</v>
      </c>
      <c r="BZ422">
        <v>0.09</v>
      </c>
      <c r="CA422">
        <f>BZ422*SQRT(AL422)</f>
        <v>0.31176914536239786</v>
      </c>
      <c r="CB422">
        <v>369</v>
      </c>
      <c r="CC422">
        <v>3</v>
      </c>
      <c r="CD422">
        <v>3.9E-2</v>
      </c>
      <c r="CE422">
        <v>1.5E-3</v>
      </c>
    </row>
    <row r="423" spans="4:83" hidden="1" x14ac:dyDescent="0.2">
      <c r="D423">
        <v>27</v>
      </c>
      <c r="G423" t="s">
        <v>43</v>
      </c>
      <c r="H423" t="s">
        <v>347</v>
      </c>
      <c r="J423">
        <v>2016</v>
      </c>
      <c r="M423" t="s">
        <v>67</v>
      </c>
      <c r="T423" t="s">
        <v>103</v>
      </c>
      <c r="U423" t="s">
        <v>348</v>
      </c>
      <c r="V423" t="s">
        <v>349</v>
      </c>
      <c r="Z423" t="s">
        <v>49</v>
      </c>
      <c r="AA423" t="s">
        <v>49</v>
      </c>
      <c r="AB423" t="s">
        <v>50</v>
      </c>
      <c r="AC423" t="s">
        <v>51</v>
      </c>
      <c r="AD423" t="s">
        <v>52</v>
      </c>
      <c r="AE423" t="s">
        <v>53</v>
      </c>
      <c r="AF423" t="s">
        <v>52</v>
      </c>
      <c r="AG423" t="s">
        <v>54</v>
      </c>
      <c r="AH423" t="s">
        <v>55</v>
      </c>
      <c r="AK423">
        <v>24</v>
      </c>
      <c r="AL423">
        <v>24</v>
      </c>
      <c r="AM423" t="s">
        <v>353</v>
      </c>
      <c r="AN423">
        <v>432</v>
      </c>
      <c r="AO423">
        <v>5</v>
      </c>
      <c r="AP423" t="s">
        <v>56</v>
      </c>
      <c r="AQ423" t="s">
        <v>109</v>
      </c>
      <c r="AR423">
        <v>8.0500000000000007</v>
      </c>
      <c r="AS423">
        <v>0</v>
      </c>
      <c r="AT423" t="s">
        <v>56</v>
      </c>
      <c r="AU423">
        <v>1028</v>
      </c>
      <c r="AV423">
        <v>14</v>
      </c>
      <c r="AW423" t="s">
        <v>56</v>
      </c>
      <c r="AX423">
        <v>7.72</v>
      </c>
      <c r="AY423">
        <v>0.01</v>
      </c>
      <c r="AZ423" t="s">
        <v>56</v>
      </c>
      <c r="BB423">
        <f>LOG(AU423)</f>
        <v>3.0119931146592571</v>
      </c>
      <c r="BC423">
        <v>17.399999999999999</v>
      </c>
      <c r="BD423" t="s">
        <v>56</v>
      </c>
      <c r="BE423" t="s">
        <v>56</v>
      </c>
      <c r="BF423">
        <v>17.399999999999999</v>
      </c>
      <c r="BG423" t="s">
        <v>56</v>
      </c>
      <c r="BH423" t="s">
        <v>56</v>
      </c>
      <c r="BI423">
        <v>596</v>
      </c>
      <c r="BJ423">
        <v>0</v>
      </c>
      <c r="BK423" t="s">
        <v>56</v>
      </c>
      <c r="BL423" t="s">
        <v>354</v>
      </c>
      <c r="BM423" t="s">
        <v>354</v>
      </c>
      <c r="BN423" t="s">
        <v>60</v>
      </c>
      <c r="BO423" t="s">
        <v>355</v>
      </c>
      <c r="BP423" t="s">
        <v>194</v>
      </c>
      <c r="BR423" t="s">
        <v>63</v>
      </c>
      <c r="BT423">
        <v>743.8</v>
      </c>
      <c r="BU423">
        <v>743.8</v>
      </c>
      <c r="BV423">
        <v>94.4</v>
      </c>
      <c r="BW423">
        <f>BV423*SQRT(AK423)</f>
        <v>462.46366343746399</v>
      </c>
      <c r="BX423">
        <v>788.8</v>
      </c>
      <c r="BY423">
        <v>788.8</v>
      </c>
      <c r="BZ423">
        <v>40.4</v>
      </c>
      <c r="CA423">
        <f>BZ423*SQRT(AL423)</f>
        <v>197.91877121688077</v>
      </c>
      <c r="CB423">
        <v>369</v>
      </c>
      <c r="CC423">
        <v>3</v>
      </c>
      <c r="CD423">
        <v>5.8999999999999997E-2</v>
      </c>
      <c r="CE423">
        <v>1.8700000000000001E-2</v>
      </c>
    </row>
    <row r="424" spans="4:83" hidden="1" x14ac:dyDescent="0.2">
      <c r="D424">
        <v>27</v>
      </c>
      <c r="G424" t="s">
        <v>43</v>
      </c>
      <c r="H424" t="s">
        <v>347</v>
      </c>
      <c r="J424">
        <v>2016</v>
      </c>
      <c r="M424" t="s">
        <v>67</v>
      </c>
      <c r="T424" t="s">
        <v>103</v>
      </c>
      <c r="U424" t="s">
        <v>348</v>
      </c>
      <c r="V424" t="s">
        <v>356</v>
      </c>
      <c r="Z424" t="s">
        <v>49</v>
      </c>
      <c r="AA424" t="s">
        <v>49</v>
      </c>
      <c r="AB424" t="s">
        <v>50</v>
      </c>
      <c r="AC424" t="s">
        <v>51</v>
      </c>
      <c r="AD424" t="s">
        <v>52</v>
      </c>
      <c r="AE424" t="s">
        <v>53</v>
      </c>
      <c r="AF424" t="s">
        <v>52</v>
      </c>
      <c r="AG424" t="s">
        <v>52</v>
      </c>
      <c r="AH424" t="s">
        <v>64</v>
      </c>
      <c r="AK424">
        <v>12</v>
      </c>
      <c r="AL424">
        <v>12</v>
      </c>
      <c r="AM424" t="s">
        <v>353</v>
      </c>
      <c r="AN424">
        <v>432</v>
      </c>
      <c r="AO424">
        <v>5</v>
      </c>
      <c r="AP424" t="s">
        <v>56</v>
      </c>
      <c r="AQ424" t="s">
        <v>109</v>
      </c>
      <c r="AR424">
        <v>8.0500000000000007</v>
      </c>
      <c r="AS424">
        <v>0</v>
      </c>
      <c r="AT424" t="s">
        <v>56</v>
      </c>
      <c r="AU424">
        <v>1056</v>
      </c>
      <c r="AV424">
        <v>5</v>
      </c>
      <c r="AW424" t="s">
        <v>56</v>
      </c>
      <c r="AX424">
        <v>7.71</v>
      </c>
      <c r="AY424">
        <v>0</v>
      </c>
      <c r="AZ424" t="s">
        <v>56</v>
      </c>
      <c r="BB424">
        <f>LOG(AU424)</f>
        <v>3.0236639181977933</v>
      </c>
      <c r="BC424">
        <v>17.399999999999999</v>
      </c>
      <c r="BD424" t="s">
        <v>56</v>
      </c>
      <c r="BE424" t="s">
        <v>56</v>
      </c>
      <c r="BF424">
        <v>19.899999999999999</v>
      </c>
      <c r="BG424" t="s">
        <v>56</v>
      </c>
      <c r="BH424" t="s">
        <v>56</v>
      </c>
      <c r="BI424">
        <v>624</v>
      </c>
      <c r="BJ424">
        <v>2.5</v>
      </c>
      <c r="BK424" t="s">
        <v>56</v>
      </c>
      <c r="BL424" t="s">
        <v>357</v>
      </c>
      <c r="BM424" t="s">
        <v>98</v>
      </c>
      <c r="BN424" t="s">
        <v>81</v>
      </c>
      <c r="BO424" t="s">
        <v>358</v>
      </c>
      <c r="BP424" t="s">
        <v>100</v>
      </c>
      <c r="BR424" t="s">
        <v>63</v>
      </c>
      <c r="BT424">
        <v>2.23</v>
      </c>
      <c r="BU424">
        <v>2.23</v>
      </c>
      <c r="BV424">
        <v>0.05</v>
      </c>
      <c r="BW424">
        <f>BV424*SQRT(AK424)</f>
        <v>0.17320508075688773</v>
      </c>
      <c r="BX424">
        <v>2.57</v>
      </c>
      <c r="BY424">
        <v>2.5731700000000002</v>
      </c>
      <c r="BZ424">
        <v>0.21</v>
      </c>
      <c r="CA424">
        <f>BZ424*SQRT(AL424)</f>
        <v>0.72746133917892841</v>
      </c>
      <c r="CB424">
        <v>369</v>
      </c>
      <c r="CC424">
        <v>3</v>
      </c>
      <c r="CD424">
        <v>0.14199999999999999</v>
      </c>
      <c r="CE424">
        <v>7.1000000000000004E-3</v>
      </c>
    </row>
    <row r="425" spans="4:83" hidden="1" x14ac:dyDescent="0.2">
      <c r="D425">
        <v>27</v>
      </c>
      <c r="G425" t="s">
        <v>43</v>
      </c>
      <c r="H425" t="s">
        <v>347</v>
      </c>
      <c r="J425">
        <v>2016</v>
      </c>
      <c r="M425" t="s">
        <v>67</v>
      </c>
      <c r="T425" t="s">
        <v>103</v>
      </c>
      <c r="U425" t="s">
        <v>348</v>
      </c>
      <c r="V425" t="s">
        <v>356</v>
      </c>
      <c r="Z425" t="s">
        <v>49</v>
      </c>
      <c r="AA425" t="s">
        <v>49</v>
      </c>
      <c r="AB425" t="s">
        <v>50</v>
      </c>
      <c r="AC425" t="s">
        <v>51</v>
      </c>
      <c r="AD425" t="s">
        <v>52</v>
      </c>
      <c r="AE425" t="s">
        <v>53</v>
      </c>
      <c r="AF425" t="s">
        <v>52</v>
      </c>
      <c r="AG425" t="s">
        <v>54</v>
      </c>
      <c r="AH425" t="s">
        <v>55</v>
      </c>
      <c r="AK425">
        <v>24</v>
      </c>
      <c r="AL425">
        <v>24</v>
      </c>
      <c r="AM425" t="s">
        <v>353</v>
      </c>
      <c r="AN425">
        <v>432</v>
      </c>
      <c r="AO425">
        <v>5</v>
      </c>
      <c r="AP425" t="s">
        <v>56</v>
      </c>
      <c r="AQ425" t="s">
        <v>109</v>
      </c>
      <c r="AR425">
        <v>8.0500000000000007</v>
      </c>
      <c r="AS425">
        <v>0</v>
      </c>
      <c r="AT425" t="s">
        <v>56</v>
      </c>
      <c r="AU425">
        <v>1028</v>
      </c>
      <c r="AV425">
        <v>14</v>
      </c>
      <c r="AW425" t="s">
        <v>56</v>
      </c>
      <c r="AX425">
        <v>7.72</v>
      </c>
      <c r="AY425">
        <v>0.01</v>
      </c>
      <c r="AZ425" t="s">
        <v>56</v>
      </c>
      <c r="BB425">
        <f>LOG(AU425)</f>
        <v>3.0119931146592571</v>
      </c>
      <c r="BC425">
        <v>17.399999999999999</v>
      </c>
      <c r="BD425" t="s">
        <v>56</v>
      </c>
      <c r="BE425" t="s">
        <v>56</v>
      </c>
      <c r="BF425">
        <v>17.399999999999999</v>
      </c>
      <c r="BG425" t="s">
        <v>56</v>
      </c>
      <c r="BH425" t="s">
        <v>56</v>
      </c>
      <c r="BI425">
        <v>596</v>
      </c>
      <c r="BJ425">
        <v>0</v>
      </c>
      <c r="BK425" t="s">
        <v>56</v>
      </c>
      <c r="BL425" t="s">
        <v>354</v>
      </c>
      <c r="BM425" t="s">
        <v>354</v>
      </c>
      <c r="BN425" t="s">
        <v>60</v>
      </c>
      <c r="BO425" t="s">
        <v>355</v>
      </c>
      <c r="BP425" t="s">
        <v>194</v>
      </c>
      <c r="BR425" t="s">
        <v>63</v>
      </c>
      <c r="BT425">
        <v>507.46</v>
      </c>
      <c r="BU425">
        <v>507.46300000000002</v>
      </c>
      <c r="BV425">
        <v>89.55</v>
      </c>
      <c r="BW425">
        <f>BV425*SQRT(AK425)</f>
        <v>438.70361293246714</v>
      </c>
      <c r="BX425">
        <v>620.9</v>
      </c>
      <c r="BY425">
        <v>620.89599999999996</v>
      </c>
      <c r="BZ425">
        <v>110.45</v>
      </c>
      <c r="CA425">
        <f>BZ425*SQRT(AL425)</f>
        <v>541.09228418080397</v>
      </c>
      <c r="CB425">
        <v>369</v>
      </c>
      <c r="CC425">
        <v>3</v>
      </c>
      <c r="CD425">
        <v>0.20200000000000001</v>
      </c>
      <c r="CE425">
        <v>6.2799999999999995E-2</v>
      </c>
    </row>
    <row r="426" spans="4:83" hidden="1" x14ac:dyDescent="0.2">
      <c r="D426">
        <v>29</v>
      </c>
      <c r="G426" t="s">
        <v>43</v>
      </c>
      <c r="H426" t="s">
        <v>359</v>
      </c>
      <c r="J426">
        <v>2017</v>
      </c>
      <c r="M426" t="s">
        <v>308</v>
      </c>
      <c r="T426" t="s">
        <v>68</v>
      </c>
      <c r="U426" t="s">
        <v>360</v>
      </c>
      <c r="V426" t="s">
        <v>361</v>
      </c>
      <c r="Z426" t="s">
        <v>49</v>
      </c>
      <c r="AA426" t="s">
        <v>49</v>
      </c>
      <c r="AB426" t="s">
        <v>50</v>
      </c>
      <c r="AC426" t="s">
        <v>51</v>
      </c>
      <c r="AD426" t="s">
        <v>52</v>
      </c>
      <c r="AE426" t="s">
        <v>53</v>
      </c>
      <c r="AF426" t="s">
        <v>52</v>
      </c>
      <c r="AG426" t="s">
        <v>54</v>
      </c>
      <c r="AH426" t="s">
        <v>55</v>
      </c>
      <c r="AK426">
        <v>8</v>
      </c>
      <c r="AL426">
        <v>8</v>
      </c>
      <c r="AM426" t="s">
        <v>364</v>
      </c>
      <c r="AN426">
        <v>325</v>
      </c>
      <c r="AO426" t="s">
        <v>56</v>
      </c>
      <c r="AP426" t="s">
        <v>56</v>
      </c>
      <c r="AQ426" t="s">
        <v>57</v>
      </c>
      <c r="AR426">
        <v>8.11</v>
      </c>
      <c r="AS426" t="s">
        <v>56</v>
      </c>
      <c r="AT426" t="s">
        <v>56</v>
      </c>
      <c r="AU426">
        <v>746</v>
      </c>
      <c r="AV426" t="s">
        <v>56</v>
      </c>
      <c r="AW426" t="s">
        <v>56</v>
      </c>
      <c r="AX426">
        <v>7.75</v>
      </c>
      <c r="AY426" t="s">
        <v>56</v>
      </c>
      <c r="AZ426" t="s">
        <v>56</v>
      </c>
      <c r="BB426">
        <f>LOG(AU426)</f>
        <v>2.8727388274726686</v>
      </c>
      <c r="BC426">
        <v>15.4</v>
      </c>
      <c r="BD426" t="s">
        <v>56</v>
      </c>
      <c r="BE426">
        <v>0.7</v>
      </c>
      <c r="BF426">
        <v>15.3</v>
      </c>
      <c r="BG426" t="s">
        <v>56</v>
      </c>
      <c r="BH426" t="s">
        <v>56</v>
      </c>
      <c r="BI426">
        <v>421</v>
      </c>
      <c r="BJ426">
        <v>-0.1</v>
      </c>
      <c r="BK426" t="s">
        <v>56</v>
      </c>
      <c r="BL426" t="s">
        <v>362</v>
      </c>
      <c r="BM426" t="s">
        <v>232</v>
      </c>
      <c r="BN426" t="s">
        <v>81</v>
      </c>
      <c r="BO426" t="s">
        <v>363</v>
      </c>
      <c r="BP426" t="s">
        <v>234</v>
      </c>
      <c r="BR426" t="s">
        <v>63</v>
      </c>
      <c r="BT426">
        <v>-2.19</v>
      </c>
      <c r="BU426">
        <v>-2.189781</v>
      </c>
      <c r="BV426">
        <v>0.13</v>
      </c>
      <c r="BW426">
        <f>BV426*SQRT(AK426)</f>
        <v>0.36769552621700474</v>
      </c>
      <c r="BX426">
        <v>-10.29</v>
      </c>
      <c r="BY426">
        <v>-10.2919708</v>
      </c>
      <c r="BZ426">
        <v>3.87</v>
      </c>
      <c r="CA426">
        <f>BZ426*SQRT(AL426)</f>
        <v>10.946012972767758</v>
      </c>
      <c r="CB426">
        <v>42</v>
      </c>
      <c r="CC426">
        <v>3</v>
      </c>
      <c r="CD426">
        <v>-1.548</v>
      </c>
      <c r="CE426">
        <v>0.14480000000000001</v>
      </c>
    </row>
    <row r="427" spans="4:83" hidden="1" x14ac:dyDescent="0.2">
      <c r="D427">
        <v>29</v>
      </c>
      <c r="G427" t="s">
        <v>43</v>
      </c>
      <c r="H427" t="s">
        <v>359</v>
      </c>
      <c r="J427">
        <v>2017</v>
      </c>
      <c r="M427" t="s">
        <v>308</v>
      </c>
      <c r="T427" t="s">
        <v>68</v>
      </c>
      <c r="U427" t="s">
        <v>360</v>
      </c>
      <c r="V427" t="s">
        <v>361</v>
      </c>
      <c r="Z427" t="s">
        <v>49</v>
      </c>
      <c r="AA427" t="s">
        <v>49</v>
      </c>
      <c r="AB427" t="s">
        <v>50</v>
      </c>
      <c r="AC427" t="s">
        <v>51</v>
      </c>
      <c r="AD427" t="s">
        <v>52</v>
      </c>
      <c r="AE427" t="s">
        <v>53</v>
      </c>
      <c r="AF427" t="s">
        <v>52</v>
      </c>
      <c r="AG427" t="s">
        <v>52</v>
      </c>
      <c r="AH427" t="s">
        <v>64</v>
      </c>
      <c r="AK427">
        <v>8</v>
      </c>
      <c r="AL427">
        <v>8</v>
      </c>
      <c r="AM427" t="s">
        <v>364</v>
      </c>
      <c r="AN427">
        <v>325</v>
      </c>
      <c r="AO427" t="s">
        <v>56</v>
      </c>
      <c r="AP427" t="s">
        <v>56</v>
      </c>
      <c r="AQ427" t="s">
        <v>57</v>
      </c>
      <c r="AR427">
        <v>8.11</v>
      </c>
      <c r="AS427" t="s">
        <v>56</v>
      </c>
      <c r="AT427" t="s">
        <v>56</v>
      </c>
      <c r="AU427">
        <v>870</v>
      </c>
      <c r="AV427" t="s">
        <v>56</v>
      </c>
      <c r="AW427" t="s">
        <v>56</v>
      </c>
      <c r="AX427">
        <v>7.82</v>
      </c>
      <c r="AY427" t="s">
        <v>56</v>
      </c>
      <c r="AZ427" t="s">
        <v>56</v>
      </c>
      <c r="BB427">
        <f>LOG(AU427)</f>
        <v>2.9395192526186187</v>
      </c>
      <c r="BC427">
        <v>15.4</v>
      </c>
      <c r="BD427" t="s">
        <v>56</v>
      </c>
      <c r="BE427">
        <v>0.7</v>
      </c>
      <c r="BF427">
        <v>18</v>
      </c>
      <c r="BG427" t="s">
        <v>56</v>
      </c>
      <c r="BH427">
        <v>0.1</v>
      </c>
      <c r="BI427">
        <v>545</v>
      </c>
      <c r="BJ427">
        <v>2.6</v>
      </c>
      <c r="BK427" t="s">
        <v>56</v>
      </c>
      <c r="BL427" t="s">
        <v>362</v>
      </c>
      <c r="BM427" t="s">
        <v>232</v>
      </c>
      <c r="BN427" t="s">
        <v>81</v>
      </c>
      <c r="BO427" t="s">
        <v>363</v>
      </c>
      <c r="BP427" t="s">
        <v>234</v>
      </c>
      <c r="BR427" t="s">
        <v>63</v>
      </c>
      <c r="BT427">
        <v>-2.19</v>
      </c>
      <c r="BU427">
        <v>-2.189781</v>
      </c>
      <c r="BV427">
        <v>0.13</v>
      </c>
      <c r="BW427">
        <f>BV427*SQRT(AK427)</f>
        <v>0.36769552621700474</v>
      </c>
      <c r="BX427">
        <v>-5.18</v>
      </c>
      <c r="BY427">
        <v>-5.1824817999999997</v>
      </c>
      <c r="BZ427">
        <v>0.73</v>
      </c>
      <c r="CA427">
        <f>BZ427*SQRT(AL427)</f>
        <v>2.0647518010647188</v>
      </c>
      <c r="CB427">
        <v>42</v>
      </c>
      <c r="CC427">
        <v>3</v>
      </c>
      <c r="CD427">
        <v>-0.86099999999999999</v>
      </c>
      <c r="CE427">
        <v>2.3400000000000001E-2</v>
      </c>
    </row>
    <row r="428" spans="4:83" hidden="1" x14ac:dyDescent="0.2">
      <c r="D428">
        <v>29</v>
      </c>
      <c r="G428" t="s">
        <v>43</v>
      </c>
      <c r="H428" t="s">
        <v>359</v>
      </c>
      <c r="J428">
        <v>2017</v>
      </c>
      <c r="M428" t="s">
        <v>308</v>
      </c>
      <c r="T428" t="s">
        <v>68</v>
      </c>
      <c r="U428" t="s">
        <v>360</v>
      </c>
      <c r="V428" t="s">
        <v>361</v>
      </c>
      <c r="Z428" t="s">
        <v>49</v>
      </c>
      <c r="AA428" t="s">
        <v>49</v>
      </c>
      <c r="AB428" t="s">
        <v>50</v>
      </c>
      <c r="AC428" t="s">
        <v>51</v>
      </c>
      <c r="AD428" t="s">
        <v>52</v>
      </c>
      <c r="AE428" t="s">
        <v>53</v>
      </c>
      <c r="AF428" t="s">
        <v>52</v>
      </c>
      <c r="AG428" t="s">
        <v>52</v>
      </c>
      <c r="AH428" t="s">
        <v>64</v>
      </c>
      <c r="AK428">
        <v>8</v>
      </c>
      <c r="AL428">
        <v>8</v>
      </c>
      <c r="AN428">
        <v>325</v>
      </c>
      <c r="AO428" t="s">
        <v>56</v>
      </c>
      <c r="AP428" t="s">
        <v>56</v>
      </c>
      <c r="AQ428" t="s">
        <v>57</v>
      </c>
      <c r="AR428">
        <v>8.11</v>
      </c>
      <c r="AS428" t="s">
        <v>56</v>
      </c>
      <c r="AT428" t="s">
        <v>56</v>
      </c>
      <c r="AU428">
        <v>870</v>
      </c>
      <c r="AV428" t="s">
        <v>56</v>
      </c>
      <c r="AW428" t="s">
        <v>56</v>
      </c>
      <c r="AX428">
        <v>7.82</v>
      </c>
      <c r="AY428" t="s">
        <v>56</v>
      </c>
      <c r="AZ428" t="s">
        <v>56</v>
      </c>
      <c r="BB428">
        <f>LOG(AU428)</f>
        <v>2.9395192526186187</v>
      </c>
      <c r="BC428">
        <v>15.4</v>
      </c>
      <c r="BD428" t="s">
        <v>56</v>
      </c>
      <c r="BE428">
        <v>0.7</v>
      </c>
      <c r="BF428">
        <v>18</v>
      </c>
      <c r="BG428" t="s">
        <v>56</v>
      </c>
      <c r="BH428">
        <v>0.1</v>
      </c>
      <c r="BI428">
        <v>545</v>
      </c>
      <c r="BJ428">
        <v>2.6</v>
      </c>
      <c r="BK428" t="s">
        <v>56</v>
      </c>
      <c r="BL428" t="s">
        <v>365</v>
      </c>
      <c r="BM428" t="s">
        <v>365</v>
      </c>
      <c r="BN428" t="s">
        <v>81</v>
      </c>
      <c r="BO428" t="s">
        <v>366</v>
      </c>
      <c r="BP428" t="s">
        <v>92</v>
      </c>
      <c r="BR428" t="s">
        <v>63</v>
      </c>
      <c r="BT428">
        <v>6.02</v>
      </c>
      <c r="BU428">
        <v>6.0161020000000001</v>
      </c>
      <c r="BV428">
        <v>0.24</v>
      </c>
      <c r="BW428">
        <f>BV428*SQRT(AK428)</f>
        <v>0.67882250993908566</v>
      </c>
      <c r="BX428">
        <v>4.41</v>
      </c>
      <c r="BY428">
        <v>4.4055492999999997</v>
      </c>
      <c r="BZ428">
        <v>0.24</v>
      </c>
      <c r="CA428">
        <f>BZ428*SQRT(AL428)</f>
        <v>0.67882250993908566</v>
      </c>
      <c r="CB428">
        <v>42</v>
      </c>
      <c r="CC428">
        <v>3</v>
      </c>
      <c r="CD428">
        <v>-0.312</v>
      </c>
      <c r="CE428">
        <v>4.4999999999999997E-3</v>
      </c>
    </row>
    <row r="429" spans="4:83" hidden="1" x14ac:dyDescent="0.2">
      <c r="D429">
        <v>29</v>
      </c>
      <c r="G429" t="s">
        <v>43</v>
      </c>
      <c r="H429" t="s">
        <v>359</v>
      </c>
      <c r="J429">
        <v>2017</v>
      </c>
      <c r="M429" t="s">
        <v>308</v>
      </c>
      <c r="T429" t="s">
        <v>68</v>
      </c>
      <c r="U429" t="s">
        <v>360</v>
      </c>
      <c r="V429" t="s">
        <v>361</v>
      </c>
      <c r="Z429" t="s">
        <v>49</v>
      </c>
      <c r="AA429" t="s">
        <v>49</v>
      </c>
      <c r="AB429" t="s">
        <v>50</v>
      </c>
      <c r="AC429" t="s">
        <v>51</v>
      </c>
      <c r="AD429" t="s">
        <v>52</v>
      </c>
      <c r="AE429" t="s">
        <v>53</v>
      </c>
      <c r="AF429" t="s">
        <v>54</v>
      </c>
      <c r="AG429" t="s">
        <v>52</v>
      </c>
      <c r="AH429" t="s">
        <v>65</v>
      </c>
      <c r="AK429">
        <v>8</v>
      </c>
      <c r="AL429">
        <v>8</v>
      </c>
      <c r="AN429">
        <v>325</v>
      </c>
      <c r="AO429" t="s">
        <v>56</v>
      </c>
      <c r="AP429" t="s">
        <v>56</v>
      </c>
      <c r="AQ429" t="s">
        <v>57</v>
      </c>
      <c r="AR429">
        <v>8.11</v>
      </c>
      <c r="AS429" t="s">
        <v>56</v>
      </c>
      <c r="AT429" t="s">
        <v>56</v>
      </c>
      <c r="AU429">
        <v>335</v>
      </c>
      <c r="AV429" t="s">
        <v>56</v>
      </c>
      <c r="AW429" t="s">
        <v>56</v>
      </c>
      <c r="AX429">
        <v>8.1999999999999993</v>
      </c>
      <c r="AY429" t="s">
        <v>56</v>
      </c>
      <c r="AZ429" t="s">
        <v>56</v>
      </c>
      <c r="BB429">
        <f>LOG(AU429)</f>
        <v>2.5250448070368452</v>
      </c>
      <c r="BC429">
        <v>15.4</v>
      </c>
      <c r="BD429" t="s">
        <v>56</v>
      </c>
      <c r="BE429">
        <v>0.7</v>
      </c>
      <c r="BF429">
        <v>18.2</v>
      </c>
      <c r="BG429" t="s">
        <v>56</v>
      </c>
      <c r="BH429">
        <v>0.2</v>
      </c>
      <c r="BI429">
        <v>10</v>
      </c>
      <c r="BJ429">
        <v>2.8</v>
      </c>
      <c r="BK429" t="s">
        <v>56</v>
      </c>
      <c r="BL429" t="s">
        <v>365</v>
      </c>
      <c r="BM429" t="s">
        <v>365</v>
      </c>
      <c r="BN429" t="s">
        <v>81</v>
      </c>
      <c r="BO429" t="s">
        <v>366</v>
      </c>
      <c r="BP429" t="s">
        <v>92</v>
      </c>
      <c r="BR429" t="s">
        <v>63</v>
      </c>
      <c r="BT429">
        <v>6.02</v>
      </c>
      <c r="BU429">
        <v>6.0161020000000001</v>
      </c>
      <c r="BV429">
        <v>0.24</v>
      </c>
      <c r="BW429">
        <f>BV429*SQRT(AK429)</f>
        <v>0.67882250993908566</v>
      </c>
      <c r="BX429">
        <v>5.57</v>
      </c>
      <c r="BY429">
        <v>5.5704969999999996</v>
      </c>
      <c r="BZ429">
        <v>0.21</v>
      </c>
      <c r="CA429">
        <f>BZ429*SQRT(AL429)</f>
        <v>0.59396969619669993</v>
      </c>
      <c r="CB429">
        <v>42</v>
      </c>
      <c r="CC429">
        <v>3</v>
      </c>
      <c r="CD429">
        <v>-7.6999999999999999E-2</v>
      </c>
      <c r="CE429">
        <v>3.0000000000000001E-3</v>
      </c>
    </row>
    <row r="430" spans="4:83" hidden="1" x14ac:dyDescent="0.2">
      <c r="D430">
        <v>29</v>
      </c>
      <c r="G430" t="s">
        <v>43</v>
      </c>
      <c r="H430" t="s">
        <v>359</v>
      </c>
      <c r="J430">
        <v>2017</v>
      </c>
      <c r="M430" t="s">
        <v>308</v>
      </c>
      <c r="T430" t="s">
        <v>68</v>
      </c>
      <c r="U430" t="s">
        <v>360</v>
      </c>
      <c r="V430" t="s">
        <v>361</v>
      </c>
      <c r="Z430" t="s">
        <v>49</v>
      </c>
      <c r="AA430" t="s">
        <v>49</v>
      </c>
      <c r="AB430" t="s">
        <v>50</v>
      </c>
      <c r="AC430" t="s">
        <v>51</v>
      </c>
      <c r="AD430" t="s">
        <v>52</v>
      </c>
      <c r="AE430" t="s">
        <v>53</v>
      </c>
      <c r="AF430" t="s">
        <v>52</v>
      </c>
      <c r="AG430" t="s">
        <v>54</v>
      </c>
      <c r="AH430" t="s">
        <v>55</v>
      </c>
      <c r="AK430">
        <v>8</v>
      </c>
      <c r="AL430">
        <v>8</v>
      </c>
      <c r="AN430">
        <v>325</v>
      </c>
      <c r="AO430" t="s">
        <v>56</v>
      </c>
      <c r="AP430" t="s">
        <v>56</v>
      </c>
      <c r="AQ430" t="s">
        <v>57</v>
      </c>
      <c r="AR430">
        <v>8.11</v>
      </c>
      <c r="AS430" t="s">
        <v>56</v>
      </c>
      <c r="AT430" t="s">
        <v>56</v>
      </c>
      <c r="AU430">
        <v>746</v>
      </c>
      <c r="AV430" t="s">
        <v>56</v>
      </c>
      <c r="AW430" t="s">
        <v>56</v>
      </c>
      <c r="AX430">
        <v>7.75</v>
      </c>
      <c r="AY430" t="s">
        <v>56</v>
      </c>
      <c r="AZ430" t="s">
        <v>56</v>
      </c>
      <c r="BB430">
        <f>LOG(AU430)</f>
        <v>2.8727388274726686</v>
      </c>
      <c r="BC430">
        <v>15.4</v>
      </c>
      <c r="BD430" t="s">
        <v>56</v>
      </c>
      <c r="BE430">
        <v>0.7</v>
      </c>
      <c r="BF430">
        <v>15.3</v>
      </c>
      <c r="BG430" t="s">
        <v>56</v>
      </c>
      <c r="BH430" t="s">
        <v>56</v>
      </c>
      <c r="BI430">
        <v>421</v>
      </c>
      <c r="BJ430">
        <v>-0.1</v>
      </c>
      <c r="BK430" t="s">
        <v>56</v>
      </c>
      <c r="BL430" t="s">
        <v>365</v>
      </c>
      <c r="BM430" t="s">
        <v>365</v>
      </c>
      <c r="BN430" t="s">
        <v>81</v>
      </c>
      <c r="BO430" t="s">
        <v>366</v>
      </c>
      <c r="BP430" t="s">
        <v>92</v>
      </c>
      <c r="BR430" t="s">
        <v>63</v>
      </c>
      <c r="BT430">
        <v>6.02</v>
      </c>
      <c r="BU430">
        <v>6.0161020000000001</v>
      </c>
      <c r="BV430">
        <v>0.24</v>
      </c>
      <c r="BW430">
        <f>BV430*SQRT(AK430)</f>
        <v>0.67882250993908566</v>
      </c>
      <c r="BX430">
        <v>5.91</v>
      </c>
      <c r="BY430">
        <v>5.9127685999999997</v>
      </c>
      <c r="BZ430">
        <v>0.16</v>
      </c>
      <c r="CA430">
        <f>BZ430*SQRT(AL430)</f>
        <v>0.45254833995939048</v>
      </c>
      <c r="CB430">
        <v>42</v>
      </c>
      <c r="CC430">
        <v>3</v>
      </c>
      <c r="CD430">
        <v>-1.7000000000000001E-2</v>
      </c>
      <c r="CE430">
        <v>2.3E-3</v>
      </c>
    </row>
    <row r="431" spans="4:83" hidden="1" x14ac:dyDescent="0.2">
      <c r="D431">
        <v>29</v>
      </c>
      <c r="G431" t="s">
        <v>43</v>
      </c>
      <c r="H431" t="s">
        <v>359</v>
      </c>
      <c r="J431">
        <v>2017</v>
      </c>
      <c r="M431" t="s">
        <v>308</v>
      </c>
      <c r="T431" t="s">
        <v>68</v>
      </c>
      <c r="U431" t="s">
        <v>360</v>
      </c>
      <c r="V431" t="s">
        <v>361</v>
      </c>
      <c r="Z431" t="s">
        <v>49</v>
      </c>
      <c r="AA431" t="s">
        <v>49</v>
      </c>
      <c r="AB431" t="s">
        <v>50</v>
      </c>
      <c r="AC431" t="s">
        <v>51</v>
      </c>
      <c r="AD431" t="s">
        <v>52</v>
      </c>
      <c r="AE431" t="s">
        <v>53</v>
      </c>
      <c r="AF431" t="s">
        <v>54</v>
      </c>
      <c r="AG431" t="s">
        <v>52</v>
      </c>
      <c r="AH431" t="s">
        <v>65</v>
      </c>
      <c r="AK431">
        <v>8</v>
      </c>
      <c r="AL431">
        <v>8</v>
      </c>
      <c r="AN431">
        <v>325</v>
      </c>
      <c r="AO431" t="s">
        <v>56</v>
      </c>
      <c r="AP431" t="s">
        <v>56</v>
      </c>
      <c r="AQ431" t="s">
        <v>57</v>
      </c>
      <c r="AR431">
        <v>8.11</v>
      </c>
      <c r="AS431" t="s">
        <v>56</v>
      </c>
      <c r="AT431" t="s">
        <v>56</v>
      </c>
      <c r="AU431">
        <v>335</v>
      </c>
      <c r="AV431" t="s">
        <v>56</v>
      </c>
      <c r="AW431" t="s">
        <v>56</v>
      </c>
      <c r="AX431">
        <v>8.1999999999999993</v>
      </c>
      <c r="AY431" t="s">
        <v>56</v>
      </c>
      <c r="AZ431" t="s">
        <v>56</v>
      </c>
      <c r="BB431">
        <f>LOG(AU431)</f>
        <v>2.5250448070368452</v>
      </c>
      <c r="BC431">
        <v>15.4</v>
      </c>
      <c r="BD431" t="s">
        <v>56</v>
      </c>
      <c r="BE431">
        <v>0.7</v>
      </c>
      <c r="BF431">
        <v>18.2</v>
      </c>
      <c r="BG431" t="s">
        <v>56</v>
      </c>
      <c r="BH431">
        <v>0.2</v>
      </c>
      <c r="BI431">
        <v>10</v>
      </c>
      <c r="BJ431">
        <v>2.8</v>
      </c>
      <c r="BK431" t="s">
        <v>367</v>
      </c>
      <c r="BL431" t="s">
        <v>83</v>
      </c>
      <c r="BM431" t="s">
        <v>83</v>
      </c>
      <c r="BN431" t="s">
        <v>81</v>
      </c>
      <c r="BO431" t="s">
        <v>82</v>
      </c>
      <c r="BP431" t="s">
        <v>83</v>
      </c>
      <c r="BR431" t="s">
        <v>84</v>
      </c>
      <c r="BT431">
        <v>96.7</v>
      </c>
      <c r="BU431">
        <v>96.7</v>
      </c>
      <c r="BV431">
        <v>1.7</v>
      </c>
      <c r="BW431">
        <f>BV431*SQRT(AK431)</f>
        <v>4.8083261120685235</v>
      </c>
      <c r="BX431">
        <v>96.7</v>
      </c>
      <c r="BY431">
        <v>96.7</v>
      </c>
      <c r="BZ431">
        <v>0.7</v>
      </c>
      <c r="CA431">
        <f>BZ431*SQRT(AL431)</f>
        <v>1.9798989873223332</v>
      </c>
      <c r="CB431">
        <v>42</v>
      </c>
      <c r="CC431">
        <v>3</v>
      </c>
      <c r="CD431">
        <v>0</v>
      </c>
      <c r="CE431">
        <v>4.0000000000000002E-4</v>
      </c>
    </row>
    <row r="432" spans="4:83" hidden="1" x14ac:dyDescent="0.2">
      <c r="D432">
        <v>29</v>
      </c>
      <c r="G432" t="s">
        <v>43</v>
      </c>
      <c r="H432" t="s">
        <v>359</v>
      </c>
      <c r="J432">
        <v>2017</v>
      </c>
      <c r="M432" t="s">
        <v>308</v>
      </c>
      <c r="T432" t="s">
        <v>68</v>
      </c>
      <c r="U432" t="s">
        <v>360</v>
      </c>
      <c r="V432" t="s">
        <v>361</v>
      </c>
      <c r="Z432" t="s">
        <v>49</v>
      </c>
      <c r="AA432" t="s">
        <v>49</v>
      </c>
      <c r="AB432" t="s">
        <v>50</v>
      </c>
      <c r="AC432" t="s">
        <v>51</v>
      </c>
      <c r="AD432" t="s">
        <v>52</v>
      </c>
      <c r="AE432" t="s">
        <v>53</v>
      </c>
      <c r="AF432" t="s">
        <v>52</v>
      </c>
      <c r="AG432" t="s">
        <v>54</v>
      </c>
      <c r="AH432" t="s">
        <v>55</v>
      </c>
      <c r="AK432">
        <v>8</v>
      </c>
      <c r="AL432">
        <v>8</v>
      </c>
      <c r="AN432">
        <v>325</v>
      </c>
      <c r="AO432" t="s">
        <v>56</v>
      </c>
      <c r="AP432" t="s">
        <v>56</v>
      </c>
      <c r="AQ432" t="s">
        <v>57</v>
      </c>
      <c r="AR432">
        <v>8.11</v>
      </c>
      <c r="AS432" t="s">
        <v>56</v>
      </c>
      <c r="AT432" t="s">
        <v>56</v>
      </c>
      <c r="AU432">
        <v>746</v>
      </c>
      <c r="AV432" t="s">
        <v>56</v>
      </c>
      <c r="AW432" t="s">
        <v>56</v>
      </c>
      <c r="AX432">
        <v>7.75</v>
      </c>
      <c r="AY432" t="s">
        <v>56</v>
      </c>
      <c r="AZ432" t="s">
        <v>56</v>
      </c>
      <c r="BB432">
        <f>LOG(AU432)</f>
        <v>2.8727388274726686</v>
      </c>
      <c r="BC432">
        <v>15.4</v>
      </c>
      <c r="BD432" t="s">
        <v>56</v>
      </c>
      <c r="BE432">
        <v>0.7</v>
      </c>
      <c r="BF432">
        <v>15.3</v>
      </c>
      <c r="BG432" t="s">
        <v>56</v>
      </c>
      <c r="BH432" t="s">
        <v>56</v>
      </c>
      <c r="BI432">
        <v>421</v>
      </c>
      <c r="BJ432">
        <v>-0.1</v>
      </c>
      <c r="BK432" t="s">
        <v>367</v>
      </c>
      <c r="BL432" t="s">
        <v>83</v>
      </c>
      <c r="BM432" t="s">
        <v>83</v>
      </c>
      <c r="BN432" t="s">
        <v>81</v>
      </c>
      <c r="BO432" t="s">
        <v>82</v>
      </c>
      <c r="BP432" t="s">
        <v>83</v>
      </c>
      <c r="BR432" t="s">
        <v>84</v>
      </c>
      <c r="BT432">
        <v>96.7</v>
      </c>
      <c r="BU432">
        <v>96.7</v>
      </c>
      <c r="BV432">
        <v>1.7</v>
      </c>
      <c r="BW432">
        <f>BV432*SQRT(AK432)</f>
        <v>4.8083261120685235</v>
      </c>
      <c r="BX432">
        <v>99</v>
      </c>
      <c r="BY432">
        <v>99</v>
      </c>
      <c r="BZ432">
        <v>0.7</v>
      </c>
      <c r="CA432">
        <f>BZ432*SQRT(AL432)</f>
        <v>1.9798989873223332</v>
      </c>
      <c r="CB432">
        <v>42</v>
      </c>
      <c r="CC432">
        <v>3</v>
      </c>
      <c r="CD432">
        <v>2.4E-2</v>
      </c>
      <c r="CE432">
        <v>4.0000000000000002E-4</v>
      </c>
    </row>
    <row r="433" spans="4:83" hidden="1" x14ac:dyDescent="0.2">
      <c r="D433">
        <v>29</v>
      </c>
      <c r="G433" t="s">
        <v>43</v>
      </c>
      <c r="H433" t="s">
        <v>359</v>
      </c>
      <c r="J433">
        <v>2017</v>
      </c>
      <c r="M433" t="s">
        <v>308</v>
      </c>
      <c r="T433" t="s">
        <v>68</v>
      </c>
      <c r="U433" t="s">
        <v>360</v>
      </c>
      <c r="V433" t="s">
        <v>361</v>
      </c>
      <c r="Z433" t="s">
        <v>49</v>
      </c>
      <c r="AA433" t="s">
        <v>49</v>
      </c>
      <c r="AB433" t="s">
        <v>50</v>
      </c>
      <c r="AC433" t="s">
        <v>51</v>
      </c>
      <c r="AD433" t="s">
        <v>52</v>
      </c>
      <c r="AE433" t="s">
        <v>53</v>
      </c>
      <c r="AF433" t="s">
        <v>52</v>
      </c>
      <c r="AG433" t="s">
        <v>52</v>
      </c>
      <c r="AH433" t="s">
        <v>64</v>
      </c>
      <c r="AK433">
        <v>8</v>
      </c>
      <c r="AL433">
        <v>8</v>
      </c>
      <c r="AN433">
        <v>325</v>
      </c>
      <c r="AO433" t="s">
        <v>56</v>
      </c>
      <c r="AP433" t="s">
        <v>56</v>
      </c>
      <c r="AQ433" t="s">
        <v>57</v>
      </c>
      <c r="AR433">
        <v>8.11</v>
      </c>
      <c r="AS433" t="s">
        <v>56</v>
      </c>
      <c r="AT433" t="s">
        <v>56</v>
      </c>
      <c r="AU433">
        <v>870</v>
      </c>
      <c r="AV433" t="s">
        <v>56</v>
      </c>
      <c r="AW433" t="s">
        <v>56</v>
      </c>
      <c r="AX433">
        <v>7.82</v>
      </c>
      <c r="AY433" t="s">
        <v>56</v>
      </c>
      <c r="AZ433" t="s">
        <v>56</v>
      </c>
      <c r="BB433">
        <f>LOG(AU433)</f>
        <v>2.9395192526186187</v>
      </c>
      <c r="BC433">
        <v>15.4</v>
      </c>
      <c r="BD433" t="s">
        <v>56</v>
      </c>
      <c r="BE433">
        <v>0.7</v>
      </c>
      <c r="BF433">
        <v>18</v>
      </c>
      <c r="BG433" t="s">
        <v>56</v>
      </c>
      <c r="BH433">
        <v>0.1</v>
      </c>
      <c r="BI433">
        <v>545</v>
      </c>
      <c r="BJ433">
        <v>2.6</v>
      </c>
      <c r="BK433" t="s">
        <v>367</v>
      </c>
      <c r="BL433" t="s">
        <v>83</v>
      </c>
      <c r="BM433" t="s">
        <v>83</v>
      </c>
      <c r="BN433" t="s">
        <v>81</v>
      </c>
      <c r="BO433" t="s">
        <v>82</v>
      </c>
      <c r="BP433" t="s">
        <v>83</v>
      </c>
      <c r="BR433" t="s">
        <v>84</v>
      </c>
      <c r="BT433">
        <v>96.7</v>
      </c>
      <c r="BU433">
        <v>96.7</v>
      </c>
      <c r="BV433">
        <v>1.7</v>
      </c>
      <c r="BW433">
        <f>BV433*SQRT(AK433)</f>
        <v>4.8083261120685235</v>
      </c>
      <c r="BX433">
        <v>99</v>
      </c>
      <c r="BY433">
        <v>99</v>
      </c>
      <c r="BZ433">
        <v>0.7</v>
      </c>
      <c r="CA433">
        <f>BZ433*SQRT(AL433)</f>
        <v>1.9798989873223332</v>
      </c>
      <c r="CB433">
        <v>42</v>
      </c>
      <c r="CC433">
        <v>3</v>
      </c>
      <c r="CD433">
        <v>2.4E-2</v>
      </c>
      <c r="CE433">
        <v>4.0000000000000002E-4</v>
      </c>
    </row>
    <row r="434" spans="4:83" hidden="1" x14ac:dyDescent="0.2">
      <c r="D434">
        <v>29</v>
      </c>
      <c r="G434" t="s">
        <v>43</v>
      </c>
      <c r="H434" t="s">
        <v>359</v>
      </c>
      <c r="J434">
        <v>2017</v>
      </c>
      <c r="M434" t="s">
        <v>308</v>
      </c>
      <c r="T434" t="s">
        <v>68</v>
      </c>
      <c r="U434" t="s">
        <v>360</v>
      </c>
      <c r="V434" t="s">
        <v>361</v>
      </c>
      <c r="Z434" t="s">
        <v>49</v>
      </c>
      <c r="AA434" t="s">
        <v>49</v>
      </c>
      <c r="AB434" t="s">
        <v>50</v>
      </c>
      <c r="AC434" t="s">
        <v>51</v>
      </c>
      <c r="AD434" t="s">
        <v>52</v>
      </c>
      <c r="AE434" t="s">
        <v>53</v>
      </c>
      <c r="AF434" t="s">
        <v>54</v>
      </c>
      <c r="AG434" t="s">
        <v>52</v>
      </c>
      <c r="AH434" t="s">
        <v>65</v>
      </c>
      <c r="AK434">
        <v>8</v>
      </c>
      <c r="AL434">
        <v>8</v>
      </c>
      <c r="AN434">
        <v>325</v>
      </c>
      <c r="AO434" t="s">
        <v>56</v>
      </c>
      <c r="AP434" t="s">
        <v>56</v>
      </c>
      <c r="AQ434" t="s">
        <v>57</v>
      </c>
      <c r="AR434">
        <v>8.11</v>
      </c>
      <c r="AS434" t="s">
        <v>56</v>
      </c>
      <c r="AT434" t="s">
        <v>56</v>
      </c>
      <c r="AU434">
        <v>335</v>
      </c>
      <c r="AV434" t="s">
        <v>56</v>
      </c>
      <c r="AW434" t="s">
        <v>56</v>
      </c>
      <c r="AX434">
        <v>8.1999999999999993</v>
      </c>
      <c r="AY434" t="s">
        <v>56</v>
      </c>
      <c r="AZ434" t="s">
        <v>56</v>
      </c>
      <c r="BB434">
        <f>LOG(AU434)</f>
        <v>2.5250448070368452</v>
      </c>
      <c r="BC434">
        <v>15.4</v>
      </c>
      <c r="BD434" t="s">
        <v>56</v>
      </c>
      <c r="BE434">
        <v>0.7</v>
      </c>
      <c r="BF434">
        <v>18.2</v>
      </c>
      <c r="BG434" t="s">
        <v>56</v>
      </c>
      <c r="BH434">
        <v>0.2</v>
      </c>
      <c r="BI434">
        <v>10</v>
      </c>
      <c r="BJ434">
        <v>2.8</v>
      </c>
      <c r="BK434" t="s">
        <v>56</v>
      </c>
      <c r="BL434" t="s">
        <v>368</v>
      </c>
      <c r="BM434" t="s">
        <v>59</v>
      </c>
      <c r="BN434" t="s">
        <v>60</v>
      </c>
      <c r="BO434" t="s">
        <v>369</v>
      </c>
      <c r="BP434" t="s">
        <v>62</v>
      </c>
      <c r="BR434" t="s">
        <v>63</v>
      </c>
      <c r="BT434">
        <v>25.99</v>
      </c>
      <c r="BU434">
        <v>25.987261</v>
      </c>
      <c r="BV434">
        <v>10.7</v>
      </c>
      <c r="BW434">
        <f>BV434*SQRT(AK434)</f>
        <v>30.264170234784235</v>
      </c>
      <c r="BX434">
        <v>29.81</v>
      </c>
      <c r="BY434">
        <v>29.8089172</v>
      </c>
      <c r="BZ434">
        <v>19.87</v>
      </c>
      <c r="CA434">
        <f>BZ434*SQRT(AL434)</f>
        <v>56.200846968706806</v>
      </c>
      <c r="CB434">
        <v>42</v>
      </c>
      <c r="CC434">
        <v>3</v>
      </c>
      <c r="CD434">
        <v>0.13700000000000001</v>
      </c>
      <c r="CE434">
        <v>0.61399999999999999</v>
      </c>
    </row>
    <row r="435" spans="4:83" hidden="1" x14ac:dyDescent="0.2">
      <c r="D435">
        <v>29</v>
      </c>
      <c r="G435" t="s">
        <v>43</v>
      </c>
      <c r="H435" t="s">
        <v>359</v>
      </c>
      <c r="J435">
        <v>2017</v>
      </c>
      <c r="M435" t="s">
        <v>308</v>
      </c>
      <c r="T435" t="s">
        <v>68</v>
      </c>
      <c r="U435" t="s">
        <v>360</v>
      </c>
      <c r="V435" t="s">
        <v>361</v>
      </c>
      <c r="Z435" t="s">
        <v>49</v>
      </c>
      <c r="AA435" t="s">
        <v>49</v>
      </c>
      <c r="AB435" t="s">
        <v>50</v>
      </c>
      <c r="AC435" t="s">
        <v>51</v>
      </c>
      <c r="AD435" t="s">
        <v>52</v>
      </c>
      <c r="AE435" t="s">
        <v>53</v>
      </c>
      <c r="AF435" t="s">
        <v>52</v>
      </c>
      <c r="AG435" t="s">
        <v>54</v>
      </c>
      <c r="AH435" t="s">
        <v>55</v>
      </c>
      <c r="AK435">
        <v>8</v>
      </c>
      <c r="AL435">
        <v>8</v>
      </c>
      <c r="AN435">
        <v>325</v>
      </c>
      <c r="AO435" t="s">
        <v>56</v>
      </c>
      <c r="AP435" t="s">
        <v>56</v>
      </c>
      <c r="AQ435" t="s">
        <v>57</v>
      </c>
      <c r="AR435">
        <v>8.11</v>
      </c>
      <c r="AS435" t="s">
        <v>56</v>
      </c>
      <c r="AT435" t="s">
        <v>56</v>
      </c>
      <c r="AU435">
        <v>746</v>
      </c>
      <c r="AV435" t="s">
        <v>56</v>
      </c>
      <c r="AW435" t="s">
        <v>56</v>
      </c>
      <c r="AX435">
        <v>7.75</v>
      </c>
      <c r="AY435" t="s">
        <v>56</v>
      </c>
      <c r="AZ435" t="s">
        <v>56</v>
      </c>
      <c r="BB435">
        <f>LOG(AU435)</f>
        <v>2.8727388274726686</v>
      </c>
      <c r="BC435">
        <v>15.4</v>
      </c>
      <c r="BD435" t="s">
        <v>56</v>
      </c>
      <c r="BE435">
        <v>0.7</v>
      </c>
      <c r="BF435">
        <v>15.3</v>
      </c>
      <c r="BG435" t="s">
        <v>56</v>
      </c>
      <c r="BH435" t="s">
        <v>56</v>
      </c>
      <c r="BI435">
        <v>421</v>
      </c>
      <c r="BJ435">
        <v>-0.1</v>
      </c>
      <c r="BK435" t="s">
        <v>56</v>
      </c>
      <c r="BL435" t="s">
        <v>370</v>
      </c>
      <c r="BM435" t="s">
        <v>75</v>
      </c>
      <c r="BN435" t="s">
        <v>60</v>
      </c>
      <c r="BO435" t="s">
        <v>371</v>
      </c>
      <c r="BP435" t="s">
        <v>77</v>
      </c>
      <c r="BR435" t="s">
        <v>63</v>
      </c>
      <c r="BT435">
        <v>0.93</v>
      </c>
      <c r="BU435">
        <v>0.93203899999999995</v>
      </c>
      <c r="BV435">
        <v>0.12</v>
      </c>
      <c r="BW435">
        <f>BV435*SQRT(AK435)</f>
        <v>0.33941125496954283</v>
      </c>
      <c r="BX435">
        <v>1.1200000000000001</v>
      </c>
      <c r="BY435">
        <v>1.1197410999999999</v>
      </c>
      <c r="BZ435">
        <v>0.14000000000000001</v>
      </c>
      <c r="CA435">
        <f>BZ435*SQRT(AL435)</f>
        <v>0.39597979746446665</v>
      </c>
      <c r="CB435">
        <v>42</v>
      </c>
      <c r="CC435">
        <v>3</v>
      </c>
      <c r="CD435">
        <v>0.183</v>
      </c>
      <c r="CE435">
        <v>3.04E-2</v>
      </c>
    </row>
    <row r="436" spans="4:83" hidden="1" x14ac:dyDescent="0.2">
      <c r="D436">
        <v>29</v>
      </c>
      <c r="G436" t="s">
        <v>43</v>
      </c>
      <c r="H436" t="s">
        <v>359</v>
      </c>
      <c r="J436">
        <v>2017</v>
      </c>
      <c r="M436" t="s">
        <v>308</v>
      </c>
      <c r="T436" t="s">
        <v>68</v>
      </c>
      <c r="U436" t="s">
        <v>360</v>
      </c>
      <c r="V436" t="s">
        <v>361</v>
      </c>
      <c r="Z436" t="s">
        <v>49</v>
      </c>
      <c r="AA436" t="s">
        <v>49</v>
      </c>
      <c r="AB436" t="s">
        <v>50</v>
      </c>
      <c r="AC436" t="s">
        <v>51</v>
      </c>
      <c r="AD436" t="s">
        <v>52</v>
      </c>
      <c r="AE436" t="s">
        <v>53</v>
      </c>
      <c r="AF436" t="s">
        <v>52</v>
      </c>
      <c r="AG436" t="s">
        <v>52</v>
      </c>
      <c r="AH436" t="s">
        <v>64</v>
      </c>
      <c r="AK436">
        <v>8</v>
      </c>
      <c r="AL436">
        <v>8</v>
      </c>
      <c r="AN436">
        <v>325</v>
      </c>
      <c r="AO436" t="s">
        <v>56</v>
      </c>
      <c r="AP436" t="s">
        <v>56</v>
      </c>
      <c r="AQ436" t="s">
        <v>57</v>
      </c>
      <c r="AR436">
        <v>8.11</v>
      </c>
      <c r="AS436" t="s">
        <v>56</v>
      </c>
      <c r="AT436" t="s">
        <v>56</v>
      </c>
      <c r="AU436">
        <v>870</v>
      </c>
      <c r="AV436" t="s">
        <v>56</v>
      </c>
      <c r="AW436" t="s">
        <v>56</v>
      </c>
      <c r="AX436">
        <v>7.82</v>
      </c>
      <c r="AY436" t="s">
        <v>56</v>
      </c>
      <c r="AZ436" t="s">
        <v>56</v>
      </c>
      <c r="BB436">
        <f>LOG(AU436)</f>
        <v>2.9395192526186187</v>
      </c>
      <c r="BC436">
        <v>15.4</v>
      </c>
      <c r="BD436" t="s">
        <v>56</v>
      </c>
      <c r="BE436">
        <v>0.7</v>
      </c>
      <c r="BF436">
        <v>18</v>
      </c>
      <c r="BG436" t="s">
        <v>56</v>
      </c>
      <c r="BH436">
        <v>0.1</v>
      </c>
      <c r="BI436">
        <v>545</v>
      </c>
      <c r="BJ436">
        <v>2.6</v>
      </c>
      <c r="BK436" t="s">
        <v>56</v>
      </c>
      <c r="BL436" t="s">
        <v>370</v>
      </c>
      <c r="BM436" t="s">
        <v>75</v>
      </c>
      <c r="BN436" t="s">
        <v>60</v>
      </c>
      <c r="BO436" t="s">
        <v>371</v>
      </c>
      <c r="BP436" t="s">
        <v>77</v>
      </c>
      <c r="BR436" t="s">
        <v>63</v>
      </c>
      <c r="BT436">
        <v>0.93</v>
      </c>
      <c r="BU436">
        <v>0.93203899999999995</v>
      </c>
      <c r="BV436">
        <v>0.12</v>
      </c>
      <c r="BW436">
        <f>BV436*SQRT(AK436)</f>
        <v>0.33941125496954283</v>
      </c>
      <c r="BX436">
        <v>1.61</v>
      </c>
      <c r="BY436">
        <v>1.6116505000000001</v>
      </c>
      <c r="BZ436">
        <v>0.21</v>
      </c>
      <c r="CA436">
        <f>BZ436*SQRT(AL436)</f>
        <v>0.59396969619669993</v>
      </c>
      <c r="CB436">
        <v>42</v>
      </c>
      <c r="CC436">
        <v>3</v>
      </c>
      <c r="CD436">
        <v>0.54800000000000004</v>
      </c>
      <c r="CE436">
        <v>3.2099999999999997E-2</v>
      </c>
    </row>
    <row r="437" spans="4:83" hidden="1" x14ac:dyDescent="0.2">
      <c r="D437">
        <v>29</v>
      </c>
      <c r="G437" t="s">
        <v>43</v>
      </c>
      <c r="H437" t="s">
        <v>359</v>
      </c>
      <c r="J437">
        <v>2017</v>
      </c>
      <c r="M437" t="s">
        <v>308</v>
      </c>
      <c r="T437" t="s">
        <v>68</v>
      </c>
      <c r="U437" t="s">
        <v>360</v>
      </c>
      <c r="V437" t="s">
        <v>361</v>
      </c>
      <c r="Z437" t="s">
        <v>49</v>
      </c>
      <c r="AA437" t="s">
        <v>49</v>
      </c>
      <c r="AB437" t="s">
        <v>50</v>
      </c>
      <c r="AC437" t="s">
        <v>51</v>
      </c>
      <c r="AD437" t="s">
        <v>52</v>
      </c>
      <c r="AE437" t="s">
        <v>53</v>
      </c>
      <c r="AF437" t="s">
        <v>54</v>
      </c>
      <c r="AG437" t="s">
        <v>52</v>
      </c>
      <c r="AH437" t="s">
        <v>65</v>
      </c>
      <c r="AK437">
        <v>8</v>
      </c>
      <c r="AL437">
        <v>8</v>
      </c>
      <c r="AN437">
        <v>325</v>
      </c>
      <c r="AO437" t="s">
        <v>56</v>
      </c>
      <c r="AP437" t="s">
        <v>56</v>
      </c>
      <c r="AQ437" t="s">
        <v>57</v>
      </c>
      <c r="AR437">
        <v>8.11</v>
      </c>
      <c r="AS437" t="s">
        <v>56</v>
      </c>
      <c r="AT437" t="s">
        <v>56</v>
      </c>
      <c r="AU437">
        <v>335</v>
      </c>
      <c r="AV437" t="s">
        <v>56</v>
      </c>
      <c r="AW437" t="s">
        <v>56</v>
      </c>
      <c r="AX437">
        <v>8.1999999999999993</v>
      </c>
      <c r="AY437" t="s">
        <v>56</v>
      </c>
      <c r="AZ437" t="s">
        <v>56</v>
      </c>
      <c r="BB437">
        <f>LOG(AU437)</f>
        <v>2.5250448070368452</v>
      </c>
      <c r="BC437">
        <v>15.4</v>
      </c>
      <c r="BD437" t="s">
        <v>56</v>
      </c>
      <c r="BE437">
        <v>0.7</v>
      </c>
      <c r="BF437">
        <v>18.2</v>
      </c>
      <c r="BG437" t="s">
        <v>56</v>
      </c>
      <c r="BH437">
        <v>0.2</v>
      </c>
      <c r="BI437">
        <v>10</v>
      </c>
      <c r="BJ437">
        <v>2.8</v>
      </c>
      <c r="BK437" t="s">
        <v>56</v>
      </c>
      <c r="BL437" t="s">
        <v>370</v>
      </c>
      <c r="BM437" t="s">
        <v>75</v>
      </c>
      <c r="BN437" t="s">
        <v>60</v>
      </c>
      <c r="BO437" t="s">
        <v>371</v>
      </c>
      <c r="BP437" t="s">
        <v>77</v>
      </c>
      <c r="BR437" t="s">
        <v>63</v>
      </c>
      <c r="BT437">
        <v>0.93</v>
      </c>
      <c r="BU437">
        <v>0.93203899999999995</v>
      </c>
      <c r="BV437">
        <v>0.12</v>
      </c>
      <c r="BW437">
        <f>BV437*SQRT(AK437)</f>
        <v>0.33941125496954283</v>
      </c>
      <c r="BX437">
        <v>1.93</v>
      </c>
      <c r="BY437">
        <v>1.9288026</v>
      </c>
      <c r="BZ437">
        <v>0.17</v>
      </c>
      <c r="CA437">
        <f>BZ437*SQRT(AL437)</f>
        <v>0.48083261120685239</v>
      </c>
      <c r="CB437">
        <v>42</v>
      </c>
      <c r="CC437">
        <v>3</v>
      </c>
      <c r="CD437">
        <v>0.72699999999999998</v>
      </c>
      <c r="CE437">
        <v>2.3199999999999998E-2</v>
      </c>
    </row>
    <row r="438" spans="4:83" hidden="1" x14ac:dyDescent="0.2">
      <c r="D438">
        <v>29</v>
      </c>
      <c r="G438" t="s">
        <v>43</v>
      </c>
      <c r="H438" t="s">
        <v>359</v>
      </c>
      <c r="J438">
        <v>2017</v>
      </c>
      <c r="M438" t="s">
        <v>308</v>
      </c>
      <c r="T438" t="s">
        <v>68</v>
      </c>
      <c r="U438" t="s">
        <v>360</v>
      </c>
      <c r="V438" t="s">
        <v>361</v>
      </c>
      <c r="Z438" t="s">
        <v>49</v>
      </c>
      <c r="AA438" t="s">
        <v>49</v>
      </c>
      <c r="AB438" t="s">
        <v>50</v>
      </c>
      <c r="AC438" t="s">
        <v>51</v>
      </c>
      <c r="AD438" t="s">
        <v>52</v>
      </c>
      <c r="AE438" t="s">
        <v>53</v>
      </c>
      <c r="AF438" t="s">
        <v>54</v>
      </c>
      <c r="AG438" t="s">
        <v>52</v>
      </c>
      <c r="AH438" t="s">
        <v>65</v>
      </c>
      <c r="AK438">
        <v>8</v>
      </c>
      <c r="AL438">
        <v>8</v>
      </c>
      <c r="AM438" t="s">
        <v>364</v>
      </c>
      <c r="AN438">
        <v>325</v>
      </c>
      <c r="AO438" t="s">
        <v>56</v>
      </c>
      <c r="AP438" t="s">
        <v>56</v>
      </c>
      <c r="AQ438" t="s">
        <v>57</v>
      </c>
      <c r="AR438">
        <v>8.11</v>
      </c>
      <c r="AS438" t="s">
        <v>56</v>
      </c>
      <c r="AT438" t="s">
        <v>56</v>
      </c>
      <c r="AU438">
        <v>335</v>
      </c>
      <c r="AV438" t="s">
        <v>56</v>
      </c>
      <c r="AW438" t="s">
        <v>56</v>
      </c>
      <c r="AX438">
        <v>8.1999999999999993</v>
      </c>
      <c r="AY438" t="s">
        <v>56</v>
      </c>
      <c r="AZ438" t="s">
        <v>56</v>
      </c>
      <c r="BB438">
        <f>LOG(AU438)</f>
        <v>2.5250448070368452</v>
      </c>
      <c r="BC438">
        <v>15.4</v>
      </c>
      <c r="BD438" t="s">
        <v>56</v>
      </c>
      <c r="BE438">
        <v>0.7</v>
      </c>
      <c r="BF438">
        <v>18.2</v>
      </c>
      <c r="BG438" t="s">
        <v>56</v>
      </c>
      <c r="BH438">
        <v>0.2</v>
      </c>
      <c r="BI438">
        <v>10</v>
      </c>
      <c r="BJ438">
        <v>2.8</v>
      </c>
      <c r="BK438" t="s">
        <v>56</v>
      </c>
      <c r="BL438" t="s">
        <v>362</v>
      </c>
      <c r="BM438" t="s">
        <v>232</v>
      </c>
      <c r="BN438" t="s">
        <v>81</v>
      </c>
      <c r="BO438" t="s">
        <v>363</v>
      </c>
      <c r="BP438" t="s">
        <v>234</v>
      </c>
      <c r="BR438" t="s">
        <v>63</v>
      </c>
      <c r="BT438">
        <v>-2.19</v>
      </c>
      <c r="BU438">
        <v>-2.189781</v>
      </c>
      <c r="BV438">
        <v>0.13</v>
      </c>
      <c r="BW438">
        <f>BV438*SQRT(AK438)</f>
        <v>0.36769552621700474</v>
      </c>
      <c r="BX438">
        <v>-1.02</v>
      </c>
      <c r="BY438">
        <v>-1.0218978000000001</v>
      </c>
      <c r="BZ438">
        <v>0.15</v>
      </c>
      <c r="CA438">
        <f>BZ438*SQRT(AL438)</f>
        <v>0.42426406871192851</v>
      </c>
      <c r="CB438">
        <v>42</v>
      </c>
      <c r="CC438">
        <v>3</v>
      </c>
      <c r="CD438">
        <v>0.76200000000000001</v>
      </c>
      <c r="CE438">
        <v>2.5100000000000001E-2</v>
      </c>
    </row>
    <row r="439" spans="4:83" hidden="1" x14ac:dyDescent="0.2">
      <c r="D439">
        <v>29</v>
      </c>
      <c r="G439" t="s">
        <v>43</v>
      </c>
      <c r="H439" t="s">
        <v>359</v>
      </c>
      <c r="J439">
        <v>2017</v>
      </c>
      <c r="M439" t="s">
        <v>308</v>
      </c>
      <c r="T439" t="s">
        <v>68</v>
      </c>
      <c r="U439" t="s">
        <v>360</v>
      </c>
      <c r="V439" t="s">
        <v>361</v>
      </c>
      <c r="Z439" t="s">
        <v>49</v>
      </c>
      <c r="AA439" t="s">
        <v>49</v>
      </c>
      <c r="AB439" t="s">
        <v>50</v>
      </c>
      <c r="AC439" t="s">
        <v>51</v>
      </c>
      <c r="AD439" t="s">
        <v>52</v>
      </c>
      <c r="AE439" t="s">
        <v>53</v>
      </c>
      <c r="AF439" t="s">
        <v>52</v>
      </c>
      <c r="AG439" t="s">
        <v>54</v>
      </c>
      <c r="AH439" t="s">
        <v>55</v>
      </c>
      <c r="AK439">
        <v>8</v>
      </c>
      <c r="AL439">
        <v>8</v>
      </c>
      <c r="AN439">
        <v>325</v>
      </c>
      <c r="AO439" t="s">
        <v>56</v>
      </c>
      <c r="AP439" t="s">
        <v>56</v>
      </c>
      <c r="AQ439" t="s">
        <v>57</v>
      </c>
      <c r="AR439">
        <v>8.11</v>
      </c>
      <c r="AS439" t="s">
        <v>56</v>
      </c>
      <c r="AT439" t="s">
        <v>56</v>
      </c>
      <c r="AU439">
        <v>746</v>
      </c>
      <c r="AV439" t="s">
        <v>56</v>
      </c>
      <c r="AW439" t="s">
        <v>56</v>
      </c>
      <c r="AX439">
        <v>7.75</v>
      </c>
      <c r="AY439" t="s">
        <v>56</v>
      </c>
      <c r="AZ439" t="s">
        <v>56</v>
      </c>
      <c r="BB439">
        <f>LOG(AU439)</f>
        <v>2.8727388274726686</v>
      </c>
      <c r="BC439">
        <v>15.4</v>
      </c>
      <c r="BD439" t="s">
        <v>56</v>
      </c>
      <c r="BE439">
        <v>0.7</v>
      </c>
      <c r="BF439">
        <v>15.3</v>
      </c>
      <c r="BG439" t="s">
        <v>56</v>
      </c>
      <c r="BH439" t="s">
        <v>56</v>
      </c>
      <c r="BI439">
        <v>421</v>
      </c>
      <c r="BJ439">
        <v>-0.1</v>
      </c>
      <c r="BK439" t="s">
        <v>56</v>
      </c>
      <c r="BL439" t="s">
        <v>368</v>
      </c>
      <c r="BM439" t="s">
        <v>59</v>
      </c>
      <c r="BN439" t="s">
        <v>60</v>
      </c>
      <c r="BO439" t="s">
        <v>369</v>
      </c>
      <c r="BP439" t="s">
        <v>62</v>
      </c>
      <c r="BR439" t="s">
        <v>63</v>
      </c>
      <c r="BT439">
        <v>25.99</v>
      </c>
      <c r="BU439">
        <v>25.987261</v>
      </c>
      <c r="BV439">
        <v>10.7</v>
      </c>
      <c r="BW439">
        <f>BV439*SQRT(AK439)</f>
        <v>30.264170234784235</v>
      </c>
      <c r="BX439">
        <v>58.85</v>
      </c>
      <c r="BY439">
        <v>58.853503199999999</v>
      </c>
      <c r="BZ439">
        <v>10.7</v>
      </c>
      <c r="CA439">
        <f>BZ439*SQRT(AL439)</f>
        <v>30.264170234784235</v>
      </c>
      <c r="CB439">
        <v>42</v>
      </c>
      <c r="CC439">
        <v>3</v>
      </c>
      <c r="CD439">
        <v>0.81699999999999995</v>
      </c>
      <c r="CE439">
        <v>0.2026</v>
      </c>
    </row>
    <row r="440" spans="4:83" hidden="1" x14ac:dyDescent="0.2">
      <c r="D440">
        <v>29</v>
      </c>
      <c r="G440" t="s">
        <v>43</v>
      </c>
      <c r="H440" t="s">
        <v>359</v>
      </c>
      <c r="J440">
        <v>2017</v>
      </c>
      <c r="M440" t="s">
        <v>308</v>
      </c>
      <c r="T440" t="s">
        <v>68</v>
      </c>
      <c r="U440" t="s">
        <v>360</v>
      </c>
      <c r="V440" t="s">
        <v>361</v>
      </c>
      <c r="Z440" t="s">
        <v>49</v>
      </c>
      <c r="AA440" t="s">
        <v>49</v>
      </c>
      <c r="AB440" t="s">
        <v>50</v>
      </c>
      <c r="AC440" t="s">
        <v>51</v>
      </c>
      <c r="AD440" t="s">
        <v>52</v>
      </c>
      <c r="AE440" t="s">
        <v>53</v>
      </c>
      <c r="AF440" t="s">
        <v>52</v>
      </c>
      <c r="AG440" t="s">
        <v>52</v>
      </c>
      <c r="AH440" t="s">
        <v>64</v>
      </c>
      <c r="AK440">
        <v>8</v>
      </c>
      <c r="AL440">
        <v>8</v>
      </c>
      <c r="AN440">
        <v>325</v>
      </c>
      <c r="AO440" t="s">
        <v>56</v>
      </c>
      <c r="AP440" t="s">
        <v>56</v>
      </c>
      <c r="AQ440" t="s">
        <v>57</v>
      </c>
      <c r="AR440">
        <v>8.11</v>
      </c>
      <c r="AS440" t="s">
        <v>56</v>
      </c>
      <c r="AT440" t="s">
        <v>56</v>
      </c>
      <c r="AU440">
        <v>870</v>
      </c>
      <c r="AV440" t="s">
        <v>56</v>
      </c>
      <c r="AW440" t="s">
        <v>56</v>
      </c>
      <c r="AX440">
        <v>7.82</v>
      </c>
      <c r="AY440" t="s">
        <v>56</v>
      </c>
      <c r="AZ440" t="s">
        <v>56</v>
      </c>
      <c r="BB440">
        <f>LOG(AU440)</f>
        <v>2.9395192526186187</v>
      </c>
      <c r="BC440">
        <v>15.4</v>
      </c>
      <c r="BD440" t="s">
        <v>56</v>
      </c>
      <c r="BE440">
        <v>0.7</v>
      </c>
      <c r="BF440">
        <v>18</v>
      </c>
      <c r="BG440" t="s">
        <v>56</v>
      </c>
      <c r="BH440">
        <v>0.1</v>
      </c>
      <c r="BI440">
        <v>545</v>
      </c>
      <c r="BJ440">
        <v>2.6</v>
      </c>
      <c r="BK440" t="s">
        <v>56</v>
      </c>
      <c r="BL440" t="s">
        <v>368</v>
      </c>
      <c r="BM440" t="s">
        <v>59</v>
      </c>
      <c r="BN440" t="s">
        <v>60</v>
      </c>
      <c r="BO440" t="s">
        <v>369</v>
      </c>
      <c r="BP440" t="s">
        <v>62</v>
      </c>
      <c r="BR440" t="s">
        <v>63</v>
      </c>
      <c r="BT440">
        <v>25.99</v>
      </c>
      <c r="BU440">
        <v>25.987261</v>
      </c>
      <c r="BV440">
        <v>10.7</v>
      </c>
      <c r="BW440">
        <f>BV440*SQRT(AK440)</f>
        <v>30.264170234784235</v>
      </c>
      <c r="BX440">
        <v>85.61</v>
      </c>
      <c r="BY440">
        <v>85.605095500000004</v>
      </c>
      <c r="BZ440">
        <v>35.54</v>
      </c>
      <c r="CA440">
        <f>BZ440*SQRT(AL440)</f>
        <v>100.52230001347959</v>
      </c>
      <c r="CB440">
        <v>42</v>
      </c>
      <c r="CC440">
        <v>3</v>
      </c>
      <c r="CD440">
        <v>1.1919999999999999</v>
      </c>
      <c r="CE440">
        <v>0.34189999999999998</v>
      </c>
    </row>
    <row r="441" spans="4:83" hidden="1" x14ac:dyDescent="0.2">
      <c r="D441">
        <v>30</v>
      </c>
      <c r="G441" t="s">
        <v>43</v>
      </c>
      <c r="H441" t="s">
        <v>372</v>
      </c>
      <c r="J441">
        <v>2011</v>
      </c>
      <c r="M441" t="s">
        <v>116</v>
      </c>
      <c r="T441" t="s">
        <v>373</v>
      </c>
      <c r="U441" t="s">
        <v>374</v>
      </c>
      <c r="V441" t="s">
        <v>375</v>
      </c>
      <c r="Z441" t="s">
        <v>49</v>
      </c>
      <c r="AA441" t="s">
        <v>49</v>
      </c>
      <c r="AB441" t="s">
        <v>50</v>
      </c>
      <c r="AC441" t="s">
        <v>51</v>
      </c>
      <c r="AD441" t="s">
        <v>52</v>
      </c>
      <c r="AE441" t="s">
        <v>53</v>
      </c>
      <c r="AF441" t="s">
        <v>52</v>
      </c>
      <c r="AG441" t="s">
        <v>52</v>
      </c>
      <c r="AH441" t="s">
        <v>64</v>
      </c>
      <c r="AK441">
        <v>19</v>
      </c>
      <c r="AL441">
        <v>19</v>
      </c>
      <c r="AN441">
        <v>402</v>
      </c>
      <c r="AO441">
        <v>3</v>
      </c>
      <c r="AP441" t="s">
        <v>56</v>
      </c>
      <c r="AQ441" t="s">
        <v>57</v>
      </c>
      <c r="AR441">
        <v>8.2100000000000009</v>
      </c>
      <c r="AS441">
        <v>0</v>
      </c>
      <c r="AT441" t="s">
        <v>56</v>
      </c>
      <c r="AU441">
        <v>2199</v>
      </c>
      <c r="AV441">
        <v>33</v>
      </c>
      <c r="AW441" t="s">
        <v>56</v>
      </c>
      <c r="AX441">
        <v>7.68</v>
      </c>
      <c r="AY441">
        <v>0.01</v>
      </c>
      <c r="AZ441" t="s">
        <v>56</v>
      </c>
      <c r="BB441">
        <f>LOG(AU441)</f>
        <v>3.3422252293607904</v>
      </c>
      <c r="BC441">
        <v>15</v>
      </c>
      <c r="BD441">
        <v>0</v>
      </c>
      <c r="BE441" t="s">
        <v>56</v>
      </c>
      <c r="BF441">
        <v>22.1</v>
      </c>
      <c r="BG441">
        <v>0</v>
      </c>
      <c r="BH441" t="s">
        <v>56</v>
      </c>
      <c r="BI441">
        <v>1797</v>
      </c>
      <c r="BJ441">
        <v>7.1</v>
      </c>
      <c r="BK441" t="s">
        <v>376</v>
      </c>
      <c r="BL441" t="s">
        <v>377</v>
      </c>
      <c r="BM441" t="s">
        <v>262</v>
      </c>
      <c r="BN441" t="s">
        <v>81</v>
      </c>
      <c r="BO441" t="s">
        <v>56</v>
      </c>
      <c r="BP441" t="s">
        <v>92</v>
      </c>
      <c r="BR441" t="s">
        <v>63</v>
      </c>
      <c r="BT441">
        <v>0.04</v>
      </c>
      <c r="BU441">
        <v>3.7741999999999998E-2</v>
      </c>
      <c r="BV441">
        <v>0</v>
      </c>
      <c r="BW441">
        <f>BV441*SQRT(AK441)</f>
        <v>0</v>
      </c>
      <c r="BX441">
        <v>0</v>
      </c>
      <c r="BY441">
        <v>4.8300000000000001E-3</v>
      </c>
      <c r="BZ441">
        <v>0</v>
      </c>
      <c r="CA441">
        <f>BZ441*SQRT(AL441)</f>
        <v>0</v>
      </c>
      <c r="CB441">
        <v>15</v>
      </c>
      <c r="CC441">
        <v>5</v>
      </c>
      <c r="CD441">
        <v>-2.056</v>
      </c>
      <c r="CE441">
        <v>2.4199999999999999E-2</v>
      </c>
    </row>
    <row r="442" spans="4:83" hidden="1" x14ac:dyDescent="0.2">
      <c r="D442">
        <v>30</v>
      </c>
      <c r="G442" t="s">
        <v>43</v>
      </c>
      <c r="H442" t="s">
        <v>372</v>
      </c>
      <c r="J442">
        <v>2011</v>
      </c>
      <c r="M442" t="s">
        <v>116</v>
      </c>
      <c r="T442" t="s">
        <v>373</v>
      </c>
      <c r="U442" t="s">
        <v>374</v>
      </c>
      <c r="V442" t="s">
        <v>375</v>
      </c>
      <c r="Z442" t="s">
        <v>49</v>
      </c>
      <c r="AA442" t="s">
        <v>49</v>
      </c>
      <c r="AB442" t="s">
        <v>50</v>
      </c>
      <c r="AC442" t="s">
        <v>51</v>
      </c>
      <c r="AD442" t="s">
        <v>52</v>
      </c>
      <c r="AE442" t="s">
        <v>53</v>
      </c>
      <c r="AF442" t="s">
        <v>54</v>
      </c>
      <c r="AG442" t="s">
        <v>52</v>
      </c>
      <c r="AH442" t="s">
        <v>65</v>
      </c>
      <c r="AK442">
        <v>19</v>
      </c>
      <c r="AL442">
        <v>19</v>
      </c>
      <c r="AN442">
        <v>402</v>
      </c>
      <c r="AO442">
        <v>3</v>
      </c>
      <c r="AP442" t="s">
        <v>56</v>
      </c>
      <c r="AQ442" t="s">
        <v>57</v>
      </c>
      <c r="AR442">
        <v>8.2100000000000009</v>
      </c>
      <c r="AS442">
        <v>0</v>
      </c>
      <c r="AT442" t="s">
        <v>56</v>
      </c>
      <c r="AU442">
        <v>379</v>
      </c>
      <c r="AV442">
        <v>18</v>
      </c>
      <c r="AW442" t="s">
        <v>56</v>
      </c>
      <c r="AX442">
        <v>8.34</v>
      </c>
      <c r="AY442">
        <v>0</v>
      </c>
      <c r="AZ442" t="s">
        <v>56</v>
      </c>
      <c r="BB442">
        <f>LOG(AU442)</f>
        <v>2.5786392099680722</v>
      </c>
      <c r="BC442">
        <v>15</v>
      </c>
      <c r="BD442">
        <v>0</v>
      </c>
      <c r="BE442" t="s">
        <v>56</v>
      </c>
      <c r="BF442">
        <v>22.1</v>
      </c>
      <c r="BG442">
        <v>0</v>
      </c>
      <c r="BH442" t="s">
        <v>56</v>
      </c>
      <c r="BI442">
        <v>-23</v>
      </c>
      <c r="BJ442">
        <v>7.1</v>
      </c>
      <c r="BK442" t="s">
        <v>376</v>
      </c>
      <c r="BL442" t="s">
        <v>377</v>
      </c>
      <c r="BM442" t="s">
        <v>262</v>
      </c>
      <c r="BN442" t="s">
        <v>81</v>
      </c>
      <c r="BO442" t="s">
        <v>56</v>
      </c>
      <c r="BP442" t="s">
        <v>92</v>
      </c>
      <c r="BR442" t="s">
        <v>63</v>
      </c>
      <c r="BT442">
        <v>0.04</v>
      </c>
      <c r="BU442">
        <v>3.7741999999999998E-2</v>
      </c>
      <c r="BV442">
        <v>0</v>
      </c>
      <c r="BW442">
        <f>BV442*SQRT(AK442)</f>
        <v>0</v>
      </c>
      <c r="BX442">
        <v>0.01</v>
      </c>
      <c r="BY442">
        <v>5.5640000000000004E-3</v>
      </c>
      <c r="BZ442">
        <v>0</v>
      </c>
      <c r="CA442">
        <f>BZ442*SQRT(AL442)</f>
        <v>0</v>
      </c>
      <c r="CB442">
        <v>15</v>
      </c>
      <c r="CC442">
        <v>5</v>
      </c>
      <c r="CD442">
        <v>-1.9139999999999999</v>
      </c>
      <c r="CE442">
        <v>3.1399999999999997E-2</v>
      </c>
    </row>
    <row r="443" spans="4:83" hidden="1" x14ac:dyDescent="0.2">
      <c r="D443">
        <v>30</v>
      </c>
      <c r="G443" t="s">
        <v>43</v>
      </c>
      <c r="H443" t="s">
        <v>372</v>
      </c>
      <c r="J443">
        <v>2011</v>
      </c>
      <c r="M443" t="s">
        <v>116</v>
      </c>
      <c r="T443" t="s">
        <v>373</v>
      </c>
      <c r="U443" t="s">
        <v>374</v>
      </c>
      <c r="V443" t="s">
        <v>375</v>
      </c>
      <c r="Z443" t="s">
        <v>49</v>
      </c>
      <c r="AA443" t="s">
        <v>49</v>
      </c>
      <c r="AB443" t="s">
        <v>50</v>
      </c>
      <c r="AC443" t="s">
        <v>51</v>
      </c>
      <c r="AD443" t="s">
        <v>52</v>
      </c>
      <c r="AE443" t="s">
        <v>53</v>
      </c>
      <c r="AF443" t="s">
        <v>54</v>
      </c>
      <c r="AG443" t="s">
        <v>52</v>
      </c>
      <c r="AH443" t="s">
        <v>65</v>
      </c>
      <c r="AK443">
        <v>19</v>
      </c>
      <c r="AL443">
        <v>19</v>
      </c>
      <c r="AN443">
        <v>402</v>
      </c>
      <c r="AO443">
        <v>3</v>
      </c>
      <c r="AP443" t="s">
        <v>56</v>
      </c>
      <c r="AQ443" t="s">
        <v>57</v>
      </c>
      <c r="AR443">
        <v>8.2100000000000009</v>
      </c>
      <c r="AS443">
        <v>0</v>
      </c>
      <c r="AT443" t="s">
        <v>56</v>
      </c>
      <c r="AU443">
        <v>379</v>
      </c>
      <c r="AV443">
        <v>18</v>
      </c>
      <c r="AW443" t="s">
        <v>56</v>
      </c>
      <c r="AX443">
        <v>8.34</v>
      </c>
      <c r="AY443">
        <v>0</v>
      </c>
      <c r="AZ443" t="s">
        <v>56</v>
      </c>
      <c r="BB443">
        <f>LOG(AU443)</f>
        <v>2.5786392099680722</v>
      </c>
      <c r="BC443">
        <v>15</v>
      </c>
      <c r="BD443">
        <v>0</v>
      </c>
      <c r="BE443" t="s">
        <v>56</v>
      </c>
      <c r="BF443">
        <v>22.1</v>
      </c>
      <c r="BG443">
        <v>0</v>
      </c>
      <c r="BH443" t="s">
        <v>56</v>
      </c>
      <c r="BI443">
        <v>-23</v>
      </c>
      <c r="BJ443">
        <v>7.1</v>
      </c>
      <c r="BK443" t="s">
        <v>376</v>
      </c>
      <c r="BL443" t="s">
        <v>378</v>
      </c>
      <c r="BM443" t="s">
        <v>365</v>
      </c>
      <c r="BN443" t="s">
        <v>81</v>
      </c>
      <c r="BO443" t="s">
        <v>56</v>
      </c>
      <c r="BP443" t="s">
        <v>92</v>
      </c>
      <c r="BR443" t="s">
        <v>63</v>
      </c>
      <c r="BT443">
        <v>0.68</v>
      </c>
      <c r="BU443">
        <v>0.68</v>
      </c>
      <c r="BV443">
        <v>0.01</v>
      </c>
      <c r="BW443">
        <f>BV443*SQRT(AK443)</f>
        <v>4.358898943540674E-2</v>
      </c>
      <c r="BX443">
        <v>0.21</v>
      </c>
      <c r="BY443">
        <v>0.207258</v>
      </c>
      <c r="BZ443">
        <v>0.01</v>
      </c>
      <c r="CA443">
        <f>BZ443*SQRT(AL443)</f>
        <v>4.358898943540674E-2</v>
      </c>
      <c r="CB443">
        <v>15</v>
      </c>
      <c r="CC443">
        <v>5</v>
      </c>
      <c r="CD443">
        <v>-1.1879999999999999</v>
      </c>
      <c r="CE443">
        <v>3.7000000000000002E-3</v>
      </c>
    </row>
    <row r="444" spans="4:83" hidden="1" x14ac:dyDescent="0.2">
      <c r="D444">
        <v>30</v>
      </c>
      <c r="G444" t="s">
        <v>43</v>
      </c>
      <c r="H444" t="s">
        <v>372</v>
      </c>
      <c r="J444">
        <v>2011</v>
      </c>
      <c r="M444" t="s">
        <v>116</v>
      </c>
      <c r="T444" t="s">
        <v>373</v>
      </c>
      <c r="U444" t="s">
        <v>374</v>
      </c>
      <c r="V444" t="s">
        <v>375</v>
      </c>
      <c r="Z444" t="s">
        <v>49</v>
      </c>
      <c r="AA444" t="s">
        <v>49</v>
      </c>
      <c r="AB444" t="s">
        <v>50</v>
      </c>
      <c r="AC444" t="s">
        <v>51</v>
      </c>
      <c r="AD444" t="s">
        <v>52</v>
      </c>
      <c r="AE444" t="s">
        <v>53</v>
      </c>
      <c r="AF444" t="s">
        <v>52</v>
      </c>
      <c r="AG444" t="s">
        <v>52</v>
      </c>
      <c r="AH444" t="s">
        <v>64</v>
      </c>
      <c r="AK444">
        <v>19</v>
      </c>
      <c r="AL444">
        <v>19</v>
      </c>
      <c r="AN444">
        <v>402</v>
      </c>
      <c r="AO444">
        <v>3</v>
      </c>
      <c r="AP444" t="s">
        <v>56</v>
      </c>
      <c r="AQ444" t="s">
        <v>57</v>
      </c>
      <c r="AR444">
        <v>8.2100000000000009</v>
      </c>
      <c r="AS444">
        <v>0</v>
      </c>
      <c r="AT444" t="s">
        <v>56</v>
      </c>
      <c r="AU444">
        <v>2199</v>
      </c>
      <c r="AV444">
        <v>33</v>
      </c>
      <c r="AW444" t="s">
        <v>56</v>
      </c>
      <c r="AX444">
        <v>7.68</v>
      </c>
      <c r="AY444">
        <v>0.01</v>
      </c>
      <c r="AZ444" t="s">
        <v>56</v>
      </c>
      <c r="BB444">
        <f>LOG(AU444)</f>
        <v>3.3422252293607904</v>
      </c>
      <c r="BC444">
        <v>15</v>
      </c>
      <c r="BD444">
        <v>0</v>
      </c>
      <c r="BE444" t="s">
        <v>56</v>
      </c>
      <c r="BF444">
        <v>22.1</v>
      </c>
      <c r="BG444">
        <v>0</v>
      </c>
      <c r="BH444" t="s">
        <v>56</v>
      </c>
      <c r="BI444">
        <v>1797</v>
      </c>
      <c r="BJ444">
        <v>7.1</v>
      </c>
      <c r="BK444" t="s">
        <v>376</v>
      </c>
      <c r="BL444" t="s">
        <v>378</v>
      </c>
      <c r="BM444" t="s">
        <v>365</v>
      </c>
      <c r="BN444" t="s">
        <v>81</v>
      </c>
      <c r="BO444" t="s">
        <v>56</v>
      </c>
      <c r="BP444" t="s">
        <v>92</v>
      </c>
      <c r="BR444" t="s">
        <v>63</v>
      </c>
      <c r="BT444">
        <v>0.68</v>
      </c>
      <c r="BU444">
        <v>0.68</v>
      </c>
      <c r="BV444">
        <v>0.01</v>
      </c>
      <c r="BW444">
        <f>BV444*SQRT(AK444)</f>
        <v>4.358898943540674E-2</v>
      </c>
      <c r="BX444">
        <v>0.21</v>
      </c>
      <c r="BY444">
        <v>0.207258</v>
      </c>
      <c r="BZ444">
        <v>0.01</v>
      </c>
      <c r="CA444">
        <f>BZ444*SQRT(AL444)</f>
        <v>4.358898943540674E-2</v>
      </c>
      <c r="CB444">
        <v>15</v>
      </c>
      <c r="CC444">
        <v>5</v>
      </c>
      <c r="CD444">
        <v>-1.1879999999999999</v>
      </c>
      <c r="CE444">
        <v>2.3999999999999998E-3</v>
      </c>
    </row>
    <row r="445" spans="4:83" hidden="1" x14ac:dyDescent="0.2">
      <c r="D445">
        <v>30</v>
      </c>
      <c r="G445" t="s">
        <v>43</v>
      </c>
      <c r="H445" t="s">
        <v>372</v>
      </c>
      <c r="J445">
        <v>2011</v>
      </c>
      <c r="M445" t="s">
        <v>116</v>
      </c>
      <c r="T445" t="s">
        <v>373</v>
      </c>
      <c r="U445" t="s">
        <v>374</v>
      </c>
      <c r="V445" t="s">
        <v>375</v>
      </c>
      <c r="Z445" t="s">
        <v>49</v>
      </c>
      <c r="AA445" t="s">
        <v>49</v>
      </c>
      <c r="AB445" t="s">
        <v>50</v>
      </c>
      <c r="AC445" t="s">
        <v>51</v>
      </c>
      <c r="AD445" t="s">
        <v>52</v>
      </c>
      <c r="AE445" t="s">
        <v>53</v>
      </c>
      <c r="AF445" t="s">
        <v>52</v>
      </c>
      <c r="AG445" t="s">
        <v>52</v>
      </c>
      <c r="AH445" t="s">
        <v>64</v>
      </c>
      <c r="AK445">
        <v>19</v>
      </c>
      <c r="AL445">
        <v>19</v>
      </c>
      <c r="AN445">
        <v>402</v>
      </c>
      <c r="AO445">
        <v>3</v>
      </c>
      <c r="AP445" t="s">
        <v>56</v>
      </c>
      <c r="AQ445" t="s">
        <v>57</v>
      </c>
      <c r="AR445">
        <v>8.2100000000000009</v>
      </c>
      <c r="AS445">
        <v>0</v>
      </c>
      <c r="AT445" t="s">
        <v>56</v>
      </c>
      <c r="AU445">
        <v>3088</v>
      </c>
      <c r="AV445">
        <v>33</v>
      </c>
      <c r="AW445" t="s">
        <v>56</v>
      </c>
      <c r="AX445">
        <v>7.41</v>
      </c>
      <c r="AY445">
        <v>0</v>
      </c>
      <c r="AZ445" t="s">
        <v>56</v>
      </c>
      <c r="BB445">
        <f>LOG(AU445)</f>
        <v>3.4896772916636984</v>
      </c>
      <c r="BC445">
        <v>15</v>
      </c>
      <c r="BD445">
        <v>0</v>
      </c>
      <c r="BE445" t="s">
        <v>56</v>
      </c>
      <c r="BF445">
        <v>22.4</v>
      </c>
      <c r="BG445">
        <v>0</v>
      </c>
      <c r="BH445" t="s">
        <v>56</v>
      </c>
      <c r="BI445">
        <v>2686</v>
      </c>
      <c r="BJ445">
        <v>7.4</v>
      </c>
      <c r="BK445" t="s">
        <v>376</v>
      </c>
      <c r="BL445" t="s">
        <v>377</v>
      </c>
      <c r="BM445" t="s">
        <v>262</v>
      </c>
      <c r="BN445" t="s">
        <v>81</v>
      </c>
      <c r="BO445" t="s">
        <v>56</v>
      </c>
      <c r="BP445" t="s">
        <v>92</v>
      </c>
      <c r="BR445" t="s">
        <v>63</v>
      </c>
      <c r="BT445">
        <v>0.04</v>
      </c>
      <c r="BU445">
        <v>3.7741999999999998E-2</v>
      </c>
      <c r="BV445">
        <v>0</v>
      </c>
      <c r="BW445">
        <f>BV445*SQRT(AK445)</f>
        <v>0</v>
      </c>
      <c r="BX445">
        <v>0.01</v>
      </c>
      <c r="BY445">
        <v>1.23E-2</v>
      </c>
      <c r="BZ445">
        <v>0</v>
      </c>
      <c r="CA445">
        <f>BZ445*SQRT(AL445)</f>
        <v>0</v>
      </c>
      <c r="CB445">
        <v>15</v>
      </c>
      <c r="CC445">
        <v>5</v>
      </c>
      <c r="CD445">
        <v>-1.121</v>
      </c>
      <c r="CE445">
        <v>7.6E-3</v>
      </c>
    </row>
    <row r="446" spans="4:83" hidden="1" x14ac:dyDescent="0.2">
      <c r="D446">
        <v>30</v>
      </c>
      <c r="G446" t="s">
        <v>43</v>
      </c>
      <c r="H446" t="s">
        <v>372</v>
      </c>
      <c r="J446">
        <v>2011</v>
      </c>
      <c r="M446" t="s">
        <v>116</v>
      </c>
      <c r="T446" t="s">
        <v>373</v>
      </c>
      <c r="U446" t="s">
        <v>374</v>
      </c>
      <c r="V446" t="s">
        <v>375</v>
      </c>
      <c r="Z446" t="s">
        <v>49</v>
      </c>
      <c r="AA446" t="s">
        <v>49</v>
      </c>
      <c r="AB446" t="s">
        <v>50</v>
      </c>
      <c r="AC446" t="s">
        <v>51</v>
      </c>
      <c r="AD446" t="s">
        <v>52</v>
      </c>
      <c r="AE446" t="s">
        <v>53</v>
      </c>
      <c r="AF446" t="s">
        <v>52</v>
      </c>
      <c r="AG446" t="s">
        <v>52</v>
      </c>
      <c r="AH446" t="s">
        <v>64</v>
      </c>
      <c r="AK446">
        <v>19</v>
      </c>
      <c r="AL446">
        <v>19</v>
      </c>
      <c r="AN446">
        <v>402</v>
      </c>
      <c r="AO446">
        <v>3</v>
      </c>
      <c r="AP446" t="s">
        <v>56</v>
      </c>
      <c r="AQ446" t="s">
        <v>57</v>
      </c>
      <c r="AR446">
        <v>8.2100000000000009</v>
      </c>
      <c r="AS446">
        <v>0</v>
      </c>
      <c r="AT446" t="s">
        <v>56</v>
      </c>
      <c r="AU446">
        <v>3088</v>
      </c>
      <c r="AV446">
        <v>33</v>
      </c>
      <c r="AW446" t="s">
        <v>56</v>
      </c>
      <c r="AX446">
        <v>7.41</v>
      </c>
      <c r="AY446">
        <v>0</v>
      </c>
      <c r="AZ446" t="s">
        <v>56</v>
      </c>
      <c r="BB446">
        <f>LOG(AU446)</f>
        <v>3.4896772916636984</v>
      </c>
      <c r="BC446">
        <v>15</v>
      </c>
      <c r="BD446">
        <v>0</v>
      </c>
      <c r="BE446" t="s">
        <v>56</v>
      </c>
      <c r="BF446">
        <v>22.4</v>
      </c>
      <c r="BG446">
        <v>0</v>
      </c>
      <c r="BH446" t="s">
        <v>56</v>
      </c>
      <c r="BI446">
        <v>2686</v>
      </c>
      <c r="BJ446">
        <v>7.4</v>
      </c>
      <c r="BK446" t="s">
        <v>376</v>
      </c>
      <c r="BL446" t="s">
        <v>378</v>
      </c>
      <c r="BM446" t="s">
        <v>365</v>
      </c>
      <c r="BN446" t="s">
        <v>81</v>
      </c>
      <c r="BO446" t="s">
        <v>56</v>
      </c>
      <c r="BP446" t="s">
        <v>92</v>
      </c>
      <c r="BR446" t="s">
        <v>63</v>
      </c>
      <c r="BT446">
        <v>0.68</v>
      </c>
      <c r="BU446">
        <v>0.68</v>
      </c>
      <c r="BV446">
        <v>0.01</v>
      </c>
      <c r="BW446">
        <f>BV446*SQRT(AK446)</f>
        <v>4.358898943540674E-2</v>
      </c>
      <c r="BX446">
        <v>0.28000000000000003</v>
      </c>
      <c r="BY446">
        <v>0.28225800000000001</v>
      </c>
      <c r="BZ446">
        <v>0.02</v>
      </c>
      <c r="CA446">
        <f>BZ446*SQRT(AL446)</f>
        <v>8.717797887081348E-2</v>
      </c>
      <c r="CB446">
        <v>15</v>
      </c>
      <c r="CC446">
        <v>5</v>
      </c>
      <c r="CD446">
        <v>-0.879</v>
      </c>
      <c r="CE446">
        <v>6.1999999999999998E-3</v>
      </c>
    </row>
    <row r="447" spans="4:83" hidden="1" x14ac:dyDescent="0.2">
      <c r="D447">
        <v>30</v>
      </c>
      <c r="G447" t="s">
        <v>43</v>
      </c>
      <c r="H447" t="s">
        <v>372</v>
      </c>
      <c r="J447">
        <v>2011</v>
      </c>
      <c r="M447" t="s">
        <v>116</v>
      </c>
      <c r="T447" t="s">
        <v>373</v>
      </c>
      <c r="U447" t="s">
        <v>374</v>
      </c>
      <c r="V447" t="s">
        <v>375</v>
      </c>
      <c r="Z447" t="s">
        <v>49</v>
      </c>
      <c r="AA447" t="s">
        <v>49</v>
      </c>
      <c r="AB447" t="s">
        <v>50</v>
      </c>
      <c r="AC447" t="s">
        <v>51</v>
      </c>
      <c r="AD447" t="s">
        <v>52</v>
      </c>
      <c r="AE447" t="s">
        <v>53</v>
      </c>
      <c r="AF447" t="s">
        <v>52</v>
      </c>
      <c r="AG447" t="s">
        <v>52</v>
      </c>
      <c r="AH447" t="s">
        <v>64</v>
      </c>
      <c r="AK447">
        <v>19</v>
      </c>
      <c r="AL447">
        <v>19</v>
      </c>
      <c r="AN447">
        <v>402</v>
      </c>
      <c r="AO447">
        <v>3</v>
      </c>
      <c r="AP447" t="s">
        <v>56</v>
      </c>
      <c r="AQ447" t="s">
        <v>57</v>
      </c>
      <c r="AR447">
        <v>8.2100000000000009</v>
      </c>
      <c r="AS447">
        <v>0</v>
      </c>
      <c r="AT447" t="s">
        <v>56</v>
      </c>
      <c r="AU447">
        <v>3795</v>
      </c>
      <c r="AV447">
        <v>78</v>
      </c>
      <c r="AW447" t="s">
        <v>56</v>
      </c>
      <c r="AX447">
        <v>7.41</v>
      </c>
      <c r="AY447">
        <v>0.01</v>
      </c>
      <c r="AZ447" t="s">
        <v>56</v>
      </c>
      <c r="BB447">
        <f>LOG(AU447)</f>
        <v>3.5792117802314993</v>
      </c>
      <c r="BC447">
        <v>15</v>
      </c>
      <c r="BD447">
        <v>0</v>
      </c>
      <c r="BE447" t="s">
        <v>56</v>
      </c>
      <c r="BF447">
        <v>19.5</v>
      </c>
      <c r="BG447">
        <v>0</v>
      </c>
      <c r="BH447" t="s">
        <v>56</v>
      </c>
      <c r="BI447">
        <v>3393</v>
      </c>
      <c r="BJ447">
        <v>4.5</v>
      </c>
      <c r="BK447" t="s">
        <v>376</v>
      </c>
      <c r="BL447" t="s">
        <v>378</v>
      </c>
      <c r="BM447" t="s">
        <v>365</v>
      </c>
      <c r="BN447" t="s">
        <v>81</v>
      </c>
      <c r="BO447" t="s">
        <v>56</v>
      </c>
      <c r="BP447" t="s">
        <v>92</v>
      </c>
      <c r="BR447" t="s">
        <v>63</v>
      </c>
      <c r="BT447">
        <v>0.68</v>
      </c>
      <c r="BU447">
        <v>0.68</v>
      </c>
      <c r="BV447">
        <v>0.01</v>
      </c>
      <c r="BW447">
        <f>BV447*SQRT(AK447)</f>
        <v>4.358898943540674E-2</v>
      </c>
      <c r="BX447">
        <v>0.32</v>
      </c>
      <c r="BY447">
        <v>0.32338699999999998</v>
      </c>
      <c r="BZ447">
        <v>0.03</v>
      </c>
      <c r="CA447">
        <f>BZ447*SQRT(AL447)</f>
        <v>0.13076696830622023</v>
      </c>
      <c r="CB447">
        <v>15</v>
      </c>
      <c r="CC447">
        <v>5</v>
      </c>
      <c r="CD447">
        <v>-0.74299999999999999</v>
      </c>
      <c r="CE447">
        <v>1.12E-2</v>
      </c>
    </row>
    <row r="448" spans="4:83" hidden="1" x14ac:dyDescent="0.2">
      <c r="D448">
        <v>30</v>
      </c>
      <c r="G448" t="s">
        <v>43</v>
      </c>
      <c r="H448" t="s">
        <v>372</v>
      </c>
      <c r="J448">
        <v>2011</v>
      </c>
      <c r="M448" t="s">
        <v>116</v>
      </c>
      <c r="T448" t="s">
        <v>373</v>
      </c>
      <c r="U448" t="s">
        <v>374</v>
      </c>
      <c r="V448" t="s">
        <v>375</v>
      </c>
      <c r="Z448" t="s">
        <v>49</v>
      </c>
      <c r="AA448" t="s">
        <v>49</v>
      </c>
      <c r="AB448" t="s">
        <v>50</v>
      </c>
      <c r="AC448" t="s">
        <v>51</v>
      </c>
      <c r="AD448" t="s">
        <v>52</v>
      </c>
      <c r="AE448" t="s">
        <v>53</v>
      </c>
      <c r="AF448" t="s">
        <v>52</v>
      </c>
      <c r="AG448" t="s">
        <v>52</v>
      </c>
      <c r="AH448" t="s">
        <v>64</v>
      </c>
      <c r="AK448">
        <v>19</v>
      </c>
      <c r="AL448">
        <v>19</v>
      </c>
      <c r="AN448">
        <v>402</v>
      </c>
      <c r="AO448">
        <v>3</v>
      </c>
      <c r="AP448" t="s">
        <v>56</v>
      </c>
      <c r="AQ448" t="s">
        <v>57</v>
      </c>
      <c r="AR448">
        <v>8.2100000000000009</v>
      </c>
      <c r="AS448">
        <v>0</v>
      </c>
      <c r="AT448" t="s">
        <v>56</v>
      </c>
      <c r="AU448">
        <v>3795</v>
      </c>
      <c r="AV448">
        <v>78</v>
      </c>
      <c r="AW448" t="s">
        <v>56</v>
      </c>
      <c r="AX448">
        <v>7.41</v>
      </c>
      <c r="AY448">
        <v>0.01</v>
      </c>
      <c r="AZ448" t="s">
        <v>56</v>
      </c>
      <c r="BB448">
        <f>LOG(AU448)</f>
        <v>3.5792117802314993</v>
      </c>
      <c r="BC448">
        <v>15</v>
      </c>
      <c r="BD448">
        <v>0</v>
      </c>
      <c r="BE448" t="s">
        <v>56</v>
      </c>
      <c r="BF448">
        <v>19.5</v>
      </c>
      <c r="BG448">
        <v>0</v>
      </c>
      <c r="BH448" t="s">
        <v>56</v>
      </c>
      <c r="BI448">
        <v>3393</v>
      </c>
      <c r="BJ448">
        <v>4.5</v>
      </c>
      <c r="BK448" t="s">
        <v>376</v>
      </c>
      <c r="BL448" t="s">
        <v>377</v>
      </c>
      <c r="BM448" t="s">
        <v>262</v>
      </c>
      <c r="BN448" t="s">
        <v>81</v>
      </c>
      <c r="BO448" t="s">
        <v>56</v>
      </c>
      <c r="BP448" t="s">
        <v>92</v>
      </c>
      <c r="BR448" t="s">
        <v>63</v>
      </c>
      <c r="BT448">
        <v>0.04</v>
      </c>
      <c r="BU448">
        <v>3.7741999999999998E-2</v>
      </c>
      <c r="BV448">
        <v>0</v>
      </c>
      <c r="BW448">
        <f>BV448*SQRT(AK448)</f>
        <v>0</v>
      </c>
      <c r="BX448">
        <v>0.02</v>
      </c>
      <c r="BY448">
        <v>1.8629E-2</v>
      </c>
      <c r="BZ448">
        <v>0</v>
      </c>
      <c r="CA448">
        <f>BZ448*SQRT(AL448)</f>
        <v>0</v>
      </c>
      <c r="CB448">
        <v>15</v>
      </c>
      <c r="CC448">
        <v>5</v>
      </c>
      <c r="CD448">
        <v>-0.70599999999999996</v>
      </c>
      <c r="CE448">
        <v>2.5000000000000001E-3</v>
      </c>
    </row>
    <row r="449" spans="4:83" hidden="1" x14ac:dyDescent="0.2">
      <c r="D449">
        <v>30</v>
      </c>
      <c r="G449" t="s">
        <v>43</v>
      </c>
      <c r="H449" t="s">
        <v>372</v>
      </c>
      <c r="J449">
        <v>2011</v>
      </c>
      <c r="M449" t="s">
        <v>116</v>
      </c>
      <c r="T449" t="s">
        <v>373</v>
      </c>
      <c r="U449" t="s">
        <v>374</v>
      </c>
      <c r="V449" t="s">
        <v>375</v>
      </c>
      <c r="Z449" t="s">
        <v>49</v>
      </c>
      <c r="AA449" t="s">
        <v>49</v>
      </c>
      <c r="AB449" t="s">
        <v>50</v>
      </c>
      <c r="AC449" t="s">
        <v>51</v>
      </c>
      <c r="AD449" t="s">
        <v>52</v>
      </c>
      <c r="AE449" t="s">
        <v>53</v>
      </c>
      <c r="AF449" t="s">
        <v>52</v>
      </c>
      <c r="AG449" t="s">
        <v>54</v>
      </c>
      <c r="AH449" t="s">
        <v>55</v>
      </c>
      <c r="AK449">
        <v>19</v>
      </c>
      <c r="AL449">
        <v>19</v>
      </c>
      <c r="AN449">
        <v>402</v>
      </c>
      <c r="AO449">
        <v>3</v>
      </c>
      <c r="AP449" t="s">
        <v>56</v>
      </c>
      <c r="AQ449" t="s">
        <v>57</v>
      </c>
      <c r="AR449">
        <v>8.2100000000000009</v>
      </c>
      <c r="AS449">
        <v>0</v>
      </c>
      <c r="AT449" t="s">
        <v>56</v>
      </c>
      <c r="AU449">
        <v>2367</v>
      </c>
      <c r="AV449">
        <v>42</v>
      </c>
      <c r="AW449" t="s">
        <v>56</v>
      </c>
      <c r="AX449">
        <v>7.61</v>
      </c>
      <c r="AY449">
        <v>0.01</v>
      </c>
      <c r="AZ449" t="s">
        <v>56</v>
      </c>
      <c r="BB449">
        <f>LOG(AU449)</f>
        <v>3.3741982579290828</v>
      </c>
      <c r="BC449">
        <v>15</v>
      </c>
      <c r="BD449">
        <v>0</v>
      </c>
      <c r="BE449" t="s">
        <v>56</v>
      </c>
      <c r="BF449">
        <v>14.9</v>
      </c>
      <c r="BG449">
        <v>0</v>
      </c>
      <c r="BH449" t="s">
        <v>56</v>
      </c>
      <c r="BI449">
        <v>1966</v>
      </c>
      <c r="BJ449">
        <v>-0.1</v>
      </c>
      <c r="BK449" t="s">
        <v>376</v>
      </c>
      <c r="BL449" t="s">
        <v>378</v>
      </c>
      <c r="BM449" t="s">
        <v>365</v>
      </c>
      <c r="BN449" t="s">
        <v>81</v>
      </c>
      <c r="BO449" t="s">
        <v>56</v>
      </c>
      <c r="BP449" t="s">
        <v>92</v>
      </c>
      <c r="BR449" t="s">
        <v>63</v>
      </c>
      <c r="BT449">
        <v>0.68</v>
      </c>
      <c r="BU449">
        <v>0.68</v>
      </c>
      <c r="BV449">
        <v>0.01</v>
      </c>
      <c r="BW449">
        <f>BV449*SQRT(AK449)</f>
        <v>4.358898943540674E-2</v>
      </c>
      <c r="BX449">
        <v>0.5</v>
      </c>
      <c r="BY449">
        <v>0.5</v>
      </c>
      <c r="BZ449">
        <v>0.02</v>
      </c>
      <c r="CA449">
        <f>BZ449*SQRT(AL449)</f>
        <v>8.717797887081348E-2</v>
      </c>
      <c r="CB449">
        <v>15</v>
      </c>
      <c r="CC449">
        <v>5</v>
      </c>
      <c r="CD449">
        <v>-0.307</v>
      </c>
      <c r="CE449">
        <v>1.8E-3</v>
      </c>
    </row>
    <row r="450" spans="4:83" hidden="1" x14ac:dyDescent="0.2">
      <c r="D450">
        <v>30</v>
      </c>
      <c r="G450" t="s">
        <v>43</v>
      </c>
      <c r="H450" t="s">
        <v>372</v>
      </c>
      <c r="J450">
        <v>2011</v>
      </c>
      <c r="M450" t="s">
        <v>116</v>
      </c>
      <c r="T450" t="s">
        <v>373</v>
      </c>
      <c r="U450" t="s">
        <v>374</v>
      </c>
      <c r="V450" t="s">
        <v>375</v>
      </c>
      <c r="Z450" t="s">
        <v>49</v>
      </c>
      <c r="AA450" t="s">
        <v>49</v>
      </c>
      <c r="AB450" t="s">
        <v>50</v>
      </c>
      <c r="AC450" t="s">
        <v>51</v>
      </c>
      <c r="AD450" t="s">
        <v>52</v>
      </c>
      <c r="AE450" t="s">
        <v>53</v>
      </c>
      <c r="AF450" t="s">
        <v>52</v>
      </c>
      <c r="AG450" t="s">
        <v>52</v>
      </c>
      <c r="AH450" t="s">
        <v>64</v>
      </c>
      <c r="AK450">
        <v>19</v>
      </c>
      <c r="AL450">
        <v>19</v>
      </c>
      <c r="AN450">
        <v>402</v>
      </c>
      <c r="AO450">
        <v>3</v>
      </c>
      <c r="AP450" t="s">
        <v>56</v>
      </c>
      <c r="AQ450" t="s">
        <v>57</v>
      </c>
      <c r="AR450">
        <v>8.2100000000000009</v>
      </c>
      <c r="AS450">
        <v>0</v>
      </c>
      <c r="AT450" t="s">
        <v>56</v>
      </c>
      <c r="AU450">
        <v>4394</v>
      </c>
      <c r="AV450">
        <v>73</v>
      </c>
      <c r="AW450" t="s">
        <v>56</v>
      </c>
      <c r="AX450">
        <v>7.32</v>
      </c>
      <c r="AY450">
        <v>0.01</v>
      </c>
      <c r="AZ450" t="s">
        <v>56</v>
      </c>
      <c r="BB450">
        <f>LOG(AU450)</f>
        <v>3.6428600525844916</v>
      </c>
      <c r="BC450">
        <v>15</v>
      </c>
      <c r="BD450">
        <v>0</v>
      </c>
      <c r="BE450" t="s">
        <v>56</v>
      </c>
      <c r="BF450">
        <v>15.8</v>
      </c>
      <c r="BG450">
        <v>0</v>
      </c>
      <c r="BH450" t="s">
        <v>56</v>
      </c>
      <c r="BI450">
        <v>3992</v>
      </c>
      <c r="BJ450">
        <v>0.9</v>
      </c>
      <c r="BK450" t="s">
        <v>376</v>
      </c>
      <c r="BL450" t="s">
        <v>378</v>
      </c>
      <c r="BM450" t="s">
        <v>365</v>
      </c>
      <c r="BN450" t="s">
        <v>81</v>
      </c>
      <c r="BO450" t="s">
        <v>56</v>
      </c>
      <c r="BP450" t="s">
        <v>92</v>
      </c>
      <c r="BR450" t="s">
        <v>63</v>
      </c>
      <c r="BT450">
        <v>0.68</v>
      </c>
      <c r="BU450">
        <v>0.68</v>
      </c>
      <c r="BV450">
        <v>0.01</v>
      </c>
      <c r="BW450">
        <f>BV450*SQRT(AK450)</f>
        <v>4.358898943540674E-2</v>
      </c>
      <c r="BX450">
        <v>0.51</v>
      </c>
      <c r="BY450">
        <v>0.50725799999999999</v>
      </c>
      <c r="BZ450">
        <v>0.04</v>
      </c>
      <c r="CA450">
        <f>BZ450*SQRT(AL450)</f>
        <v>0.17435595774162696</v>
      </c>
      <c r="CB450">
        <v>15</v>
      </c>
      <c r="CC450">
        <v>5</v>
      </c>
      <c r="CD450">
        <v>-0.29299999999999998</v>
      </c>
      <c r="CE450">
        <v>6.7999999999999996E-3</v>
      </c>
    </row>
    <row r="451" spans="4:83" hidden="1" x14ac:dyDescent="0.2">
      <c r="D451">
        <v>30</v>
      </c>
      <c r="G451" t="s">
        <v>43</v>
      </c>
      <c r="H451" t="s">
        <v>372</v>
      </c>
      <c r="J451">
        <v>2011</v>
      </c>
      <c r="M451" t="s">
        <v>116</v>
      </c>
      <c r="T451" t="s">
        <v>373</v>
      </c>
      <c r="U451" t="s">
        <v>374</v>
      </c>
      <c r="V451" t="s">
        <v>375</v>
      </c>
      <c r="Z451" t="s">
        <v>49</v>
      </c>
      <c r="AA451" t="s">
        <v>49</v>
      </c>
      <c r="AB451" t="s">
        <v>50</v>
      </c>
      <c r="AC451" t="s">
        <v>51</v>
      </c>
      <c r="AD451" t="s">
        <v>52</v>
      </c>
      <c r="AE451" t="s">
        <v>53</v>
      </c>
      <c r="AF451" t="s">
        <v>52</v>
      </c>
      <c r="AG451" t="s">
        <v>52</v>
      </c>
      <c r="AH451" t="s">
        <v>64</v>
      </c>
      <c r="AK451">
        <v>19</v>
      </c>
      <c r="AL451">
        <v>19</v>
      </c>
      <c r="AN451">
        <v>402</v>
      </c>
      <c r="AO451">
        <v>3</v>
      </c>
      <c r="AP451" t="s">
        <v>56</v>
      </c>
      <c r="AQ451" t="s">
        <v>57</v>
      </c>
      <c r="AR451">
        <v>8.2100000000000009</v>
      </c>
      <c r="AS451">
        <v>0</v>
      </c>
      <c r="AT451" t="s">
        <v>56</v>
      </c>
      <c r="AU451">
        <v>4394</v>
      </c>
      <c r="AV451">
        <v>73</v>
      </c>
      <c r="AW451" t="s">
        <v>56</v>
      </c>
      <c r="AX451">
        <v>7.32</v>
      </c>
      <c r="AY451">
        <v>0.01</v>
      </c>
      <c r="AZ451" t="s">
        <v>56</v>
      </c>
      <c r="BB451">
        <f>LOG(AU451)</f>
        <v>3.6428600525844916</v>
      </c>
      <c r="BC451">
        <v>15</v>
      </c>
      <c r="BD451">
        <v>0</v>
      </c>
      <c r="BE451" t="s">
        <v>56</v>
      </c>
      <c r="BF451">
        <v>15.8</v>
      </c>
      <c r="BG451">
        <v>0</v>
      </c>
      <c r="BH451" t="s">
        <v>56</v>
      </c>
      <c r="BI451">
        <v>3992</v>
      </c>
      <c r="BJ451">
        <v>0.9</v>
      </c>
      <c r="BK451" t="s">
        <v>376</v>
      </c>
      <c r="BL451" t="s">
        <v>377</v>
      </c>
      <c r="BM451" t="s">
        <v>262</v>
      </c>
      <c r="BN451" t="s">
        <v>81</v>
      </c>
      <c r="BO451" t="s">
        <v>56</v>
      </c>
      <c r="BP451" t="s">
        <v>92</v>
      </c>
      <c r="BR451" t="s">
        <v>63</v>
      </c>
      <c r="BT451">
        <v>0.04</v>
      </c>
      <c r="BU451">
        <v>3.7741999999999998E-2</v>
      </c>
      <c r="BV451">
        <v>0</v>
      </c>
      <c r="BW451">
        <f>BV451*SQRT(AK451)</f>
        <v>0</v>
      </c>
      <c r="BX451">
        <v>0.03</v>
      </c>
      <c r="BY451">
        <v>3.1693499999999999E-2</v>
      </c>
      <c r="BZ451">
        <v>0</v>
      </c>
      <c r="CA451">
        <f>BZ451*SQRT(AL451)</f>
        <v>0</v>
      </c>
      <c r="CB451">
        <v>15</v>
      </c>
      <c r="CC451">
        <v>5</v>
      </c>
      <c r="CD451">
        <v>-0.17499999999999999</v>
      </c>
      <c r="CE451">
        <v>3.0999999999999999E-3</v>
      </c>
    </row>
    <row r="452" spans="4:83" hidden="1" x14ac:dyDescent="0.2">
      <c r="D452">
        <v>30</v>
      </c>
      <c r="G452" t="s">
        <v>43</v>
      </c>
      <c r="H452" t="s">
        <v>372</v>
      </c>
      <c r="J452">
        <v>2011</v>
      </c>
      <c r="M452" t="s">
        <v>116</v>
      </c>
      <c r="T452" t="s">
        <v>373</v>
      </c>
      <c r="U452" t="s">
        <v>374</v>
      </c>
      <c r="V452" t="s">
        <v>375</v>
      </c>
      <c r="Z452" t="s">
        <v>49</v>
      </c>
      <c r="AA452" t="s">
        <v>49</v>
      </c>
      <c r="AB452" t="s">
        <v>50</v>
      </c>
      <c r="AC452" t="s">
        <v>51</v>
      </c>
      <c r="AD452" t="s">
        <v>52</v>
      </c>
      <c r="AE452" t="s">
        <v>53</v>
      </c>
      <c r="AF452" t="s">
        <v>52</v>
      </c>
      <c r="AG452" t="s">
        <v>54</v>
      </c>
      <c r="AH452" t="s">
        <v>55</v>
      </c>
      <c r="AK452">
        <v>19</v>
      </c>
      <c r="AL452">
        <v>19</v>
      </c>
      <c r="AN452">
        <v>402</v>
      </c>
      <c r="AO452">
        <v>3</v>
      </c>
      <c r="AP452" t="s">
        <v>56</v>
      </c>
      <c r="AQ452" t="s">
        <v>57</v>
      </c>
      <c r="AR452">
        <v>8.2100000000000009</v>
      </c>
      <c r="AS452">
        <v>0</v>
      </c>
      <c r="AT452" t="s">
        <v>56</v>
      </c>
      <c r="AU452">
        <v>2367</v>
      </c>
      <c r="AV452">
        <v>42</v>
      </c>
      <c r="AW452" t="s">
        <v>56</v>
      </c>
      <c r="AX452">
        <v>7.61</v>
      </c>
      <c r="AY452">
        <v>0.01</v>
      </c>
      <c r="AZ452" t="s">
        <v>56</v>
      </c>
      <c r="BB452">
        <f>LOG(AU452)</f>
        <v>3.3741982579290828</v>
      </c>
      <c r="BC452">
        <v>15</v>
      </c>
      <c r="BD452">
        <v>0</v>
      </c>
      <c r="BE452" t="s">
        <v>56</v>
      </c>
      <c r="BF452">
        <v>14.9</v>
      </c>
      <c r="BG452">
        <v>0</v>
      </c>
      <c r="BH452" t="s">
        <v>56</v>
      </c>
      <c r="BI452">
        <v>1966</v>
      </c>
      <c r="BJ452">
        <v>-0.1</v>
      </c>
      <c r="BK452" t="s">
        <v>376</v>
      </c>
      <c r="BL452" t="s">
        <v>377</v>
      </c>
      <c r="BM452" t="s">
        <v>262</v>
      </c>
      <c r="BN452" t="s">
        <v>81</v>
      </c>
      <c r="BO452" t="s">
        <v>56</v>
      </c>
      <c r="BP452" t="s">
        <v>92</v>
      </c>
      <c r="BR452" t="s">
        <v>63</v>
      </c>
      <c r="BT452">
        <v>0.04</v>
      </c>
      <c r="BU452">
        <v>3.7741999999999998E-2</v>
      </c>
      <c r="BV452">
        <v>0</v>
      </c>
      <c r="BW452">
        <f>BV452*SQRT(AK452)</f>
        <v>0</v>
      </c>
      <c r="BX452">
        <v>0.03</v>
      </c>
      <c r="BY452">
        <v>3.3870999999999998E-2</v>
      </c>
      <c r="BZ452">
        <v>0</v>
      </c>
      <c r="CA452">
        <f>BZ452*SQRT(AL452)</f>
        <v>0</v>
      </c>
      <c r="CB452">
        <v>15</v>
      </c>
      <c r="CC452">
        <v>5</v>
      </c>
      <c r="CD452">
        <v>-0.108</v>
      </c>
      <c r="CE452">
        <v>5.1999999999999998E-3</v>
      </c>
    </row>
    <row r="453" spans="4:83" hidden="1" x14ac:dyDescent="0.2">
      <c r="D453">
        <v>30</v>
      </c>
      <c r="G453" t="s">
        <v>43</v>
      </c>
      <c r="H453" t="s">
        <v>372</v>
      </c>
      <c r="J453">
        <v>2011</v>
      </c>
      <c r="M453" t="s">
        <v>116</v>
      </c>
      <c r="T453" t="s">
        <v>373</v>
      </c>
      <c r="U453" t="s">
        <v>374</v>
      </c>
      <c r="V453" t="s">
        <v>375</v>
      </c>
      <c r="Z453" t="s">
        <v>49</v>
      </c>
      <c r="AA453" t="s">
        <v>49</v>
      </c>
      <c r="AB453" t="s">
        <v>50</v>
      </c>
      <c r="AC453" t="s">
        <v>51</v>
      </c>
      <c r="AD453" t="s">
        <v>52</v>
      </c>
      <c r="AE453" t="s">
        <v>53</v>
      </c>
      <c r="AF453" t="s">
        <v>54</v>
      </c>
      <c r="AG453" t="s">
        <v>52</v>
      </c>
      <c r="AH453" t="s">
        <v>65</v>
      </c>
      <c r="AK453">
        <v>19</v>
      </c>
      <c r="AL453">
        <v>19</v>
      </c>
      <c r="AM453" t="s">
        <v>364</v>
      </c>
      <c r="AN453">
        <v>402</v>
      </c>
      <c r="AO453">
        <v>3</v>
      </c>
      <c r="AP453" t="s">
        <v>56</v>
      </c>
      <c r="AQ453" t="s">
        <v>57</v>
      </c>
      <c r="AR453">
        <v>8.2100000000000009</v>
      </c>
      <c r="AS453">
        <v>0</v>
      </c>
      <c r="AT453" t="s">
        <v>56</v>
      </c>
      <c r="AU453">
        <v>342</v>
      </c>
      <c r="AV453">
        <v>5</v>
      </c>
      <c r="AW453" t="s">
        <v>56</v>
      </c>
      <c r="AX453">
        <v>8.25</v>
      </c>
      <c r="AY453">
        <v>0</v>
      </c>
      <c r="AZ453" t="s">
        <v>56</v>
      </c>
      <c r="BB453">
        <f>LOG(AU453)</f>
        <v>2.5340261060561349</v>
      </c>
      <c r="BC453">
        <v>15</v>
      </c>
      <c r="BD453">
        <v>0</v>
      </c>
      <c r="BE453" t="s">
        <v>56</v>
      </c>
      <c r="BF453">
        <v>19.3</v>
      </c>
      <c r="BG453">
        <v>0</v>
      </c>
      <c r="BH453" t="s">
        <v>56</v>
      </c>
      <c r="BI453">
        <v>-60</v>
      </c>
      <c r="BJ453">
        <v>4.3</v>
      </c>
      <c r="BK453" t="s">
        <v>376</v>
      </c>
      <c r="BL453" t="s">
        <v>379</v>
      </c>
      <c r="BM453" t="s">
        <v>379</v>
      </c>
      <c r="BN453" t="s">
        <v>81</v>
      </c>
      <c r="BO453" t="s">
        <v>56</v>
      </c>
      <c r="BP453" t="s">
        <v>190</v>
      </c>
      <c r="BR453" t="s">
        <v>63</v>
      </c>
      <c r="BT453">
        <v>-0.41</v>
      </c>
      <c r="BU453">
        <v>-0.41048400000000002</v>
      </c>
      <c r="BV453">
        <v>0.05</v>
      </c>
      <c r="BW453">
        <f>BV453*SQRT(AK453)</f>
        <v>0.21794494717703372</v>
      </c>
      <c r="BX453">
        <v>-0.45</v>
      </c>
      <c r="BY453">
        <v>-0.446774</v>
      </c>
      <c r="BZ453">
        <v>0.1</v>
      </c>
      <c r="CA453">
        <f>BZ453*SQRT(AL453)</f>
        <v>0.43588989435406744</v>
      </c>
      <c r="CB453">
        <v>15</v>
      </c>
      <c r="CC453">
        <v>5</v>
      </c>
      <c r="CD453">
        <v>-8.5000000000000006E-2</v>
      </c>
      <c r="CE453">
        <v>6.3200000000000006E-2</v>
      </c>
    </row>
    <row r="454" spans="4:83" hidden="1" x14ac:dyDescent="0.2">
      <c r="D454">
        <v>30</v>
      </c>
      <c r="G454" t="s">
        <v>43</v>
      </c>
      <c r="H454" t="s">
        <v>372</v>
      </c>
      <c r="J454">
        <v>2011</v>
      </c>
      <c r="M454" t="s">
        <v>116</v>
      </c>
      <c r="T454" t="s">
        <v>373</v>
      </c>
      <c r="U454" t="s">
        <v>374</v>
      </c>
      <c r="V454" t="s">
        <v>375</v>
      </c>
      <c r="Z454" t="s">
        <v>49</v>
      </c>
      <c r="AA454" t="s">
        <v>49</v>
      </c>
      <c r="AB454" t="s">
        <v>50</v>
      </c>
      <c r="AC454" t="s">
        <v>51</v>
      </c>
      <c r="AD454" t="s">
        <v>52</v>
      </c>
      <c r="AE454" t="s">
        <v>53</v>
      </c>
      <c r="AF454" t="s">
        <v>54</v>
      </c>
      <c r="AG454" t="s">
        <v>52</v>
      </c>
      <c r="AH454" t="s">
        <v>65</v>
      </c>
      <c r="AK454">
        <v>19</v>
      </c>
      <c r="AL454">
        <v>19</v>
      </c>
      <c r="AN454">
        <v>402</v>
      </c>
      <c r="AO454">
        <v>3</v>
      </c>
      <c r="AP454" t="s">
        <v>56</v>
      </c>
      <c r="AQ454" t="s">
        <v>57</v>
      </c>
      <c r="AR454">
        <v>8.2100000000000009</v>
      </c>
      <c r="AS454">
        <v>0</v>
      </c>
      <c r="AT454" t="s">
        <v>56</v>
      </c>
      <c r="AU454">
        <v>342</v>
      </c>
      <c r="AV454">
        <v>5</v>
      </c>
      <c r="AW454" t="s">
        <v>56</v>
      </c>
      <c r="AX454">
        <v>8.25</v>
      </c>
      <c r="AY454">
        <v>0</v>
      </c>
      <c r="AZ454" t="s">
        <v>56</v>
      </c>
      <c r="BB454">
        <f>LOG(AU454)</f>
        <v>2.5340261060561349</v>
      </c>
      <c r="BC454">
        <v>15</v>
      </c>
      <c r="BD454">
        <v>0</v>
      </c>
      <c r="BE454" t="s">
        <v>56</v>
      </c>
      <c r="BF454">
        <v>19.3</v>
      </c>
      <c r="BG454">
        <v>0</v>
      </c>
      <c r="BH454" t="s">
        <v>56</v>
      </c>
      <c r="BI454">
        <v>-60</v>
      </c>
      <c r="BJ454">
        <v>4.3</v>
      </c>
      <c r="BK454" t="s">
        <v>376</v>
      </c>
      <c r="BL454" t="s">
        <v>378</v>
      </c>
      <c r="BM454" t="s">
        <v>365</v>
      </c>
      <c r="BN454" t="s">
        <v>81</v>
      </c>
      <c r="BO454" t="s">
        <v>56</v>
      </c>
      <c r="BP454" t="s">
        <v>92</v>
      </c>
      <c r="BR454" t="s">
        <v>63</v>
      </c>
      <c r="BT454">
        <v>0.68</v>
      </c>
      <c r="BU454">
        <v>0.68</v>
      </c>
      <c r="BV454">
        <v>0.01</v>
      </c>
      <c r="BW454">
        <f>BV454*SQRT(AK454)</f>
        <v>4.358898943540674E-2</v>
      </c>
      <c r="BX454">
        <v>0.69</v>
      </c>
      <c r="BY454">
        <v>0.69350000000000001</v>
      </c>
      <c r="BZ454">
        <v>0.02</v>
      </c>
      <c r="CA454">
        <f>BZ454*SQRT(AL454)</f>
        <v>8.717797887081348E-2</v>
      </c>
      <c r="CB454">
        <v>15</v>
      </c>
      <c r="CC454">
        <v>5</v>
      </c>
      <c r="CD454">
        <v>0.02</v>
      </c>
      <c r="CE454">
        <v>1E-3</v>
      </c>
    </row>
    <row r="455" spans="4:83" hidden="1" x14ac:dyDescent="0.2">
      <c r="D455">
        <v>30</v>
      </c>
      <c r="G455" t="s">
        <v>43</v>
      </c>
      <c r="H455" t="s">
        <v>372</v>
      </c>
      <c r="J455">
        <v>2011</v>
      </c>
      <c r="M455" t="s">
        <v>116</v>
      </c>
      <c r="T455" t="s">
        <v>373</v>
      </c>
      <c r="U455" t="s">
        <v>374</v>
      </c>
      <c r="V455" t="s">
        <v>375</v>
      </c>
      <c r="Z455" t="s">
        <v>49</v>
      </c>
      <c r="AA455" t="s">
        <v>49</v>
      </c>
      <c r="AB455" t="s">
        <v>50</v>
      </c>
      <c r="AC455" t="s">
        <v>51</v>
      </c>
      <c r="AD455" t="s">
        <v>52</v>
      </c>
      <c r="AE455" t="s">
        <v>53</v>
      </c>
      <c r="AF455" t="s">
        <v>52</v>
      </c>
      <c r="AG455" t="s">
        <v>52</v>
      </c>
      <c r="AH455" t="s">
        <v>64</v>
      </c>
      <c r="AK455">
        <v>19</v>
      </c>
      <c r="AL455">
        <v>19</v>
      </c>
      <c r="AN455">
        <v>402</v>
      </c>
      <c r="AO455">
        <v>3</v>
      </c>
      <c r="AP455" t="s">
        <v>56</v>
      </c>
      <c r="AQ455" t="s">
        <v>57</v>
      </c>
      <c r="AR455">
        <v>8.2100000000000009</v>
      </c>
      <c r="AS455">
        <v>0</v>
      </c>
      <c r="AT455" t="s">
        <v>56</v>
      </c>
      <c r="AU455">
        <v>1788</v>
      </c>
      <c r="AV455">
        <v>20</v>
      </c>
      <c r="AW455" t="s">
        <v>56</v>
      </c>
      <c r="AX455">
        <v>7.62</v>
      </c>
      <c r="AY455">
        <v>0</v>
      </c>
      <c r="AZ455" t="s">
        <v>56</v>
      </c>
      <c r="BB455">
        <f>LOG(AU455)</f>
        <v>3.2523675144598987</v>
      </c>
      <c r="BC455">
        <v>15</v>
      </c>
      <c r="BD455">
        <v>0</v>
      </c>
      <c r="BE455" t="s">
        <v>56</v>
      </c>
      <c r="BF455">
        <v>19.3</v>
      </c>
      <c r="BG455">
        <v>0</v>
      </c>
      <c r="BH455" t="s">
        <v>56</v>
      </c>
      <c r="BI455">
        <v>1386</v>
      </c>
      <c r="BJ455">
        <v>4.3</v>
      </c>
      <c r="BK455" t="s">
        <v>376</v>
      </c>
      <c r="BL455" t="s">
        <v>378</v>
      </c>
      <c r="BM455" t="s">
        <v>365</v>
      </c>
      <c r="BN455" t="s">
        <v>81</v>
      </c>
      <c r="BO455" t="s">
        <v>56</v>
      </c>
      <c r="BP455" t="s">
        <v>92</v>
      </c>
      <c r="BR455" t="s">
        <v>63</v>
      </c>
      <c r="BT455">
        <v>0.68</v>
      </c>
      <c r="BU455">
        <v>0.68</v>
      </c>
      <c r="BV455">
        <v>0.01</v>
      </c>
      <c r="BW455">
        <f>BV455*SQRT(AK455)</f>
        <v>4.358898943540674E-2</v>
      </c>
      <c r="BX455">
        <v>0.71</v>
      </c>
      <c r="BY455">
        <v>0.70806500000000006</v>
      </c>
      <c r="BZ455">
        <v>0.02</v>
      </c>
      <c r="CA455">
        <f>BZ455*SQRT(AL455)</f>
        <v>8.717797887081348E-2</v>
      </c>
      <c r="CB455">
        <v>15</v>
      </c>
      <c r="CC455">
        <v>5</v>
      </c>
      <c r="CD455">
        <v>0.04</v>
      </c>
      <c r="CE455">
        <v>1.4E-3</v>
      </c>
    </row>
    <row r="456" spans="4:83" hidden="1" x14ac:dyDescent="0.2">
      <c r="D456">
        <v>30</v>
      </c>
      <c r="G456" t="s">
        <v>43</v>
      </c>
      <c r="H456" t="s">
        <v>372</v>
      </c>
      <c r="J456">
        <v>2011</v>
      </c>
      <c r="M456" t="s">
        <v>116</v>
      </c>
      <c r="T456" t="s">
        <v>373</v>
      </c>
      <c r="U456" t="s">
        <v>374</v>
      </c>
      <c r="V456" t="s">
        <v>375</v>
      </c>
      <c r="Z456" t="s">
        <v>49</v>
      </c>
      <c r="AA456" t="s">
        <v>49</v>
      </c>
      <c r="AB456" t="s">
        <v>50</v>
      </c>
      <c r="AC456" t="s">
        <v>51</v>
      </c>
      <c r="AD456" t="s">
        <v>52</v>
      </c>
      <c r="AE456" t="s">
        <v>53</v>
      </c>
      <c r="AF456" t="s">
        <v>52</v>
      </c>
      <c r="AG456" t="s">
        <v>52</v>
      </c>
      <c r="AH456" t="s">
        <v>64</v>
      </c>
      <c r="AK456">
        <v>19</v>
      </c>
      <c r="AL456">
        <v>19</v>
      </c>
      <c r="AM456" t="s">
        <v>364</v>
      </c>
      <c r="AN456">
        <v>402</v>
      </c>
      <c r="AO456">
        <v>3</v>
      </c>
      <c r="AP456" t="s">
        <v>56</v>
      </c>
      <c r="AQ456" t="s">
        <v>57</v>
      </c>
      <c r="AR456">
        <v>8.2100000000000009</v>
      </c>
      <c r="AS456">
        <v>0</v>
      </c>
      <c r="AT456" t="s">
        <v>56</v>
      </c>
      <c r="AU456">
        <v>1788</v>
      </c>
      <c r="AV456">
        <v>20</v>
      </c>
      <c r="AW456" t="s">
        <v>56</v>
      </c>
      <c r="AX456">
        <v>7.62</v>
      </c>
      <c r="AY456">
        <v>0</v>
      </c>
      <c r="AZ456" t="s">
        <v>56</v>
      </c>
      <c r="BB456">
        <f>LOG(AU456)</f>
        <v>3.2523675144598987</v>
      </c>
      <c r="BC456">
        <v>15</v>
      </c>
      <c r="BD456">
        <v>0</v>
      </c>
      <c r="BE456" t="s">
        <v>56</v>
      </c>
      <c r="BF456">
        <v>19.3</v>
      </c>
      <c r="BG456">
        <v>0</v>
      </c>
      <c r="BH456" t="s">
        <v>56</v>
      </c>
      <c r="BI456">
        <v>1386</v>
      </c>
      <c r="BJ456">
        <v>4.3</v>
      </c>
      <c r="BK456" t="s">
        <v>376</v>
      </c>
      <c r="BL456" t="s">
        <v>379</v>
      </c>
      <c r="BM456" t="s">
        <v>379</v>
      </c>
      <c r="BN456" t="s">
        <v>81</v>
      </c>
      <c r="BO456" t="s">
        <v>56</v>
      </c>
      <c r="BP456" t="s">
        <v>190</v>
      </c>
      <c r="BR456" t="s">
        <v>63</v>
      </c>
      <c r="BT456">
        <v>-0.41</v>
      </c>
      <c r="BU456">
        <v>-0.41048400000000002</v>
      </c>
      <c r="BV456">
        <v>0.05</v>
      </c>
      <c r="BW456">
        <f>BV456*SQRT(AK456)</f>
        <v>0.21794494717703372</v>
      </c>
      <c r="BX456">
        <v>-0.34</v>
      </c>
      <c r="BY456">
        <v>-0.34193499999999999</v>
      </c>
      <c r="BZ456">
        <v>0.11</v>
      </c>
      <c r="CA456">
        <f>BZ456*SQRT(AL456)</f>
        <v>0.47947888378947412</v>
      </c>
      <c r="CB456">
        <v>15</v>
      </c>
      <c r="CC456">
        <v>5</v>
      </c>
      <c r="CD456">
        <v>0.183</v>
      </c>
      <c r="CE456">
        <v>0.12529999999999999</v>
      </c>
    </row>
    <row r="457" spans="4:83" hidden="1" x14ac:dyDescent="0.2">
      <c r="D457">
        <v>30</v>
      </c>
      <c r="G457" t="s">
        <v>43</v>
      </c>
      <c r="H457" t="s">
        <v>372</v>
      </c>
      <c r="J457">
        <v>2011</v>
      </c>
      <c r="M457" t="s">
        <v>116</v>
      </c>
      <c r="T457" t="s">
        <v>373</v>
      </c>
      <c r="U457" t="s">
        <v>374</v>
      </c>
      <c r="V457" t="s">
        <v>375</v>
      </c>
      <c r="Z457" t="s">
        <v>49</v>
      </c>
      <c r="AA457" t="s">
        <v>49</v>
      </c>
      <c r="AB457" t="s">
        <v>50</v>
      </c>
      <c r="AC457" t="s">
        <v>51</v>
      </c>
      <c r="AD457" t="s">
        <v>52</v>
      </c>
      <c r="AE457" t="s">
        <v>53</v>
      </c>
      <c r="AF457" t="s">
        <v>54</v>
      </c>
      <c r="AG457" t="s">
        <v>52</v>
      </c>
      <c r="AH457" t="s">
        <v>65</v>
      </c>
      <c r="AK457">
        <v>19</v>
      </c>
      <c r="AL457">
        <v>19</v>
      </c>
      <c r="AN457">
        <v>402</v>
      </c>
      <c r="AO457">
        <v>3</v>
      </c>
      <c r="AP457" t="s">
        <v>56</v>
      </c>
      <c r="AQ457" t="s">
        <v>57</v>
      </c>
      <c r="AR457">
        <v>8.2100000000000009</v>
      </c>
      <c r="AS457">
        <v>0</v>
      </c>
      <c r="AT457" t="s">
        <v>56</v>
      </c>
      <c r="AU457">
        <v>342</v>
      </c>
      <c r="AV457">
        <v>5</v>
      </c>
      <c r="AW457" t="s">
        <v>56</v>
      </c>
      <c r="AX457">
        <v>8.25</v>
      </c>
      <c r="AY457">
        <v>0</v>
      </c>
      <c r="AZ457" t="s">
        <v>56</v>
      </c>
      <c r="BB457">
        <f>LOG(AU457)</f>
        <v>2.5340261060561349</v>
      </c>
      <c r="BC457">
        <v>15</v>
      </c>
      <c r="BD457">
        <v>0</v>
      </c>
      <c r="BE457" t="s">
        <v>56</v>
      </c>
      <c r="BF457">
        <v>19.3</v>
      </c>
      <c r="BG457">
        <v>0</v>
      </c>
      <c r="BH457" t="s">
        <v>56</v>
      </c>
      <c r="BI457">
        <v>-60</v>
      </c>
      <c r="BJ457">
        <v>4.3</v>
      </c>
      <c r="BK457" t="s">
        <v>376</v>
      </c>
      <c r="BL457" t="s">
        <v>377</v>
      </c>
      <c r="BM457" t="s">
        <v>262</v>
      </c>
      <c r="BN457" t="s">
        <v>81</v>
      </c>
      <c r="BO457" t="s">
        <v>56</v>
      </c>
      <c r="BP457" t="s">
        <v>92</v>
      </c>
      <c r="BR457" t="s">
        <v>63</v>
      </c>
      <c r="BT457">
        <v>0.04</v>
      </c>
      <c r="BU457">
        <v>3.7741999999999998E-2</v>
      </c>
      <c r="BV457">
        <v>0</v>
      </c>
      <c r="BW457">
        <f>BV457*SQRT(AK457)</f>
        <v>0</v>
      </c>
      <c r="BX457">
        <v>0.05</v>
      </c>
      <c r="BY457">
        <v>4.74194E-2</v>
      </c>
      <c r="BZ457">
        <v>0</v>
      </c>
      <c r="CA457">
        <f>BZ457*SQRT(AL457)</f>
        <v>0</v>
      </c>
      <c r="CB457">
        <v>15</v>
      </c>
      <c r="CC457">
        <v>5</v>
      </c>
      <c r="CD457">
        <v>0.22800000000000001</v>
      </c>
      <c r="CE457">
        <v>4.1999999999999997E-3</v>
      </c>
    </row>
    <row r="458" spans="4:83" hidden="1" x14ac:dyDescent="0.2">
      <c r="D458">
        <v>30</v>
      </c>
      <c r="G458" t="s">
        <v>43</v>
      </c>
      <c r="H458" t="s">
        <v>372</v>
      </c>
      <c r="J458">
        <v>2011</v>
      </c>
      <c r="M458" t="s">
        <v>116</v>
      </c>
      <c r="T458" t="s">
        <v>373</v>
      </c>
      <c r="U458" t="s">
        <v>374</v>
      </c>
      <c r="V458" t="s">
        <v>375</v>
      </c>
      <c r="Z458" t="s">
        <v>49</v>
      </c>
      <c r="AA458" t="s">
        <v>49</v>
      </c>
      <c r="AB458" t="s">
        <v>50</v>
      </c>
      <c r="AC458" t="s">
        <v>51</v>
      </c>
      <c r="AD458" t="s">
        <v>52</v>
      </c>
      <c r="AE458" t="s">
        <v>53</v>
      </c>
      <c r="AF458" t="s">
        <v>52</v>
      </c>
      <c r="AG458" t="s">
        <v>52</v>
      </c>
      <c r="AH458" t="s">
        <v>64</v>
      </c>
      <c r="AK458">
        <v>19</v>
      </c>
      <c r="AL458">
        <v>19</v>
      </c>
      <c r="AN458">
        <v>402</v>
      </c>
      <c r="AO458">
        <v>3</v>
      </c>
      <c r="AP458" t="s">
        <v>56</v>
      </c>
      <c r="AQ458" t="s">
        <v>57</v>
      </c>
      <c r="AR458">
        <v>8.2100000000000009</v>
      </c>
      <c r="AS458">
        <v>0</v>
      </c>
      <c r="AT458" t="s">
        <v>56</v>
      </c>
      <c r="AU458">
        <v>1788</v>
      </c>
      <c r="AV458">
        <v>20</v>
      </c>
      <c r="AW458" t="s">
        <v>56</v>
      </c>
      <c r="AX458">
        <v>7.62</v>
      </c>
      <c r="AY458">
        <v>0</v>
      </c>
      <c r="AZ458" t="s">
        <v>56</v>
      </c>
      <c r="BB458">
        <f>LOG(AU458)</f>
        <v>3.2523675144598987</v>
      </c>
      <c r="BC458">
        <v>15</v>
      </c>
      <c r="BD458">
        <v>0</v>
      </c>
      <c r="BE458" t="s">
        <v>56</v>
      </c>
      <c r="BF458">
        <v>19.3</v>
      </c>
      <c r="BG458">
        <v>0</v>
      </c>
      <c r="BH458" t="s">
        <v>56</v>
      </c>
      <c r="BI458">
        <v>1386</v>
      </c>
      <c r="BJ458">
        <v>4.3</v>
      </c>
      <c r="BK458" t="s">
        <v>376</v>
      </c>
      <c r="BL458" t="s">
        <v>377</v>
      </c>
      <c r="BM458" t="s">
        <v>262</v>
      </c>
      <c r="BN458" t="s">
        <v>81</v>
      </c>
      <c r="BO458" t="s">
        <v>56</v>
      </c>
      <c r="BP458" t="s">
        <v>92</v>
      </c>
      <c r="BR458" t="s">
        <v>63</v>
      </c>
      <c r="BT458">
        <v>0.04</v>
      </c>
      <c r="BU458">
        <v>3.7741999999999998E-2</v>
      </c>
      <c r="BV458">
        <v>0</v>
      </c>
      <c r="BW458">
        <f>BV458*SQRT(AK458)</f>
        <v>0</v>
      </c>
      <c r="BX458">
        <v>0.05</v>
      </c>
      <c r="BY458">
        <v>4.74194E-2</v>
      </c>
      <c r="BZ458">
        <v>0</v>
      </c>
      <c r="CA458">
        <f>BZ458*SQRT(AL458)</f>
        <v>0</v>
      </c>
      <c r="CB458">
        <v>15</v>
      </c>
      <c r="CC458">
        <v>5</v>
      </c>
      <c r="CD458">
        <v>0.22800000000000001</v>
      </c>
      <c r="CE458">
        <v>7.7000000000000002E-3</v>
      </c>
    </row>
    <row r="459" spans="4:83" hidden="1" x14ac:dyDescent="0.2">
      <c r="D459">
        <v>30</v>
      </c>
      <c r="G459" t="s">
        <v>43</v>
      </c>
      <c r="H459" t="s">
        <v>372</v>
      </c>
      <c r="J459">
        <v>2011</v>
      </c>
      <c r="M459" t="s">
        <v>116</v>
      </c>
      <c r="T459" t="s">
        <v>373</v>
      </c>
      <c r="U459" t="s">
        <v>374</v>
      </c>
      <c r="V459" t="s">
        <v>375</v>
      </c>
      <c r="Z459" t="s">
        <v>49</v>
      </c>
      <c r="AA459" t="s">
        <v>49</v>
      </c>
      <c r="AB459" t="s">
        <v>50</v>
      </c>
      <c r="AC459" t="s">
        <v>51</v>
      </c>
      <c r="AD459" t="s">
        <v>52</v>
      </c>
      <c r="AE459" t="s">
        <v>53</v>
      </c>
      <c r="AF459" t="s">
        <v>52</v>
      </c>
      <c r="AG459" t="s">
        <v>52</v>
      </c>
      <c r="AH459" t="s">
        <v>64</v>
      </c>
      <c r="AK459">
        <v>19</v>
      </c>
      <c r="AL459">
        <v>19</v>
      </c>
      <c r="AM459" t="s">
        <v>364</v>
      </c>
      <c r="AN459">
        <v>402</v>
      </c>
      <c r="AO459">
        <v>3</v>
      </c>
      <c r="AP459" t="s">
        <v>56</v>
      </c>
      <c r="AQ459" t="s">
        <v>57</v>
      </c>
      <c r="AR459">
        <v>8.2100000000000009</v>
      </c>
      <c r="AS459">
        <v>0</v>
      </c>
      <c r="AT459" t="s">
        <v>56</v>
      </c>
      <c r="AU459">
        <v>4394</v>
      </c>
      <c r="AV459">
        <v>73</v>
      </c>
      <c r="AW459" t="s">
        <v>56</v>
      </c>
      <c r="AX459">
        <v>7.32</v>
      </c>
      <c r="AY459">
        <v>0.01</v>
      </c>
      <c r="AZ459" t="s">
        <v>56</v>
      </c>
      <c r="BB459">
        <f>LOG(AU459)</f>
        <v>3.6428600525844916</v>
      </c>
      <c r="BC459">
        <v>15</v>
      </c>
      <c r="BD459">
        <v>0</v>
      </c>
      <c r="BE459" t="s">
        <v>56</v>
      </c>
      <c r="BF459">
        <v>15.8</v>
      </c>
      <c r="BG459">
        <v>0</v>
      </c>
      <c r="BH459" t="s">
        <v>56</v>
      </c>
      <c r="BI459">
        <v>3992</v>
      </c>
      <c r="BJ459">
        <v>0.9</v>
      </c>
      <c r="BK459" t="s">
        <v>376</v>
      </c>
      <c r="BL459" t="s">
        <v>379</v>
      </c>
      <c r="BM459" t="s">
        <v>379</v>
      </c>
      <c r="BN459" t="s">
        <v>81</v>
      </c>
      <c r="BO459" t="s">
        <v>56</v>
      </c>
      <c r="BP459" t="s">
        <v>190</v>
      </c>
      <c r="BR459" t="s">
        <v>63</v>
      </c>
      <c r="BT459">
        <v>-0.41</v>
      </c>
      <c r="BU459">
        <v>-0.41048400000000002</v>
      </c>
      <c r="BV459">
        <v>0.05</v>
      </c>
      <c r="BW459">
        <f>BV459*SQRT(AK459)</f>
        <v>0.21794494717703372</v>
      </c>
      <c r="BX459">
        <v>-0.28999999999999998</v>
      </c>
      <c r="BY459">
        <v>-0.29354799999999998</v>
      </c>
      <c r="BZ459">
        <v>0.05</v>
      </c>
      <c r="CA459">
        <f>BZ459*SQRT(AL459)</f>
        <v>0.21794494717703372</v>
      </c>
      <c r="CB459">
        <v>15</v>
      </c>
      <c r="CC459">
        <v>5</v>
      </c>
      <c r="CD459">
        <v>0.33500000000000002</v>
      </c>
      <c r="CE459">
        <v>4.3499999999999997E-2</v>
      </c>
    </row>
    <row r="460" spans="4:83" hidden="1" x14ac:dyDescent="0.2">
      <c r="D460">
        <v>30</v>
      </c>
      <c r="G460" t="s">
        <v>43</v>
      </c>
      <c r="H460" t="s">
        <v>372</v>
      </c>
      <c r="J460">
        <v>2011</v>
      </c>
      <c r="M460" t="s">
        <v>116</v>
      </c>
      <c r="T460" t="s">
        <v>373</v>
      </c>
      <c r="U460" t="s">
        <v>374</v>
      </c>
      <c r="V460" t="s">
        <v>375</v>
      </c>
      <c r="Z460" t="s">
        <v>49</v>
      </c>
      <c r="AA460" t="s">
        <v>49</v>
      </c>
      <c r="AB460" t="s">
        <v>50</v>
      </c>
      <c r="AC460" t="s">
        <v>51</v>
      </c>
      <c r="AD460" t="s">
        <v>52</v>
      </c>
      <c r="AE460" t="s">
        <v>53</v>
      </c>
      <c r="AF460" t="s">
        <v>54</v>
      </c>
      <c r="AG460" t="s">
        <v>52</v>
      </c>
      <c r="AH460" t="s">
        <v>65</v>
      </c>
      <c r="AK460">
        <v>19</v>
      </c>
      <c r="AL460">
        <v>19</v>
      </c>
      <c r="AM460" t="s">
        <v>364</v>
      </c>
      <c r="AN460">
        <v>402</v>
      </c>
      <c r="AO460">
        <v>3</v>
      </c>
      <c r="AP460" t="s">
        <v>56</v>
      </c>
      <c r="AQ460" t="s">
        <v>57</v>
      </c>
      <c r="AR460">
        <v>8.2100000000000009</v>
      </c>
      <c r="AS460">
        <v>0</v>
      </c>
      <c r="AT460" t="s">
        <v>56</v>
      </c>
      <c r="AU460">
        <v>379</v>
      </c>
      <c r="AV460">
        <v>18</v>
      </c>
      <c r="AW460" t="s">
        <v>56</v>
      </c>
      <c r="AX460">
        <v>8.34</v>
      </c>
      <c r="AY460">
        <v>0</v>
      </c>
      <c r="AZ460" t="s">
        <v>56</v>
      </c>
      <c r="BB460">
        <f>LOG(AU460)</f>
        <v>2.5786392099680722</v>
      </c>
      <c r="BC460">
        <v>15</v>
      </c>
      <c r="BD460">
        <v>0</v>
      </c>
      <c r="BE460" t="s">
        <v>56</v>
      </c>
      <c r="BF460">
        <v>22.1</v>
      </c>
      <c r="BG460">
        <v>0</v>
      </c>
      <c r="BH460" t="s">
        <v>56</v>
      </c>
      <c r="BI460">
        <v>-23</v>
      </c>
      <c r="BJ460">
        <v>7.1</v>
      </c>
      <c r="BK460" t="s">
        <v>376</v>
      </c>
      <c r="BL460" t="s">
        <v>379</v>
      </c>
      <c r="BM460" t="s">
        <v>379</v>
      </c>
      <c r="BN460" t="s">
        <v>81</v>
      </c>
      <c r="BO460" t="s">
        <v>56</v>
      </c>
      <c r="BP460" t="s">
        <v>190</v>
      </c>
      <c r="BR460" t="s">
        <v>63</v>
      </c>
      <c r="BT460">
        <v>-0.41</v>
      </c>
      <c r="BU460">
        <v>-0.41048400000000002</v>
      </c>
      <c r="BV460">
        <v>0.05</v>
      </c>
      <c r="BW460">
        <f>BV460*SQRT(AK460)</f>
        <v>0.21794494717703372</v>
      </c>
      <c r="BX460">
        <v>-0.26</v>
      </c>
      <c r="BY460">
        <v>-0.26129000000000002</v>
      </c>
      <c r="BZ460">
        <v>0.02</v>
      </c>
      <c r="CA460">
        <f>BZ460*SQRT(AL460)</f>
        <v>8.717797887081348E-2</v>
      </c>
      <c r="CB460">
        <v>15</v>
      </c>
      <c r="CC460">
        <v>5</v>
      </c>
      <c r="CD460">
        <v>0.45200000000000001</v>
      </c>
      <c r="CE460">
        <v>2.01E-2</v>
      </c>
    </row>
    <row r="461" spans="4:83" hidden="1" x14ac:dyDescent="0.2">
      <c r="D461">
        <v>30</v>
      </c>
      <c r="G461" t="s">
        <v>43</v>
      </c>
      <c r="H461" t="s">
        <v>372</v>
      </c>
      <c r="J461">
        <v>2011</v>
      </c>
      <c r="M461" t="s">
        <v>116</v>
      </c>
      <c r="T461" t="s">
        <v>373</v>
      </c>
      <c r="U461" t="s">
        <v>374</v>
      </c>
      <c r="V461" t="s">
        <v>375</v>
      </c>
      <c r="Z461" t="s">
        <v>49</v>
      </c>
      <c r="AA461" t="s">
        <v>49</v>
      </c>
      <c r="AB461" t="s">
        <v>50</v>
      </c>
      <c r="AC461" t="s">
        <v>51</v>
      </c>
      <c r="AD461" t="s">
        <v>52</v>
      </c>
      <c r="AE461" t="s">
        <v>53</v>
      </c>
      <c r="AF461" t="s">
        <v>52</v>
      </c>
      <c r="AG461" t="s">
        <v>54</v>
      </c>
      <c r="AH461" t="s">
        <v>55</v>
      </c>
      <c r="AK461">
        <v>19</v>
      </c>
      <c r="AL461">
        <v>19</v>
      </c>
      <c r="AM461" t="s">
        <v>364</v>
      </c>
      <c r="AN461">
        <v>402</v>
      </c>
      <c r="AO461">
        <v>3</v>
      </c>
      <c r="AP461" t="s">
        <v>56</v>
      </c>
      <c r="AQ461" t="s">
        <v>57</v>
      </c>
      <c r="AR461">
        <v>8.2100000000000009</v>
      </c>
      <c r="AS461">
        <v>0</v>
      </c>
      <c r="AT461" t="s">
        <v>56</v>
      </c>
      <c r="AU461">
        <v>2367</v>
      </c>
      <c r="AV461">
        <v>42</v>
      </c>
      <c r="AW461" t="s">
        <v>56</v>
      </c>
      <c r="AX461">
        <v>7.61</v>
      </c>
      <c r="AY461">
        <v>0.01</v>
      </c>
      <c r="AZ461" t="s">
        <v>56</v>
      </c>
      <c r="BB461">
        <f>LOG(AU461)</f>
        <v>3.3741982579290828</v>
      </c>
      <c r="BC461">
        <v>15</v>
      </c>
      <c r="BD461">
        <v>0</v>
      </c>
      <c r="BE461" t="s">
        <v>56</v>
      </c>
      <c r="BF461">
        <v>14.9</v>
      </c>
      <c r="BG461">
        <v>0</v>
      </c>
      <c r="BH461" t="s">
        <v>56</v>
      </c>
      <c r="BI461">
        <v>1966</v>
      </c>
      <c r="BJ461">
        <v>-0.1</v>
      </c>
      <c r="BK461" t="s">
        <v>376</v>
      </c>
      <c r="BL461" t="s">
        <v>379</v>
      </c>
      <c r="BM461" t="s">
        <v>379</v>
      </c>
      <c r="BN461" t="s">
        <v>81</v>
      </c>
      <c r="BO461" t="s">
        <v>56</v>
      </c>
      <c r="BP461" t="s">
        <v>190</v>
      </c>
      <c r="BR461" t="s">
        <v>63</v>
      </c>
      <c r="BT461">
        <v>-0.41</v>
      </c>
      <c r="BU461">
        <v>-0.41048400000000002</v>
      </c>
      <c r="BV461">
        <v>0.05</v>
      </c>
      <c r="BW461">
        <f>BV461*SQRT(AK461)</f>
        <v>0.21794494717703372</v>
      </c>
      <c r="BX461">
        <v>-0.2</v>
      </c>
      <c r="BY461">
        <v>-0.20483899999999999</v>
      </c>
      <c r="BZ461">
        <v>0.06</v>
      </c>
      <c r="CA461">
        <f>BZ461*SQRT(AL461)</f>
        <v>0.26153393661244045</v>
      </c>
      <c r="CB461">
        <v>15</v>
      </c>
      <c r="CC461">
        <v>5</v>
      </c>
      <c r="CD461">
        <v>0.69499999999999995</v>
      </c>
      <c r="CE461">
        <v>0.10349999999999999</v>
      </c>
    </row>
    <row r="462" spans="4:83" hidden="1" x14ac:dyDescent="0.2">
      <c r="D462">
        <v>30</v>
      </c>
      <c r="G462" t="s">
        <v>43</v>
      </c>
      <c r="H462" t="s">
        <v>372</v>
      </c>
      <c r="J462">
        <v>2011</v>
      </c>
      <c r="M462" t="s">
        <v>116</v>
      </c>
      <c r="T462" t="s">
        <v>373</v>
      </c>
      <c r="U462" t="s">
        <v>374</v>
      </c>
      <c r="V462" t="s">
        <v>375</v>
      </c>
      <c r="Z462" t="s">
        <v>49</v>
      </c>
      <c r="AA462" t="s">
        <v>49</v>
      </c>
      <c r="AB462" t="s">
        <v>50</v>
      </c>
      <c r="AC462" t="s">
        <v>51</v>
      </c>
      <c r="AD462" t="s">
        <v>52</v>
      </c>
      <c r="AE462" t="s">
        <v>53</v>
      </c>
      <c r="AF462" t="s">
        <v>52</v>
      </c>
      <c r="AG462" t="s">
        <v>52</v>
      </c>
      <c r="AH462" t="s">
        <v>64</v>
      </c>
      <c r="AK462">
        <v>19</v>
      </c>
      <c r="AL462">
        <v>19</v>
      </c>
      <c r="AM462" t="s">
        <v>364</v>
      </c>
      <c r="AN462">
        <v>402</v>
      </c>
      <c r="AO462">
        <v>3</v>
      </c>
      <c r="AP462" t="s">
        <v>56</v>
      </c>
      <c r="AQ462" t="s">
        <v>57</v>
      </c>
      <c r="AR462">
        <v>8.2100000000000009</v>
      </c>
      <c r="AS462">
        <v>0</v>
      </c>
      <c r="AT462" t="s">
        <v>56</v>
      </c>
      <c r="AU462">
        <v>2199</v>
      </c>
      <c r="AV462">
        <v>33</v>
      </c>
      <c r="AW462" t="s">
        <v>56</v>
      </c>
      <c r="AX462">
        <v>7.68</v>
      </c>
      <c r="AY462">
        <v>0.01</v>
      </c>
      <c r="AZ462" t="s">
        <v>56</v>
      </c>
      <c r="BB462">
        <f>LOG(AU462)</f>
        <v>3.3422252293607904</v>
      </c>
      <c r="BC462">
        <v>15</v>
      </c>
      <c r="BD462">
        <v>0</v>
      </c>
      <c r="BE462" t="s">
        <v>56</v>
      </c>
      <c r="BF462">
        <v>22.1</v>
      </c>
      <c r="BG462">
        <v>0</v>
      </c>
      <c r="BH462" t="s">
        <v>56</v>
      </c>
      <c r="BI462">
        <v>1797</v>
      </c>
      <c r="BJ462">
        <v>7.1</v>
      </c>
      <c r="BK462" t="s">
        <v>376</v>
      </c>
      <c r="BL462" t="s">
        <v>379</v>
      </c>
      <c r="BM462" t="s">
        <v>379</v>
      </c>
      <c r="BN462" t="s">
        <v>81</v>
      </c>
      <c r="BO462" t="s">
        <v>56</v>
      </c>
      <c r="BP462" t="s">
        <v>190</v>
      </c>
      <c r="BR462" t="s">
        <v>63</v>
      </c>
      <c r="BT462">
        <v>-0.41</v>
      </c>
      <c r="BU462">
        <v>-0.41048400000000002</v>
      </c>
      <c r="BV462">
        <v>0.05</v>
      </c>
      <c r="BW462">
        <f>BV462*SQRT(AK462)</f>
        <v>0.21794494717703372</v>
      </c>
      <c r="BX462">
        <v>-0.13</v>
      </c>
      <c r="BY462">
        <v>-0.12822600000000001</v>
      </c>
      <c r="BZ462">
        <v>0.12</v>
      </c>
      <c r="CA462">
        <f>BZ462*SQRT(AL462)</f>
        <v>0.52306787322488091</v>
      </c>
      <c r="CB462">
        <v>15</v>
      </c>
      <c r="CC462">
        <v>5</v>
      </c>
      <c r="CD462">
        <v>1.1639999999999999</v>
      </c>
      <c r="CE462">
        <v>0.88980000000000004</v>
      </c>
    </row>
    <row r="463" spans="4:83" hidden="1" x14ac:dyDescent="0.2">
      <c r="D463">
        <v>30</v>
      </c>
      <c r="G463" t="s">
        <v>43</v>
      </c>
      <c r="H463" t="s">
        <v>372</v>
      </c>
      <c r="J463">
        <v>2011</v>
      </c>
      <c r="M463" t="s">
        <v>116</v>
      </c>
      <c r="T463" t="s">
        <v>373</v>
      </c>
      <c r="U463" t="s">
        <v>374</v>
      </c>
      <c r="V463" t="s">
        <v>375</v>
      </c>
      <c r="Z463" t="s">
        <v>49</v>
      </c>
      <c r="AA463" t="s">
        <v>49</v>
      </c>
      <c r="AB463" t="s">
        <v>50</v>
      </c>
      <c r="AC463" t="s">
        <v>51</v>
      </c>
      <c r="AD463" t="s">
        <v>52</v>
      </c>
      <c r="AE463" t="s">
        <v>53</v>
      </c>
      <c r="AF463" t="s">
        <v>52</v>
      </c>
      <c r="AG463" t="s">
        <v>52</v>
      </c>
      <c r="AH463" t="s">
        <v>64</v>
      </c>
      <c r="AK463">
        <v>19</v>
      </c>
      <c r="AL463">
        <v>19</v>
      </c>
      <c r="AM463" t="s">
        <v>364</v>
      </c>
      <c r="AN463">
        <v>402</v>
      </c>
      <c r="AO463">
        <v>3</v>
      </c>
      <c r="AP463" t="s">
        <v>56</v>
      </c>
      <c r="AQ463" t="s">
        <v>57</v>
      </c>
      <c r="AR463">
        <v>8.2100000000000009</v>
      </c>
      <c r="AS463">
        <v>0</v>
      </c>
      <c r="AT463" t="s">
        <v>56</v>
      </c>
      <c r="AU463">
        <v>3795</v>
      </c>
      <c r="AV463">
        <v>78</v>
      </c>
      <c r="AW463" t="s">
        <v>56</v>
      </c>
      <c r="AX463">
        <v>7.41</v>
      </c>
      <c r="AY463">
        <v>0.01</v>
      </c>
      <c r="AZ463" t="s">
        <v>56</v>
      </c>
      <c r="BB463">
        <f>LOG(AU463)</f>
        <v>3.5792117802314993</v>
      </c>
      <c r="BC463">
        <v>15</v>
      </c>
      <c r="BD463">
        <v>0</v>
      </c>
      <c r="BE463" t="s">
        <v>56</v>
      </c>
      <c r="BF463">
        <v>19.5</v>
      </c>
      <c r="BG463">
        <v>0</v>
      </c>
      <c r="BH463" t="s">
        <v>56</v>
      </c>
      <c r="BI463">
        <v>3393</v>
      </c>
      <c r="BJ463">
        <v>4.5</v>
      </c>
      <c r="BK463" t="s">
        <v>376</v>
      </c>
      <c r="BL463" t="s">
        <v>379</v>
      </c>
      <c r="BM463" t="s">
        <v>379</v>
      </c>
      <c r="BN463" t="s">
        <v>81</v>
      </c>
      <c r="BO463" t="s">
        <v>56</v>
      </c>
      <c r="BP463" t="s">
        <v>190</v>
      </c>
      <c r="BR463" t="s">
        <v>63</v>
      </c>
      <c r="BT463">
        <v>-0.41</v>
      </c>
      <c r="BU463">
        <v>-0.41048400000000002</v>
      </c>
      <c r="BV463">
        <v>0.05</v>
      </c>
      <c r="BW463">
        <f>BV463*SQRT(AK463)</f>
        <v>0.21794494717703372</v>
      </c>
      <c r="BX463">
        <v>-0.08</v>
      </c>
      <c r="BY463">
        <v>-7.9838699999999999E-2</v>
      </c>
      <c r="BZ463">
        <v>7.0000000000000007E-2</v>
      </c>
      <c r="CA463">
        <f>BZ463*SQRT(AL463)</f>
        <v>0.30512292604784719</v>
      </c>
      <c r="CB463">
        <v>15</v>
      </c>
      <c r="CC463">
        <v>5</v>
      </c>
      <c r="CD463">
        <v>1.637</v>
      </c>
      <c r="CE463">
        <v>0.84279999999999999</v>
      </c>
    </row>
    <row r="464" spans="4:83" hidden="1" x14ac:dyDescent="0.2">
      <c r="D464">
        <v>30</v>
      </c>
      <c r="G464" t="s">
        <v>114</v>
      </c>
      <c r="H464" t="s">
        <v>372</v>
      </c>
      <c r="J464">
        <v>2011</v>
      </c>
      <c r="M464" t="s">
        <v>116</v>
      </c>
      <c r="T464" t="s">
        <v>373</v>
      </c>
      <c r="U464" t="s">
        <v>374</v>
      </c>
      <c r="V464" t="s">
        <v>375</v>
      </c>
      <c r="Z464" t="s">
        <v>49</v>
      </c>
      <c r="AA464" t="s">
        <v>49</v>
      </c>
      <c r="AB464" t="s">
        <v>50</v>
      </c>
      <c r="AC464" t="s">
        <v>51</v>
      </c>
      <c r="AD464" t="s">
        <v>52</v>
      </c>
      <c r="AE464" t="s">
        <v>53</v>
      </c>
      <c r="AF464" t="s">
        <v>52</v>
      </c>
      <c r="AG464" t="s">
        <v>52</v>
      </c>
      <c r="AH464" t="s">
        <v>64</v>
      </c>
      <c r="AK464">
        <v>19</v>
      </c>
      <c r="AL464">
        <v>19</v>
      </c>
      <c r="AM464" t="s">
        <v>263</v>
      </c>
      <c r="AN464">
        <v>402</v>
      </c>
      <c r="AO464">
        <v>3</v>
      </c>
      <c r="AP464" t="s">
        <v>56</v>
      </c>
      <c r="AQ464" t="s">
        <v>57</v>
      </c>
      <c r="AR464">
        <v>8.2100000000000009</v>
      </c>
      <c r="AS464">
        <v>0</v>
      </c>
      <c r="AT464" t="s">
        <v>56</v>
      </c>
      <c r="AU464">
        <v>3088</v>
      </c>
      <c r="AV464">
        <v>33</v>
      </c>
      <c r="AW464" t="s">
        <v>56</v>
      </c>
      <c r="AX464">
        <v>7.41</v>
      </c>
      <c r="AY464">
        <v>0</v>
      </c>
      <c r="AZ464" t="s">
        <v>56</v>
      </c>
      <c r="BB464">
        <f>LOG(AU464)</f>
        <v>3.4896772916636984</v>
      </c>
      <c r="BC464">
        <v>15</v>
      </c>
      <c r="BD464">
        <v>0</v>
      </c>
      <c r="BE464" t="s">
        <v>56</v>
      </c>
      <c r="BF464">
        <v>22.4</v>
      </c>
      <c r="BG464">
        <v>0</v>
      </c>
      <c r="BH464" t="s">
        <v>56</v>
      </c>
      <c r="BI464">
        <v>2686</v>
      </c>
      <c r="BJ464">
        <v>7</v>
      </c>
      <c r="BK464" t="s">
        <v>376</v>
      </c>
      <c r="BL464" t="s">
        <v>379</v>
      </c>
      <c r="BM464" t="s">
        <v>379</v>
      </c>
      <c r="BN464" t="s">
        <v>81</v>
      </c>
      <c r="BO464" t="s">
        <v>56</v>
      </c>
      <c r="BP464" t="s">
        <v>190</v>
      </c>
      <c r="BR464" t="s">
        <v>63</v>
      </c>
      <c r="BT464">
        <v>-0.41</v>
      </c>
      <c r="BU464">
        <v>-0.41048400000000002</v>
      </c>
      <c r="BV464">
        <v>0.05</v>
      </c>
      <c r="BW464">
        <f>BV464*SQRT(AK464)</f>
        <v>0.21794494717703372</v>
      </c>
      <c r="BX464">
        <v>0.32</v>
      </c>
      <c r="BY464">
        <v>0.31532300000000002</v>
      </c>
      <c r="BZ464">
        <v>0.05</v>
      </c>
      <c r="CA464">
        <f>BZ464*SQRT(AL464)</f>
        <v>0.21794494717703372</v>
      </c>
      <c r="CB464">
        <v>15</v>
      </c>
      <c r="CC464">
        <v>5</v>
      </c>
      <c r="CE464">
        <v>3.9899999999999998E-2</v>
      </c>
    </row>
    <row r="465" spans="4:83" hidden="1" x14ac:dyDescent="0.2">
      <c r="D465">
        <v>32</v>
      </c>
      <c r="G465" t="s">
        <v>43</v>
      </c>
      <c r="H465" t="s">
        <v>380</v>
      </c>
      <c r="J465">
        <v>2013</v>
      </c>
      <c r="M465" t="s">
        <v>381</v>
      </c>
      <c r="T465" t="s">
        <v>46</v>
      </c>
      <c r="U465" t="s">
        <v>382</v>
      </c>
      <c r="V465" t="s">
        <v>383</v>
      </c>
      <c r="Z465" t="s">
        <v>177</v>
      </c>
      <c r="AA465" t="s">
        <v>177</v>
      </c>
      <c r="AB465" t="s">
        <v>50</v>
      </c>
      <c r="AC465" t="s">
        <v>108</v>
      </c>
      <c r="AD465" t="s">
        <v>52</v>
      </c>
      <c r="AE465" t="s">
        <v>53</v>
      </c>
      <c r="AF465" t="s">
        <v>52</v>
      </c>
      <c r="AG465" t="s">
        <v>52</v>
      </c>
      <c r="AH465" t="s">
        <v>64</v>
      </c>
      <c r="AK465">
        <v>4</v>
      </c>
      <c r="AL465">
        <v>4</v>
      </c>
      <c r="AN465">
        <v>397</v>
      </c>
      <c r="AO465">
        <v>14</v>
      </c>
      <c r="AP465" t="s">
        <v>56</v>
      </c>
      <c r="AQ465" t="s">
        <v>118</v>
      </c>
      <c r="AR465">
        <v>8.1</v>
      </c>
      <c r="AS465" t="s">
        <v>56</v>
      </c>
      <c r="AT465" t="s">
        <v>56</v>
      </c>
      <c r="AU465">
        <v>2909</v>
      </c>
      <c r="AV465">
        <v>1</v>
      </c>
      <c r="AW465" t="s">
        <v>56</v>
      </c>
      <c r="AX465">
        <v>7.4</v>
      </c>
      <c r="AY465" t="s">
        <v>56</v>
      </c>
      <c r="AZ465" t="s">
        <v>56</v>
      </c>
      <c r="BB465">
        <f>LOG(AU465)</f>
        <v>3.463743721247059</v>
      </c>
      <c r="BC465">
        <v>21</v>
      </c>
      <c r="BD465" t="s">
        <v>56</v>
      </c>
      <c r="BE465" t="s">
        <v>56</v>
      </c>
      <c r="BF465">
        <v>23</v>
      </c>
      <c r="BG465" t="s">
        <v>56</v>
      </c>
      <c r="BH465" t="s">
        <v>56</v>
      </c>
      <c r="BI465">
        <v>2512</v>
      </c>
      <c r="BJ465">
        <v>2</v>
      </c>
      <c r="BK465" t="s">
        <v>56</v>
      </c>
      <c r="BL465" t="s">
        <v>384</v>
      </c>
      <c r="BM465" t="s">
        <v>385</v>
      </c>
      <c r="BN465" t="s">
        <v>81</v>
      </c>
      <c r="BO465" t="s">
        <v>91</v>
      </c>
      <c r="BP465" t="s">
        <v>92</v>
      </c>
      <c r="BR465" t="s">
        <v>63</v>
      </c>
      <c r="BT465">
        <v>450.67</v>
      </c>
      <c r="BU465">
        <v>450.66800000000001</v>
      </c>
      <c r="BV465">
        <v>7.44</v>
      </c>
      <c r="BW465">
        <f>BV465*SQRT(AK465)</f>
        <v>14.88</v>
      </c>
      <c r="BX465">
        <v>419.58</v>
      </c>
      <c r="BY465">
        <v>419.584</v>
      </c>
      <c r="BZ465">
        <v>11.93</v>
      </c>
      <c r="CA465">
        <f>BZ465*SQRT(AL465)</f>
        <v>23.86</v>
      </c>
      <c r="CB465">
        <v>14</v>
      </c>
      <c r="CC465">
        <v>4</v>
      </c>
      <c r="CD465">
        <v>-7.0999999999999994E-2</v>
      </c>
      <c r="CE465">
        <v>1.1000000000000001E-3</v>
      </c>
    </row>
    <row r="466" spans="4:83" hidden="1" x14ac:dyDescent="0.2">
      <c r="D466">
        <v>32</v>
      </c>
      <c r="G466" t="s">
        <v>43</v>
      </c>
      <c r="H466" t="s">
        <v>380</v>
      </c>
      <c r="J466">
        <v>2013</v>
      </c>
      <c r="M466" t="s">
        <v>381</v>
      </c>
      <c r="T466" t="s">
        <v>46</v>
      </c>
      <c r="U466" t="s">
        <v>382</v>
      </c>
      <c r="V466" t="s">
        <v>383</v>
      </c>
      <c r="Z466" t="s">
        <v>177</v>
      </c>
      <c r="AA466" t="s">
        <v>177</v>
      </c>
      <c r="AB466" t="s">
        <v>50</v>
      </c>
      <c r="AC466" t="s">
        <v>108</v>
      </c>
      <c r="AD466" t="s">
        <v>52</v>
      </c>
      <c r="AE466" t="s">
        <v>53</v>
      </c>
      <c r="AF466" t="s">
        <v>52</v>
      </c>
      <c r="AG466" t="s">
        <v>54</v>
      </c>
      <c r="AH466" t="s">
        <v>55</v>
      </c>
      <c r="AK466">
        <v>4</v>
      </c>
      <c r="AL466">
        <v>4</v>
      </c>
      <c r="AN466">
        <v>397</v>
      </c>
      <c r="AO466">
        <v>14</v>
      </c>
      <c r="AP466" t="s">
        <v>56</v>
      </c>
      <c r="AQ466" t="s">
        <v>118</v>
      </c>
      <c r="AR466">
        <v>8.1</v>
      </c>
      <c r="AS466" t="s">
        <v>56</v>
      </c>
      <c r="AT466" t="s">
        <v>56</v>
      </c>
      <c r="AU466">
        <v>2850</v>
      </c>
      <c r="AV466">
        <v>1</v>
      </c>
      <c r="AW466" t="s">
        <v>56</v>
      </c>
      <c r="AX466">
        <v>7.4</v>
      </c>
      <c r="AY466" t="s">
        <v>56</v>
      </c>
      <c r="AZ466" t="s">
        <v>56</v>
      </c>
      <c r="BB466">
        <f>LOG(AU466)</f>
        <v>3.4548448600085102</v>
      </c>
      <c r="BC466">
        <v>21</v>
      </c>
      <c r="BD466" t="s">
        <v>56</v>
      </c>
      <c r="BE466" t="s">
        <v>56</v>
      </c>
      <c r="BF466">
        <v>21</v>
      </c>
      <c r="BG466" t="s">
        <v>56</v>
      </c>
      <c r="BH466" t="s">
        <v>56</v>
      </c>
      <c r="BI466">
        <v>2453</v>
      </c>
      <c r="BJ466">
        <v>0</v>
      </c>
      <c r="BK466" t="s">
        <v>56</v>
      </c>
      <c r="BL466" t="s">
        <v>384</v>
      </c>
      <c r="BM466" t="s">
        <v>385</v>
      </c>
      <c r="BN466" t="s">
        <v>81</v>
      </c>
      <c r="BO466" t="s">
        <v>91</v>
      </c>
      <c r="BP466" t="s">
        <v>92</v>
      </c>
      <c r="BR466" t="s">
        <v>63</v>
      </c>
      <c r="BT466">
        <v>450.67</v>
      </c>
      <c r="BU466">
        <v>450.66800000000001</v>
      </c>
      <c r="BV466">
        <v>7.44</v>
      </c>
      <c r="BW466">
        <f>BV466*SQRT(AK466)</f>
        <v>14.88</v>
      </c>
      <c r="BX466">
        <v>425.66</v>
      </c>
      <c r="BY466">
        <v>425.65600000000001</v>
      </c>
      <c r="BZ466">
        <v>8.93</v>
      </c>
      <c r="CA466">
        <f>BZ466*SQRT(AL466)</f>
        <v>17.86</v>
      </c>
      <c r="CB466">
        <v>14</v>
      </c>
      <c r="CC466">
        <v>4</v>
      </c>
      <c r="CD466">
        <v>-5.7000000000000002E-2</v>
      </c>
      <c r="CE466">
        <v>6.9999999999999999E-4</v>
      </c>
    </row>
    <row r="467" spans="4:83" hidden="1" x14ac:dyDescent="0.2">
      <c r="D467">
        <v>32</v>
      </c>
      <c r="G467" t="s">
        <v>43</v>
      </c>
      <c r="H467" t="s">
        <v>380</v>
      </c>
      <c r="J467">
        <v>2013</v>
      </c>
      <c r="M467" t="s">
        <v>381</v>
      </c>
      <c r="T467" t="s">
        <v>46</v>
      </c>
      <c r="U467" t="s">
        <v>382</v>
      </c>
      <c r="V467" t="s">
        <v>383</v>
      </c>
      <c r="Z467" t="s">
        <v>177</v>
      </c>
      <c r="AA467" t="s">
        <v>177</v>
      </c>
      <c r="AB467" t="s">
        <v>50</v>
      </c>
      <c r="AC467" t="s">
        <v>108</v>
      </c>
      <c r="AD467" t="s">
        <v>52</v>
      </c>
      <c r="AE467" t="s">
        <v>53</v>
      </c>
      <c r="AF467" t="s">
        <v>52</v>
      </c>
      <c r="AG467" t="s">
        <v>52</v>
      </c>
      <c r="AH467" t="s">
        <v>64</v>
      </c>
      <c r="AK467">
        <v>4</v>
      </c>
      <c r="AL467">
        <v>4</v>
      </c>
      <c r="AN467">
        <v>397</v>
      </c>
      <c r="AO467">
        <v>14</v>
      </c>
      <c r="AP467" t="s">
        <v>56</v>
      </c>
      <c r="AQ467" t="s">
        <v>118</v>
      </c>
      <c r="AR467">
        <v>8.1</v>
      </c>
      <c r="AS467" t="s">
        <v>56</v>
      </c>
      <c r="AT467" t="s">
        <v>56</v>
      </c>
      <c r="AU467">
        <v>2968</v>
      </c>
      <c r="AV467">
        <v>1</v>
      </c>
      <c r="AW467" t="s">
        <v>56</v>
      </c>
      <c r="AX467">
        <v>7.4</v>
      </c>
      <c r="AY467" t="s">
        <v>56</v>
      </c>
      <c r="AZ467" t="s">
        <v>56</v>
      </c>
      <c r="BB467">
        <f>LOG(AU467)</f>
        <v>3.4724638966069894</v>
      </c>
      <c r="BC467">
        <v>21</v>
      </c>
      <c r="BD467" t="s">
        <v>56</v>
      </c>
      <c r="BE467" t="s">
        <v>56</v>
      </c>
      <c r="BF467">
        <v>25</v>
      </c>
      <c r="BG467" t="s">
        <v>56</v>
      </c>
      <c r="BH467" t="s">
        <v>56</v>
      </c>
      <c r="BI467">
        <v>2571</v>
      </c>
      <c r="BJ467">
        <v>4</v>
      </c>
      <c r="BK467" t="s">
        <v>56</v>
      </c>
      <c r="BL467" t="s">
        <v>384</v>
      </c>
      <c r="BM467" t="s">
        <v>385</v>
      </c>
      <c r="BN467" t="s">
        <v>81</v>
      </c>
      <c r="BO467" t="s">
        <v>91</v>
      </c>
      <c r="BP467" t="s">
        <v>92</v>
      </c>
      <c r="BR467" t="s">
        <v>63</v>
      </c>
      <c r="BT467">
        <v>450.67</v>
      </c>
      <c r="BU467">
        <v>450.66800000000001</v>
      </c>
      <c r="BV467">
        <v>7.44</v>
      </c>
      <c r="BW467">
        <f>BV467*SQRT(AK467)</f>
        <v>14.88</v>
      </c>
      <c r="BX467">
        <v>432.95</v>
      </c>
      <c r="BY467">
        <v>432.947</v>
      </c>
      <c r="BZ467">
        <v>7.44</v>
      </c>
      <c r="CA467">
        <f>BZ467*SQRT(AL467)</f>
        <v>14.88</v>
      </c>
      <c r="CB467">
        <v>14</v>
      </c>
      <c r="CC467">
        <v>4</v>
      </c>
      <c r="CD467">
        <v>-0.04</v>
      </c>
      <c r="CE467">
        <v>5.9999999999999995E-4</v>
      </c>
    </row>
    <row r="468" spans="4:83" hidden="1" x14ac:dyDescent="0.2">
      <c r="D468">
        <v>32</v>
      </c>
      <c r="G468" t="s">
        <v>43</v>
      </c>
      <c r="H468" t="s">
        <v>380</v>
      </c>
      <c r="J468">
        <v>2013</v>
      </c>
      <c r="M468" t="s">
        <v>381</v>
      </c>
      <c r="T468" t="s">
        <v>46</v>
      </c>
      <c r="U468" t="s">
        <v>382</v>
      </c>
      <c r="V468" t="s">
        <v>383</v>
      </c>
      <c r="Z468" t="s">
        <v>177</v>
      </c>
      <c r="AA468" t="s">
        <v>177</v>
      </c>
      <c r="AB468" t="s">
        <v>50</v>
      </c>
      <c r="AC468" t="s">
        <v>108</v>
      </c>
      <c r="AD468" t="s">
        <v>52</v>
      </c>
      <c r="AE468" t="s">
        <v>53</v>
      </c>
      <c r="AF468" t="s">
        <v>52</v>
      </c>
      <c r="AG468" t="s">
        <v>54</v>
      </c>
      <c r="AH468" t="s">
        <v>55</v>
      </c>
      <c r="AK468">
        <v>4</v>
      </c>
      <c r="AL468">
        <v>4</v>
      </c>
      <c r="AN468">
        <v>397</v>
      </c>
      <c r="AO468">
        <v>14</v>
      </c>
      <c r="AP468" t="s">
        <v>56</v>
      </c>
      <c r="AQ468" t="s">
        <v>118</v>
      </c>
      <c r="AR468">
        <v>8.1</v>
      </c>
      <c r="AS468" t="s">
        <v>56</v>
      </c>
      <c r="AT468" t="s">
        <v>56</v>
      </c>
      <c r="AU468">
        <v>1754</v>
      </c>
      <c r="AV468">
        <v>1</v>
      </c>
      <c r="AW468" t="s">
        <v>56</v>
      </c>
      <c r="AX468">
        <v>7.6</v>
      </c>
      <c r="AY468" t="s">
        <v>56</v>
      </c>
      <c r="AZ468" t="s">
        <v>56</v>
      </c>
      <c r="BB468">
        <f>LOG(AU468)</f>
        <v>3.2440295890300219</v>
      </c>
      <c r="BC468">
        <v>21</v>
      </c>
      <c r="BD468" t="s">
        <v>56</v>
      </c>
      <c r="BE468" t="s">
        <v>56</v>
      </c>
      <c r="BF468">
        <v>21</v>
      </c>
      <c r="BG468" t="s">
        <v>56</v>
      </c>
      <c r="BH468" t="s">
        <v>56</v>
      </c>
      <c r="BI468">
        <v>1357</v>
      </c>
      <c r="BJ468">
        <v>0</v>
      </c>
      <c r="BK468" t="s">
        <v>56</v>
      </c>
      <c r="BL468" t="s">
        <v>384</v>
      </c>
      <c r="BM468" t="s">
        <v>385</v>
      </c>
      <c r="BN468" t="s">
        <v>81</v>
      </c>
      <c r="BO468" t="s">
        <v>91</v>
      </c>
      <c r="BP468" t="s">
        <v>92</v>
      </c>
      <c r="BR468" t="s">
        <v>63</v>
      </c>
      <c r="BT468">
        <v>450.67</v>
      </c>
      <c r="BU468">
        <v>450.66800000000001</v>
      </c>
      <c r="BV468">
        <v>7.44</v>
      </c>
      <c r="BW468">
        <f>BV468*SQRT(AK468)</f>
        <v>14.88</v>
      </c>
      <c r="BX468">
        <v>436.48</v>
      </c>
      <c r="BY468">
        <v>436.483</v>
      </c>
      <c r="BZ468">
        <v>7.44</v>
      </c>
      <c r="CA468">
        <f>BZ468*SQRT(AL468)</f>
        <v>14.88</v>
      </c>
      <c r="CB468">
        <v>14</v>
      </c>
      <c r="CC468">
        <v>4</v>
      </c>
      <c r="CD468">
        <v>-3.2000000000000001E-2</v>
      </c>
      <c r="CE468">
        <v>5.9999999999999995E-4</v>
      </c>
    </row>
    <row r="469" spans="4:83" hidden="1" x14ac:dyDescent="0.2">
      <c r="D469">
        <v>32</v>
      </c>
      <c r="G469" t="s">
        <v>43</v>
      </c>
      <c r="H469" t="s">
        <v>380</v>
      </c>
      <c r="J469">
        <v>2013</v>
      </c>
      <c r="M469" t="s">
        <v>381</v>
      </c>
      <c r="T469" t="s">
        <v>46</v>
      </c>
      <c r="U469" t="s">
        <v>382</v>
      </c>
      <c r="V469" t="s">
        <v>383</v>
      </c>
      <c r="Z469" t="s">
        <v>177</v>
      </c>
      <c r="AA469" t="s">
        <v>177</v>
      </c>
      <c r="AB469" t="s">
        <v>50</v>
      </c>
      <c r="AC469" t="s">
        <v>108</v>
      </c>
      <c r="AD469" t="s">
        <v>52</v>
      </c>
      <c r="AE469" t="s">
        <v>53</v>
      </c>
      <c r="AF469" t="s">
        <v>52</v>
      </c>
      <c r="AG469" t="s">
        <v>52</v>
      </c>
      <c r="AH469" t="s">
        <v>64</v>
      </c>
      <c r="AK469">
        <v>4</v>
      </c>
      <c r="AL469">
        <v>4</v>
      </c>
      <c r="AN469">
        <v>397</v>
      </c>
      <c r="AO469">
        <v>14</v>
      </c>
      <c r="AP469" t="s">
        <v>56</v>
      </c>
      <c r="AQ469" t="s">
        <v>118</v>
      </c>
      <c r="AR469">
        <v>8.1</v>
      </c>
      <c r="AS469" t="s">
        <v>56</v>
      </c>
      <c r="AT469" t="s">
        <v>56</v>
      </c>
      <c r="AU469">
        <v>1787</v>
      </c>
      <c r="AV469">
        <v>1</v>
      </c>
      <c r="AW469" t="s">
        <v>56</v>
      </c>
      <c r="AX469">
        <v>7.6</v>
      </c>
      <c r="AY469" t="s">
        <v>56</v>
      </c>
      <c r="AZ469" t="s">
        <v>56</v>
      </c>
      <c r="BB469">
        <f>LOG(AU469)</f>
        <v>3.2521245525056441</v>
      </c>
      <c r="BC469">
        <v>21</v>
      </c>
      <c r="BD469" t="s">
        <v>56</v>
      </c>
      <c r="BE469" t="s">
        <v>56</v>
      </c>
      <c r="BF469">
        <v>23</v>
      </c>
      <c r="BG469" t="s">
        <v>56</v>
      </c>
      <c r="BH469" t="s">
        <v>56</v>
      </c>
      <c r="BI469">
        <v>1390</v>
      </c>
      <c r="BJ469">
        <v>2</v>
      </c>
      <c r="BK469" t="s">
        <v>56</v>
      </c>
      <c r="BL469" t="s">
        <v>384</v>
      </c>
      <c r="BM469" t="s">
        <v>385</v>
      </c>
      <c r="BN469" t="s">
        <v>81</v>
      </c>
      <c r="BO469" t="s">
        <v>91</v>
      </c>
      <c r="BP469" t="s">
        <v>92</v>
      </c>
      <c r="BR469" t="s">
        <v>63</v>
      </c>
      <c r="BT469">
        <v>450.67</v>
      </c>
      <c r="BU469">
        <v>450.66800000000001</v>
      </c>
      <c r="BV469">
        <v>7.44</v>
      </c>
      <c r="BW469">
        <f>BV469*SQRT(AK469)</f>
        <v>14.88</v>
      </c>
      <c r="BX469">
        <v>446.85</v>
      </c>
      <c r="BY469">
        <v>446.846</v>
      </c>
      <c r="BZ469">
        <v>8.93</v>
      </c>
      <c r="CA469">
        <f>BZ469*SQRT(AL469)</f>
        <v>17.86</v>
      </c>
      <c r="CB469">
        <v>14</v>
      </c>
      <c r="CC469">
        <v>4</v>
      </c>
      <c r="CD469">
        <v>-8.9999999999999993E-3</v>
      </c>
      <c r="CE469">
        <v>6.9999999999999999E-4</v>
      </c>
    </row>
    <row r="470" spans="4:83" hidden="1" x14ac:dyDescent="0.2">
      <c r="D470">
        <v>32</v>
      </c>
      <c r="G470" t="s">
        <v>43</v>
      </c>
      <c r="H470" t="s">
        <v>380</v>
      </c>
      <c r="J470">
        <v>2013</v>
      </c>
      <c r="M470" t="s">
        <v>381</v>
      </c>
      <c r="T470" t="s">
        <v>46</v>
      </c>
      <c r="U470" t="s">
        <v>382</v>
      </c>
      <c r="V470" t="s">
        <v>383</v>
      </c>
      <c r="Z470" t="s">
        <v>177</v>
      </c>
      <c r="AA470" t="s">
        <v>177</v>
      </c>
      <c r="AB470" t="s">
        <v>50</v>
      </c>
      <c r="AC470" t="s">
        <v>108</v>
      </c>
      <c r="AD470" t="s">
        <v>52</v>
      </c>
      <c r="AE470" t="s">
        <v>53</v>
      </c>
      <c r="AF470" t="s">
        <v>54</v>
      </c>
      <c r="AG470" t="s">
        <v>52</v>
      </c>
      <c r="AH470" t="s">
        <v>65</v>
      </c>
      <c r="AK470">
        <v>4</v>
      </c>
      <c r="AL470">
        <v>4</v>
      </c>
      <c r="AN470">
        <v>397</v>
      </c>
      <c r="AO470">
        <v>14</v>
      </c>
      <c r="AP470" t="s">
        <v>56</v>
      </c>
      <c r="AQ470" t="s">
        <v>118</v>
      </c>
      <c r="AR470">
        <v>8.1</v>
      </c>
      <c r="AS470" t="s">
        <v>56</v>
      </c>
      <c r="AT470" t="s">
        <v>56</v>
      </c>
      <c r="AU470">
        <v>401</v>
      </c>
      <c r="AV470">
        <v>15</v>
      </c>
      <c r="AW470" t="s">
        <v>56</v>
      </c>
      <c r="AX470">
        <v>8.1</v>
      </c>
      <c r="AY470" t="s">
        <v>56</v>
      </c>
      <c r="AZ470" t="s">
        <v>56</v>
      </c>
      <c r="BB470">
        <f>LOG(AU470)</f>
        <v>2.6031443726201822</v>
      </c>
      <c r="BC470">
        <v>21</v>
      </c>
      <c r="BD470" t="s">
        <v>56</v>
      </c>
      <c r="BE470" t="s">
        <v>56</v>
      </c>
      <c r="BF470">
        <v>23</v>
      </c>
      <c r="BG470" t="s">
        <v>56</v>
      </c>
      <c r="BH470" t="s">
        <v>56</v>
      </c>
      <c r="BI470">
        <v>4</v>
      </c>
      <c r="BJ470">
        <v>2</v>
      </c>
      <c r="BK470" t="s">
        <v>56</v>
      </c>
      <c r="BL470" t="s">
        <v>384</v>
      </c>
      <c r="BM470" t="s">
        <v>385</v>
      </c>
      <c r="BN470" t="s">
        <v>81</v>
      </c>
      <c r="BO470" t="s">
        <v>91</v>
      </c>
      <c r="BP470" t="s">
        <v>92</v>
      </c>
      <c r="BR470" t="s">
        <v>63</v>
      </c>
      <c r="BT470">
        <v>450.67</v>
      </c>
      <c r="BU470">
        <v>450.66800000000001</v>
      </c>
      <c r="BV470">
        <v>7.44</v>
      </c>
      <c r="BW470">
        <f>BV470*SQRT(AK470)</f>
        <v>14.88</v>
      </c>
      <c r="BX470">
        <v>447.6</v>
      </c>
      <c r="BY470">
        <v>447.60300000000001</v>
      </c>
      <c r="BZ470">
        <v>11.91</v>
      </c>
      <c r="CA470">
        <f>BZ470*SQRT(AL470)</f>
        <v>23.82</v>
      </c>
      <c r="CB470">
        <v>14</v>
      </c>
      <c r="CC470">
        <v>4</v>
      </c>
      <c r="CD470">
        <v>-7.0000000000000001E-3</v>
      </c>
      <c r="CE470">
        <v>1E-3</v>
      </c>
    </row>
    <row r="471" spans="4:83" hidden="1" x14ac:dyDescent="0.2">
      <c r="D471">
        <v>32</v>
      </c>
      <c r="G471" t="s">
        <v>43</v>
      </c>
      <c r="H471" t="s">
        <v>380</v>
      </c>
      <c r="J471">
        <v>2013</v>
      </c>
      <c r="M471" t="s">
        <v>381</v>
      </c>
      <c r="T471" t="s">
        <v>46</v>
      </c>
      <c r="U471" t="s">
        <v>382</v>
      </c>
      <c r="V471" t="s">
        <v>383</v>
      </c>
      <c r="Z471" t="s">
        <v>177</v>
      </c>
      <c r="AA471" t="s">
        <v>177</v>
      </c>
      <c r="AB471" t="s">
        <v>50</v>
      </c>
      <c r="AC471" t="s">
        <v>108</v>
      </c>
      <c r="AD471" t="s">
        <v>52</v>
      </c>
      <c r="AE471" t="s">
        <v>53</v>
      </c>
      <c r="AF471" t="s">
        <v>52</v>
      </c>
      <c r="AG471" t="s">
        <v>52</v>
      </c>
      <c r="AH471" t="s">
        <v>64</v>
      </c>
      <c r="AK471">
        <v>4</v>
      </c>
      <c r="AL471">
        <v>4</v>
      </c>
      <c r="AN471">
        <v>397</v>
      </c>
      <c r="AO471">
        <v>14</v>
      </c>
      <c r="AP471" t="s">
        <v>56</v>
      </c>
      <c r="AQ471" t="s">
        <v>118</v>
      </c>
      <c r="AR471">
        <v>8.1</v>
      </c>
      <c r="AS471" t="s">
        <v>56</v>
      </c>
      <c r="AT471" t="s">
        <v>56</v>
      </c>
      <c r="AU471">
        <v>1820</v>
      </c>
      <c r="AV471">
        <v>1</v>
      </c>
      <c r="AW471" t="s">
        <v>56</v>
      </c>
      <c r="AX471">
        <v>7.6</v>
      </c>
      <c r="AY471" t="s">
        <v>56</v>
      </c>
      <c r="AZ471" t="s">
        <v>56</v>
      </c>
      <c r="BB471">
        <f>LOG(AU471)</f>
        <v>3.2600713879850747</v>
      </c>
      <c r="BC471">
        <v>21</v>
      </c>
      <c r="BD471" t="s">
        <v>56</v>
      </c>
      <c r="BE471" t="s">
        <v>56</v>
      </c>
      <c r="BF471">
        <v>25</v>
      </c>
      <c r="BG471" t="s">
        <v>56</v>
      </c>
      <c r="BH471" t="s">
        <v>56</v>
      </c>
      <c r="BI471">
        <v>1424</v>
      </c>
      <c r="BJ471">
        <v>4</v>
      </c>
      <c r="BK471" t="s">
        <v>56</v>
      </c>
      <c r="BL471" t="s">
        <v>384</v>
      </c>
      <c r="BM471" t="s">
        <v>385</v>
      </c>
      <c r="BN471" t="s">
        <v>81</v>
      </c>
      <c r="BO471" t="s">
        <v>91</v>
      </c>
      <c r="BP471" t="s">
        <v>92</v>
      </c>
      <c r="BR471" t="s">
        <v>63</v>
      </c>
      <c r="BT471">
        <v>450.67</v>
      </c>
      <c r="BU471">
        <v>450.66800000000001</v>
      </c>
      <c r="BV471">
        <v>7.44</v>
      </c>
      <c r="BW471">
        <f>BV471*SQRT(AK471)</f>
        <v>14.88</v>
      </c>
      <c r="BX471">
        <v>449.74</v>
      </c>
      <c r="BY471">
        <v>449.74400000000003</v>
      </c>
      <c r="BZ471">
        <v>5.95</v>
      </c>
      <c r="CA471">
        <f>BZ471*SQRT(AL471)</f>
        <v>11.9</v>
      </c>
      <c r="CB471">
        <v>14</v>
      </c>
      <c r="CC471">
        <v>4</v>
      </c>
      <c r="CD471">
        <v>-2E-3</v>
      </c>
      <c r="CE471">
        <v>4.0000000000000002E-4</v>
      </c>
    </row>
    <row r="472" spans="4:83" hidden="1" x14ac:dyDescent="0.2">
      <c r="D472">
        <v>32</v>
      </c>
      <c r="G472" t="s">
        <v>43</v>
      </c>
      <c r="H472" t="s">
        <v>380</v>
      </c>
      <c r="J472">
        <v>2013</v>
      </c>
      <c r="M472" t="s">
        <v>381</v>
      </c>
      <c r="T472" t="s">
        <v>46</v>
      </c>
      <c r="U472" t="s">
        <v>382</v>
      </c>
      <c r="V472" t="s">
        <v>383</v>
      </c>
      <c r="Z472" t="s">
        <v>177</v>
      </c>
      <c r="AA472" t="s">
        <v>177</v>
      </c>
      <c r="AB472" t="s">
        <v>50</v>
      </c>
      <c r="AC472" t="s">
        <v>108</v>
      </c>
      <c r="AD472" t="s">
        <v>52</v>
      </c>
      <c r="AE472" t="s">
        <v>53</v>
      </c>
      <c r="AF472" t="s">
        <v>52</v>
      </c>
      <c r="AG472" t="s">
        <v>52</v>
      </c>
      <c r="AH472" t="s">
        <v>64</v>
      </c>
      <c r="AK472">
        <v>4</v>
      </c>
      <c r="AL472">
        <v>4</v>
      </c>
      <c r="AN472">
        <v>397</v>
      </c>
      <c r="AO472">
        <v>14</v>
      </c>
      <c r="AP472" t="s">
        <v>56</v>
      </c>
      <c r="AQ472" t="s">
        <v>118</v>
      </c>
      <c r="AR472">
        <v>8.1</v>
      </c>
      <c r="AS472" t="s">
        <v>56</v>
      </c>
      <c r="AT472" t="s">
        <v>56</v>
      </c>
      <c r="AU472">
        <v>1082</v>
      </c>
      <c r="AV472">
        <v>1</v>
      </c>
      <c r="AW472" t="s">
        <v>56</v>
      </c>
      <c r="AX472">
        <v>7.8</v>
      </c>
      <c r="AY472" t="s">
        <v>56</v>
      </c>
      <c r="AZ472" t="s">
        <v>56</v>
      </c>
      <c r="BB472">
        <f>LOG(AU472)</f>
        <v>3.0342272607705505</v>
      </c>
      <c r="BC472">
        <v>21</v>
      </c>
      <c r="BD472" t="s">
        <v>56</v>
      </c>
      <c r="BE472" t="s">
        <v>56</v>
      </c>
      <c r="BF472">
        <v>23</v>
      </c>
      <c r="BG472" t="s">
        <v>56</v>
      </c>
      <c r="BH472" t="s">
        <v>56</v>
      </c>
      <c r="BI472">
        <v>685</v>
      </c>
      <c r="BJ472">
        <v>2</v>
      </c>
      <c r="BK472" t="s">
        <v>56</v>
      </c>
      <c r="BL472" t="s">
        <v>384</v>
      </c>
      <c r="BM472" t="s">
        <v>385</v>
      </c>
      <c r="BN472" t="s">
        <v>81</v>
      </c>
      <c r="BO472" t="s">
        <v>91</v>
      </c>
      <c r="BP472" t="s">
        <v>92</v>
      </c>
      <c r="BR472" t="s">
        <v>63</v>
      </c>
      <c r="BT472">
        <v>450.67</v>
      </c>
      <c r="BU472">
        <v>450.66800000000001</v>
      </c>
      <c r="BV472">
        <v>7.44</v>
      </c>
      <c r="BW472">
        <f>BV472*SQRT(AK472)</f>
        <v>14.88</v>
      </c>
      <c r="BX472">
        <v>451.7</v>
      </c>
      <c r="BY472">
        <v>451.7</v>
      </c>
      <c r="BZ472">
        <v>5.94</v>
      </c>
      <c r="CA472">
        <f>BZ472*SQRT(AL472)</f>
        <v>11.88</v>
      </c>
      <c r="CB472">
        <v>14</v>
      </c>
      <c r="CC472">
        <v>4</v>
      </c>
      <c r="CD472">
        <v>2E-3</v>
      </c>
      <c r="CE472">
        <v>4.0000000000000002E-4</v>
      </c>
    </row>
    <row r="473" spans="4:83" hidden="1" x14ac:dyDescent="0.2">
      <c r="D473">
        <v>32</v>
      </c>
      <c r="G473" t="s">
        <v>43</v>
      </c>
      <c r="H473" t="s">
        <v>380</v>
      </c>
      <c r="J473">
        <v>2013</v>
      </c>
      <c r="M473" t="s">
        <v>381</v>
      </c>
      <c r="T473" t="s">
        <v>46</v>
      </c>
      <c r="U473" t="s">
        <v>382</v>
      </c>
      <c r="V473" t="s">
        <v>383</v>
      </c>
      <c r="Z473" t="s">
        <v>177</v>
      </c>
      <c r="AA473" t="s">
        <v>177</v>
      </c>
      <c r="AB473" t="s">
        <v>50</v>
      </c>
      <c r="AC473" t="s">
        <v>108</v>
      </c>
      <c r="AD473" t="s">
        <v>52</v>
      </c>
      <c r="AE473" t="s">
        <v>53</v>
      </c>
      <c r="AF473" t="s">
        <v>54</v>
      </c>
      <c r="AG473" t="s">
        <v>52</v>
      </c>
      <c r="AH473" t="s">
        <v>65</v>
      </c>
      <c r="AK473">
        <v>4</v>
      </c>
      <c r="AL473">
        <v>4</v>
      </c>
      <c r="AN473">
        <v>397</v>
      </c>
      <c r="AO473">
        <v>14</v>
      </c>
      <c r="AP473" t="s">
        <v>56</v>
      </c>
      <c r="AQ473" t="s">
        <v>118</v>
      </c>
      <c r="AR473">
        <v>8.1</v>
      </c>
      <c r="AS473" t="s">
        <v>56</v>
      </c>
      <c r="AT473" t="s">
        <v>56</v>
      </c>
      <c r="AU473">
        <v>404</v>
      </c>
      <c r="AV473">
        <v>15</v>
      </c>
      <c r="AW473" t="s">
        <v>56</v>
      </c>
      <c r="AX473">
        <v>8.1</v>
      </c>
      <c r="AY473" t="s">
        <v>56</v>
      </c>
      <c r="AZ473" t="s">
        <v>56</v>
      </c>
      <c r="BB473">
        <f>LOG(AU473)</f>
        <v>2.6063813651106051</v>
      </c>
      <c r="BC473">
        <v>21</v>
      </c>
      <c r="BD473" t="s">
        <v>56</v>
      </c>
      <c r="BE473" t="s">
        <v>56</v>
      </c>
      <c r="BF473">
        <v>25</v>
      </c>
      <c r="BG473" t="s">
        <v>56</v>
      </c>
      <c r="BH473" t="s">
        <v>56</v>
      </c>
      <c r="BI473">
        <v>8</v>
      </c>
      <c r="BJ473">
        <v>4</v>
      </c>
      <c r="BK473" t="s">
        <v>56</v>
      </c>
      <c r="BL473" t="s">
        <v>384</v>
      </c>
      <c r="BM473" t="s">
        <v>385</v>
      </c>
      <c r="BN473" t="s">
        <v>81</v>
      </c>
      <c r="BO473" t="s">
        <v>91</v>
      </c>
      <c r="BP473" t="s">
        <v>92</v>
      </c>
      <c r="BR473" t="s">
        <v>63</v>
      </c>
      <c r="BT473">
        <v>450.67</v>
      </c>
      <c r="BU473">
        <v>450.66800000000001</v>
      </c>
      <c r="BV473">
        <v>7.44</v>
      </c>
      <c r="BW473">
        <f>BV473*SQRT(AK473)</f>
        <v>14.88</v>
      </c>
      <c r="BX473">
        <v>456.47</v>
      </c>
      <c r="BY473">
        <v>456.47199999999998</v>
      </c>
      <c r="BZ473">
        <v>2.96</v>
      </c>
      <c r="CA473">
        <f>BZ473*SQRT(AL473)</f>
        <v>5.92</v>
      </c>
      <c r="CB473">
        <v>14</v>
      </c>
      <c r="CC473">
        <v>4</v>
      </c>
      <c r="CD473">
        <v>1.2999999999999999E-2</v>
      </c>
      <c r="CE473">
        <v>2.9999999999999997E-4</v>
      </c>
    </row>
    <row r="474" spans="4:83" hidden="1" x14ac:dyDescent="0.2">
      <c r="D474">
        <v>32</v>
      </c>
      <c r="G474" t="s">
        <v>43</v>
      </c>
      <c r="H474" t="s">
        <v>380</v>
      </c>
      <c r="J474">
        <v>2013</v>
      </c>
      <c r="M474" t="s">
        <v>381</v>
      </c>
      <c r="T474" t="s">
        <v>46</v>
      </c>
      <c r="U474" t="s">
        <v>382</v>
      </c>
      <c r="V474" t="s">
        <v>383</v>
      </c>
      <c r="Z474" t="s">
        <v>177</v>
      </c>
      <c r="AA474" t="s">
        <v>177</v>
      </c>
      <c r="AB474" t="s">
        <v>50</v>
      </c>
      <c r="AC474" t="s">
        <v>108</v>
      </c>
      <c r="AD474" t="s">
        <v>52</v>
      </c>
      <c r="AE474" t="s">
        <v>53</v>
      </c>
      <c r="AF474" t="s">
        <v>52</v>
      </c>
      <c r="AG474" t="s">
        <v>52</v>
      </c>
      <c r="AH474" t="s">
        <v>64</v>
      </c>
      <c r="AK474">
        <v>4</v>
      </c>
      <c r="AL474">
        <v>4</v>
      </c>
      <c r="AN474">
        <v>397</v>
      </c>
      <c r="AO474">
        <v>14</v>
      </c>
      <c r="AP474" t="s">
        <v>56</v>
      </c>
      <c r="AQ474" t="s">
        <v>118</v>
      </c>
      <c r="AR474">
        <v>8.1</v>
      </c>
      <c r="AS474" t="s">
        <v>56</v>
      </c>
      <c r="AT474" t="s">
        <v>56</v>
      </c>
      <c r="AU474">
        <v>1100</v>
      </c>
      <c r="AV474">
        <v>1</v>
      </c>
      <c r="AW474" t="s">
        <v>56</v>
      </c>
      <c r="AX474">
        <v>7.8</v>
      </c>
      <c r="AY474" t="s">
        <v>56</v>
      </c>
      <c r="AZ474" t="s">
        <v>56</v>
      </c>
      <c r="BB474">
        <f>LOG(AU474)</f>
        <v>3.0413926851582249</v>
      </c>
      <c r="BC474">
        <v>21</v>
      </c>
      <c r="BD474" t="s">
        <v>56</v>
      </c>
      <c r="BE474" t="s">
        <v>56</v>
      </c>
      <c r="BF474">
        <v>25</v>
      </c>
      <c r="BG474" t="s">
        <v>56</v>
      </c>
      <c r="BH474" t="s">
        <v>56</v>
      </c>
      <c r="BI474">
        <v>703</v>
      </c>
      <c r="BJ474">
        <v>4</v>
      </c>
      <c r="BK474" t="s">
        <v>56</v>
      </c>
      <c r="BL474" t="s">
        <v>384</v>
      </c>
      <c r="BM474" t="s">
        <v>385</v>
      </c>
      <c r="BN474" t="s">
        <v>81</v>
      </c>
      <c r="BO474" t="s">
        <v>91</v>
      </c>
      <c r="BP474" t="s">
        <v>92</v>
      </c>
      <c r="BR474" t="s">
        <v>63</v>
      </c>
      <c r="BT474">
        <v>450.67</v>
      </c>
      <c r="BU474">
        <v>450.66800000000001</v>
      </c>
      <c r="BV474">
        <v>7.44</v>
      </c>
      <c r="BW474">
        <f>BV474*SQRT(AK474)</f>
        <v>14.88</v>
      </c>
      <c r="BX474">
        <v>459.08</v>
      </c>
      <c r="BY474">
        <v>459.07799999999997</v>
      </c>
      <c r="BZ474">
        <v>5.94</v>
      </c>
      <c r="CA474">
        <f>BZ474*SQRT(AL474)</f>
        <v>11.88</v>
      </c>
      <c r="CB474">
        <v>14</v>
      </c>
      <c r="CC474">
        <v>4</v>
      </c>
      <c r="CD474">
        <v>1.7999999999999999E-2</v>
      </c>
      <c r="CE474">
        <v>4.0000000000000002E-4</v>
      </c>
    </row>
    <row r="475" spans="4:83" hidden="1" x14ac:dyDescent="0.2">
      <c r="D475">
        <v>32</v>
      </c>
      <c r="G475" t="s">
        <v>43</v>
      </c>
      <c r="H475" t="s">
        <v>380</v>
      </c>
      <c r="J475">
        <v>2013</v>
      </c>
      <c r="M475" t="s">
        <v>381</v>
      </c>
      <c r="T475" t="s">
        <v>46</v>
      </c>
      <c r="U475" t="s">
        <v>382</v>
      </c>
      <c r="V475" t="s">
        <v>383</v>
      </c>
      <c r="Z475" t="s">
        <v>177</v>
      </c>
      <c r="AA475" t="s">
        <v>177</v>
      </c>
      <c r="AB475" t="s">
        <v>50</v>
      </c>
      <c r="AC475" t="s">
        <v>108</v>
      </c>
      <c r="AD475" t="s">
        <v>52</v>
      </c>
      <c r="AE475" t="s">
        <v>53</v>
      </c>
      <c r="AF475" t="s">
        <v>52</v>
      </c>
      <c r="AG475" t="s">
        <v>54</v>
      </c>
      <c r="AH475" t="s">
        <v>55</v>
      </c>
      <c r="AK475">
        <v>4</v>
      </c>
      <c r="AL475">
        <v>4</v>
      </c>
      <c r="AN475">
        <v>397</v>
      </c>
      <c r="AO475">
        <v>14</v>
      </c>
      <c r="AP475" t="s">
        <v>56</v>
      </c>
      <c r="AQ475" t="s">
        <v>118</v>
      </c>
      <c r="AR475">
        <v>8.1</v>
      </c>
      <c r="AS475" t="s">
        <v>56</v>
      </c>
      <c r="AT475" t="s">
        <v>56</v>
      </c>
      <c r="AU475">
        <v>1064</v>
      </c>
      <c r="AV475">
        <v>1</v>
      </c>
      <c r="AW475" t="s">
        <v>56</v>
      </c>
      <c r="AX475">
        <v>7.8</v>
      </c>
      <c r="AY475" t="s">
        <v>56</v>
      </c>
      <c r="AZ475" t="s">
        <v>56</v>
      </c>
      <c r="BB475">
        <f>LOG(AU475)</f>
        <v>3.0269416279590295</v>
      </c>
      <c r="BC475">
        <v>21</v>
      </c>
      <c r="BD475" t="s">
        <v>56</v>
      </c>
      <c r="BE475" t="s">
        <v>56</v>
      </c>
      <c r="BF475">
        <v>21</v>
      </c>
      <c r="BG475" t="s">
        <v>56</v>
      </c>
      <c r="BH475" t="s">
        <v>56</v>
      </c>
      <c r="BI475">
        <v>667</v>
      </c>
      <c r="BJ475">
        <v>0</v>
      </c>
      <c r="BK475" t="s">
        <v>56</v>
      </c>
      <c r="BL475" t="s">
        <v>384</v>
      </c>
      <c r="BM475" t="s">
        <v>385</v>
      </c>
      <c r="BN475" t="s">
        <v>81</v>
      </c>
      <c r="BO475" t="s">
        <v>91</v>
      </c>
      <c r="BP475" t="s">
        <v>92</v>
      </c>
      <c r="BR475" t="s">
        <v>63</v>
      </c>
      <c r="BT475">
        <v>450.67</v>
      </c>
      <c r="BU475">
        <v>450.66800000000001</v>
      </c>
      <c r="BV475">
        <v>7.44</v>
      </c>
      <c r="BW475">
        <f>BV475*SQRT(AK475)</f>
        <v>14.88</v>
      </c>
      <c r="BX475">
        <v>460.75</v>
      </c>
      <c r="BY475">
        <v>460.75</v>
      </c>
      <c r="BZ475">
        <v>7.43</v>
      </c>
      <c r="CA475">
        <f>BZ475*SQRT(AL475)</f>
        <v>14.86</v>
      </c>
      <c r="CB475">
        <v>14</v>
      </c>
      <c r="CC475">
        <v>4</v>
      </c>
      <c r="CD475">
        <v>2.1999999999999999E-2</v>
      </c>
      <c r="CE475">
        <v>5.0000000000000001E-4</v>
      </c>
    </row>
    <row r="476" spans="4:83" hidden="1" x14ac:dyDescent="0.2">
      <c r="D476">
        <v>33</v>
      </c>
      <c r="G476" t="s">
        <v>43</v>
      </c>
      <c r="H476" t="s">
        <v>386</v>
      </c>
      <c r="J476">
        <v>2017</v>
      </c>
      <c r="M476" t="s">
        <v>279</v>
      </c>
      <c r="T476" t="s">
        <v>46</v>
      </c>
      <c r="U476" t="s">
        <v>309</v>
      </c>
      <c r="V476" t="s">
        <v>387</v>
      </c>
      <c r="Z476" t="s">
        <v>49</v>
      </c>
      <c r="AA476" t="s">
        <v>49</v>
      </c>
      <c r="AB476" t="s">
        <v>50</v>
      </c>
      <c r="AC476" t="s">
        <v>117</v>
      </c>
      <c r="AD476" t="s">
        <v>52</v>
      </c>
      <c r="AE476" t="s">
        <v>56</v>
      </c>
      <c r="AF476" t="s">
        <v>54</v>
      </c>
      <c r="AG476" t="s">
        <v>52</v>
      </c>
      <c r="AH476" t="s">
        <v>65</v>
      </c>
      <c r="AK476">
        <v>5</v>
      </c>
      <c r="AL476">
        <v>5</v>
      </c>
      <c r="AN476">
        <v>426</v>
      </c>
      <c r="AO476">
        <v>4</v>
      </c>
      <c r="AP476" t="s">
        <v>56</v>
      </c>
      <c r="AQ476" t="s">
        <v>109</v>
      </c>
      <c r="AR476">
        <v>8.0299999999999994</v>
      </c>
      <c r="AS476">
        <v>0.04</v>
      </c>
      <c r="AT476" t="s">
        <v>56</v>
      </c>
      <c r="AU476">
        <v>432</v>
      </c>
      <c r="AV476">
        <v>4</v>
      </c>
      <c r="AW476" t="s">
        <v>56</v>
      </c>
      <c r="AX476">
        <v>8.01</v>
      </c>
      <c r="AY476">
        <v>0.04</v>
      </c>
      <c r="AZ476" t="s">
        <v>56</v>
      </c>
      <c r="BB476">
        <f>LOG(AU476)</f>
        <v>2.6354837468149119</v>
      </c>
      <c r="BC476">
        <v>17.100000000000001</v>
      </c>
      <c r="BD476">
        <v>0.2</v>
      </c>
      <c r="BE476" t="s">
        <v>56</v>
      </c>
      <c r="BF476">
        <v>20</v>
      </c>
      <c r="BG476">
        <v>0.5</v>
      </c>
      <c r="BH476" t="s">
        <v>56</v>
      </c>
      <c r="BI476">
        <v>6</v>
      </c>
      <c r="BJ476">
        <v>2.9</v>
      </c>
      <c r="BK476" t="s">
        <v>388</v>
      </c>
      <c r="BL476" t="s">
        <v>272</v>
      </c>
      <c r="BM476" t="s">
        <v>272</v>
      </c>
      <c r="BN476" t="s">
        <v>60</v>
      </c>
      <c r="BO476" t="s">
        <v>389</v>
      </c>
      <c r="BP476" t="s">
        <v>194</v>
      </c>
      <c r="BR476" t="s">
        <v>63</v>
      </c>
      <c r="BT476">
        <v>0.78</v>
      </c>
      <c r="BU476">
        <v>0.78</v>
      </c>
      <c r="BV476">
        <v>0.08</v>
      </c>
      <c r="BW476">
        <f>BV476*SQRT(AK476)</f>
        <v>0.17888543819998318</v>
      </c>
      <c r="BX476">
        <v>0.48</v>
      </c>
      <c r="BY476">
        <v>0.48</v>
      </c>
      <c r="BZ476">
        <v>0.04</v>
      </c>
      <c r="CA476">
        <f>BZ476*SQRT(AL476)</f>
        <v>8.9442719099991588E-2</v>
      </c>
      <c r="CB476">
        <v>90</v>
      </c>
      <c r="CC476">
        <v>5</v>
      </c>
      <c r="CD476">
        <v>-0.48599999999999999</v>
      </c>
      <c r="CE476">
        <v>1.7500000000000002E-2</v>
      </c>
    </row>
    <row r="477" spans="4:83" hidden="1" x14ac:dyDescent="0.2">
      <c r="D477">
        <v>33</v>
      </c>
      <c r="G477" t="s">
        <v>43</v>
      </c>
      <c r="H477" t="s">
        <v>386</v>
      </c>
      <c r="J477">
        <v>2017</v>
      </c>
      <c r="M477" t="s">
        <v>279</v>
      </c>
      <c r="T477" t="s">
        <v>46</v>
      </c>
      <c r="U477" t="s">
        <v>309</v>
      </c>
      <c r="V477" t="s">
        <v>387</v>
      </c>
      <c r="Z477" t="s">
        <v>49</v>
      </c>
      <c r="AA477" t="s">
        <v>49</v>
      </c>
      <c r="AB477" t="s">
        <v>50</v>
      </c>
      <c r="AC477" t="s">
        <v>117</v>
      </c>
      <c r="AD477" t="s">
        <v>52</v>
      </c>
      <c r="AE477" t="s">
        <v>56</v>
      </c>
      <c r="AF477" t="s">
        <v>52</v>
      </c>
      <c r="AG477" t="s">
        <v>52</v>
      </c>
      <c r="AH477" t="s">
        <v>64</v>
      </c>
      <c r="AK477">
        <v>5</v>
      </c>
      <c r="AL477">
        <v>5</v>
      </c>
      <c r="AN477">
        <v>426</v>
      </c>
      <c r="AO477">
        <v>4</v>
      </c>
      <c r="AP477" t="s">
        <v>56</v>
      </c>
      <c r="AQ477" t="s">
        <v>109</v>
      </c>
      <c r="AR477">
        <v>8.0299999999999994</v>
      </c>
      <c r="AS477">
        <v>0.04</v>
      </c>
      <c r="AT477" t="s">
        <v>56</v>
      </c>
      <c r="AU477">
        <v>879</v>
      </c>
      <c r="AV477">
        <v>7</v>
      </c>
      <c r="AW477" t="s">
        <v>56</v>
      </c>
      <c r="AX477">
        <v>7.74</v>
      </c>
      <c r="AY477">
        <v>0.02</v>
      </c>
      <c r="AZ477" t="s">
        <v>56</v>
      </c>
      <c r="BB477">
        <f>LOG(AU477)</f>
        <v>2.9439888750737717</v>
      </c>
      <c r="BC477">
        <v>17.100000000000001</v>
      </c>
      <c r="BD477">
        <v>0.2</v>
      </c>
      <c r="BE477" t="s">
        <v>56</v>
      </c>
      <c r="BF477">
        <v>20.2</v>
      </c>
      <c r="BG477">
        <v>0.3</v>
      </c>
      <c r="BH477" t="s">
        <v>56</v>
      </c>
      <c r="BI477">
        <v>453</v>
      </c>
      <c r="BJ477">
        <v>3.1</v>
      </c>
      <c r="BK477" t="s">
        <v>388</v>
      </c>
      <c r="BL477" t="s">
        <v>272</v>
      </c>
      <c r="BM477" t="s">
        <v>272</v>
      </c>
      <c r="BN477" t="s">
        <v>60</v>
      </c>
      <c r="BO477" t="s">
        <v>389</v>
      </c>
      <c r="BP477" t="s">
        <v>194</v>
      </c>
      <c r="BR477" t="s">
        <v>63</v>
      </c>
      <c r="BT477">
        <v>0.78</v>
      </c>
      <c r="BU477">
        <v>0.78</v>
      </c>
      <c r="BV477">
        <v>0.08</v>
      </c>
      <c r="BW477">
        <f>BV477*SQRT(AK477)</f>
        <v>0.17888543819998318</v>
      </c>
      <c r="BX477">
        <v>0.48</v>
      </c>
      <c r="BY477">
        <v>0.48</v>
      </c>
      <c r="BZ477">
        <v>0.08</v>
      </c>
      <c r="CA477">
        <f>BZ477*SQRT(AL477)</f>
        <v>0.17888543819998318</v>
      </c>
      <c r="CB477">
        <v>90</v>
      </c>
      <c r="CC477">
        <v>5</v>
      </c>
      <c r="CD477">
        <v>-0.48599999999999999</v>
      </c>
      <c r="CE477">
        <v>3.8300000000000001E-2</v>
      </c>
    </row>
    <row r="478" spans="4:83" hidden="1" x14ac:dyDescent="0.2">
      <c r="D478">
        <v>33</v>
      </c>
      <c r="G478" t="s">
        <v>43</v>
      </c>
      <c r="H478" t="s">
        <v>386</v>
      </c>
      <c r="J478">
        <v>2017</v>
      </c>
      <c r="M478" t="s">
        <v>279</v>
      </c>
      <c r="T478" t="s">
        <v>46</v>
      </c>
      <c r="U478" t="s">
        <v>309</v>
      </c>
      <c r="V478" t="s">
        <v>387</v>
      </c>
      <c r="Z478" t="s">
        <v>49</v>
      </c>
      <c r="AA478" t="s">
        <v>49</v>
      </c>
      <c r="AB478" t="s">
        <v>50</v>
      </c>
      <c r="AC478" t="s">
        <v>117</v>
      </c>
      <c r="AD478" t="s">
        <v>52</v>
      </c>
      <c r="AE478" t="s">
        <v>56</v>
      </c>
      <c r="AF478" t="s">
        <v>54</v>
      </c>
      <c r="AG478" t="s">
        <v>52</v>
      </c>
      <c r="AH478" t="s">
        <v>65</v>
      </c>
      <c r="AK478">
        <v>5</v>
      </c>
      <c r="AL478">
        <v>5</v>
      </c>
      <c r="AN478">
        <v>426</v>
      </c>
      <c r="AO478">
        <v>4</v>
      </c>
      <c r="AP478" t="s">
        <v>56</v>
      </c>
      <c r="AQ478" t="s">
        <v>109</v>
      </c>
      <c r="AR478">
        <v>8.0299999999999994</v>
      </c>
      <c r="AS478">
        <v>0.04</v>
      </c>
      <c r="AT478" t="s">
        <v>56</v>
      </c>
      <c r="AU478">
        <v>432</v>
      </c>
      <c r="AV478">
        <v>4</v>
      </c>
      <c r="AW478" t="s">
        <v>56</v>
      </c>
      <c r="AX478">
        <v>8.01</v>
      </c>
      <c r="AY478">
        <v>0.04</v>
      </c>
      <c r="AZ478" t="s">
        <v>56</v>
      </c>
      <c r="BB478">
        <f>LOG(AU478)</f>
        <v>2.6354837468149119</v>
      </c>
      <c r="BC478">
        <v>17.100000000000001</v>
      </c>
      <c r="BD478">
        <v>0.2</v>
      </c>
      <c r="BE478" t="s">
        <v>56</v>
      </c>
      <c r="BF478">
        <v>20</v>
      </c>
      <c r="BG478">
        <v>0.5</v>
      </c>
      <c r="BH478" t="s">
        <v>56</v>
      </c>
      <c r="BI478">
        <v>6</v>
      </c>
      <c r="BJ478">
        <v>2.9</v>
      </c>
      <c r="BK478" t="s">
        <v>388</v>
      </c>
      <c r="BL478" t="s">
        <v>390</v>
      </c>
      <c r="BM478" t="s">
        <v>59</v>
      </c>
      <c r="BN478" t="s">
        <v>60</v>
      </c>
      <c r="BO478" t="s">
        <v>391</v>
      </c>
      <c r="BP478" t="s">
        <v>62</v>
      </c>
      <c r="BR478" t="s">
        <v>63</v>
      </c>
      <c r="BT478">
        <v>-5.47</v>
      </c>
      <c r="BU478">
        <v>-5.47</v>
      </c>
      <c r="BV478">
        <v>0.31</v>
      </c>
      <c r="BW478">
        <f>BV478*SQRT(AK478)</f>
        <v>0.69318107302493481</v>
      </c>
      <c r="BX478">
        <v>-3.45</v>
      </c>
      <c r="BY478">
        <v>-3.45</v>
      </c>
      <c r="BZ478">
        <v>0.18</v>
      </c>
      <c r="CA478">
        <f>BZ478*SQRT(AL478)</f>
        <v>0.40249223594996214</v>
      </c>
      <c r="CB478">
        <v>90</v>
      </c>
      <c r="CC478">
        <v>5</v>
      </c>
      <c r="CD478">
        <v>-0.46100000000000002</v>
      </c>
      <c r="CE478">
        <v>5.8999999999999999E-3</v>
      </c>
    </row>
    <row r="479" spans="4:83" hidden="1" x14ac:dyDescent="0.2">
      <c r="D479">
        <v>33</v>
      </c>
      <c r="G479" t="s">
        <v>43</v>
      </c>
      <c r="H479" t="s">
        <v>386</v>
      </c>
      <c r="J479">
        <v>2017</v>
      </c>
      <c r="M479" t="s">
        <v>279</v>
      </c>
      <c r="T479" t="s">
        <v>68</v>
      </c>
      <c r="U479" t="s">
        <v>392</v>
      </c>
      <c r="V479" t="s">
        <v>393</v>
      </c>
      <c r="Z479" t="s">
        <v>49</v>
      </c>
      <c r="AA479" t="s">
        <v>49</v>
      </c>
      <c r="AB479" t="s">
        <v>50</v>
      </c>
      <c r="AC479" t="s">
        <v>117</v>
      </c>
      <c r="AD479" t="s">
        <v>52</v>
      </c>
      <c r="AE479" t="s">
        <v>56</v>
      </c>
      <c r="AF479" t="s">
        <v>52</v>
      </c>
      <c r="AG479" t="s">
        <v>52</v>
      </c>
      <c r="AH479" t="s">
        <v>64</v>
      </c>
      <c r="AK479">
        <v>5</v>
      </c>
      <c r="AL479">
        <v>5</v>
      </c>
      <c r="AN479">
        <v>426</v>
      </c>
      <c r="AO479">
        <v>4</v>
      </c>
      <c r="AP479" t="s">
        <v>56</v>
      </c>
      <c r="AQ479" t="s">
        <v>109</v>
      </c>
      <c r="AR479">
        <v>8.0299999999999994</v>
      </c>
      <c r="AS479">
        <v>0.04</v>
      </c>
      <c r="AT479" t="s">
        <v>56</v>
      </c>
      <c r="AU479">
        <v>879</v>
      </c>
      <c r="AV479">
        <v>7</v>
      </c>
      <c r="AW479" t="s">
        <v>56</v>
      </c>
      <c r="AX479">
        <v>7.74</v>
      </c>
      <c r="AY479">
        <v>0.02</v>
      </c>
      <c r="AZ479" t="s">
        <v>56</v>
      </c>
      <c r="BB479">
        <f>LOG(AU479)</f>
        <v>2.9439888750737717</v>
      </c>
      <c r="BC479">
        <v>17.100000000000001</v>
      </c>
      <c r="BD479">
        <v>0.2</v>
      </c>
      <c r="BE479" t="s">
        <v>56</v>
      </c>
      <c r="BF479">
        <v>20.2</v>
      </c>
      <c r="BG479">
        <v>0.3</v>
      </c>
      <c r="BH479" t="s">
        <v>56</v>
      </c>
      <c r="BI479">
        <v>453</v>
      </c>
      <c r="BJ479">
        <v>3.1</v>
      </c>
      <c r="BK479" t="s">
        <v>388</v>
      </c>
      <c r="BL479" t="s">
        <v>268</v>
      </c>
      <c r="BM479" t="s">
        <v>232</v>
      </c>
      <c r="BN479" t="s">
        <v>81</v>
      </c>
      <c r="BO479" t="s">
        <v>394</v>
      </c>
      <c r="BP479" t="s">
        <v>234</v>
      </c>
      <c r="BR479" t="s">
        <v>63</v>
      </c>
      <c r="BT479">
        <v>12.47</v>
      </c>
      <c r="BU479">
        <v>12.47</v>
      </c>
      <c r="BV479">
        <v>3.96</v>
      </c>
      <c r="BW479">
        <f>BV479*SQRT(AK479)</f>
        <v>8.8548291908991672</v>
      </c>
      <c r="BX479">
        <v>8.6300000000000008</v>
      </c>
      <c r="BY479">
        <v>8.6300000000000008</v>
      </c>
      <c r="BZ479">
        <v>3.56</v>
      </c>
      <c r="CA479">
        <f>BZ479*SQRT(AL479)</f>
        <v>7.9604019998992515</v>
      </c>
      <c r="CB479">
        <v>90</v>
      </c>
      <c r="CC479">
        <v>5</v>
      </c>
      <c r="CD479">
        <v>-0.36799999999999999</v>
      </c>
      <c r="CE479">
        <v>0.27100000000000002</v>
      </c>
    </row>
    <row r="480" spans="4:83" hidden="1" x14ac:dyDescent="0.2">
      <c r="D480">
        <v>33</v>
      </c>
      <c r="G480" t="s">
        <v>43</v>
      </c>
      <c r="H480" t="s">
        <v>386</v>
      </c>
      <c r="J480">
        <v>2017</v>
      </c>
      <c r="M480" t="s">
        <v>279</v>
      </c>
      <c r="T480" t="s">
        <v>46</v>
      </c>
      <c r="U480" t="s">
        <v>309</v>
      </c>
      <c r="V480" t="s">
        <v>387</v>
      </c>
      <c r="Z480" t="s">
        <v>49</v>
      </c>
      <c r="AA480" t="s">
        <v>49</v>
      </c>
      <c r="AB480" t="s">
        <v>50</v>
      </c>
      <c r="AC480" t="s">
        <v>117</v>
      </c>
      <c r="AD480" t="s">
        <v>52</v>
      </c>
      <c r="AE480" t="s">
        <v>56</v>
      </c>
      <c r="AF480" t="s">
        <v>52</v>
      </c>
      <c r="AG480" t="s">
        <v>54</v>
      </c>
      <c r="AH480" t="s">
        <v>55</v>
      </c>
      <c r="AK480">
        <v>5</v>
      </c>
      <c r="AL480">
        <v>5</v>
      </c>
      <c r="AN480">
        <v>426</v>
      </c>
      <c r="AO480">
        <v>4</v>
      </c>
      <c r="AP480" t="s">
        <v>56</v>
      </c>
      <c r="AQ480" t="s">
        <v>109</v>
      </c>
      <c r="AR480">
        <v>8.0299999999999994</v>
      </c>
      <c r="AS480">
        <v>0.04</v>
      </c>
      <c r="AT480" t="s">
        <v>56</v>
      </c>
      <c r="AU480">
        <v>948</v>
      </c>
      <c r="AV480">
        <v>9</v>
      </c>
      <c r="AW480" t="s">
        <v>56</v>
      </c>
      <c r="AX480">
        <v>7.72</v>
      </c>
      <c r="AY480">
        <v>0.03</v>
      </c>
      <c r="AZ480" t="s">
        <v>56</v>
      </c>
      <c r="BB480">
        <f>LOG(AU480)</f>
        <v>2.976808337338066</v>
      </c>
      <c r="BC480">
        <v>17.100000000000001</v>
      </c>
      <c r="BD480">
        <v>0.2</v>
      </c>
      <c r="BE480" t="s">
        <v>56</v>
      </c>
      <c r="BF480">
        <v>17.100000000000001</v>
      </c>
      <c r="BG480">
        <v>0.2</v>
      </c>
      <c r="BH480" t="s">
        <v>56</v>
      </c>
      <c r="BI480">
        <v>522</v>
      </c>
      <c r="BJ480">
        <v>0</v>
      </c>
      <c r="BK480" t="s">
        <v>388</v>
      </c>
      <c r="BL480" t="s">
        <v>272</v>
      </c>
      <c r="BM480" t="s">
        <v>272</v>
      </c>
      <c r="BN480" t="s">
        <v>60</v>
      </c>
      <c r="BO480" t="s">
        <v>389</v>
      </c>
      <c r="BP480" t="s">
        <v>194</v>
      </c>
      <c r="BR480" t="s">
        <v>63</v>
      </c>
      <c r="BT480">
        <v>0.78</v>
      </c>
      <c r="BU480">
        <v>0.78</v>
      </c>
      <c r="BV480">
        <v>0.08</v>
      </c>
      <c r="BW480">
        <f>BV480*SQRT(AK480)</f>
        <v>0.17888543819998318</v>
      </c>
      <c r="BX480">
        <v>0.55000000000000004</v>
      </c>
      <c r="BY480">
        <v>0.55000000000000004</v>
      </c>
      <c r="BZ480">
        <v>0.06</v>
      </c>
      <c r="CA480">
        <f>BZ480*SQRT(AL480)</f>
        <v>0.13416407864998739</v>
      </c>
      <c r="CB480">
        <v>90</v>
      </c>
      <c r="CC480">
        <v>5</v>
      </c>
      <c r="CD480">
        <v>-0.34899999999999998</v>
      </c>
      <c r="CE480">
        <v>2.24E-2</v>
      </c>
    </row>
    <row r="481" spans="4:83" hidden="1" x14ac:dyDescent="0.2">
      <c r="D481">
        <v>33</v>
      </c>
      <c r="G481" t="s">
        <v>43</v>
      </c>
      <c r="H481" t="s">
        <v>386</v>
      </c>
      <c r="J481">
        <v>2017</v>
      </c>
      <c r="M481" t="s">
        <v>279</v>
      </c>
      <c r="T481" t="s">
        <v>68</v>
      </c>
      <c r="U481" t="s">
        <v>392</v>
      </c>
      <c r="V481" t="s">
        <v>393</v>
      </c>
      <c r="Z481" t="s">
        <v>49</v>
      </c>
      <c r="AA481" t="s">
        <v>49</v>
      </c>
      <c r="AB481" t="s">
        <v>50</v>
      </c>
      <c r="AC481" t="s">
        <v>117</v>
      </c>
      <c r="AD481" t="s">
        <v>52</v>
      </c>
      <c r="AE481" t="s">
        <v>56</v>
      </c>
      <c r="AF481" t="s">
        <v>52</v>
      </c>
      <c r="AG481" t="s">
        <v>52</v>
      </c>
      <c r="AH481" t="s">
        <v>64</v>
      </c>
      <c r="AK481">
        <v>5</v>
      </c>
      <c r="AL481">
        <v>5</v>
      </c>
      <c r="AN481">
        <v>426</v>
      </c>
      <c r="AO481">
        <v>4</v>
      </c>
      <c r="AP481" t="s">
        <v>56</v>
      </c>
      <c r="AQ481" t="s">
        <v>109</v>
      </c>
      <c r="AR481">
        <v>8.0299999999999994</v>
      </c>
      <c r="AS481">
        <v>0.04</v>
      </c>
      <c r="AT481" t="s">
        <v>56</v>
      </c>
      <c r="AU481">
        <v>879</v>
      </c>
      <c r="AV481">
        <v>7</v>
      </c>
      <c r="AW481" t="s">
        <v>56</v>
      </c>
      <c r="AX481">
        <v>7.74</v>
      </c>
      <c r="AY481">
        <v>0.02</v>
      </c>
      <c r="AZ481" t="s">
        <v>56</v>
      </c>
      <c r="BB481">
        <f>LOG(AU481)</f>
        <v>2.9439888750737717</v>
      </c>
      <c r="BC481">
        <v>17.100000000000001</v>
      </c>
      <c r="BD481">
        <v>0.2</v>
      </c>
      <c r="BE481" t="s">
        <v>56</v>
      </c>
      <c r="BF481">
        <v>20.2</v>
      </c>
      <c r="BG481">
        <v>0.3</v>
      </c>
      <c r="BH481" t="s">
        <v>56</v>
      </c>
      <c r="BI481">
        <v>453</v>
      </c>
      <c r="BJ481">
        <v>3.1</v>
      </c>
      <c r="BK481" t="s">
        <v>388</v>
      </c>
      <c r="BL481" t="s">
        <v>272</v>
      </c>
      <c r="BM481" t="s">
        <v>272</v>
      </c>
      <c r="BN481" t="s">
        <v>60</v>
      </c>
      <c r="BO481" t="s">
        <v>389</v>
      </c>
      <c r="BP481" t="s">
        <v>194</v>
      </c>
      <c r="BR481" t="s">
        <v>63</v>
      </c>
      <c r="BT481">
        <v>4.28</v>
      </c>
      <c r="BU481">
        <v>4.28</v>
      </c>
      <c r="BV481">
        <v>0.31</v>
      </c>
      <c r="BW481">
        <f>BV481*SQRT(AK481)</f>
        <v>0.69318107302493481</v>
      </c>
      <c r="BX481">
        <v>3.5</v>
      </c>
      <c r="BY481">
        <v>3.5</v>
      </c>
      <c r="BZ481">
        <v>0.16</v>
      </c>
      <c r="CA481">
        <f>BZ481*SQRT(AL481)</f>
        <v>0.35777087639996635</v>
      </c>
      <c r="CB481">
        <v>90</v>
      </c>
      <c r="CC481">
        <v>5</v>
      </c>
      <c r="CD481">
        <v>-0.20100000000000001</v>
      </c>
      <c r="CE481">
        <v>7.3000000000000001E-3</v>
      </c>
    </row>
    <row r="482" spans="4:83" hidden="1" x14ac:dyDescent="0.2">
      <c r="D482">
        <v>33</v>
      </c>
      <c r="G482" t="s">
        <v>43</v>
      </c>
      <c r="H482" t="s">
        <v>386</v>
      </c>
      <c r="J482">
        <v>2017</v>
      </c>
      <c r="M482" t="s">
        <v>279</v>
      </c>
      <c r="T482" t="s">
        <v>46</v>
      </c>
      <c r="U482" t="s">
        <v>309</v>
      </c>
      <c r="V482" t="s">
        <v>387</v>
      </c>
      <c r="Z482" t="s">
        <v>49</v>
      </c>
      <c r="AA482" t="s">
        <v>49</v>
      </c>
      <c r="AB482" t="s">
        <v>50</v>
      </c>
      <c r="AC482" t="s">
        <v>117</v>
      </c>
      <c r="AD482" t="s">
        <v>52</v>
      </c>
      <c r="AE482" t="s">
        <v>56</v>
      </c>
      <c r="AF482" t="s">
        <v>52</v>
      </c>
      <c r="AG482" t="s">
        <v>52</v>
      </c>
      <c r="AH482" t="s">
        <v>64</v>
      </c>
      <c r="AK482">
        <v>5</v>
      </c>
      <c r="AL482">
        <v>5</v>
      </c>
      <c r="AN482">
        <v>426</v>
      </c>
      <c r="AO482">
        <v>4</v>
      </c>
      <c r="AP482" t="s">
        <v>56</v>
      </c>
      <c r="AQ482" t="s">
        <v>109</v>
      </c>
      <c r="AR482">
        <v>8.0299999999999994</v>
      </c>
      <c r="AS482">
        <v>0.04</v>
      </c>
      <c r="AT482" t="s">
        <v>56</v>
      </c>
      <c r="AU482">
        <v>879</v>
      </c>
      <c r="AV482">
        <v>7</v>
      </c>
      <c r="AW482" t="s">
        <v>56</v>
      </c>
      <c r="AX482">
        <v>7.74</v>
      </c>
      <c r="AY482">
        <v>0.02</v>
      </c>
      <c r="AZ482" t="s">
        <v>56</v>
      </c>
      <c r="BB482">
        <f>LOG(AU482)</f>
        <v>2.9439888750737717</v>
      </c>
      <c r="BC482">
        <v>17.100000000000001</v>
      </c>
      <c r="BD482">
        <v>0.2</v>
      </c>
      <c r="BE482" t="s">
        <v>56</v>
      </c>
      <c r="BF482">
        <v>20.2</v>
      </c>
      <c r="BG482">
        <v>0.3</v>
      </c>
      <c r="BH482" t="s">
        <v>56</v>
      </c>
      <c r="BI482">
        <v>453</v>
      </c>
      <c r="BJ482">
        <v>3.1</v>
      </c>
      <c r="BK482" t="s">
        <v>388</v>
      </c>
      <c r="BL482" t="s">
        <v>390</v>
      </c>
      <c r="BM482" t="s">
        <v>59</v>
      </c>
      <c r="BN482" t="s">
        <v>60</v>
      </c>
      <c r="BO482" t="s">
        <v>391</v>
      </c>
      <c r="BP482" t="s">
        <v>62</v>
      </c>
      <c r="BR482" t="s">
        <v>63</v>
      </c>
      <c r="BT482">
        <v>-5.47</v>
      </c>
      <c r="BU482">
        <v>-5.47</v>
      </c>
      <c r="BV482">
        <v>0.31</v>
      </c>
      <c r="BW482">
        <f>BV482*SQRT(AK482)</f>
        <v>0.69318107302493481</v>
      </c>
      <c r="BX482">
        <v>-4.57</v>
      </c>
      <c r="BY482">
        <v>-4.57</v>
      </c>
      <c r="BZ482">
        <v>0.36</v>
      </c>
      <c r="CA482">
        <f>BZ482*SQRT(AL482)</f>
        <v>0.80498447189992428</v>
      </c>
      <c r="CB482">
        <v>90</v>
      </c>
      <c r="CC482">
        <v>5</v>
      </c>
      <c r="CD482">
        <v>-0.18</v>
      </c>
      <c r="CE482">
        <v>9.4000000000000004E-3</v>
      </c>
    </row>
    <row r="483" spans="4:83" hidden="1" x14ac:dyDescent="0.2">
      <c r="D483">
        <v>33</v>
      </c>
      <c r="G483" t="s">
        <v>43</v>
      </c>
      <c r="H483" t="s">
        <v>386</v>
      </c>
      <c r="J483">
        <v>2017</v>
      </c>
      <c r="M483" t="s">
        <v>279</v>
      </c>
      <c r="T483" t="s">
        <v>68</v>
      </c>
      <c r="U483" t="s">
        <v>392</v>
      </c>
      <c r="V483" t="s">
        <v>393</v>
      </c>
      <c r="Z483" t="s">
        <v>49</v>
      </c>
      <c r="AA483" t="s">
        <v>49</v>
      </c>
      <c r="AB483" t="s">
        <v>50</v>
      </c>
      <c r="AC483" t="s">
        <v>117</v>
      </c>
      <c r="AD483" t="s">
        <v>52</v>
      </c>
      <c r="AE483" t="s">
        <v>56</v>
      </c>
      <c r="AF483" t="s">
        <v>52</v>
      </c>
      <c r="AG483" t="s">
        <v>54</v>
      </c>
      <c r="AH483" t="s">
        <v>55</v>
      </c>
      <c r="AK483">
        <v>5</v>
      </c>
      <c r="AL483">
        <v>5</v>
      </c>
      <c r="AN483">
        <v>426</v>
      </c>
      <c r="AO483">
        <v>4</v>
      </c>
      <c r="AP483" t="s">
        <v>56</v>
      </c>
      <c r="AQ483" t="s">
        <v>109</v>
      </c>
      <c r="AR483">
        <v>8.0299999999999994</v>
      </c>
      <c r="AS483">
        <v>0.04</v>
      </c>
      <c r="AT483" t="s">
        <v>56</v>
      </c>
      <c r="AU483">
        <v>948</v>
      </c>
      <c r="AV483">
        <v>9</v>
      </c>
      <c r="AW483" t="s">
        <v>56</v>
      </c>
      <c r="AX483">
        <v>7.72</v>
      </c>
      <c r="AY483">
        <v>0.03</v>
      </c>
      <c r="AZ483" t="s">
        <v>56</v>
      </c>
      <c r="BB483">
        <f>LOG(AU483)</f>
        <v>2.976808337338066</v>
      </c>
      <c r="BC483">
        <v>17.100000000000001</v>
      </c>
      <c r="BD483">
        <v>0.2</v>
      </c>
      <c r="BE483" t="s">
        <v>56</v>
      </c>
      <c r="BF483">
        <v>17.100000000000001</v>
      </c>
      <c r="BG483">
        <v>0.2</v>
      </c>
      <c r="BH483" t="s">
        <v>56</v>
      </c>
      <c r="BI483">
        <v>522</v>
      </c>
      <c r="BJ483">
        <v>0</v>
      </c>
      <c r="BK483" t="s">
        <v>388</v>
      </c>
      <c r="BL483" t="s">
        <v>268</v>
      </c>
      <c r="BM483" t="s">
        <v>232</v>
      </c>
      <c r="BN483" t="s">
        <v>81</v>
      </c>
      <c r="BO483" t="s">
        <v>394</v>
      </c>
      <c r="BP483" t="s">
        <v>234</v>
      </c>
      <c r="BR483" t="s">
        <v>63</v>
      </c>
      <c r="BT483">
        <v>12.47</v>
      </c>
      <c r="BU483">
        <v>12.47</v>
      </c>
      <c r="BV483">
        <v>3.96</v>
      </c>
      <c r="BW483">
        <f>BV483*SQRT(AK483)</f>
        <v>8.8548291908991672</v>
      </c>
      <c r="BX483">
        <v>10.55</v>
      </c>
      <c r="BY483">
        <v>10.55</v>
      </c>
      <c r="BZ483">
        <v>1.24</v>
      </c>
      <c r="CA483">
        <f>BZ483*SQRT(AL483)</f>
        <v>2.7727242920997393</v>
      </c>
      <c r="CB483">
        <v>90</v>
      </c>
      <c r="CC483">
        <v>5</v>
      </c>
      <c r="CD483">
        <v>-0.16700000000000001</v>
      </c>
      <c r="CE483">
        <v>0.1147</v>
      </c>
    </row>
    <row r="484" spans="4:83" hidden="1" x14ac:dyDescent="0.2">
      <c r="D484">
        <v>33</v>
      </c>
      <c r="G484" t="s">
        <v>43</v>
      </c>
      <c r="H484" t="s">
        <v>386</v>
      </c>
      <c r="J484">
        <v>2017</v>
      </c>
      <c r="M484" t="s">
        <v>279</v>
      </c>
      <c r="T484" t="s">
        <v>68</v>
      </c>
      <c r="U484" t="s">
        <v>392</v>
      </c>
      <c r="V484" t="s">
        <v>393</v>
      </c>
      <c r="Z484" t="s">
        <v>49</v>
      </c>
      <c r="AA484" t="s">
        <v>49</v>
      </c>
      <c r="AB484" t="s">
        <v>50</v>
      </c>
      <c r="AC484" t="s">
        <v>117</v>
      </c>
      <c r="AD484" t="s">
        <v>52</v>
      </c>
      <c r="AE484" t="s">
        <v>56</v>
      </c>
      <c r="AF484" t="s">
        <v>54</v>
      </c>
      <c r="AG484" t="s">
        <v>52</v>
      </c>
      <c r="AH484" t="s">
        <v>65</v>
      </c>
      <c r="AK484">
        <v>5</v>
      </c>
      <c r="AL484">
        <v>5</v>
      </c>
      <c r="AN484">
        <v>426</v>
      </c>
      <c r="AO484">
        <v>4</v>
      </c>
      <c r="AP484" t="s">
        <v>56</v>
      </c>
      <c r="AQ484" t="s">
        <v>109</v>
      </c>
      <c r="AR484">
        <v>8.0299999999999994</v>
      </c>
      <c r="AS484">
        <v>0.04</v>
      </c>
      <c r="AT484" t="s">
        <v>56</v>
      </c>
      <c r="AU484">
        <v>432</v>
      </c>
      <c r="AV484">
        <v>4</v>
      </c>
      <c r="AW484" t="s">
        <v>56</v>
      </c>
      <c r="AX484">
        <v>8.01</v>
      </c>
      <c r="AY484">
        <v>0.04</v>
      </c>
      <c r="AZ484" t="s">
        <v>56</v>
      </c>
      <c r="BB484">
        <f>LOG(AU484)</f>
        <v>2.6354837468149119</v>
      </c>
      <c r="BC484">
        <v>17.100000000000001</v>
      </c>
      <c r="BD484">
        <v>0.2</v>
      </c>
      <c r="BE484" t="s">
        <v>56</v>
      </c>
      <c r="BF484">
        <v>20</v>
      </c>
      <c r="BG484">
        <v>0.5</v>
      </c>
      <c r="BH484" t="s">
        <v>56</v>
      </c>
      <c r="BI484">
        <v>6</v>
      </c>
      <c r="BJ484">
        <v>2.9</v>
      </c>
      <c r="BK484" t="s">
        <v>388</v>
      </c>
      <c r="BL484" t="s">
        <v>272</v>
      </c>
      <c r="BM484" t="s">
        <v>272</v>
      </c>
      <c r="BN484" t="s">
        <v>60</v>
      </c>
      <c r="BO484" t="s">
        <v>389</v>
      </c>
      <c r="BP484" t="s">
        <v>194</v>
      </c>
      <c r="BR484" t="s">
        <v>63</v>
      </c>
      <c r="BT484">
        <v>4.28</v>
      </c>
      <c r="BU484">
        <v>4.28</v>
      </c>
      <c r="BV484">
        <v>0.31</v>
      </c>
      <c r="BW484">
        <f>BV484*SQRT(AK484)</f>
        <v>0.69318107302493481</v>
      </c>
      <c r="BX484">
        <v>3.77</v>
      </c>
      <c r="BY484">
        <v>3.77</v>
      </c>
      <c r="BZ484">
        <v>0.27</v>
      </c>
      <c r="CA484">
        <f>BZ484*SQRT(AL484)</f>
        <v>0.60373835392494324</v>
      </c>
      <c r="CB484">
        <v>90</v>
      </c>
      <c r="CC484">
        <v>5</v>
      </c>
      <c r="CD484">
        <v>-0.127</v>
      </c>
      <c r="CE484">
        <v>1.04E-2</v>
      </c>
    </row>
    <row r="485" spans="4:83" hidden="1" x14ac:dyDescent="0.2">
      <c r="D485">
        <v>33</v>
      </c>
      <c r="G485" t="s">
        <v>43</v>
      </c>
      <c r="H485" t="s">
        <v>386</v>
      </c>
      <c r="J485">
        <v>2017</v>
      </c>
      <c r="M485" t="s">
        <v>279</v>
      </c>
      <c r="T485" t="s">
        <v>68</v>
      </c>
      <c r="U485" t="s">
        <v>392</v>
      </c>
      <c r="V485" t="s">
        <v>393</v>
      </c>
      <c r="Z485" t="s">
        <v>49</v>
      </c>
      <c r="AA485" t="s">
        <v>49</v>
      </c>
      <c r="AB485" t="s">
        <v>50</v>
      </c>
      <c r="AC485" t="s">
        <v>117</v>
      </c>
      <c r="AD485" t="s">
        <v>52</v>
      </c>
      <c r="AE485" t="s">
        <v>56</v>
      </c>
      <c r="AF485" t="s">
        <v>52</v>
      </c>
      <c r="AG485" t="s">
        <v>54</v>
      </c>
      <c r="AH485" t="s">
        <v>55</v>
      </c>
      <c r="AK485">
        <v>5</v>
      </c>
      <c r="AL485">
        <v>5</v>
      </c>
      <c r="AN485">
        <v>426</v>
      </c>
      <c r="AO485">
        <v>4</v>
      </c>
      <c r="AP485" t="s">
        <v>56</v>
      </c>
      <c r="AQ485" t="s">
        <v>109</v>
      </c>
      <c r="AR485">
        <v>8.0299999999999994</v>
      </c>
      <c r="AS485">
        <v>0.04</v>
      </c>
      <c r="AT485" t="s">
        <v>56</v>
      </c>
      <c r="AU485">
        <v>948</v>
      </c>
      <c r="AV485">
        <v>9</v>
      </c>
      <c r="AW485" t="s">
        <v>56</v>
      </c>
      <c r="AX485">
        <v>7.72</v>
      </c>
      <c r="AY485">
        <v>0.03</v>
      </c>
      <c r="AZ485" t="s">
        <v>56</v>
      </c>
      <c r="BB485">
        <f>LOG(AU485)</f>
        <v>2.976808337338066</v>
      </c>
      <c r="BC485">
        <v>17.100000000000001</v>
      </c>
      <c r="BD485">
        <v>0.2</v>
      </c>
      <c r="BE485" t="s">
        <v>56</v>
      </c>
      <c r="BF485">
        <v>17.100000000000001</v>
      </c>
      <c r="BG485">
        <v>0.2</v>
      </c>
      <c r="BH485" t="s">
        <v>56</v>
      </c>
      <c r="BI485">
        <v>522</v>
      </c>
      <c r="BJ485">
        <v>0</v>
      </c>
      <c r="BK485" t="s">
        <v>388</v>
      </c>
      <c r="BL485" t="s">
        <v>272</v>
      </c>
      <c r="BM485" t="s">
        <v>272</v>
      </c>
      <c r="BN485" t="s">
        <v>60</v>
      </c>
      <c r="BO485" t="s">
        <v>389</v>
      </c>
      <c r="BP485" t="s">
        <v>194</v>
      </c>
      <c r="BR485" t="s">
        <v>63</v>
      </c>
      <c r="BT485">
        <v>4.28</v>
      </c>
      <c r="BU485">
        <v>4.28</v>
      </c>
      <c r="BV485">
        <v>0.31</v>
      </c>
      <c r="BW485">
        <f>BV485*SQRT(AK485)</f>
        <v>0.69318107302493481</v>
      </c>
      <c r="BX485">
        <v>3.84</v>
      </c>
      <c r="BY485">
        <v>3.84</v>
      </c>
      <c r="BZ485">
        <v>0.24</v>
      </c>
      <c r="CA485">
        <f>BZ485*SQRT(AL485)</f>
        <v>0.53665631459994956</v>
      </c>
      <c r="CB485">
        <v>90</v>
      </c>
      <c r="CC485">
        <v>5</v>
      </c>
      <c r="CD485">
        <v>-0.108</v>
      </c>
      <c r="CE485">
        <v>9.1999999999999998E-3</v>
      </c>
    </row>
    <row r="486" spans="4:83" hidden="1" x14ac:dyDescent="0.2">
      <c r="D486">
        <v>33</v>
      </c>
      <c r="G486" t="s">
        <v>43</v>
      </c>
      <c r="H486" t="s">
        <v>386</v>
      </c>
      <c r="J486">
        <v>2017</v>
      </c>
      <c r="M486" t="s">
        <v>279</v>
      </c>
      <c r="T486" t="s">
        <v>68</v>
      </c>
      <c r="U486" t="s">
        <v>392</v>
      </c>
      <c r="V486" t="s">
        <v>393</v>
      </c>
      <c r="Z486" t="s">
        <v>49</v>
      </c>
      <c r="AA486" t="s">
        <v>49</v>
      </c>
      <c r="AB486" t="s">
        <v>50</v>
      </c>
      <c r="AC486" t="s">
        <v>117</v>
      </c>
      <c r="AD486" t="s">
        <v>52</v>
      </c>
      <c r="AE486" t="s">
        <v>56</v>
      </c>
      <c r="AF486" t="s">
        <v>54</v>
      </c>
      <c r="AG486" t="s">
        <v>52</v>
      </c>
      <c r="AH486" t="s">
        <v>65</v>
      </c>
      <c r="AK486">
        <v>5</v>
      </c>
      <c r="AL486">
        <v>5</v>
      </c>
      <c r="AN486">
        <v>426</v>
      </c>
      <c r="AO486">
        <v>4</v>
      </c>
      <c r="AP486" t="s">
        <v>56</v>
      </c>
      <c r="AQ486" t="s">
        <v>109</v>
      </c>
      <c r="AR486">
        <v>8.0299999999999994</v>
      </c>
      <c r="AS486">
        <v>0.04</v>
      </c>
      <c r="AT486" t="s">
        <v>56</v>
      </c>
      <c r="AU486">
        <v>432</v>
      </c>
      <c r="AV486">
        <v>4</v>
      </c>
      <c r="AW486" t="s">
        <v>56</v>
      </c>
      <c r="AX486">
        <v>8.01</v>
      </c>
      <c r="AY486">
        <v>0.04</v>
      </c>
      <c r="AZ486" t="s">
        <v>56</v>
      </c>
      <c r="BB486">
        <f>LOG(AU486)</f>
        <v>2.6354837468149119</v>
      </c>
      <c r="BC486">
        <v>17.100000000000001</v>
      </c>
      <c r="BD486">
        <v>0.2</v>
      </c>
      <c r="BE486" t="s">
        <v>56</v>
      </c>
      <c r="BF486">
        <v>20</v>
      </c>
      <c r="BG486">
        <v>0.5</v>
      </c>
      <c r="BH486" t="s">
        <v>56</v>
      </c>
      <c r="BI486">
        <v>6</v>
      </c>
      <c r="BJ486">
        <v>2.9</v>
      </c>
      <c r="BK486" t="s">
        <v>388</v>
      </c>
      <c r="BL486" t="s">
        <v>390</v>
      </c>
      <c r="BM486" t="s">
        <v>59</v>
      </c>
      <c r="BN486" t="s">
        <v>60</v>
      </c>
      <c r="BO486" t="s">
        <v>391</v>
      </c>
      <c r="BP486" t="s">
        <v>62</v>
      </c>
      <c r="BR486" t="s">
        <v>63</v>
      </c>
      <c r="BT486">
        <v>-48.67</v>
      </c>
      <c r="BU486">
        <v>-48.67</v>
      </c>
      <c r="BV486">
        <v>6.67</v>
      </c>
      <c r="BW486">
        <f>BV486*SQRT(AK486)</f>
        <v>14.914573409923598</v>
      </c>
      <c r="BX486">
        <v>-47.41</v>
      </c>
      <c r="BY486">
        <v>-47.41</v>
      </c>
      <c r="BZ486">
        <v>3.77</v>
      </c>
      <c r="CA486">
        <f>BZ486*SQRT(AL486)</f>
        <v>8.4299762751742069</v>
      </c>
      <c r="CB486">
        <v>90</v>
      </c>
      <c r="CC486">
        <v>5</v>
      </c>
      <c r="CD486">
        <v>-2.5999999999999999E-2</v>
      </c>
      <c r="CE486">
        <v>2.5100000000000001E-2</v>
      </c>
    </row>
    <row r="487" spans="4:83" hidden="1" x14ac:dyDescent="0.2">
      <c r="D487">
        <v>33</v>
      </c>
      <c r="G487" t="s">
        <v>43</v>
      </c>
      <c r="H487" t="s">
        <v>386</v>
      </c>
      <c r="J487">
        <v>2017</v>
      </c>
      <c r="M487" t="s">
        <v>279</v>
      </c>
      <c r="T487" t="s">
        <v>68</v>
      </c>
      <c r="U487" t="s">
        <v>392</v>
      </c>
      <c r="V487" t="s">
        <v>393</v>
      </c>
      <c r="Z487" t="s">
        <v>49</v>
      </c>
      <c r="AA487" t="s">
        <v>49</v>
      </c>
      <c r="AB487" t="s">
        <v>50</v>
      </c>
      <c r="AC487" t="s">
        <v>117</v>
      </c>
      <c r="AD487" t="s">
        <v>52</v>
      </c>
      <c r="AE487" t="s">
        <v>56</v>
      </c>
      <c r="AF487" t="s">
        <v>54</v>
      </c>
      <c r="AG487" t="s">
        <v>52</v>
      </c>
      <c r="AH487" t="s">
        <v>65</v>
      </c>
      <c r="AK487">
        <v>5</v>
      </c>
      <c r="AL487">
        <v>5</v>
      </c>
      <c r="AN487">
        <v>426</v>
      </c>
      <c r="AO487">
        <v>4</v>
      </c>
      <c r="AP487" t="s">
        <v>56</v>
      </c>
      <c r="AQ487" t="s">
        <v>109</v>
      </c>
      <c r="AR487">
        <v>8.0299999999999994</v>
      </c>
      <c r="AS487">
        <v>0.04</v>
      </c>
      <c r="AT487" t="s">
        <v>56</v>
      </c>
      <c r="AU487">
        <v>432</v>
      </c>
      <c r="AV487">
        <v>4</v>
      </c>
      <c r="AW487" t="s">
        <v>56</v>
      </c>
      <c r="AX487">
        <v>8.01</v>
      </c>
      <c r="AY487">
        <v>0.04</v>
      </c>
      <c r="AZ487" t="s">
        <v>56</v>
      </c>
      <c r="BB487">
        <f>LOG(AU487)</f>
        <v>2.6354837468149119</v>
      </c>
      <c r="BC487">
        <v>17.100000000000001</v>
      </c>
      <c r="BD487">
        <v>0.2</v>
      </c>
      <c r="BE487" t="s">
        <v>56</v>
      </c>
      <c r="BF487">
        <v>20</v>
      </c>
      <c r="BG487">
        <v>0.5</v>
      </c>
      <c r="BH487" t="s">
        <v>56</v>
      </c>
      <c r="BI487">
        <v>6</v>
      </c>
      <c r="BJ487">
        <v>2.9</v>
      </c>
      <c r="BK487" t="s">
        <v>388</v>
      </c>
      <c r="BL487" t="s">
        <v>268</v>
      </c>
      <c r="BM487" t="s">
        <v>232</v>
      </c>
      <c r="BN487" t="s">
        <v>81</v>
      </c>
      <c r="BO487" t="s">
        <v>394</v>
      </c>
      <c r="BP487" t="s">
        <v>234</v>
      </c>
      <c r="BR487" t="s">
        <v>63</v>
      </c>
      <c r="BT487">
        <v>12.47</v>
      </c>
      <c r="BU487">
        <v>12.47</v>
      </c>
      <c r="BV487">
        <v>3.96</v>
      </c>
      <c r="BW487">
        <f>BV487*SQRT(AK487)</f>
        <v>8.8548291908991672</v>
      </c>
      <c r="BX487">
        <v>12.19</v>
      </c>
      <c r="BY487">
        <v>12.19</v>
      </c>
      <c r="BZ487">
        <v>3.7</v>
      </c>
      <c r="CA487">
        <f>BZ487*SQRT(AL487)</f>
        <v>8.2734515167492226</v>
      </c>
      <c r="CB487">
        <v>90</v>
      </c>
      <c r="CC487">
        <v>5</v>
      </c>
      <c r="CD487">
        <v>-2.3E-2</v>
      </c>
      <c r="CE487">
        <v>0.193</v>
      </c>
    </row>
    <row r="488" spans="4:83" hidden="1" x14ac:dyDescent="0.2">
      <c r="D488">
        <v>33</v>
      </c>
      <c r="G488" t="s">
        <v>43</v>
      </c>
      <c r="H488" t="s">
        <v>386</v>
      </c>
      <c r="J488">
        <v>2017</v>
      </c>
      <c r="M488" t="s">
        <v>279</v>
      </c>
      <c r="T488" t="s">
        <v>68</v>
      </c>
      <c r="U488" t="s">
        <v>392</v>
      </c>
      <c r="V488" t="s">
        <v>395</v>
      </c>
      <c r="Z488" t="s">
        <v>49</v>
      </c>
      <c r="AA488" t="s">
        <v>49</v>
      </c>
      <c r="AB488" t="s">
        <v>50</v>
      </c>
      <c r="AC488" t="s">
        <v>117</v>
      </c>
      <c r="AD488" t="s">
        <v>52</v>
      </c>
      <c r="AE488" t="s">
        <v>56</v>
      </c>
      <c r="AF488" t="s">
        <v>54</v>
      </c>
      <c r="AG488" t="s">
        <v>52</v>
      </c>
      <c r="AH488" t="s">
        <v>65</v>
      </c>
      <c r="AK488">
        <v>5</v>
      </c>
      <c r="AL488">
        <v>5</v>
      </c>
      <c r="AN488">
        <v>426</v>
      </c>
      <c r="AO488">
        <v>4</v>
      </c>
      <c r="AP488" t="s">
        <v>56</v>
      </c>
      <c r="AQ488" t="s">
        <v>109</v>
      </c>
      <c r="AR488">
        <v>8.0299999999999994</v>
      </c>
      <c r="AS488">
        <v>0.04</v>
      </c>
      <c r="AT488" t="s">
        <v>56</v>
      </c>
      <c r="AU488">
        <v>432</v>
      </c>
      <c r="AV488">
        <v>4</v>
      </c>
      <c r="AW488" t="s">
        <v>56</v>
      </c>
      <c r="AX488">
        <v>8.01</v>
      </c>
      <c r="AY488">
        <v>0.04</v>
      </c>
      <c r="AZ488" t="s">
        <v>56</v>
      </c>
      <c r="BB488">
        <f>LOG(AU488)</f>
        <v>2.6354837468149119</v>
      </c>
      <c r="BC488">
        <v>17.100000000000001</v>
      </c>
      <c r="BD488">
        <v>0.2</v>
      </c>
      <c r="BE488" t="s">
        <v>56</v>
      </c>
      <c r="BF488">
        <v>20</v>
      </c>
      <c r="BG488">
        <v>0.5</v>
      </c>
      <c r="BH488" t="s">
        <v>56</v>
      </c>
      <c r="BI488">
        <v>6</v>
      </c>
      <c r="BJ488">
        <v>2.9</v>
      </c>
      <c r="BK488" t="s">
        <v>388</v>
      </c>
      <c r="BL488" t="s">
        <v>390</v>
      </c>
      <c r="BM488" t="s">
        <v>59</v>
      </c>
      <c r="BN488" t="s">
        <v>60</v>
      </c>
      <c r="BO488" t="s">
        <v>391</v>
      </c>
      <c r="BP488" t="s">
        <v>62</v>
      </c>
      <c r="BR488" t="s">
        <v>63</v>
      </c>
      <c r="BT488">
        <v>-18.88</v>
      </c>
      <c r="BU488">
        <v>-18.88</v>
      </c>
      <c r="BV488">
        <v>3.35</v>
      </c>
      <c r="BW488">
        <f>BV488*SQRT(AK488)</f>
        <v>7.490827724624296</v>
      </c>
      <c r="BX488">
        <v>-18.46</v>
      </c>
      <c r="BY488">
        <v>-18.46</v>
      </c>
      <c r="BZ488">
        <v>3.35</v>
      </c>
      <c r="CA488">
        <f>BZ488*SQRT(AL488)</f>
        <v>7.490827724624296</v>
      </c>
      <c r="CB488">
        <v>90</v>
      </c>
      <c r="CC488">
        <v>5</v>
      </c>
      <c r="CD488">
        <v>-2.1999999999999999E-2</v>
      </c>
      <c r="CE488">
        <v>6.4399999999999999E-2</v>
      </c>
    </row>
    <row r="489" spans="4:83" hidden="1" x14ac:dyDescent="0.2">
      <c r="D489">
        <v>33</v>
      </c>
      <c r="G489" t="s">
        <v>43</v>
      </c>
      <c r="H489" t="s">
        <v>386</v>
      </c>
      <c r="J489">
        <v>2017</v>
      </c>
      <c r="M489" t="s">
        <v>279</v>
      </c>
      <c r="T489" t="s">
        <v>68</v>
      </c>
      <c r="U489" t="s">
        <v>392</v>
      </c>
      <c r="V489" t="s">
        <v>393</v>
      </c>
      <c r="Z489" t="s">
        <v>49</v>
      </c>
      <c r="AA489" t="s">
        <v>49</v>
      </c>
      <c r="AB489" t="s">
        <v>50</v>
      </c>
      <c r="AC489" t="s">
        <v>117</v>
      </c>
      <c r="AD489" t="s">
        <v>52</v>
      </c>
      <c r="AE489" t="s">
        <v>56</v>
      </c>
      <c r="AF489" t="s">
        <v>52</v>
      </c>
      <c r="AG489" t="s">
        <v>54</v>
      </c>
      <c r="AH489" t="s">
        <v>55</v>
      </c>
      <c r="AK489">
        <v>5</v>
      </c>
      <c r="AL489">
        <v>5</v>
      </c>
      <c r="AN489">
        <v>426</v>
      </c>
      <c r="AO489">
        <v>4</v>
      </c>
      <c r="AP489" t="s">
        <v>56</v>
      </c>
      <c r="AQ489" t="s">
        <v>109</v>
      </c>
      <c r="AR489">
        <v>8.0299999999999994</v>
      </c>
      <c r="AS489">
        <v>0.04</v>
      </c>
      <c r="AT489" t="s">
        <v>56</v>
      </c>
      <c r="AU489">
        <v>948</v>
      </c>
      <c r="AV489">
        <v>9</v>
      </c>
      <c r="AW489" t="s">
        <v>56</v>
      </c>
      <c r="AX489">
        <v>7.72</v>
      </c>
      <c r="AY489">
        <v>0.03</v>
      </c>
      <c r="AZ489" t="s">
        <v>56</v>
      </c>
      <c r="BB489">
        <f>LOG(AU489)</f>
        <v>2.976808337338066</v>
      </c>
      <c r="BC489">
        <v>17.100000000000001</v>
      </c>
      <c r="BD489">
        <v>0.2</v>
      </c>
      <c r="BE489" t="s">
        <v>56</v>
      </c>
      <c r="BF489">
        <v>17.100000000000001</v>
      </c>
      <c r="BG489">
        <v>0.2</v>
      </c>
      <c r="BH489" t="s">
        <v>56</v>
      </c>
      <c r="BI489">
        <v>522</v>
      </c>
      <c r="BJ489">
        <v>0</v>
      </c>
      <c r="BK489" t="s">
        <v>388</v>
      </c>
      <c r="BL489" t="s">
        <v>390</v>
      </c>
      <c r="BM489" t="s">
        <v>59</v>
      </c>
      <c r="BN489" t="s">
        <v>60</v>
      </c>
      <c r="BO489" t="s">
        <v>391</v>
      </c>
      <c r="BP489" t="s">
        <v>62</v>
      </c>
      <c r="BR489" t="s">
        <v>63</v>
      </c>
      <c r="BT489">
        <v>-48.67</v>
      </c>
      <c r="BU489">
        <v>-48.67</v>
      </c>
      <c r="BV489">
        <v>6.67</v>
      </c>
      <c r="BW489">
        <f>BV489*SQRT(AK489)</f>
        <v>14.914573409923598</v>
      </c>
      <c r="BX489">
        <v>-48.67</v>
      </c>
      <c r="BY489">
        <v>-48.67</v>
      </c>
      <c r="BZ489">
        <v>4.1900000000000004</v>
      </c>
      <c r="CA489">
        <f>BZ489*SQRT(AL489)</f>
        <v>9.3691248257241195</v>
      </c>
      <c r="CB489">
        <v>90</v>
      </c>
      <c r="CC489">
        <v>5</v>
      </c>
      <c r="CD489">
        <v>0</v>
      </c>
      <c r="CE489">
        <v>2.6200000000000001E-2</v>
      </c>
    </row>
    <row r="490" spans="4:83" hidden="1" x14ac:dyDescent="0.2">
      <c r="D490">
        <v>33</v>
      </c>
      <c r="G490" t="s">
        <v>43</v>
      </c>
      <c r="H490" t="s">
        <v>386</v>
      </c>
      <c r="J490">
        <v>2017</v>
      </c>
      <c r="M490" t="s">
        <v>279</v>
      </c>
      <c r="T490" t="s">
        <v>68</v>
      </c>
      <c r="U490" t="s">
        <v>392</v>
      </c>
      <c r="V490" t="s">
        <v>393</v>
      </c>
      <c r="Z490" t="s">
        <v>49</v>
      </c>
      <c r="AA490" t="s">
        <v>49</v>
      </c>
      <c r="AB490" t="s">
        <v>50</v>
      </c>
      <c r="AC490" t="s">
        <v>117</v>
      </c>
      <c r="AD490" t="s">
        <v>52</v>
      </c>
      <c r="AE490" t="s">
        <v>56</v>
      </c>
      <c r="AF490" t="s">
        <v>52</v>
      </c>
      <c r="AG490" t="s">
        <v>52</v>
      </c>
      <c r="AH490" t="s">
        <v>64</v>
      </c>
      <c r="AK490">
        <v>5</v>
      </c>
      <c r="AL490">
        <v>5</v>
      </c>
      <c r="AN490">
        <v>426</v>
      </c>
      <c r="AO490">
        <v>4</v>
      </c>
      <c r="AP490" t="s">
        <v>56</v>
      </c>
      <c r="AQ490" t="s">
        <v>109</v>
      </c>
      <c r="AR490">
        <v>8.0299999999999994</v>
      </c>
      <c r="AS490">
        <v>0.04</v>
      </c>
      <c r="AT490" t="s">
        <v>56</v>
      </c>
      <c r="AU490">
        <v>879</v>
      </c>
      <c r="AV490">
        <v>7</v>
      </c>
      <c r="AW490" t="s">
        <v>56</v>
      </c>
      <c r="AX490">
        <v>7.74</v>
      </c>
      <c r="AY490">
        <v>0.02</v>
      </c>
      <c r="AZ490" t="s">
        <v>56</v>
      </c>
      <c r="BB490">
        <f>LOG(AU490)</f>
        <v>2.9439888750737717</v>
      </c>
      <c r="BC490">
        <v>17.100000000000001</v>
      </c>
      <c r="BD490">
        <v>0.2</v>
      </c>
      <c r="BE490" t="s">
        <v>56</v>
      </c>
      <c r="BF490">
        <v>20.2</v>
      </c>
      <c r="BG490">
        <v>0.3</v>
      </c>
      <c r="BH490" t="s">
        <v>56</v>
      </c>
      <c r="BI490">
        <v>453</v>
      </c>
      <c r="BJ490">
        <v>3.1</v>
      </c>
      <c r="BK490" t="s">
        <v>388</v>
      </c>
      <c r="BL490" t="s">
        <v>390</v>
      </c>
      <c r="BM490" t="s">
        <v>59</v>
      </c>
      <c r="BN490" t="s">
        <v>60</v>
      </c>
      <c r="BO490" t="s">
        <v>391</v>
      </c>
      <c r="BP490" t="s">
        <v>62</v>
      </c>
      <c r="BR490" t="s">
        <v>63</v>
      </c>
      <c r="BT490">
        <v>-48.67</v>
      </c>
      <c r="BU490">
        <v>-48.67</v>
      </c>
      <c r="BV490">
        <v>6.67</v>
      </c>
      <c r="BW490">
        <f>BV490*SQRT(AK490)</f>
        <v>14.914573409923598</v>
      </c>
      <c r="BX490">
        <v>-50.34</v>
      </c>
      <c r="BY490">
        <v>-50.34</v>
      </c>
      <c r="BZ490">
        <v>1.68</v>
      </c>
      <c r="CA490">
        <f>BZ490*SQRT(AL490)</f>
        <v>3.7565942021996466</v>
      </c>
      <c r="CB490">
        <v>90</v>
      </c>
      <c r="CC490">
        <v>5</v>
      </c>
      <c r="CD490">
        <v>3.4000000000000002E-2</v>
      </c>
      <c r="CE490">
        <v>1.9900000000000001E-2</v>
      </c>
    </row>
    <row r="491" spans="4:83" hidden="1" x14ac:dyDescent="0.2">
      <c r="D491">
        <v>33</v>
      </c>
      <c r="G491" t="s">
        <v>43</v>
      </c>
      <c r="H491" t="s">
        <v>386</v>
      </c>
      <c r="J491">
        <v>2017</v>
      </c>
      <c r="M491" t="s">
        <v>279</v>
      </c>
      <c r="T491" t="s">
        <v>46</v>
      </c>
      <c r="U491" t="s">
        <v>309</v>
      </c>
      <c r="V491" t="s">
        <v>387</v>
      </c>
      <c r="Z491" t="s">
        <v>49</v>
      </c>
      <c r="AA491" t="s">
        <v>49</v>
      </c>
      <c r="AB491" t="s">
        <v>50</v>
      </c>
      <c r="AC491" t="s">
        <v>117</v>
      </c>
      <c r="AD491" t="s">
        <v>52</v>
      </c>
      <c r="AE491" t="s">
        <v>56</v>
      </c>
      <c r="AF491" t="s">
        <v>52</v>
      </c>
      <c r="AG491" t="s">
        <v>54</v>
      </c>
      <c r="AH491" t="s">
        <v>55</v>
      </c>
      <c r="AK491">
        <v>5</v>
      </c>
      <c r="AL491">
        <v>5</v>
      </c>
      <c r="AN491">
        <v>426</v>
      </c>
      <c r="AO491">
        <v>4</v>
      </c>
      <c r="AP491" t="s">
        <v>56</v>
      </c>
      <c r="AQ491" t="s">
        <v>109</v>
      </c>
      <c r="AR491">
        <v>8.0299999999999994</v>
      </c>
      <c r="AS491">
        <v>0.04</v>
      </c>
      <c r="AT491" t="s">
        <v>56</v>
      </c>
      <c r="AU491">
        <v>948</v>
      </c>
      <c r="AV491">
        <v>9</v>
      </c>
      <c r="AW491" t="s">
        <v>56</v>
      </c>
      <c r="AX491">
        <v>7.72</v>
      </c>
      <c r="AY491">
        <v>0.03</v>
      </c>
      <c r="AZ491" t="s">
        <v>56</v>
      </c>
      <c r="BB491">
        <f>LOG(AU491)</f>
        <v>2.976808337338066</v>
      </c>
      <c r="BC491">
        <v>17.100000000000001</v>
      </c>
      <c r="BD491">
        <v>0.2</v>
      </c>
      <c r="BE491" t="s">
        <v>56</v>
      </c>
      <c r="BF491">
        <v>17.100000000000001</v>
      </c>
      <c r="BG491">
        <v>0.2</v>
      </c>
      <c r="BH491" t="s">
        <v>56</v>
      </c>
      <c r="BI491">
        <v>522</v>
      </c>
      <c r="BJ491">
        <v>0</v>
      </c>
      <c r="BK491" t="s">
        <v>388</v>
      </c>
      <c r="BL491" t="s">
        <v>390</v>
      </c>
      <c r="BM491" t="s">
        <v>59</v>
      </c>
      <c r="BN491" t="s">
        <v>60</v>
      </c>
      <c r="BO491" t="s">
        <v>391</v>
      </c>
      <c r="BP491" t="s">
        <v>62</v>
      </c>
      <c r="BR491" t="s">
        <v>63</v>
      </c>
      <c r="BT491">
        <v>-5.47</v>
      </c>
      <c r="BU491">
        <v>-5.47</v>
      </c>
      <c r="BV491">
        <v>0.31</v>
      </c>
      <c r="BW491">
        <f>BV491*SQRT(AK491)</f>
        <v>0.69318107302493481</v>
      </c>
      <c r="BX491">
        <v>-5.74</v>
      </c>
      <c r="BY491">
        <v>-5.74</v>
      </c>
      <c r="BZ491">
        <v>0.45</v>
      </c>
      <c r="CA491">
        <f>BZ491*SQRT(AL491)</f>
        <v>1.0062305898749055</v>
      </c>
      <c r="CB491">
        <v>90</v>
      </c>
      <c r="CC491">
        <v>5</v>
      </c>
      <c r="CD491">
        <v>4.8000000000000001E-2</v>
      </c>
      <c r="CE491">
        <v>9.4000000000000004E-3</v>
      </c>
    </row>
    <row r="492" spans="4:83" hidden="1" x14ac:dyDescent="0.2">
      <c r="D492">
        <v>33</v>
      </c>
      <c r="G492" t="s">
        <v>43</v>
      </c>
      <c r="H492" t="s">
        <v>386</v>
      </c>
      <c r="J492">
        <v>2017</v>
      </c>
      <c r="M492" t="s">
        <v>279</v>
      </c>
      <c r="T492" t="s">
        <v>68</v>
      </c>
      <c r="U492" t="s">
        <v>392</v>
      </c>
      <c r="V492" t="s">
        <v>395</v>
      </c>
      <c r="Z492" t="s">
        <v>49</v>
      </c>
      <c r="AA492" t="s">
        <v>49</v>
      </c>
      <c r="AB492" t="s">
        <v>50</v>
      </c>
      <c r="AC492" t="s">
        <v>117</v>
      </c>
      <c r="AD492" t="s">
        <v>52</v>
      </c>
      <c r="AE492" t="s">
        <v>56</v>
      </c>
      <c r="AF492" t="s">
        <v>52</v>
      </c>
      <c r="AG492" t="s">
        <v>52</v>
      </c>
      <c r="AH492" t="s">
        <v>64</v>
      </c>
      <c r="AK492">
        <v>5</v>
      </c>
      <c r="AL492">
        <v>5</v>
      </c>
      <c r="AN492">
        <v>426</v>
      </c>
      <c r="AO492">
        <v>4</v>
      </c>
      <c r="AP492" t="s">
        <v>56</v>
      </c>
      <c r="AQ492" t="s">
        <v>109</v>
      </c>
      <c r="AR492">
        <v>8.0299999999999994</v>
      </c>
      <c r="AS492">
        <v>0.04</v>
      </c>
      <c r="AT492" t="s">
        <v>56</v>
      </c>
      <c r="AU492">
        <v>879</v>
      </c>
      <c r="AV492">
        <v>7</v>
      </c>
      <c r="AW492" t="s">
        <v>56</v>
      </c>
      <c r="AX492">
        <v>7.74</v>
      </c>
      <c r="AY492">
        <v>0.02</v>
      </c>
      <c r="AZ492" t="s">
        <v>56</v>
      </c>
      <c r="BB492">
        <f>LOG(AU492)</f>
        <v>2.9439888750737717</v>
      </c>
      <c r="BC492">
        <v>17.100000000000001</v>
      </c>
      <c r="BD492">
        <v>0.2</v>
      </c>
      <c r="BE492" t="s">
        <v>56</v>
      </c>
      <c r="BF492">
        <v>20.2</v>
      </c>
      <c r="BG492">
        <v>0.3</v>
      </c>
      <c r="BH492" t="s">
        <v>56</v>
      </c>
      <c r="BI492">
        <v>453</v>
      </c>
      <c r="BJ492">
        <v>3.1</v>
      </c>
      <c r="BK492" t="s">
        <v>388</v>
      </c>
      <c r="BL492" t="s">
        <v>390</v>
      </c>
      <c r="BM492" t="s">
        <v>59</v>
      </c>
      <c r="BN492" t="s">
        <v>60</v>
      </c>
      <c r="BO492" t="s">
        <v>391</v>
      </c>
      <c r="BP492" t="s">
        <v>62</v>
      </c>
      <c r="BR492" t="s">
        <v>63</v>
      </c>
      <c r="BT492">
        <v>-18.88</v>
      </c>
      <c r="BU492">
        <v>-18.88</v>
      </c>
      <c r="BV492">
        <v>3.35</v>
      </c>
      <c r="BW492">
        <f>BV492*SQRT(AK492)</f>
        <v>7.490827724624296</v>
      </c>
      <c r="BX492">
        <v>-29.37</v>
      </c>
      <c r="BY492">
        <v>-29.37</v>
      </c>
      <c r="BZ492">
        <v>5.03</v>
      </c>
      <c r="CA492">
        <f>BZ492*SQRT(AL492)</f>
        <v>11.247421926823943</v>
      </c>
      <c r="CB492">
        <v>90</v>
      </c>
      <c r="CC492">
        <v>5</v>
      </c>
      <c r="CD492">
        <v>0.442</v>
      </c>
      <c r="CE492">
        <v>6.08E-2</v>
      </c>
    </row>
    <row r="493" spans="4:83" hidden="1" x14ac:dyDescent="0.2">
      <c r="D493">
        <v>33</v>
      </c>
      <c r="G493" t="s">
        <v>43</v>
      </c>
      <c r="H493" t="s">
        <v>386</v>
      </c>
      <c r="J493">
        <v>2017</v>
      </c>
      <c r="M493" t="s">
        <v>279</v>
      </c>
      <c r="T493" t="s">
        <v>68</v>
      </c>
      <c r="U493" t="s">
        <v>392</v>
      </c>
      <c r="V493" t="s">
        <v>395</v>
      </c>
      <c r="Z493" t="s">
        <v>49</v>
      </c>
      <c r="AA493" t="s">
        <v>49</v>
      </c>
      <c r="AB493" t="s">
        <v>50</v>
      </c>
      <c r="AC493" t="s">
        <v>117</v>
      </c>
      <c r="AD493" t="s">
        <v>52</v>
      </c>
      <c r="AE493" t="s">
        <v>56</v>
      </c>
      <c r="AF493" t="s">
        <v>52</v>
      </c>
      <c r="AG493" t="s">
        <v>54</v>
      </c>
      <c r="AH493" t="s">
        <v>55</v>
      </c>
      <c r="AK493">
        <v>5</v>
      </c>
      <c r="AL493">
        <v>5</v>
      </c>
      <c r="AN493">
        <v>426</v>
      </c>
      <c r="AO493">
        <v>4</v>
      </c>
      <c r="AP493" t="s">
        <v>56</v>
      </c>
      <c r="AQ493" t="s">
        <v>109</v>
      </c>
      <c r="AR493">
        <v>8.0299999999999994</v>
      </c>
      <c r="AS493">
        <v>0.04</v>
      </c>
      <c r="AT493" t="s">
        <v>56</v>
      </c>
      <c r="AU493">
        <v>948</v>
      </c>
      <c r="AV493">
        <v>9</v>
      </c>
      <c r="AW493" t="s">
        <v>56</v>
      </c>
      <c r="AX493">
        <v>7.72</v>
      </c>
      <c r="AY493">
        <v>0.03</v>
      </c>
      <c r="AZ493" t="s">
        <v>56</v>
      </c>
      <c r="BB493">
        <f>LOG(AU493)</f>
        <v>2.976808337338066</v>
      </c>
      <c r="BC493">
        <v>17.100000000000001</v>
      </c>
      <c r="BD493">
        <v>0.2</v>
      </c>
      <c r="BE493" t="s">
        <v>56</v>
      </c>
      <c r="BF493">
        <v>17.100000000000001</v>
      </c>
      <c r="BG493">
        <v>0.2</v>
      </c>
      <c r="BH493" t="s">
        <v>56</v>
      </c>
      <c r="BI493">
        <v>522</v>
      </c>
      <c r="BJ493">
        <v>0</v>
      </c>
      <c r="BK493" t="s">
        <v>388</v>
      </c>
      <c r="BL493" t="s">
        <v>390</v>
      </c>
      <c r="BM493" t="s">
        <v>59</v>
      </c>
      <c r="BN493" t="s">
        <v>60</v>
      </c>
      <c r="BO493" t="s">
        <v>391</v>
      </c>
      <c r="BP493" t="s">
        <v>62</v>
      </c>
      <c r="BR493" t="s">
        <v>63</v>
      </c>
      <c r="BT493">
        <v>-18.88</v>
      </c>
      <c r="BU493">
        <v>-18.88</v>
      </c>
      <c r="BV493">
        <v>3.35</v>
      </c>
      <c r="BW493">
        <f>BV493*SQRT(AK493)</f>
        <v>7.490827724624296</v>
      </c>
      <c r="BX493">
        <v>-31.46</v>
      </c>
      <c r="BY493">
        <v>-31.46</v>
      </c>
      <c r="BZ493">
        <v>3.36</v>
      </c>
      <c r="CA493">
        <f>BZ493*SQRT(AL493)</f>
        <v>7.5131884043992931</v>
      </c>
      <c r="CB493">
        <v>90</v>
      </c>
      <c r="CC493">
        <v>5</v>
      </c>
      <c r="CD493">
        <v>0.51100000000000001</v>
      </c>
      <c r="CE493">
        <v>4.2900000000000001E-2</v>
      </c>
    </row>
    <row r="494" spans="4:83" hidden="1" x14ac:dyDescent="0.2">
      <c r="D494">
        <v>33</v>
      </c>
      <c r="G494" t="s">
        <v>43</v>
      </c>
      <c r="H494" t="s">
        <v>386</v>
      </c>
      <c r="J494">
        <v>2017</v>
      </c>
      <c r="M494" t="s">
        <v>279</v>
      </c>
      <c r="T494" t="s">
        <v>46</v>
      </c>
      <c r="U494" t="s">
        <v>309</v>
      </c>
      <c r="V494" t="s">
        <v>387</v>
      </c>
      <c r="Z494" t="s">
        <v>49</v>
      </c>
      <c r="AA494" t="s">
        <v>49</v>
      </c>
      <c r="AB494" t="s">
        <v>50</v>
      </c>
      <c r="AC494" t="s">
        <v>117</v>
      </c>
      <c r="AD494" t="s">
        <v>52</v>
      </c>
      <c r="AE494" t="s">
        <v>56</v>
      </c>
      <c r="AF494" t="s">
        <v>52</v>
      </c>
      <c r="AG494" t="s">
        <v>52</v>
      </c>
      <c r="AH494" t="s">
        <v>64</v>
      </c>
      <c r="AK494">
        <v>5</v>
      </c>
      <c r="AL494">
        <v>5</v>
      </c>
      <c r="AN494">
        <v>426</v>
      </c>
      <c r="AO494">
        <v>4</v>
      </c>
      <c r="AP494" t="s">
        <v>56</v>
      </c>
      <c r="AQ494" t="s">
        <v>109</v>
      </c>
      <c r="AR494">
        <v>8.0299999999999994</v>
      </c>
      <c r="AS494">
        <v>0.04</v>
      </c>
      <c r="AT494" t="s">
        <v>56</v>
      </c>
      <c r="AU494">
        <v>879</v>
      </c>
      <c r="AV494">
        <v>7</v>
      </c>
      <c r="AW494" t="s">
        <v>56</v>
      </c>
      <c r="AX494">
        <v>7.74</v>
      </c>
      <c r="AY494">
        <v>0.02</v>
      </c>
      <c r="AZ494" t="s">
        <v>56</v>
      </c>
      <c r="BB494">
        <f>LOG(AU494)</f>
        <v>2.9439888750737717</v>
      </c>
      <c r="BC494">
        <v>17.100000000000001</v>
      </c>
      <c r="BD494">
        <v>0.2</v>
      </c>
      <c r="BE494" t="s">
        <v>56</v>
      </c>
      <c r="BF494">
        <v>20.2</v>
      </c>
      <c r="BG494">
        <v>0.3</v>
      </c>
      <c r="BH494" t="s">
        <v>56</v>
      </c>
      <c r="BI494">
        <v>453</v>
      </c>
      <c r="BJ494">
        <v>3.1</v>
      </c>
      <c r="BK494" t="s">
        <v>388</v>
      </c>
      <c r="BL494" t="s">
        <v>268</v>
      </c>
      <c r="BM494" t="s">
        <v>232</v>
      </c>
      <c r="BN494" t="s">
        <v>81</v>
      </c>
      <c r="BO494" t="s">
        <v>394</v>
      </c>
      <c r="BP494" t="s">
        <v>234</v>
      </c>
      <c r="BR494" t="s">
        <v>63</v>
      </c>
      <c r="BT494">
        <v>0.28000000000000003</v>
      </c>
      <c r="BU494">
        <v>0.28000000000000003</v>
      </c>
      <c r="BV494">
        <v>0.26</v>
      </c>
      <c r="BW494">
        <f>BV494*SQRT(AK494)</f>
        <v>0.58137767414994534</v>
      </c>
      <c r="BX494">
        <v>0.74</v>
      </c>
      <c r="BY494">
        <v>0.74</v>
      </c>
      <c r="BZ494">
        <v>0.09</v>
      </c>
      <c r="CA494">
        <f>BZ494*SQRT(AL494)</f>
        <v>0.20124611797498107</v>
      </c>
      <c r="CB494">
        <v>90</v>
      </c>
      <c r="CC494">
        <v>5</v>
      </c>
      <c r="CD494">
        <v>0.97199999999999998</v>
      </c>
      <c r="CE494">
        <v>0.877</v>
      </c>
    </row>
    <row r="495" spans="4:83" hidden="1" x14ac:dyDescent="0.2">
      <c r="D495">
        <v>33</v>
      </c>
      <c r="G495" t="s">
        <v>43</v>
      </c>
      <c r="H495" t="s">
        <v>386</v>
      </c>
      <c r="J495">
        <v>2017</v>
      </c>
      <c r="M495" t="s">
        <v>279</v>
      </c>
      <c r="T495" t="s">
        <v>46</v>
      </c>
      <c r="U495" t="s">
        <v>309</v>
      </c>
      <c r="V495" t="s">
        <v>387</v>
      </c>
      <c r="Z495" t="s">
        <v>49</v>
      </c>
      <c r="AA495" t="s">
        <v>49</v>
      </c>
      <c r="AB495" t="s">
        <v>50</v>
      </c>
      <c r="AC495" t="s">
        <v>117</v>
      </c>
      <c r="AD495" t="s">
        <v>52</v>
      </c>
      <c r="AE495" t="s">
        <v>56</v>
      </c>
      <c r="AF495" t="s">
        <v>52</v>
      </c>
      <c r="AG495" t="s">
        <v>54</v>
      </c>
      <c r="AH495" t="s">
        <v>55</v>
      </c>
      <c r="AK495">
        <v>5</v>
      </c>
      <c r="AL495">
        <v>5</v>
      </c>
      <c r="AN495">
        <v>426</v>
      </c>
      <c r="AO495">
        <v>4</v>
      </c>
      <c r="AP495" t="s">
        <v>56</v>
      </c>
      <c r="AQ495" t="s">
        <v>109</v>
      </c>
      <c r="AR495">
        <v>8.0299999999999994</v>
      </c>
      <c r="AS495">
        <v>0.04</v>
      </c>
      <c r="AT495" t="s">
        <v>56</v>
      </c>
      <c r="AU495">
        <v>948</v>
      </c>
      <c r="AV495">
        <v>9</v>
      </c>
      <c r="AW495" t="s">
        <v>56</v>
      </c>
      <c r="AX495">
        <v>7.72</v>
      </c>
      <c r="AY495">
        <v>0.03</v>
      </c>
      <c r="AZ495" t="s">
        <v>56</v>
      </c>
      <c r="BB495">
        <f>LOG(AU495)</f>
        <v>2.976808337338066</v>
      </c>
      <c r="BC495">
        <v>17.100000000000001</v>
      </c>
      <c r="BD495">
        <v>0.2</v>
      </c>
      <c r="BE495" t="s">
        <v>56</v>
      </c>
      <c r="BF495">
        <v>17.100000000000001</v>
      </c>
      <c r="BG495">
        <v>0.2</v>
      </c>
      <c r="BH495" t="s">
        <v>56</v>
      </c>
      <c r="BI495">
        <v>522</v>
      </c>
      <c r="BJ495">
        <v>0</v>
      </c>
      <c r="BK495" t="s">
        <v>388</v>
      </c>
      <c r="BL495" t="s">
        <v>268</v>
      </c>
      <c r="BM495" t="s">
        <v>232</v>
      </c>
      <c r="BN495" t="s">
        <v>81</v>
      </c>
      <c r="BO495" t="s">
        <v>394</v>
      </c>
      <c r="BP495" t="s">
        <v>234</v>
      </c>
      <c r="BR495" t="s">
        <v>63</v>
      </c>
      <c r="BT495">
        <v>0.28000000000000003</v>
      </c>
      <c r="BU495">
        <v>0.28000000000000003</v>
      </c>
      <c r="BV495">
        <v>0.26</v>
      </c>
      <c r="BW495">
        <f>BV495*SQRT(AK495)</f>
        <v>0.58137767414994534</v>
      </c>
      <c r="BX495">
        <v>0.91</v>
      </c>
      <c r="BY495">
        <v>0.91</v>
      </c>
      <c r="BZ495">
        <v>0.19</v>
      </c>
      <c r="CA495">
        <f>BZ495*SQRT(AL495)</f>
        <v>0.42485291572496009</v>
      </c>
      <c r="CB495">
        <v>90</v>
      </c>
      <c r="CC495">
        <v>5</v>
      </c>
      <c r="CD495">
        <v>1.179</v>
      </c>
      <c r="CE495">
        <v>0.90580000000000005</v>
      </c>
    </row>
    <row r="496" spans="4:83" hidden="1" x14ac:dyDescent="0.2">
      <c r="D496">
        <v>33</v>
      </c>
      <c r="G496" t="s">
        <v>43</v>
      </c>
      <c r="H496" t="s">
        <v>386</v>
      </c>
      <c r="J496">
        <v>2017</v>
      </c>
      <c r="M496" t="s">
        <v>279</v>
      </c>
      <c r="T496" t="s">
        <v>46</v>
      </c>
      <c r="U496" t="s">
        <v>309</v>
      </c>
      <c r="V496" t="s">
        <v>387</v>
      </c>
      <c r="Z496" t="s">
        <v>49</v>
      </c>
      <c r="AA496" t="s">
        <v>49</v>
      </c>
      <c r="AB496" t="s">
        <v>50</v>
      </c>
      <c r="AC496" t="s">
        <v>117</v>
      </c>
      <c r="AD496" t="s">
        <v>52</v>
      </c>
      <c r="AE496" t="s">
        <v>56</v>
      </c>
      <c r="AF496" t="s">
        <v>54</v>
      </c>
      <c r="AG496" t="s">
        <v>52</v>
      </c>
      <c r="AH496" t="s">
        <v>65</v>
      </c>
      <c r="AK496">
        <v>5</v>
      </c>
      <c r="AL496">
        <v>5</v>
      </c>
      <c r="AN496">
        <v>426</v>
      </c>
      <c r="AO496">
        <v>4</v>
      </c>
      <c r="AP496" t="s">
        <v>56</v>
      </c>
      <c r="AQ496" t="s">
        <v>109</v>
      </c>
      <c r="AR496">
        <v>8.0299999999999994</v>
      </c>
      <c r="AS496">
        <v>0.04</v>
      </c>
      <c r="AT496" t="s">
        <v>56</v>
      </c>
      <c r="AU496">
        <v>432</v>
      </c>
      <c r="AV496">
        <v>4</v>
      </c>
      <c r="AW496" t="s">
        <v>56</v>
      </c>
      <c r="AX496">
        <v>8.01</v>
      </c>
      <c r="AY496">
        <v>0.04</v>
      </c>
      <c r="AZ496" t="s">
        <v>56</v>
      </c>
      <c r="BB496">
        <f>LOG(AU496)</f>
        <v>2.6354837468149119</v>
      </c>
      <c r="BC496">
        <v>17.100000000000001</v>
      </c>
      <c r="BD496">
        <v>0.2</v>
      </c>
      <c r="BE496" t="s">
        <v>56</v>
      </c>
      <c r="BF496">
        <v>20</v>
      </c>
      <c r="BG496">
        <v>0.5</v>
      </c>
      <c r="BH496" t="s">
        <v>56</v>
      </c>
      <c r="BI496">
        <v>6</v>
      </c>
      <c r="BJ496">
        <v>2.9</v>
      </c>
      <c r="BK496" t="s">
        <v>388</v>
      </c>
      <c r="BL496" t="s">
        <v>268</v>
      </c>
      <c r="BM496" t="s">
        <v>232</v>
      </c>
      <c r="BN496" t="s">
        <v>81</v>
      </c>
      <c r="BO496" t="s">
        <v>394</v>
      </c>
      <c r="BP496" t="s">
        <v>234</v>
      </c>
      <c r="BR496" t="s">
        <v>63</v>
      </c>
      <c r="BT496">
        <v>0.28000000000000003</v>
      </c>
      <c r="BU496">
        <v>0.28000000000000003</v>
      </c>
      <c r="BV496">
        <v>0.26</v>
      </c>
      <c r="BW496">
        <f>BV496*SQRT(AK496)</f>
        <v>0.58137767414994534</v>
      </c>
      <c r="BX496">
        <v>1.59</v>
      </c>
      <c r="BY496">
        <v>1.59</v>
      </c>
      <c r="BZ496">
        <v>0.41</v>
      </c>
      <c r="CA496">
        <f>BZ496*SQRT(AL496)</f>
        <v>0.91678787077491375</v>
      </c>
      <c r="CB496">
        <v>90</v>
      </c>
      <c r="CC496">
        <v>5</v>
      </c>
      <c r="CD496">
        <v>1.7370000000000001</v>
      </c>
      <c r="CE496">
        <v>0.92869999999999997</v>
      </c>
    </row>
    <row r="497" spans="4:83" hidden="1" x14ac:dyDescent="0.2">
      <c r="D497">
        <v>34</v>
      </c>
      <c r="G497" t="s">
        <v>43</v>
      </c>
      <c r="H497" t="s">
        <v>396</v>
      </c>
      <c r="J497">
        <v>2020</v>
      </c>
      <c r="M497" t="s">
        <v>397</v>
      </c>
      <c r="T497" t="s">
        <v>131</v>
      </c>
      <c r="U497" t="s">
        <v>237</v>
      </c>
      <c r="V497" t="s">
        <v>238</v>
      </c>
      <c r="Z497" t="s">
        <v>49</v>
      </c>
      <c r="AA497" t="s">
        <v>49</v>
      </c>
      <c r="AB497" t="s">
        <v>50</v>
      </c>
      <c r="AC497" t="s">
        <v>51</v>
      </c>
      <c r="AD497" t="s">
        <v>52</v>
      </c>
      <c r="AE497" t="s">
        <v>53</v>
      </c>
      <c r="AF497" t="s">
        <v>52</v>
      </c>
      <c r="AG497" t="s">
        <v>52</v>
      </c>
      <c r="AH497" t="s">
        <v>64</v>
      </c>
      <c r="AK497">
        <v>12</v>
      </c>
      <c r="AL497">
        <v>12</v>
      </c>
      <c r="AN497">
        <v>415</v>
      </c>
      <c r="AO497">
        <v>45</v>
      </c>
      <c r="AP497" t="s">
        <v>56</v>
      </c>
      <c r="AQ497" t="s">
        <v>57</v>
      </c>
      <c r="AR497">
        <v>8.08</v>
      </c>
      <c r="AS497">
        <v>0.01</v>
      </c>
      <c r="AT497" t="s">
        <v>56</v>
      </c>
      <c r="AU497">
        <v>1709</v>
      </c>
      <c r="AV497">
        <v>50</v>
      </c>
      <c r="AW497" t="s">
        <v>56</v>
      </c>
      <c r="AX497">
        <v>7.6</v>
      </c>
      <c r="AY497">
        <v>0.01</v>
      </c>
      <c r="AZ497" t="s">
        <v>56</v>
      </c>
      <c r="BB497">
        <f>LOG(AU497)</f>
        <v>3.2327420627207371</v>
      </c>
      <c r="BC497">
        <v>16.100000000000001</v>
      </c>
      <c r="BD497">
        <v>0</v>
      </c>
      <c r="BE497" t="s">
        <v>56</v>
      </c>
      <c r="BF497">
        <v>20.399999999999999</v>
      </c>
      <c r="BG497">
        <v>0</v>
      </c>
      <c r="BH497" t="s">
        <v>56</v>
      </c>
      <c r="BI497">
        <v>1294</v>
      </c>
      <c r="BJ497">
        <v>4.3</v>
      </c>
      <c r="BK497" t="s">
        <v>398</v>
      </c>
      <c r="BL497" t="s">
        <v>399</v>
      </c>
      <c r="BM497" t="s">
        <v>305</v>
      </c>
      <c r="BN497" t="s">
        <v>81</v>
      </c>
      <c r="BO497" t="s">
        <v>400</v>
      </c>
      <c r="BP497" t="s">
        <v>194</v>
      </c>
      <c r="BR497" t="s">
        <v>63</v>
      </c>
      <c r="BT497">
        <v>27.26</v>
      </c>
      <c r="BU497">
        <v>27.26</v>
      </c>
      <c r="BV497">
        <v>0.48</v>
      </c>
      <c r="BW497">
        <f>BV497*SQRT(AK497)</f>
        <v>1.662768775266122</v>
      </c>
      <c r="BX497">
        <v>23.9</v>
      </c>
      <c r="BY497">
        <v>23.9</v>
      </c>
      <c r="BZ497">
        <v>0.8</v>
      </c>
      <c r="CA497">
        <f>BZ497*SQRT(AL497)</f>
        <v>2.7712812921102037</v>
      </c>
      <c r="CB497">
        <v>42</v>
      </c>
      <c r="CC497">
        <v>4</v>
      </c>
      <c r="CD497">
        <v>-0.13200000000000001</v>
      </c>
      <c r="CE497">
        <v>1.4E-3</v>
      </c>
    </row>
    <row r="498" spans="4:83" hidden="1" x14ac:dyDescent="0.2">
      <c r="D498">
        <v>34</v>
      </c>
      <c r="G498" t="s">
        <v>43</v>
      </c>
      <c r="H498" t="s">
        <v>396</v>
      </c>
      <c r="J498">
        <v>2020</v>
      </c>
      <c r="M498" t="s">
        <v>397</v>
      </c>
      <c r="T498" t="s">
        <v>131</v>
      </c>
      <c r="U498" t="s">
        <v>237</v>
      </c>
      <c r="V498" t="s">
        <v>238</v>
      </c>
      <c r="Z498" t="s">
        <v>49</v>
      </c>
      <c r="AA498" t="s">
        <v>49</v>
      </c>
      <c r="AB498" t="s">
        <v>50</v>
      </c>
      <c r="AC498" t="s">
        <v>51</v>
      </c>
      <c r="AD498" t="s">
        <v>52</v>
      </c>
      <c r="AE498" t="s">
        <v>53</v>
      </c>
      <c r="AF498" t="s">
        <v>52</v>
      </c>
      <c r="AG498" t="s">
        <v>54</v>
      </c>
      <c r="AH498" t="s">
        <v>55</v>
      </c>
      <c r="AK498">
        <v>12</v>
      </c>
      <c r="AL498">
        <v>12</v>
      </c>
      <c r="AN498">
        <v>415</v>
      </c>
      <c r="AO498">
        <v>45</v>
      </c>
      <c r="AP498" t="s">
        <v>56</v>
      </c>
      <c r="AQ498" t="s">
        <v>57</v>
      </c>
      <c r="AR498">
        <v>8.08</v>
      </c>
      <c r="AS498">
        <v>0.01</v>
      </c>
      <c r="AT498" t="s">
        <v>56</v>
      </c>
      <c r="AU498">
        <v>1415</v>
      </c>
      <c r="AV498">
        <v>41</v>
      </c>
      <c r="AW498" t="s">
        <v>56</v>
      </c>
      <c r="AX498">
        <v>7.6</v>
      </c>
      <c r="AY498">
        <v>0.01</v>
      </c>
      <c r="AZ498" t="s">
        <v>56</v>
      </c>
      <c r="BB498">
        <f>LOG(AU498)</f>
        <v>3.150756439860309</v>
      </c>
      <c r="BC498">
        <v>16.100000000000001</v>
      </c>
      <c r="BD498">
        <v>0</v>
      </c>
      <c r="BE498" t="s">
        <v>56</v>
      </c>
      <c r="BF498">
        <v>16.100000000000001</v>
      </c>
      <c r="BG498">
        <v>0</v>
      </c>
      <c r="BH498" t="s">
        <v>56</v>
      </c>
      <c r="BI498">
        <v>1000</v>
      </c>
      <c r="BJ498">
        <v>0</v>
      </c>
      <c r="BK498" t="s">
        <v>398</v>
      </c>
      <c r="BL498" t="s">
        <v>399</v>
      </c>
      <c r="BM498" t="s">
        <v>305</v>
      </c>
      <c r="BN498" t="s">
        <v>81</v>
      </c>
      <c r="BO498" t="s">
        <v>400</v>
      </c>
      <c r="BP498" t="s">
        <v>194</v>
      </c>
      <c r="BR498" t="s">
        <v>63</v>
      </c>
      <c r="BT498">
        <v>27.26</v>
      </c>
      <c r="BU498">
        <v>27.26</v>
      </c>
      <c r="BV498">
        <v>0.48</v>
      </c>
      <c r="BW498">
        <f>BV498*SQRT(AK498)</f>
        <v>1.662768775266122</v>
      </c>
      <c r="BX498">
        <v>25.8</v>
      </c>
      <c r="BY498">
        <v>25.8</v>
      </c>
      <c r="BZ498">
        <v>0.8</v>
      </c>
      <c r="CA498">
        <f>BZ498*SQRT(AL498)</f>
        <v>2.7712812921102037</v>
      </c>
      <c r="CB498">
        <v>42</v>
      </c>
      <c r="CC498">
        <v>4</v>
      </c>
      <c r="CD498">
        <v>-5.5E-2</v>
      </c>
      <c r="CE498">
        <v>1.2999999999999999E-3</v>
      </c>
    </row>
    <row r="499" spans="4:83" hidden="1" x14ac:dyDescent="0.2">
      <c r="D499">
        <v>34</v>
      </c>
      <c r="G499" t="s">
        <v>43</v>
      </c>
      <c r="H499" t="s">
        <v>396</v>
      </c>
      <c r="J499">
        <v>2020</v>
      </c>
      <c r="M499" t="s">
        <v>397</v>
      </c>
      <c r="T499" t="s">
        <v>131</v>
      </c>
      <c r="U499" t="s">
        <v>237</v>
      </c>
      <c r="V499" t="s">
        <v>238</v>
      </c>
      <c r="Z499" t="s">
        <v>49</v>
      </c>
      <c r="AA499" t="s">
        <v>49</v>
      </c>
      <c r="AB499" t="s">
        <v>50</v>
      </c>
      <c r="AC499" t="s">
        <v>51</v>
      </c>
      <c r="AD499" t="s">
        <v>52</v>
      </c>
      <c r="AE499" t="s">
        <v>53</v>
      </c>
      <c r="AF499" t="s">
        <v>54</v>
      </c>
      <c r="AG499" t="s">
        <v>52</v>
      </c>
      <c r="AH499" t="s">
        <v>65</v>
      </c>
      <c r="AK499">
        <v>12</v>
      </c>
      <c r="AL499">
        <v>12</v>
      </c>
      <c r="AN499">
        <v>415</v>
      </c>
      <c r="AO499">
        <v>45</v>
      </c>
      <c r="AP499" t="s">
        <v>56</v>
      </c>
      <c r="AQ499" t="s">
        <v>57</v>
      </c>
      <c r="AR499">
        <v>8.08</v>
      </c>
      <c r="AS499">
        <v>0.01</v>
      </c>
      <c r="AT499" t="s">
        <v>56</v>
      </c>
      <c r="AU499">
        <v>750</v>
      </c>
      <c r="AV499">
        <v>47</v>
      </c>
      <c r="AW499" t="s">
        <v>56</v>
      </c>
      <c r="AX499">
        <v>7.91</v>
      </c>
      <c r="AY499">
        <v>0.01</v>
      </c>
      <c r="AZ499" t="s">
        <v>56</v>
      </c>
      <c r="BB499">
        <f>LOG(AU499)</f>
        <v>2.8750612633917001</v>
      </c>
      <c r="BC499">
        <v>16.100000000000001</v>
      </c>
      <c r="BD499">
        <v>0</v>
      </c>
      <c r="BE499" t="s">
        <v>56</v>
      </c>
      <c r="BF499">
        <v>20.3</v>
      </c>
      <c r="BG499">
        <v>0</v>
      </c>
      <c r="BH499" t="s">
        <v>56</v>
      </c>
      <c r="BI499">
        <v>335</v>
      </c>
      <c r="BJ499">
        <v>4.2</v>
      </c>
      <c r="BK499" t="s">
        <v>398</v>
      </c>
      <c r="BL499" t="s">
        <v>399</v>
      </c>
      <c r="BM499" t="s">
        <v>305</v>
      </c>
      <c r="BN499" t="s">
        <v>81</v>
      </c>
      <c r="BO499" t="s">
        <v>400</v>
      </c>
      <c r="BP499" t="s">
        <v>194</v>
      </c>
      <c r="BR499" t="s">
        <v>63</v>
      </c>
      <c r="BT499">
        <v>27.26</v>
      </c>
      <c r="BU499">
        <v>27.26</v>
      </c>
      <c r="BV499">
        <v>0.48</v>
      </c>
      <c r="BW499">
        <f>BV499*SQRT(AK499)</f>
        <v>1.662768775266122</v>
      </c>
      <c r="BX499">
        <v>27.6</v>
      </c>
      <c r="BY499">
        <v>27.6</v>
      </c>
      <c r="BZ499">
        <v>0.4</v>
      </c>
      <c r="CA499">
        <f>BZ499*SQRT(AL499)</f>
        <v>1.3856406460551018</v>
      </c>
      <c r="CB499">
        <v>42</v>
      </c>
      <c r="CC499">
        <v>4</v>
      </c>
      <c r="CD499">
        <v>1.2E-2</v>
      </c>
      <c r="CE499">
        <v>5.0000000000000001E-4</v>
      </c>
    </row>
    <row r="500" spans="4:83" hidden="1" x14ac:dyDescent="0.2">
      <c r="D500">
        <v>35</v>
      </c>
      <c r="G500" t="s">
        <v>43</v>
      </c>
      <c r="H500" t="s">
        <v>401</v>
      </c>
      <c r="J500">
        <v>2016</v>
      </c>
      <c r="M500" t="s">
        <v>94</v>
      </c>
      <c r="T500" t="s">
        <v>68</v>
      </c>
      <c r="U500" t="s">
        <v>266</v>
      </c>
      <c r="V500" t="s">
        <v>402</v>
      </c>
      <c r="Z500" t="s">
        <v>49</v>
      </c>
      <c r="AA500" t="s">
        <v>49</v>
      </c>
      <c r="AB500" t="s">
        <v>50</v>
      </c>
      <c r="AC500" t="s">
        <v>108</v>
      </c>
      <c r="AD500" t="s">
        <v>54</v>
      </c>
      <c r="AE500" t="s">
        <v>53</v>
      </c>
      <c r="AF500" t="s">
        <v>52</v>
      </c>
      <c r="AG500" t="s">
        <v>54</v>
      </c>
      <c r="AH500" t="s">
        <v>55</v>
      </c>
      <c r="AK500">
        <v>5</v>
      </c>
      <c r="AL500">
        <v>4</v>
      </c>
      <c r="AN500">
        <v>371</v>
      </c>
      <c r="AO500" t="s">
        <v>56</v>
      </c>
      <c r="AP500">
        <v>24</v>
      </c>
      <c r="AQ500" t="s">
        <v>56</v>
      </c>
      <c r="AR500">
        <v>8.06</v>
      </c>
      <c r="AS500" t="s">
        <v>56</v>
      </c>
      <c r="AT500">
        <v>0.03</v>
      </c>
      <c r="AU500">
        <v>978</v>
      </c>
      <c r="AV500" t="s">
        <v>56</v>
      </c>
      <c r="AW500">
        <v>61</v>
      </c>
      <c r="AX500">
        <v>7.67</v>
      </c>
      <c r="AY500" t="s">
        <v>56</v>
      </c>
      <c r="AZ500">
        <v>0.03</v>
      </c>
      <c r="BB500">
        <f>LOG(AU500)</f>
        <v>2.9903388547876015</v>
      </c>
      <c r="BC500">
        <v>12</v>
      </c>
      <c r="BD500" t="s">
        <v>56</v>
      </c>
      <c r="BE500" t="s">
        <v>56</v>
      </c>
      <c r="BF500">
        <v>12</v>
      </c>
      <c r="BG500" t="s">
        <v>56</v>
      </c>
      <c r="BH500" t="s">
        <v>56</v>
      </c>
      <c r="BI500">
        <v>606</v>
      </c>
      <c r="BJ500">
        <v>0</v>
      </c>
      <c r="BK500" t="s">
        <v>56</v>
      </c>
      <c r="BL500" t="s">
        <v>403</v>
      </c>
      <c r="BM500" t="s">
        <v>404</v>
      </c>
      <c r="BN500" t="s">
        <v>81</v>
      </c>
      <c r="BO500" t="s">
        <v>405</v>
      </c>
      <c r="BP500" t="s">
        <v>92</v>
      </c>
      <c r="BR500" t="s">
        <v>63</v>
      </c>
      <c r="BT500">
        <v>4.03</v>
      </c>
      <c r="BU500">
        <v>4.03</v>
      </c>
      <c r="BV500">
        <v>0.13</v>
      </c>
      <c r="BW500">
        <f>BV500*SQRT(AK500)</f>
        <v>0.29068883707497267</v>
      </c>
      <c r="BX500">
        <v>2.84</v>
      </c>
      <c r="BY500">
        <v>2.84</v>
      </c>
      <c r="BZ500">
        <v>0.84</v>
      </c>
      <c r="CA500">
        <f>BZ500*SQRT(AL500)</f>
        <v>1.68</v>
      </c>
      <c r="CB500">
        <v>80</v>
      </c>
      <c r="CC500">
        <v>4</v>
      </c>
      <c r="CD500">
        <v>-0.35</v>
      </c>
      <c r="CE500">
        <v>8.8499999999999995E-2</v>
      </c>
    </row>
    <row r="501" spans="4:83" hidden="1" x14ac:dyDescent="0.2">
      <c r="D501">
        <v>35</v>
      </c>
      <c r="G501" t="s">
        <v>43</v>
      </c>
      <c r="H501" t="s">
        <v>401</v>
      </c>
      <c r="J501">
        <v>2016</v>
      </c>
      <c r="M501" t="s">
        <v>94</v>
      </c>
      <c r="T501" t="s">
        <v>68</v>
      </c>
      <c r="U501" t="s">
        <v>266</v>
      </c>
      <c r="V501" t="s">
        <v>402</v>
      </c>
      <c r="Z501" t="s">
        <v>49</v>
      </c>
      <c r="AA501" t="s">
        <v>49</v>
      </c>
      <c r="AB501" t="s">
        <v>50</v>
      </c>
      <c r="AC501" t="s">
        <v>108</v>
      </c>
      <c r="AD501" t="s">
        <v>54</v>
      </c>
      <c r="AE501" t="s">
        <v>53</v>
      </c>
      <c r="AF501" t="s">
        <v>52</v>
      </c>
      <c r="AG501" t="s">
        <v>54</v>
      </c>
      <c r="AH501" t="s">
        <v>55</v>
      </c>
      <c r="AK501">
        <v>5</v>
      </c>
      <c r="AL501">
        <v>4</v>
      </c>
      <c r="AN501">
        <v>371</v>
      </c>
      <c r="AO501" t="s">
        <v>56</v>
      </c>
      <c r="AP501">
        <v>24</v>
      </c>
      <c r="AQ501" t="s">
        <v>56</v>
      </c>
      <c r="AR501">
        <v>8.06</v>
      </c>
      <c r="AS501" t="s">
        <v>56</v>
      </c>
      <c r="AT501">
        <v>0.03</v>
      </c>
      <c r="AU501">
        <v>978</v>
      </c>
      <c r="AV501" t="s">
        <v>56</v>
      </c>
      <c r="AW501">
        <v>61</v>
      </c>
      <c r="AX501">
        <v>7.67</v>
      </c>
      <c r="AY501" t="s">
        <v>56</v>
      </c>
      <c r="AZ501">
        <v>0.03</v>
      </c>
      <c r="BB501">
        <f>LOG(AU501)</f>
        <v>2.9903388547876015</v>
      </c>
      <c r="BC501">
        <v>12</v>
      </c>
      <c r="BD501" t="s">
        <v>56</v>
      </c>
      <c r="BE501" t="s">
        <v>56</v>
      </c>
      <c r="BF501">
        <v>12</v>
      </c>
      <c r="BG501" t="s">
        <v>56</v>
      </c>
      <c r="BH501" t="s">
        <v>56</v>
      </c>
      <c r="BI501">
        <v>606</v>
      </c>
      <c r="BJ501">
        <v>0</v>
      </c>
      <c r="BK501" t="s">
        <v>56</v>
      </c>
      <c r="BL501" t="s">
        <v>406</v>
      </c>
      <c r="BM501" t="s">
        <v>75</v>
      </c>
      <c r="BN501" t="s">
        <v>60</v>
      </c>
      <c r="BO501" t="s">
        <v>407</v>
      </c>
      <c r="BP501" t="s">
        <v>77</v>
      </c>
      <c r="BR501" t="s">
        <v>63</v>
      </c>
      <c r="BT501">
        <v>0.28000000000000003</v>
      </c>
      <c r="BU501">
        <v>0.28000000000000003</v>
      </c>
      <c r="BV501">
        <v>0.01</v>
      </c>
      <c r="BW501">
        <f>BV501*SQRT(AK501)</f>
        <v>2.2360679774997897E-2</v>
      </c>
      <c r="BX501">
        <v>0.21</v>
      </c>
      <c r="BY501">
        <v>0.21</v>
      </c>
      <c r="BZ501">
        <v>0.03</v>
      </c>
      <c r="CA501">
        <f>BZ501*SQRT(AL501)</f>
        <v>0.06</v>
      </c>
      <c r="CB501">
        <v>80</v>
      </c>
      <c r="CC501">
        <v>4</v>
      </c>
      <c r="CD501">
        <v>-0.28799999999999998</v>
      </c>
      <c r="CE501">
        <v>2.1700000000000001E-2</v>
      </c>
    </row>
    <row r="502" spans="4:83" hidden="1" x14ac:dyDescent="0.2">
      <c r="D502">
        <v>35</v>
      </c>
      <c r="G502" t="s">
        <v>43</v>
      </c>
      <c r="H502" t="s">
        <v>401</v>
      </c>
      <c r="J502">
        <v>2016</v>
      </c>
      <c r="M502" t="s">
        <v>94</v>
      </c>
      <c r="T502" t="s">
        <v>68</v>
      </c>
      <c r="U502" t="s">
        <v>266</v>
      </c>
      <c r="V502" t="s">
        <v>402</v>
      </c>
      <c r="Z502" t="s">
        <v>49</v>
      </c>
      <c r="AA502" t="s">
        <v>49</v>
      </c>
      <c r="AB502" t="s">
        <v>50</v>
      </c>
      <c r="AC502" t="s">
        <v>108</v>
      </c>
      <c r="AD502" t="s">
        <v>54</v>
      </c>
      <c r="AE502" t="s">
        <v>53</v>
      </c>
      <c r="AF502" t="s">
        <v>52</v>
      </c>
      <c r="AG502" t="s">
        <v>52</v>
      </c>
      <c r="AH502" t="s">
        <v>64</v>
      </c>
      <c r="AK502">
        <v>5</v>
      </c>
      <c r="AL502">
        <v>4</v>
      </c>
      <c r="AN502">
        <v>371</v>
      </c>
      <c r="AO502" t="s">
        <v>56</v>
      </c>
      <c r="AP502">
        <v>24</v>
      </c>
      <c r="AQ502" t="s">
        <v>56</v>
      </c>
      <c r="AR502">
        <v>8.06</v>
      </c>
      <c r="AS502" t="s">
        <v>56</v>
      </c>
      <c r="AT502">
        <v>0.03</v>
      </c>
      <c r="AU502">
        <v>1142</v>
      </c>
      <c r="AV502" t="s">
        <v>56</v>
      </c>
      <c r="AW502">
        <v>69</v>
      </c>
      <c r="AX502">
        <v>7.62</v>
      </c>
      <c r="AY502" t="s">
        <v>56</v>
      </c>
      <c r="AZ502">
        <v>0.03</v>
      </c>
      <c r="BB502">
        <f>LOG(AU502)</f>
        <v>3.0576661039098294</v>
      </c>
      <c r="BC502">
        <v>12</v>
      </c>
      <c r="BD502" t="s">
        <v>56</v>
      </c>
      <c r="BE502" t="s">
        <v>56</v>
      </c>
      <c r="BF502">
        <v>16</v>
      </c>
      <c r="BG502" t="s">
        <v>56</v>
      </c>
      <c r="BH502" t="s">
        <v>56</v>
      </c>
      <c r="BI502">
        <v>771</v>
      </c>
      <c r="BJ502">
        <v>4</v>
      </c>
      <c r="BK502" t="s">
        <v>56</v>
      </c>
      <c r="BL502" t="s">
        <v>408</v>
      </c>
      <c r="BM502" t="s">
        <v>59</v>
      </c>
      <c r="BN502" t="s">
        <v>60</v>
      </c>
      <c r="BO502" t="s">
        <v>409</v>
      </c>
      <c r="BP502" t="s">
        <v>62</v>
      </c>
      <c r="BR502" t="s">
        <v>63</v>
      </c>
      <c r="BT502">
        <v>78.099999999999994</v>
      </c>
      <c r="BU502">
        <v>78.099999999999994</v>
      </c>
      <c r="BV502">
        <v>6.3</v>
      </c>
      <c r="BW502">
        <f>BV502*SQRT(AK502)</f>
        <v>14.087228258248675</v>
      </c>
      <c r="BX502">
        <v>59</v>
      </c>
      <c r="BY502">
        <v>59</v>
      </c>
      <c r="BZ502">
        <v>3.5</v>
      </c>
      <c r="CA502">
        <f>BZ502*SQRT(AL502)</f>
        <v>7</v>
      </c>
      <c r="CB502">
        <v>80</v>
      </c>
      <c r="CC502">
        <v>4</v>
      </c>
      <c r="CD502">
        <v>-0.28000000000000003</v>
      </c>
      <c r="CE502">
        <v>0.01</v>
      </c>
    </row>
    <row r="503" spans="4:83" hidden="1" x14ac:dyDescent="0.2">
      <c r="D503">
        <v>35</v>
      </c>
      <c r="G503" t="s">
        <v>43</v>
      </c>
      <c r="H503" t="s">
        <v>401</v>
      </c>
      <c r="J503">
        <v>2016</v>
      </c>
      <c r="M503" t="s">
        <v>94</v>
      </c>
      <c r="T503" t="s">
        <v>68</v>
      </c>
      <c r="U503" t="s">
        <v>266</v>
      </c>
      <c r="V503" t="s">
        <v>402</v>
      </c>
      <c r="Z503" t="s">
        <v>49</v>
      </c>
      <c r="AA503" t="s">
        <v>49</v>
      </c>
      <c r="AB503" t="s">
        <v>50</v>
      </c>
      <c r="AC503" t="s">
        <v>108</v>
      </c>
      <c r="AD503" t="s">
        <v>54</v>
      </c>
      <c r="AE503" t="s">
        <v>53</v>
      </c>
      <c r="AF503" t="s">
        <v>52</v>
      </c>
      <c r="AG503" t="s">
        <v>54</v>
      </c>
      <c r="AH503" t="s">
        <v>55</v>
      </c>
      <c r="AK503">
        <v>5</v>
      </c>
      <c r="AL503">
        <v>4</v>
      </c>
      <c r="AN503">
        <v>371</v>
      </c>
      <c r="AO503" t="s">
        <v>56</v>
      </c>
      <c r="AP503">
        <v>24</v>
      </c>
      <c r="AQ503" t="s">
        <v>56</v>
      </c>
      <c r="AR503">
        <v>8.06</v>
      </c>
      <c r="AS503" t="s">
        <v>56</v>
      </c>
      <c r="AT503">
        <v>0.03</v>
      </c>
      <c r="AU503">
        <v>978</v>
      </c>
      <c r="AV503" t="s">
        <v>56</v>
      </c>
      <c r="AW503">
        <v>61</v>
      </c>
      <c r="AX503">
        <v>7.67</v>
      </c>
      <c r="AY503" t="s">
        <v>56</v>
      </c>
      <c r="AZ503">
        <v>0.03</v>
      </c>
      <c r="BB503">
        <f>LOG(AU503)</f>
        <v>2.9903388547876015</v>
      </c>
      <c r="BC503">
        <v>12</v>
      </c>
      <c r="BD503" t="s">
        <v>56</v>
      </c>
      <c r="BE503" t="s">
        <v>56</v>
      </c>
      <c r="BF503">
        <v>12</v>
      </c>
      <c r="BG503" t="s">
        <v>56</v>
      </c>
      <c r="BH503" t="s">
        <v>56</v>
      </c>
      <c r="BI503">
        <v>606</v>
      </c>
      <c r="BJ503">
        <v>0</v>
      </c>
      <c r="BK503" t="s">
        <v>56</v>
      </c>
      <c r="BL503" t="s">
        <v>408</v>
      </c>
      <c r="BM503" t="s">
        <v>59</v>
      </c>
      <c r="BN503" t="s">
        <v>60</v>
      </c>
      <c r="BO503" t="s">
        <v>409</v>
      </c>
      <c r="BP503" t="s">
        <v>62</v>
      </c>
      <c r="BR503" t="s">
        <v>63</v>
      </c>
      <c r="BT503">
        <v>78.099999999999994</v>
      </c>
      <c r="BU503">
        <v>78.099999999999994</v>
      </c>
      <c r="BV503">
        <v>6.3</v>
      </c>
      <c r="BW503">
        <f>BV503*SQRT(AK503)</f>
        <v>14.087228258248675</v>
      </c>
      <c r="BX503">
        <v>60.6</v>
      </c>
      <c r="BY503">
        <v>60.6</v>
      </c>
      <c r="BZ503">
        <v>4.0999999999999996</v>
      </c>
      <c r="CA503">
        <f>BZ503*SQRT(AL503)</f>
        <v>8.1999999999999993</v>
      </c>
      <c r="CB503">
        <v>80</v>
      </c>
      <c r="CC503">
        <v>4</v>
      </c>
      <c r="CD503">
        <v>-0.254</v>
      </c>
      <c r="CE503">
        <v>1.11E-2</v>
      </c>
    </row>
    <row r="504" spans="4:83" hidden="1" x14ac:dyDescent="0.2">
      <c r="D504">
        <v>35</v>
      </c>
      <c r="G504" t="s">
        <v>43</v>
      </c>
      <c r="H504" t="s">
        <v>401</v>
      </c>
      <c r="J504">
        <v>2016</v>
      </c>
      <c r="M504" t="s">
        <v>94</v>
      </c>
      <c r="T504" t="s">
        <v>68</v>
      </c>
      <c r="U504" t="s">
        <v>266</v>
      </c>
      <c r="V504" t="s">
        <v>402</v>
      </c>
      <c r="Z504" t="s">
        <v>49</v>
      </c>
      <c r="AA504" t="s">
        <v>49</v>
      </c>
      <c r="AB504" t="s">
        <v>50</v>
      </c>
      <c r="AC504" t="s">
        <v>108</v>
      </c>
      <c r="AD504" t="s">
        <v>54</v>
      </c>
      <c r="AE504" t="s">
        <v>53</v>
      </c>
      <c r="AF504" t="s">
        <v>52</v>
      </c>
      <c r="AG504" t="s">
        <v>54</v>
      </c>
      <c r="AH504" t="s">
        <v>55</v>
      </c>
      <c r="AK504">
        <v>5</v>
      </c>
      <c r="AL504">
        <v>4</v>
      </c>
      <c r="AN504">
        <v>371</v>
      </c>
      <c r="AO504" t="s">
        <v>56</v>
      </c>
      <c r="AP504">
        <v>24</v>
      </c>
      <c r="AQ504" t="s">
        <v>56</v>
      </c>
      <c r="AR504">
        <v>8.06</v>
      </c>
      <c r="AS504" t="s">
        <v>56</v>
      </c>
      <c r="AT504">
        <v>0.03</v>
      </c>
      <c r="AU504">
        <v>657</v>
      </c>
      <c r="AV504" t="s">
        <v>56</v>
      </c>
      <c r="AW504">
        <v>50</v>
      </c>
      <c r="AX504">
        <v>7.84</v>
      </c>
      <c r="AY504" t="s">
        <v>56</v>
      </c>
      <c r="AZ504">
        <v>0.04</v>
      </c>
      <c r="BB504">
        <f>LOG(AU504)</f>
        <v>2.8175653695597807</v>
      </c>
      <c r="BC504">
        <v>12</v>
      </c>
      <c r="BD504" t="s">
        <v>56</v>
      </c>
      <c r="BE504" t="s">
        <v>56</v>
      </c>
      <c r="BF504">
        <v>12</v>
      </c>
      <c r="BG504" t="s">
        <v>56</v>
      </c>
      <c r="BH504" t="s">
        <v>56</v>
      </c>
      <c r="BI504">
        <v>286</v>
      </c>
      <c r="BJ504">
        <v>0</v>
      </c>
      <c r="BK504" t="s">
        <v>56</v>
      </c>
      <c r="BL504" t="s">
        <v>408</v>
      </c>
      <c r="BM504" t="s">
        <v>59</v>
      </c>
      <c r="BN504" t="s">
        <v>60</v>
      </c>
      <c r="BO504" t="s">
        <v>409</v>
      </c>
      <c r="BP504" t="s">
        <v>62</v>
      </c>
      <c r="BR504" t="s">
        <v>63</v>
      </c>
      <c r="BT504">
        <v>78.099999999999994</v>
      </c>
      <c r="BU504">
        <v>78.099999999999994</v>
      </c>
      <c r="BV504">
        <v>6.3</v>
      </c>
      <c r="BW504">
        <f>BV504*SQRT(AK504)</f>
        <v>14.087228258248675</v>
      </c>
      <c r="BX504">
        <v>63.8</v>
      </c>
      <c r="BY504">
        <v>63.8</v>
      </c>
      <c r="BZ504">
        <v>4.0999999999999996</v>
      </c>
      <c r="CA504">
        <f>BZ504*SQRT(AL504)</f>
        <v>8.1999999999999993</v>
      </c>
      <c r="CB504">
        <v>80</v>
      </c>
      <c r="CC504">
        <v>4</v>
      </c>
      <c r="CD504">
        <v>-0.20200000000000001</v>
      </c>
      <c r="CE504">
        <v>1.06E-2</v>
      </c>
    </row>
    <row r="505" spans="4:83" hidden="1" x14ac:dyDescent="0.2">
      <c r="D505">
        <v>35</v>
      </c>
      <c r="G505" t="s">
        <v>43</v>
      </c>
      <c r="H505" t="s">
        <v>401</v>
      </c>
      <c r="J505">
        <v>2016</v>
      </c>
      <c r="M505" t="s">
        <v>94</v>
      </c>
      <c r="T505" t="s">
        <v>68</v>
      </c>
      <c r="U505" t="s">
        <v>266</v>
      </c>
      <c r="V505" t="s">
        <v>402</v>
      </c>
      <c r="Z505" t="s">
        <v>49</v>
      </c>
      <c r="AA505" t="s">
        <v>49</v>
      </c>
      <c r="AB505" t="s">
        <v>50</v>
      </c>
      <c r="AC505" t="s">
        <v>108</v>
      </c>
      <c r="AD505" t="s">
        <v>54</v>
      </c>
      <c r="AE505" t="s">
        <v>53</v>
      </c>
      <c r="AF505" t="s">
        <v>52</v>
      </c>
      <c r="AG505" t="s">
        <v>54</v>
      </c>
      <c r="AH505" t="s">
        <v>55</v>
      </c>
      <c r="AK505">
        <v>5</v>
      </c>
      <c r="AL505">
        <v>4</v>
      </c>
      <c r="AN505">
        <v>371</v>
      </c>
      <c r="AO505" t="s">
        <v>56</v>
      </c>
      <c r="AP505">
        <v>24</v>
      </c>
      <c r="AQ505" t="s">
        <v>56</v>
      </c>
      <c r="AR505">
        <v>8.06</v>
      </c>
      <c r="AS505" t="s">
        <v>56</v>
      </c>
      <c r="AT505">
        <v>0.03</v>
      </c>
      <c r="AU505">
        <v>657</v>
      </c>
      <c r="AV505" t="s">
        <v>56</v>
      </c>
      <c r="AW505">
        <v>50</v>
      </c>
      <c r="AX505">
        <v>7.84</v>
      </c>
      <c r="AY505" t="s">
        <v>56</v>
      </c>
      <c r="AZ505">
        <v>0.04</v>
      </c>
      <c r="BB505">
        <f>LOG(AU505)</f>
        <v>2.8175653695597807</v>
      </c>
      <c r="BC505">
        <v>12</v>
      </c>
      <c r="BD505" t="s">
        <v>56</v>
      </c>
      <c r="BE505" t="s">
        <v>56</v>
      </c>
      <c r="BF505">
        <v>12</v>
      </c>
      <c r="BG505" t="s">
        <v>56</v>
      </c>
      <c r="BH505" t="s">
        <v>56</v>
      </c>
      <c r="BI505">
        <v>286</v>
      </c>
      <c r="BJ505">
        <v>0</v>
      </c>
      <c r="BK505" t="s">
        <v>56</v>
      </c>
      <c r="BL505" t="s">
        <v>403</v>
      </c>
      <c r="BM505" t="s">
        <v>404</v>
      </c>
      <c r="BN505" t="s">
        <v>81</v>
      </c>
      <c r="BO505" t="s">
        <v>405</v>
      </c>
      <c r="BP505" t="s">
        <v>92</v>
      </c>
      <c r="BR505" t="s">
        <v>63</v>
      </c>
      <c r="BT505">
        <v>4.03</v>
      </c>
      <c r="BU505">
        <v>4.03</v>
      </c>
      <c r="BV505">
        <v>0.13</v>
      </c>
      <c r="BW505">
        <f>BV505*SQRT(AK505)</f>
        <v>0.29068883707497267</v>
      </c>
      <c r="BX505">
        <v>3.45</v>
      </c>
      <c r="BY505">
        <v>3.45</v>
      </c>
      <c r="BZ505">
        <v>0.19</v>
      </c>
      <c r="CA505">
        <f>BZ505*SQRT(AL505)</f>
        <v>0.38</v>
      </c>
      <c r="CB505">
        <v>80</v>
      </c>
      <c r="CC505">
        <v>4</v>
      </c>
      <c r="CD505">
        <v>-0.155</v>
      </c>
      <c r="CE505">
        <v>4.1000000000000003E-3</v>
      </c>
    </row>
    <row r="506" spans="4:83" hidden="1" x14ac:dyDescent="0.2">
      <c r="D506">
        <v>35</v>
      </c>
      <c r="G506" t="s">
        <v>43</v>
      </c>
      <c r="H506" t="s">
        <v>401</v>
      </c>
      <c r="J506">
        <v>2016</v>
      </c>
      <c r="M506" t="s">
        <v>94</v>
      </c>
      <c r="T506" t="s">
        <v>68</v>
      </c>
      <c r="U506" t="s">
        <v>266</v>
      </c>
      <c r="V506" t="s">
        <v>402</v>
      </c>
      <c r="Z506" t="s">
        <v>49</v>
      </c>
      <c r="AA506" t="s">
        <v>49</v>
      </c>
      <c r="AB506" t="s">
        <v>50</v>
      </c>
      <c r="AC506" t="s">
        <v>108</v>
      </c>
      <c r="AD506" t="s">
        <v>54</v>
      </c>
      <c r="AE506" t="s">
        <v>53</v>
      </c>
      <c r="AF506" t="s">
        <v>52</v>
      </c>
      <c r="AG506" t="s">
        <v>54</v>
      </c>
      <c r="AH506" t="s">
        <v>55</v>
      </c>
      <c r="AK506">
        <v>5</v>
      </c>
      <c r="AL506">
        <v>4</v>
      </c>
      <c r="AN506">
        <v>371</v>
      </c>
      <c r="AO506" t="s">
        <v>56</v>
      </c>
      <c r="AP506">
        <v>24</v>
      </c>
      <c r="AQ506" t="s">
        <v>56</v>
      </c>
      <c r="AR506">
        <v>8.06</v>
      </c>
      <c r="AS506" t="s">
        <v>56</v>
      </c>
      <c r="AT506">
        <v>0.03</v>
      </c>
      <c r="AU506">
        <v>978</v>
      </c>
      <c r="AV506" t="s">
        <v>56</v>
      </c>
      <c r="AW506">
        <v>61</v>
      </c>
      <c r="AX506">
        <v>7.67</v>
      </c>
      <c r="AY506" t="s">
        <v>56</v>
      </c>
      <c r="AZ506">
        <v>0.03</v>
      </c>
      <c r="BB506">
        <f>LOG(AU506)</f>
        <v>2.9903388547876015</v>
      </c>
      <c r="BC506">
        <v>12</v>
      </c>
      <c r="BD506" t="s">
        <v>56</v>
      </c>
      <c r="BE506" t="s">
        <v>56</v>
      </c>
      <c r="BF506">
        <v>12</v>
      </c>
      <c r="BG506" t="s">
        <v>56</v>
      </c>
      <c r="BH506" t="s">
        <v>56</v>
      </c>
      <c r="BI506">
        <v>606</v>
      </c>
      <c r="BJ506">
        <v>0</v>
      </c>
      <c r="BK506" t="s">
        <v>56</v>
      </c>
      <c r="BL506" t="s">
        <v>410</v>
      </c>
      <c r="BM506" t="s">
        <v>410</v>
      </c>
      <c r="BN506" t="s">
        <v>81</v>
      </c>
      <c r="BO506" t="s">
        <v>82</v>
      </c>
      <c r="BP506" t="s">
        <v>194</v>
      </c>
      <c r="BR506" t="s">
        <v>63</v>
      </c>
      <c r="BT506">
        <v>71.099999999999994</v>
      </c>
      <c r="BU506">
        <v>71.099999999999994</v>
      </c>
      <c r="BV506">
        <v>0.3</v>
      </c>
      <c r="BW506">
        <f>BV506*SQRT(AK506)</f>
        <v>0.67082039324993692</v>
      </c>
      <c r="BX506">
        <v>61.6</v>
      </c>
      <c r="BY506">
        <v>61.6</v>
      </c>
      <c r="BZ506">
        <v>3.8</v>
      </c>
      <c r="CA506">
        <f>BZ506*SQRT(AL506)</f>
        <v>7.6</v>
      </c>
      <c r="CB506">
        <v>80</v>
      </c>
      <c r="CC506">
        <v>4</v>
      </c>
      <c r="CD506">
        <v>-0.14299999999999999</v>
      </c>
      <c r="CE506">
        <v>3.8E-3</v>
      </c>
    </row>
    <row r="507" spans="4:83" hidden="1" x14ac:dyDescent="0.2">
      <c r="D507">
        <v>35</v>
      </c>
      <c r="G507" t="s">
        <v>43</v>
      </c>
      <c r="H507" t="s">
        <v>401</v>
      </c>
      <c r="J507">
        <v>2016</v>
      </c>
      <c r="M507" t="s">
        <v>94</v>
      </c>
      <c r="T507" t="s">
        <v>68</v>
      </c>
      <c r="U507" t="s">
        <v>266</v>
      </c>
      <c r="V507" t="s">
        <v>402</v>
      </c>
      <c r="Z507" t="s">
        <v>49</v>
      </c>
      <c r="AA507" t="s">
        <v>49</v>
      </c>
      <c r="AB507" t="s">
        <v>50</v>
      </c>
      <c r="AC507" t="s">
        <v>108</v>
      </c>
      <c r="AD507" t="s">
        <v>54</v>
      </c>
      <c r="AE507" t="s">
        <v>53</v>
      </c>
      <c r="AF507" t="s">
        <v>52</v>
      </c>
      <c r="AG507" t="s">
        <v>54</v>
      </c>
      <c r="AH507" t="s">
        <v>55</v>
      </c>
      <c r="AK507">
        <v>5</v>
      </c>
      <c r="AL507">
        <v>4</v>
      </c>
      <c r="AN507">
        <v>371</v>
      </c>
      <c r="AO507" t="s">
        <v>56</v>
      </c>
      <c r="AP507">
        <v>24</v>
      </c>
      <c r="AQ507" t="s">
        <v>56</v>
      </c>
      <c r="AR507">
        <v>8.06</v>
      </c>
      <c r="AS507" t="s">
        <v>56</v>
      </c>
      <c r="AT507">
        <v>0.03</v>
      </c>
      <c r="AU507">
        <v>657</v>
      </c>
      <c r="AV507" t="s">
        <v>56</v>
      </c>
      <c r="AW507">
        <v>50</v>
      </c>
      <c r="AX507">
        <v>7.84</v>
      </c>
      <c r="AY507" t="s">
        <v>56</v>
      </c>
      <c r="AZ507">
        <v>0.04</v>
      </c>
      <c r="BB507">
        <f>LOG(AU507)</f>
        <v>2.8175653695597807</v>
      </c>
      <c r="BC507">
        <v>12</v>
      </c>
      <c r="BD507" t="s">
        <v>56</v>
      </c>
      <c r="BE507" t="s">
        <v>56</v>
      </c>
      <c r="BF507">
        <v>12</v>
      </c>
      <c r="BG507" t="s">
        <v>56</v>
      </c>
      <c r="BH507" t="s">
        <v>56</v>
      </c>
      <c r="BI507">
        <v>286</v>
      </c>
      <c r="BJ507">
        <v>0</v>
      </c>
      <c r="BK507" t="s">
        <v>56</v>
      </c>
      <c r="BL507" t="s">
        <v>406</v>
      </c>
      <c r="BM507" t="s">
        <v>75</v>
      </c>
      <c r="BN507" t="s">
        <v>60</v>
      </c>
      <c r="BO507" t="s">
        <v>407</v>
      </c>
      <c r="BP507" t="s">
        <v>77</v>
      </c>
      <c r="BR507" t="s">
        <v>63</v>
      </c>
      <c r="BT507">
        <v>0.28000000000000003</v>
      </c>
      <c r="BU507">
        <v>0.28000000000000003</v>
      </c>
      <c r="BV507">
        <v>0.01</v>
      </c>
      <c r="BW507">
        <f>BV507*SQRT(AK507)</f>
        <v>2.2360679774997897E-2</v>
      </c>
      <c r="BX507">
        <v>0.25</v>
      </c>
      <c r="BY507">
        <v>0.25</v>
      </c>
      <c r="BZ507">
        <v>0.01</v>
      </c>
      <c r="CA507">
        <f>BZ507*SQRT(AL507)</f>
        <v>0.02</v>
      </c>
      <c r="CB507">
        <v>80</v>
      </c>
      <c r="CC507">
        <v>4</v>
      </c>
      <c r="CD507">
        <v>-0.113</v>
      </c>
      <c r="CE507">
        <v>2.8999999999999998E-3</v>
      </c>
    </row>
    <row r="508" spans="4:83" hidden="1" x14ac:dyDescent="0.2">
      <c r="D508">
        <v>35</v>
      </c>
      <c r="G508" t="s">
        <v>43</v>
      </c>
      <c r="H508" t="s">
        <v>401</v>
      </c>
      <c r="J508">
        <v>2016</v>
      </c>
      <c r="M508" t="s">
        <v>94</v>
      </c>
      <c r="T508" t="s">
        <v>68</v>
      </c>
      <c r="U508" t="s">
        <v>266</v>
      </c>
      <c r="V508" t="s">
        <v>402</v>
      </c>
      <c r="Z508" t="s">
        <v>49</v>
      </c>
      <c r="AA508" t="s">
        <v>49</v>
      </c>
      <c r="AB508" t="s">
        <v>50</v>
      </c>
      <c r="AC508" t="s">
        <v>108</v>
      </c>
      <c r="AD508" t="s">
        <v>54</v>
      </c>
      <c r="AE508" t="s">
        <v>53</v>
      </c>
      <c r="AF508" t="s">
        <v>52</v>
      </c>
      <c r="AG508" t="s">
        <v>52</v>
      </c>
      <c r="AH508" t="s">
        <v>64</v>
      </c>
      <c r="AK508">
        <v>5</v>
      </c>
      <c r="AL508">
        <v>4</v>
      </c>
      <c r="AN508">
        <v>371</v>
      </c>
      <c r="AO508" t="s">
        <v>56</v>
      </c>
      <c r="AP508">
        <v>24</v>
      </c>
      <c r="AQ508" t="s">
        <v>56</v>
      </c>
      <c r="AR508">
        <v>8.06</v>
      </c>
      <c r="AS508" t="s">
        <v>56</v>
      </c>
      <c r="AT508">
        <v>0.03</v>
      </c>
      <c r="AU508">
        <v>773</v>
      </c>
      <c r="AV508" t="s">
        <v>56</v>
      </c>
      <c r="AW508">
        <v>58</v>
      </c>
      <c r="AX508">
        <v>7.78</v>
      </c>
      <c r="AY508" t="s">
        <v>56</v>
      </c>
      <c r="AZ508">
        <v>0.03</v>
      </c>
      <c r="BB508">
        <f>LOG(AU508)</f>
        <v>2.888179493918325</v>
      </c>
      <c r="BC508">
        <v>12</v>
      </c>
      <c r="BD508" t="s">
        <v>56</v>
      </c>
      <c r="BE508" t="s">
        <v>56</v>
      </c>
      <c r="BF508">
        <v>16</v>
      </c>
      <c r="BG508" t="s">
        <v>56</v>
      </c>
      <c r="BH508" t="s">
        <v>56</v>
      </c>
      <c r="BI508">
        <v>401</v>
      </c>
      <c r="BJ508">
        <v>4</v>
      </c>
      <c r="BK508" t="s">
        <v>56</v>
      </c>
      <c r="BL508" t="s">
        <v>408</v>
      </c>
      <c r="BM508" t="s">
        <v>59</v>
      </c>
      <c r="BN508" t="s">
        <v>60</v>
      </c>
      <c r="BO508" t="s">
        <v>409</v>
      </c>
      <c r="BP508" t="s">
        <v>62</v>
      </c>
      <c r="BR508" t="s">
        <v>63</v>
      </c>
      <c r="BT508">
        <v>78.099999999999994</v>
      </c>
      <c r="BU508">
        <v>78.099999999999994</v>
      </c>
      <c r="BV508">
        <v>6.3</v>
      </c>
      <c r="BW508">
        <f>BV508*SQRT(AK508)</f>
        <v>14.087228258248675</v>
      </c>
      <c r="BX508">
        <v>70</v>
      </c>
      <c r="BY508">
        <v>70</v>
      </c>
      <c r="BZ508">
        <v>0.7</v>
      </c>
      <c r="CA508">
        <f>BZ508*SQRT(AL508)</f>
        <v>1.4</v>
      </c>
      <c r="CB508">
        <v>80</v>
      </c>
      <c r="CC508">
        <v>4</v>
      </c>
      <c r="CD508">
        <v>-0.109</v>
      </c>
      <c r="CE508">
        <v>6.6E-3</v>
      </c>
    </row>
    <row r="509" spans="4:83" hidden="1" x14ac:dyDescent="0.2">
      <c r="D509">
        <v>35</v>
      </c>
      <c r="G509" t="s">
        <v>43</v>
      </c>
      <c r="H509" t="s">
        <v>401</v>
      </c>
      <c r="J509">
        <v>2016</v>
      </c>
      <c r="M509" t="s">
        <v>94</v>
      </c>
      <c r="T509" t="s">
        <v>68</v>
      </c>
      <c r="U509" t="s">
        <v>266</v>
      </c>
      <c r="V509" t="s">
        <v>402</v>
      </c>
      <c r="Z509" t="s">
        <v>49</v>
      </c>
      <c r="AA509" t="s">
        <v>49</v>
      </c>
      <c r="AB509" t="s">
        <v>50</v>
      </c>
      <c r="AC509" t="s">
        <v>108</v>
      </c>
      <c r="AD509" t="s">
        <v>54</v>
      </c>
      <c r="AE509" t="s">
        <v>53</v>
      </c>
      <c r="AF509" t="s">
        <v>52</v>
      </c>
      <c r="AG509" t="s">
        <v>52</v>
      </c>
      <c r="AH509" t="s">
        <v>64</v>
      </c>
      <c r="AK509">
        <v>5</v>
      </c>
      <c r="AL509">
        <v>4</v>
      </c>
      <c r="AN509">
        <v>371</v>
      </c>
      <c r="AO509" t="s">
        <v>56</v>
      </c>
      <c r="AP509">
        <v>24</v>
      </c>
      <c r="AQ509" t="s">
        <v>56</v>
      </c>
      <c r="AR509">
        <v>8.06</v>
      </c>
      <c r="AS509" t="s">
        <v>56</v>
      </c>
      <c r="AT509">
        <v>0.03</v>
      </c>
      <c r="AU509">
        <v>1142</v>
      </c>
      <c r="AV509" t="s">
        <v>56</v>
      </c>
      <c r="AW509">
        <v>69</v>
      </c>
      <c r="AX509">
        <v>7.62</v>
      </c>
      <c r="AY509" t="s">
        <v>56</v>
      </c>
      <c r="AZ509">
        <v>0.03</v>
      </c>
      <c r="BB509">
        <f>LOG(AU509)</f>
        <v>3.0576661039098294</v>
      </c>
      <c r="BC509">
        <v>12</v>
      </c>
      <c r="BD509" t="s">
        <v>56</v>
      </c>
      <c r="BE509" t="s">
        <v>56</v>
      </c>
      <c r="BF509">
        <v>16</v>
      </c>
      <c r="BG509" t="s">
        <v>56</v>
      </c>
      <c r="BH509" t="s">
        <v>56</v>
      </c>
      <c r="BI509">
        <v>771</v>
      </c>
      <c r="BJ509">
        <v>4</v>
      </c>
      <c r="BK509" t="s">
        <v>56</v>
      </c>
      <c r="BL509" t="s">
        <v>410</v>
      </c>
      <c r="BM509" t="s">
        <v>410</v>
      </c>
      <c r="BN509" t="s">
        <v>81</v>
      </c>
      <c r="BO509" t="s">
        <v>82</v>
      </c>
      <c r="BP509" t="s">
        <v>194</v>
      </c>
      <c r="BR509" t="s">
        <v>63</v>
      </c>
      <c r="BT509">
        <v>71.099999999999994</v>
      </c>
      <c r="BU509">
        <v>71.099999999999994</v>
      </c>
      <c r="BV509">
        <v>0.3</v>
      </c>
      <c r="BW509">
        <f>BV509*SQRT(AK509)</f>
        <v>0.67082039324993692</v>
      </c>
      <c r="BX509">
        <v>65.8</v>
      </c>
      <c r="BY509">
        <v>65.8</v>
      </c>
      <c r="BZ509">
        <v>4.5</v>
      </c>
      <c r="CA509">
        <f>BZ509*SQRT(AL509)</f>
        <v>9</v>
      </c>
      <c r="CB509">
        <v>80</v>
      </c>
      <c r="CC509">
        <v>4</v>
      </c>
      <c r="CD509">
        <v>-7.6999999999999999E-2</v>
      </c>
      <c r="CE509">
        <v>4.7000000000000002E-3</v>
      </c>
    </row>
    <row r="510" spans="4:83" hidden="1" x14ac:dyDescent="0.2">
      <c r="D510">
        <v>35</v>
      </c>
      <c r="G510" t="s">
        <v>43</v>
      </c>
      <c r="H510" t="s">
        <v>401</v>
      </c>
      <c r="J510">
        <v>2016</v>
      </c>
      <c r="M510" t="s">
        <v>94</v>
      </c>
      <c r="T510" t="s">
        <v>68</v>
      </c>
      <c r="U510" t="s">
        <v>266</v>
      </c>
      <c r="V510" t="s">
        <v>402</v>
      </c>
      <c r="Z510" t="s">
        <v>49</v>
      </c>
      <c r="AA510" t="s">
        <v>49</v>
      </c>
      <c r="AB510" t="s">
        <v>50</v>
      </c>
      <c r="AC510" t="s">
        <v>108</v>
      </c>
      <c r="AD510" t="s">
        <v>54</v>
      </c>
      <c r="AE510" t="s">
        <v>53</v>
      </c>
      <c r="AF510" t="s">
        <v>52</v>
      </c>
      <c r="AG510" t="s">
        <v>54</v>
      </c>
      <c r="AH510" t="s">
        <v>55</v>
      </c>
      <c r="AK510">
        <v>5</v>
      </c>
      <c r="AL510">
        <v>4</v>
      </c>
      <c r="AN510">
        <v>371</v>
      </c>
      <c r="AO510" t="s">
        <v>56</v>
      </c>
      <c r="AP510">
        <v>24</v>
      </c>
      <c r="AQ510" t="s">
        <v>56</v>
      </c>
      <c r="AR510">
        <v>8.06</v>
      </c>
      <c r="AS510" t="s">
        <v>56</v>
      </c>
      <c r="AT510">
        <v>0.03</v>
      </c>
      <c r="AU510">
        <v>657</v>
      </c>
      <c r="AV510" t="s">
        <v>56</v>
      </c>
      <c r="AW510">
        <v>50</v>
      </c>
      <c r="AX510">
        <v>7.84</v>
      </c>
      <c r="AY510" t="s">
        <v>56</v>
      </c>
      <c r="AZ510">
        <v>0.04</v>
      </c>
      <c r="BB510">
        <f>LOG(AU510)</f>
        <v>2.8175653695597807</v>
      </c>
      <c r="BC510">
        <v>12</v>
      </c>
      <c r="BD510" t="s">
        <v>56</v>
      </c>
      <c r="BE510" t="s">
        <v>56</v>
      </c>
      <c r="BF510">
        <v>12</v>
      </c>
      <c r="BG510" t="s">
        <v>56</v>
      </c>
      <c r="BH510" t="s">
        <v>56</v>
      </c>
      <c r="BI510">
        <v>286</v>
      </c>
      <c r="BJ510">
        <v>0</v>
      </c>
      <c r="BK510" t="s">
        <v>56</v>
      </c>
      <c r="BL510" t="s">
        <v>410</v>
      </c>
      <c r="BM510" t="s">
        <v>410</v>
      </c>
      <c r="BN510" t="s">
        <v>81</v>
      </c>
      <c r="BO510" t="s">
        <v>82</v>
      </c>
      <c r="BP510" t="s">
        <v>194</v>
      </c>
      <c r="BR510" t="s">
        <v>63</v>
      </c>
      <c r="BT510">
        <v>71.099999999999994</v>
      </c>
      <c r="BU510">
        <v>71.099999999999994</v>
      </c>
      <c r="BV510">
        <v>0.3</v>
      </c>
      <c r="BW510">
        <f>BV510*SQRT(AK510)</f>
        <v>0.67082039324993692</v>
      </c>
      <c r="BX510">
        <v>66.3</v>
      </c>
      <c r="BY510">
        <v>66.3</v>
      </c>
      <c r="BZ510">
        <v>1.3</v>
      </c>
      <c r="CA510">
        <f>BZ510*SQRT(AL510)</f>
        <v>2.6</v>
      </c>
      <c r="CB510">
        <v>80</v>
      </c>
      <c r="CC510">
        <v>4</v>
      </c>
      <c r="CD510">
        <v>-7.0000000000000007E-2</v>
      </c>
      <c r="CE510">
        <v>4.0000000000000002E-4</v>
      </c>
    </row>
    <row r="511" spans="4:83" hidden="1" x14ac:dyDescent="0.2">
      <c r="D511">
        <v>35</v>
      </c>
      <c r="G511" t="s">
        <v>43</v>
      </c>
      <c r="H511" t="s">
        <v>401</v>
      </c>
      <c r="J511">
        <v>2016</v>
      </c>
      <c r="M511" t="s">
        <v>94</v>
      </c>
      <c r="T511" t="s">
        <v>68</v>
      </c>
      <c r="U511" t="s">
        <v>266</v>
      </c>
      <c r="V511" t="s">
        <v>402</v>
      </c>
      <c r="Z511" t="s">
        <v>49</v>
      </c>
      <c r="AA511" t="s">
        <v>49</v>
      </c>
      <c r="AB511" t="s">
        <v>50</v>
      </c>
      <c r="AC511" t="s">
        <v>108</v>
      </c>
      <c r="AD511" t="s">
        <v>54</v>
      </c>
      <c r="AE511" t="s">
        <v>53</v>
      </c>
      <c r="AF511" t="s">
        <v>54</v>
      </c>
      <c r="AG511" t="s">
        <v>52</v>
      </c>
      <c r="AH511" t="s">
        <v>65</v>
      </c>
      <c r="AK511">
        <v>5</v>
      </c>
      <c r="AL511">
        <v>4</v>
      </c>
      <c r="AN511">
        <v>371</v>
      </c>
      <c r="AO511" t="s">
        <v>56</v>
      </c>
      <c r="AP511">
        <v>24</v>
      </c>
      <c r="AQ511" t="s">
        <v>56</v>
      </c>
      <c r="AR511">
        <v>8.06</v>
      </c>
      <c r="AS511" t="s">
        <v>56</v>
      </c>
      <c r="AT511">
        <v>0.03</v>
      </c>
      <c r="AU511">
        <v>440</v>
      </c>
      <c r="AV511" t="s">
        <v>56</v>
      </c>
      <c r="AW511">
        <v>28</v>
      </c>
      <c r="AX511">
        <v>8</v>
      </c>
      <c r="AY511" t="s">
        <v>56</v>
      </c>
      <c r="AZ511">
        <v>0.03</v>
      </c>
      <c r="BB511">
        <f>LOG(AU511)</f>
        <v>2.6434526764861874</v>
      </c>
      <c r="BC511">
        <v>12</v>
      </c>
      <c r="BD511" t="s">
        <v>56</v>
      </c>
      <c r="BE511" t="s">
        <v>56</v>
      </c>
      <c r="BF511">
        <v>16</v>
      </c>
      <c r="BG511" t="s">
        <v>56</v>
      </c>
      <c r="BH511" t="s">
        <v>56</v>
      </c>
      <c r="BI511">
        <v>68</v>
      </c>
      <c r="BJ511">
        <v>4</v>
      </c>
      <c r="BK511" t="s">
        <v>56</v>
      </c>
      <c r="BL511" t="s">
        <v>408</v>
      </c>
      <c r="BM511" t="s">
        <v>59</v>
      </c>
      <c r="BN511" t="s">
        <v>60</v>
      </c>
      <c r="BO511" t="s">
        <v>409</v>
      </c>
      <c r="BP511" t="s">
        <v>62</v>
      </c>
      <c r="BR511" t="s">
        <v>63</v>
      </c>
      <c r="BT511">
        <v>78.099999999999994</v>
      </c>
      <c r="BU511">
        <v>78.099999999999994</v>
      </c>
      <c r="BV511">
        <v>6.3</v>
      </c>
      <c r="BW511">
        <f>BV511*SQRT(AK511)</f>
        <v>14.087228258248675</v>
      </c>
      <c r="BX511">
        <v>74.599999999999994</v>
      </c>
      <c r="BY511">
        <v>74.599999999999994</v>
      </c>
      <c r="BZ511">
        <v>5.7</v>
      </c>
      <c r="CA511">
        <f>BZ511*SQRT(AL511)</f>
        <v>11.4</v>
      </c>
      <c r="CB511">
        <v>80</v>
      </c>
      <c r="CC511">
        <v>4</v>
      </c>
      <c r="CD511">
        <v>-4.5999999999999999E-2</v>
      </c>
      <c r="CE511">
        <v>1.23E-2</v>
      </c>
    </row>
    <row r="512" spans="4:83" hidden="1" x14ac:dyDescent="0.2">
      <c r="D512">
        <v>35</v>
      </c>
      <c r="G512" t="s">
        <v>43</v>
      </c>
      <c r="H512" t="s">
        <v>401</v>
      </c>
      <c r="J512">
        <v>2016</v>
      </c>
      <c r="M512" t="s">
        <v>94</v>
      </c>
      <c r="T512" t="s">
        <v>68</v>
      </c>
      <c r="U512" t="s">
        <v>266</v>
      </c>
      <c r="V512" t="s">
        <v>402</v>
      </c>
      <c r="Z512" t="s">
        <v>49</v>
      </c>
      <c r="AA512" t="s">
        <v>49</v>
      </c>
      <c r="AB512" t="s">
        <v>50</v>
      </c>
      <c r="AC512" t="s">
        <v>108</v>
      </c>
      <c r="AD512" t="s">
        <v>54</v>
      </c>
      <c r="AE512" t="s">
        <v>53</v>
      </c>
      <c r="AF512" t="s">
        <v>52</v>
      </c>
      <c r="AG512" t="s">
        <v>52</v>
      </c>
      <c r="AH512" t="s">
        <v>64</v>
      </c>
      <c r="AK512">
        <v>5</v>
      </c>
      <c r="AL512">
        <v>4</v>
      </c>
      <c r="AN512">
        <v>371</v>
      </c>
      <c r="AO512" t="s">
        <v>56</v>
      </c>
      <c r="AP512">
        <v>24</v>
      </c>
      <c r="AQ512" t="s">
        <v>56</v>
      </c>
      <c r="AR512">
        <v>8.06</v>
      </c>
      <c r="AS512" t="s">
        <v>56</v>
      </c>
      <c r="AT512">
        <v>0.03</v>
      </c>
      <c r="AU512">
        <v>1142</v>
      </c>
      <c r="AV512" t="s">
        <v>56</v>
      </c>
      <c r="AW512">
        <v>69</v>
      </c>
      <c r="AX512">
        <v>7.62</v>
      </c>
      <c r="AY512" t="s">
        <v>56</v>
      </c>
      <c r="AZ512">
        <v>0.03</v>
      </c>
      <c r="BB512">
        <f>LOG(AU512)</f>
        <v>3.0576661039098294</v>
      </c>
      <c r="BC512">
        <v>12</v>
      </c>
      <c r="BD512" t="s">
        <v>56</v>
      </c>
      <c r="BE512" t="s">
        <v>56</v>
      </c>
      <c r="BF512">
        <v>16</v>
      </c>
      <c r="BG512" t="s">
        <v>56</v>
      </c>
      <c r="BH512" t="s">
        <v>56</v>
      </c>
      <c r="BI512">
        <v>771</v>
      </c>
      <c r="BJ512">
        <v>4</v>
      </c>
      <c r="BK512" t="s">
        <v>56</v>
      </c>
      <c r="BL512" t="s">
        <v>406</v>
      </c>
      <c r="BM512" t="s">
        <v>75</v>
      </c>
      <c r="BN512" t="s">
        <v>60</v>
      </c>
      <c r="BO512" t="s">
        <v>407</v>
      </c>
      <c r="BP512" t="s">
        <v>77</v>
      </c>
      <c r="BR512" t="s">
        <v>63</v>
      </c>
      <c r="BT512">
        <v>0.28000000000000003</v>
      </c>
      <c r="BU512">
        <v>0.28000000000000003</v>
      </c>
      <c r="BV512">
        <v>0.01</v>
      </c>
      <c r="BW512">
        <f>BV512*SQRT(AK512)</f>
        <v>2.2360679774997897E-2</v>
      </c>
      <c r="BX512">
        <v>0.28000000000000003</v>
      </c>
      <c r="BY512">
        <v>0.28000000000000003</v>
      </c>
      <c r="BZ512">
        <v>0.01</v>
      </c>
      <c r="CA512">
        <f>BZ512*SQRT(AL512)</f>
        <v>0.02</v>
      </c>
      <c r="CB512">
        <v>80</v>
      </c>
      <c r="CC512">
        <v>4</v>
      </c>
      <c r="CD512">
        <v>0</v>
      </c>
      <c r="CE512">
        <v>2.5999999999999999E-3</v>
      </c>
    </row>
    <row r="513" spans="1:84" hidden="1" x14ac:dyDescent="0.2">
      <c r="D513">
        <v>35</v>
      </c>
      <c r="G513" t="s">
        <v>43</v>
      </c>
      <c r="H513" t="s">
        <v>401</v>
      </c>
      <c r="J513">
        <v>2016</v>
      </c>
      <c r="M513" t="s">
        <v>94</v>
      </c>
      <c r="T513" t="s">
        <v>68</v>
      </c>
      <c r="U513" t="s">
        <v>266</v>
      </c>
      <c r="V513" t="s">
        <v>402</v>
      </c>
      <c r="Z513" t="s">
        <v>49</v>
      </c>
      <c r="AA513" t="s">
        <v>49</v>
      </c>
      <c r="AB513" t="s">
        <v>50</v>
      </c>
      <c r="AC513" t="s">
        <v>108</v>
      </c>
      <c r="AD513" t="s">
        <v>54</v>
      </c>
      <c r="AE513" t="s">
        <v>53</v>
      </c>
      <c r="AF513" t="s">
        <v>52</v>
      </c>
      <c r="AG513" t="s">
        <v>52</v>
      </c>
      <c r="AH513" t="s">
        <v>64</v>
      </c>
      <c r="AK513">
        <v>5</v>
      </c>
      <c r="AL513">
        <v>4</v>
      </c>
      <c r="AN513">
        <v>371</v>
      </c>
      <c r="AO513" t="s">
        <v>56</v>
      </c>
      <c r="AP513">
        <v>24</v>
      </c>
      <c r="AQ513" t="s">
        <v>56</v>
      </c>
      <c r="AR513">
        <v>8.06</v>
      </c>
      <c r="AS513" t="s">
        <v>56</v>
      </c>
      <c r="AT513">
        <v>0.03</v>
      </c>
      <c r="AU513">
        <v>1142</v>
      </c>
      <c r="AV513" t="s">
        <v>56</v>
      </c>
      <c r="AW513">
        <v>69</v>
      </c>
      <c r="AX513">
        <v>7.62</v>
      </c>
      <c r="AY513" t="s">
        <v>56</v>
      </c>
      <c r="AZ513">
        <v>0.03</v>
      </c>
      <c r="BB513">
        <f>LOG(AU513)</f>
        <v>3.0576661039098294</v>
      </c>
      <c r="BC513">
        <v>12</v>
      </c>
      <c r="BD513" t="s">
        <v>56</v>
      </c>
      <c r="BE513" t="s">
        <v>56</v>
      </c>
      <c r="BF513">
        <v>16</v>
      </c>
      <c r="BG513" t="s">
        <v>56</v>
      </c>
      <c r="BH513" t="s">
        <v>56</v>
      </c>
      <c r="BI513">
        <v>771</v>
      </c>
      <c r="BJ513">
        <v>4</v>
      </c>
      <c r="BK513" t="s">
        <v>56</v>
      </c>
      <c r="BL513" t="s">
        <v>403</v>
      </c>
      <c r="BM513" t="s">
        <v>404</v>
      </c>
      <c r="BN513" t="s">
        <v>81</v>
      </c>
      <c r="BO513" t="s">
        <v>405</v>
      </c>
      <c r="BP513" t="s">
        <v>92</v>
      </c>
      <c r="BR513" t="s">
        <v>63</v>
      </c>
      <c r="BT513">
        <v>4.03</v>
      </c>
      <c r="BU513">
        <v>4.03</v>
      </c>
      <c r="BV513">
        <v>0.13</v>
      </c>
      <c r="BW513">
        <f>BV513*SQRT(AK513)</f>
        <v>0.29068883707497267</v>
      </c>
      <c r="BX513">
        <v>4.03</v>
      </c>
      <c r="BY513">
        <v>4.03</v>
      </c>
      <c r="BZ513">
        <v>0.26</v>
      </c>
      <c r="CA513">
        <f>BZ513*SQRT(AL513)</f>
        <v>0.52</v>
      </c>
      <c r="CB513">
        <v>80</v>
      </c>
      <c r="CC513">
        <v>4</v>
      </c>
      <c r="CD513">
        <v>0</v>
      </c>
      <c r="CE513">
        <v>5.1999999999999998E-3</v>
      </c>
    </row>
    <row r="514" spans="1:84" hidden="1" x14ac:dyDescent="0.2">
      <c r="D514">
        <v>35</v>
      </c>
      <c r="G514" t="s">
        <v>43</v>
      </c>
      <c r="H514" t="s">
        <v>401</v>
      </c>
      <c r="J514">
        <v>2016</v>
      </c>
      <c r="M514" t="s">
        <v>94</v>
      </c>
      <c r="T514" t="s">
        <v>68</v>
      </c>
      <c r="U514" t="s">
        <v>266</v>
      </c>
      <c r="V514" t="s">
        <v>402</v>
      </c>
      <c r="Z514" t="s">
        <v>49</v>
      </c>
      <c r="AA514" t="s">
        <v>49</v>
      </c>
      <c r="AB514" t="s">
        <v>50</v>
      </c>
      <c r="AC514" t="s">
        <v>108</v>
      </c>
      <c r="AD514" t="s">
        <v>54</v>
      </c>
      <c r="AE514" t="s">
        <v>53</v>
      </c>
      <c r="AF514" t="s">
        <v>54</v>
      </c>
      <c r="AG514" t="s">
        <v>52</v>
      </c>
      <c r="AH514" t="s">
        <v>65</v>
      </c>
      <c r="AK514">
        <v>5</v>
      </c>
      <c r="AL514">
        <v>4</v>
      </c>
      <c r="AN514">
        <v>371</v>
      </c>
      <c r="AO514" t="s">
        <v>56</v>
      </c>
      <c r="AP514">
        <v>24</v>
      </c>
      <c r="AQ514" t="s">
        <v>56</v>
      </c>
      <c r="AR514">
        <v>8.06</v>
      </c>
      <c r="AS514" t="s">
        <v>56</v>
      </c>
      <c r="AT514">
        <v>0.03</v>
      </c>
      <c r="AU514">
        <v>440</v>
      </c>
      <c r="AV514" t="s">
        <v>56</v>
      </c>
      <c r="AW514">
        <v>28</v>
      </c>
      <c r="AX514">
        <v>8</v>
      </c>
      <c r="AY514" t="s">
        <v>56</v>
      </c>
      <c r="AZ514">
        <v>0.03</v>
      </c>
      <c r="BB514">
        <f>LOG(AU514)</f>
        <v>2.6434526764861874</v>
      </c>
      <c r="BC514">
        <v>12</v>
      </c>
      <c r="BD514" t="s">
        <v>56</v>
      </c>
      <c r="BE514" t="s">
        <v>56</v>
      </c>
      <c r="BF514">
        <v>16</v>
      </c>
      <c r="BG514" t="s">
        <v>56</v>
      </c>
      <c r="BH514" t="s">
        <v>56</v>
      </c>
      <c r="BI514">
        <v>68</v>
      </c>
      <c r="BJ514">
        <v>4</v>
      </c>
      <c r="BK514" t="s">
        <v>56</v>
      </c>
      <c r="BL514" t="s">
        <v>410</v>
      </c>
      <c r="BM514" t="s">
        <v>410</v>
      </c>
      <c r="BN514" t="s">
        <v>81</v>
      </c>
      <c r="BO514" t="s">
        <v>82</v>
      </c>
      <c r="BP514" t="s">
        <v>194</v>
      </c>
      <c r="BR514" t="s">
        <v>63</v>
      </c>
      <c r="BT514">
        <v>71.099999999999994</v>
      </c>
      <c r="BU514">
        <v>71.099999999999994</v>
      </c>
      <c r="BV514">
        <v>0.3</v>
      </c>
      <c r="BW514">
        <f>BV514*SQRT(AK514)</f>
        <v>0.67082039324993692</v>
      </c>
      <c r="BX514">
        <v>71.5</v>
      </c>
      <c r="BY514">
        <v>71.5</v>
      </c>
      <c r="BZ514">
        <v>1.9</v>
      </c>
      <c r="CA514">
        <f>BZ514*SQRT(AL514)</f>
        <v>3.8</v>
      </c>
      <c r="CB514">
        <v>80</v>
      </c>
      <c r="CC514">
        <v>4</v>
      </c>
      <c r="CD514">
        <v>6.0000000000000001E-3</v>
      </c>
      <c r="CE514">
        <v>6.9999999999999999E-4</v>
      </c>
    </row>
    <row r="515" spans="1:84" hidden="1" x14ac:dyDescent="0.2">
      <c r="D515">
        <v>35</v>
      </c>
      <c r="G515" t="s">
        <v>43</v>
      </c>
      <c r="H515" t="s">
        <v>401</v>
      </c>
      <c r="J515">
        <v>2016</v>
      </c>
      <c r="M515" t="s">
        <v>94</v>
      </c>
      <c r="T515" t="s">
        <v>68</v>
      </c>
      <c r="U515" t="s">
        <v>266</v>
      </c>
      <c r="V515" t="s">
        <v>402</v>
      </c>
      <c r="Z515" t="s">
        <v>49</v>
      </c>
      <c r="AA515" t="s">
        <v>49</v>
      </c>
      <c r="AB515" t="s">
        <v>50</v>
      </c>
      <c r="AC515" t="s">
        <v>108</v>
      </c>
      <c r="AD515" t="s">
        <v>54</v>
      </c>
      <c r="AE515" t="s">
        <v>53</v>
      </c>
      <c r="AF515" t="s">
        <v>52</v>
      </c>
      <c r="AG515" t="s">
        <v>52</v>
      </c>
      <c r="AH515" t="s">
        <v>64</v>
      </c>
      <c r="AK515">
        <v>5</v>
      </c>
      <c r="AL515">
        <v>4</v>
      </c>
      <c r="AN515">
        <v>371</v>
      </c>
      <c r="AO515" t="s">
        <v>56</v>
      </c>
      <c r="AP515">
        <v>24</v>
      </c>
      <c r="AQ515" t="s">
        <v>56</v>
      </c>
      <c r="AR515">
        <v>8.06</v>
      </c>
      <c r="AS515" t="s">
        <v>56</v>
      </c>
      <c r="AT515">
        <v>0.03</v>
      </c>
      <c r="AU515">
        <v>773</v>
      </c>
      <c r="AV515" t="s">
        <v>56</v>
      </c>
      <c r="AW515">
        <v>58</v>
      </c>
      <c r="AX515">
        <v>7.78</v>
      </c>
      <c r="AY515" t="s">
        <v>56</v>
      </c>
      <c r="AZ515">
        <v>0.03</v>
      </c>
      <c r="BB515">
        <f>LOG(AU515)</f>
        <v>2.888179493918325</v>
      </c>
      <c r="BC515">
        <v>12</v>
      </c>
      <c r="BD515" t="s">
        <v>56</v>
      </c>
      <c r="BE515" t="s">
        <v>56</v>
      </c>
      <c r="BF515">
        <v>16</v>
      </c>
      <c r="BG515" t="s">
        <v>56</v>
      </c>
      <c r="BH515" t="s">
        <v>56</v>
      </c>
      <c r="BI515">
        <v>401</v>
      </c>
      <c r="BJ515">
        <v>4</v>
      </c>
      <c r="BK515" t="s">
        <v>56</v>
      </c>
      <c r="BL515" t="s">
        <v>410</v>
      </c>
      <c r="BM515" t="s">
        <v>410</v>
      </c>
      <c r="BN515" t="s">
        <v>81</v>
      </c>
      <c r="BO515" t="s">
        <v>82</v>
      </c>
      <c r="BP515" t="s">
        <v>194</v>
      </c>
      <c r="BR515" t="s">
        <v>63</v>
      </c>
      <c r="BT515">
        <v>71.099999999999994</v>
      </c>
      <c r="BU515">
        <v>71.099999999999994</v>
      </c>
      <c r="BV515">
        <v>0.3</v>
      </c>
      <c r="BW515">
        <f>BV515*SQRT(AK515)</f>
        <v>0.67082039324993692</v>
      </c>
      <c r="BX515">
        <v>74.099999999999994</v>
      </c>
      <c r="BY515">
        <v>74.099999999999994</v>
      </c>
      <c r="BZ515">
        <v>2.5</v>
      </c>
      <c r="CA515">
        <f>BZ515*SQRT(AL515)</f>
        <v>5</v>
      </c>
      <c r="CB515">
        <v>80</v>
      </c>
      <c r="CC515">
        <v>4</v>
      </c>
      <c r="CD515">
        <v>4.1000000000000002E-2</v>
      </c>
      <c r="CE515">
        <v>1.1999999999999999E-3</v>
      </c>
    </row>
    <row r="516" spans="1:84" hidden="1" x14ac:dyDescent="0.2">
      <c r="D516">
        <v>35</v>
      </c>
      <c r="G516" t="s">
        <v>43</v>
      </c>
      <c r="H516" t="s">
        <v>401</v>
      </c>
      <c r="J516">
        <v>2016</v>
      </c>
      <c r="M516" t="s">
        <v>94</v>
      </c>
      <c r="T516" t="s">
        <v>68</v>
      </c>
      <c r="U516" t="s">
        <v>266</v>
      </c>
      <c r="V516" t="s">
        <v>402</v>
      </c>
      <c r="Z516" t="s">
        <v>49</v>
      </c>
      <c r="AA516" t="s">
        <v>49</v>
      </c>
      <c r="AB516" t="s">
        <v>50</v>
      </c>
      <c r="AC516" t="s">
        <v>108</v>
      </c>
      <c r="AD516" t="s">
        <v>54</v>
      </c>
      <c r="AE516" t="s">
        <v>53</v>
      </c>
      <c r="AF516" t="s">
        <v>52</v>
      </c>
      <c r="AG516" t="s">
        <v>54</v>
      </c>
      <c r="AH516" t="s">
        <v>55</v>
      </c>
      <c r="AK516">
        <v>5</v>
      </c>
      <c r="AL516">
        <v>4</v>
      </c>
      <c r="AN516">
        <v>371</v>
      </c>
      <c r="AO516" t="s">
        <v>56</v>
      </c>
      <c r="AP516">
        <v>24</v>
      </c>
      <c r="AQ516" t="s">
        <v>56</v>
      </c>
      <c r="AR516">
        <v>8.06</v>
      </c>
      <c r="AS516" t="s">
        <v>56</v>
      </c>
      <c r="AT516">
        <v>0.03</v>
      </c>
      <c r="AU516">
        <v>978</v>
      </c>
      <c r="AV516" t="s">
        <v>56</v>
      </c>
      <c r="AW516">
        <v>61</v>
      </c>
      <c r="AX516">
        <v>7.67</v>
      </c>
      <c r="AY516" t="s">
        <v>56</v>
      </c>
      <c r="AZ516">
        <v>0.03</v>
      </c>
      <c r="BB516">
        <f>LOG(AU516)</f>
        <v>2.9903388547876015</v>
      </c>
      <c r="BC516">
        <v>12</v>
      </c>
      <c r="BD516" t="s">
        <v>56</v>
      </c>
      <c r="BE516" t="s">
        <v>56</v>
      </c>
      <c r="BF516">
        <v>12</v>
      </c>
      <c r="BG516" t="s">
        <v>56</v>
      </c>
      <c r="BH516" t="s">
        <v>56</v>
      </c>
      <c r="BI516">
        <v>606</v>
      </c>
      <c r="BJ516">
        <v>0</v>
      </c>
      <c r="BK516" t="s">
        <v>56</v>
      </c>
      <c r="BL516" t="s">
        <v>411</v>
      </c>
      <c r="BM516" t="s">
        <v>272</v>
      </c>
      <c r="BN516" t="s">
        <v>60</v>
      </c>
      <c r="BO516" t="s">
        <v>412</v>
      </c>
      <c r="BP516" t="s">
        <v>194</v>
      </c>
      <c r="BR516" t="s">
        <v>63</v>
      </c>
      <c r="BT516">
        <v>2.95</v>
      </c>
      <c r="BU516">
        <v>2.95</v>
      </c>
      <c r="BV516">
        <v>0.19</v>
      </c>
      <c r="BW516">
        <f>BV516*SQRT(AK516)</f>
        <v>0.42485291572496009</v>
      </c>
      <c r="BX516">
        <v>3.21</v>
      </c>
      <c r="BY516">
        <v>3.21</v>
      </c>
      <c r="BZ516">
        <v>0.1</v>
      </c>
      <c r="CA516">
        <f>BZ516*SQRT(AL516)</f>
        <v>0.2</v>
      </c>
      <c r="CB516">
        <v>80</v>
      </c>
      <c r="CC516">
        <v>4</v>
      </c>
      <c r="CD516">
        <v>8.4000000000000005E-2</v>
      </c>
      <c r="CE516">
        <v>5.1000000000000004E-3</v>
      </c>
    </row>
    <row r="517" spans="1:84" hidden="1" x14ac:dyDescent="0.2">
      <c r="D517">
        <v>35</v>
      </c>
      <c r="G517" t="s">
        <v>43</v>
      </c>
      <c r="H517" t="s">
        <v>401</v>
      </c>
      <c r="J517">
        <v>2016</v>
      </c>
      <c r="M517" t="s">
        <v>94</v>
      </c>
      <c r="T517" t="s">
        <v>68</v>
      </c>
      <c r="U517" t="s">
        <v>266</v>
      </c>
      <c r="V517" t="s">
        <v>402</v>
      </c>
      <c r="Z517" t="s">
        <v>49</v>
      </c>
      <c r="AA517" t="s">
        <v>49</v>
      </c>
      <c r="AB517" t="s">
        <v>50</v>
      </c>
      <c r="AC517" t="s">
        <v>108</v>
      </c>
      <c r="AD517" t="s">
        <v>54</v>
      </c>
      <c r="AE517" t="s">
        <v>53</v>
      </c>
      <c r="AF517" t="s">
        <v>52</v>
      </c>
      <c r="AG517" t="s">
        <v>54</v>
      </c>
      <c r="AH517" t="s">
        <v>55</v>
      </c>
      <c r="AK517">
        <v>5</v>
      </c>
      <c r="AL517">
        <v>4</v>
      </c>
      <c r="AN517">
        <v>371</v>
      </c>
      <c r="AO517" t="s">
        <v>56</v>
      </c>
      <c r="AP517">
        <v>24</v>
      </c>
      <c r="AQ517" t="s">
        <v>56</v>
      </c>
      <c r="AR517">
        <v>8.06</v>
      </c>
      <c r="AS517" t="s">
        <v>56</v>
      </c>
      <c r="AT517">
        <v>0.03</v>
      </c>
      <c r="AU517">
        <v>657</v>
      </c>
      <c r="AV517" t="s">
        <v>56</v>
      </c>
      <c r="AW517">
        <v>50</v>
      </c>
      <c r="AX517">
        <v>7.84</v>
      </c>
      <c r="AY517" t="s">
        <v>56</v>
      </c>
      <c r="AZ517">
        <v>0.04</v>
      </c>
      <c r="BB517">
        <f>LOG(AU517)</f>
        <v>2.8175653695597807</v>
      </c>
      <c r="BC517">
        <v>12</v>
      </c>
      <c r="BD517" t="s">
        <v>56</v>
      </c>
      <c r="BE517" t="s">
        <v>56</v>
      </c>
      <c r="BF517">
        <v>12</v>
      </c>
      <c r="BG517" t="s">
        <v>56</v>
      </c>
      <c r="BH517" t="s">
        <v>56</v>
      </c>
      <c r="BI517">
        <v>286</v>
      </c>
      <c r="BJ517">
        <v>0</v>
      </c>
      <c r="BK517" t="s">
        <v>56</v>
      </c>
      <c r="BL517" t="s">
        <v>411</v>
      </c>
      <c r="BM517" t="s">
        <v>272</v>
      </c>
      <c r="BN517" t="s">
        <v>60</v>
      </c>
      <c r="BO517" t="s">
        <v>412</v>
      </c>
      <c r="BP517" t="s">
        <v>194</v>
      </c>
      <c r="BR517" t="s">
        <v>63</v>
      </c>
      <c r="BT517">
        <v>2.95</v>
      </c>
      <c r="BU517">
        <v>2.95</v>
      </c>
      <c r="BV517">
        <v>0.19</v>
      </c>
      <c r="BW517">
        <f>BV517*SQRT(AK517)</f>
        <v>0.42485291572496009</v>
      </c>
      <c r="BX517">
        <v>3.37</v>
      </c>
      <c r="BY517">
        <v>3.37</v>
      </c>
      <c r="BZ517">
        <v>0.18</v>
      </c>
      <c r="CA517">
        <f>BZ517*SQRT(AL517)</f>
        <v>0.36</v>
      </c>
      <c r="CB517">
        <v>80</v>
      </c>
      <c r="CC517">
        <v>4</v>
      </c>
      <c r="CD517">
        <v>0.13300000000000001</v>
      </c>
      <c r="CE517">
        <v>7.0000000000000001E-3</v>
      </c>
    </row>
    <row r="518" spans="1:84" hidden="1" x14ac:dyDescent="0.2">
      <c r="D518">
        <v>35</v>
      </c>
      <c r="G518" t="s">
        <v>43</v>
      </c>
      <c r="H518" t="s">
        <v>401</v>
      </c>
      <c r="J518">
        <v>2016</v>
      </c>
      <c r="M518" t="s">
        <v>94</v>
      </c>
      <c r="T518" t="s">
        <v>68</v>
      </c>
      <c r="U518" t="s">
        <v>266</v>
      </c>
      <c r="V518" t="s">
        <v>402</v>
      </c>
      <c r="Z518" t="s">
        <v>49</v>
      </c>
      <c r="AA518" t="s">
        <v>49</v>
      </c>
      <c r="AB518" t="s">
        <v>50</v>
      </c>
      <c r="AC518" t="s">
        <v>108</v>
      </c>
      <c r="AD518" t="s">
        <v>54</v>
      </c>
      <c r="AE518" t="s">
        <v>53</v>
      </c>
      <c r="AF518" t="s">
        <v>52</v>
      </c>
      <c r="AG518" t="s">
        <v>52</v>
      </c>
      <c r="AH518" t="s">
        <v>64</v>
      </c>
      <c r="AK518">
        <v>5</v>
      </c>
      <c r="AL518">
        <v>4</v>
      </c>
      <c r="AN518">
        <v>371</v>
      </c>
      <c r="AO518" t="s">
        <v>56</v>
      </c>
      <c r="AP518">
        <v>24</v>
      </c>
      <c r="AQ518" t="s">
        <v>56</v>
      </c>
      <c r="AR518">
        <v>8.06</v>
      </c>
      <c r="AS518" t="s">
        <v>56</v>
      </c>
      <c r="AT518">
        <v>0.03</v>
      </c>
      <c r="AU518">
        <v>1142</v>
      </c>
      <c r="AV518" t="s">
        <v>56</v>
      </c>
      <c r="AW518">
        <v>69</v>
      </c>
      <c r="AX518">
        <v>7.62</v>
      </c>
      <c r="AY518" t="s">
        <v>56</v>
      </c>
      <c r="AZ518">
        <v>0.03</v>
      </c>
      <c r="BB518">
        <f>LOG(AU518)</f>
        <v>3.0576661039098294</v>
      </c>
      <c r="BC518">
        <v>12</v>
      </c>
      <c r="BD518" t="s">
        <v>56</v>
      </c>
      <c r="BE518" t="s">
        <v>56</v>
      </c>
      <c r="BF518">
        <v>16</v>
      </c>
      <c r="BG518" t="s">
        <v>56</v>
      </c>
      <c r="BH518" t="s">
        <v>56</v>
      </c>
      <c r="BI518">
        <v>771</v>
      </c>
      <c r="BJ518">
        <v>4</v>
      </c>
      <c r="BK518" t="s">
        <v>56</v>
      </c>
      <c r="BL518" t="s">
        <v>411</v>
      </c>
      <c r="BM518" t="s">
        <v>272</v>
      </c>
      <c r="BN518" t="s">
        <v>60</v>
      </c>
      <c r="BO518" t="s">
        <v>412</v>
      </c>
      <c r="BP518" t="s">
        <v>194</v>
      </c>
      <c r="BR518" t="s">
        <v>63</v>
      </c>
      <c r="BT518">
        <v>2.95</v>
      </c>
      <c r="BU518">
        <v>2.95</v>
      </c>
      <c r="BV518">
        <v>0.19</v>
      </c>
      <c r="BW518">
        <f>BV518*SQRT(AK518)</f>
        <v>0.42485291572496009</v>
      </c>
      <c r="BX518">
        <v>3.38</v>
      </c>
      <c r="BY518">
        <v>3.38</v>
      </c>
      <c r="BZ518">
        <v>0.39</v>
      </c>
      <c r="CA518">
        <f>BZ518*SQRT(AL518)</f>
        <v>0.78</v>
      </c>
      <c r="CB518">
        <v>80</v>
      </c>
      <c r="CC518">
        <v>4</v>
      </c>
      <c r="CD518">
        <v>0.13600000000000001</v>
      </c>
      <c r="CE518">
        <v>1.7500000000000002E-2</v>
      </c>
    </row>
    <row r="519" spans="1:84" hidden="1" x14ac:dyDescent="0.2">
      <c r="D519">
        <v>35</v>
      </c>
      <c r="G519" t="s">
        <v>43</v>
      </c>
      <c r="H519" t="s">
        <v>401</v>
      </c>
      <c r="J519">
        <v>2016</v>
      </c>
      <c r="M519" t="s">
        <v>94</v>
      </c>
      <c r="T519" t="s">
        <v>68</v>
      </c>
      <c r="U519" t="s">
        <v>266</v>
      </c>
      <c r="V519" t="s">
        <v>402</v>
      </c>
      <c r="Z519" t="s">
        <v>49</v>
      </c>
      <c r="AA519" t="s">
        <v>49</v>
      </c>
      <c r="AB519" t="s">
        <v>50</v>
      </c>
      <c r="AC519" t="s">
        <v>108</v>
      </c>
      <c r="AD519" t="s">
        <v>54</v>
      </c>
      <c r="AE519" t="s">
        <v>53</v>
      </c>
      <c r="AF519" t="s">
        <v>54</v>
      </c>
      <c r="AG519" t="s">
        <v>52</v>
      </c>
      <c r="AH519" t="s">
        <v>65</v>
      </c>
      <c r="AK519">
        <v>5</v>
      </c>
      <c r="AL519">
        <v>4</v>
      </c>
      <c r="AN519">
        <v>371</v>
      </c>
      <c r="AO519" t="s">
        <v>56</v>
      </c>
      <c r="AP519">
        <v>24</v>
      </c>
      <c r="AQ519" t="s">
        <v>56</v>
      </c>
      <c r="AR519">
        <v>8.06</v>
      </c>
      <c r="AS519" t="s">
        <v>56</v>
      </c>
      <c r="AT519">
        <v>0.03</v>
      </c>
      <c r="AU519">
        <v>440</v>
      </c>
      <c r="AV519" t="s">
        <v>56</v>
      </c>
      <c r="AW519">
        <v>28</v>
      </c>
      <c r="AX519">
        <v>8</v>
      </c>
      <c r="AY519" t="s">
        <v>56</v>
      </c>
      <c r="AZ519">
        <v>0.03</v>
      </c>
      <c r="BB519">
        <f>LOG(AU519)</f>
        <v>2.6434526764861874</v>
      </c>
      <c r="BC519">
        <v>12</v>
      </c>
      <c r="BD519" t="s">
        <v>56</v>
      </c>
      <c r="BE519" t="s">
        <v>56</v>
      </c>
      <c r="BF519">
        <v>16</v>
      </c>
      <c r="BG519" t="s">
        <v>56</v>
      </c>
      <c r="BH519" t="s">
        <v>56</v>
      </c>
      <c r="BI519">
        <v>68</v>
      </c>
      <c r="BJ519">
        <v>4</v>
      </c>
      <c r="BK519" t="s">
        <v>56</v>
      </c>
      <c r="BL519" t="s">
        <v>403</v>
      </c>
      <c r="BM519" t="s">
        <v>404</v>
      </c>
      <c r="BN519" t="s">
        <v>81</v>
      </c>
      <c r="BO519" t="s">
        <v>405</v>
      </c>
      <c r="BP519" t="s">
        <v>92</v>
      </c>
      <c r="BR519" t="s">
        <v>63</v>
      </c>
      <c r="BT519">
        <v>4.03</v>
      </c>
      <c r="BU519">
        <v>4.03</v>
      </c>
      <c r="BV519">
        <v>0.13</v>
      </c>
      <c r="BW519">
        <f>BV519*SQRT(AK519)</f>
        <v>0.29068883707497267</v>
      </c>
      <c r="BX519">
        <v>4.72</v>
      </c>
      <c r="BY519">
        <v>4.72</v>
      </c>
      <c r="BZ519">
        <v>0.42</v>
      </c>
      <c r="CA519">
        <f>BZ519*SQRT(AL519)</f>
        <v>0.84</v>
      </c>
      <c r="CB519">
        <v>80</v>
      </c>
      <c r="CC519">
        <v>4</v>
      </c>
      <c r="CD519">
        <v>0.158</v>
      </c>
      <c r="CE519">
        <v>8.9999999999999993E-3</v>
      </c>
    </row>
    <row r="520" spans="1:84" hidden="1" x14ac:dyDescent="0.2">
      <c r="D520">
        <v>35</v>
      </c>
      <c r="G520" t="s">
        <v>43</v>
      </c>
      <c r="H520" t="s">
        <v>401</v>
      </c>
      <c r="J520">
        <v>2016</v>
      </c>
      <c r="M520" t="s">
        <v>94</v>
      </c>
      <c r="T520" t="s">
        <v>68</v>
      </c>
      <c r="U520" t="s">
        <v>266</v>
      </c>
      <c r="V520" t="s">
        <v>402</v>
      </c>
      <c r="Z520" t="s">
        <v>49</v>
      </c>
      <c r="AA520" t="s">
        <v>49</v>
      </c>
      <c r="AB520" t="s">
        <v>50</v>
      </c>
      <c r="AC520" t="s">
        <v>108</v>
      </c>
      <c r="AD520" t="s">
        <v>54</v>
      </c>
      <c r="AE520" t="s">
        <v>53</v>
      </c>
      <c r="AF520" t="s">
        <v>52</v>
      </c>
      <c r="AG520" t="s">
        <v>52</v>
      </c>
      <c r="AH520" t="s">
        <v>64</v>
      </c>
      <c r="AK520">
        <v>5</v>
      </c>
      <c r="AL520">
        <v>4</v>
      </c>
      <c r="AN520">
        <v>371</v>
      </c>
      <c r="AO520" t="s">
        <v>56</v>
      </c>
      <c r="AP520">
        <v>24</v>
      </c>
      <c r="AQ520" t="s">
        <v>56</v>
      </c>
      <c r="AR520">
        <v>8.06</v>
      </c>
      <c r="AS520" t="s">
        <v>56</v>
      </c>
      <c r="AT520">
        <v>0.03</v>
      </c>
      <c r="AU520">
        <v>773</v>
      </c>
      <c r="AV520" t="s">
        <v>56</v>
      </c>
      <c r="AW520">
        <v>58</v>
      </c>
      <c r="AX520">
        <v>7.78</v>
      </c>
      <c r="AY520" t="s">
        <v>56</v>
      </c>
      <c r="AZ520">
        <v>0.03</v>
      </c>
      <c r="BB520">
        <f>LOG(AU520)</f>
        <v>2.888179493918325</v>
      </c>
      <c r="BC520">
        <v>12</v>
      </c>
      <c r="BD520" t="s">
        <v>56</v>
      </c>
      <c r="BE520" t="s">
        <v>56</v>
      </c>
      <c r="BF520">
        <v>16</v>
      </c>
      <c r="BG520" t="s">
        <v>56</v>
      </c>
      <c r="BH520" t="s">
        <v>56</v>
      </c>
      <c r="BI520">
        <v>401</v>
      </c>
      <c r="BJ520">
        <v>4</v>
      </c>
      <c r="BK520" t="s">
        <v>56</v>
      </c>
      <c r="BL520" t="s">
        <v>403</v>
      </c>
      <c r="BM520" t="s">
        <v>404</v>
      </c>
      <c r="BN520" t="s">
        <v>81</v>
      </c>
      <c r="BO520" t="s">
        <v>405</v>
      </c>
      <c r="BP520" t="s">
        <v>92</v>
      </c>
      <c r="BR520" t="s">
        <v>63</v>
      </c>
      <c r="BT520">
        <v>4.03</v>
      </c>
      <c r="BU520">
        <v>4.03</v>
      </c>
      <c r="BV520">
        <v>0.13</v>
      </c>
      <c r="BW520">
        <f>BV520*SQRT(AK520)</f>
        <v>0.29068883707497267</v>
      </c>
      <c r="BX520">
        <v>4.8099999999999996</v>
      </c>
      <c r="BY520">
        <v>4.8099999999999996</v>
      </c>
      <c r="BZ520">
        <v>0.36</v>
      </c>
      <c r="CA520">
        <f>BZ520*SQRT(AL520)</f>
        <v>0.72</v>
      </c>
      <c r="CB520">
        <v>80</v>
      </c>
      <c r="CC520">
        <v>4</v>
      </c>
      <c r="CD520">
        <v>0.17699999999999999</v>
      </c>
      <c r="CE520">
        <v>6.6E-3</v>
      </c>
    </row>
    <row r="521" spans="1:84" hidden="1" x14ac:dyDescent="0.2">
      <c r="D521">
        <v>35</v>
      </c>
      <c r="G521" t="s">
        <v>43</v>
      </c>
      <c r="H521" t="s">
        <v>401</v>
      </c>
      <c r="J521">
        <v>2016</v>
      </c>
      <c r="M521" t="s">
        <v>94</v>
      </c>
      <c r="T521" t="s">
        <v>68</v>
      </c>
      <c r="U521" t="s">
        <v>266</v>
      </c>
      <c r="V521" t="s">
        <v>402</v>
      </c>
      <c r="Z521" t="s">
        <v>49</v>
      </c>
      <c r="AA521" t="s">
        <v>49</v>
      </c>
      <c r="AB521" t="s">
        <v>50</v>
      </c>
      <c r="AC521" t="s">
        <v>108</v>
      </c>
      <c r="AD521" t="s">
        <v>54</v>
      </c>
      <c r="AE521" t="s">
        <v>53</v>
      </c>
      <c r="AF521" t="s">
        <v>54</v>
      </c>
      <c r="AG521" t="s">
        <v>52</v>
      </c>
      <c r="AH521" t="s">
        <v>65</v>
      </c>
      <c r="AK521">
        <v>5</v>
      </c>
      <c r="AL521">
        <v>4</v>
      </c>
      <c r="AN521">
        <v>371</v>
      </c>
      <c r="AO521" t="s">
        <v>56</v>
      </c>
      <c r="AP521">
        <v>24</v>
      </c>
      <c r="AQ521" t="s">
        <v>56</v>
      </c>
      <c r="AR521">
        <v>8.06</v>
      </c>
      <c r="AS521" t="s">
        <v>56</v>
      </c>
      <c r="AT521">
        <v>0.03</v>
      </c>
      <c r="AU521">
        <v>440</v>
      </c>
      <c r="AV521" t="s">
        <v>56</v>
      </c>
      <c r="AW521">
        <v>28</v>
      </c>
      <c r="AX521">
        <v>8</v>
      </c>
      <c r="AY521" t="s">
        <v>56</v>
      </c>
      <c r="AZ521">
        <v>0.03</v>
      </c>
      <c r="BB521">
        <f>LOG(AU521)</f>
        <v>2.6434526764861874</v>
      </c>
      <c r="BC521">
        <v>12</v>
      </c>
      <c r="BD521" t="s">
        <v>56</v>
      </c>
      <c r="BE521" t="s">
        <v>56</v>
      </c>
      <c r="BF521">
        <v>16</v>
      </c>
      <c r="BG521" t="s">
        <v>56</v>
      </c>
      <c r="BH521" t="s">
        <v>56</v>
      </c>
      <c r="BI521">
        <v>68</v>
      </c>
      <c r="BJ521">
        <v>4</v>
      </c>
      <c r="BK521" t="s">
        <v>56</v>
      </c>
      <c r="BL521" t="s">
        <v>406</v>
      </c>
      <c r="BM521" t="s">
        <v>75</v>
      </c>
      <c r="BN521" t="s">
        <v>60</v>
      </c>
      <c r="BO521" t="s">
        <v>407</v>
      </c>
      <c r="BP521" t="s">
        <v>77</v>
      </c>
      <c r="BR521" t="s">
        <v>63</v>
      </c>
      <c r="BT521">
        <v>0.28000000000000003</v>
      </c>
      <c r="BU521">
        <v>0.28000000000000003</v>
      </c>
      <c r="BV521">
        <v>0.01</v>
      </c>
      <c r="BW521">
        <f>BV521*SQRT(AK521)</f>
        <v>2.2360679774997897E-2</v>
      </c>
      <c r="BX521">
        <v>0.34</v>
      </c>
      <c r="BY521">
        <v>0.34</v>
      </c>
      <c r="BZ521">
        <v>0.01</v>
      </c>
      <c r="CA521">
        <f>BZ521*SQRT(AL521)</f>
        <v>0.02</v>
      </c>
      <c r="CB521">
        <v>80</v>
      </c>
      <c r="CC521">
        <v>4</v>
      </c>
      <c r="CD521">
        <v>0.19400000000000001</v>
      </c>
      <c r="CE521">
        <v>2.0999999999999999E-3</v>
      </c>
    </row>
    <row r="522" spans="1:84" hidden="1" x14ac:dyDescent="0.2">
      <c r="D522">
        <v>35</v>
      </c>
      <c r="G522" t="s">
        <v>43</v>
      </c>
      <c r="H522" t="s">
        <v>401</v>
      </c>
      <c r="J522">
        <v>2016</v>
      </c>
      <c r="M522" t="s">
        <v>94</v>
      </c>
      <c r="T522" t="s">
        <v>68</v>
      </c>
      <c r="U522" t="s">
        <v>266</v>
      </c>
      <c r="V522" t="s">
        <v>402</v>
      </c>
      <c r="Z522" t="s">
        <v>49</v>
      </c>
      <c r="AA522" t="s">
        <v>49</v>
      </c>
      <c r="AB522" t="s">
        <v>50</v>
      </c>
      <c r="AC522" t="s">
        <v>108</v>
      </c>
      <c r="AD522" t="s">
        <v>54</v>
      </c>
      <c r="AE522" t="s">
        <v>53</v>
      </c>
      <c r="AF522" t="s">
        <v>52</v>
      </c>
      <c r="AG522" t="s">
        <v>52</v>
      </c>
      <c r="AH522" t="s">
        <v>64</v>
      </c>
      <c r="AK522">
        <v>5</v>
      </c>
      <c r="AL522">
        <v>4</v>
      </c>
      <c r="AN522">
        <v>371</v>
      </c>
      <c r="AO522" t="s">
        <v>56</v>
      </c>
      <c r="AP522">
        <v>24</v>
      </c>
      <c r="AQ522" t="s">
        <v>56</v>
      </c>
      <c r="AR522">
        <v>8.06</v>
      </c>
      <c r="AS522" t="s">
        <v>56</v>
      </c>
      <c r="AT522">
        <v>0.03</v>
      </c>
      <c r="AU522">
        <v>773</v>
      </c>
      <c r="AV522" t="s">
        <v>56</v>
      </c>
      <c r="AW522">
        <v>58</v>
      </c>
      <c r="AX522">
        <v>7.78</v>
      </c>
      <c r="AY522" t="s">
        <v>56</v>
      </c>
      <c r="AZ522">
        <v>0.03</v>
      </c>
      <c r="BB522">
        <f>LOG(AU522)</f>
        <v>2.888179493918325</v>
      </c>
      <c r="BC522">
        <v>12</v>
      </c>
      <c r="BD522" t="s">
        <v>56</v>
      </c>
      <c r="BE522" t="s">
        <v>56</v>
      </c>
      <c r="BF522">
        <v>16</v>
      </c>
      <c r="BG522" t="s">
        <v>56</v>
      </c>
      <c r="BH522" t="s">
        <v>56</v>
      </c>
      <c r="BI522">
        <v>401</v>
      </c>
      <c r="BJ522">
        <v>4</v>
      </c>
      <c r="BK522" t="s">
        <v>56</v>
      </c>
      <c r="BL522" t="s">
        <v>406</v>
      </c>
      <c r="BM522" t="s">
        <v>75</v>
      </c>
      <c r="BN522" t="s">
        <v>60</v>
      </c>
      <c r="BO522" t="s">
        <v>407</v>
      </c>
      <c r="BP522" t="s">
        <v>77</v>
      </c>
      <c r="BR522" t="s">
        <v>63</v>
      </c>
      <c r="BT522">
        <v>0.28000000000000003</v>
      </c>
      <c r="BU522">
        <v>0.28000000000000003</v>
      </c>
      <c r="BV522">
        <v>0.01</v>
      </c>
      <c r="BW522">
        <f>BV522*SQRT(AK522)</f>
        <v>2.2360679774997897E-2</v>
      </c>
      <c r="BX522">
        <v>0.34</v>
      </c>
      <c r="BY522">
        <v>0.34</v>
      </c>
      <c r="BZ522">
        <v>0.01</v>
      </c>
      <c r="CA522">
        <f>BZ522*SQRT(AL522)</f>
        <v>0.02</v>
      </c>
      <c r="CB522">
        <v>80</v>
      </c>
      <c r="CC522">
        <v>4</v>
      </c>
      <c r="CD522">
        <v>0.19400000000000001</v>
      </c>
      <c r="CE522">
        <v>2.0999999999999999E-3</v>
      </c>
    </row>
    <row r="523" spans="1:84" hidden="1" x14ac:dyDescent="0.2">
      <c r="D523">
        <v>35</v>
      </c>
      <c r="G523" t="s">
        <v>43</v>
      </c>
      <c r="H523" t="s">
        <v>401</v>
      </c>
      <c r="J523">
        <v>2016</v>
      </c>
      <c r="M523" t="s">
        <v>94</v>
      </c>
      <c r="T523" t="s">
        <v>68</v>
      </c>
      <c r="U523" t="s">
        <v>266</v>
      </c>
      <c r="V523" t="s">
        <v>402</v>
      </c>
      <c r="Z523" t="s">
        <v>49</v>
      </c>
      <c r="AA523" t="s">
        <v>49</v>
      </c>
      <c r="AB523" t="s">
        <v>50</v>
      </c>
      <c r="AC523" t="s">
        <v>108</v>
      </c>
      <c r="AD523" t="s">
        <v>54</v>
      </c>
      <c r="AE523" t="s">
        <v>53</v>
      </c>
      <c r="AF523" t="s">
        <v>54</v>
      </c>
      <c r="AG523" t="s">
        <v>52</v>
      </c>
      <c r="AH523" t="s">
        <v>65</v>
      </c>
      <c r="AK523">
        <v>5</v>
      </c>
      <c r="AL523">
        <v>4</v>
      </c>
      <c r="AN523">
        <v>371</v>
      </c>
      <c r="AO523" t="s">
        <v>56</v>
      </c>
      <c r="AP523">
        <v>24</v>
      </c>
      <c r="AQ523" t="s">
        <v>56</v>
      </c>
      <c r="AR523">
        <v>8.06</v>
      </c>
      <c r="AS523" t="s">
        <v>56</v>
      </c>
      <c r="AT523">
        <v>0.03</v>
      </c>
      <c r="AU523">
        <v>440</v>
      </c>
      <c r="AV523" t="s">
        <v>56</v>
      </c>
      <c r="AW523">
        <v>28</v>
      </c>
      <c r="AX523">
        <v>8</v>
      </c>
      <c r="AY523" t="s">
        <v>56</v>
      </c>
      <c r="AZ523">
        <v>0.03</v>
      </c>
      <c r="BB523">
        <f>LOG(AU523)</f>
        <v>2.6434526764861874</v>
      </c>
      <c r="BC523">
        <v>12</v>
      </c>
      <c r="BD523" t="s">
        <v>56</v>
      </c>
      <c r="BE523" t="s">
        <v>56</v>
      </c>
      <c r="BF523">
        <v>16</v>
      </c>
      <c r="BG523" t="s">
        <v>56</v>
      </c>
      <c r="BH523" t="s">
        <v>56</v>
      </c>
      <c r="BI523">
        <v>68</v>
      </c>
      <c r="BJ523">
        <v>4</v>
      </c>
      <c r="BK523" t="s">
        <v>56</v>
      </c>
      <c r="BL523" t="s">
        <v>411</v>
      </c>
      <c r="BM523" t="s">
        <v>272</v>
      </c>
      <c r="BN523" t="s">
        <v>60</v>
      </c>
      <c r="BO523" t="s">
        <v>412</v>
      </c>
      <c r="BP523" t="s">
        <v>194</v>
      </c>
      <c r="BR523" t="s">
        <v>63</v>
      </c>
      <c r="BT523">
        <v>2.95</v>
      </c>
      <c r="BU523">
        <v>2.95</v>
      </c>
      <c r="BV523">
        <v>0.19</v>
      </c>
      <c r="BW523">
        <f>BV523*SQRT(AK523)</f>
        <v>0.42485291572496009</v>
      </c>
      <c r="BX523">
        <v>3.72</v>
      </c>
      <c r="BY523">
        <v>3.72</v>
      </c>
      <c r="BZ523">
        <v>0.18</v>
      </c>
      <c r="CA523">
        <f>BZ523*SQRT(AL523)</f>
        <v>0.36</v>
      </c>
      <c r="CB523">
        <v>80</v>
      </c>
      <c r="CC523">
        <v>4</v>
      </c>
      <c r="CD523">
        <v>0.23200000000000001</v>
      </c>
      <c r="CE523">
        <v>6.4999999999999997E-3</v>
      </c>
    </row>
    <row r="524" spans="1:84" hidden="1" x14ac:dyDescent="0.2">
      <c r="D524">
        <v>35</v>
      </c>
      <c r="G524" t="s">
        <v>43</v>
      </c>
      <c r="H524" t="s">
        <v>401</v>
      </c>
      <c r="J524">
        <v>2016</v>
      </c>
      <c r="M524" t="s">
        <v>94</v>
      </c>
      <c r="T524" t="s">
        <v>68</v>
      </c>
      <c r="U524" t="s">
        <v>266</v>
      </c>
      <c r="V524" t="s">
        <v>402</v>
      </c>
      <c r="Z524" t="s">
        <v>49</v>
      </c>
      <c r="AA524" t="s">
        <v>49</v>
      </c>
      <c r="AB524" t="s">
        <v>50</v>
      </c>
      <c r="AC524" t="s">
        <v>108</v>
      </c>
      <c r="AD524" t="s">
        <v>54</v>
      </c>
      <c r="AE524" t="s">
        <v>53</v>
      </c>
      <c r="AF524" t="s">
        <v>52</v>
      </c>
      <c r="AG524" t="s">
        <v>52</v>
      </c>
      <c r="AH524" t="s">
        <v>64</v>
      </c>
      <c r="AK524">
        <v>5</v>
      </c>
      <c r="AL524">
        <v>4</v>
      </c>
      <c r="AN524">
        <v>371</v>
      </c>
      <c r="AO524" t="s">
        <v>56</v>
      </c>
      <c r="AP524">
        <v>24</v>
      </c>
      <c r="AQ524" t="s">
        <v>56</v>
      </c>
      <c r="AR524">
        <v>8.06</v>
      </c>
      <c r="AS524" t="s">
        <v>56</v>
      </c>
      <c r="AT524">
        <v>0.03</v>
      </c>
      <c r="AU524">
        <v>773</v>
      </c>
      <c r="AV524" t="s">
        <v>56</v>
      </c>
      <c r="AW524">
        <v>58</v>
      </c>
      <c r="AX524">
        <v>7.78</v>
      </c>
      <c r="AY524" t="s">
        <v>56</v>
      </c>
      <c r="AZ524">
        <v>0.03</v>
      </c>
      <c r="BB524">
        <f>LOG(AU524)</f>
        <v>2.888179493918325</v>
      </c>
      <c r="BC524">
        <v>12</v>
      </c>
      <c r="BD524" t="s">
        <v>56</v>
      </c>
      <c r="BE524" t="s">
        <v>56</v>
      </c>
      <c r="BF524">
        <v>16</v>
      </c>
      <c r="BG524" t="s">
        <v>56</v>
      </c>
      <c r="BH524" t="s">
        <v>56</v>
      </c>
      <c r="BI524">
        <v>401</v>
      </c>
      <c r="BJ524">
        <v>4</v>
      </c>
      <c r="BK524" t="s">
        <v>56</v>
      </c>
      <c r="BL524" t="s">
        <v>411</v>
      </c>
      <c r="BM524" t="s">
        <v>272</v>
      </c>
      <c r="BN524" t="s">
        <v>60</v>
      </c>
      <c r="BO524" t="s">
        <v>412</v>
      </c>
      <c r="BP524" t="s">
        <v>194</v>
      </c>
      <c r="BR524" t="s">
        <v>63</v>
      </c>
      <c r="BT524">
        <v>2.95</v>
      </c>
      <c r="BU524">
        <v>2.95</v>
      </c>
      <c r="BV524">
        <v>0.19</v>
      </c>
      <c r="BW524">
        <f>BV524*SQRT(AK524)</f>
        <v>0.42485291572496009</v>
      </c>
      <c r="BX524">
        <v>3.75</v>
      </c>
      <c r="BY524">
        <v>3.75</v>
      </c>
      <c r="BZ524">
        <v>0.25</v>
      </c>
      <c r="CA524">
        <f>BZ524*SQRT(AL524)</f>
        <v>0.5</v>
      </c>
      <c r="CB524">
        <v>80</v>
      </c>
      <c r="CC524">
        <v>4</v>
      </c>
      <c r="CD524">
        <v>0.24</v>
      </c>
      <c r="CE524">
        <v>8.6E-3</v>
      </c>
    </row>
    <row r="525" spans="1:84" hidden="1" x14ac:dyDescent="0.2">
      <c r="B525" t="str">
        <f>ROW()-1&amp;"_AltersInvert"</f>
        <v>524_AltersInvert</v>
      </c>
      <c r="C525" t="str">
        <f>D525&amp;"_"&amp;
SUBSTITUTE(TRIM(V525)," ","_")&amp;"_"&amp;
TRIM(AC525)&amp;"_"&amp;
"CO2"&amp;TEXT(AN525,"0.00")&amp;"_"&amp;
"pH"&amp;TEXT(AR525,"0.00")&amp;"_"&amp;
"T"&amp;TEXT(BC525,"0.##")</f>
        <v>93_Menippe_mercenaria_LARVA_CO2484.00_pHNA_T30.1</v>
      </c>
      <c r="D525">
        <v>93</v>
      </c>
      <c r="G525" t="s">
        <v>43</v>
      </c>
      <c r="H525" t="s">
        <v>749</v>
      </c>
      <c r="J525">
        <v>2018</v>
      </c>
      <c r="M525" t="s">
        <v>750</v>
      </c>
      <c r="P525" t="s">
        <v>1135</v>
      </c>
      <c r="R525" t="s">
        <v>1127</v>
      </c>
      <c r="S525" t="s">
        <v>1128</v>
      </c>
      <c r="T525" t="s">
        <v>131</v>
      </c>
      <c r="U525" t="s">
        <v>751</v>
      </c>
      <c r="V525" t="s">
        <v>752</v>
      </c>
      <c r="Z525" t="s">
        <v>106</v>
      </c>
      <c r="AA525" t="s">
        <v>107</v>
      </c>
      <c r="AB525" t="s">
        <v>71</v>
      </c>
      <c r="AC525" t="s">
        <v>72</v>
      </c>
      <c r="AD525" t="s">
        <v>52</v>
      </c>
      <c r="AE525" t="s">
        <v>53</v>
      </c>
      <c r="AF525" t="s">
        <v>54</v>
      </c>
      <c r="AG525" t="s">
        <v>52</v>
      </c>
      <c r="AH525" t="s">
        <v>65</v>
      </c>
      <c r="AK525">
        <v>8</v>
      </c>
      <c r="AL525">
        <v>8</v>
      </c>
      <c r="AN525">
        <v>484</v>
      </c>
      <c r="AO525" t="s">
        <v>56</v>
      </c>
      <c r="AP525">
        <v>29</v>
      </c>
      <c r="AQ525" t="s">
        <v>56</v>
      </c>
      <c r="AR525" t="s">
        <v>56</v>
      </c>
      <c r="AS525" t="s">
        <v>56</v>
      </c>
      <c r="AT525" t="s">
        <v>56</v>
      </c>
      <c r="AU525">
        <v>524</v>
      </c>
      <c r="AV525" t="s">
        <v>56</v>
      </c>
      <c r="AW525">
        <v>26</v>
      </c>
      <c r="AX525" t="s">
        <v>56</v>
      </c>
      <c r="AY525" t="s">
        <v>56</v>
      </c>
      <c r="AZ525" t="s">
        <v>56</v>
      </c>
      <c r="BB525">
        <f>LOG(AU525)</f>
        <v>2.7193312869837265</v>
      </c>
      <c r="BC525">
        <v>30.1</v>
      </c>
      <c r="BD525" t="s">
        <v>56</v>
      </c>
      <c r="BE525">
        <v>0.3</v>
      </c>
      <c r="BF525">
        <v>32</v>
      </c>
      <c r="BG525" t="s">
        <v>56</v>
      </c>
      <c r="BH525">
        <v>0.2</v>
      </c>
      <c r="BI525">
        <v>40</v>
      </c>
      <c r="BJ525">
        <v>1.9</v>
      </c>
      <c r="BK525" t="s">
        <v>56</v>
      </c>
      <c r="BL525" t="s">
        <v>753</v>
      </c>
      <c r="BM525" t="s">
        <v>753</v>
      </c>
      <c r="BN525" t="s">
        <v>60</v>
      </c>
      <c r="BO525" t="s">
        <v>250</v>
      </c>
      <c r="BP525" t="s">
        <v>9</v>
      </c>
      <c r="BQ525" t="s">
        <v>9</v>
      </c>
      <c r="BR525" t="s">
        <v>63</v>
      </c>
      <c r="BT525">
        <v>5.71</v>
      </c>
      <c r="BU525">
        <v>5.7112400000000001</v>
      </c>
      <c r="BV525">
        <v>0.14000000000000001</v>
      </c>
      <c r="BW525">
        <f>BV525*SQRT(AK525)</f>
        <v>0.39597979746446665</v>
      </c>
      <c r="BX525">
        <v>5.25</v>
      </c>
      <c r="BY525">
        <v>5.25</v>
      </c>
      <c r="BZ525">
        <v>0.15</v>
      </c>
      <c r="CA525">
        <f>BZ525*SQRT(AL525)</f>
        <v>0.42426406871192851</v>
      </c>
      <c r="CB525">
        <v>28</v>
      </c>
      <c r="CC525">
        <v>8</v>
      </c>
      <c r="CD525">
        <v>-8.4000000000000005E-2</v>
      </c>
      <c r="CE525">
        <v>1.4E-3</v>
      </c>
      <c r="CF525" s="8"/>
    </row>
    <row r="526" spans="1:84" hidden="1" x14ac:dyDescent="0.2">
      <c r="B526" t="str">
        <f>ROW()-1&amp;"_AltersInvert"</f>
        <v>525_AltersInvert</v>
      </c>
      <c r="C526" t="str">
        <f>D526&amp;"_"&amp;
SUBSTITUTE(TRIM(V526)," ","_")&amp;"_"&amp;
TRIM(AC526)&amp;"_"&amp;
"CO2"&amp;TEXT(AN526,"0.00")&amp;"_"&amp;
"pH"&amp;TEXT(AR526,"0.00")&amp;"_"&amp;
"T"&amp;TEXT(BC526,"0.##")</f>
        <v>93_Menippe_mercenaria_LARVA_CO2484.00_pHNA_T30.1</v>
      </c>
      <c r="D526">
        <v>93</v>
      </c>
      <c r="G526" t="s">
        <v>43</v>
      </c>
      <c r="H526" t="s">
        <v>749</v>
      </c>
      <c r="J526">
        <v>2018</v>
      </c>
      <c r="M526" t="s">
        <v>750</v>
      </c>
      <c r="P526" t="s">
        <v>1135</v>
      </c>
      <c r="R526" t="s">
        <v>1127</v>
      </c>
      <c r="S526" t="s">
        <v>1128</v>
      </c>
      <c r="T526" t="s">
        <v>131</v>
      </c>
      <c r="U526" t="s">
        <v>751</v>
      </c>
      <c r="V526" t="s">
        <v>752</v>
      </c>
      <c r="Z526" t="s">
        <v>106</v>
      </c>
      <c r="AA526" t="s">
        <v>107</v>
      </c>
      <c r="AB526" t="s">
        <v>71</v>
      </c>
      <c r="AC526" t="s">
        <v>72</v>
      </c>
      <c r="AD526" t="s">
        <v>52</v>
      </c>
      <c r="AE526" t="s">
        <v>53</v>
      </c>
      <c r="AF526" t="s">
        <v>52</v>
      </c>
      <c r="AG526" t="s">
        <v>52</v>
      </c>
      <c r="AH526" t="s">
        <v>64</v>
      </c>
      <c r="AK526">
        <v>8</v>
      </c>
      <c r="AL526">
        <v>8</v>
      </c>
      <c r="AN526">
        <v>484</v>
      </c>
      <c r="AO526" t="s">
        <v>56</v>
      </c>
      <c r="AP526">
        <v>29</v>
      </c>
      <c r="AQ526" t="s">
        <v>56</v>
      </c>
      <c r="AR526" t="s">
        <v>56</v>
      </c>
      <c r="AS526" t="s">
        <v>56</v>
      </c>
      <c r="AT526" t="s">
        <v>56</v>
      </c>
      <c r="AU526">
        <v>1199</v>
      </c>
      <c r="AV526" t="s">
        <v>56</v>
      </c>
      <c r="AW526">
        <v>156</v>
      </c>
      <c r="AX526" t="s">
        <v>56</v>
      </c>
      <c r="AY526" t="s">
        <v>56</v>
      </c>
      <c r="AZ526" t="s">
        <v>56</v>
      </c>
      <c r="BB526">
        <f>LOG(AU526)</f>
        <v>3.0788191830988487</v>
      </c>
      <c r="BC526">
        <v>30.1</v>
      </c>
      <c r="BD526" t="s">
        <v>56</v>
      </c>
      <c r="BE526">
        <v>0.3</v>
      </c>
      <c r="BF526">
        <v>32</v>
      </c>
      <c r="BG526" t="s">
        <v>56</v>
      </c>
      <c r="BH526">
        <v>0.2</v>
      </c>
      <c r="BI526">
        <v>715</v>
      </c>
      <c r="BJ526">
        <v>1.9</v>
      </c>
      <c r="BK526" t="s">
        <v>56</v>
      </c>
      <c r="BL526" t="s">
        <v>753</v>
      </c>
      <c r="BM526" t="s">
        <v>753</v>
      </c>
      <c r="BN526" t="s">
        <v>60</v>
      </c>
      <c r="BO526" t="s">
        <v>250</v>
      </c>
      <c r="BP526" t="s">
        <v>9</v>
      </c>
      <c r="BQ526" t="s">
        <v>9</v>
      </c>
      <c r="BR526" t="s">
        <v>63</v>
      </c>
      <c r="BT526">
        <v>5.71</v>
      </c>
      <c r="BU526">
        <v>5.7112400000000001</v>
      </c>
      <c r="BV526">
        <v>0.14000000000000001</v>
      </c>
      <c r="BW526">
        <f>BV526*SQRT(AK526)</f>
        <v>0.39597979746446665</v>
      </c>
      <c r="BX526">
        <v>5.16</v>
      </c>
      <c r="BY526">
        <v>5.1550387999999998</v>
      </c>
      <c r="BZ526">
        <v>0.16</v>
      </c>
      <c r="CA526">
        <f>BZ526*SQRT(AL526)</f>
        <v>0.45254833995939048</v>
      </c>
      <c r="CB526">
        <v>28</v>
      </c>
      <c r="CC526">
        <v>8</v>
      </c>
      <c r="CD526">
        <v>-0.10199999999999999</v>
      </c>
      <c r="CE526">
        <v>1.6000000000000001E-3</v>
      </c>
      <c r="CF526" s="8"/>
    </row>
    <row r="527" spans="1:84" hidden="1" x14ac:dyDescent="0.2">
      <c r="A527" s="8"/>
      <c r="B527" t="str">
        <f>ROW()-1&amp;"_AltersInvert"</f>
        <v>526_AltersInvert</v>
      </c>
      <c r="C527" t="str">
        <f>D527&amp;"_"&amp;
SUBSTITUTE(TRIM(V527)," ","_")&amp;"_"&amp;
TRIM(AC527)&amp;"_"&amp;
"CO2"&amp;TEXT(AN527,"0.00")&amp;"_"&amp;
"pH"&amp;TEXT(AR527,"0.00")&amp;"_"&amp;
"T"&amp;TEXT(BC527,"0.##")</f>
        <v>112_Loligo_vulgaris_EMBRYO_CO2433.00_pH8.03_T13.2</v>
      </c>
      <c r="D527" s="8">
        <v>112</v>
      </c>
      <c r="E527" s="8"/>
      <c r="F527" s="8"/>
      <c r="G527" s="8" t="s">
        <v>43</v>
      </c>
      <c r="H527" s="8" t="s">
        <v>832</v>
      </c>
      <c r="I527" s="8" t="s">
        <v>1130</v>
      </c>
      <c r="J527" s="8">
        <v>2014</v>
      </c>
      <c r="K527" s="8"/>
      <c r="L527" s="8"/>
      <c r="M527" s="8" t="s">
        <v>463</v>
      </c>
      <c r="N527" s="8"/>
      <c r="O527" s="8"/>
      <c r="P527" t="s">
        <v>1135</v>
      </c>
      <c r="Q527" s="8"/>
      <c r="R527" s="8" t="s">
        <v>1127</v>
      </c>
      <c r="S527" t="s">
        <v>1128</v>
      </c>
      <c r="T527" s="8" t="s">
        <v>68</v>
      </c>
      <c r="U527" s="8" t="s">
        <v>693</v>
      </c>
      <c r="V527" s="8" t="s">
        <v>833</v>
      </c>
      <c r="W527" s="8" t="str">
        <f>IF(ISNUMBER(MATCH(#REF!,{"Doryteuthis pealeii","Loligo vulgaris","Leptuca thayeri","Stylocheilus striatus","Ophryotrocha labronica"},0)),"N","Y")</f>
        <v>Y</v>
      </c>
      <c r="X527" s="8"/>
      <c r="Y527" s="8"/>
      <c r="Z527" s="8" t="s">
        <v>49</v>
      </c>
      <c r="AA527" s="8" t="s">
        <v>49</v>
      </c>
      <c r="AB527" s="8" t="s">
        <v>71</v>
      </c>
      <c r="AC527" s="8" t="s">
        <v>195</v>
      </c>
      <c r="AD527" s="8" t="s">
        <v>52</v>
      </c>
      <c r="AE527" s="8" t="s">
        <v>53</v>
      </c>
      <c r="AF527" s="8" t="s">
        <v>52</v>
      </c>
      <c r="AG527" s="8" t="s">
        <v>54</v>
      </c>
      <c r="AH527" s="8" t="s">
        <v>55</v>
      </c>
      <c r="AI527" s="8"/>
      <c r="AJ527" s="8"/>
      <c r="AK527" s="8">
        <v>45</v>
      </c>
      <c r="AL527" s="8">
        <v>45</v>
      </c>
      <c r="AM527" s="8"/>
      <c r="AN527" s="8">
        <v>433</v>
      </c>
      <c r="AO527" s="8" t="s">
        <v>56</v>
      </c>
      <c r="AP527" s="8">
        <v>24</v>
      </c>
      <c r="AQ527" s="8" t="s">
        <v>109</v>
      </c>
      <c r="AR527" s="8">
        <v>8.0299999999999994</v>
      </c>
      <c r="AS527" s="8" t="s">
        <v>56</v>
      </c>
      <c r="AT527" s="8">
        <v>0.02</v>
      </c>
      <c r="AU527" s="8">
        <v>1682</v>
      </c>
      <c r="AV527" t="s">
        <v>56</v>
      </c>
      <c r="AW527">
        <v>132</v>
      </c>
      <c r="AX527">
        <v>7.51</v>
      </c>
      <c r="AY527" t="s">
        <v>56</v>
      </c>
      <c r="AZ527">
        <v>0.03</v>
      </c>
      <c r="BA527" s="8"/>
      <c r="BB527" s="8">
        <f>LOG(AU527)</f>
        <v>3.2258259914618934</v>
      </c>
      <c r="BC527" s="8">
        <v>13.2</v>
      </c>
      <c r="BD527" s="8" t="s">
        <v>56</v>
      </c>
      <c r="BE527" s="8">
        <v>0.3</v>
      </c>
      <c r="BF527" s="8">
        <v>13.2</v>
      </c>
      <c r="BG527" s="8" t="s">
        <v>56</v>
      </c>
      <c r="BH527" s="8">
        <v>0.3</v>
      </c>
      <c r="BI527" s="8">
        <v>1249</v>
      </c>
      <c r="BJ527" s="8">
        <v>0</v>
      </c>
      <c r="BK527" s="8" t="s">
        <v>834</v>
      </c>
      <c r="BL527" s="8" t="s">
        <v>262</v>
      </c>
      <c r="BM527" s="8" t="s">
        <v>262</v>
      </c>
      <c r="BN527" s="8" t="s">
        <v>81</v>
      </c>
      <c r="BO527" s="8" t="s">
        <v>835</v>
      </c>
      <c r="BP527" s="8" t="s">
        <v>92</v>
      </c>
      <c r="BQ527" s="8" t="s">
        <v>9</v>
      </c>
      <c r="BR527" s="8" t="s">
        <v>63</v>
      </c>
      <c r="BS527" s="8"/>
      <c r="BT527" s="8">
        <v>4.3600000000000003</v>
      </c>
      <c r="BU527" s="8">
        <v>4.3562950000000003</v>
      </c>
      <c r="BV527" s="8">
        <v>0.06</v>
      </c>
      <c r="BW527" s="8">
        <f>BV527*SQRT(AK527)</f>
        <v>0.40249223594996214</v>
      </c>
      <c r="BX527" s="8">
        <v>2.78</v>
      </c>
      <c r="BY527" s="8">
        <v>2.7790973999999999</v>
      </c>
      <c r="BZ527" s="8">
        <v>0.02</v>
      </c>
      <c r="CA527" s="8">
        <f>BZ527*SQRT(AL527)</f>
        <v>0.13416407864998739</v>
      </c>
      <c r="CB527" s="8">
        <v>15</v>
      </c>
      <c r="CC527" s="8">
        <v>10</v>
      </c>
      <c r="CD527" s="8">
        <v>-0.44900000000000001</v>
      </c>
      <c r="CE527" s="8">
        <v>2.9999999999999997E-4</v>
      </c>
      <c r="CF527" s="8" t="s">
        <v>1134</v>
      </c>
    </row>
    <row r="528" spans="1:84" hidden="1" x14ac:dyDescent="0.2">
      <c r="A528" s="8"/>
      <c r="B528" t="str">
        <f>ROW()-1&amp;"_AltersInvert"</f>
        <v>527_AltersInvert</v>
      </c>
      <c r="C528" t="str">
        <f>D528&amp;"_"&amp;
SUBSTITUTE(TRIM(V528)," ","_")&amp;"_"&amp;
TRIM(AC528)&amp;"_"&amp;
"CO2"&amp;TEXT(AN528,"0.00")&amp;"_"&amp;
"pH"&amp;TEXT(AR528,"0.00")&amp;"_"&amp;
"T"&amp;TEXT(BC528,"0.##")</f>
        <v>112_Loligo_vulgaris_EMBRYO_CO2433.00_pH8.03_T13.2</v>
      </c>
      <c r="D528" s="8">
        <v>112</v>
      </c>
      <c r="E528" s="8"/>
      <c r="F528" s="8"/>
      <c r="G528" s="8" t="s">
        <v>43</v>
      </c>
      <c r="H528" s="8" t="s">
        <v>832</v>
      </c>
      <c r="I528" s="8" t="s">
        <v>1130</v>
      </c>
      <c r="J528" s="8">
        <v>2014</v>
      </c>
      <c r="K528" s="8"/>
      <c r="L528" s="8"/>
      <c r="M528" s="8" t="s">
        <v>463</v>
      </c>
      <c r="N528" s="8"/>
      <c r="O528" s="8"/>
      <c r="P528" t="s">
        <v>1135</v>
      </c>
      <c r="Q528" s="8"/>
      <c r="R528" s="8" t="s">
        <v>1127</v>
      </c>
      <c r="S528" t="s">
        <v>1128</v>
      </c>
      <c r="T528" s="8" t="s">
        <v>68</v>
      </c>
      <c r="U528" s="8" t="s">
        <v>693</v>
      </c>
      <c r="V528" s="8" t="s">
        <v>833</v>
      </c>
      <c r="W528" s="8" t="str">
        <f>IF(ISNUMBER(MATCH(#REF!,{"Doryteuthis pealeii","Loligo vulgaris","Leptuca thayeri","Stylocheilus striatus","Ophryotrocha labronica"},0)),"N","Y")</f>
        <v>Y</v>
      </c>
      <c r="X528" s="8"/>
      <c r="Y528" s="8"/>
      <c r="Z528" s="8" t="s">
        <v>49</v>
      </c>
      <c r="AA528" s="8" t="s">
        <v>49</v>
      </c>
      <c r="AB528" s="8" t="s">
        <v>71</v>
      </c>
      <c r="AC528" s="8" t="s">
        <v>195</v>
      </c>
      <c r="AD528" s="8" t="s">
        <v>52</v>
      </c>
      <c r="AE528" s="8" t="s">
        <v>53</v>
      </c>
      <c r="AF528" s="8" t="s">
        <v>54</v>
      </c>
      <c r="AG528" s="8" t="s">
        <v>52</v>
      </c>
      <c r="AH528" s="8" t="s">
        <v>65</v>
      </c>
      <c r="AI528" s="8"/>
      <c r="AJ528" s="8"/>
      <c r="AK528" s="8">
        <v>45</v>
      </c>
      <c r="AL528" s="8">
        <v>45</v>
      </c>
      <c r="AM528" s="8"/>
      <c r="AN528" s="8">
        <v>433</v>
      </c>
      <c r="AO528" s="8" t="s">
        <v>56</v>
      </c>
      <c r="AP528" s="8">
        <v>24</v>
      </c>
      <c r="AQ528" s="8" t="s">
        <v>109</v>
      </c>
      <c r="AR528" s="8">
        <v>8.0299999999999994</v>
      </c>
      <c r="AS528" s="8" t="s">
        <v>56</v>
      </c>
      <c r="AT528" s="8">
        <v>0.02</v>
      </c>
      <c r="AU528" s="8">
        <v>440</v>
      </c>
      <c r="AV528" t="s">
        <v>56</v>
      </c>
      <c r="AW528">
        <v>12</v>
      </c>
      <c r="AX528">
        <v>8.0299999999999994</v>
      </c>
      <c r="AY528" t="s">
        <v>56</v>
      </c>
      <c r="AZ528">
        <v>0.01</v>
      </c>
      <c r="BA528" s="8"/>
      <c r="BB528" s="8">
        <f>LOG(AU528)</f>
        <v>2.6434526764861874</v>
      </c>
      <c r="BC528" s="8">
        <v>13.2</v>
      </c>
      <c r="BD528" s="8" t="s">
        <v>56</v>
      </c>
      <c r="BE528" s="8">
        <v>0.3</v>
      </c>
      <c r="BF528" s="8">
        <v>15.1</v>
      </c>
      <c r="BG528" s="8" t="s">
        <v>56</v>
      </c>
      <c r="BH528" s="8">
        <v>0.3</v>
      </c>
      <c r="BI528" s="8">
        <v>7</v>
      </c>
      <c r="BJ528" s="8">
        <v>1.9</v>
      </c>
      <c r="BK528" s="8" t="s">
        <v>834</v>
      </c>
      <c r="BL528" s="8" t="s">
        <v>262</v>
      </c>
      <c r="BM528" s="8" t="s">
        <v>262</v>
      </c>
      <c r="BN528" s="8" t="s">
        <v>81</v>
      </c>
      <c r="BO528" s="8" t="s">
        <v>835</v>
      </c>
      <c r="BP528" s="8" t="s">
        <v>92</v>
      </c>
      <c r="BQ528" s="8" t="s">
        <v>190</v>
      </c>
      <c r="BR528" s="8" t="s">
        <v>63</v>
      </c>
      <c r="BS528" s="8"/>
      <c r="BT528" s="8">
        <v>4.3600000000000003</v>
      </c>
      <c r="BU528" s="8">
        <v>4.3562950000000003</v>
      </c>
      <c r="BV528" s="8">
        <v>0.06</v>
      </c>
      <c r="BW528" s="8">
        <f>BV528*SQRT(AK528)</f>
        <v>0.40249223594996214</v>
      </c>
      <c r="BX528" s="8">
        <v>5.15</v>
      </c>
      <c r="BY528" s="8">
        <v>5.1543942999999999</v>
      </c>
      <c r="BZ528" s="8">
        <v>0.09</v>
      </c>
      <c r="CA528" s="8">
        <f>BZ528*SQRT(AL528)</f>
        <v>0.60373835392494324</v>
      </c>
      <c r="CB528" s="8">
        <v>15</v>
      </c>
      <c r="CC528" s="8">
        <v>10</v>
      </c>
      <c r="CD528" s="8">
        <v>0.16800000000000001</v>
      </c>
      <c r="CE528" s="8">
        <v>5.0000000000000001E-4</v>
      </c>
      <c r="CF528" s="8" t="s">
        <v>1134</v>
      </c>
    </row>
    <row r="529" spans="1:84" hidden="1" x14ac:dyDescent="0.2">
      <c r="A529" s="8"/>
      <c r="B529" t="str">
        <f>ROW()-1&amp;"_AltersInvert"</f>
        <v>528_AltersInvert</v>
      </c>
      <c r="C529" t="str">
        <f>D529&amp;"_"&amp;
SUBSTITUTE(TRIM(V529)," ","_")&amp;"_"&amp;
TRIM(AC529)&amp;"_"&amp;
"CO2"&amp;TEXT(AN529,"0.00")&amp;"_"&amp;
"pH"&amp;TEXT(AR529,"0.00")&amp;"_"&amp;
"T"&amp;TEXT(BC529,"0.##")</f>
        <v>112_Loligo_vulgaris_EMBRYO_CO2433.00_pH8.03_T13.2</v>
      </c>
      <c r="D529" s="8">
        <v>112</v>
      </c>
      <c r="E529" s="8"/>
      <c r="F529" s="8"/>
      <c r="G529" s="8" t="s">
        <v>43</v>
      </c>
      <c r="H529" s="8" t="s">
        <v>832</v>
      </c>
      <c r="I529" s="8" t="s">
        <v>1130</v>
      </c>
      <c r="J529" s="8">
        <v>2014</v>
      </c>
      <c r="K529" s="8"/>
      <c r="L529" s="8"/>
      <c r="M529" s="8" t="s">
        <v>463</v>
      </c>
      <c r="N529" s="8"/>
      <c r="O529" s="8"/>
      <c r="P529" t="s">
        <v>1135</v>
      </c>
      <c r="Q529" s="8"/>
      <c r="R529" s="8" t="s">
        <v>1127</v>
      </c>
      <c r="S529" t="s">
        <v>1128</v>
      </c>
      <c r="T529" s="8" t="s">
        <v>68</v>
      </c>
      <c r="U529" s="8" t="s">
        <v>693</v>
      </c>
      <c r="V529" s="8" t="s">
        <v>833</v>
      </c>
      <c r="W529" s="8" t="str">
        <f>IF(ISNUMBER(MATCH(#REF!,{"Doryteuthis pealeii","Loligo vulgaris","Leptuca thayeri","Stylocheilus striatus","Ophryotrocha labronica"},0)),"N","Y")</f>
        <v>Y</v>
      </c>
      <c r="X529" s="8"/>
      <c r="Y529" s="8"/>
      <c r="Z529" s="8" t="s">
        <v>49</v>
      </c>
      <c r="AA529" s="8" t="s">
        <v>49</v>
      </c>
      <c r="AB529" s="8" t="s">
        <v>71</v>
      </c>
      <c r="AC529" s="8" t="s">
        <v>195</v>
      </c>
      <c r="AD529" s="8" t="s">
        <v>52</v>
      </c>
      <c r="AE529" s="8" t="s">
        <v>53</v>
      </c>
      <c r="AF529" s="8" t="s">
        <v>52</v>
      </c>
      <c r="AG529" s="8" t="s">
        <v>52</v>
      </c>
      <c r="AH529" s="8" t="s">
        <v>64</v>
      </c>
      <c r="AI529" s="8"/>
      <c r="AJ529" s="8"/>
      <c r="AK529" s="8">
        <v>45</v>
      </c>
      <c r="AL529" s="8">
        <v>45</v>
      </c>
      <c r="AM529" s="8"/>
      <c r="AN529" s="8">
        <v>433</v>
      </c>
      <c r="AO529" s="8" t="s">
        <v>56</v>
      </c>
      <c r="AP529" s="8">
        <v>24</v>
      </c>
      <c r="AQ529" s="8" t="s">
        <v>109</v>
      </c>
      <c r="AR529" s="8">
        <v>8.0299999999999994</v>
      </c>
      <c r="AS529" s="8" t="s">
        <v>56</v>
      </c>
      <c r="AT529" s="8">
        <v>0.02</v>
      </c>
      <c r="AU529" s="8">
        <v>1641</v>
      </c>
      <c r="AV529" t="s">
        <v>56</v>
      </c>
      <c r="AW529">
        <v>80</v>
      </c>
      <c r="AX529">
        <v>7.53</v>
      </c>
      <c r="AY529" t="s">
        <v>56</v>
      </c>
      <c r="AZ529">
        <v>0.02</v>
      </c>
      <c r="BA529" s="8"/>
      <c r="BB529" s="8">
        <f>LOG(AU529)</f>
        <v>3.2151085810530931</v>
      </c>
      <c r="BC529" s="8">
        <v>13.2</v>
      </c>
      <c r="BD529" s="8" t="s">
        <v>56</v>
      </c>
      <c r="BE529" s="8">
        <v>0.3</v>
      </c>
      <c r="BF529" s="8">
        <v>15.3</v>
      </c>
      <c r="BG529" s="8" t="s">
        <v>56</v>
      </c>
      <c r="BH529" s="8">
        <v>0.2</v>
      </c>
      <c r="BI529" s="8">
        <v>1208</v>
      </c>
      <c r="BJ529" s="8">
        <v>2.1</v>
      </c>
      <c r="BK529" s="8" t="s">
        <v>834</v>
      </c>
      <c r="BL529" s="8" t="s">
        <v>262</v>
      </c>
      <c r="BM529" s="8" t="s">
        <v>262</v>
      </c>
      <c r="BN529" s="8" t="s">
        <v>81</v>
      </c>
      <c r="BO529" s="8" t="s">
        <v>835</v>
      </c>
      <c r="BP529" s="8" t="s">
        <v>92</v>
      </c>
      <c r="BQ529" s="8" t="s">
        <v>190</v>
      </c>
      <c r="BR529" s="8" t="s">
        <v>63</v>
      </c>
      <c r="BS529" s="8"/>
      <c r="BT529" s="8">
        <v>4.3600000000000003</v>
      </c>
      <c r="BU529" s="8">
        <v>4.3562950000000003</v>
      </c>
      <c r="BV529" s="8">
        <v>0.06</v>
      </c>
      <c r="BW529" s="8">
        <f>BV529*SQRT(AK529)</f>
        <v>0.40249223594996214</v>
      </c>
      <c r="BX529" s="8">
        <v>2.82</v>
      </c>
      <c r="BY529" s="8">
        <v>2.8171021000000001</v>
      </c>
      <c r="BZ529" s="8">
        <v>0.03</v>
      </c>
      <c r="CA529" s="8">
        <f>BZ529*SQRT(AL529)</f>
        <v>0.20124611797498107</v>
      </c>
      <c r="CB529" s="8">
        <v>15</v>
      </c>
      <c r="CC529" s="8">
        <v>10</v>
      </c>
      <c r="CD529" s="8">
        <v>-0.436</v>
      </c>
      <c r="CE529" s="8">
        <v>2.9999999999999997E-4</v>
      </c>
      <c r="CF529" s="8" t="s">
        <v>1134</v>
      </c>
    </row>
    <row r="530" spans="1:84" hidden="1" x14ac:dyDescent="0.2">
      <c r="B530" t="str">
        <f>ROW()-1&amp;"_AltersInvert"</f>
        <v>529_AltersInvert</v>
      </c>
      <c r="C530" t="str">
        <f>D530&amp;"_"&amp;
SUBSTITUTE(TRIM(V530)," ","_")&amp;"_"&amp;
TRIM(AC530)&amp;"_"&amp;
"CO2"&amp;TEXT(AN530,"0.00")&amp;"_"&amp;
"pH"&amp;TEXT(AR530,"0.00")&amp;"_"&amp;
"T"&amp;TEXT(BC530,"0.##")</f>
        <v>83_Echinostomatidae_sp_LARVA_CO2504.00_pH7.79_T13.9</v>
      </c>
      <c r="D530">
        <v>83</v>
      </c>
      <c r="G530" t="s">
        <v>43</v>
      </c>
      <c r="H530" t="s">
        <v>699</v>
      </c>
      <c r="J530">
        <v>2019</v>
      </c>
      <c r="M530" t="s">
        <v>700</v>
      </c>
      <c r="P530" t="s">
        <v>1135</v>
      </c>
      <c r="R530" t="s">
        <v>1127</v>
      </c>
      <c r="S530" t="s">
        <v>1128</v>
      </c>
      <c r="T530" t="s">
        <v>701</v>
      </c>
      <c r="U530" t="s">
        <v>702</v>
      </c>
      <c r="V530" t="s">
        <v>703</v>
      </c>
      <c r="Z530" t="s">
        <v>704</v>
      </c>
      <c r="AA530" t="s">
        <v>107</v>
      </c>
      <c r="AB530" t="s">
        <v>50</v>
      </c>
      <c r="AC530" t="s">
        <v>72</v>
      </c>
      <c r="AD530" t="s">
        <v>52</v>
      </c>
      <c r="AE530" t="s">
        <v>53</v>
      </c>
      <c r="AF530" t="s">
        <v>52</v>
      </c>
      <c r="AG530" t="s">
        <v>54</v>
      </c>
      <c r="AH530" t="s">
        <v>55</v>
      </c>
      <c r="AK530">
        <v>3</v>
      </c>
      <c r="AL530">
        <v>3</v>
      </c>
      <c r="AN530">
        <v>504</v>
      </c>
      <c r="AO530">
        <v>36</v>
      </c>
      <c r="AP530" t="s">
        <v>56</v>
      </c>
      <c r="AQ530" t="s">
        <v>109</v>
      </c>
      <c r="AR530">
        <v>7.79</v>
      </c>
      <c r="AS530">
        <v>0.02</v>
      </c>
      <c r="AT530" t="s">
        <v>56</v>
      </c>
      <c r="AU530">
        <v>1293</v>
      </c>
      <c r="AV530">
        <v>60</v>
      </c>
      <c r="AW530" t="s">
        <v>56</v>
      </c>
      <c r="AX530">
        <v>7.44</v>
      </c>
      <c r="AY530">
        <v>0.02</v>
      </c>
      <c r="AZ530" t="s">
        <v>56</v>
      </c>
      <c r="BB530">
        <f>LOG(AU530)</f>
        <v>3.1115985248803941</v>
      </c>
      <c r="BC530">
        <v>13.9</v>
      </c>
      <c r="BD530">
        <v>0</v>
      </c>
      <c r="BE530" t="s">
        <v>56</v>
      </c>
      <c r="BF530">
        <v>13.9</v>
      </c>
      <c r="BG530">
        <v>0</v>
      </c>
      <c r="BH530" t="s">
        <v>56</v>
      </c>
      <c r="BI530">
        <v>789</v>
      </c>
      <c r="BJ530">
        <v>0</v>
      </c>
      <c r="BK530" t="s">
        <v>56</v>
      </c>
      <c r="BL530" t="s">
        <v>707</v>
      </c>
      <c r="BM530" t="s">
        <v>707</v>
      </c>
      <c r="BN530" t="s">
        <v>60</v>
      </c>
      <c r="BO530" t="s">
        <v>56</v>
      </c>
      <c r="BP530" t="s">
        <v>9</v>
      </c>
      <c r="BQ530" s="8" t="s">
        <v>190</v>
      </c>
      <c r="BR530" t="s">
        <v>84</v>
      </c>
      <c r="BT530">
        <v>0.26</v>
      </c>
      <c r="BU530">
        <v>0.26</v>
      </c>
      <c r="BV530">
        <v>0.27</v>
      </c>
      <c r="BW530">
        <f>BV530*SQRT(AK530)</f>
        <v>0.4676537180435969</v>
      </c>
      <c r="BX530">
        <v>0.45</v>
      </c>
      <c r="BY530">
        <v>0.45</v>
      </c>
      <c r="BZ530">
        <v>0.31</v>
      </c>
      <c r="CA530">
        <f>BZ530*SQRT(AL530)</f>
        <v>0.53693575034635188</v>
      </c>
      <c r="CB530">
        <v>5</v>
      </c>
      <c r="CC530">
        <v>3</v>
      </c>
      <c r="CD530">
        <v>0.54900000000000004</v>
      </c>
      <c r="CE530">
        <v>1.5529999999999999</v>
      </c>
    </row>
    <row r="531" spans="1:84" hidden="1" x14ac:dyDescent="0.2">
      <c r="B531" t="str">
        <f>ROW()-1&amp;"_AltersInvert"</f>
        <v>530_AltersInvert</v>
      </c>
      <c r="C531" t="str">
        <f>D531&amp;"_"&amp;
SUBSTITUTE(TRIM(V531)," ","_")&amp;"_"&amp;
TRIM(AC531)&amp;"_"&amp;
"CO2"&amp;TEXT(AN531,"0.00")&amp;"_"&amp;
"pH"&amp;TEXT(AR531,"0.00")&amp;"_"&amp;
"T"&amp;TEXT(BC531,"0.##")</f>
        <v>83_Echinostomatidae_sp_LARVA_CO2504.00_pH7.79_T13.9</v>
      </c>
      <c r="D531">
        <v>83</v>
      </c>
      <c r="G531" t="s">
        <v>43</v>
      </c>
      <c r="H531" t="s">
        <v>699</v>
      </c>
      <c r="J531">
        <v>2019</v>
      </c>
      <c r="M531" t="s">
        <v>700</v>
      </c>
      <c r="P531" t="s">
        <v>1135</v>
      </c>
      <c r="R531" t="s">
        <v>1127</v>
      </c>
      <c r="S531" t="s">
        <v>1128</v>
      </c>
      <c r="T531" t="s">
        <v>701</v>
      </c>
      <c r="U531" t="s">
        <v>702</v>
      </c>
      <c r="V531" t="s">
        <v>703</v>
      </c>
      <c r="Z531" t="s">
        <v>704</v>
      </c>
      <c r="AA531" t="s">
        <v>107</v>
      </c>
      <c r="AB531" t="s">
        <v>50</v>
      </c>
      <c r="AC531" t="s">
        <v>72</v>
      </c>
      <c r="AD531" t="s">
        <v>52</v>
      </c>
      <c r="AE531" t="s">
        <v>53</v>
      </c>
      <c r="AF531" t="s">
        <v>54</v>
      </c>
      <c r="AG531" t="s">
        <v>52</v>
      </c>
      <c r="AH531" t="s">
        <v>65</v>
      </c>
      <c r="AK531">
        <v>3</v>
      </c>
      <c r="AL531">
        <v>3</v>
      </c>
      <c r="AN531">
        <v>504</v>
      </c>
      <c r="AO531">
        <v>36</v>
      </c>
      <c r="AP531" t="s">
        <v>56</v>
      </c>
      <c r="AQ531" t="s">
        <v>109</v>
      </c>
      <c r="AR531">
        <v>7.79</v>
      </c>
      <c r="AS531">
        <v>0.02</v>
      </c>
      <c r="AT531" t="s">
        <v>56</v>
      </c>
      <c r="AU531">
        <v>504</v>
      </c>
      <c r="AV531">
        <v>93</v>
      </c>
      <c r="AW531" t="s">
        <v>56</v>
      </c>
      <c r="AX531">
        <v>7.87</v>
      </c>
      <c r="AY531">
        <v>0.06</v>
      </c>
      <c r="AZ531" t="s">
        <v>56</v>
      </c>
      <c r="BB531">
        <f>LOG(AU531)</f>
        <v>2.7024305364455254</v>
      </c>
      <c r="BC531">
        <v>13.9</v>
      </c>
      <c r="BD531">
        <v>0</v>
      </c>
      <c r="BE531" t="s">
        <v>56</v>
      </c>
      <c r="BF531">
        <v>19.7</v>
      </c>
      <c r="BG531">
        <v>0.1</v>
      </c>
      <c r="BH531" t="s">
        <v>56</v>
      </c>
      <c r="BI531">
        <v>0</v>
      </c>
      <c r="BJ531">
        <v>5.8</v>
      </c>
      <c r="BK531" t="s">
        <v>56</v>
      </c>
      <c r="BL531" t="s">
        <v>707</v>
      </c>
      <c r="BM531" t="s">
        <v>707</v>
      </c>
      <c r="BN531" t="s">
        <v>60</v>
      </c>
      <c r="BO531" t="s">
        <v>56</v>
      </c>
      <c r="BP531" t="s">
        <v>9</v>
      </c>
      <c r="BQ531" s="8" t="s">
        <v>190</v>
      </c>
      <c r="BR531" t="s">
        <v>84</v>
      </c>
      <c r="BT531">
        <v>0.26</v>
      </c>
      <c r="BU531">
        <v>0.26</v>
      </c>
      <c r="BV531">
        <v>0.27</v>
      </c>
      <c r="BW531">
        <f>BV531*SQRT(AK531)</f>
        <v>0.4676537180435969</v>
      </c>
      <c r="BX531">
        <v>0.6</v>
      </c>
      <c r="BY531">
        <v>0.6</v>
      </c>
      <c r="BZ531">
        <v>0.28999999999999998</v>
      </c>
      <c r="CA531">
        <f>BZ531*SQRT(AL531)</f>
        <v>0.50229473419497439</v>
      </c>
      <c r="CB531">
        <v>5</v>
      </c>
      <c r="CC531">
        <v>3</v>
      </c>
      <c r="CD531">
        <v>0.83599999999999997</v>
      </c>
      <c r="CE531">
        <v>1.3120000000000001</v>
      </c>
    </row>
    <row r="532" spans="1:84" hidden="1" x14ac:dyDescent="0.2">
      <c r="B532" t="str">
        <f>ROW()-1&amp;"_AltersInvert"</f>
        <v>531_AltersInvert</v>
      </c>
      <c r="C532" t="str">
        <f>D532&amp;"_"&amp;
SUBSTITUTE(TRIM(V532)," ","_")&amp;"_"&amp;
TRIM(AC532)&amp;"_"&amp;
"CO2"&amp;TEXT(AN532,"0.00")&amp;"_"&amp;
"pH"&amp;TEXT(AR532,"0.00")&amp;"_"&amp;
"T"&amp;TEXT(BC532,"0.##")</f>
        <v>83_Echinostomatidae_sp_LARVA_CO2504.00_pH7.79_T13.9</v>
      </c>
      <c r="D532">
        <v>83</v>
      </c>
      <c r="G532" t="s">
        <v>43</v>
      </c>
      <c r="H532" t="s">
        <v>699</v>
      </c>
      <c r="J532">
        <v>2019</v>
      </c>
      <c r="M532" t="s">
        <v>700</v>
      </c>
      <c r="P532" t="s">
        <v>1135</v>
      </c>
      <c r="R532" t="s">
        <v>1127</v>
      </c>
      <c r="S532" t="s">
        <v>1128</v>
      </c>
      <c r="T532" t="s">
        <v>701</v>
      </c>
      <c r="U532" t="s">
        <v>702</v>
      </c>
      <c r="V532" t="s">
        <v>703</v>
      </c>
      <c r="Z532" t="s">
        <v>704</v>
      </c>
      <c r="AA532" t="s">
        <v>107</v>
      </c>
      <c r="AB532" t="s">
        <v>50</v>
      </c>
      <c r="AC532" t="s">
        <v>72</v>
      </c>
      <c r="AD532" t="s">
        <v>52</v>
      </c>
      <c r="AE532" t="s">
        <v>53</v>
      </c>
      <c r="AF532" t="s">
        <v>52</v>
      </c>
      <c r="AG532" t="s">
        <v>52</v>
      </c>
      <c r="AH532" t="s">
        <v>64</v>
      </c>
      <c r="AK532">
        <v>3</v>
      </c>
      <c r="AL532">
        <v>3</v>
      </c>
      <c r="AN532">
        <v>504</v>
      </c>
      <c r="AO532">
        <v>36</v>
      </c>
      <c r="AP532" t="s">
        <v>56</v>
      </c>
      <c r="AQ532" t="s">
        <v>109</v>
      </c>
      <c r="AR532">
        <v>7.79</v>
      </c>
      <c r="AS532">
        <v>0.02</v>
      </c>
      <c r="AT532" t="s">
        <v>56</v>
      </c>
      <c r="AU532">
        <v>1357</v>
      </c>
      <c r="AV532">
        <v>43</v>
      </c>
      <c r="AW532" t="s">
        <v>56</v>
      </c>
      <c r="AX532">
        <v>7.5</v>
      </c>
      <c r="AY532">
        <v>0.02</v>
      </c>
      <c r="AZ532" t="s">
        <v>56</v>
      </c>
      <c r="BB532">
        <f>LOG(AU532)</f>
        <v>3.1325798476597368</v>
      </c>
      <c r="BC532">
        <v>13.9</v>
      </c>
      <c r="BD532">
        <v>0</v>
      </c>
      <c r="BE532" t="s">
        <v>56</v>
      </c>
      <c r="BF532">
        <v>19.5</v>
      </c>
      <c r="BG532">
        <v>0</v>
      </c>
      <c r="BH532" t="s">
        <v>56</v>
      </c>
      <c r="BI532">
        <v>853</v>
      </c>
      <c r="BJ532">
        <v>5.6</v>
      </c>
      <c r="BK532" t="s">
        <v>56</v>
      </c>
      <c r="BL532" t="s">
        <v>707</v>
      </c>
      <c r="BM532" t="s">
        <v>707</v>
      </c>
      <c r="BN532" t="s">
        <v>60</v>
      </c>
      <c r="BO532" t="s">
        <v>56</v>
      </c>
      <c r="BP532" t="s">
        <v>9</v>
      </c>
      <c r="BQ532" s="8" t="s">
        <v>83</v>
      </c>
      <c r="BR532" t="s">
        <v>84</v>
      </c>
      <c r="BT532">
        <v>0.26</v>
      </c>
      <c r="BU532">
        <v>0.26</v>
      </c>
      <c r="BV532">
        <v>0.27</v>
      </c>
      <c r="BW532">
        <f>BV532*SQRT(AK532)</f>
        <v>0.4676537180435969</v>
      </c>
      <c r="BX532">
        <v>0.53</v>
      </c>
      <c r="BY532">
        <v>0.53</v>
      </c>
      <c r="BZ532">
        <v>0.27</v>
      </c>
      <c r="CA532">
        <f>BZ532*SQRT(AL532)</f>
        <v>0.4676537180435969</v>
      </c>
      <c r="CB532">
        <v>5</v>
      </c>
      <c r="CC532">
        <v>3</v>
      </c>
      <c r="CD532">
        <v>0.71199999999999997</v>
      </c>
      <c r="CE532">
        <v>1.3379000000000001</v>
      </c>
    </row>
    <row r="533" spans="1:84" hidden="1" x14ac:dyDescent="0.2">
      <c r="A533" s="8"/>
      <c r="B533" t="str">
        <f>ROW()-1&amp;"_AltersInvert"</f>
        <v>532_AltersInvert</v>
      </c>
      <c r="C533" t="str">
        <f>D533&amp;"_"&amp;
SUBSTITUTE(TRIM(V533)," ","_")&amp;"_"&amp;
TRIM(AC533)&amp;"_"&amp;
"CO2"&amp;TEXT(AN533,"0.00")&amp;"_"&amp;
"pH"&amp;TEXT(AR533,"0.00")&amp;"_"&amp;
"T"&amp;TEXT(BC533,"0.##")</f>
        <v>123_Sterechinus_neumayeri_EMBRYO_CO2450.00_pH8.03_T-0.5</v>
      </c>
      <c r="D533" s="8">
        <v>123</v>
      </c>
      <c r="E533" s="8"/>
      <c r="F533" s="8"/>
      <c r="G533" s="8" t="s">
        <v>43</v>
      </c>
      <c r="H533" s="8" t="s">
        <v>868</v>
      </c>
      <c r="I533" s="8"/>
      <c r="J533" s="8">
        <v>2012</v>
      </c>
      <c r="K533" s="8"/>
      <c r="L533" s="8"/>
      <c r="M533" s="8" t="s">
        <v>869</v>
      </c>
      <c r="N533" s="8"/>
      <c r="O533" s="8"/>
      <c r="P533" t="s">
        <v>1135</v>
      </c>
      <c r="Q533" s="8"/>
      <c r="R533" s="8" t="s">
        <v>1127</v>
      </c>
      <c r="S533" t="s">
        <v>1128</v>
      </c>
      <c r="T533" s="8" t="s">
        <v>46</v>
      </c>
      <c r="U533" s="8" t="s">
        <v>797</v>
      </c>
      <c r="V533" s="8" t="s">
        <v>798</v>
      </c>
      <c r="W533" s="8" t="str">
        <f>IF(ISNUMBER(MATCH(#REF!,{"Doryteuthis pealeii","Loligo vulgaris","Leptuca thayeri","Stylocheilus striatus","Ophryotrocha labronica"},0)),"N","Y")</f>
        <v>Y</v>
      </c>
      <c r="X533" s="8"/>
      <c r="Y533" s="8"/>
      <c r="Z533" s="8" t="s">
        <v>475</v>
      </c>
      <c r="AA533" s="8" t="s">
        <v>475</v>
      </c>
      <c r="AB533" s="8" t="s">
        <v>71</v>
      </c>
      <c r="AC533" s="8" t="s">
        <v>195</v>
      </c>
      <c r="AD533" s="8" t="s">
        <v>52</v>
      </c>
      <c r="AE533" s="8" t="s">
        <v>53</v>
      </c>
      <c r="AF533" s="8" t="s">
        <v>52</v>
      </c>
      <c r="AG533" s="8" t="s">
        <v>54</v>
      </c>
      <c r="AH533" s="8" t="s">
        <v>55</v>
      </c>
      <c r="AI533" s="8"/>
      <c r="AJ533" s="8"/>
      <c r="AK533" s="8">
        <v>8</v>
      </c>
      <c r="AL533" s="8">
        <v>8</v>
      </c>
      <c r="AM533" s="8"/>
      <c r="AN533" s="8">
        <v>450</v>
      </c>
      <c r="AO533" s="8" t="s">
        <v>56</v>
      </c>
      <c r="AP533" s="8" t="s">
        <v>56</v>
      </c>
      <c r="AQ533" s="8" t="s">
        <v>109</v>
      </c>
      <c r="AR533" s="8">
        <v>8.0299999999999994</v>
      </c>
      <c r="AS533" s="8">
        <v>0.03</v>
      </c>
      <c r="AT533" s="8" t="s">
        <v>56</v>
      </c>
      <c r="AU533" s="8">
        <v>1370</v>
      </c>
      <c r="AV533" t="s">
        <v>56</v>
      </c>
      <c r="AW533" t="s">
        <v>56</v>
      </c>
      <c r="AX533">
        <v>7.53</v>
      </c>
      <c r="AY533">
        <v>0.03</v>
      </c>
      <c r="AZ533" t="s">
        <v>56</v>
      </c>
      <c r="BA533" s="8"/>
      <c r="BB533" s="8">
        <f>LOG(AU533)</f>
        <v>3.1367205671564067</v>
      </c>
      <c r="BC533" s="8">
        <v>-0.5</v>
      </c>
      <c r="BD533" s="8">
        <v>0.3</v>
      </c>
      <c r="BE533" s="8" t="s">
        <v>56</v>
      </c>
      <c r="BF533" s="8">
        <v>-0.3</v>
      </c>
      <c r="BG533" s="8">
        <v>0.2</v>
      </c>
      <c r="BH533" s="8" t="s">
        <v>56</v>
      </c>
      <c r="BI533" s="8">
        <v>920</v>
      </c>
      <c r="BJ533" s="8">
        <v>0.2</v>
      </c>
      <c r="BK533" s="8" t="s">
        <v>56</v>
      </c>
      <c r="BL533" s="8" t="s">
        <v>870</v>
      </c>
      <c r="BM533" s="8" t="s">
        <v>86</v>
      </c>
      <c r="BN533" s="8" t="s">
        <v>81</v>
      </c>
      <c r="BO533" s="8" t="s">
        <v>82</v>
      </c>
      <c r="BP533" s="8" t="s">
        <v>9</v>
      </c>
      <c r="BQ533" s="8" t="s">
        <v>83</v>
      </c>
      <c r="BR533" s="8" t="s">
        <v>84</v>
      </c>
      <c r="BS533" s="8"/>
      <c r="BT533" s="8">
        <v>99.28</v>
      </c>
      <c r="BU533" s="8">
        <v>99.275362000000001</v>
      </c>
      <c r="BV533" s="8">
        <v>0.18</v>
      </c>
      <c r="BW533" s="8">
        <f>BV533*SQRT(AK533)</f>
        <v>0.50911688245431419</v>
      </c>
      <c r="BX533" s="8">
        <v>96.01</v>
      </c>
      <c r="BY533" s="8">
        <v>96.014492799999999</v>
      </c>
      <c r="BZ533" s="8">
        <v>1.27</v>
      </c>
      <c r="CA533" s="8">
        <f>BZ533*SQRT(AL533)</f>
        <v>3.5921024484276618</v>
      </c>
      <c r="CB533" s="8">
        <v>3</v>
      </c>
      <c r="CC533" s="8">
        <v>8</v>
      </c>
      <c r="CD533" s="8">
        <v>-3.3000000000000002E-2</v>
      </c>
      <c r="CE533" s="8">
        <v>2.0000000000000001E-4</v>
      </c>
      <c r="CF533" s="8" t="s">
        <v>1134</v>
      </c>
    </row>
    <row r="534" spans="1:84" hidden="1" x14ac:dyDescent="0.2">
      <c r="A534" s="8"/>
      <c r="B534" t="str">
        <f>ROW()-1&amp;"_AltersInvert"</f>
        <v>533_AltersInvert</v>
      </c>
      <c r="C534" t="str">
        <f>D534&amp;"_"&amp;
SUBSTITUTE(TRIM(V534)," ","_")&amp;"_"&amp;
TRIM(AC534)&amp;"_"&amp;
"CO2"&amp;TEXT(AN534,"0.00")&amp;"_"&amp;
"pH"&amp;TEXT(AR534,"0.00")&amp;"_"&amp;
"T"&amp;TEXT(BC534,"0.##")</f>
        <v>123_Sterechinus_neumayeri_EMBRYO_CO2450.00_pH8.03_T-0.5</v>
      </c>
      <c r="D534" s="8">
        <v>123</v>
      </c>
      <c r="E534" s="8"/>
      <c r="F534" s="8"/>
      <c r="G534" s="8" t="s">
        <v>43</v>
      </c>
      <c r="H534" s="8" t="s">
        <v>868</v>
      </c>
      <c r="I534" s="8"/>
      <c r="J534" s="8">
        <v>2012</v>
      </c>
      <c r="K534" s="8"/>
      <c r="L534" s="8"/>
      <c r="M534" s="8" t="s">
        <v>869</v>
      </c>
      <c r="N534" s="8"/>
      <c r="O534" s="8"/>
      <c r="P534" t="s">
        <v>1135</v>
      </c>
      <c r="Q534" s="8"/>
      <c r="R534" s="8" t="s">
        <v>1127</v>
      </c>
      <c r="S534" t="s">
        <v>1128</v>
      </c>
      <c r="T534" s="8" t="s">
        <v>46</v>
      </c>
      <c r="U534" s="8" t="s">
        <v>797</v>
      </c>
      <c r="V534" s="8" t="s">
        <v>798</v>
      </c>
      <c r="W534" s="8" t="str">
        <f>IF(ISNUMBER(MATCH(#REF!,{"Doryteuthis pealeii","Loligo vulgaris","Leptuca thayeri","Stylocheilus striatus","Ophryotrocha labronica"},0)),"N","Y")</f>
        <v>Y</v>
      </c>
      <c r="X534" s="8"/>
      <c r="Y534" s="8"/>
      <c r="Z534" s="8" t="s">
        <v>475</v>
      </c>
      <c r="AA534" s="8" t="s">
        <v>475</v>
      </c>
      <c r="AB534" s="8" t="s">
        <v>71</v>
      </c>
      <c r="AC534" s="8" t="s">
        <v>195</v>
      </c>
      <c r="AD534" s="8" t="s">
        <v>52</v>
      </c>
      <c r="AE534" s="8" t="s">
        <v>53</v>
      </c>
      <c r="AF534" s="8" t="s">
        <v>52</v>
      </c>
      <c r="AG534" s="8" t="s">
        <v>54</v>
      </c>
      <c r="AH534" s="8" t="s">
        <v>55</v>
      </c>
      <c r="AI534" s="8"/>
      <c r="AJ534" s="8"/>
      <c r="AK534" s="8">
        <v>8</v>
      </c>
      <c r="AL534" s="8">
        <v>8</v>
      </c>
      <c r="AM534" s="8"/>
      <c r="AN534" s="8">
        <v>450</v>
      </c>
      <c r="AO534" s="8" t="s">
        <v>56</v>
      </c>
      <c r="AP534" s="8" t="s">
        <v>56</v>
      </c>
      <c r="AQ534" s="8" t="s">
        <v>109</v>
      </c>
      <c r="AR534" s="8">
        <v>8.0299999999999994</v>
      </c>
      <c r="AS534" s="8">
        <v>0.03</v>
      </c>
      <c r="AT534" s="8" t="s">
        <v>56</v>
      </c>
      <c r="AU534" s="8">
        <v>850</v>
      </c>
      <c r="AV534" t="s">
        <v>56</v>
      </c>
      <c r="AW534" t="s">
        <v>56</v>
      </c>
      <c r="AX534">
        <v>7.81</v>
      </c>
      <c r="AY534">
        <v>0.05</v>
      </c>
      <c r="AZ534" t="s">
        <v>56</v>
      </c>
      <c r="BA534" s="8"/>
      <c r="BB534" s="8">
        <f>LOG(AU534)</f>
        <v>2.9294189257142929</v>
      </c>
      <c r="BC534" s="8">
        <v>-0.5</v>
      </c>
      <c r="BD534" s="8">
        <v>0.3</v>
      </c>
      <c r="BE534" s="8" t="s">
        <v>56</v>
      </c>
      <c r="BF534" s="8">
        <v>-0.5</v>
      </c>
      <c r="BG534" s="8">
        <v>0.2</v>
      </c>
      <c r="BH534" s="8" t="s">
        <v>56</v>
      </c>
      <c r="BI534" s="8">
        <v>400</v>
      </c>
      <c r="BJ534" s="8">
        <v>-0.1</v>
      </c>
      <c r="BK534" s="8" t="s">
        <v>56</v>
      </c>
      <c r="BL534" s="8" t="s">
        <v>870</v>
      </c>
      <c r="BM534" s="8" t="s">
        <v>86</v>
      </c>
      <c r="BN534" s="8" t="s">
        <v>81</v>
      </c>
      <c r="BO534" s="8" t="s">
        <v>82</v>
      </c>
      <c r="BP534" s="8" t="s">
        <v>9</v>
      </c>
      <c r="BQ534" s="8" t="s">
        <v>9</v>
      </c>
      <c r="BR534" s="8" t="s">
        <v>84</v>
      </c>
      <c r="BS534" s="8"/>
      <c r="BT534" s="8">
        <v>99.28</v>
      </c>
      <c r="BU534" s="8">
        <v>99.275362000000001</v>
      </c>
      <c r="BV534" s="8">
        <v>0.18</v>
      </c>
      <c r="BW534" s="8">
        <f>BV534*SQRT(AK534)</f>
        <v>0.50911688245431419</v>
      </c>
      <c r="BX534" s="8">
        <v>98.55</v>
      </c>
      <c r="BY534" s="8">
        <v>98.550724599999995</v>
      </c>
      <c r="BZ534" s="8">
        <v>0.18</v>
      </c>
      <c r="CA534" s="8">
        <f>BZ534*SQRT(AL534)</f>
        <v>0.50911688245431419</v>
      </c>
      <c r="CB534" s="8">
        <v>3</v>
      </c>
      <c r="CC534" s="8">
        <v>8</v>
      </c>
      <c r="CD534" s="8">
        <v>-7.0000000000000001E-3</v>
      </c>
      <c r="CE534" s="8">
        <v>1E-4</v>
      </c>
      <c r="CF534" s="8" t="s">
        <v>1134</v>
      </c>
    </row>
    <row r="535" spans="1:84" hidden="1" x14ac:dyDescent="0.2">
      <c r="A535" s="8"/>
      <c r="B535" t="str">
        <f>ROW()-1&amp;"_AltersInvert"</f>
        <v>534_AltersInvert</v>
      </c>
      <c r="C535" t="str">
        <f>D535&amp;"_"&amp;
SUBSTITUTE(TRIM(V535)," ","_")&amp;"_"&amp;
TRIM(AC535)&amp;"_"&amp;
"CO2"&amp;TEXT(AN535,"0.00")&amp;"_"&amp;
"pH"&amp;TEXT(AR535,"0.00")&amp;"_"&amp;
"T"&amp;TEXT(BC535,"0.##")</f>
        <v>123_Sterechinus_neumayeri_EMBRYO_CO2450.00_pH8.03_T-0.5</v>
      </c>
      <c r="D535" s="8">
        <v>123</v>
      </c>
      <c r="E535" s="8"/>
      <c r="F535" s="8"/>
      <c r="G535" s="8" t="s">
        <v>43</v>
      </c>
      <c r="H535" s="8" t="s">
        <v>868</v>
      </c>
      <c r="I535" s="8"/>
      <c r="J535" s="8">
        <v>2012</v>
      </c>
      <c r="K535" s="8"/>
      <c r="L535" s="8"/>
      <c r="M535" s="8" t="s">
        <v>869</v>
      </c>
      <c r="N535" s="8"/>
      <c r="O535" s="8"/>
      <c r="P535" t="s">
        <v>1135</v>
      </c>
      <c r="Q535" s="8"/>
      <c r="R535" s="8" t="s">
        <v>1127</v>
      </c>
      <c r="S535" t="s">
        <v>1128</v>
      </c>
      <c r="T535" s="8" t="s">
        <v>46</v>
      </c>
      <c r="U535" s="8" t="s">
        <v>797</v>
      </c>
      <c r="V535" s="8" t="s">
        <v>798</v>
      </c>
      <c r="W535" s="8" t="str">
        <f>IF(ISNUMBER(MATCH(#REF!,{"Doryteuthis pealeii","Loligo vulgaris","Leptuca thayeri","Stylocheilus striatus","Ophryotrocha labronica"},0)),"N","Y")</f>
        <v>Y</v>
      </c>
      <c r="X535" s="8"/>
      <c r="Y535" s="8"/>
      <c r="Z535" s="8" t="s">
        <v>475</v>
      </c>
      <c r="AA535" s="8" t="s">
        <v>475</v>
      </c>
      <c r="AB535" s="8" t="s">
        <v>71</v>
      </c>
      <c r="AC535" s="8" t="s">
        <v>195</v>
      </c>
      <c r="AD535" s="8" t="s">
        <v>52</v>
      </c>
      <c r="AE535" s="8" t="s">
        <v>53</v>
      </c>
      <c r="AF535" s="8" t="s">
        <v>54</v>
      </c>
      <c r="AG535" s="8" t="s">
        <v>52</v>
      </c>
      <c r="AH535" s="8" t="s">
        <v>65</v>
      </c>
      <c r="AI535" s="8"/>
      <c r="AJ535" s="8"/>
      <c r="AK535" s="8">
        <v>8</v>
      </c>
      <c r="AL535" s="8">
        <v>8</v>
      </c>
      <c r="AM535" s="8"/>
      <c r="AN535" s="8">
        <v>450</v>
      </c>
      <c r="AO535" s="8" t="s">
        <v>56</v>
      </c>
      <c r="AP535" s="8" t="s">
        <v>56</v>
      </c>
      <c r="AQ535" s="8" t="s">
        <v>109</v>
      </c>
      <c r="AR535" s="8">
        <v>8.0299999999999994</v>
      </c>
      <c r="AS535" s="8">
        <v>0.03</v>
      </c>
      <c r="AT535" s="8" t="s">
        <v>56</v>
      </c>
      <c r="AU535" s="8">
        <v>450</v>
      </c>
      <c r="AV535" t="s">
        <v>56</v>
      </c>
      <c r="AW535" t="s">
        <v>56</v>
      </c>
      <c r="AX535">
        <v>8.1300000000000008</v>
      </c>
      <c r="AY535">
        <v>0.05</v>
      </c>
      <c r="AZ535" t="s">
        <v>56</v>
      </c>
      <c r="BA535" s="8"/>
      <c r="BB535" s="8">
        <f>LOG(AU535)</f>
        <v>2.6532125137753435</v>
      </c>
      <c r="BC535" s="8">
        <v>-0.5</v>
      </c>
      <c r="BD535" s="8">
        <v>0.3</v>
      </c>
      <c r="BE535" s="8" t="s">
        <v>56</v>
      </c>
      <c r="BF535" s="8">
        <v>2.9</v>
      </c>
      <c r="BG535" s="8">
        <v>0.1</v>
      </c>
      <c r="BH535" s="8" t="s">
        <v>56</v>
      </c>
      <c r="BI535" s="8">
        <v>0</v>
      </c>
      <c r="BJ535" s="8">
        <v>3.4</v>
      </c>
      <c r="BK535" s="8" t="s">
        <v>56</v>
      </c>
      <c r="BL535" s="8" t="s">
        <v>870</v>
      </c>
      <c r="BM535" s="8" t="s">
        <v>86</v>
      </c>
      <c r="BN535" s="8" t="s">
        <v>81</v>
      </c>
      <c r="BO535" s="8" t="s">
        <v>82</v>
      </c>
      <c r="BP535" s="8" t="s">
        <v>9</v>
      </c>
      <c r="BQ535" s="8" t="s">
        <v>190</v>
      </c>
      <c r="BR535" s="8" t="s">
        <v>84</v>
      </c>
      <c r="BS535" s="8"/>
      <c r="BT535" s="8">
        <v>99.28</v>
      </c>
      <c r="BU535" s="8">
        <v>99.275362000000001</v>
      </c>
      <c r="BV535" s="8">
        <v>0.18</v>
      </c>
      <c r="BW535" s="8">
        <f>BV535*SQRT(AK535)</f>
        <v>0.50911688245431419</v>
      </c>
      <c r="BX535" s="8">
        <v>88.95</v>
      </c>
      <c r="BY535" s="8">
        <v>88.949275400000005</v>
      </c>
      <c r="BZ535" s="8">
        <v>3.26</v>
      </c>
      <c r="CA535" s="8">
        <f>BZ535*SQRT(AL535)</f>
        <v>9.2206724266725804</v>
      </c>
      <c r="CB535" s="8">
        <v>3</v>
      </c>
      <c r="CC535" s="8">
        <v>8</v>
      </c>
      <c r="CD535" s="8">
        <v>-0.11</v>
      </c>
      <c r="CE535" s="8">
        <v>1.2999999999999999E-3</v>
      </c>
      <c r="CF535" s="8" t="s">
        <v>1134</v>
      </c>
    </row>
    <row r="536" spans="1:84" hidden="1" x14ac:dyDescent="0.2">
      <c r="A536" s="8"/>
      <c r="B536" t="str">
        <f>ROW()-1&amp;"_AltersInvert"</f>
        <v>535_AltersInvert</v>
      </c>
      <c r="C536" t="str">
        <f>D536&amp;"_"&amp;
SUBSTITUTE(TRIM(V536)," ","_")&amp;"_"&amp;
TRIM(AC536)&amp;"_"&amp;
"CO2"&amp;TEXT(AN536,"0.00")&amp;"_"&amp;
"pH"&amp;TEXT(AR536,"0.00")&amp;"_"&amp;
"T"&amp;TEXT(BC536,"0.##")</f>
        <v>123_Sterechinus_neumayeri_EMBRYO_CO2450.00_pH8.03_T-0.5</v>
      </c>
      <c r="D536" s="8">
        <v>123</v>
      </c>
      <c r="E536" s="8"/>
      <c r="F536" s="8"/>
      <c r="G536" s="8" t="s">
        <v>43</v>
      </c>
      <c r="H536" s="8" t="s">
        <v>868</v>
      </c>
      <c r="I536" s="8"/>
      <c r="J536" s="8">
        <v>2012</v>
      </c>
      <c r="K536" s="8"/>
      <c r="L536" s="8"/>
      <c r="M536" s="8" t="s">
        <v>869</v>
      </c>
      <c r="N536" s="8"/>
      <c r="O536" s="8"/>
      <c r="P536" t="s">
        <v>1135</v>
      </c>
      <c r="Q536" s="8"/>
      <c r="R536" s="8" t="s">
        <v>1127</v>
      </c>
      <c r="S536" t="s">
        <v>1128</v>
      </c>
      <c r="T536" s="8" t="s">
        <v>46</v>
      </c>
      <c r="U536" s="8" t="s">
        <v>797</v>
      </c>
      <c r="V536" s="8" t="s">
        <v>798</v>
      </c>
      <c r="W536" s="8" t="str">
        <f>IF(ISNUMBER(MATCH(#REF!,{"Doryteuthis pealeii","Loligo vulgaris","Leptuca thayeri","Stylocheilus striatus","Ophryotrocha labronica"},0)),"N","Y")</f>
        <v>Y</v>
      </c>
      <c r="X536" s="8"/>
      <c r="Y536" s="8"/>
      <c r="Z536" s="8" t="s">
        <v>475</v>
      </c>
      <c r="AA536" s="8" t="s">
        <v>475</v>
      </c>
      <c r="AB536" s="8" t="s">
        <v>71</v>
      </c>
      <c r="AC536" s="8" t="s">
        <v>195</v>
      </c>
      <c r="AD536" s="8" t="s">
        <v>52</v>
      </c>
      <c r="AE536" s="8" t="s">
        <v>53</v>
      </c>
      <c r="AF536" s="8" t="s">
        <v>54</v>
      </c>
      <c r="AG536" s="8" t="s">
        <v>52</v>
      </c>
      <c r="AH536" s="8" t="s">
        <v>65</v>
      </c>
      <c r="AI536" s="8"/>
      <c r="AJ536" s="8"/>
      <c r="AK536" s="8">
        <v>8</v>
      </c>
      <c r="AL536" s="8">
        <v>8</v>
      </c>
      <c r="AM536" s="8"/>
      <c r="AN536" s="8">
        <v>450</v>
      </c>
      <c r="AO536" s="8" t="s">
        <v>56</v>
      </c>
      <c r="AP536" s="8" t="s">
        <v>56</v>
      </c>
      <c r="AQ536" s="8" t="s">
        <v>109</v>
      </c>
      <c r="AR536" s="8">
        <v>8.0299999999999994</v>
      </c>
      <c r="AS536" s="8">
        <v>0.03</v>
      </c>
      <c r="AT536" s="8" t="s">
        <v>56</v>
      </c>
      <c r="AU536" s="8">
        <v>450</v>
      </c>
      <c r="AV536" t="s">
        <v>56</v>
      </c>
      <c r="AW536" t="s">
        <v>56</v>
      </c>
      <c r="AX536">
        <v>7.98</v>
      </c>
      <c r="AY536">
        <v>0</v>
      </c>
      <c r="AZ536" t="s">
        <v>56</v>
      </c>
      <c r="BA536" s="8"/>
      <c r="BB536" s="8">
        <f>LOG(AU536)</f>
        <v>2.6532125137753435</v>
      </c>
      <c r="BC536" s="8">
        <v>-0.5</v>
      </c>
      <c r="BD536" s="8">
        <v>0.3</v>
      </c>
      <c r="BE536" s="8" t="s">
        <v>56</v>
      </c>
      <c r="BF536" s="8">
        <v>0.9</v>
      </c>
      <c r="BG536" s="8">
        <v>0.3</v>
      </c>
      <c r="BH536" s="8" t="s">
        <v>56</v>
      </c>
      <c r="BI536" s="8">
        <v>0</v>
      </c>
      <c r="BJ536" s="8">
        <v>1.4</v>
      </c>
      <c r="BK536" s="8" t="s">
        <v>56</v>
      </c>
      <c r="BL536" s="8" t="s">
        <v>870</v>
      </c>
      <c r="BM536" s="8" t="s">
        <v>86</v>
      </c>
      <c r="BN536" s="8" t="s">
        <v>81</v>
      </c>
      <c r="BO536" s="8" t="s">
        <v>82</v>
      </c>
      <c r="BP536" s="8" t="s">
        <v>9</v>
      </c>
      <c r="BQ536" s="8" t="s">
        <v>9</v>
      </c>
      <c r="BR536" s="8" t="s">
        <v>84</v>
      </c>
      <c r="BS536" s="8"/>
      <c r="BT536" s="8">
        <v>99.28</v>
      </c>
      <c r="BU536" s="8">
        <v>99.275362000000001</v>
      </c>
      <c r="BV536" s="8">
        <v>0.18</v>
      </c>
      <c r="BW536" s="8">
        <f>BV536*SQRT(AK536)</f>
        <v>0.50911688245431419</v>
      </c>
      <c r="BX536" s="8">
        <v>97.64</v>
      </c>
      <c r="BY536" s="8">
        <v>97.644927499999994</v>
      </c>
      <c r="BZ536" s="8">
        <v>0.91</v>
      </c>
      <c r="CA536" s="8">
        <f>BZ536*SQRT(AL536)</f>
        <v>2.5738686835190334</v>
      </c>
      <c r="CB536" s="8">
        <v>3</v>
      </c>
      <c r="CC536" s="8">
        <v>8</v>
      </c>
      <c r="CD536" s="8">
        <v>-1.7000000000000001E-2</v>
      </c>
      <c r="CE536" s="8">
        <v>1E-4</v>
      </c>
      <c r="CF536" s="8" t="s">
        <v>1134</v>
      </c>
    </row>
    <row r="537" spans="1:84" hidden="1" x14ac:dyDescent="0.2">
      <c r="A537" s="8"/>
      <c r="B537" t="str">
        <f>ROW()-1&amp;"_AltersInvert"</f>
        <v>536_AltersInvert</v>
      </c>
      <c r="C537" t="str">
        <f>D537&amp;"_"&amp;
SUBSTITUTE(TRIM(V537)," ","_")&amp;"_"&amp;
TRIM(AC537)&amp;"_"&amp;
"CO2"&amp;TEXT(AN537,"0.00")&amp;"_"&amp;
"pH"&amp;TEXT(AR537,"0.00")&amp;"_"&amp;
"T"&amp;TEXT(BC537,"0.##")</f>
        <v>123_Sterechinus_neumayeri_EMBRYO_CO2450.00_pH8.03_T-0.5</v>
      </c>
      <c r="D537" s="8">
        <v>123</v>
      </c>
      <c r="E537" s="8"/>
      <c r="F537" s="8"/>
      <c r="G537" s="8" t="s">
        <v>43</v>
      </c>
      <c r="H537" s="8" t="s">
        <v>868</v>
      </c>
      <c r="I537" s="8"/>
      <c r="J537" s="8">
        <v>2012</v>
      </c>
      <c r="K537" s="8"/>
      <c r="L537" s="8"/>
      <c r="M537" s="8" t="s">
        <v>869</v>
      </c>
      <c r="N537" s="8"/>
      <c r="O537" s="8"/>
      <c r="P537" t="s">
        <v>1135</v>
      </c>
      <c r="Q537" s="8"/>
      <c r="R537" s="8" t="s">
        <v>1127</v>
      </c>
      <c r="S537" t="s">
        <v>1128</v>
      </c>
      <c r="T537" s="8" t="s">
        <v>46</v>
      </c>
      <c r="U537" s="8" t="s">
        <v>797</v>
      </c>
      <c r="V537" s="8" t="s">
        <v>798</v>
      </c>
      <c r="W537" s="8" t="str">
        <f>IF(ISNUMBER(MATCH(#REF!,{"Doryteuthis pealeii","Loligo vulgaris","Leptuca thayeri","Stylocheilus striatus","Ophryotrocha labronica"},0)),"N","Y")</f>
        <v>Y</v>
      </c>
      <c r="X537" s="8"/>
      <c r="Y537" s="8"/>
      <c r="Z537" s="8" t="s">
        <v>475</v>
      </c>
      <c r="AA537" s="8" t="s">
        <v>475</v>
      </c>
      <c r="AB537" s="8" t="s">
        <v>71</v>
      </c>
      <c r="AC537" s="8" t="s">
        <v>195</v>
      </c>
      <c r="AD537" s="8" t="s">
        <v>52</v>
      </c>
      <c r="AE537" s="8" t="s">
        <v>53</v>
      </c>
      <c r="AF537" s="8" t="s">
        <v>52</v>
      </c>
      <c r="AG537" s="8" t="s">
        <v>52</v>
      </c>
      <c r="AH537" s="8" t="s">
        <v>64</v>
      </c>
      <c r="AI537" s="8"/>
      <c r="AJ537" s="8"/>
      <c r="AK537" s="8">
        <v>8</v>
      </c>
      <c r="AL537" s="8">
        <v>8</v>
      </c>
      <c r="AM537" s="8"/>
      <c r="AN537" s="8">
        <v>450</v>
      </c>
      <c r="AO537" s="8" t="s">
        <v>56</v>
      </c>
      <c r="AP537" s="8" t="s">
        <v>56</v>
      </c>
      <c r="AQ537" s="8" t="s">
        <v>109</v>
      </c>
      <c r="AR537" s="8">
        <v>8.0299999999999994</v>
      </c>
      <c r="AS537" s="8">
        <v>0.03</v>
      </c>
      <c r="AT537" s="8" t="s">
        <v>56</v>
      </c>
      <c r="AU537" s="8">
        <v>1370</v>
      </c>
      <c r="AV537" t="s">
        <v>56</v>
      </c>
      <c r="AW537" t="s">
        <v>56</v>
      </c>
      <c r="AX537">
        <v>7.63</v>
      </c>
      <c r="AY537">
        <v>0.03</v>
      </c>
      <c r="AZ537" t="s">
        <v>56</v>
      </c>
      <c r="BA537" s="8"/>
      <c r="BB537" s="8">
        <f>LOG(AU537)</f>
        <v>3.1367205671564067</v>
      </c>
      <c r="BC537" s="8">
        <v>-0.5</v>
      </c>
      <c r="BD537" s="8">
        <v>0.3</v>
      </c>
      <c r="BE537" s="8" t="s">
        <v>56</v>
      </c>
      <c r="BF537" s="8">
        <v>3.4</v>
      </c>
      <c r="BG537" s="8">
        <v>0.1</v>
      </c>
      <c r="BH537" s="8" t="s">
        <v>56</v>
      </c>
      <c r="BI537" s="8">
        <v>920</v>
      </c>
      <c r="BJ537" s="8">
        <v>3.9</v>
      </c>
      <c r="BK537" s="8" t="s">
        <v>56</v>
      </c>
      <c r="BL537" s="8" t="s">
        <v>870</v>
      </c>
      <c r="BM537" s="8" t="s">
        <v>86</v>
      </c>
      <c r="BN537" s="8" t="s">
        <v>81</v>
      </c>
      <c r="BO537" s="8" t="s">
        <v>82</v>
      </c>
      <c r="BP537" s="8" t="s">
        <v>9</v>
      </c>
      <c r="BQ537" s="8" t="s">
        <v>190</v>
      </c>
      <c r="BR537" s="8" t="s">
        <v>84</v>
      </c>
      <c r="BS537" s="8"/>
      <c r="BT537" s="8">
        <v>99.28</v>
      </c>
      <c r="BU537" s="8">
        <v>99.275362000000001</v>
      </c>
      <c r="BV537" s="8">
        <v>0.18</v>
      </c>
      <c r="BW537" s="8">
        <f>BV537*SQRT(AK537)</f>
        <v>0.50911688245431419</v>
      </c>
      <c r="BX537" s="8">
        <v>87.86</v>
      </c>
      <c r="BY537" s="8">
        <v>87.862318799999997</v>
      </c>
      <c r="BZ537" s="8">
        <v>2.36</v>
      </c>
      <c r="CA537" s="8">
        <f>BZ537*SQRT(AL537)</f>
        <v>6.675088014401009</v>
      </c>
      <c r="CB537" s="8">
        <v>3</v>
      </c>
      <c r="CC537" s="8">
        <v>8</v>
      </c>
      <c r="CD537" s="8">
        <v>-0.122</v>
      </c>
      <c r="CE537" s="8">
        <v>6.9999999999999999E-4</v>
      </c>
      <c r="CF537" s="8" t="s">
        <v>1134</v>
      </c>
    </row>
    <row r="538" spans="1:84" hidden="1" x14ac:dyDescent="0.2">
      <c r="A538" s="8"/>
      <c r="B538" t="str">
        <f>ROW()-1&amp;"_AltersInvert"</f>
        <v>537_AltersInvert</v>
      </c>
      <c r="C538" t="str">
        <f>D538&amp;"_"&amp;
SUBSTITUTE(TRIM(V538)," ","_")&amp;"_"&amp;
TRIM(AC538)&amp;"_"&amp;
"CO2"&amp;TEXT(AN538,"0.00")&amp;"_"&amp;
"pH"&amp;TEXT(AR538,"0.00")&amp;"_"&amp;
"T"&amp;TEXT(BC538,"0.##")</f>
        <v>123_Sterechinus_neumayeri_EMBRYO_CO2450.00_pH8.03_T-0.5</v>
      </c>
      <c r="D538" s="8">
        <v>123</v>
      </c>
      <c r="E538" s="8"/>
      <c r="F538" s="8"/>
      <c r="G538" s="8" t="s">
        <v>43</v>
      </c>
      <c r="H538" s="8" t="s">
        <v>868</v>
      </c>
      <c r="I538" s="8"/>
      <c r="J538" s="8">
        <v>2012</v>
      </c>
      <c r="K538" s="8"/>
      <c r="L538" s="8"/>
      <c r="M538" s="8" t="s">
        <v>869</v>
      </c>
      <c r="N538" s="8"/>
      <c r="O538" s="8"/>
      <c r="P538" t="s">
        <v>1135</v>
      </c>
      <c r="Q538" s="8"/>
      <c r="R538" s="8" t="s">
        <v>1127</v>
      </c>
      <c r="S538" t="s">
        <v>1128</v>
      </c>
      <c r="T538" s="8" t="s">
        <v>46</v>
      </c>
      <c r="U538" s="8" t="s">
        <v>797</v>
      </c>
      <c r="V538" s="8" t="s">
        <v>798</v>
      </c>
      <c r="W538" s="8" t="str">
        <f>IF(ISNUMBER(MATCH(#REF!,{"Doryteuthis pealeii","Loligo vulgaris","Leptuca thayeri","Stylocheilus striatus","Ophryotrocha labronica"},0)),"N","Y")</f>
        <v>Y</v>
      </c>
      <c r="X538" s="8"/>
      <c r="Y538" s="8"/>
      <c r="Z538" s="8" t="s">
        <v>475</v>
      </c>
      <c r="AA538" s="8" t="s">
        <v>475</v>
      </c>
      <c r="AB538" s="8" t="s">
        <v>71</v>
      </c>
      <c r="AC538" s="8" t="s">
        <v>195</v>
      </c>
      <c r="AD538" s="8" t="s">
        <v>52</v>
      </c>
      <c r="AE538" s="8" t="s">
        <v>53</v>
      </c>
      <c r="AF538" s="8" t="s">
        <v>52</v>
      </c>
      <c r="AG538" s="8" t="s">
        <v>52</v>
      </c>
      <c r="AH538" s="8" t="s">
        <v>64</v>
      </c>
      <c r="AI538" s="8"/>
      <c r="AJ538" s="8"/>
      <c r="AK538" s="8">
        <v>8</v>
      </c>
      <c r="AL538" s="8">
        <v>8</v>
      </c>
      <c r="AM538" s="8"/>
      <c r="AN538" s="8">
        <v>450</v>
      </c>
      <c r="AO538" s="8" t="s">
        <v>56</v>
      </c>
      <c r="AP538" s="8" t="s">
        <v>56</v>
      </c>
      <c r="AQ538" s="8" t="s">
        <v>109</v>
      </c>
      <c r="AR538" s="8">
        <v>8.0299999999999994</v>
      </c>
      <c r="AS538" s="8">
        <v>0.03</v>
      </c>
      <c r="AT538" s="8" t="s">
        <v>56</v>
      </c>
      <c r="AU538" s="8">
        <v>850</v>
      </c>
      <c r="AV538" t="s">
        <v>56</v>
      </c>
      <c r="AW538" t="s">
        <v>56</v>
      </c>
      <c r="AX538">
        <v>7.76</v>
      </c>
      <c r="AY538">
        <v>0.04</v>
      </c>
      <c r="AZ538" t="s">
        <v>56</v>
      </c>
      <c r="BA538" s="8"/>
      <c r="BB538" s="8">
        <f>LOG(AU538)</f>
        <v>2.9294189257142929</v>
      </c>
      <c r="BC538" s="8">
        <v>-0.5</v>
      </c>
      <c r="BD538" s="8">
        <v>0.3</v>
      </c>
      <c r="BE538" s="8" t="s">
        <v>56</v>
      </c>
      <c r="BF538" s="8">
        <v>3</v>
      </c>
      <c r="BG538" s="8">
        <v>0.2</v>
      </c>
      <c r="BH538" s="8" t="s">
        <v>56</v>
      </c>
      <c r="BI538" s="8">
        <v>400</v>
      </c>
      <c r="BJ538" s="8">
        <v>3.5</v>
      </c>
      <c r="BK538" s="8" t="s">
        <v>56</v>
      </c>
      <c r="BL538" s="8" t="s">
        <v>870</v>
      </c>
      <c r="BM538" s="8" t="s">
        <v>86</v>
      </c>
      <c r="BN538" s="8" t="s">
        <v>81</v>
      </c>
      <c r="BO538" s="8" t="s">
        <v>82</v>
      </c>
      <c r="BP538" s="8" t="s">
        <v>9</v>
      </c>
      <c r="BQ538" s="8" t="s">
        <v>190</v>
      </c>
      <c r="BR538" s="8" t="s">
        <v>84</v>
      </c>
      <c r="BS538" s="8"/>
      <c r="BT538" s="8">
        <v>99.28</v>
      </c>
      <c r="BU538" s="8">
        <v>99.275362000000001</v>
      </c>
      <c r="BV538" s="8">
        <v>0.18</v>
      </c>
      <c r="BW538" s="8">
        <f>BV538*SQRT(AK538)</f>
        <v>0.50911688245431419</v>
      </c>
      <c r="BX538" s="8">
        <v>88.41</v>
      </c>
      <c r="BY538" s="8">
        <v>88.405797100000001</v>
      </c>
      <c r="BZ538" s="8">
        <v>2.36</v>
      </c>
      <c r="CA538" s="8">
        <f>BZ538*SQRT(AL538)</f>
        <v>6.675088014401009</v>
      </c>
      <c r="CB538" s="8">
        <v>3</v>
      </c>
      <c r="CC538" s="8">
        <v>8</v>
      </c>
      <c r="CD538" s="8">
        <v>-0.11600000000000001</v>
      </c>
      <c r="CE538" s="8">
        <v>6.9999999999999999E-4</v>
      </c>
      <c r="CF538" s="8" t="s">
        <v>1134</v>
      </c>
    </row>
    <row r="539" spans="1:84" hidden="1" x14ac:dyDescent="0.2">
      <c r="A539" s="8"/>
      <c r="B539" t="str">
        <f>ROW()-1&amp;"_AltersInvert"</f>
        <v>538_AltersInvert</v>
      </c>
      <c r="C539" t="str">
        <f>D539&amp;"_"&amp;
SUBSTITUTE(TRIM(V539)," ","_")&amp;"_"&amp;
TRIM(AC539)&amp;"_"&amp;
"CO2"&amp;TEXT(AN539,"0.00")&amp;"_"&amp;
"pH"&amp;TEXT(AR539,"0.00")&amp;"_"&amp;
"T"&amp;TEXT(BC539,"0.##")</f>
        <v>123_Sterechinus_neumayeri_EMBRYO_CO2450.00_pH8.03_T-0.5</v>
      </c>
      <c r="D539" s="8">
        <v>123</v>
      </c>
      <c r="E539" s="8"/>
      <c r="F539" s="8"/>
      <c r="G539" s="8" t="s">
        <v>43</v>
      </c>
      <c r="H539" s="8" t="s">
        <v>868</v>
      </c>
      <c r="I539" s="8"/>
      <c r="J539" s="8">
        <v>2012</v>
      </c>
      <c r="K539" s="8"/>
      <c r="L539" s="8"/>
      <c r="M539" s="8" t="s">
        <v>869</v>
      </c>
      <c r="N539" s="8"/>
      <c r="O539" s="8"/>
      <c r="P539" t="s">
        <v>1135</v>
      </c>
      <c r="Q539" s="8"/>
      <c r="R539" s="8" t="s">
        <v>1127</v>
      </c>
      <c r="S539" t="s">
        <v>1128</v>
      </c>
      <c r="T539" s="8" t="s">
        <v>46</v>
      </c>
      <c r="U539" s="8" t="s">
        <v>797</v>
      </c>
      <c r="V539" s="8" t="s">
        <v>798</v>
      </c>
      <c r="W539" s="8" t="str">
        <f>IF(ISNUMBER(MATCH(#REF!,{"Doryteuthis pealeii","Loligo vulgaris","Leptuca thayeri","Stylocheilus striatus","Ophryotrocha labronica"},0)),"N","Y")</f>
        <v>Y</v>
      </c>
      <c r="X539" s="8"/>
      <c r="Y539" s="8"/>
      <c r="Z539" s="8" t="s">
        <v>475</v>
      </c>
      <c r="AA539" s="8" t="s">
        <v>475</v>
      </c>
      <c r="AB539" s="8" t="s">
        <v>71</v>
      </c>
      <c r="AC539" s="8" t="s">
        <v>195</v>
      </c>
      <c r="AD539" s="8" t="s">
        <v>52</v>
      </c>
      <c r="AE539" s="8" t="s">
        <v>53</v>
      </c>
      <c r="AF539" s="8" t="s">
        <v>52</v>
      </c>
      <c r="AG539" s="8" t="s">
        <v>52</v>
      </c>
      <c r="AH539" s="8" t="s">
        <v>64</v>
      </c>
      <c r="AI539" s="8"/>
      <c r="AJ539" s="8"/>
      <c r="AK539" s="8">
        <v>8</v>
      </c>
      <c r="AL539" s="8">
        <v>8</v>
      </c>
      <c r="AM539" s="8"/>
      <c r="AN539" s="8">
        <v>450</v>
      </c>
      <c r="AO539" s="8" t="s">
        <v>56</v>
      </c>
      <c r="AP539" s="8" t="s">
        <v>56</v>
      </c>
      <c r="AQ539" s="8" t="s">
        <v>109</v>
      </c>
      <c r="AR539" s="8">
        <v>8.0299999999999994</v>
      </c>
      <c r="AS539" s="8">
        <v>0.03</v>
      </c>
      <c r="AT539" s="8" t="s">
        <v>56</v>
      </c>
      <c r="AU539" s="8">
        <v>1370</v>
      </c>
      <c r="AV539" t="s">
        <v>56</v>
      </c>
      <c r="AW539" t="s">
        <v>56</v>
      </c>
      <c r="AX539">
        <v>7.6</v>
      </c>
      <c r="AY539">
        <v>0.02</v>
      </c>
      <c r="AZ539" t="s">
        <v>56</v>
      </c>
      <c r="BA539" s="8"/>
      <c r="BB539" s="8">
        <f>LOG(AU539)</f>
        <v>3.1367205671564067</v>
      </c>
      <c r="BC539" s="8">
        <v>-0.5</v>
      </c>
      <c r="BD539" s="8">
        <v>0.3</v>
      </c>
      <c r="BE539" s="8" t="s">
        <v>56</v>
      </c>
      <c r="BF539" s="8">
        <v>1.8</v>
      </c>
      <c r="BG539" s="8">
        <v>0.1</v>
      </c>
      <c r="BH539" s="8" t="s">
        <v>56</v>
      </c>
      <c r="BI539" s="8">
        <v>920</v>
      </c>
      <c r="BJ539" s="8">
        <v>2.2999999999999998</v>
      </c>
      <c r="BK539" s="8" t="s">
        <v>56</v>
      </c>
      <c r="BL539" s="8" t="s">
        <v>870</v>
      </c>
      <c r="BM539" s="8" t="s">
        <v>86</v>
      </c>
      <c r="BN539" s="8" t="s">
        <v>81</v>
      </c>
      <c r="BO539" s="8" t="s">
        <v>82</v>
      </c>
      <c r="BP539" s="8" t="s">
        <v>9</v>
      </c>
      <c r="BQ539" s="8" t="s">
        <v>190</v>
      </c>
      <c r="BR539" s="8" t="s">
        <v>84</v>
      </c>
      <c r="BS539" s="8"/>
      <c r="BT539" s="8">
        <v>99.28</v>
      </c>
      <c r="BU539" s="8">
        <v>99.275362000000001</v>
      </c>
      <c r="BV539" s="8">
        <v>0.18</v>
      </c>
      <c r="BW539" s="8">
        <f>BV539*SQRT(AK539)</f>
        <v>0.50911688245431419</v>
      </c>
      <c r="BX539" s="8">
        <v>97.28</v>
      </c>
      <c r="BY539" s="8">
        <v>97.282608699999997</v>
      </c>
      <c r="BZ539" s="8">
        <v>1.27</v>
      </c>
      <c r="CA539" s="8">
        <f>BZ539*SQRT(AL539)</f>
        <v>3.5921024484276618</v>
      </c>
      <c r="CB539" s="8">
        <v>3</v>
      </c>
      <c r="CC539" s="8">
        <v>8</v>
      </c>
      <c r="CD539" s="8">
        <v>-0.02</v>
      </c>
      <c r="CE539" s="8">
        <v>2.0000000000000001E-4</v>
      </c>
      <c r="CF539" s="8" t="s">
        <v>1134</v>
      </c>
    </row>
    <row r="540" spans="1:84" hidden="1" x14ac:dyDescent="0.2">
      <c r="A540" s="8"/>
      <c r="B540" t="str">
        <f>ROW()-1&amp;"_AltersInvert"</f>
        <v>539_AltersInvert</v>
      </c>
      <c r="C540" t="str">
        <f>D540&amp;"_"&amp;
SUBSTITUTE(TRIM(V540)," ","_")&amp;"_"&amp;
TRIM(AC540)&amp;"_"&amp;
"CO2"&amp;TEXT(AN540,"0.00")&amp;"_"&amp;
"pH"&amp;TEXT(AR540,"0.00")&amp;"_"&amp;
"T"&amp;TEXT(BC540,"0.##")</f>
        <v>123_Sterechinus_neumayeri_EMBRYO_CO2450.00_pH8.03_T-0.5</v>
      </c>
      <c r="D540" s="8">
        <v>123</v>
      </c>
      <c r="E540" s="8"/>
      <c r="F540" s="8"/>
      <c r="G540" s="8" t="s">
        <v>43</v>
      </c>
      <c r="H540" s="8" t="s">
        <v>868</v>
      </c>
      <c r="I540" s="8"/>
      <c r="J540" s="8">
        <v>2012</v>
      </c>
      <c r="K540" s="8"/>
      <c r="L540" s="8"/>
      <c r="M540" s="8" t="s">
        <v>869</v>
      </c>
      <c r="N540" s="8"/>
      <c r="O540" s="8"/>
      <c r="P540" t="s">
        <v>1135</v>
      </c>
      <c r="Q540" s="8"/>
      <c r="R540" s="8" t="s">
        <v>1127</v>
      </c>
      <c r="S540" t="s">
        <v>1128</v>
      </c>
      <c r="T540" s="8" t="s">
        <v>46</v>
      </c>
      <c r="U540" s="8" t="s">
        <v>797</v>
      </c>
      <c r="V540" s="8" t="s">
        <v>798</v>
      </c>
      <c r="W540" s="8" t="str">
        <f>IF(ISNUMBER(MATCH(#REF!,{"Doryteuthis pealeii","Loligo vulgaris","Leptuca thayeri","Stylocheilus striatus","Ophryotrocha labronica"},0)),"N","Y")</f>
        <v>Y</v>
      </c>
      <c r="X540" s="8"/>
      <c r="Y540" s="8"/>
      <c r="Z540" s="8" t="s">
        <v>475</v>
      </c>
      <c r="AA540" s="8" t="s">
        <v>475</v>
      </c>
      <c r="AB540" s="8" t="s">
        <v>71</v>
      </c>
      <c r="AC540" s="8" t="s">
        <v>195</v>
      </c>
      <c r="AD540" s="8" t="s">
        <v>52</v>
      </c>
      <c r="AE540" s="8" t="s">
        <v>53</v>
      </c>
      <c r="AF540" s="8" t="s">
        <v>52</v>
      </c>
      <c r="AG540" s="8" t="s">
        <v>52</v>
      </c>
      <c r="AH540" s="8" t="s">
        <v>64</v>
      </c>
      <c r="AI540" s="8"/>
      <c r="AJ540" s="8"/>
      <c r="AK540" s="8">
        <v>8</v>
      </c>
      <c r="AL540" s="8">
        <v>8</v>
      </c>
      <c r="AM540" s="8"/>
      <c r="AN540" s="8">
        <v>450</v>
      </c>
      <c r="AO540" s="8" t="s">
        <v>56</v>
      </c>
      <c r="AP540" s="8" t="s">
        <v>56</v>
      </c>
      <c r="AQ540" s="8" t="s">
        <v>109</v>
      </c>
      <c r="AR540" s="8">
        <v>8.0299999999999994</v>
      </c>
      <c r="AS540" s="8">
        <v>0.03</v>
      </c>
      <c r="AT540" s="8" t="s">
        <v>56</v>
      </c>
      <c r="AU540" s="8">
        <v>850</v>
      </c>
      <c r="AV540" t="s">
        <v>56</v>
      </c>
      <c r="AW540" t="s">
        <v>56</v>
      </c>
      <c r="AX540">
        <v>7.7</v>
      </c>
      <c r="AY540">
        <v>0.02</v>
      </c>
      <c r="AZ540" t="s">
        <v>56</v>
      </c>
      <c r="BA540" s="8"/>
      <c r="BB540" s="8">
        <f>LOG(AU540)</f>
        <v>2.9294189257142929</v>
      </c>
      <c r="BC540" s="8">
        <v>-0.5</v>
      </c>
      <c r="BD540" s="8">
        <v>0.3</v>
      </c>
      <c r="BE540" s="8" t="s">
        <v>56</v>
      </c>
      <c r="BF540" s="8">
        <v>1.6</v>
      </c>
      <c r="BG540" s="8">
        <v>0</v>
      </c>
      <c r="BH540" s="8" t="s">
        <v>56</v>
      </c>
      <c r="BI540" s="8">
        <v>400</v>
      </c>
      <c r="BJ540" s="8">
        <v>2.1</v>
      </c>
      <c r="BK540" s="8" t="s">
        <v>56</v>
      </c>
      <c r="BL540" s="8" t="s">
        <v>870</v>
      </c>
      <c r="BM540" s="8" t="s">
        <v>86</v>
      </c>
      <c r="BN540" s="8" t="s">
        <v>81</v>
      </c>
      <c r="BO540" s="8" t="s">
        <v>82</v>
      </c>
      <c r="BP540" s="8" t="s">
        <v>9</v>
      </c>
      <c r="BQ540" s="8" t="s">
        <v>9</v>
      </c>
      <c r="BR540" s="8" t="s">
        <v>84</v>
      </c>
      <c r="BS540" s="8"/>
      <c r="BT540" s="8">
        <v>99.28</v>
      </c>
      <c r="BU540" s="8">
        <v>99.275362000000001</v>
      </c>
      <c r="BV540" s="8">
        <v>0.18</v>
      </c>
      <c r="BW540" s="8">
        <f>BV540*SQRT(AK540)</f>
        <v>0.50911688245431419</v>
      </c>
      <c r="BX540" s="8">
        <v>98.37</v>
      </c>
      <c r="BY540" s="8">
        <v>98.369565199999997</v>
      </c>
      <c r="BZ540" s="8">
        <v>0.91</v>
      </c>
      <c r="CA540" s="8">
        <f>BZ540*SQRT(AL540)</f>
        <v>2.5738686835190334</v>
      </c>
      <c r="CB540" s="8">
        <v>3</v>
      </c>
      <c r="CC540" s="8">
        <v>8</v>
      </c>
      <c r="CD540" s="8">
        <v>-8.9999999999999993E-3</v>
      </c>
      <c r="CE540" s="8">
        <v>1E-4</v>
      </c>
      <c r="CF540" s="8" t="s">
        <v>1134</v>
      </c>
    </row>
    <row r="541" spans="1:84" hidden="1" x14ac:dyDescent="0.2">
      <c r="B541" t="str">
        <f>ROW()-1&amp;"_AltersInvert"</f>
        <v>540_AltersInvert</v>
      </c>
      <c r="C541" t="str">
        <f>D541&amp;"_"&amp;
SUBSTITUTE(TRIM(V541)," ","_")&amp;"_"&amp;
TRIM(AC541)&amp;"_"&amp;
"CO2"&amp;TEXT(AN541,"0.00")&amp;"_"&amp;
"pH"&amp;TEXT(AR541,"0.00")&amp;"_"&amp;
"T"&amp;TEXT(BC541,"0.##")</f>
        <v>23_Paracentrotus_lividus_LARVA_CO2311.00_pH8.10_T18.8</v>
      </c>
      <c r="D541">
        <v>23</v>
      </c>
      <c r="G541" t="s">
        <v>43</v>
      </c>
      <c r="H541" t="s">
        <v>307</v>
      </c>
      <c r="J541">
        <v>2015</v>
      </c>
      <c r="M541" t="s">
        <v>308</v>
      </c>
      <c r="P541" t="s">
        <v>1135</v>
      </c>
      <c r="R541" t="s">
        <v>1127</v>
      </c>
      <c r="S541" t="s">
        <v>1128</v>
      </c>
      <c r="T541" t="s">
        <v>46</v>
      </c>
      <c r="U541" t="s">
        <v>309</v>
      </c>
      <c r="V541" t="s">
        <v>310</v>
      </c>
      <c r="Z541" t="s">
        <v>49</v>
      </c>
      <c r="AA541" t="s">
        <v>49</v>
      </c>
      <c r="AB541" t="s">
        <v>71</v>
      </c>
      <c r="AC541" t="s">
        <v>72</v>
      </c>
      <c r="AD541" t="s">
        <v>52</v>
      </c>
      <c r="AE541" t="s">
        <v>53</v>
      </c>
      <c r="AF541" t="s">
        <v>52</v>
      </c>
      <c r="AG541" t="s">
        <v>54</v>
      </c>
      <c r="AH541" t="s">
        <v>55</v>
      </c>
      <c r="AK541">
        <v>5</v>
      </c>
      <c r="AL541">
        <v>5</v>
      </c>
      <c r="AN541">
        <v>311</v>
      </c>
      <c r="AO541" t="s">
        <v>56</v>
      </c>
      <c r="AP541" t="s">
        <v>56</v>
      </c>
      <c r="AQ541" t="s">
        <v>57</v>
      </c>
      <c r="AR541">
        <v>8.1</v>
      </c>
      <c r="AS541" t="s">
        <v>56</v>
      </c>
      <c r="AT541">
        <v>0</v>
      </c>
      <c r="AU541">
        <v>1850</v>
      </c>
      <c r="AV541" t="s">
        <v>56</v>
      </c>
      <c r="AW541" t="s">
        <v>56</v>
      </c>
      <c r="AX541">
        <v>7.4</v>
      </c>
      <c r="AY541" t="s">
        <v>56</v>
      </c>
      <c r="AZ541">
        <v>0.1</v>
      </c>
      <c r="BB541">
        <f>LOG(AU541)</f>
        <v>3.2671717284030137</v>
      </c>
      <c r="BC541">
        <v>18.8</v>
      </c>
      <c r="BD541" t="s">
        <v>56</v>
      </c>
      <c r="BE541">
        <v>0.2</v>
      </c>
      <c r="BF541">
        <v>18.8</v>
      </c>
      <c r="BG541" t="s">
        <v>56</v>
      </c>
      <c r="BH541">
        <v>0.2</v>
      </c>
      <c r="BI541">
        <v>1539</v>
      </c>
      <c r="BJ541">
        <v>0</v>
      </c>
      <c r="BK541" t="s">
        <v>56</v>
      </c>
      <c r="BL541" t="s">
        <v>311</v>
      </c>
      <c r="BM541" t="s">
        <v>83</v>
      </c>
      <c r="BN541" t="s">
        <v>81</v>
      </c>
      <c r="BO541" t="s">
        <v>312</v>
      </c>
      <c r="BP541" t="s">
        <v>83</v>
      </c>
      <c r="BQ541" t="s">
        <v>83</v>
      </c>
      <c r="BR541" t="s">
        <v>84</v>
      </c>
      <c r="BT541">
        <v>0.67</v>
      </c>
      <c r="BU541">
        <v>0.66600000000000004</v>
      </c>
      <c r="BV541">
        <v>0.24</v>
      </c>
      <c r="BW541">
        <f>BV541*SQRT(AK541)</f>
        <v>0.53665631459994956</v>
      </c>
      <c r="BX541">
        <v>0.44</v>
      </c>
      <c r="BY541">
        <v>0.44400000000000001</v>
      </c>
      <c r="BZ541">
        <v>0.24</v>
      </c>
      <c r="CA541">
        <f>BZ541*SQRT(AL541)</f>
        <v>0.53665631459994956</v>
      </c>
      <c r="CB541">
        <v>8</v>
      </c>
      <c r="CC541">
        <v>5</v>
      </c>
      <c r="CD541">
        <v>-0.40500000000000003</v>
      </c>
      <c r="CE541">
        <v>0.4274</v>
      </c>
    </row>
    <row r="542" spans="1:84" hidden="1" x14ac:dyDescent="0.2">
      <c r="B542" t="str">
        <f>ROW()-1&amp;"_AltersInvert"</f>
        <v>541_AltersInvert</v>
      </c>
      <c r="C542" t="str">
        <f>D542&amp;"_"&amp;
SUBSTITUTE(TRIM(V542)," ","_")&amp;"_"&amp;
TRIM(AC542)&amp;"_"&amp;
"CO2"&amp;TEXT(AN542,"0.00")&amp;"_"&amp;
"pH"&amp;TEXT(AR542,"0.00")&amp;"_"&amp;
"T"&amp;TEXT(BC542,"0.##")</f>
        <v>23_Paracentrotus_lividus_LARVA_CO2311.00_pH8.10_T18.8</v>
      </c>
      <c r="D542">
        <v>23</v>
      </c>
      <c r="G542" t="s">
        <v>43</v>
      </c>
      <c r="H542" t="s">
        <v>307</v>
      </c>
      <c r="J542">
        <v>2015</v>
      </c>
      <c r="M542" t="s">
        <v>308</v>
      </c>
      <c r="P542" t="s">
        <v>1135</v>
      </c>
      <c r="R542" t="s">
        <v>1127</v>
      </c>
      <c r="S542" t="s">
        <v>1128</v>
      </c>
      <c r="T542" t="s">
        <v>46</v>
      </c>
      <c r="U542" t="s">
        <v>309</v>
      </c>
      <c r="V542" t="s">
        <v>310</v>
      </c>
      <c r="Z542" t="s">
        <v>49</v>
      </c>
      <c r="AA542" t="s">
        <v>49</v>
      </c>
      <c r="AB542" t="s">
        <v>71</v>
      </c>
      <c r="AC542" t="s">
        <v>72</v>
      </c>
      <c r="AD542" t="s">
        <v>52</v>
      </c>
      <c r="AE542" t="s">
        <v>53</v>
      </c>
      <c r="AF542" t="s">
        <v>52</v>
      </c>
      <c r="AG542" t="s">
        <v>54</v>
      </c>
      <c r="AH542" t="s">
        <v>55</v>
      </c>
      <c r="AK542">
        <v>5</v>
      </c>
      <c r="AL542">
        <v>5</v>
      </c>
      <c r="AN542">
        <v>311</v>
      </c>
      <c r="AO542" t="s">
        <v>56</v>
      </c>
      <c r="AP542" t="s">
        <v>56</v>
      </c>
      <c r="AQ542" t="s">
        <v>57</v>
      </c>
      <c r="AR542">
        <v>8.1</v>
      </c>
      <c r="AS542" t="s">
        <v>56</v>
      </c>
      <c r="AT542">
        <v>0</v>
      </c>
      <c r="AU542">
        <v>885</v>
      </c>
      <c r="AV542" t="s">
        <v>56</v>
      </c>
      <c r="AW542" t="s">
        <v>56</v>
      </c>
      <c r="AX542">
        <v>7.7</v>
      </c>
      <c r="AY542" t="s">
        <v>56</v>
      </c>
      <c r="AZ542">
        <v>0</v>
      </c>
      <c r="BB542">
        <f>LOG(AU542)</f>
        <v>2.9469432706978256</v>
      </c>
      <c r="BC542">
        <v>18.8</v>
      </c>
      <c r="BD542" t="s">
        <v>56</v>
      </c>
      <c r="BE542">
        <v>0.2</v>
      </c>
      <c r="BF542">
        <v>18.8</v>
      </c>
      <c r="BG542" t="s">
        <v>56</v>
      </c>
      <c r="BH542">
        <v>0.2</v>
      </c>
      <c r="BI542">
        <v>575</v>
      </c>
      <c r="BJ542">
        <v>0</v>
      </c>
      <c r="BK542" t="s">
        <v>56</v>
      </c>
      <c r="BL542" t="s">
        <v>311</v>
      </c>
      <c r="BM542" t="s">
        <v>83</v>
      </c>
      <c r="BN542" t="s">
        <v>81</v>
      </c>
      <c r="BO542" t="s">
        <v>312</v>
      </c>
      <c r="BP542" t="s">
        <v>83</v>
      </c>
      <c r="BQ542" t="s">
        <v>83</v>
      </c>
      <c r="BR542" t="s">
        <v>84</v>
      </c>
      <c r="BT542">
        <v>0.67</v>
      </c>
      <c r="BU542">
        <v>0.66600000000000004</v>
      </c>
      <c r="BV542">
        <v>0.24</v>
      </c>
      <c r="BW542">
        <f>BV542*SQRT(AK542)</f>
        <v>0.53665631459994956</v>
      </c>
      <c r="BX542">
        <v>0.7</v>
      </c>
      <c r="BY542">
        <v>0.69799999999999995</v>
      </c>
      <c r="BZ542">
        <v>0.24</v>
      </c>
      <c r="CA542">
        <f>BZ542*SQRT(AL542)</f>
        <v>0.53665631459994956</v>
      </c>
      <c r="CB542">
        <v>8</v>
      </c>
      <c r="CC542">
        <v>5</v>
      </c>
      <c r="CD542">
        <v>4.7E-2</v>
      </c>
      <c r="CE542">
        <v>0.25119999999999998</v>
      </c>
    </row>
    <row r="543" spans="1:84" hidden="1" x14ac:dyDescent="0.2">
      <c r="B543" t="str">
        <f>ROW()-1&amp;"_AltersInvert"</f>
        <v>542_AltersInvert</v>
      </c>
      <c r="C543" t="str">
        <f>D543&amp;"_"&amp;
SUBSTITUTE(TRIM(V543)," ","_")&amp;"_"&amp;
TRIM(AC543)&amp;"_"&amp;
"CO2"&amp;TEXT(AN543,"0.00")&amp;"_"&amp;
"pH"&amp;TEXT(AR543,"0.00")&amp;"_"&amp;
"T"&amp;TEXT(BC543,"0.##")</f>
        <v>23_Paracentrotus_lividus_LARVA_CO2311.00_pH8.10_T18.8</v>
      </c>
      <c r="D543">
        <v>23</v>
      </c>
      <c r="G543" t="s">
        <v>43</v>
      </c>
      <c r="H543" t="s">
        <v>307</v>
      </c>
      <c r="J543">
        <v>2015</v>
      </c>
      <c r="M543" t="s">
        <v>308</v>
      </c>
      <c r="P543" t="s">
        <v>1135</v>
      </c>
      <c r="R543" t="s">
        <v>1127</v>
      </c>
      <c r="S543" t="s">
        <v>1128</v>
      </c>
      <c r="T543" t="s">
        <v>46</v>
      </c>
      <c r="U543" t="s">
        <v>309</v>
      </c>
      <c r="V543" t="s">
        <v>310</v>
      </c>
      <c r="Z543" t="s">
        <v>49</v>
      </c>
      <c r="AA543" t="s">
        <v>49</v>
      </c>
      <c r="AB543" t="s">
        <v>71</v>
      </c>
      <c r="AC543" t="s">
        <v>72</v>
      </c>
      <c r="AD543" t="s">
        <v>52</v>
      </c>
      <c r="AE543" t="s">
        <v>53</v>
      </c>
      <c r="AF543" t="s">
        <v>54</v>
      </c>
      <c r="AG543" t="s">
        <v>52</v>
      </c>
      <c r="AH543" t="s">
        <v>65</v>
      </c>
      <c r="AK543">
        <v>5</v>
      </c>
      <c r="AL543">
        <v>5</v>
      </c>
      <c r="AN543">
        <v>311</v>
      </c>
      <c r="AO543" t="s">
        <v>56</v>
      </c>
      <c r="AP543" t="s">
        <v>56</v>
      </c>
      <c r="AQ543" t="s">
        <v>57</v>
      </c>
      <c r="AR543">
        <v>8.1</v>
      </c>
      <c r="AS543" t="s">
        <v>56</v>
      </c>
      <c r="AT543">
        <v>0</v>
      </c>
      <c r="AU543">
        <v>314</v>
      </c>
      <c r="AV543" t="s">
        <v>56</v>
      </c>
      <c r="AW543" t="s">
        <v>56</v>
      </c>
      <c r="AX543">
        <v>8.1</v>
      </c>
      <c r="AY543" t="s">
        <v>56</v>
      </c>
      <c r="AZ543">
        <v>0</v>
      </c>
      <c r="BB543">
        <f>LOG(AU543)</f>
        <v>2.4969296480732148</v>
      </c>
      <c r="BC543">
        <v>18.8</v>
      </c>
      <c r="BD543" t="s">
        <v>56</v>
      </c>
      <c r="BE543">
        <v>0.2</v>
      </c>
      <c r="BF543">
        <v>22.5</v>
      </c>
      <c r="BG543" t="s">
        <v>56</v>
      </c>
      <c r="BH543">
        <v>0.2</v>
      </c>
      <c r="BI543">
        <v>3</v>
      </c>
      <c r="BJ543">
        <v>3.7</v>
      </c>
      <c r="BK543" t="s">
        <v>56</v>
      </c>
      <c r="BL543" t="s">
        <v>311</v>
      </c>
      <c r="BM543" t="s">
        <v>83</v>
      </c>
      <c r="BN543" t="s">
        <v>81</v>
      </c>
      <c r="BO543" t="s">
        <v>312</v>
      </c>
      <c r="BP543" t="s">
        <v>83</v>
      </c>
      <c r="BQ543" t="s">
        <v>83</v>
      </c>
      <c r="BR543" t="s">
        <v>84</v>
      </c>
      <c r="BT543">
        <v>0.67</v>
      </c>
      <c r="BU543">
        <v>0.66600000000000004</v>
      </c>
      <c r="BV543">
        <v>0.24</v>
      </c>
      <c r="BW543">
        <f>BV543*SQRT(AK543)</f>
        <v>0.53665631459994956</v>
      </c>
      <c r="BX543">
        <v>0.1</v>
      </c>
      <c r="BY543">
        <v>9.5200000000000007E-2</v>
      </c>
      <c r="BZ543">
        <v>0.28000000000000003</v>
      </c>
      <c r="CA543">
        <f>BZ543*SQRT(AL543)</f>
        <v>0.62609903369994124</v>
      </c>
      <c r="CB543">
        <v>8</v>
      </c>
      <c r="CC543">
        <v>5</v>
      </c>
      <c r="CD543">
        <v>-1.9450000000000001</v>
      </c>
      <c r="CE543">
        <v>9.0268999999999995</v>
      </c>
    </row>
    <row r="544" spans="1:84" hidden="1" x14ac:dyDescent="0.2">
      <c r="B544" t="str">
        <f>ROW()-1&amp;"_AltersInvert"</f>
        <v>543_AltersInvert</v>
      </c>
      <c r="C544" t="str">
        <f>D544&amp;"_"&amp;
SUBSTITUTE(TRIM(V544)," ","_")&amp;"_"&amp;
TRIM(AC544)&amp;"_"&amp;
"CO2"&amp;TEXT(AN544,"0.00")&amp;"_"&amp;
"pH"&amp;TEXT(AR544,"0.00")&amp;"_"&amp;
"T"&amp;TEXT(BC544,"0.##")</f>
        <v>23_Paracentrotus_lividus_LARVA_CO2311.00_pH8.10_T18.8</v>
      </c>
      <c r="D544">
        <v>23</v>
      </c>
      <c r="G544" t="s">
        <v>43</v>
      </c>
      <c r="H544" t="s">
        <v>307</v>
      </c>
      <c r="J544">
        <v>2015</v>
      </c>
      <c r="M544" t="s">
        <v>308</v>
      </c>
      <c r="P544" t="s">
        <v>1135</v>
      </c>
      <c r="R544" t="s">
        <v>1127</v>
      </c>
      <c r="S544" t="s">
        <v>1128</v>
      </c>
      <c r="T544" t="s">
        <v>46</v>
      </c>
      <c r="U544" t="s">
        <v>309</v>
      </c>
      <c r="V544" t="s">
        <v>310</v>
      </c>
      <c r="Z544" t="s">
        <v>49</v>
      </c>
      <c r="AA544" t="s">
        <v>49</v>
      </c>
      <c r="AB544" t="s">
        <v>71</v>
      </c>
      <c r="AC544" t="s">
        <v>72</v>
      </c>
      <c r="AD544" t="s">
        <v>52</v>
      </c>
      <c r="AE544" t="s">
        <v>53</v>
      </c>
      <c r="AF544" t="s">
        <v>54</v>
      </c>
      <c r="AG544" t="s">
        <v>52</v>
      </c>
      <c r="AH544" t="s">
        <v>65</v>
      </c>
      <c r="AK544">
        <v>5</v>
      </c>
      <c r="AL544">
        <v>5</v>
      </c>
      <c r="AN544">
        <v>311</v>
      </c>
      <c r="AO544" t="s">
        <v>56</v>
      </c>
      <c r="AP544" t="s">
        <v>56</v>
      </c>
      <c r="AQ544" t="s">
        <v>57</v>
      </c>
      <c r="AR544">
        <v>8.1</v>
      </c>
      <c r="AS544" t="s">
        <v>56</v>
      </c>
      <c r="AT544">
        <v>0</v>
      </c>
      <c r="AU544">
        <v>305</v>
      </c>
      <c r="AV544" t="s">
        <v>56</v>
      </c>
      <c r="AW544" t="s">
        <v>56</v>
      </c>
      <c r="AX544">
        <v>8.1</v>
      </c>
      <c r="AY544" t="s">
        <v>56</v>
      </c>
      <c r="AZ544">
        <v>0</v>
      </c>
      <c r="BB544">
        <f>LOG(AU544)</f>
        <v>2.4842998393467859</v>
      </c>
      <c r="BC544">
        <v>18.8</v>
      </c>
      <c r="BD544" t="s">
        <v>56</v>
      </c>
      <c r="BE544">
        <v>0.2</v>
      </c>
      <c r="BF544">
        <v>20.5</v>
      </c>
      <c r="BG544" t="s">
        <v>56</v>
      </c>
      <c r="BH544">
        <v>0.2</v>
      </c>
      <c r="BI544">
        <v>-6</v>
      </c>
      <c r="BJ544">
        <v>1.7</v>
      </c>
      <c r="BK544" t="s">
        <v>56</v>
      </c>
      <c r="BL544" t="s">
        <v>311</v>
      </c>
      <c r="BM544" t="s">
        <v>83</v>
      </c>
      <c r="BN544" t="s">
        <v>81</v>
      </c>
      <c r="BO544" t="s">
        <v>312</v>
      </c>
      <c r="BP544" t="s">
        <v>83</v>
      </c>
      <c r="BQ544" t="s">
        <v>83</v>
      </c>
      <c r="BR544" t="s">
        <v>84</v>
      </c>
      <c r="BT544">
        <v>0.67</v>
      </c>
      <c r="BU544">
        <v>0.66600000000000004</v>
      </c>
      <c r="BV544">
        <v>0.24</v>
      </c>
      <c r="BW544">
        <f>BV544*SQRT(AK544)</f>
        <v>0.53665631459994956</v>
      </c>
      <c r="BX544">
        <v>0.38</v>
      </c>
      <c r="BY544">
        <v>0.38090000000000002</v>
      </c>
      <c r="BZ544">
        <v>0.26</v>
      </c>
      <c r="CA544">
        <f>BZ544*SQRT(AL544)</f>
        <v>0.58137767414994534</v>
      </c>
      <c r="CB544">
        <v>8</v>
      </c>
      <c r="CC544">
        <v>5</v>
      </c>
      <c r="CD544">
        <v>-0.55900000000000005</v>
      </c>
      <c r="CE544">
        <v>0.58109999999999995</v>
      </c>
    </row>
    <row r="545" spans="2:83" hidden="1" x14ac:dyDescent="0.2">
      <c r="B545" t="str">
        <f>ROW()-1&amp;"_AltersInvert"</f>
        <v>544_AltersInvert</v>
      </c>
      <c r="C545" t="str">
        <f>D545&amp;"_"&amp;
SUBSTITUTE(TRIM(V545)," ","_")&amp;"_"&amp;
TRIM(AC545)&amp;"_"&amp;
"CO2"&amp;TEXT(AN545,"0.00")&amp;"_"&amp;
"pH"&amp;TEXT(AR545,"0.00")&amp;"_"&amp;
"T"&amp;TEXT(BC545,"0.##")</f>
        <v>23_Paracentrotus_lividus_LARVA_CO2311.00_pH8.10_T18.8</v>
      </c>
      <c r="D545">
        <v>23</v>
      </c>
      <c r="G545" t="s">
        <v>43</v>
      </c>
      <c r="H545" t="s">
        <v>307</v>
      </c>
      <c r="J545">
        <v>2015</v>
      </c>
      <c r="M545" t="s">
        <v>308</v>
      </c>
      <c r="P545" t="s">
        <v>1135</v>
      </c>
      <c r="R545" t="s">
        <v>1127</v>
      </c>
      <c r="S545" t="s">
        <v>1128</v>
      </c>
      <c r="T545" t="s">
        <v>46</v>
      </c>
      <c r="U545" t="s">
        <v>309</v>
      </c>
      <c r="V545" t="s">
        <v>310</v>
      </c>
      <c r="Z545" t="s">
        <v>49</v>
      </c>
      <c r="AA545" t="s">
        <v>49</v>
      </c>
      <c r="AB545" t="s">
        <v>71</v>
      </c>
      <c r="AC545" t="s">
        <v>72</v>
      </c>
      <c r="AD545" t="s">
        <v>52</v>
      </c>
      <c r="AE545" t="s">
        <v>53</v>
      </c>
      <c r="AF545" t="s">
        <v>52</v>
      </c>
      <c r="AG545" t="s">
        <v>52</v>
      </c>
      <c r="AH545" t="s">
        <v>64</v>
      </c>
      <c r="AK545">
        <v>5</v>
      </c>
      <c r="AL545">
        <v>5</v>
      </c>
      <c r="AN545">
        <v>311</v>
      </c>
      <c r="AO545" t="s">
        <v>56</v>
      </c>
      <c r="AP545" t="s">
        <v>56</v>
      </c>
      <c r="AQ545" t="s">
        <v>57</v>
      </c>
      <c r="AR545">
        <v>8.1</v>
      </c>
      <c r="AS545" t="s">
        <v>56</v>
      </c>
      <c r="AT545">
        <v>0</v>
      </c>
      <c r="AU545">
        <v>916</v>
      </c>
      <c r="AV545" t="s">
        <v>56</v>
      </c>
      <c r="AW545" t="s">
        <v>56</v>
      </c>
      <c r="AX545">
        <v>7.7</v>
      </c>
      <c r="AY545" t="s">
        <v>56</v>
      </c>
      <c r="AZ545">
        <v>0</v>
      </c>
      <c r="BB545">
        <f>LOG(AU545)</f>
        <v>2.9618954736678504</v>
      </c>
      <c r="BC545">
        <v>18.8</v>
      </c>
      <c r="BD545" t="s">
        <v>56</v>
      </c>
      <c r="BE545">
        <v>0.2</v>
      </c>
      <c r="BF545">
        <v>22.5</v>
      </c>
      <c r="BG545" t="s">
        <v>56</v>
      </c>
      <c r="BH545">
        <v>0.2</v>
      </c>
      <c r="BI545">
        <v>605</v>
      </c>
      <c r="BJ545">
        <v>3.7</v>
      </c>
      <c r="BK545" t="s">
        <v>56</v>
      </c>
      <c r="BL545" t="s">
        <v>311</v>
      </c>
      <c r="BM545" t="s">
        <v>83</v>
      </c>
      <c r="BN545" t="s">
        <v>81</v>
      </c>
      <c r="BO545" t="s">
        <v>312</v>
      </c>
      <c r="BP545" t="s">
        <v>83</v>
      </c>
      <c r="BQ545" t="s">
        <v>83</v>
      </c>
      <c r="BR545" t="s">
        <v>84</v>
      </c>
      <c r="BT545">
        <v>0.67</v>
      </c>
      <c r="BU545">
        <v>0.66600000000000004</v>
      </c>
      <c r="BV545">
        <v>0.24</v>
      </c>
      <c r="BW545">
        <f>BV545*SQRT(AK545)</f>
        <v>0.53665631459994956</v>
      </c>
      <c r="BX545">
        <v>0.1</v>
      </c>
      <c r="BY545">
        <v>9.5200000000000007E-2</v>
      </c>
      <c r="BZ545">
        <v>0.3</v>
      </c>
      <c r="CA545">
        <f>BZ545*SQRT(AL545)</f>
        <v>0.67082039324993692</v>
      </c>
      <c r="CB545">
        <v>8</v>
      </c>
      <c r="CC545">
        <v>5</v>
      </c>
      <c r="CD545">
        <v>-1.9450000000000001</v>
      </c>
      <c r="CE545">
        <v>9.9403000000000006</v>
      </c>
    </row>
    <row r="546" spans="2:83" hidden="1" x14ac:dyDescent="0.2">
      <c r="B546" t="str">
        <f>ROW()-1&amp;"_AltersInvert"</f>
        <v>545_AltersInvert</v>
      </c>
      <c r="C546" t="str">
        <f>D546&amp;"_"&amp;
SUBSTITUTE(TRIM(V546)," ","_")&amp;"_"&amp;
TRIM(AC546)&amp;"_"&amp;
"CO2"&amp;TEXT(AN546,"0.00")&amp;"_"&amp;
"pH"&amp;TEXT(AR546,"0.00")&amp;"_"&amp;
"T"&amp;TEXT(BC546,"0.##")</f>
        <v>23_Paracentrotus_lividus_LARVA_CO2311.00_pH8.10_T18.8</v>
      </c>
      <c r="D546">
        <v>23</v>
      </c>
      <c r="G546" t="s">
        <v>43</v>
      </c>
      <c r="H546" t="s">
        <v>307</v>
      </c>
      <c r="J546">
        <v>2015</v>
      </c>
      <c r="M546" t="s">
        <v>308</v>
      </c>
      <c r="P546" t="s">
        <v>1135</v>
      </c>
      <c r="R546" t="s">
        <v>1127</v>
      </c>
      <c r="S546" t="s">
        <v>1128</v>
      </c>
      <c r="T546" t="s">
        <v>46</v>
      </c>
      <c r="U546" t="s">
        <v>309</v>
      </c>
      <c r="V546" t="s">
        <v>310</v>
      </c>
      <c r="Z546" t="s">
        <v>49</v>
      </c>
      <c r="AA546" t="s">
        <v>49</v>
      </c>
      <c r="AB546" t="s">
        <v>71</v>
      </c>
      <c r="AC546" t="s">
        <v>72</v>
      </c>
      <c r="AD546" t="s">
        <v>52</v>
      </c>
      <c r="AE546" t="s">
        <v>53</v>
      </c>
      <c r="AF546" t="s">
        <v>52</v>
      </c>
      <c r="AG546" t="s">
        <v>52</v>
      </c>
      <c r="AH546" t="s">
        <v>64</v>
      </c>
      <c r="AK546">
        <v>5</v>
      </c>
      <c r="AL546">
        <v>5</v>
      </c>
      <c r="AN546">
        <v>311</v>
      </c>
      <c r="AO546" t="s">
        <v>56</v>
      </c>
      <c r="AP546" t="s">
        <v>56</v>
      </c>
      <c r="AQ546" t="s">
        <v>57</v>
      </c>
      <c r="AR546">
        <v>8.1</v>
      </c>
      <c r="AS546" t="s">
        <v>56</v>
      </c>
      <c r="AT546">
        <v>0</v>
      </c>
      <c r="AU546">
        <v>1838</v>
      </c>
      <c r="AV546" t="s">
        <v>56</v>
      </c>
      <c r="AW546" t="s">
        <v>56</v>
      </c>
      <c r="AX546">
        <v>7.4</v>
      </c>
      <c r="AY546" t="s">
        <v>56</v>
      </c>
      <c r="AZ546">
        <v>0</v>
      </c>
      <c r="BB546">
        <f>LOG(AU546)</f>
        <v>3.2643455070500926</v>
      </c>
      <c r="BC546">
        <v>18.8</v>
      </c>
      <c r="BD546" t="s">
        <v>56</v>
      </c>
      <c r="BE546">
        <v>0.2</v>
      </c>
      <c r="BF546">
        <v>20.5</v>
      </c>
      <c r="BG546" t="s">
        <v>56</v>
      </c>
      <c r="BH546">
        <v>0.2</v>
      </c>
      <c r="BI546">
        <v>1528</v>
      </c>
      <c r="BJ546">
        <v>1.7</v>
      </c>
      <c r="BK546" t="s">
        <v>56</v>
      </c>
      <c r="BL546" t="s">
        <v>311</v>
      </c>
      <c r="BM546" t="s">
        <v>83</v>
      </c>
      <c r="BN546" t="s">
        <v>81</v>
      </c>
      <c r="BO546" t="s">
        <v>312</v>
      </c>
      <c r="BP546" t="s">
        <v>83</v>
      </c>
      <c r="BQ546" t="s">
        <v>83</v>
      </c>
      <c r="BR546" t="s">
        <v>84</v>
      </c>
      <c r="BT546">
        <v>0.67</v>
      </c>
      <c r="BU546">
        <v>0.66600000000000004</v>
      </c>
      <c r="BV546">
        <v>0.24</v>
      </c>
      <c r="BW546">
        <f>BV546*SQRT(AK546)</f>
        <v>0.53665631459994956</v>
      </c>
      <c r="BX546">
        <v>0.25</v>
      </c>
      <c r="BY546">
        <v>0.25390000000000001</v>
      </c>
      <c r="BZ546">
        <v>0.27</v>
      </c>
      <c r="CA546">
        <f>BZ546*SQRT(AL546)</f>
        <v>0.60373835392494324</v>
      </c>
      <c r="CB546">
        <v>8</v>
      </c>
      <c r="CC546">
        <v>5</v>
      </c>
      <c r="CD546">
        <v>-0.96399999999999997</v>
      </c>
      <c r="CE546">
        <v>1.2603</v>
      </c>
    </row>
    <row r="547" spans="2:83" hidden="1" x14ac:dyDescent="0.2">
      <c r="D547">
        <v>38</v>
      </c>
      <c r="G547" t="s">
        <v>43</v>
      </c>
      <c r="H547" t="s">
        <v>426</v>
      </c>
      <c r="J547">
        <v>2017</v>
      </c>
      <c r="M547" t="s">
        <v>427</v>
      </c>
      <c r="T547" t="s">
        <v>68</v>
      </c>
      <c r="U547" t="s">
        <v>428</v>
      </c>
      <c r="V547" t="s">
        <v>429</v>
      </c>
      <c r="Z547" t="s">
        <v>177</v>
      </c>
      <c r="AA547" t="s">
        <v>177</v>
      </c>
      <c r="AB547" t="s">
        <v>50</v>
      </c>
      <c r="AC547" t="s">
        <v>108</v>
      </c>
      <c r="AD547" t="s">
        <v>54</v>
      </c>
      <c r="AE547" t="s">
        <v>56</v>
      </c>
      <c r="AF547" t="s">
        <v>52</v>
      </c>
      <c r="AG547" t="s">
        <v>52</v>
      </c>
      <c r="AH547" t="s">
        <v>64</v>
      </c>
      <c r="AK547">
        <v>4</v>
      </c>
      <c r="AL547">
        <v>5</v>
      </c>
      <c r="AN547">
        <v>368</v>
      </c>
      <c r="AO547">
        <v>62</v>
      </c>
      <c r="AP547" t="s">
        <v>56</v>
      </c>
      <c r="AQ547" t="s">
        <v>57</v>
      </c>
      <c r="AR547">
        <v>8.06</v>
      </c>
      <c r="AS547">
        <v>0.02</v>
      </c>
      <c r="AT547" t="s">
        <v>56</v>
      </c>
      <c r="AU547">
        <v>969</v>
      </c>
      <c r="AV547">
        <v>74</v>
      </c>
      <c r="AW547" t="s">
        <v>56</v>
      </c>
      <c r="AX547">
        <v>7.72</v>
      </c>
      <c r="AY547">
        <v>0.02</v>
      </c>
      <c r="AZ547" t="s">
        <v>56</v>
      </c>
      <c r="BB547">
        <f>LOG(AU547)</f>
        <v>2.9863237770507651</v>
      </c>
      <c r="BC547">
        <v>14.1</v>
      </c>
      <c r="BD547">
        <v>0.2</v>
      </c>
      <c r="BE547" t="s">
        <v>56</v>
      </c>
      <c r="BF547">
        <v>18.100000000000001</v>
      </c>
      <c r="BG547">
        <v>0.1</v>
      </c>
      <c r="BH547" t="s">
        <v>56</v>
      </c>
      <c r="BI547">
        <v>602</v>
      </c>
      <c r="BJ547">
        <v>4</v>
      </c>
      <c r="BK547" t="s">
        <v>56</v>
      </c>
      <c r="BL547" t="s">
        <v>430</v>
      </c>
      <c r="BM547" t="s">
        <v>75</v>
      </c>
      <c r="BN547" t="s">
        <v>60</v>
      </c>
      <c r="BO547" t="s">
        <v>431</v>
      </c>
      <c r="BP547" t="s">
        <v>77</v>
      </c>
      <c r="BR547" t="s">
        <v>63</v>
      </c>
      <c r="BT547">
        <v>1.29</v>
      </c>
      <c r="BU547">
        <v>1.29</v>
      </c>
      <c r="BV547">
        <v>0.1</v>
      </c>
      <c r="BW547">
        <f>BV547*SQRT(AK547)</f>
        <v>0.2</v>
      </c>
      <c r="BX547">
        <v>1.53</v>
      </c>
      <c r="BY547">
        <v>1.53</v>
      </c>
      <c r="BZ547">
        <v>0.15</v>
      </c>
      <c r="CA547">
        <f>BZ547*SQRT(AL547)</f>
        <v>0.33541019662496846</v>
      </c>
      <c r="CB547">
        <v>18</v>
      </c>
      <c r="CC547">
        <v>5</v>
      </c>
      <c r="CD547">
        <v>0.17100000000000001</v>
      </c>
      <c r="CE547">
        <v>1.5599999999999999E-2</v>
      </c>
    </row>
    <row r="548" spans="2:83" hidden="1" x14ac:dyDescent="0.2">
      <c r="D548">
        <v>38</v>
      </c>
      <c r="G548" t="s">
        <v>43</v>
      </c>
      <c r="H548" t="s">
        <v>426</v>
      </c>
      <c r="J548">
        <v>2017</v>
      </c>
      <c r="M548" t="s">
        <v>427</v>
      </c>
      <c r="T548" t="s">
        <v>68</v>
      </c>
      <c r="U548" t="s">
        <v>428</v>
      </c>
      <c r="V548" t="s">
        <v>429</v>
      </c>
      <c r="Z548" t="s">
        <v>177</v>
      </c>
      <c r="AA548" t="s">
        <v>177</v>
      </c>
      <c r="AB548" t="s">
        <v>50</v>
      </c>
      <c r="AC548" t="s">
        <v>108</v>
      </c>
      <c r="AD548" t="s">
        <v>54</v>
      </c>
      <c r="AE548" t="s">
        <v>56</v>
      </c>
      <c r="AF548" t="s">
        <v>54</v>
      </c>
      <c r="AG548" t="s">
        <v>52</v>
      </c>
      <c r="AH548" t="s">
        <v>65</v>
      </c>
      <c r="AK548">
        <v>4</v>
      </c>
      <c r="AL548">
        <v>5</v>
      </c>
      <c r="AN548">
        <v>368</v>
      </c>
      <c r="AO548">
        <v>62</v>
      </c>
      <c r="AP548" t="s">
        <v>56</v>
      </c>
      <c r="AQ548" t="s">
        <v>57</v>
      </c>
      <c r="AR548">
        <v>8.06</v>
      </c>
      <c r="AS548">
        <v>0.02</v>
      </c>
      <c r="AT548" t="s">
        <v>56</v>
      </c>
      <c r="AU548">
        <v>436</v>
      </c>
      <c r="AV548">
        <v>74</v>
      </c>
      <c r="AW548" t="s">
        <v>56</v>
      </c>
      <c r="AX548">
        <v>8.0299999999999994</v>
      </c>
      <c r="AY548">
        <v>0.04</v>
      </c>
      <c r="AZ548" t="s">
        <v>56</v>
      </c>
      <c r="BB548">
        <f>LOG(AU548)</f>
        <v>2.6394864892685859</v>
      </c>
      <c r="BC548">
        <v>14.1</v>
      </c>
      <c r="BD548">
        <v>0.2</v>
      </c>
      <c r="BE548" t="s">
        <v>56</v>
      </c>
      <c r="BF548">
        <v>18.100000000000001</v>
      </c>
      <c r="BG548">
        <v>0.1</v>
      </c>
      <c r="BH548" t="s">
        <v>56</v>
      </c>
      <c r="BI548">
        <v>68</v>
      </c>
      <c r="BJ548">
        <v>4</v>
      </c>
      <c r="BK548" t="s">
        <v>56</v>
      </c>
      <c r="BL548" t="s">
        <v>430</v>
      </c>
      <c r="BM548" t="s">
        <v>75</v>
      </c>
      <c r="BN548" t="s">
        <v>60</v>
      </c>
      <c r="BO548" t="s">
        <v>431</v>
      </c>
      <c r="BP548" t="s">
        <v>77</v>
      </c>
      <c r="BR548" t="s">
        <v>63</v>
      </c>
      <c r="BT548">
        <v>1.29</v>
      </c>
      <c r="BU548">
        <v>1.29</v>
      </c>
      <c r="BV548">
        <v>0.1</v>
      </c>
      <c r="BW548">
        <f>BV548*SQRT(AK548)</f>
        <v>0.2</v>
      </c>
      <c r="BX548">
        <v>1.65</v>
      </c>
      <c r="BY548">
        <v>1.65</v>
      </c>
      <c r="BZ548">
        <v>7.0000000000000007E-2</v>
      </c>
      <c r="CA548">
        <f>BZ548*SQRT(AL548)</f>
        <v>0.15652475842498531</v>
      </c>
      <c r="CB548">
        <v>18</v>
      </c>
      <c r="CC548">
        <v>5</v>
      </c>
      <c r="CD548">
        <v>0.246</v>
      </c>
      <c r="CE548">
        <v>7.7999999999999996E-3</v>
      </c>
    </row>
    <row r="549" spans="2:83" hidden="1" x14ac:dyDescent="0.2">
      <c r="D549">
        <v>38</v>
      </c>
      <c r="G549" t="s">
        <v>43</v>
      </c>
      <c r="H549" t="s">
        <v>426</v>
      </c>
      <c r="J549">
        <v>2017</v>
      </c>
      <c r="M549" t="s">
        <v>427</v>
      </c>
      <c r="T549" t="s">
        <v>68</v>
      </c>
      <c r="U549" t="s">
        <v>428</v>
      </c>
      <c r="V549" t="s">
        <v>429</v>
      </c>
      <c r="Z549" t="s">
        <v>177</v>
      </c>
      <c r="AA549" t="s">
        <v>177</v>
      </c>
      <c r="AB549" t="s">
        <v>50</v>
      </c>
      <c r="AC549" t="s">
        <v>108</v>
      </c>
      <c r="AD549" t="s">
        <v>54</v>
      </c>
      <c r="AE549" t="s">
        <v>56</v>
      </c>
      <c r="AF549" t="s">
        <v>52</v>
      </c>
      <c r="AG549" t="s">
        <v>54</v>
      </c>
      <c r="AH549" t="s">
        <v>55</v>
      </c>
      <c r="AK549">
        <v>4</v>
      </c>
      <c r="AL549">
        <v>5</v>
      </c>
      <c r="AN549">
        <v>368</v>
      </c>
      <c r="AO549">
        <v>62</v>
      </c>
      <c r="AP549" t="s">
        <v>56</v>
      </c>
      <c r="AQ549" t="s">
        <v>57</v>
      </c>
      <c r="AR549">
        <v>8.06</v>
      </c>
      <c r="AS549">
        <v>0.02</v>
      </c>
      <c r="AT549" t="s">
        <v>56</v>
      </c>
      <c r="AU549">
        <v>891</v>
      </c>
      <c r="AV549">
        <v>78</v>
      </c>
      <c r="AW549" t="s">
        <v>56</v>
      </c>
      <c r="AX549">
        <v>7.75</v>
      </c>
      <c r="AY549">
        <v>0.03</v>
      </c>
      <c r="AZ549" t="s">
        <v>56</v>
      </c>
      <c r="BB549">
        <f>LOG(AU549)</f>
        <v>2.9498777040368749</v>
      </c>
      <c r="BC549">
        <v>14.1</v>
      </c>
      <c r="BD549">
        <v>0.2</v>
      </c>
      <c r="BE549" t="s">
        <v>56</v>
      </c>
      <c r="BF549">
        <v>14.1</v>
      </c>
      <c r="BG549">
        <v>0.1</v>
      </c>
      <c r="BH549" t="s">
        <v>56</v>
      </c>
      <c r="BI549">
        <v>523</v>
      </c>
      <c r="BJ549">
        <v>-0.1</v>
      </c>
      <c r="BK549" t="s">
        <v>56</v>
      </c>
      <c r="BL549" t="s">
        <v>432</v>
      </c>
      <c r="BM549" t="s">
        <v>59</v>
      </c>
      <c r="BN549" t="s">
        <v>60</v>
      </c>
      <c r="BO549" t="s">
        <v>433</v>
      </c>
      <c r="BP549" t="s">
        <v>62</v>
      </c>
      <c r="BR549" t="s">
        <v>63</v>
      </c>
      <c r="BT549">
        <v>0.05</v>
      </c>
      <c r="BU549">
        <v>5.3999999999999999E-2</v>
      </c>
      <c r="BV549">
        <v>0.01</v>
      </c>
      <c r="BW549">
        <f>BV549*SQRT(AK549)</f>
        <v>0.02</v>
      </c>
      <c r="BX549">
        <v>7.0000000000000007E-2</v>
      </c>
      <c r="BY549">
        <v>7.0000000000000007E-2</v>
      </c>
      <c r="BZ549">
        <v>0.01</v>
      </c>
      <c r="CA549">
        <f>BZ549*SQRT(AL549)</f>
        <v>2.2360679774997897E-2</v>
      </c>
      <c r="CB549">
        <v>18</v>
      </c>
      <c r="CC549">
        <v>5</v>
      </c>
      <c r="CD549">
        <v>0.26</v>
      </c>
      <c r="CE549">
        <v>0.1007</v>
      </c>
    </row>
    <row r="550" spans="2:83" hidden="1" x14ac:dyDescent="0.2">
      <c r="D550">
        <v>38</v>
      </c>
      <c r="G550" t="s">
        <v>43</v>
      </c>
      <c r="H550" t="s">
        <v>426</v>
      </c>
      <c r="J550">
        <v>2017</v>
      </c>
      <c r="M550" t="s">
        <v>427</v>
      </c>
      <c r="T550" t="s">
        <v>68</v>
      </c>
      <c r="U550" t="s">
        <v>428</v>
      </c>
      <c r="V550" t="s">
        <v>429</v>
      </c>
      <c r="Z550" t="s">
        <v>177</v>
      </c>
      <c r="AA550" t="s">
        <v>177</v>
      </c>
      <c r="AB550" t="s">
        <v>50</v>
      </c>
      <c r="AC550" t="s">
        <v>108</v>
      </c>
      <c r="AD550" t="s">
        <v>54</v>
      </c>
      <c r="AE550" t="s">
        <v>56</v>
      </c>
      <c r="AF550" t="s">
        <v>52</v>
      </c>
      <c r="AG550" t="s">
        <v>54</v>
      </c>
      <c r="AH550" t="s">
        <v>55</v>
      </c>
      <c r="AK550">
        <v>4</v>
      </c>
      <c r="AL550">
        <v>5</v>
      </c>
      <c r="AN550">
        <v>368</v>
      </c>
      <c r="AO550">
        <v>62</v>
      </c>
      <c r="AP550" t="s">
        <v>56</v>
      </c>
      <c r="AQ550" t="s">
        <v>57</v>
      </c>
      <c r="AR550">
        <v>8.06</v>
      </c>
      <c r="AS550">
        <v>0.02</v>
      </c>
      <c r="AT550" t="s">
        <v>56</v>
      </c>
      <c r="AU550">
        <v>891</v>
      </c>
      <c r="AV550">
        <v>78</v>
      </c>
      <c r="AW550" t="s">
        <v>56</v>
      </c>
      <c r="AX550">
        <v>7.75</v>
      </c>
      <c r="AY550">
        <v>0.03</v>
      </c>
      <c r="AZ550" t="s">
        <v>56</v>
      </c>
      <c r="BB550">
        <f>LOG(AU550)</f>
        <v>2.9498777040368749</v>
      </c>
      <c r="BC550">
        <v>14.1</v>
      </c>
      <c r="BD550">
        <v>0.2</v>
      </c>
      <c r="BE550" t="s">
        <v>56</v>
      </c>
      <c r="BF550">
        <v>14.1</v>
      </c>
      <c r="BG550">
        <v>0.1</v>
      </c>
      <c r="BH550" t="s">
        <v>56</v>
      </c>
      <c r="BI550">
        <v>523</v>
      </c>
      <c r="BJ550">
        <v>-0.1</v>
      </c>
      <c r="BK550" t="s">
        <v>56</v>
      </c>
      <c r="BL550" t="s">
        <v>430</v>
      </c>
      <c r="BM550" t="s">
        <v>75</v>
      </c>
      <c r="BN550" t="s">
        <v>60</v>
      </c>
      <c r="BO550" t="s">
        <v>431</v>
      </c>
      <c r="BP550" t="s">
        <v>77</v>
      </c>
      <c r="BR550" t="s">
        <v>63</v>
      </c>
      <c r="BT550">
        <v>1.29</v>
      </c>
      <c r="BU550">
        <v>1.29</v>
      </c>
      <c r="BV550">
        <v>0.1</v>
      </c>
      <c r="BW550">
        <f>BV550*SQRT(AK550)</f>
        <v>0.2</v>
      </c>
      <c r="BX550">
        <v>1.93</v>
      </c>
      <c r="BY550">
        <v>1.93</v>
      </c>
      <c r="BZ550">
        <v>0.13</v>
      </c>
      <c r="CA550">
        <f>BZ550*SQRT(AL550)</f>
        <v>0.29068883707497267</v>
      </c>
      <c r="CB550">
        <v>18</v>
      </c>
      <c r="CC550">
        <v>5</v>
      </c>
      <c r="CD550">
        <v>0.40300000000000002</v>
      </c>
      <c r="CE550">
        <v>1.0500000000000001E-2</v>
      </c>
    </row>
    <row r="551" spans="2:83" hidden="1" x14ac:dyDescent="0.2">
      <c r="D551">
        <v>38</v>
      </c>
      <c r="G551" t="s">
        <v>43</v>
      </c>
      <c r="H551" t="s">
        <v>426</v>
      </c>
      <c r="J551">
        <v>2017</v>
      </c>
      <c r="M551" t="s">
        <v>427</v>
      </c>
      <c r="T551" t="s">
        <v>68</v>
      </c>
      <c r="U551" t="s">
        <v>428</v>
      </c>
      <c r="V551" t="s">
        <v>429</v>
      </c>
      <c r="Z551" t="s">
        <v>177</v>
      </c>
      <c r="AA551" t="s">
        <v>177</v>
      </c>
      <c r="AB551" t="s">
        <v>50</v>
      </c>
      <c r="AC551" t="s">
        <v>108</v>
      </c>
      <c r="AD551" t="s">
        <v>54</v>
      </c>
      <c r="AE551" t="s">
        <v>56</v>
      </c>
      <c r="AF551" t="s">
        <v>54</v>
      </c>
      <c r="AG551" t="s">
        <v>52</v>
      </c>
      <c r="AH551" t="s">
        <v>65</v>
      </c>
      <c r="AK551">
        <v>4</v>
      </c>
      <c r="AL551">
        <v>5</v>
      </c>
      <c r="AN551">
        <v>368</v>
      </c>
      <c r="AO551">
        <v>62</v>
      </c>
      <c r="AP551" t="s">
        <v>56</v>
      </c>
      <c r="AQ551" t="s">
        <v>57</v>
      </c>
      <c r="AR551">
        <v>8.06</v>
      </c>
      <c r="AS551">
        <v>0.02</v>
      </c>
      <c r="AT551" t="s">
        <v>56</v>
      </c>
      <c r="AU551">
        <v>436</v>
      </c>
      <c r="AV551">
        <v>74</v>
      </c>
      <c r="AW551" t="s">
        <v>56</v>
      </c>
      <c r="AX551">
        <v>8.0299999999999994</v>
      </c>
      <c r="AY551">
        <v>0.04</v>
      </c>
      <c r="AZ551" t="s">
        <v>56</v>
      </c>
      <c r="BB551">
        <f>LOG(AU551)</f>
        <v>2.6394864892685859</v>
      </c>
      <c r="BC551">
        <v>14.1</v>
      </c>
      <c r="BD551">
        <v>0.2</v>
      </c>
      <c r="BE551" t="s">
        <v>56</v>
      </c>
      <c r="BF551">
        <v>18.100000000000001</v>
      </c>
      <c r="BG551">
        <v>0.1</v>
      </c>
      <c r="BH551" t="s">
        <v>56</v>
      </c>
      <c r="BI551">
        <v>68</v>
      </c>
      <c r="BJ551">
        <v>4</v>
      </c>
      <c r="BK551" t="s">
        <v>56</v>
      </c>
      <c r="BL551" t="s">
        <v>432</v>
      </c>
      <c r="BM551" t="s">
        <v>59</v>
      </c>
      <c r="BN551" t="s">
        <v>60</v>
      </c>
      <c r="BO551" t="s">
        <v>433</v>
      </c>
      <c r="BP551" t="s">
        <v>62</v>
      </c>
      <c r="BR551" t="s">
        <v>63</v>
      </c>
      <c r="BT551">
        <v>0.05</v>
      </c>
      <c r="BU551">
        <v>5.3999999999999999E-2</v>
      </c>
      <c r="BV551">
        <v>0.01</v>
      </c>
      <c r="BW551">
        <f>BV551*SQRT(AK551)</f>
        <v>0.02</v>
      </c>
      <c r="BX551">
        <v>0.08</v>
      </c>
      <c r="BY551">
        <v>8.2000000000000003E-2</v>
      </c>
      <c r="BZ551">
        <v>0.01</v>
      </c>
      <c r="CA551">
        <f>BZ551*SQRT(AL551)</f>
        <v>2.2360679774997897E-2</v>
      </c>
      <c r="CB551">
        <v>18</v>
      </c>
      <c r="CC551">
        <v>5</v>
      </c>
      <c r="CD551">
        <v>0.41799999999999998</v>
      </c>
      <c r="CE551">
        <v>7.6700000000000004E-2</v>
      </c>
    </row>
    <row r="552" spans="2:83" hidden="1" x14ac:dyDescent="0.2">
      <c r="D552">
        <v>38</v>
      </c>
      <c r="G552" t="s">
        <v>43</v>
      </c>
      <c r="H552" t="s">
        <v>426</v>
      </c>
      <c r="J552">
        <v>2017</v>
      </c>
      <c r="M552" t="s">
        <v>427</v>
      </c>
      <c r="T552" t="s">
        <v>68</v>
      </c>
      <c r="U552" t="s">
        <v>428</v>
      </c>
      <c r="V552" t="s">
        <v>429</v>
      </c>
      <c r="Z552" t="s">
        <v>177</v>
      </c>
      <c r="AA552" t="s">
        <v>177</v>
      </c>
      <c r="AB552" t="s">
        <v>50</v>
      </c>
      <c r="AC552" t="s">
        <v>108</v>
      </c>
      <c r="AD552" t="s">
        <v>54</v>
      </c>
      <c r="AE552" t="s">
        <v>56</v>
      </c>
      <c r="AF552" t="s">
        <v>52</v>
      </c>
      <c r="AG552" t="s">
        <v>54</v>
      </c>
      <c r="AH552" t="s">
        <v>55</v>
      </c>
      <c r="AK552">
        <v>4</v>
      </c>
      <c r="AL552">
        <v>5</v>
      </c>
      <c r="AN552">
        <v>368</v>
      </c>
      <c r="AO552">
        <v>62</v>
      </c>
      <c r="AP552" t="s">
        <v>56</v>
      </c>
      <c r="AQ552" t="s">
        <v>57</v>
      </c>
      <c r="AR552">
        <v>8.06</v>
      </c>
      <c r="AS552">
        <v>0.02</v>
      </c>
      <c r="AT552" t="s">
        <v>56</v>
      </c>
      <c r="AU552">
        <v>891</v>
      </c>
      <c r="AV552">
        <v>78</v>
      </c>
      <c r="AW552" t="s">
        <v>56</v>
      </c>
      <c r="AX552">
        <v>7.75</v>
      </c>
      <c r="AY552">
        <v>0.03</v>
      </c>
      <c r="AZ552" t="s">
        <v>56</v>
      </c>
      <c r="BB552">
        <f>LOG(AU552)</f>
        <v>2.9498777040368749</v>
      </c>
      <c r="BC552">
        <v>14.1</v>
      </c>
      <c r="BD552">
        <v>0.2</v>
      </c>
      <c r="BE552" t="s">
        <v>56</v>
      </c>
      <c r="BF552">
        <v>14.1</v>
      </c>
      <c r="BG552">
        <v>0.1</v>
      </c>
      <c r="BH552" t="s">
        <v>56</v>
      </c>
      <c r="BI552">
        <v>523</v>
      </c>
      <c r="BJ552">
        <v>-0.1</v>
      </c>
      <c r="BK552" t="s">
        <v>56</v>
      </c>
      <c r="BL552" t="s">
        <v>262</v>
      </c>
      <c r="BM552" t="s">
        <v>262</v>
      </c>
      <c r="BN552" t="s">
        <v>81</v>
      </c>
      <c r="BO552" t="s">
        <v>434</v>
      </c>
      <c r="BP552" t="s">
        <v>92</v>
      </c>
      <c r="BR552" t="s">
        <v>63</v>
      </c>
      <c r="BT552">
        <v>0.01</v>
      </c>
      <c r="BU552">
        <v>9.1000000000000004E-3</v>
      </c>
      <c r="BV552">
        <v>0</v>
      </c>
      <c r="BW552">
        <f>BV552*SQRT(AK552)</f>
        <v>0</v>
      </c>
      <c r="BX552">
        <v>0.02</v>
      </c>
      <c r="BY552">
        <v>1.66E-2</v>
      </c>
      <c r="BZ552">
        <v>0</v>
      </c>
      <c r="CA552">
        <f>BZ552*SQRT(AL552)</f>
        <v>0</v>
      </c>
      <c r="CB552">
        <v>18</v>
      </c>
      <c r="CC552">
        <v>5</v>
      </c>
      <c r="CD552">
        <v>0.60099999999999998</v>
      </c>
      <c r="CE552">
        <v>0.18279999999999999</v>
      </c>
    </row>
    <row r="553" spans="2:83" hidden="1" x14ac:dyDescent="0.2">
      <c r="D553">
        <v>38</v>
      </c>
      <c r="G553" t="s">
        <v>43</v>
      </c>
      <c r="H553" t="s">
        <v>426</v>
      </c>
      <c r="J553">
        <v>2017</v>
      </c>
      <c r="M553" t="s">
        <v>427</v>
      </c>
      <c r="T553" t="s">
        <v>68</v>
      </c>
      <c r="U553" t="s">
        <v>428</v>
      </c>
      <c r="V553" t="s">
        <v>429</v>
      </c>
      <c r="Z553" t="s">
        <v>177</v>
      </c>
      <c r="AA553" t="s">
        <v>177</v>
      </c>
      <c r="AB553" t="s">
        <v>50</v>
      </c>
      <c r="AC553" t="s">
        <v>108</v>
      </c>
      <c r="AD553" t="s">
        <v>54</v>
      </c>
      <c r="AE553" t="s">
        <v>56</v>
      </c>
      <c r="AF553" t="s">
        <v>52</v>
      </c>
      <c r="AG553" t="s">
        <v>52</v>
      </c>
      <c r="AH553" t="s">
        <v>64</v>
      </c>
      <c r="AK553">
        <v>4</v>
      </c>
      <c r="AL553">
        <v>5</v>
      </c>
      <c r="AN553">
        <v>368</v>
      </c>
      <c r="AO553">
        <v>62</v>
      </c>
      <c r="AP553" t="s">
        <v>56</v>
      </c>
      <c r="AQ553" t="s">
        <v>57</v>
      </c>
      <c r="AR553">
        <v>8.06</v>
      </c>
      <c r="AS553">
        <v>0.02</v>
      </c>
      <c r="AT553" t="s">
        <v>56</v>
      </c>
      <c r="AU553">
        <v>969</v>
      </c>
      <c r="AV553">
        <v>74</v>
      </c>
      <c r="AW553" t="s">
        <v>56</v>
      </c>
      <c r="AX553">
        <v>7.72</v>
      </c>
      <c r="AY553">
        <v>0.02</v>
      </c>
      <c r="AZ553" t="s">
        <v>56</v>
      </c>
      <c r="BB553">
        <f>LOG(AU553)</f>
        <v>2.9863237770507651</v>
      </c>
      <c r="BC553">
        <v>14.1</v>
      </c>
      <c r="BD553">
        <v>0.2</v>
      </c>
      <c r="BE553" t="s">
        <v>56</v>
      </c>
      <c r="BF553">
        <v>18.100000000000001</v>
      </c>
      <c r="BG553">
        <v>0.1</v>
      </c>
      <c r="BH553" t="s">
        <v>56</v>
      </c>
      <c r="BI553">
        <v>602</v>
      </c>
      <c r="BJ553">
        <v>4</v>
      </c>
      <c r="BK553" t="s">
        <v>56</v>
      </c>
      <c r="BL553" t="s">
        <v>432</v>
      </c>
      <c r="BM553" t="s">
        <v>59</v>
      </c>
      <c r="BN553" t="s">
        <v>60</v>
      </c>
      <c r="BO553" t="s">
        <v>433</v>
      </c>
      <c r="BP553" t="s">
        <v>62</v>
      </c>
      <c r="BR553" t="s">
        <v>63</v>
      </c>
      <c r="BT553">
        <v>0.05</v>
      </c>
      <c r="BU553">
        <v>5.3999999999999999E-2</v>
      </c>
      <c r="BV553">
        <v>0.01</v>
      </c>
      <c r="BW553">
        <f>BV553*SQRT(AK553)</f>
        <v>0.02</v>
      </c>
      <c r="BX553">
        <v>0.11</v>
      </c>
      <c r="BY553">
        <v>0.10970000000000001</v>
      </c>
      <c r="BZ553">
        <v>0.01</v>
      </c>
      <c r="CA553">
        <f>BZ553*SQRT(AL553)</f>
        <v>2.2360679774997897E-2</v>
      </c>
      <c r="CB553">
        <v>18</v>
      </c>
      <c r="CC553">
        <v>5</v>
      </c>
      <c r="CD553">
        <v>0.70899999999999996</v>
      </c>
      <c r="CE553">
        <v>7.3400000000000007E-2</v>
      </c>
    </row>
    <row r="554" spans="2:83" hidden="1" x14ac:dyDescent="0.2">
      <c r="D554">
        <v>38</v>
      </c>
      <c r="G554" t="s">
        <v>43</v>
      </c>
      <c r="H554" t="s">
        <v>426</v>
      </c>
      <c r="J554">
        <v>2017</v>
      </c>
      <c r="M554" t="s">
        <v>427</v>
      </c>
      <c r="T554" t="s">
        <v>68</v>
      </c>
      <c r="U554" t="s">
        <v>428</v>
      </c>
      <c r="V554" t="s">
        <v>429</v>
      </c>
      <c r="Z554" t="s">
        <v>177</v>
      </c>
      <c r="AA554" t="s">
        <v>177</v>
      </c>
      <c r="AB554" t="s">
        <v>50</v>
      </c>
      <c r="AC554" t="s">
        <v>108</v>
      </c>
      <c r="AD554" t="s">
        <v>54</v>
      </c>
      <c r="AE554" t="s">
        <v>56</v>
      </c>
      <c r="AF554" t="s">
        <v>52</v>
      </c>
      <c r="AG554" t="s">
        <v>52</v>
      </c>
      <c r="AH554" t="s">
        <v>64</v>
      </c>
      <c r="AK554">
        <v>4</v>
      </c>
      <c r="AL554">
        <v>5</v>
      </c>
      <c r="AN554">
        <v>368</v>
      </c>
      <c r="AO554">
        <v>62</v>
      </c>
      <c r="AP554" t="s">
        <v>56</v>
      </c>
      <c r="AQ554" t="s">
        <v>57</v>
      </c>
      <c r="AR554">
        <v>8.06</v>
      </c>
      <c r="AS554">
        <v>0.02</v>
      </c>
      <c r="AT554" t="s">
        <v>56</v>
      </c>
      <c r="AU554">
        <v>969</v>
      </c>
      <c r="AV554">
        <v>74</v>
      </c>
      <c r="AW554" t="s">
        <v>56</v>
      </c>
      <c r="AX554">
        <v>7.72</v>
      </c>
      <c r="AY554">
        <v>0.02</v>
      </c>
      <c r="AZ554" t="s">
        <v>56</v>
      </c>
      <c r="BB554">
        <f>LOG(AU554)</f>
        <v>2.9863237770507651</v>
      </c>
      <c r="BC554">
        <v>14.1</v>
      </c>
      <c r="BD554">
        <v>0.2</v>
      </c>
      <c r="BE554" t="s">
        <v>56</v>
      </c>
      <c r="BF554">
        <v>18.100000000000001</v>
      </c>
      <c r="BG554">
        <v>0.1</v>
      </c>
      <c r="BH554" t="s">
        <v>56</v>
      </c>
      <c r="BI554">
        <v>602</v>
      </c>
      <c r="BJ554">
        <v>4</v>
      </c>
      <c r="BK554" t="s">
        <v>56</v>
      </c>
      <c r="BL554" t="s">
        <v>262</v>
      </c>
      <c r="BM554" t="s">
        <v>262</v>
      </c>
      <c r="BN554" t="s">
        <v>81</v>
      </c>
      <c r="BO554" t="s">
        <v>434</v>
      </c>
      <c r="BP554" t="s">
        <v>92</v>
      </c>
      <c r="BR554" t="s">
        <v>63</v>
      </c>
      <c r="BT554">
        <v>0.01</v>
      </c>
      <c r="BU554">
        <v>9.1000000000000004E-3</v>
      </c>
      <c r="BV554">
        <v>0</v>
      </c>
      <c r="BW554">
        <f>BV554*SQRT(AK554)</f>
        <v>0</v>
      </c>
      <c r="BX554">
        <v>0.02</v>
      </c>
      <c r="BY554">
        <v>2.4E-2</v>
      </c>
      <c r="BZ554">
        <v>0</v>
      </c>
      <c r="CA554">
        <f>BZ554*SQRT(AL554)</f>
        <v>0</v>
      </c>
      <c r="CB554">
        <v>18</v>
      </c>
      <c r="CC554">
        <v>5</v>
      </c>
      <c r="CD554">
        <v>0.97</v>
      </c>
      <c r="CE554">
        <v>0.14929999999999999</v>
      </c>
    </row>
    <row r="555" spans="2:83" hidden="1" x14ac:dyDescent="0.2">
      <c r="D555">
        <v>38</v>
      </c>
      <c r="G555" t="s">
        <v>43</v>
      </c>
      <c r="H555" t="s">
        <v>426</v>
      </c>
      <c r="J555">
        <v>2017</v>
      </c>
      <c r="M555" t="s">
        <v>427</v>
      </c>
      <c r="T555" t="s">
        <v>68</v>
      </c>
      <c r="U555" t="s">
        <v>428</v>
      </c>
      <c r="V555" t="s">
        <v>429</v>
      </c>
      <c r="Z555" t="s">
        <v>177</v>
      </c>
      <c r="AA555" t="s">
        <v>177</v>
      </c>
      <c r="AB555" t="s">
        <v>50</v>
      </c>
      <c r="AC555" t="s">
        <v>108</v>
      </c>
      <c r="AD555" t="s">
        <v>54</v>
      </c>
      <c r="AE555" t="s">
        <v>56</v>
      </c>
      <c r="AF555" t="s">
        <v>54</v>
      </c>
      <c r="AG555" t="s">
        <v>52</v>
      </c>
      <c r="AH555" t="s">
        <v>65</v>
      </c>
      <c r="AK555">
        <v>4</v>
      </c>
      <c r="AL555">
        <v>5</v>
      </c>
      <c r="AN555">
        <v>368</v>
      </c>
      <c r="AO555">
        <v>62</v>
      </c>
      <c r="AP555" t="s">
        <v>56</v>
      </c>
      <c r="AQ555" t="s">
        <v>57</v>
      </c>
      <c r="AR555">
        <v>8.06</v>
      </c>
      <c r="AS555">
        <v>0.02</v>
      </c>
      <c r="AT555" t="s">
        <v>56</v>
      </c>
      <c r="AU555">
        <v>436</v>
      </c>
      <c r="AV555">
        <v>74</v>
      </c>
      <c r="AW555" t="s">
        <v>56</v>
      </c>
      <c r="AX555">
        <v>8.0299999999999994</v>
      </c>
      <c r="AY555">
        <v>0.04</v>
      </c>
      <c r="AZ555" t="s">
        <v>56</v>
      </c>
      <c r="BB555">
        <f>LOG(AU555)</f>
        <v>2.6394864892685859</v>
      </c>
      <c r="BC555">
        <v>14.1</v>
      </c>
      <c r="BD555">
        <v>0.2</v>
      </c>
      <c r="BE555" t="s">
        <v>56</v>
      </c>
      <c r="BF555">
        <v>18.100000000000001</v>
      </c>
      <c r="BG555">
        <v>0.1</v>
      </c>
      <c r="BH555" t="s">
        <v>56</v>
      </c>
      <c r="BI555">
        <v>68</v>
      </c>
      <c r="BJ555">
        <v>4</v>
      </c>
      <c r="BK555" t="s">
        <v>56</v>
      </c>
      <c r="BL555" t="s">
        <v>262</v>
      </c>
      <c r="BM555" t="s">
        <v>262</v>
      </c>
      <c r="BN555" t="s">
        <v>81</v>
      </c>
      <c r="BO555" t="s">
        <v>434</v>
      </c>
      <c r="BP555" t="s">
        <v>92</v>
      </c>
      <c r="BR555" t="s">
        <v>63</v>
      </c>
      <c r="BT555">
        <v>0.01</v>
      </c>
      <c r="BU555">
        <v>9.1000000000000004E-3</v>
      </c>
      <c r="BV555">
        <v>0</v>
      </c>
      <c r="BW555">
        <f>BV555*SQRT(AK555)</f>
        <v>0</v>
      </c>
      <c r="BX555">
        <v>0.03</v>
      </c>
      <c r="BY555">
        <v>2.6599999999999999E-2</v>
      </c>
      <c r="BZ555">
        <v>0</v>
      </c>
      <c r="CA555">
        <f>BZ555*SQRT(AL555)</f>
        <v>0</v>
      </c>
      <c r="CB555">
        <v>18</v>
      </c>
      <c r="CC555">
        <v>5</v>
      </c>
      <c r="CD555">
        <v>1.073</v>
      </c>
      <c r="CE555">
        <v>0.15090000000000001</v>
      </c>
    </row>
    <row r="556" spans="2:83" hidden="1" x14ac:dyDescent="0.2">
      <c r="D556">
        <v>39</v>
      </c>
      <c r="G556" t="s">
        <v>43</v>
      </c>
      <c r="H556" t="s">
        <v>435</v>
      </c>
      <c r="J556">
        <v>2014</v>
      </c>
      <c r="M556" t="s">
        <v>436</v>
      </c>
      <c r="T556" t="s">
        <v>68</v>
      </c>
      <c r="U556" t="s">
        <v>266</v>
      </c>
      <c r="V556" t="s">
        <v>437</v>
      </c>
      <c r="Z556" t="s">
        <v>49</v>
      </c>
      <c r="AA556" t="s">
        <v>49</v>
      </c>
      <c r="AB556" t="s">
        <v>50</v>
      </c>
      <c r="AC556" t="s">
        <v>51</v>
      </c>
      <c r="AD556" t="s">
        <v>52</v>
      </c>
      <c r="AE556" t="s">
        <v>53</v>
      </c>
      <c r="AF556" t="s">
        <v>54</v>
      </c>
      <c r="AG556" t="s">
        <v>52</v>
      </c>
      <c r="AH556" t="s">
        <v>65</v>
      </c>
      <c r="AK556">
        <v>18</v>
      </c>
      <c r="AL556">
        <v>18</v>
      </c>
      <c r="AN556">
        <v>466</v>
      </c>
      <c r="AO556" t="s">
        <v>56</v>
      </c>
      <c r="AP556">
        <v>63</v>
      </c>
      <c r="AQ556" t="s">
        <v>109</v>
      </c>
      <c r="AR556">
        <v>7.99</v>
      </c>
      <c r="AS556" t="s">
        <v>56</v>
      </c>
      <c r="AT556">
        <v>0.05</v>
      </c>
      <c r="AU556">
        <v>517</v>
      </c>
      <c r="AV556" t="s">
        <v>56</v>
      </c>
      <c r="AW556">
        <v>41</v>
      </c>
      <c r="AX556">
        <v>7.95</v>
      </c>
      <c r="AY556" t="s">
        <v>56</v>
      </c>
      <c r="AZ556">
        <v>0.03</v>
      </c>
      <c r="BB556">
        <f>LOG(AU556)</f>
        <v>2.7134905430939424</v>
      </c>
      <c r="BC556">
        <v>12.1</v>
      </c>
      <c r="BD556" t="s">
        <v>56</v>
      </c>
      <c r="BE556">
        <v>0.5</v>
      </c>
      <c r="BF556">
        <v>15.8</v>
      </c>
      <c r="BG556" t="s">
        <v>56</v>
      </c>
      <c r="BH556">
        <v>0.3</v>
      </c>
      <c r="BI556">
        <v>51</v>
      </c>
      <c r="BJ556">
        <v>3.7</v>
      </c>
      <c r="BK556" t="s">
        <v>56</v>
      </c>
      <c r="BL556" t="s">
        <v>438</v>
      </c>
      <c r="BM556" t="s">
        <v>98</v>
      </c>
      <c r="BN556" t="s">
        <v>81</v>
      </c>
      <c r="BO556" t="s">
        <v>439</v>
      </c>
      <c r="BP556" t="s">
        <v>100</v>
      </c>
      <c r="BR556" t="s">
        <v>63</v>
      </c>
      <c r="BT556">
        <v>170.1</v>
      </c>
      <c r="BU556">
        <v>170.1</v>
      </c>
      <c r="BV556">
        <v>18.7</v>
      </c>
      <c r="BW556">
        <f>BV556*SQRT(AK556)</f>
        <v>79.337380849130625</v>
      </c>
      <c r="BX556">
        <v>97.2</v>
      </c>
      <c r="BY556">
        <v>97.2</v>
      </c>
      <c r="BZ556">
        <v>10.4</v>
      </c>
      <c r="CA556">
        <f>BZ556*SQRT(AL556)</f>
        <v>44.123463146040564</v>
      </c>
      <c r="CB556">
        <v>180</v>
      </c>
      <c r="CC556">
        <v>5</v>
      </c>
      <c r="CD556">
        <v>-0.56000000000000005</v>
      </c>
      <c r="CE556">
        <v>2.35E-2</v>
      </c>
    </row>
    <row r="557" spans="2:83" hidden="1" x14ac:dyDescent="0.2">
      <c r="D557">
        <v>39</v>
      </c>
      <c r="G557" t="s">
        <v>43</v>
      </c>
      <c r="H557" t="s">
        <v>435</v>
      </c>
      <c r="J557">
        <v>2014</v>
      </c>
      <c r="M557" t="s">
        <v>436</v>
      </c>
      <c r="T557" t="s">
        <v>68</v>
      </c>
      <c r="U557" t="s">
        <v>266</v>
      </c>
      <c r="V557" t="s">
        <v>437</v>
      </c>
      <c r="Z557" t="s">
        <v>49</v>
      </c>
      <c r="AA557" t="s">
        <v>49</v>
      </c>
      <c r="AB557" t="s">
        <v>50</v>
      </c>
      <c r="AC557" t="s">
        <v>51</v>
      </c>
      <c r="AD557" t="s">
        <v>52</v>
      </c>
      <c r="AE557" t="s">
        <v>53</v>
      </c>
      <c r="AF557" t="s">
        <v>52</v>
      </c>
      <c r="AG557" t="s">
        <v>52</v>
      </c>
      <c r="AH557" t="s">
        <v>64</v>
      </c>
      <c r="AK557">
        <v>18</v>
      </c>
      <c r="AL557">
        <v>18</v>
      </c>
      <c r="AN557">
        <v>466</v>
      </c>
      <c r="AO557" t="s">
        <v>56</v>
      </c>
      <c r="AP557">
        <v>63</v>
      </c>
      <c r="AQ557" t="s">
        <v>109</v>
      </c>
      <c r="AR557">
        <v>7.99</v>
      </c>
      <c r="AS557" t="s">
        <v>56</v>
      </c>
      <c r="AT557">
        <v>0.05</v>
      </c>
      <c r="AU557">
        <v>1161</v>
      </c>
      <c r="AV557" t="s">
        <v>56</v>
      </c>
      <c r="AW557">
        <v>137</v>
      </c>
      <c r="AX557">
        <v>7.63</v>
      </c>
      <c r="AY557" t="s">
        <v>56</v>
      </c>
      <c r="AZ557">
        <v>0.05</v>
      </c>
      <c r="BB557">
        <f>LOG(AU557)</f>
        <v>3.064832219738574</v>
      </c>
      <c r="BC557">
        <v>12.1</v>
      </c>
      <c r="BD557" t="s">
        <v>56</v>
      </c>
      <c r="BE557">
        <v>0.5</v>
      </c>
      <c r="BF557">
        <v>16.100000000000001</v>
      </c>
      <c r="BG557" t="s">
        <v>56</v>
      </c>
      <c r="BH557">
        <v>0.3</v>
      </c>
      <c r="BI557">
        <v>696</v>
      </c>
      <c r="BJ557">
        <v>4</v>
      </c>
      <c r="BK557" t="s">
        <v>56</v>
      </c>
      <c r="BL557" t="s">
        <v>438</v>
      </c>
      <c r="BM557" t="s">
        <v>98</v>
      </c>
      <c r="BN557" t="s">
        <v>81</v>
      </c>
      <c r="BO557" t="s">
        <v>439</v>
      </c>
      <c r="BP557" t="s">
        <v>100</v>
      </c>
      <c r="BR557" t="s">
        <v>63</v>
      </c>
      <c r="BT557">
        <v>170.1</v>
      </c>
      <c r="BU557">
        <v>170.1</v>
      </c>
      <c r="BV557">
        <v>18.7</v>
      </c>
      <c r="BW557">
        <f>BV557*SQRT(AK557)</f>
        <v>79.337380849130625</v>
      </c>
      <c r="BX557">
        <v>104.1</v>
      </c>
      <c r="BY557">
        <v>104.1</v>
      </c>
      <c r="BZ557">
        <v>11.8</v>
      </c>
      <c r="CA557">
        <f>BZ557*SQRT(AL557)</f>
        <v>50.063160108007565</v>
      </c>
      <c r="CB557">
        <v>180</v>
      </c>
      <c r="CC557">
        <v>5</v>
      </c>
      <c r="CD557">
        <v>-0.49099999999999999</v>
      </c>
      <c r="CE557">
        <v>2.4899999999999999E-2</v>
      </c>
    </row>
    <row r="558" spans="2:83" hidden="1" x14ac:dyDescent="0.2">
      <c r="D558">
        <v>39</v>
      </c>
      <c r="G558" t="s">
        <v>43</v>
      </c>
      <c r="H558" t="s">
        <v>435</v>
      </c>
      <c r="J558">
        <v>2014</v>
      </c>
      <c r="M558" t="s">
        <v>436</v>
      </c>
      <c r="T558" t="s">
        <v>68</v>
      </c>
      <c r="U558" t="s">
        <v>266</v>
      </c>
      <c r="V558" t="s">
        <v>437</v>
      </c>
      <c r="Z558" t="s">
        <v>49</v>
      </c>
      <c r="AA558" t="s">
        <v>49</v>
      </c>
      <c r="AB558" t="s">
        <v>50</v>
      </c>
      <c r="AC558" t="s">
        <v>51</v>
      </c>
      <c r="AD558" t="s">
        <v>52</v>
      </c>
      <c r="AE558" t="s">
        <v>53</v>
      </c>
      <c r="AF558" t="s">
        <v>54</v>
      </c>
      <c r="AG558" t="s">
        <v>52</v>
      </c>
      <c r="AH558" t="s">
        <v>65</v>
      </c>
      <c r="AK558">
        <v>20</v>
      </c>
      <c r="AL558">
        <v>20</v>
      </c>
      <c r="AN558">
        <v>466</v>
      </c>
      <c r="AO558" t="s">
        <v>56</v>
      </c>
      <c r="AP558">
        <v>63</v>
      </c>
      <c r="AQ558" t="s">
        <v>109</v>
      </c>
      <c r="AR558">
        <v>7.99</v>
      </c>
      <c r="AS558" t="s">
        <v>56</v>
      </c>
      <c r="AT558">
        <v>0.05</v>
      </c>
      <c r="AU558">
        <v>517</v>
      </c>
      <c r="AV558" t="s">
        <v>56</v>
      </c>
      <c r="AW558">
        <v>41</v>
      </c>
      <c r="AX558">
        <v>7.95</v>
      </c>
      <c r="AY558" t="s">
        <v>56</v>
      </c>
      <c r="AZ558">
        <v>0.03</v>
      </c>
      <c r="BB558">
        <f>LOG(AU558)</f>
        <v>2.7134905430939424</v>
      </c>
      <c r="BC558">
        <v>12.1</v>
      </c>
      <c r="BD558" t="s">
        <v>56</v>
      </c>
      <c r="BE558">
        <v>0.5</v>
      </c>
      <c r="BF558">
        <v>15.8</v>
      </c>
      <c r="BG558" t="s">
        <v>56</v>
      </c>
      <c r="BH558">
        <v>0.3</v>
      </c>
      <c r="BI558">
        <v>51</v>
      </c>
      <c r="BJ558">
        <v>3.7</v>
      </c>
      <c r="BK558" t="s">
        <v>56</v>
      </c>
      <c r="BL558" t="s">
        <v>365</v>
      </c>
      <c r="BM558" t="s">
        <v>365</v>
      </c>
      <c r="BN558" t="s">
        <v>81</v>
      </c>
      <c r="BO558" t="s">
        <v>56</v>
      </c>
      <c r="BP558" t="s">
        <v>92</v>
      </c>
      <c r="BR558" t="s">
        <v>63</v>
      </c>
      <c r="BT558">
        <v>4.08</v>
      </c>
      <c r="BU558">
        <v>4.08</v>
      </c>
      <c r="BV558">
        <v>0.25</v>
      </c>
      <c r="BW558">
        <f>BV558*SQRT(AK558)</f>
        <v>1.1180339887498949</v>
      </c>
      <c r="BX558">
        <v>2.9</v>
      </c>
      <c r="BY558">
        <v>2.9</v>
      </c>
      <c r="BZ558">
        <v>0.18</v>
      </c>
      <c r="CA558">
        <f>BZ558*SQRT(AL558)</f>
        <v>0.80498447189992428</v>
      </c>
      <c r="CB558">
        <v>180</v>
      </c>
      <c r="CC558">
        <v>5</v>
      </c>
      <c r="CD558">
        <v>-0.34100000000000003</v>
      </c>
      <c r="CE558">
        <v>7.6E-3</v>
      </c>
    </row>
    <row r="559" spans="2:83" hidden="1" x14ac:dyDescent="0.2">
      <c r="D559">
        <v>39</v>
      </c>
      <c r="G559" t="s">
        <v>43</v>
      </c>
      <c r="H559" t="s">
        <v>435</v>
      </c>
      <c r="J559">
        <v>2014</v>
      </c>
      <c r="M559" t="s">
        <v>436</v>
      </c>
      <c r="T559" t="s">
        <v>68</v>
      </c>
      <c r="U559" t="s">
        <v>266</v>
      </c>
      <c r="V559" t="s">
        <v>437</v>
      </c>
      <c r="Z559" t="s">
        <v>49</v>
      </c>
      <c r="AA559" t="s">
        <v>49</v>
      </c>
      <c r="AB559" t="s">
        <v>50</v>
      </c>
      <c r="AC559" t="s">
        <v>51</v>
      </c>
      <c r="AD559" t="s">
        <v>52</v>
      </c>
      <c r="AE559" t="s">
        <v>53</v>
      </c>
      <c r="AF559" t="s">
        <v>52</v>
      </c>
      <c r="AG559" t="s">
        <v>52</v>
      </c>
      <c r="AH559" t="s">
        <v>64</v>
      </c>
      <c r="AK559">
        <v>20</v>
      </c>
      <c r="AL559">
        <v>20</v>
      </c>
      <c r="AN559">
        <v>466</v>
      </c>
      <c r="AO559" t="s">
        <v>56</v>
      </c>
      <c r="AP559">
        <v>63</v>
      </c>
      <c r="AQ559" t="s">
        <v>109</v>
      </c>
      <c r="AR559">
        <v>7.99</v>
      </c>
      <c r="AS559" t="s">
        <v>56</v>
      </c>
      <c r="AT559">
        <v>0.05</v>
      </c>
      <c r="AU559">
        <v>1161</v>
      </c>
      <c r="AV559" t="s">
        <v>56</v>
      </c>
      <c r="AW559">
        <v>137</v>
      </c>
      <c r="AX559">
        <v>7.63</v>
      </c>
      <c r="AY559" t="s">
        <v>56</v>
      </c>
      <c r="AZ559">
        <v>0.05</v>
      </c>
      <c r="BB559">
        <f>LOG(AU559)</f>
        <v>3.064832219738574</v>
      </c>
      <c r="BC559">
        <v>12.1</v>
      </c>
      <c r="BD559" t="s">
        <v>56</v>
      </c>
      <c r="BE559">
        <v>0.5</v>
      </c>
      <c r="BF559">
        <v>16.100000000000001</v>
      </c>
      <c r="BG559" t="s">
        <v>56</v>
      </c>
      <c r="BH559">
        <v>0.3</v>
      </c>
      <c r="BI559">
        <v>696</v>
      </c>
      <c r="BJ559">
        <v>4</v>
      </c>
      <c r="BK559" t="s">
        <v>56</v>
      </c>
      <c r="BL559" t="s">
        <v>365</v>
      </c>
      <c r="BM559" t="s">
        <v>365</v>
      </c>
      <c r="BN559" t="s">
        <v>81</v>
      </c>
      <c r="BO559" t="s">
        <v>56</v>
      </c>
      <c r="BP559" t="s">
        <v>92</v>
      </c>
      <c r="BR559" t="s">
        <v>63</v>
      </c>
      <c r="BT559">
        <v>4.08</v>
      </c>
      <c r="BU559">
        <v>4.08</v>
      </c>
      <c r="BV559">
        <v>0.25</v>
      </c>
      <c r="BW559">
        <f>BV559*SQRT(AK559)</f>
        <v>1.1180339887498949</v>
      </c>
      <c r="BX559">
        <v>3.27</v>
      </c>
      <c r="BY559">
        <v>3.27</v>
      </c>
      <c r="BZ559">
        <v>0.19</v>
      </c>
      <c r="CA559">
        <f>BZ559*SQRT(AL559)</f>
        <v>0.84970583144992018</v>
      </c>
      <c r="CB559">
        <v>180</v>
      </c>
      <c r="CC559">
        <v>5</v>
      </c>
      <c r="CD559">
        <v>-0.221</v>
      </c>
      <c r="CE559">
        <v>7.1000000000000004E-3</v>
      </c>
    </row>
    <row r="560" spans="2:83" hidden="1" x14ac:dyDescent="0.2">
      <c r="D560">
        <v>39</v>
      </c>
      <c r="G560" t="s">
        <v>43</v>
      </c>
      <c r="H560" t="s">
        <v>435</v>
      </c>
      <c r="J560">
        <v>2014</v>
      </c>
      <c r="M560" t="s">
        <v>436</v>
      </c>
      <c r="T560" t="s">
        <v>68</v>
      </c>
      <c r="U560" t="s">
        <v>266</v>
      </c>
      <c r="V560" t="s">
        <v>437</v>
      </c>
      <c r="Z560" t="s">
        <v>49</v>
      </c>
      <c r="AA560" t="s">
        <v>49</v>
      </c>
      <c r="AB560" t="s">
        <v>50</v>
      </c>
      <c r="AC560" t="s">
        <v>51</v>
      </c>
      <c r="AD560" t="s">
        <v>52</v>
      </c>
      <c r="AE560" t="s">
        <v>53</v>
      </c>
      <c r="AF560" t="s">
        <v>54</v>
      </c>
      <c r="AG560" t="s">
        <v>52</v>
      </c>
      <c r="AH560" t="s">
        <v>65</v>
      </c>
      <c r="AK560">
        <v>4</v>
      </c>
      <c r="AL560">
        <v>4</v>
      </c>
      <c r="AN560">
        <v>466</v>
      </c>
      <c r="AO560" t="s">
        <v>56</v>
      </c>
      <c r="AP560">
        <v>63</v>
      </c>
      <c r="AQ560" t="s">
        <v>109</v>
      </c>
      <c r="AR560">
        <v>7.99</v>
      </c>
      <c r="AS560" t="s">
        <v>56</v>
      </c>
      <c r="AT560">
        <v>0.05</v>
      </c>
      <c r="AU560">
        <v>517</v>
      </c>
      <c r="AV560" t="s">
        <v>56</v>
      </c>
      <c r="AW560">
        <v>41</v>
      </c>
      <c r="AX560">
        <v>7.95</v>
      </c>
      <c r="AY560" t="s">
        <v>56</v>
      </c>
      <c r="AZ560">
        <v>0.03</v>
      </c>
      <c r="BB560">
        <f>LOG(AU560)</f>
        <v>2.7134905430939424</v>
      </c>
      <c r="BC560">
        <v>12.1</v>
      </c>
      <c r="BD560" t="s">
        <v>56</v>
      </c>
      <c r="BE560">
        <v>0.5</v>
      </c>
      <c r="BF560">
        <v>15.8</v>
      </c>
      <c r="BG560" t="s">
        <v>56</v>
      </c>
      <c r="BH560">
        <v>0.3</v>
      </c>
      <c r="BI560">
        <v>51</v>
      </c>
      <c r="BJ560">
        <v>3.7</v>
      </c>
      <c r="BK560" t="s">
        <v>56</v>
      </c>
      <c r="BL560" t="s">
        <v>440</v>
      </c>
      <c r="BM560" t="s">
        <v>440</v>
      </c>
      <c r="BN560" t="s">
        <v>60</v>
      </c>
      <c r="BO560" t="s">
        <v>56</v>
      </c>
      <c r="BP560" t="s">
        <v>234</v>
      </c>
      <c r="BR560" t="s">
        <v>63</v>
      </c>
      <c r="BT560">
        <v>2.1</v>
      </c>
      <c r="BU560">
        <v>2.1</v>
      </c>
      <c r="BV560">
        <v>0.48</v>
      </c>
      <c r="BW560">
        <f>BV560*SQRT(AK560)</f>
        <v>0.96</v>
      </c>
      <c r="BX560">
        <v>1.7</v>
      </c>
      <c r="BY560">
        <v>1.7</v>
      </c>
      <c r="BZ560">
        <v>0.15</v>
      </c>
      <c r="CA560">
        <f>BZ560*SQRT(AL560)</f>
        <v>0.3</v>
      </c>
      <c r="CB560">
        <v>180</v>
      </c>
      <c r="CC560">
        <v>5</v>
      </c>
      <c r="CD560">
        <v>-0.21099999999999999</v>
      </c>
      <c r="CE560">
        <v>0.06</v>
      </c>
    </row>
    <row r="561" spans="1:84" hidden="1" x14ac:dyDescent="0.2">
      <c r="D561">
        <v>39</v>
      </c>
      <c r="G561" t="s">
        <v>43</v>
      </c>
      <c r="H561" t="s">
        <v>435</v>
      </c>
      <c r="J561">
        <v>2014</v>
      </c>
      <c r="M561" t="s">
        <v>436</v>
      </c>
      <c r="T561" t="s">
        <v>68</v>
      </c>
      <c r="U561" t="s">
        <v>266</v>
      </c>
      <c r="V561" t="s">
        <v>437</v>
      </c>
      <c r="Z561" t="s">
        <v>49</v>
      </c>
      <c r="AA561" t="s">
        <v>49</v>
      </c>
      <c r="AB561" t="s">
        <v>50</v>
      </c>
      <c r="AC561" t="s">
        <v>51</v>
      </c>
      <c r="AD561" t="s">
        <v>52</v>
      </c>
      <c r="AE561" t="s">
        <v>53</v>
      </c>
      <c r="AF561" t="s">
        <v>52</v>
      </c>
      <c r="AG561" t="s">
        <v>54</v>
      </c>
      <c r="AH561" t="s">
        <v>55</v>
      </c>
      <c r="AK561">
        <v>18</v>
      </c>
      <c r="AL561">
        <v>18</v>
      </c>
      <c r="AN561">
        <v>466</v>
      </c>
      <c r="AO561" t="s">
        <v>56</v>
      </c>
      <c r="AP561">
        <v>63</v>
      </c>
      <c r="AQ561" t="s">
        <v>109</v>
      </c>
      <c r="AR561">
        <v>7.99</v>
      </c>
      <c r="AS561" t="s">
        <v>56</v>
      </c>
      <c r="AT561">
        <v>0.05</v>
      </c>
      <c r="AU561">
        <v>1088</v>
      </c>
      <c r="AV561" t="s">
        <v>56</v>
      </c>
      <c r="AW561">
        <v>170</v>
      </c>
      <c r="AX561">
        <v>7.65</v>
      </c>
      <c r="AY561" t="s">
        <v>56</v>
      </c>
      <c r="AZ561">
        <v>0.06</v>
      </c>
      <c r="BB561">
        <f>LOG(AU561)</f>
        <v>3.0366288953621612</v>
      </c>
      <c r="BC561">
        <v>12.1</v>
      </c>
      <c r="BD561" t="s">
        <v>56</v>
      </c>
      <c r="BE561">
        <v>0.5</v>
      </c>
      <c r="BF561">
        <v>12.2</v>
      </c>
      <c r="BG561" t="s">
        <v>56</v>
      </c>
      <c r="BH561">
        <v>0.5</v>
      </c>
      <c r="BI561">
        <v>622</v>
      </c>
      <c r="BJ561">
        <v>0</v>
      </c>
      <c r="BK561" t="s">
        <v>56</v>
      </c>
      <c r="BL561" t="s">
        <v>438</v>
      </c>
      <c r="BM561" t="s">
        <v>98</v>
      </c>
      <c r="BN561" t="s">
        <v>81</v>
      </c>
      <c r="BO561" t="s">
        <v>439</v>
      </c>
      <c r="BP561" t="s">
        <v>100</v>
      </c>
      <c r="BR561" t="s">
        <v>63</v>
      </c>
      <c r="BT561">
        <v>170.1</v>
      </c>
      <c r="BU561">
        <v>170.1</v>
      </c>
      <c r="BV561">
        <v>18.7</v>
      </c>
      <c r="BW561">
        <f>BV561*SQRT(AK561)</f>
        <v>79.337380849130625</v>
      </c>
      <c r="BX561">
        <v>139.5</v>
      </c>
      <c r="BY561">
        <v>139.5</v>
      </c>
      <c r="BZ561">
        <v>15.3</v>
      </c>
      <c r="CA561">
        <f>BZ561*SQRT(AL561)</f>
        <v>64.912402512925055</v>
      </c>
      <c r="CB561">
        <v>180</v>
      </c>
      <c r="CC561">
        <v>5</v>
      </c>
      <c r="CD561">
        <v>-0.19800000000000001</v>
      </c>
      <c r="CE561">
        <v>2.41E-2</v>
      </c>
    </row>
    <row r="562" spans="1:84" hidden="1" x14ac:dyDescent="0.2">
      <c r="D562">
        <v>39</v>
      </c>
      <c r="G562" t="s">
        <v>43</v>
      </c>
      <c r="H562" t="s">
        <v>435</v>
      </c>
      <c r="J562">
        <v>2014</v>
      </c>
      <c r="M562" t="s">
        <v>436</v>
      </c>
      <c r="T562" t="s">
        <v>68</v>
      </c>
      <c r="U562" t="s">
        <v>266</v>
      </c>
      <c r="V562" t="s">
        <v>437</v>
      </c>
      <c r="Z562" t="s">
        <v>49</v>
      </c>
      <c r="AA562" t="s">
        <v>49</v>
      </c>
      <c r="AB562" t="s">
        <v>50</v>
      </c>
      <c r="AC562" t="s">
        <v>51</v>
      </c>
      <c r="AD562" t="s">
        <v>52</v>
      </c>
      <c r="AE562" t="s">
        <v>53</v>
      </c>
      <c r="AF562" t="s">
        <v>52</v>
      </c>
      <c r="AG562" t="s">
        <v>54</v>
      </c>
      <c r="AH562" t="s">
        <v>55</v>
      </c>
      <c r="AK562">
        <v>20</v>
      </c>
      <c r="AL562">
        <v>20</v>
      </c>
      <c r="AN562">
        <v>466</v>
      </c>
      <c r="AO562" t="s">
        <v>56</v>
      </c>
      <c r="AP562">
        <v>63</v>
      </c>
      <c r="AQ562" t="s">
        <v>109</v>
      </c>
      <c r="AR562">
        <v>7.99</v>
      </c>
      <c r="AS562" t="s">
        <v>56</v>
      </c>
      <c r="AT562">
        <v>0.05</v>
      </c>
      <c r="AU562">
        <v>1088</v>
      </c>
      <c r="AV562" t="s">
        <v>56</v>
      </c>
      <c r="AW562">
        <v>170</v>
      </c>
      <c r="AX562">
        <v>7.65</v>
      </c>
      <c r="AY562" t="s">
        <v>56</v>
      </c>
      <c r="AZ562">
        <v>0.06</v>
      </c>
      <c r="BB562">
        <f>LOG(AU562)</f>
        <v>3.0366288953621612</v>
      </c>
      <c r="BC562">
        <v>12.1</v>
      </c>
      <c r="BD562" t="s">
        <v>56</v>
      </c>
      <c r="BE562">
        <v>0.5</v>
      </c>
      <c r="BF562">
        <v>12.2</v>
      </c>
      <c r="BG562" t="s">
        <v>56</v>
      </c>
      <c r="BH562">
        <v>0.5</v>
      </c>
      <c r="BI562">
        <v>622</v>
      </c>
      <c r="BJ562">
        <v>0</v>
      </c>
      <c r="BK562" t="s">
        <v>56</v>
      </c>
      <c r="BL562" t="s">
        <v>365</v>
      </c>
      <c r="BM562" t="s">
        <v>365</v>
      </c>
      <c r="BN562" t="s">
        <v>81</v>
      </c>
      <c r="BO562" t="s">
        <v>56</v>
      </c>
      <c r="BP562" t="s">
        <v>92</v>
      </c>
      <c r="BR562" t="s">
        <v>63</v>
      </c>
      <c r="BT562">
        <v>4.08</v>
      </c>
      <c r="BU562">
        <v>4.08</v>
      </c>
      <c r="BV562">
        <v>0.25</v>
      </c>
      <c r="BW562">
        <f>BV562*SQRT(AK562)</f>
        <v>1.1180339887498949</v>
      </c>
      <c r="BX562">
        <v>3.8</v>
      </c>
      <c r="BY562">
        <v>3.8</v>
      </c>
      <c r="BZ562">
        <v>0.19</v>
      </c>
      <c r="CA562">
        <f>BZ562*SQRT(AL562)</f>
        <v>0.84970583144992018</v>
      </c>
      <c r="CB562">
        <v>180</v>
      </c>
      <c r="CC562">
        <v>5</v>
      </c>
      <c r="CD562">
        <v>-7.0999999999999994E-2</v>
      </c>
      <c r="CE562">
        <v>6.3E-3</v>
      </c>
    </row>
    <row r="563" spans="1:84" hidden="1" x14ac:dyDescent="0.2">
      <c r="D563">
        <v>39</v>
      </c>
      <c r="G563" t="s">
        <v>43</v>
      </c>
      <c r="H563" t="s">
        <v>435</v>
      </c>
      <c r="J563">
        <v>2014</v>
      </c>
      <c r="M563" t="s">
        <v>436</v>
      </c>
      <c r="T563" t="s">
        <v>68</v>
      </c>
      <c r="U563" t="s">
        <v>266</v>
      </c>
      <c r="V563" t="s">
        <v>437</v>
      </c>
      <c r="Z563" t="s">
        <v>49</v>
      </c>
      <c r="AA563" t="s">
        <v>49</v>
      </c>
      <c r="AB563" t="s">
        <v>50</v>
      </c>
      <c r="AC563" t="s">
        <v>51</v>
      </c>
      <c r="AD563" t="s">
        <v>52</v>
      </c>
      <c r="AE563" t="s">
        <v>53</v>
      </c>
      <c r="AF563" t="s">
        <v>52</v>
      </c>
      <c r="AG563" t="s">
        <v>52</v>
      </c>
      <c r="AH563" t="s">
        <v>64</v>
      </c>
      <c r="AK563">
        <v>4</v>
      </c>
      <c r="AL563">
        <v>4</v>
      </c>
      <c r="AN563">
        <v>466</v>
      </c>
      <c r="AO563" t="s">
        <v>56</v>
      </c>
      <c r="AP563">
        <v>63</v>
      </c>
      <c r="AQ563" t="s">
        <v>109</v>
      </c>
      <c r="AR563">
        <v>7.99</v>
      </c>
      <c r="AS563" t="s">
        <v>56</v>
      </c>
      <c r="AT563">
        <v>0.05</v>
      </c>
      <c r="AU563">
        <v>1161</v>
      </c>
      <c r="AV563" t="s">
        <v>56</v>
      </c>
      <c r="AW563">
        <v>137</v>
      </c>
      <c r="AX563">
        <v>7.63</v>
      </c>
      <c r="AY563" t="s">
        <v>56</v>
      </c>
      <c r="AZ563">
        <v>0.05</v>
      </c>
      <c r="BB563">
        <f>LOG(AU563)</f>
        <v>3.064832219738574</v>
      </c>
      <c r="BC563">
        <v>12.1</v>
      </c>
      <c r="BD563" t="s">
        <v>56</v>
      </c>
      <c r="BE563">
        <v>0.5</v>
      </c>
      <c r="BF563">
        <v>16.100000000000001</v>
      </c>
      <c r="BG563" t="s">
        <v>56</v>
      </c>
      <c r="BH563">
        <v>0.3</v>
      </c>
      <c r="BI563">
        <v>696</v>
      </c>
      <c r="BJ563">
        <v>4</v>
      </c>
      <c r="BK563" t="s">
        <v>56</v>
      </c>
      <c r="BL563" t="s">
        <v>440</v>
      </c>
      <c r="BM563" t="s">
        <v>440</v>
      </c>
      <c r="BN563" t="s">
        <v>60</v>
      </c>
      <c r="BO563" t="s">
        <v>56</v>
      </c>
      <c r="BP563" t="s">
        <v>234</v>
      </c>
      <c r="BR563" t="s">
        <v>63</v>
      </c>
      <c r="BT563">
        <v>2.1</v>
      </c>
      <c r="BU563">
        <v>2.1</v>
      </c>
      <c r="BV563">
        <v>0.48</v>
      </c>
      <c r="BW563">
        <f>BV563*SQRT(AK563)</f>
        <v>0.96</v>
      </c>
      <c r="BX563">
        <v>2.2000000000000002</v>
      </c>
      <c r="BY563">
        <v>2.2000000000000002</v>
      </c>
      <c r="BZ563">
        <v>0.39</v>
      </c>
      <c r="CA563">
        <f>BZ563*SQRT(AL563)</f>
        <v>0.78</v>
      </c>
      <c r="CB563">
        <v>180</v>
      </c>
      <c r="CC563">
        <v>5</v>
      </c>
      <c r="CD563">
        <v>4.7E-2</v>
      </c>
      <c r="CE563">
        <v>8.3699999999999997E-2</v>
      </c>
    </row>
    <row r="564" spans="1:84" hidden="1" x14ac:dyDescent="0.2">
      <c r="D564">
        <v>39</v>
      </c>
      <c r="G564" t="s">
        <v>43</v>
      </c>
      <c r="H564" t="s">
        <v>435</v>
      </c>
      <c r="J564">
        <v>2014</v>
      </c>
      <c r="M564" t="s">
        <v>436</v>
      </c>
      <c r="T564" t="s">
        <v>68</v>
      </c>
      <c r="U564" t="s">
        <v>266</v>
      </c>
      <c r="V564" t="s">
        <v>437</v>
      </c>
      <c r="Z564" t="s">
        <v>49</v>
      </c>
      <c r="AA564" t="s">
        <v>49</v>
      </c>
      <c r="AB564" t="s">
        <v>50</v>
      </c>
      <c r="AC564" t="s">
        <v>51</v>
      </c>
      <c r="AD564" t="s">
        <v>52</v>
      </c>
      <c r="AE564" t="s">
        <v>53</v>
      </c>
      <c r="AF564" t="s">
        <v>52</v>
      </c>
      <c r="AG564" t="s">
        <v>54</v>
      </c>
      <c r="AH564" t="s">
        <v>55</v>
      </c>
      <c r="AK564">
        <v>4</v>
      </c>
      <c r="AL564">
        <v>2</v>
      </c>
      <c r="AN564">
        <v>466</v>
      </c>
      <c r="AO564" t="s">
        <v>56</v>
      </c>
      <c r="AP564">
        <v>63</v>
      </c>
      <c r="AQ564" t="s">
        <v>109</v>
      </c>
      <c r="AR564">
        <v>7.99</v>
      </c>
      <c r="AS564" t="s">
        <v>56</v>
      </c>
      <c r="AT564">
        <v>0.05</v>
      </c>
      <c r="AU564">
        <v>1088</v>
      </c>
      <c r="AV564" t="s">
        <v>56</v>
      </c>
      <c r="AW564">
        <v>170</v>
      </c>
      <c r="AX564">
        <v>7.65</v>
      </c>
      <c r="AY564" t="s">
        <v>56</v>
      </c>
      <c r="AZ564">
        <v>0.06</v>
      </c>
      <c r="BB564">
        <f>LOG(AU564)</f>
        <v>3.0366288953621612</v>
      </c>
      <c r="BC564">
        <v>12.1</v>
      </c>
      <c r="BD564" t="s">
        <v>56</v>
      </c>
      <c r="BE564">
        <v>0.5</v>
      </c>
      <c r="BF564">
        <v>12.2</v>
      </c>
      <c r="BG564" t="s">
        <v>56</v>
      </c>
      <c r="BH564">
        <v>0.5</v>
      </c>
      <c r="BI564">
        <v>622</v>
      </c>
      <c r="BJ564">
        <v>0</v>
      </c>
      <c r="BK564" t="s">
        <v>56</v>
      </c>
      <c r="BL564" t="s">
        <v>440</v>
      </c>
      <c r="BM564" t="s">
        <v>440</v>
      </c>
      <c r="BN564" t="s">
        <v>60</v>
      </c>
      <c r="BO564" t="s">
        <v>56</v>
      </c>
      <c r="BP564" t="s">
        <v>234</v>
      </c>
      <c r="BR564" t="s">
        <v>63</v>
      </c>
      <c r="BT564">
        <v>2.1</v>
      </c>
      <c r="BU564">
        <v>2.1</v>
      </c>
      <c r="BV564">
        <v>0.48</v>
      </c>
      <c r="BW564">
        <f>BV564*SQRT(AK564)</f>
        <v>0.96</v>
      </c>
      <c r="BX564">
        <v>3.05</v>
      </c>
      <c r="BY564">
        <v>3.05</v>
      </c>
      <c r="BZ564">
        <v>0.15</v>
      </c>
      <c r="CA564">
        <f>BZ564*SQRT(AL564)</f>
        <v>0.21213203435596426</v>
      </c>
      <c r="CB564">
        <v>180</v>
      </c>
      <c r="CC564">
        <v>5</v>
      </c>
      <c r="CD564">
        <v>0.373</v>
      </c>
      <c r="CE564">
        <v>5.4699999999999999E-2</v>
      </c>
    </row>
    <row r="565" spans="1:84" hidden="1" x14ac:dyDescent="0.2">
      <c r="D565">
        <v>40</v>
      </c>
      <c r="G565" t="s">
        <v>43</v>
      </c>
      <c r="H565" t="s">
        <v>441</v>
      </c>
      <c r="J565">
        <v>2018</v>
      </c>
      <c r="M565" t="s">
        <v>174</v>
      </c>
      <c r="T565" t="s">
        <v>68</v>
      </c>
      <c r="U565" t="s">
        <v>167</v>
      </c>
      <c r="V565" t="s">
        <v>442</v>
      </c>
      <c r="Z565" t="s">
        <v>177</v>
      </c>
      <c r="AA565" t="s">
        <v>177</v>
      </c>
      <c r="AB565" t="s">
        <v>50</v>
      </c>
      <c r="AC565" t="s">
        <v>51</v>
      </c>
      <c r="AD565" t="s">
        <v>52</v>
      </c>
      <c r="AE565" t="s">
        <v>53</v>
      </c>
      <c r="AF565" t="s">
        <v>52</v>
      </c>
      <c r="AG565" t="s">
        <v>54</v>
      </c>
      <c r="AH565" t="s">
        <v>55</v>
      </c>
      <c r="AK565">
        <v>3</v>
      </c>
      <c r="AL565">
        <v>3</v>
      </c>
      <c r="AN565">
        <v>392</v>
      </c>
      <c r="AO565">
        <v>2</v>
      </c>
      <c r="AP565" t="s">
        <v>56</v>
      </c>
      <c r="AQ565" t="s">
        <v>57</v>
      </c>
      <c r="AR565">
        <v>8.1999999999999993</v>
      </c>
      <c r="AS565">
        <v>0</v>
      </c>
      <c r="AT565" t="s">
        <v>56</v>
      </c>
      <c r="AU565">
        <v>856</v>
      </c>
      <c r="AV565">
        <v>5</v>
      </c>
      <c r="AW565" t="s">
        <v>56</v>
      </c>
      <c r="AX565">
        <v>7.91</v>
      </c>
      <c r="AY565">
        <v>0</v>
      </c>
      <c r="AZ565" t="s">
        <v>56</v>
      </c>
      <c r="BB565">
        <f>LOG(AU565)</f>
        <v>2.932473764677153</v>
      </c>
      <c r="BC565">
        <v>24</v>
      </c>
      <c r="BD565">
        <v>0.1</v>
      </c>
      <c r="BE565" t="s">
        <v>56</v>
      </c>
      <c r="BF565">
        <v>24</v>
      </c>
      <c r="BG565">
        <v>0.1</v>
      </c>
      <c r="BH565" t="s">
        <v>56</v>
      </c>
      <c r="BI565">
        <v>464</v>
      </c>
      <c r="BJ565">
        <v>0</v>
      </c>
      <c r="BK565" t="s">
        <v>56</v>
      </c>
      <c r="BL565" t="s">
        <v>443</v>
      </c>
      <c r="BM565" t="s">
        <v>192</v>
      </c>
      <c r="BN565" t="s">
        <v>60</v>
      </c>
      <c r="BO565" t="s">
        <v>444</v>
      </c>
      <c r="BP565" t="s">
        <v>194</v>
      </c>
      <c r="BR565" t="s">
        <v>63</v>
      </c>
      <c r="BT565">
        <v>45.19</v>
      </c>
      <c r="BU565">
        <v>45.19</v>
      </c>
      <c r="BV565">
        <v>11.07</v>
      </c>
      <c r="BW565">
        <f>BV565*SQRT(AK565)</f>
        <v>19.173802439787472</v>
      </c>
      <c r="BX565">
        <v>15.66</v>
      </c>
      <c r="BY565">
        <v>15.66</v>
      </c>
      <c r="BZ565">
        <v>1.99</v>
      </c>
      <c r="CA565">
        <f>BZ565*SQRT(AL565)</f>
        <v>3.4467811070620655</v>
      </c>
      <c r="CB565">
        <v>56</v>
      </c>
      <c r="CC565">
        <v>3</v>
      </c>
      <c r="CD565">
        <v>-1.06</v>
      </c>
      <c r="CE565">
        <v>7.6200000000000004E-2</v>
      </c>
    </row>
    <row r="566" spans="1:84" s="8" customFormat="1" hidden="1" x14ac:dyDescent="0.2">
      <c r="A566"/>
      <c r="B566" t="str">
        <f>ROW()-1&amp;"_AltersInvert"</f>
        <v>565_AltersInvert</v>
      </c>
      <c r="C566" t="str">
        <f>D566&amp;"_"&amp;
SUBSTITUTE(TRIM(V566)," ","_")&amp;"_"&amp;
TRIM(AC566)&amp;"_"&amp;
"CO2"&amp;TEXT(AN566,"0.00")&amp;"_"&amp;
"pH"&amp;TEXT(AR566,"0.00")&amp;"_"&amp;
"T"&amp;TEXT(BC566,"0.##")</f>
        <v>23_Paracentrotus_lividus_LARVA_CO2311.00_pH8.10_T18.8</v>
      </c>
      <c r="D566">
        <v>23</v>
      </c>
      <c r="E566"/>
      <c r="F566"/>
      <c r="G566" t="s">
        <v>43</v>
      </c>
      <c r="H566" t="s">
        <v>307</v>
      </c>
      <c r="I566"/>
      <c r="J566">
        <v>2015</v>
      </c>
      <c r="K566"/>
      <c r="L566"/>
      <c r="M566" t="s">
        <v>308</v>
      </c>
      <c r="N566"/>
      <c r="O566"/>
      <c r="P566" t="s">
        <v>1135</v>
      </c>
      <c r="Q566"/>
      <c r="R566" t="s">
        <v>1127</v>
      </c>
      <c r="S566" t="s">
        <v>1128</v>
      </c>
      <c r="T566" t="s">
        <v>46</v>
      </c>
      <c r="U566" t="s">
        <v>309</v>
      </c>
      <c r="V566" t="s">
        <v>310</v>
      </c>
      <c r="W566"/>
      <c r="X566"/>
      <c r="Y566"/>
      <c r="Z566" t="s">
        <v>49</v>
      </c>
      <c r="AA566" t="s">
        <v>49</v>
      </c>
      <c r="AB566" t="s">
        <v>71</v>
      </c>
      <c r="AC566" t="s">
        <v>72</v>
      </c>
      <c r="AD566" t="s">
        <v>52</v>
      </c>
      <c r="AE566" t="s">
        <v>53</v>
      </c>
      <c r="AF566" t="s">
        <v>52</v>
      </c>
      <c r="AG566" t="s">
        <v>52</v>
      </c>
      <c r="AH566" t="s">
        <v>64</v>
      </c>
      <c r="AI566"/>
      <c r="AJ566"/>
      <c r="AK566">
        <v>5</v>
      </c>
      <c r="AL566">
        <v>5</v>
      </c>
      <c r="AM566"/>
      <c r="AN566">
        <v>311</v>
      </c>
      <c r="AO566" t="s">
        <v>56</v>
      </c>
      <c r="AP566" t="s">
        <v>56</v>
      </c>
      <c r="AQ566" t="s">
        <v>57</v>
      </c>
      <c r="AR566">
        <v>8.1</v>
      </c>
      <c r="AS566" t="s">
        <v>56</v>
      </c>
      <c r="AT566">
        <v>0</v>
      </c>
      <c r="AU566">
        <v>1898</v>
      </c>
      <c r="AV566" t="s">
        <v>56</v>
      </c>
      <c r="AW566" t="s">
        <v>56</v>
      </c>
      <c r="AX566">
        <v>7.4</v>
      </c>
      <c r="AY566" t="s">
        <v>56</v>
      </c>
      <c r="AZ566">
        <v>0</v>
      </c>
      <c r="BA566"/>
      <c r="BB566">
        <f>LOG(AU566)</f>
        <v>3.2782962080912736</v>
      </c>
      <c r="BC566">
        <v>18.8</v>
      </c>
      <c r="BD566" t="s">
        <v>56</v>
      </c>
      <c r="BE566">
        <v>0.2</v>
      </c>
      <c r="BF566">
        <v>22.5</v>
      </c>
      <c r="BG566" t="s">
        <v>56</v>
      </c>
      <c r="BH566">
        <v>0.2</v>
      </c>
      <c r="BI566">
        <v>1587</v>
      </c>
      <c r="BJ566">
        <v>3.7</v>
      </c>
      <c r="BK566" t="s">
        <v>56</v>
      </c>
      <c r="BL566" t="s">
        <v>311</v>
      </c>
      <c r="BM566" t="s">
        <v>83</v>
      </c>
      <c r="BN566" t="s">
        <v>81</v>
      </c>
      <c r="BO566" t="s">
        <v>312</v>
      </c>
      <c r="BP566" t="s">
        <v>83</v>
      </c>
      <c r="BQ566" t="s">
        <v>83</v>
      </c>
      <c r="BR566" t="s">
        <v>84</v>
      </c>
      <c r="BS566"/>
      <c r="BT566">
        <v>0.67</v>
      </c>
      <c r="BU566">
        <v>0.66600000000000004</v>
      </c>
      <c r="BV566">
        <v>0.24</v>
      </c>
      <c r="BW566">
        <f>BV566*SQRT(AK566)</f>
        <v>0.53665631459994956</v>
      </c>
      <c r="BX566">
        <v>0.41</v>
      </c>
      <c r="BY566">
        <v>0.41260000000000002</v>
      </c>
      <c r="BZ566">
        <v>0.23</v>
      </c>
      <c r="CA566">
        <f>BZ566*SQRT(AL566)</f>
        <v>0.51429563482495166</v>
      </c>
      <c r="CB566">
        <v>8</v>
      </c>
      <c r="CC566">
        <v>5</v>
      </c>
      <c r="CD566">
        <v>-0.47899999999999998</v>
      </c>
      <c r="CE566">
        <v>0.43469999999999998</v>
      </c>
      <c r="CF566"/>
    </row>
    <row r="567" spans="1:84" hidden="1" x14ac:dyDescent="0.2">
      <c r="D567">
        <v>40</v>
      </c>
      <c r="G567" t="s">
        <v>43</v>
      </c>
      <c r="H567" t="s">
        <v>441</v>
      </c>
      <c r="J567">
        <v>2018</v>
      </c>
      <c r="M567" t="s">
        <v>174</v>
      </c>
      <c r="T567" t="s">
        <v>68</v>
      </c>
      <c r="U567" t="s">
        <v>167</v>
      </c>
      <c r="V567" t="s">
        <v>442</v>
      </c>
      <c r="Z567" t="s">
        <v>177</v>
      </c>
      <c r="AA567" t="s">
        <v>177</v>
      </c>
      <c r="AB567" t="s">
        <v>50</v>
      </c>
      <c r="AC567" t="s">
        <v>51</v>
      </c>
      <c r="AD567" t="s">
        <v>52</v>
      </c>
      <c r="AE567" t="s">
        <v>53</v>
      </c>
      <c r="AF567" t="s">
        <v>52</v>
      </c>
      <c r="AG567" t="s">
        <v>54</v>
      </c>
      <c r="AH567" t="s">
        <v>55</v>
      </c>
      <c r="AK567">
        <v>3</v>
      </c>
      <c r="AL567">
        <v>3</v>
      </c>
      <c r="AN567">
        <v>392</v>
      </c>
      <c r="AO567">
        <v>2</v>
      </c>
      <c r="AP567" t="s">
        <v>56</v>
      </c>
      <c r="AQ567" t="s">
        <v>57</v>
      </c>
      <c r="AR567">
        <v>8.1999999999999993</v>
      </c>
      <c r="AS567">
        <v>0</v>
      </c>
      <c r="AT567" t="s">
        <v>56</v>
      </c>
      <c r="AU567">
        <v>856</v>
      </c>
      <c r="AV567">
        <v>5</v>
      </c>
      <c r="AW567" t="s">
        <v>56</v>
      </c>
      <c r="AX567">
        <v>7.91</v>
      </c>
      <c r="AY567">
        <v>0</v>
      </c>
      <c r="AZ567" t="s">
        <v>56</v>
      </c>
      <c r="BB567">
        <f>LOG(AU567)</f>
        <v>2.932473764677153</v>
      </c>
      <c r="BC567">
        <v>24</v>
      </c>
      <c r="BD567">
        <v>0.1</v>
      </c>
      <c r="BE567" t="s">
        <v>56</v>
      </c>
      <c r="BF567">
        <v>24</v>
      </c>
      <c r="BG567">
        <v>0.1</v>
      </c>
      <c r="BH567" t="s">
        <v>56</v>
      </c>
      <c r="BI567">
        <v>464</v>
      </c>
      <c r="BJ567">
        <v>0</v>
      </c>
      <c r="BK567" t="s">
        <v>56</v>
      </c>
      <c r="BL567" t="s">
        <v>327</v>
      </c>
      <c r="BM567" t="s">
        <v>327</v>
      </c>
      <c r="BN567" t="s">
        <v>81</v>
      </c>
      <c r="BO567" t="s">
        <v>447</v>
      </c>
      <c r="BP567" t="s">
        <v>190</v>
      </c>
      <c r="BR567" t="s">
        <v>63</v>
      </c>
      <c r="BT567">
        <v>6.53</v>
      </c>
      <c r="BU567">
        <v>6.53</v>
      </c>
      <c r="BV567">
        <v>1.28</v>
      </c>
      <c r="BW567">
        <f>BV567*SQRT(AK567)</f>
        <v>2.2170250336881629</v>
      </c>
      <c r="BX567">
        <v>2.71</v>
      </c>
      <c r="BY567">
        <v>2.71</v>
      </c>
      <c r="BZ567">
        <v>0.73</v>
      </c>
      <c r="CA567">
        <f>BZ567*SQRT(AL567)</f>
        <v>1.2643970895252803</v>
      </c>
      <c r="CB567">
        <v>56</v>
      </c>
      <c r="CC567">
        <v>3</v>
      </c>
      <c r="CD567">
        <v>-0.879</v>
      </c>
      <c r="CE567">
        <v>0.111</v>
      </c>
    </row>
    <row r="568" spans="1:84" hidden="1" x14ac:dyDescent="0.2">
      <c r="D568">
        <v>40</v>
      </c>
      <c r="G568" t="s">
        <v>43</v>
      </c>
      <c r="H568" t="s">
        <v>441</v>
      </c>
      <c r="J568">
        <v>2018</v>
      </c>
      <c r="M568" t="s">
        <v>174</v>
      </c>
      <c r="T568" t="s">
        <v>68</v>
      </c>
      <c r="U568" t="s">
        <v>167</v>
      </c>
      <c r="V568" t="s">
        <v>442</v>
      </c>
      <c r="Z568" t="s">
        <v>177</v>
      </c>
      <c r="AA568" t="s">
        <v>177</v>
      </c>
      <c r="AB568" t="s">
        <v>50</v>
      </c>
      <c r="AC568" t="s">
        <v>51</v>
      </c>
      <c r="AD568" t="s">
        <v>52</v>
      </c>
      <c r="AE568" t="s">
        <v>53</v>
      </c>
      <c r="AF568" t="s">
        <v>52</v>
      </c>
      <c r="AG568" t="s">
        <v>52</v>
      </c>
      <c r="AH568" t="s">
        <v>64</v>
      </c>
      <c r="AK568">
        <v>3</v>
      </c>
      <c r="AL568">
        <v>3</v>
      </c>
      <c r="AN568">
        <v>392</v>
      </c>
      <c r="AO568">
        <v>2</v>
      </c>
      <c r="AP568" t="s">
        <v>56</v>
      </c>
      <c r="AQ568" t="s">
        <v>57</v>
      </c>
      <c r="AR568">
        <v>8.1999999999999993</v>
      </c>
      <c r="AS568">
        <v>0</v>
      </c>
      <c r="AT568" t="s">
        <v>56</v>
      </c>
      <c r="AU568">
        <v>855</v>
      </c>
      <c r="AV568">
        <v>3</v>
      </c>
      <c r="AW568" t="s">
        <v>56</v>
      </c>
      <c r="AX568">
        <v>7.92</v>
      </c>
      <c r="AY568">
        <v>0</v>
      </c>
      <c r="AZ568" t="s">
        <v>56</v>
      </c>
      <c r="BB568">
        <f>LOG(AU568)</f>
        <v>2.9319661147281728</v>
      </c>
      <c r="BC568">
        <v>24</v>
      </c>
      <c r="BD568">
        <v>0.1</v>
      </c>
      <c r="BE568" t="s">
        <v>56</v>
      </c>
      <c r="BF568">
        <v>28</v>
      </c>
      <c r="BG568">
        <v>0.1</v>
      </c>
      <c r="BH568" t="s">
        <v>56</v>
      </c>
      <c r="BI568">
        <v>463</v>
      </c>
      <c r="BJ568">
        <v>4</v>
      </c>
      <c r="BK568" t="s">
        <v>56</v>
      </c>
      <c r="BL568" t="s">
        <v>443</v>
      </c>
      <c r="BM568" t="s">
        <v>192</v>
      </c>
      <c r="BN568" t="s">
        <v>60</v>
      </c>
      <c r="BO568" t="s">
        <v>444</v>
      </c>
      <c r="BP568" t="s">
        <v>194</v>
      </c>
      <c r="BR568" t="s">
        <v>63</v>
      </c>
      <c r="BT568">
        <v>45.19</v>
      </c>
      <c r="BU568">
        <v>45.19</v>
      </c>
      <c r="BV568">
        <v>11.07</v>
      </c>
      <c r="BW568">
        <f>BV568*SQRT(AK568)</f>
        <v>19.173802439787472</v>
      </c>
      <c r="BX568">
        <v>25.03</v>
      </c>
      <c r="BY568">
        <v>25.03</v>
      </c>
      <c r="BZ568">
        <v>6.43</v>
      </c>
      <c r="CA568">
        <f>BZ568*SQRT(AL568)</f>
        <v>11.13708669266788</v>
      </c>
      <c r="CB568">
        <v>56</v>
      </c>
      <c r="CC568">
        <v>3</v>
      </c>
      <c r="CD568">
        <v>-0.59099999999999997</v>
      </c>
      <c r="CE568">
        <v>0.126</v>
      </c>
    </row>
    <row r="569" spans="1:84" s="8" customFormat="1" hidden="1" x14ac:dyDescent="0.2">
      <c r="A569"/>
      <c r="B569" t="str">
        <f>ROW()-1&amp;"_AltersInvert"</f>
        <v>568_AltersInvert</v>
      </c>
      <c r="C569" t="str">
        <f>D569&amp;"_"&amp;
SUBSTITUTE(TRIM(V569)," ","_")&amp;"_"&amp;
TRIM(AC569)&amp;"_"&amp;
"CO2"&amp;TEXT(AN569,"0.00")&amp;"_"&amp;
"pH"&amp;TEXT(AR569,"0.00")&amp;"_"&amp;
"T"&amp;TEXT(BC569,"0.##")</f>
        <v>23_Paracentrotus_lividus_LARVA_CO2311.00_pH8.10_T18.8</v>
      </c>
      <c r="D569">
        <v>23</v>
      </c>
      <c r="E569"/>
      <c r="F569"/>
      <c r="G569" t="s">
        <v>43</v>
      </c>
      <c r="H569" t="s">
        <v>307</v>
      </c>
      <c r="I569"/>
      <c r="J569">
        <v>2015</v>
      </c>
      <c r="K569"/>
      <c r="L569"/>
      <c r="M569" t="s">
        <v>308</v>
      </c>
      <c r="N569"/>
      <c r="O569"/>
      <c r="P569" t="s">
        <v>1135</v>
      </c>
      <c r="Q569"/>
      <c r="R569" t="s">
        <v>1127</v>
      </c>
      <c r="S569" t="s">
        <v>1128</v>
      </c>
      <c r="T569" t="s">
        <v>46</v>
      </c>
      <c r="U569" t="s">
        <v>309</v>
      </c>
      <c r="V569" t="s">
        <v>310</v>
      </c>
      <c r="W569"/>
      <c r="X569"/>
      <c r="Y569"/>
      <c r="Z569" t="s">
        <v>49</v>
      </c>
      <c r="AA569" t="s">
        <v>49</v>
      </c>
      <c r="AB569" t="s">
        <v>71</v>
      </c>
      <c r="AC569" t="s">
        <v>72</v>
      </c>
      <c r="AD569" t="s">
        <v>52</v>
      </c>
      <c r="AE569" t="s">
        <v>53</v>
      </c>
      <c r="AF569" t="s">
        <v>52</v>
      </c>
      <c r="AG569" t="s">
        <v>52</v>
      </c>
      <c r="AH569" t="s">
        <v>64</v>
      </c>
      <c r="AI569"/>
      <c r="AJ569"/>
      <c r="AK569">
        <v>5</v>
      </c>
      <c r="AL569">
        <v>5</v>
      </c>
      <c r="AM569"/>
      <c r="AN569">
        <v>311</v>
      </c>
      <c r="AO569" t="s">
        <v>56</v>
      </c>
      <c r="AP569" t="s">
        <v>56</v>
      </c>
      <c r="AQ569" t="s">
        <v>57</v>
      </c>
      <c r="AR569">
        <v>8.1</v>
      </c>
      <c r="AS569" t="s">
        <v>56</v>
      </c>
      <c r="AT569">
        <v>0</v>
      </c>
      <c r="AU569">
        <v>884</v>
      </c>
      <c r="AV569" t="s">
        <v>56</v>
      </c>
      <c r="AW569" t="s">
        <v>56</v>
      </c>
      <c r="AX569">
        <v>7.7</v>
      </c>
      <c r="AY569" t="s">
        <v>56</v>
      </c>
      <c r="AZ569">
        <v>0</v>
      </c>
      <c r="BA569"/>
      <c r="BB569">
        <f>LOG(AU569)</f>
        <v>2.9464522650130731</v>
      </c>
      <c r="BC569">
        <v>18.8</v>
      </c>
      <c r="BD569" t="s">
        <v>56</v>
      </c>
      <c r="BE569">
        <v>0.2</v>
      </c>
      <c r="BF569">
        <v>20.5</v>
      </c>
      <c r="BG569" t="s">
        <v>56</v>
      </c>
      <c r="BH569">
        <v>0.2</v>
      </c>
      <c r="BI569">
        <v>573</v>
      </c>
      <c r="BJ569">
        <v>1.7</v>
      </c>
      <c r="BK569" t="s">
        <v>56</v>
      </c>
      <c r="BL569" t="s">
        <v>311</v>
      </c>
      <c r="BM569" t="s">
        <v>83</v>
      </c>
      <c r="BN569" t="s">
        <v>81</v>
      </c>
      <c r="BO569" t="s">
        <v>312</v>
      </c>
      <c r="BP569" t="s">
        <v>83</v>
      </c>
      <c r="BQ569" t="s">
        <v>83</v>
      </c>
      <c r="BR569" t="s">
        <v>84</v>
      </c>
      <c r="BS569"/>
      <c r="BT569">
        <v>0.67</v>
      </c>
      <c r="BU569">
        <v>0.66600000000000004</v>
      </c>
      <c r="BV569">
        <v>0.24</v>
      </c>
      <c r="BW569">
        <f>BV569*SQRT(AK569)</f>
        <v>0.53665631459994956</v>
      </c>
      <c r="BX569">
        <v>0.44</v>
      </c>
      <c r="BY569">
        <v>0.44400000000000001</v>
      </c>
      <c r="BZ569">
        <v>0.24</v>
      </c>
      <c r="CA569">
        <f>BZ569*SQRT(AL569)</f>
        <v>0.53665631459994956</v>
      </c>
      <c r="CB569">
        <v>8</v>
      </c>
      <c r="CC569">
        <v>5</v>
      </c>
      <c r="CD569">
        <v>-0.40500000000000003</v>
      </c>
      <c r="CE569">
        <v>0.42749999999999999</v>
      </c>
      <c r="CF569"/>
    </row>
    <row r="570" spans="1:84" hidden="1" x14ac:dyDescent="0.2">
      <c r="D570">
        <v>40</v>
      </c>
      <c r="G570" t="s">
        <v>43</v>
      </c>
      <c r="H570" t="s">
        <v>441</v>
      </c>
      <c r="J570">
        <v>2018</v>
      </c>
      <c r="M570" t="s">
        <v>174</v>
      </c>
      <c r="T570" t="s">
        <v>68</v>
      </c>
      <c r="U570" t="s">
        <v>167</v>
      </c>
      <c r="V570" t="s">
        <v>442</v>
      </c>
      <c r="Z570" t="s">
        <v>177</v>
      </c>
      <c r="AA570" t="s">
        <v>177</v>
      </c>
      <c r="AB570" t="s">
        <v>50</v>
      </c>
      <c r="AC570" t="s">
        <v>51</v>
      </c>
      <c r="AD570" t="s">
        <v>52</v>
      </c>
      <c r="AE570" t="s">
        <v>53</v>
      </c>
      <c r="AF570" t="s">
        <v>52</v>
      </c>
      <c r="AG570" t="s">
        <v>52</v>
      </c>
      <c r="AH570" t="s">
        <v>64</v>
      </c>
      <c r="AK570">
        <v>3</v>
      </c>
      <c r="AL570">
        <v>3</v>
      </c>
      <c r="AN570">
        <v>392</v>
      </c>
      <c r="AO570">
        <v>2</v>
      </c>
      <c r="AP570" t="s">
        <v>56</v>
      </c>
      <c r="AQ570" t="s">
        <v>57</v>
      </c>
      <c r="AR570">
        <v>8.1999999999999993</v>
      </c>
      <c r="AS570">
        <v>0</v>
      </c>
      <c r="AT570" t="s">
        <v>56</v>
      </c>
      <c r="AU570">
        <v>855</v>
      </c>
      <c r="AV570">
        <v>3</v>
      </c>
      <c r="AW570" t="s">
        <v>56</v>
      </c>
      <c r="AX570">
        <v>7.92</v>
      </c>
      <c r="AY570">
        <v>0</v>
      </c>
      <c r="AZ570" t="s">
        <v>56</v>
      </c>
      <c r="BB570">
        <f>LOG(AU570)</f>
        <v>2.9319661147281728</v>
      </c>
      <c r="BC570">
        <v>24</v>
      </c>
      <c r="BD570">
        <v>0.1</v>
      </c>
      <c r="BE570" t="s">
        <v>56</v>
      </c>
      <c r="BF570">
        <v>28</v>
      </c>
      <c r="BG570">
        <v>0.1</v>
      </c>
      <c r="BH570" t="s">
        <v>56</v>
      </c>
      <c r="BI570">
        <v>463</v>
      </c>
      <c r="BJ570">
        <v>4</v>
      </c>
      <c r="BK570" t="s">
        <v>56</v>
      </c>
      <c r="BL570" t="s">
        <v>448</v>
      </c>
      <c r="BM570" t="s">
        <v>90</v>
      </c>
      <c r="BN570" t="s">
        <v>81</v>
      </c>
      <c r="BO570" t="s">
        <v>449</v>
      </c>
      <c r="BP570" t="s">
        <v>450</v>
      </c>
      <c r="BR570" t="s">
        <v>63</v>
      </c>
      <c r="BT570">
        <v>52.24</v>
      </c>
      <c r="BU570">
        <v>52.24</v>
      </c>
      <c r="BV570">
        <v>0.36</v>
      </c>
      <c r="BW570">
        <f>BV570*SQRT(AK570)</f>
        <v>0.62353829072479572</v>
      </c>
      <c r="BX570">
        <v>46.76</v>
      </c>
      <c r="BY570">
        <v>46.76</v>
      </c>
      <c r="BZ570">
        <v>0.71</v>
      </c>
      <c r="CA570">
        <f>BZ570*SQRT(AL570)</f>
        <v>1.2297560733739028</v>
      </c>
      <c r="CB570">
        <v>56</v>
      </c>
      <c r="CC570">
        <v>3</v>
      </c>
      <c r="CD570">
        <v>-0.111</v>
      </c>
      <c r="CE570">
        <v>2.9999999999999997E-4</v>
      </c>
    </row>
    <row r="571" spans="1:84" s="8" customFormat="1" hidden="1" x14ac:dyDescent="0.2">
      <c r="A571"/>
      <c r="B571" t="str">
        <f>ROW()-1&amp;"_AltersInvert"</f>
        <v>570_AltersInvert</v>
      </c>
      <c r="C571" t="str">
        <f>D571&amp;"_"&amp;
SUBSTITUTE(TRIM(V571)," ","_")&amp;"_"&amp;
TRIM(AC571)&amp;"_"&amp;
"CO2"&amp;TEXT(AN571,"0.00")&amp;"_"&amp;
"pH"&amp;TEXT(AR571,"0.00")&amp;"_"&amp;
"T"&amp;TEXT(BC571,"0.##")</f>
        <v>112_Loligo_vulgaris_LARVA_CO2433.00_pH8.03_T13.2</v>
      </c>
      <c r="D571">
        <v>112</v>
      </c>
      <c r="E571"/>
      <c r="F571"/>
      <c r="G571" t="s">
        <v>43</v>
      </c>
      <c r="H571" t="s">
        <v>832</v>
      </c>
      <c r="I571"/>
      <c r="J571">
        <v>2014</v>
      </c>
      <c r="K571"/>
      <c r="L571"/>
      <c r="M571" t="s">
        <v>463</v>
      </c>
      <c r="N571"/>
      <c r="O571"/>
      <c r="P571" t="s">
        <v>1135</v>
      </c>
      <c r="Q571"/>
      <c r="R571" t="s">
        <v>1127</v>
      </c>
      <c r="S571" t="s">
        <v>1128</v>
      </c>
      <c r="T571" t="s">
        <v>68</v>
      </c>
      <c r="U571" t="s">
        <v>693</v>
      </c>
      <c r="V571" t="s">
        <v>833</v>
      </c>
      <c r="W571"/>
      <c r="X571"/>
      <c r="Y571"/>
      <c r="Z571" t="s">
        <v>49</v>
      </c>
      <c r="AA571" t="s">
        <v>49</v>
      </c>
      <c r="AB571" t="s">
        <v>71</v>
      </c>
      <c r="AC571" t="s">
        <v>72</v>
      </c>
      <c r="AD571" t="s">
        <v>52</v>
      </c>
      <c r="AE571" t="s">
        <v>53</v>
      </c>
      <c r="AF571" t="s">
        <v>52</v>
      </c>
      <c r="AG571" t="s">
        <v>54</v>
      </c>
      <c r="AH571" t="s">
        <v>55</v>
      </c>
      <c r="AI571"/>
      <c r="AJ571"/>
      <c r="AK571">
        <v>60</v>
      </c>
      <c r="AL571">
        <v>60</v>
      </c>
      <c r="AM571"/>
      <c r="AN571">
        <v>433</v>
      </c>
      <c r="AO571" t="s">
        <v>56</v>
      </c>
      <c r="AP571">
        <v>24</v>
      </c>
      <c r="AQ571" t="s">
        <v>109</v>
      </c>
      <c r="AR571">
        <v>8.0299999999999994</v>
      </c>
      <c r="AS571" t="s">
        <v>56</v>
      </c>
      <c r="AT571">
        <v>0.02</v>
      </c>
      <c r="AU571">
        <v>1682</v>
      </c>
      <c r="AV571" t="s">
        <v>56</v>
      </c>
      <c r="AW571">
        <v>132</v>
      </c>
      <c r="AX571">
        <v>7.51</v>
      </c>
      <c r="AY571" t="s">
        <v>56</v>
      </c>
      <c r="AZ571">
        <v>0.03</v>
      </c>
      <c r="BA571"/>
      <c r="BB571">
        <f>LOG(AU571)</f>
        <v>3.2258259914618934</v>
      </c>
      <c r="BC571">
        <v>13.2</v>
      </c>
      <c r="BD571" t="s">
        <v>56</v>
      </c>
      <c r="BE571">
        <v>0.3</v>
      </c>
      <c r="BF571">
        <v>13.2</v>
      </c>
      <c r="BG571" t="s">
        <v>56</v>
      </c>
      <c r="BH571">
        <v>0.3</v>
      </c>
      <c r="BI571">
        <v>1249</v>
      </c>
      <c r="BJ571">
        <v>0</v>
      </c>
      <c r="BK571" t="s">
        <v>834</v>
      </c>
      <c r="BL571" t="s">
        <v>837</v>
      </c>
      <c r="BM571" t="s">
        <v>305</v>
      </c>
      <c r="BN571" t="s">
        <v>81</v>
      </c>
      <c r="BO571" t="s">
        <v>838</v>
      </c>
      <c r="BP571" t="s">
        <v>194</v>
      </c>
      <c r="BQ571" t="s">
        <v>194</v>
      </c>
      <c r="BR571" t="s">
        <v>63</v>
      </c>
      <c r="BS571"/>
      <c r="BT571">
        <v>32.9</v>
      </c>
      <c r="BU571">
        <v>32.902808</v>
      </c>
      <c r="BV571">
        <v>7.0000000000000007E-2</v>
      </c>
      <c r="BW571">
        <f>BV571*SQRT(AK571)</f>
        <v>0.54221766846903841</v>
      </c>
      <c r="BX571">
        <v>36.32</v>
      </c>
      <c r="BY571">
        <v>36.323974100000001</v>
      </c>
      <c r="BZ571">
        <v>0.08</v>
      </c>
      <c r="CA571">
        <f>BZ571*SQRT(AL571)</f>
        <v>0.6196773353931867</v>
      </c>
      <c r="CB571">
        <v>15</v>
      </c>
      <c r="CC571">
        <v>10</v>
      </c>
      <c r="CD571">
        <v>9.9000000000000005E-2</v>
      </c>
      <c r="CE571">
        <v>1E-4</v>
      </c>
      <c r="CF571"/>
    </row>
    <row r="572" spans="1:84" s="8" customFormat="1" hidden="1" x14ac:dyDescent="0.2">
      <c r="A572"/>
      <c r="B572" t="str">
        <f>ROW()-1&amp;"_AltersInvert"</f>
        <v>571_AltersInvert</v>
      </c>
      <c r="C572" t="str">
        <f>D572&amp;"_"&amp;
SUBSTITUTE(TRIM(V572)," ","_")&amp;"_"&amp;
TRIM(AC572)&amp;"_"&amp;
"CO2"&amp;TEXT(AN572,"0.00")&amp;"_"&amp;
"pH"&amp;TEXT(AR572,"0.00")&amp;"_"&amp;
"T"&amp;TEXT(BC572,"0.##")</f>
        <v>112_Loligo_vulgaris_LARVA_CO2433.00_pH8.03_T13.2</v>
      </c>
      <c r="D572">
        <v>112</v>
      </c>
      <c r="E572"/>
      <c r="F572"/>
      <c r="G572" t="s">
        <v>43</v>
      </c>
      <c r="H572" t="s">
        <v>832</v>
      </c>
      <c r="I572"/>
      <c r="J572">
        <v>2014</v>
      </c>
      <c r="K572"/>
      <c r="L572"/>
      <c r="M572" t="s">
        <v>463</v>
      </c>
      <c r="N572"/>
      <c r="O572"/>
      <c r="P572" t="s">
        <v>1135</v>
      </c>
      <c r="Q572"/>
      <c r="R572" t="s">
        <v>1127</v>
      </c>
      <c r="S572" t="s">
        <v>1128</v>
      </c>
      <c r="T572" t="s">
        <v>68</v>
      </c>
      <c r="U572" t="s">
        <v>693</v>
      </c>
      <c r="V572" t="s">
        <v>833</v>
      </c>
      <c r="W572"/>
      <c r="X572"/>
      <c r="Y572"/>
      <c r="Z572" t="s">
        <v>49</v>
      </c>
      <c r="AA572" t="s">
        <v>49</v>
      </c>
      <c r="AB572" t="s">
        <v>71</v>
      </c>
      <c r="AC572" t="s">
        <v>72</v>
      </c>
      <c r="AD572" t="s">
        <v>52</v>
      </c>
      <c r="AE572" t="s">
        <v>53</v>
      </c>
      <c r="AF572" t="s">
        <v>54</v>
      </c>
      <c r="AG572" t="s">
        <v>52</v>
      </c>
      <c r="AH572" t="s">
        <v>65</v>
      </c>
      <c r="AI572"/>
      <c r="AJ572"/>
      <c r="AK572">
        <v>60</v>
      </c>
      <c r="AL572">
        <v>60</v>
      </c>
      <c r="AM572"/>
      <c r="AN572">
        <v>433</v>
      </c>
      <c r="AO572" t="s">
        <v>56</v>
      </c>
      <c r="AP572">
        <v>24</v>
      </c>
      <c r="AQ572" t="s">
        <v>109</v>
      </c>
      <c r="AR572">
        <v>8.0299999999999994</v>
      </c>
      <c r="AS572" t="s">
        <v>56</v>
      </c>
      <c r="AT572">
        <v>0.02</v>
      </c>
      <c r="AU572">
        <v>440</v>
      </c>
      <c r="AV572" t="s">
        <v>56</v>
      </c>
      <c r="AW572">
        <v>12</v>
      </c>
      <c r="AX572">
        <v>8.0299999999999994</v>
      </c>
      <c r="AY572" t="s">
        <v>56</v>
      </c>
      <c r="AZ572">
        <v>0.01</v>
      </c>
      <c r="BA572"/>
      <c r="BB572">
        <f>LOG(AU572)</f>
        <v>2.6434526764861874</v>
      </c>
      <c r="BC572">
        <v>13.2</v>
      </c>
      <c r="BD572" t="s">
        <v>56</v>
      </c>
      <c r="BE572">
        <v>0.3</v>
      </c>
      <c r="BF572">
        <v>15.1</v>
      </c>
      <c r="BG572" t="s">
        <v>56</v>
      </c>
      <c r="BH572">
        <v>0.3</v>
      </c>
      <c r="BI572">
        <v>7</v>
      </c>
      <c r="BJ572">
        <v>1.9</v>
      </c>
      <c r="BK572" t="s">
        <v>834</v>
      </c>
      <c r="BL572" t="s">
        <v>837</v>
      </c>
      <c r="BM572" t="s">
        <v>305</v>
      </c>
      <c r="BN572" t="s">
        <v>81</v>
      </c>
      <c r="BO572" t="s">
        <v>838</v>
      </c>
      <c r="BP572" t="s">
        <v>194</v>
      </c>
      <c r="BQ572" t="s">
        <v>194</v>
      </c>
      <c r="BR572" t="s">
        <v>63</v>
      </c>
      <c r="BS572"/>
      <c r="BT572">
        <v>32.9</v>
      </c>
      <c r="BU572">
        <v>32.902808</v>
      </c>
      <c r="BV572">
        <v>7.0000000000000007E-2</v>
      </c>
      <c r="BW572">
        <f>BV572*SQRT(AK572)</f>
        <v>0.54221766846903841</v>
      </c>
      <c r="BX572">
        <v>33.090000000000003</v>
      </c>
      <c r="BY572">
        <v>33.0928726</v>
      </c>
      <c r="BZ572">
        <v>0.01</v>
      </c>
      <c r="CA572">
        <f>BZ572*SQRT(AL572)</f>
        <v>7.7459666924148338E-2</v>
      </c>
      <c r="CB572">
        <v>15</v>
      </c>
      <c r="CC572">
        <v>10</v>
      </c>
      <c r="CD572">
        <v>6.0000000000000001E-3</v>
      </c>
      <c r="CE572">
        <v>1E-4</v>
      </c>
      <c r="CF572"/>
    </row>
    <row r="573" spans="1:84" hidden="1" x14ac:dyDescent="0.2">
      <c r="D573">
        <v>40</v>
      </c>
      <c r="G573" t="s">
        <v>43</v>
      </c>
      <c r="H573" t="s">
        <v>441</v>
      </c>
      <c r="J573">
        <v>2018</v>
      </c>
      <c r="M573" t="s">
        <v>174</v>
      </c>
      <c r="T573" t="s">
        <v>68</v>
      </c>
      <c r="U573" t="s">
        <v>167</v>
      </c>
      <c r="V573" t="s">
        <v>442</v>
      </c>
      <c r="Z573" t="s">
        <v>177</v>
      </c>
      <c r="AA573" t="s">
        <v>177</v>
      </c>
      <c r="AB573" t="s">
        <v>50</v>
      </c>
      <c r="AC573" t="s">
        <v>51</v>
      </c>
      <c r="AD573" t="s">
        <v>52</v>
      </c>
      <c r="AE573" t="s">
        <v>53</v>
      </c>
      <c r="AF573" t="s">
        <v>52</v>
      </c>
      <c r="AG573" t="s">
        <v>52</v>
      </c>
      <c r="AH573" t="s">
        <v>64</v>
      </c>
      <c r="AK573">
        <v>3</v>
      </c>
      <c r="AL573">
        <v>3</v>
      </c>
      <c r="AN573">
        <v>392</v>
      </c>
      <c r="AO573">
        <v>2</v>
      </c>
      <c r="AP573" t="s">
        <v>56</v>
      </c>
      <c r="AQ573" t="s">
        <v>57</v>
      </c>
      <c r="AR573">
        <v>8.1999999999999993</v>
      </c>
      <c r="AS573">
        <v>0</v>
      </c>
      <c r="AT573" t="s">
        <v>56</v>
      </c>
      <c r="AU573">
        <v>855</v>
      </c>
      <c r="AV573">
        <v>3</v>
      </c>
      <c r="AW573" t="s">
        <v>56</v>
      </c>
      <c r="AX573">
        <v>7.92</v>
      </c>
      <c r="AY573">
        <v>0</v>
      </c>
      <c r="AZ573" t="s">
        <v>56</v>
      </c>
      <c r="BB573">
        <f>LOG(AU573)</f>
        <v>2.9319661147281728</v>
      </c>
      <c r="BC573">
        <v>24</v>
      </c>
      <c r="BD573">
        <v>0.1</v>
      </c>
      <c r="BE573" t="s">
        <v>56</v>
      </c>
      <c r="BF573">
        <v>28</v>
      </c>
      <c r="BG573">
        <v>0.1</v>
      </c>
      <c r="BH573" t="s">
        <v>56</v>
      </c>
      <c r="BI573">
        <v>463</v>
      </c>
      <c r="BJ573">
        <v>4</v>
      </c>
      <c r="BK573" t="s">
        <v>56</v>
      </c>
      <c r="BL573" t="s">
        <v>453</v>
      </c>
      <c r="BM573" t="s">
        <v>454</v>
      </c>
      <c r="BN573" t="s">
        <v>60</v>
      </c>
      <c r="BO573" t="s">
        <v>56</v>
      </c>
      <c r="BP573" t="s">
        <v>194</v>
      </c>
      <c r="BR573" t="s">
        <v>63</v>
      </c>
      <c r="BT573">
        <v>7.46</v>
      </c>
      <c r="BU573">
        <v>7.46</v>
      </c>
      <c r="BV573">
        <v>0.02</v>
      </c>
      <c r="BW573">
        <f>BV573*SQRT(AK573)</f>
        <v>3.4641016151377546E-2</v>
      </c>
      <c r="BX573">
        <v>7</v>
      </c>
      <c r="BY573">
        <v>7</v>
      </c>
      <c r="BZ573">
        <v>0.04</v>
      </c>
      <c r="CA573">
        <f>BZ573*SQRT(AL573)</f>
        <v>6.9282032302755092E-2</v>
      </c>
      <c r="CB573">
        <v>56</v>
      </c>
      <c r="CC573">
        <v>3</v>
      </c>
      <c r="CD573">
        <v>-6.4000000000000001E-2</v>
      </c>
      <c r="CE573">
        <v>1E-4</v>
      </c>
    </row>
    <row r="574" spans="1:84" hidden="1" x14ac:dyDescent="0.2">
      <c r="D574">
        <v>40</v>
      </c>
      <c r="G574" t="s">
        <v>43</v>
      </c>
      <c r="H574" t="s">
        <v>441</v>
      </c>
      <c r="J574">
        <v>2018</v>
      </c>
      <c r="M574" t="s">
        <v>174</v>
      </c>
      <c r="T574" t="s">
        <v>68</v>
      </c>
      <c r="U574" t="s">
        <v>167</v>
      </c>
      <c r="V574" t="s">
        <v>442</v>
      </c>
      <c r="Z574" t="s">
        <v>177</v>
      </c>
      <c r="AA574" t="s">
        <v>177</v>
      </c>
      <c r="AB574" t="s">
        <v>50</v>
      </c>
      <c r="AC574" t="s">
        <v>51</v>
      </c>
      <c r="AD574" t="s">
        <v>52</v>
      </c>
      <c r="AE574" t="s">
        <v>53</v>
      </c>
      <c r="AF574" t="s">
        <v>52</v>
      </c>
      <c r="AG574" t="s">
        <v>54</v>
      </c>
      <c r="AH574" t="s">
        <v>55</v>
      </c>
      <c r="AK574">
        <v>3</v>
      </c>
      <c r="AL574">
        <v>3</v>
      </c>
      <c r="AN574">
        <v>392</v>
      </c>
      <c r="AO574">
        <v>2</v>
      </c>
      <c r="AP574" t="s">
        <v>56</v>
      </c>
      <c r="AQ574" t="s">
        <v>57</v>
      </c>
      <c r="AR574">
        <v>8.1999999999999993</v>
      </c>
      <c r="AS574">
        <v>0</v>
      </c>
      <c r="AT574" t="s">
        <v>56</v>
      </c>
      <c r="AU574">
        <v>856</v>
      </c>
      <c r="AV574">
        <v>5</v>
      </c>
      <c r="AW574" t="s">
        <v>56</v>
      </c>
      <c r="AX574">
        <v>7.91</v>
      </c>
      <c r="AY574">
        <v>0</v>
      </c>
      <c r="AZ574" t="s">
        <v>56</v>
      </c>
      <c r="BB574">
        <f>LOG(AU574)</f>
        <v>2.932473764677153</v>
      </c>
      <c r="BC574">
        <v>24</v>
      </c>
      <c r="BD574">
        <v>0.1</v>
      </c>
      <c r="BE574" t="s">
        <v>56</v>
      </c>
      <c r="BF574">
        <v>24</v>
      </c>
      <c r="BG574">
        <v>0.1</v>
      </c>
      <c r="BH574" t="s">
        <v>56</v>
      </c>
      <c r="BI574">
        <v>464</v>
      </c>
      <c r="BJ574">
        <v>0</v>
      </c>
      <c r="BK574" t="s">
        <v>56</v>
      </c>
      <c r="BL574" t="s">
        <v>453</v>
      </c>
      <c r="BM574" t="s">
        <v>454</v>
      </c>
      <c r="BN574" t="s">
        <v>60</v>
      </c>
      <c r="BO574" t="s">
        <v>56</v>
      </c>
      <c r="BP574" t="s">
        <v>194</v>
      </c>
      <c r="BR574" t="s">
        <v>63</v>
      </c>
      <c r="BT574">
        <v>7.46</v>
      </c>
      <c r="BU574">
        <v>7.46</v>
      </c>
      <c r="BV574">
        <v>0.02</v>
      </c>
      <c r="BW574">
        <f>BV574*SQRT(AK574)</f>
        <v>3.4641016151377546E-2</v>
      </c>
      <c r="BX574">
        <v>7.01</v>
      </c>
      <c r="BY574">
        <v>7.01</v>
      </c>
      <c r="BZ574">
        <v>0.05</v>
      </c>
      <c r="CA574">
        <f>BZ574*SQRT(AL574)</f>
        <v>8.6602540378443865E-2</v>
      </c>
      <c r="CB574">
        <v>56</v>
      </c>
      <c r="CC574">
        <v>3</v>
      </c>
      <c r="CD574">
        <v>-6.2E-2</v>
      </c>
      <c r="CE574">
        <v>1E-4</v>
      </c>
    </row>
    <row r="575" spans="1:84" s="8" customFormat="1" hidden="1" x14ac:dyDescent="0.2">
      <c r="A575"/>
      <c r="B575" t="str">
        <f>ROW()-1&amp;"_AltersInvert"</f>
        <v>574_AltersInvert</v>
      </c>
      <c r="C575" t="str">
        <f>D575&amp;"_"&amp;
SUBSTITUTE(TRIM(V575)," ","_")&amp;"_"&amp;
TRIM(AC575)&amp;"_"&amp;
"CO2"&amp;TEXT(AN575,"0.00")&amp;"_"&amp;
"pH"&amp;TEXT(AR575,"0.00")&amp;"_"&amp;
"T"&amp;TEXT(BC575,"0.##")</f>
        <v>112_Loligo_vulgaris_LARVA_CO2433.00_pH8.03_T13.2</v>
      </c>
      <c r="D575">
        <v>112</v>
      </c>
      <c r="E575"/>
      <c r="F575"/>
      <c r="G575" t="s">
        <v>43</v>
      </c>
      <c r="H575" t="s">
        <v>832</v>
      </c>
      <c r="I575"/>
      <c r="J575">
        <v>2014</v>
      </c>
      <c r="K575"/>
      <c r="L575"/>
      <c r="M575" t="s">
        <v>463</v>
      </c>
      <c r="N575"/>
      <c r="O575"/>
      <c r="P575" t="s">
        <v>1135</v>
      </c>
      <c r="Q575"/>
      <c r="R575" t="s">
        <v>1127</v>
      </c>
      <c r="S575" t="s">
        <v>1128</v>
      </c>
      <c r="T575" t="s">
        <v>68</v>
      </c>
      <c r="U575" t="s">
        <v>693</v>
      </c>
      <c r="V575" t="s">
        <v>833</v>
      </c>
      <c r="W575"/>
      <c r="X575"/>
      <c r="Y575"/>
      <c r="Z575" t="s">
        <v>49</v>
      </c>
      <c r="AA575" t="s">
        <v>49</v>
      </c>
      <c r="AB575" t="s">
        <v>71</v>
      </c>
      <c r="AC575" t="s">
        <v>72</v>
      </c>
      <c r="AD575" t="s">
        <v>52</v>
      </c>
      <c r="AE575" t="s">
        <v>53</v>
      </c>
      <c r="AF575" t="s">
        <v>52</v>
      </c>
      <c r="AG575" t="s">
        <v>52</v>
      </c>
      <c r="AH575" t="s">
        <v>64</v>
      </c>
      <c r="AI575"/>
      <c r="AJ575"/>
      <c r="AK575">
        <v>60</v>
      </c>
      <c r="AL575">
        <v>60</v>
      </c>
      <c r="AM575"/>
      <c r="AN575">
        <v>433</v>
      </c>
      <c r="AO575" t="s">
        <v>56</v>
      </c>
      <c r="AP575">
        <v>24</v>
      </c>
      <c r="AQ575" t="s">
        <v>109</v>
      </c>
      <c r="AR575">
        <v>8.0299999999999994</v>
      </c>
      <c r="AS575" t="s">
        <v>56</v>
      </c>
      <c r="AT575">
        <v>0.02</v>
      </c>
      <c r="AU575">
        <v>1641</v>
      </c>
      <c r="AV575" t="s">
        <v>56</v>
      </c>
      <c r="AW575">
        <v>80</v>
      </c>
      <c r="AX575">
        <v>7.53</v>
      </c>
      <c r="AY575" t="s">
        <v>56</v>
      </c>
      <c r="AZ575">
        <v>0.02</v>
      </c>
      <c r="BA575"/>
      <c r="BB575">
        <f>LOG(AU575)</f>
        <v>3.2151085810530931</v>
      </c>
      <c r="BC575">
        <v>13.2</v>
      </c>
      <c r="BD575" t="s">
        <v>56</v>
      </c>
      <c r="BE575">
        <v>0.3</v>
      </c>
      <c r="BF575">
        <v>15.3</v>
      </c>
      <c r="BG575" t="s">
        <v>56</v>
      </c>
      <c r="BH575">
        <v>0.2</v>
      </c>
      <c r="BI575">
        <v>1208</v>
      </c>
      <c r="BJ575">
        <v>2.1</v>
      </c>
      <c r="BK575" t="s">
        <v>834</v>
      </c>
      <c r="BL575" t="s">
        <v>837</v>
      </c>
      <c r="BM575" t="s">
        <v>305</v>
      </c>
      <c r="BN575" t="s">
        <v>81</v>
      </c>
      <c r="BO575" t="s">
        <v>838</v>
      </c>
      <c r="BP575" t="s">
        <v>194</v>
      </c>
      <c r="BQ575" t="s">
        <v>194</v>
      </c>
      <c r="BR575" t="s">
        <v>63</v>
      </c>
      <c r="BS575"/>
      <c r="BT575">
        <v>32.9</v>
      </c>
      <c r="BU575">
        <v>32.902808</v>
      </c>
      <c r="BV575">
        <v>7.0000000000000007E-2</v>
      </c>
      <c r="BW575">
        <f>BV575*SQRT(AK575)</f>
        <v>0.54221766846903841</v>
      </c>
      <c r="BX575">
        <v>36.25</v>
      </c>
      <c r="BY575">
        <v>36.254859600000003</v>
      </c>
      <c r="BZ575">
        <v>0.04</v>
      </c>
      <c r="CA575">
        <f>BZ575*SQRT(AL575)</f>
        <v>0.30983866769659335</v>
      </c>
      <c r="CB575">
        <v>15</v>
      </c>
      <c r="CC575">
        <v>10</v>
      </c>
      <c r="CD575">
        <v>9.7000000000000003E-2</v>
      </c>
      <c r="CE575">
        <v>1E-4</v>
      </c>
      <c r="CF575"/>
    </row>
    <row r="576" spans="1:84" hidden="1" x14ac:dyDescent="0.2">
      <c r="D576">
        <v>40</v>
      </c>
      <c r="G576" t="s">
        <v>43</v>
      </c>
      <c r="H576" t="s">
        <v>441</v>
      </c>
      <c r="J576">
        <v>2018</v>
      </c>
      <c r="M576" t="s">
        <v>174</v>
      </c>
      <c r="T576" t="s">
        <v>68</v>
      </c>
      <c r="U576" t="s">
        <v>167</v>
      </c>
      <c r="V576" t="s">
        <v>442</v>
      </c>
      <c r="Z576" t="s">
        <v>177</v>
      </c>
      <c r="AA576" t="s">
        <v>177</v>
      </c>
      <c r="AB576" t="s">
        <v>50</v>
      </c>
      <c r="AC576" t="s">
        <v>51</v>
      </c>
      <c r="AD576" t="s">
        <v>52</v>
      </c>
      <c r="AE576" t="s">
        <v>53</v>
      </c>
      <c r="AF576" t="s">
        <v>54</v>
      </c>
      <c r="AG576" t="s">
        <v>52</v>
      </c>
      <c r="AH576" t="s">
        <v>65</v>
      </c>
      <c r="AK576">
        <v>3</v>
      </c>
      <c r="AL576">
        <v>3</v>
      </c>
      <c r="AN576">
        <v>392</v>
      </c>
      <c r="AO576">
        <v>2</v>
      </c>
      <c r="AP576" t="s">
        <v>56</v>
      </c>
      <c r="AQ576" t="s">
        <v>57</v>
      </c>
      <c r="AR576">
        <v>8.1999999999999993</v>
      </c>
      <c r="AS576">
        <v>0</v>
      </c>
      <c r="AT576" t="s">
        <v>56</v>
      </c>
      <c r="AU576">
        <v>393</v>
      </c>
      <c r="AV576">
        <v>4</v>
      </c>
      <c r="AW576" t="s">
        <v>56</v>
      </c>
      <c r="AX576">
        <v>8.1999999999999993</v>
      </c>
      <c r="AY576">
        <v>0</v>
      </c>
      <c r="AZ576" t="s">
        <v>56</v>
      </c>
      <c r="BB576">
        <f>LOG(AU576)</f>
        <v>2.5943925503754266</v>
      </c>
      <c r="BC576">
        <v>24</v>
      </c>
      <c r="BD576">
        <v>0.1</v>
      </c>
      <c r="BE576" t="s">
        <v>56</v>
      </c>
      <c r="BF576">
        <v>28</v>
      </c>
      <c r="BG576">
        <v>0.1</v>
      </c>
      <c r="BH576" t="s">
        <v>56</v>
      </c>
      <c r="BI576">
        <v>1</v>
      </c>
      <c r="BJ576">
        <v>4</v>
      </c>
      <c r="BK576" t="s">
        <v>56</v>
      </c>
      <c r="BL576" t="s">
        <v>448</v>
      </c>
      <c r="BM576" t="s">
        <v>90</v>
      </c>
      <c r="BN576" t="s">
        <v>81</v>
      </c>
      <c r="BO576" t="s">
        <v>449</v>
      </c>
      <c r="BP576" t="s">
        <v>450</v>
      </c>
      <c r="BR576" t="s">
        <v>63</v>
      </c>
      <c r="BT576">
        <v>52.24</v>
      </c>
      <c r="BU576">
        <v>52.24</v>
      </c>
      <c r="BV576">
        <v>0.36</v>
      </c>
      <c r="BW576">
        <f>BV576*SQRT(AK576)</f>
        <v>0.62353829072479572</v>
      </c>
      <c r="BX576">
        <v>49.5</v>
      </c>
      <c r="BY576">
        <v>49.5</v>
      </c>
      <c r="BZ576">
        <v>0.84</v>
      </c>
      <c r="CA576">
        <f>BZ576*SQRT(AL576)</f>
        <v>1.4549226783578568</v>
      </c>
      <c r="CB576">
        <v>56</v>
      </c>
      <c r="CC576">
        <v>3</v>
      </c>
      <c r="CD576">
        <v>-5.3999999999999999E-2</v>
      </c>
      <c r="CE576">
        <v>2.9999999999999997E-4</v>
      </c>
    </row>
    <row r="577" spans="1:84" hidden="1" x14ac:dyDescent="0.2">
      <c r="D577">
        <v>40</v>
      </c>
      <c r="G577" t="s">
        <v>43</v>
      </c>
      <c r="H577" t="s">
        <v>441</v>
      </c>
      <c r="J577">
        <v>2018</v>
      </c>
      <c r="M577" t="s">
        <v>174</v>
      </c>
      <c r="T577" t="s">
        <v>68</v>
      </c>
      <c r="U577" t="s">
        <v>167</v>
      </c>
      <c r="V577" t="s">
        <v>442</v>
      </c>
      <c r="Z577" t="s">
        <v>177</v>
      </c>
      <c r="AA577" t="s">
        <v>177</v>
      </c>
      <c r="AB577" t="s">
        <v>50</v>
      </c>
      <c r="AC577" t="s">
        <v>51</v>
      </c>
      <c r="AD577" t="s">
        <v>52</v>
      </c>
      <c r="AE577" t="s">
        <v>53</v>
      </c>
      <c r="AF577" t="s">
        <v>52</v>
      </c>
      <c r="AG577" t="s">
        <v>52</v>
      </c>
      <c r="AH577" t="s">
        <v>64</v>
      </c>
      <c r="AK577">
        <v>3</v>
      </c>
      <c r="AL577">
        <v>3</v>
      </c>
      <c r="AN577">
        <v>392</v>
      </c>
      <c r="AO577">
        <v>2</v>
      </c>
      <c r="AP577" t="s">
        <v>56</v>
      </c>
      <c r="AQ577" t="s">
        <v>57</v>
      </c>
      <c r="AR577">
        <v>8.1999999999999993</v>
      </c>
      <c r="AS577">
        <v>0</v>
      </c>
      <c r="AT577" t="s">
        <v>56</v>
      </c>
      <c r="AU577">
        <v>855</v>
      </c>
      <c r="AV577">
        <v>3</v>
      </c>
      <c r="AW577" t="s">
        <v>56</v>
      </c>
      <c r="AX577">
        <v>7.92</v>
      </c>
      <c r="AY577">
        <v>0</v>
      </c>
      <c r="AZ577" t="s">
        <v>56</v>
      </c>
      <c r="BB577">
        <f>LOG(AU577)</f>
        <v>2.9319661147281728</v>
      </c>
      <c r="BC577">
        <v>24</v>
      </c>
      <c r="BD577">
        <v>0.1</v>
      </c>
      <c r="BE577" t="s">
        <v>56</v>
      </c>
      <c r="BF577">
        <v>28</v>
      </c>
      <c r="BG577">
        <v>0.1</v>
      </c>
      <c r="BH577" t="s">
        <v>56</v>
      </c>
      <c r="BI577">
        <v>463</v>
      </c>
      <c r="BJ577">
        <v>4</v>
      </c>
      <c r="BK577" t="s">
        <v>56</v>
      </c>
      <c r="BL577" t="s">
        <v>88</v>
      </c>
      <c r="BM577" t="s">
        <v>83</v>
      </c>
      <c r="BN577" t="s">
        <v>81</v>
      </c>
      <c r="BO577" t="s">
        <v>82</v>
      </c>
      <c r="BP577" t="s">
        <v>83</v>
      </c>
      <c r="BR577" t="s">
        <v>84</v>
      </c>
      <c r="BT577">
        <v>0.43</v>
      </c>
      <c r="BU577">
        <v>99.57</v>
      </c>
      <c r="BV577">
        <v>0.43</v>
      </c>
      <c r="BW577">
        <f>BV577*SQRT(AK577)</f>
        <v>0.74478184725461716</v>
      </c>
      <c r="BX577">
        <v>4.7</v>
      </c>
      <c r="BY577">
        <v>95.3</v>
      </c>
      <c r="BZ577">
        <v>0.43</v>
      </c>
      <c r="CA577">
        <f>BZ577*SQRT(AL577)</f>
        <v>0.74478184725461716</v>
      </c>
      <c r="CB577">
        <v>56</v>
      </c>
      <c r="CC577">
        <v>3</v>
      </c>
      <c r="CD577">
        <v>-4.3999999999999997E-2</v>
      </c>
      <c r="CE577">
        <v>1E-4</v>
      </c>
    </row>
    <row r="578" spans="1:84" hidden="1" x14ac:dyDescent="0.2">
      <c r="D578">
        <v>40</v>
      </c>
      <c r="G578" t="s">
        <v>43</v>
      </c>
      <c r="H578" t="s">
        <v>441</v>
      </c>
      <c r="J578">
        <v>2018</v>
      </c>
      <c r="M578" t="s">
        <v>174</v>
      </c>
      <c r="T578" t="s">
        <v>68</v>
      </c>
      <c r="U578" t="s">
        <v>167</v>
      </c>
      <c r="V578" t="s">
        <v>442</v>
      </c>
      <c r="Z578" t="s">
        <v>177</v>
      </c>
      <c r="AA578" t="s">
        <v>177</v>
      </c>
      <c r="AB578" t="s">
        <v>50</v>
      </c>
      <c r="AC578" t="s">
        <v>51</v>
      </c>
      <c r="AD578" t="s">
        <v>52</v>
      </c>
      <c r="AE578" t="s">
        <v>53</v>
      </c>
      <c r="AF578" t="s">
        <v>54</v>
      </c>
      <c r="AG578" t="s">
        <v>52</v>
      </c>
      <c r="AH578" t="s">
        <v>65</v>
      </c>
      <c r="AK578">
        <v>3</v>
      </c>
      <c r="AL578">
        <v>3</v>
      </c>
      <c r="AN578">
        <v>392</v>
      </c>
      <c r="AO578">
        <v>2</v>
      </c>
      <c r="AP578" t="s">
        <v>56</v>
      </c>
      <c r="AQ578" t="s">
        <v>57</v>
      </c>
      <c r="AR578">
        <v>8.1999999999999993</v>
      </c>
      <c r="AS578">
        <v>0</v>
      </c>
      <c r="AT578" t="s">
        <v>56</v>
      </c>
      <c r="AU578">
        <v>393</v>
      </c>
      <c r="AV578">
        <v>4</v>
      </c>
      <c r="AW578" t="s">
        <v>56</v>
      </c>
      <c r="AX578">
        <v>8.1999999999999993</v>
      </c>
      <c r="AY578">
        <v>0</v>
      </c>
      <c r="AZ578" t="s">
        <v>56</v>
      </c>
      <c r="BB578">
        <f>LOG(AU578)</f>
        <v>2.5943925503754266</v>
      </c>
      <c r="BC578">
        <v>24</v>
      </c>
      <c r="BD578">
        <v>0.1</v>
      </c>
      <c r="BE578" t="s">
        <v>56</v>
      </c>
      <c r="BF578">
        <v>28</v>
      </c>
      <c r="BG578">
        <v>0.1</v>
      </c>
      <c r="BH578" t="s">
        <v>56</v>
      </c>
      <c r="BI578">
        <v>1</v>
      </c>
      <c r="BJ578">
        <v>4</v>
      </c>
      <c r="BK578" t="s">
        <v>56</v>
      </c>
      <c r="BL578" t="s">
        <v>88</v>
      </c>
      <c r="BM578" t="s">
        <v>83</v>
      </c>
      <c r="BN578" t="s">
        <v>81</v>
      </c>
      <c r="BO578" t="s">
        <v>82</v>
      </c>
      <c r="BP578" t="s">
        <v>83</v>
      </c>
      <c r="BR578" t="s">
        <v>84</v>
      </c>
      <c r="BT578">
        <v>0.43</v>
      </c>
      <c r="BU578">
        <v>99.57</v>
      </c>
      <c r="BV578">
        <v>0.43</v>
      </c>
      <c r="BW578">
        <f>BV578*SQRT(AK578)</f>
        <v>0.74478184725461716</v>
      </c>
      <c r="BX578">
        <v>3.42</v>
      </c>
      <c r="BY578">
        <v>96.58</v>
      </c>
      <c r="BZ578">
        <v>0.85</v>
      </c>
      <c r="CA578">
        <f>BZ578*SQRT(AL578)</f>
        <v>1.4722431864335457</v>
      </c>
      <c r="CB578">
        <v>56</v>
      </c>
      <c r="CC578">
        <v>3</v>
      </c>
      <c r="CD578">
        <v>-0.03</v>
      </c>
      <c r="CE578">
        <v>1E-4</v>
      </c>
    </row>
    <row r="579" spans="1:84" hidden="1" x14ac:dyDescent="0.2">
      <c r="D579">
        <v>40</v>
      </c>
      <c r="G579" t="s">
        <v>43</v>
      </c>
      <c r="H579" t="s">
        <v>441</v>
      </c>
      <c r="J579">
        <v>2018</v>
      </c>
      <c r="M579" t="s">
        <v>174</v>
      </c>
      <c r="T579" t="s">
        <v>68</v>
      </c>
      <c r="U579" t="s">
        <v>167</v>
      </c>
      <c r="V579" t="s">
        <v>442</v>
      </c>
      <c r="Z579" t="s">
        <v>177</v>
      </c>
      <c r="AA579" t="s">
        <v>177</v>
      </c>
      <c r="AB579" t="s">
        <v>50</v>
      </c>
      <c r="AC579" t="s">
        <v>51</v>
      </c>
      <c r="AD579" t="s">
        <v>52</v>
      </c>
      <c r="AE579" t="s">
        <v>53</v>
      </c>
      <c r="AF579" t="s">
        <v>52</v>
      </c>
      <c r="AG579" t="s">
        <v>54</v>
      </c>
      <c r="AH579" t="s">
        <v>55</v>
      </c>
      <c r="AK579">
        <v>3</v>
      </c>
      <c r="AL579">
        <v>3</v>
      </c>
      <c r="AN579">
        <v>392</v>
      </c>
      <c r="AO579">
        <v>2</v>
      </c>
      <c r="AP579" t="s">
        <v>56</v>
      </c>
      <c r="AQ579" t="s">
        <v>57</v>
      </c>
      <c r="AR579">
        <v>8.1999999999999993</v>
      </c>
      <c r="AS579">
        <v>0</v>
      </c>
      <c r="AT579" t="s">
        <v>56</v>
      </c>
      <c r="AU579">
        <v>856</v>
      </c>
      <c r="AV579">
        <v>5</v>
      </c>
      <c r="AW579" t="s">
        <v>56</v>
      </c>
      <c r="AX579">
        <v>7.91</v>
      </c>
      <c r="AY579">
        <v>0</v>
      </c>
      <c r="AZ579" t="s">
        <v>56</v>
      </c>
      <c r="BB579">
        <f>LOG(AU579)</f>
        <v>2.932473764677153</v>
      </c>
      <c r="BC579">
        <v>24</v>
      </c>
      <c r="BD579">
        <v>0.1</v>
      </c>
      <c r="BE579" t="s">
        <v>56</v>
      </c>
      <c r="BF579">
        <v>24</v>
      </c>
      <c r="BG579">
        <v>0.1</v>
      </c>
      <c r="BH579" t="s">
        <v>56</v>
      </c>
      <c r="BI579">
        <v>464</v>
      </c>
      <c r="BJ579">
        <v>0</v>
      </c>
      <c r="BK579" t="s">
        <v>56</v>
      </c>
      <c r="BL579" t="s">
        <v>88</v>
      </c>
      <c r="BM579" t="s">
        <v>83</v>
      </c>
      <c r="BN579" t="s">
        <v>81</v>
      </c>
      <c r="BO579" t="s">
        <v>82</v>
      </c>
      <c r="BP579" t="s">
        <v>83</v>
      </c>
      <c r="BR579" t="s">
        <v>84</v>
      </c>
      <c r="BT579">
        <v>0.43</v>
      </c>
      <c r="BU579">
        <v>99.57</v>
      </c>
      <c r="BV579">
        <v>0.43</v>
      </c>
      <c r="BW579">
        <f>BV579*SQRT(AK579)</f>
        <v>0.74478184725461716</v>
      </c>
      <c r="BX579">
        <v>2.99</v>
      </c>
      <c r="BY579">
        <v>97.01</v>
      </c>
      <c r="BZ579">
        <v>0.43</v>
      </c>
      <c r="CA579">
        <f>BZ579*SQRT(AL579)</f>
        <v>0.74478184725461716</v>
      </c>
      <c r="CB579">
        <v>56</v>
      </c>
      <c r="CC579">
        <v>3</v>
      </c>
      <c r="CD579">
        <v>-2.5999999999999999E-2</v>
      </c>
      <c r="CE579">
        <v>1E-4</v>
      </c>
    </row>
    <row r="580" spans="1:84" s="8" customFormat="1" hidden="1" x14ac:dyDescent="0.2">
      <c r="A580"/>
      <c r="B580" t="str">
        <f>ROW()-1&amp;"_AltersInvert"</f>
        <v>579_AltersInvert</v>
      </c>
      <c r="C580" t="str">
        <f>D580&amp;"_"&amp;
SUBSTITUTE(TRIM(V580)," ","_")&amp;"_"&amp;
TRIM(AC580)&amp;"_"&amp;
"CO2"&amp;TEXT(AN580,"0.00")&amp;"_"&amp;
"pH"&amp;TEXT(AR580,"0.00")&amp;"_"&amp;
"T"&amp;TEXT(BC580,"0.##")</f>
        <v>192_Balanus_amphitrite_LARVA_CO2416.00_pHNA_T29.8</v>
      </c>
      <c r="D580">
        <v>192</v>
      </c>
      <c r="E580"/>
      <c r="F580"/>
      <c r="G580" t="s">
        <v>43</v>
      </c>
      <c r="H580" t="s">
        <v>911</v>
      </c>
      <c r="I580"/>
      <c r="J580">
        <v>2015</v>
      </c>
      <c r="K580"/>
      <c r="L580"/>
      <c r="M580" t="s">
        <v>45</v>
      </c>
      <c r="N580"/>
      <c r="O580"/>
      <c r="P580" t="s">
        <v>1135</v>
      </c>
      <c r="Q580"/>
      <c r="R580" t="s">
        <v>1127</v>
      </c>
      <c r="S580" t="s">
        <v>1128</v>
      </c>
      <c r="T580" t="s">
        <v>131</v>
      </c>
      <c r="U580" t="s">
        <v>860</v>
      </c>
      <c r="V580" t="s">
        <v>912</v>
      </c>
      <c r="W580"/>
      <c r="X580"/>
      <c r="Y580"/>
      <c r="Z580" t="s">
        <v>106</v>
      </c>
      <c r="AA580" t="s">
        <v>107</v>
      </c>
      <c r="AB580" t="s">
        <v>71</v>
      </c>
      <c r="AC580" t="s">
        <v>72</v>
      </c>
      <c r="AD580" t="s">
        <v>52</v>
      </c>
      <c r="AE580" t="s">
        <v>53</v>
      </c>
      <c r="AF580" t="s">
        <v>52</v>
      </c>
      <c r="AG580" t="s">
        <v>54</v>
      </c>
      <c r="AH580" t="s">
        <v>55</v>
      </c>
      <c r="AI580"/>
      <c r="AJ580"/>
      <c r="AK580">
        <v>3</v>
      </c>
      <c r="AL580">
        <v>3</v>
      </c>
      <c r="AM580"/>
      <c r="AN580">
        <v>416</v>
      </c>
      <c r="AO580" t="s">
        <v>56</v>
      </c>
      <c r="AP580">
        <v>31</v>
      </c>
      <c r="AQ580" t="s">
        <v>56</v>
      </c>
      <c r="AR580" t="s">
        <v>56</v>
      </c>
      <c r="AS580" t="s">
        <v>56</v>
      </c>
      <c r="AT580" t="s">
        <v>56</v>
      </c>
      <c r="AU580">
        <v>784</v>
      </c>
      <c r="AV580" t="s">
        <v>56</v>
      </c>
      <c r="AW580">
        <v>19</v>
      </c>
      <c r="AX580" t="s">
        <v>56</v>
      </c>
      <c r="AY580" t="s">
        <v>56</v>
      </c>
      <c r="AZ580" t="s">
        <v>56</v>
      </c>
      <c r="BA580"/>
      <c r="BB580">
        <f>LOG(AU580)</f>
        <v>2.8943160626844384</v>
      </c>
      <c r="BC580">
        <v>29.8</v>
      </c>
      <c r="BD580" t="s">
        <v>56</v>
      </c>
      <c r="BE580">
        <v>0.2</v>
      </c>
      <c r="BF580">
        <v>29.8</v>
      </c>
      <c r="BG580" t="s">
        <v>56</v>
      </c>
      <c r="BH580">
        <v>0.2</v>
      </c>
      <c r="BI580">
        <v>368</v>
      </c>
      <c r="BJ580">
        <v>0</v>
      </c>
      <c r="BK580" t="s">
        <v>913</v>
      </c>
      <c r="BL580" t="s">
        <v>862</v>
      </c>
      <c r="BM580" t="s">
        <v>249</v>
      </c>
      <c r="BN580" t="s">
        <v>60</v>
      </c>
      <c r="BO580" t="s">
        <v>250</v>
      </c>
      <c r="BP580" t="s">
        <v>9</v>
      </c>
      <c r="BQ580" t="s">
        <v>9</v>
      </c>
      <c r="BR580" t="s">
        <v>63</v>
      </c>
      <c r="BS580"/>
      <c r="BT580">
        <v>4.66</v>
      </c>
      <c r="BU580">
        <v>4.66</v>
      </c>
      <c r="BV580">
        <v>0.33</v>
      </c>
      <c r="BW580">
        <f>BV580*SQRT(AK580)</f>
        <v>0.57157676649772948</v>
      </c>
      <c r="BX580">
        <v>4.66</v>
      </c>
      <c r="BY580">
        <v>4.66</v>
      </c>
      <c r="BZ580">
        <v>0.33</v>
      </c>
      <c r="CA580">
        <f>BZ580*SQRT(AL580)</f>
        <v>0.57157676649772948</v>
      </c>
      <c r="CB580">
        <v>5</v>
      </c>
      <c r="CC580">
        <v>3</v>
      </c>
      <c r="CD580">
        <v>0</v>
      </c>
      <c r="CE580">
        <v>0.01</v>
      </c>
      <c r="CF580"/>
    </row>
    <row r="581" spans="1:84" hidden="1" x14ac:dyDescent="0.2">
      <c r="D581">
        <v>40</v>
      </c>
      <c r="G581" t="s">
        <v>43</v>
      </c>
      <c r="H581" t="s">
        <v>441</v>
      </c>
      <c r="J581">
        <v>2018</v>
      </c>
      <c r="M581" t="s">
        <v>174</v>
      </c>
      <c r="T581" t="s">
        <v>68</v>
      </c>
      <c r="U581" t="s">
        <v>167</v>
      </c>
      <c r="V581" t="s">
        <v>442</v>
      </c>
      <c r="Z581" t="s">
        <v>177</v>
      </c>
      <c r="AA581" t="s">
        <v>177</v>
      </c>
      <c r="AB581" t="s">
        <v>50</v>
      </c>
      <c r="AC581" t="s">
        <v>51</v>
      </c>
      <c r="AD581" t="s">
        <v>52</v>
      </c>
      <c r="AE581" t="s">
        <v>53</v>
      </c>
      <c r="AF581" t="s">
        <v>52</v>
      </c>
      <c r="AG581" t="s">
        <v>54</v>
      </c>
      <c r="AH581" t="s">
        <v>55</v>
      </c>
      <c r="AK581">
        <v>3</v>
      </c>
      <c r="AL581">
        <v>3</v>
      </c>
      <c r="AN581">
        <v>392</v>
      </c>
      <c r="AO581">
        <v>2</v>
      </c>
      <c r="AP581" t="s">
        <v>56</v>
      </c>
      <c r="AQ581" t="s">
        <v>57</v>
      </c>
      <c r="AR581">
        <v>8.1999999999999993</v>
      </c>
      <c r="AS581">
        <v>0</v>
      </c>
      <c r="AT581" t="s">
        <v>56</v>
      </c>
      <c r="AU581">
        <v>856</v>
      </c>
      <c r="AV581">
        <v>5</v>
      </c>
      <c r="AW581" t="s">
        <v>56</v>
      </c>
      <c r="AX581">
        <v>7.91</v>
      </c>
      <c r="AY581">
        <v>0</v>
      </c>
      <c r="AZ581" t="s">
        <v>56</v>
      </c>
      <c r="BB581">
        <f>LOG(AU581)</f>
        <v>2.932473764677153</v>
      </c>
      <c r="BC581">
        <v>24</v>
      </c>
      <c r="BD581">
        <v>0.1</v>
      </c>
      <c r="BE581" t="s">
        <v>56</v>
      </c>
      <c r="BF581">
        <v>24</v>
      </c>
      <c r="BG581">
        <v>0.1</v>
      </c>
      <c r="BH581" t="s">
        <v>56</v>
      </c>
      <c r="BI581">
        <v>464</v>
      </c>
      <c r="BJ581">
        <v>0</v>
      </c>
      <c r="BK581" t="s">
        <v>56</v>
      </c>
      <c r="BL581" t="s">
        <v>448</v>
      </c>
      <c r="BM581" t="s">
        <v>90</v>
      </c>
      <c r="BN581" t="s">
        <v>81</v>
      </c>
      <c r="BO581" t="s">
        <v>449</v>
      </c>
      <c r="BP581" t="s">
        <v>450</v>
      </c>
      <c r="BR581" t="s">
        <v>63</v>
      </c>
      <c r="BT581">
        <v>52.24</v>
      </c>
      <c r="BU581">
        <v>52.24</v>
      </c>
      <c r="BV581">
        <v>0.36</v>
      </c>
      <c r="BW581">
        <f>BV581*SQRT(AK581)</f>
        <v>0.62353829072479572</v>
      </c>
      <c r="BX581">
        <v>51.85</v>
      </c>
      <c r="BY581">
        <v>51.85</v>
      </c>
      <c r="BZ581">
        <v>0.05</v>
      </c>
      <c r="CA581">
        <f>BZ581*SQRT(AL581)</f>
        <v>8.6602540378443865E-2</v>
      </c>
      <c r="CB581">
        <v>56</v>
      </c>
      <c r="CC581">
        <v>3</v>
      </c>
      <c r="CD581">
        <v>-7.0000000000000001E-3</v>
      </c>
      <c r="CE581">
        <v>1E-4</v>
      </c>
    </row>
    <row r="582" spans="1:84" hidden="1" x14ac:dyDescent="0.2">
      <c r="D582">
        <v>40</v>
      </c>
      <c r="G582" t="s">
        <v>43</v>
      </c>
      <c r="H582" t="s">
        <v>441</v>
      </c>
      <c r="J582">
        <v>2018</v>
      </c>
      <c r="M582" t="s">
        <v>174</v>
      </c>
      <c r="T582" t="s">
        <v>68</v>
      </c>
      <c r="U582" t="s">
        <v>167</v>
      </c>
      <c r="V582" t="s">
        <v>442</v>
      </c>
      <c r="Z582" t="s">
        <v>177</v>
      </c>
      <c r="AA582" t="s">
        <v>177</v>
      </c>
      <c r="AB582" t="s">
        <v>50</v>
      </c>
      <c r="AC582" t="s">
        <v>51</v>
      </c>
      <c r="AD582" t="s">
        <v>52</v>
      </c>
      <c r="AE582" t="s">
        <v>53</v>
      </c>
      <c r="AF582" t="s">
        <v>54</v>
      </c>
      <c r="AG582" t="s">
        <v>52</v>
      </c>
      <c r="AH582" t="s">
        <v>65</v>
      </c>
      <c r="AK582">
        <v>3</v>
      </c>
      <c r="AL582">
        <v>3</v>
      </c>
      <c r="AN582">
        <v>392</v>
      </c>
      <c r="AO582">
        <v>2</v>
      </c>
      <c r="AP582" t="s">
        <v>56</v>
      </c>
      <c r="AQ582" t="s">
        <v>57</v>
      </c>
      <c r="AR582">
        <v>8.1999999999999993</v>
      </c>
      <c r="AS582">
        <v>0</v>
      </c>
      <c r="AT582" t="s">
        <v>56</v>
      </c>
      <c r="AU582">
        <v>393</v>
      </c>
      <c r="AV582">
        <v>4</v>
      </c>
      <c r="AW582" t="s">
        <v>56</v>
      </c>
      <c r="AX582">
        <v>8.1999999999999993</v>
      </c>
      <c r="AY582">
        <v>0</v>
      </c>
      <c r="AZ582" t="s">
        <v>56</v>
      </c>
      <c r="BB582">
        <f>LOG(AU582)</f>
        <v>2.5943925503754266</v>
      </c>
      <c r="BC582">
        <v>24</v>
      </c>
      <c r="BD582">
        <v>0.1</v>
      </c>
      <c r="BE582" t="s">
        <v>56</v>
      </c>
      <c r="BF582">
        <v>28</v>
      </c>
      <c r="BG582">
        <v>0.1</v>
      </c>
      <c r="BH582" t="s">
        <v>56</v>
      </c>
      <c r="BI582">
        <v>1</v>
      </c>
      <c r="BJ582">
        <v>4</v>
      </c>
      <c r="BK582" t="s">
        <v>56</v>
      </c>
      <c r="BL582" t="s">
        <v>453</v>
      </c>
      <c r="BM582" t="s">
        <v>454</v>
      </c>
      <c r="BN582" t="s">
        <v>60</v>
      </c>
      <c r="BO582" t="s">
        <v>56</v>
      </c>
      <c r="BP582" t="s">
        <v>194</v>
      </c>
      <c r="BR582" t="s">
        <v>63</v>
      </c>
      <c r="BT582">
        <v>7.46</v>
      </c>
      <c r="BU582">
        <v>7.46</v>
      </c>
      <c r="BV582">
        <v>0.02</v>
      </c>
      <c r="BW582">
        <f>BV582*SQRT(AK582)</f>
        <v>3.4641016151377546E-2</v>
      </c>
      <c r="BX582">
        <v>7.42</v>
      </c>
      <c r="BY582">
        <v>7.42</v>
      </c>
      <c r="BZ582">
        <v>0.01</v>
      </c>
      <c r="CA582">
        <f>BZ582*SQRT(AL582)</f>
        <v>1.7320508075688773E-2</v>
      </c>
      <c r="CB582">
        <v>56</v>
      </c>
      <c r="CC582">
        <v>3</v>
      </c>
      <c r="CD582">
        <v>-5.0000000000000001E-3</v>
      </c>
      <c r="CE582">
        <v>1E-4</v>
      </c>
    </row>
    <row r="583" spans="1:84" hidden="1" x14ac:dyDescent="0.2">
      <c r="D583">
        <v>40</v>
      </c>
      <c r="G583" t="s">
        <v>43</v>
      </c>
      <c r="H583" t="s">
        <v>441</v>
      </c>
      <c r="J583">
        <v>2018</v>
      </c>
      <c r="M583" t="s">
        <v>174</v>
      </c>
      <c r="T583" t="s">
        <v>68</v>
      </c>
      <c r="U583" t="s">
        <v>167</v>
      </c>
      <c r="V583" t="s">
        <v>442</v>
      </c>
      <c r="Z583" t="s">
        <v>177</v>
      </c>
      <c r="AA583" t="s">
        <v>177</v>
      </c>
      <c r="AB583" t="s">
        <v>50</v>
      </c>
      <c r="AC583" t="s">
        <v>51</v>
      </c>
      <c r="AD583" t="s">
        <v>52</v>
      </c>
      <c r="AE583" t="s">
        <v>53</v>
      </c>
      <c r="AF583" t="s">
        <v>54</v>
      </c>
      <c r="AG583" t="s">
        <v>52</v>
      </c>
      <c r="AH583" t="s">
        <v>65</v>
      </c>
      <c r="AK583">
        <v>3</v>
      </c>
      <c r="AL583">
        <v>3</v>
      </c>
      <c r="AN583">
        <v>392</v>
      </c>
      <c r="AO583">
        <v>2</v>
      </c>
      <c r="AP583" t="s">
        <v>56</v>
      </c>
      <c r="AQ583" t="s">
        <v>57</v>
      </c>
      <c r="AR583">
        <v>8.1999999999999993</v>
      </c>
      <c r="AS583">
        <v>0</v>
      </c>
      <c r="AT583" t="s">
        <v>56</v>
      </c>
      <c r="AU583">
        <v>393</v>
      </c>
      <c r="AV583">
        <v>4</v>
      </c>
      <c r="AW583" t="s">
        <v>56</v>
      </c>
      <c r="AX583">
        <v>8.1999999999999993</v>
      </c>
      <c r="AY583">
        <v>0</v>
      </c>
      <c r="AZ583" t="s">
        <v>56</v>
      </c>
      <c r="BB583">
        <f>LOG(AU583)</f>
        <v>2.5943925503754266</v>
      </c>
      <c r="BC583">
        <v>24</v>
      </c>
      <c r="BD583">
        <v>0.1</v>
      </c>
      <c r="BE583" t="s">
        <v>56</v>
      </c>
      <c r="BF583">
        <v>28</v>
      </c>
      <c r="BG583">
        <v>0.1</v>
      </c>
      <c r="BH583" t="s">
        <v>56</v>
      </c>
      <c r="BI583">
        <v>1</v>
      </c>
      <c r="BJ583">
        <v>4</v>
      </c>
      <c r="BK583" t="s">
        <v>56</v>
      </c>
      <c r="BL583" t="s">
        <v>455</v>
      </c>
      <c r="BM583" t="s">
        <v>455</v>
      </c>
      <c r="BN583" t="s">
        <v>60</v>
      </c>
      <c r="BO583" t="s">
        <v>82</v>
      </c>
      <c r="BP583" t="s">
        <v>9</v>
      </c>
      <c r="BR583" t="s">
        <v>84</v>
      </c>
      <c r="BT583">
        <v>61.73</v>
      </c>
      <c r="BU583">
        <v>61.73</v>
      </c>
      <c r="BV583">
        <v>6.53</v>
      </c>
      <c r="BW583">
        <f>BV583*SQRT(AK583)</f>
        <v>11.310291773424769</v>
      </c>
      <c r="BX583">
        <v>70.239999999999995</v>
      </c>
      <c r="BY583">
        <v>70.239999999999995</v>
      </c>
      <c r="BZ583">
        <v>1.19</v>
      </c>
      <c r="CA583">
        <f>BZ583*SQRT(AL583)</f>
        <v>2.0611404610069637</v>
      </c>
      <c r="CB583">
        <v>56</v>
      </c>
      <c r="CC583">
        <v>3</v>
      </c>
      <c r="CD583">
        <v>0.129</v>
      </c>
      <c r="CE583">
        <v>1.15E-2</v>
      </c>
    </row>
    <row r="584" spans="1:84" hidden="1" x14ac:dyDescent="0.2">
      <c r="D584">
        <v>40</v>
      </c>
      <c r="G584" t="s">
        <v>43</v>
      </c>
      <c r="H584" t="s">
        <v>441</v>
      </c>
      <c r="J584">
        <v>2018</v>
      </c>
      <c r="M584" t="s">
        <v>174</v>
      </c>
      <c r="T584" t="s">
        <v>68</v>
      </c>
      <c r="U584" t="s">
        <v>167</v>
      </c>
      <c r="V584" t="s">
        <v>442</v>
      </c>
      <c r="Z584" t="s">
        <v>177</v>
      </c>
      <c r="AA584" t="s">
        <v>177</v>
      </c>
      <c r="AB584" t="s">
        <v>50</v>
      </c>
      <c r="AC584" t="s">
        <v>51</v>
      </c>
      <c r="AD584" t="s">
        <v>52</v>
      </c>
      <c r="AE584" t="s">
        <v>53</v>
      </c>
      <c r="AF584" t="s">
        <v>54</v>
      </c>
      <c r="AG584" t="s">
        <v>52</v>
      </c>
      <c r="AH584" t="s">
        <v>65</v>
      </c>
      <c r="AK584">
        <v>3</v>
      </c>
      <c r="AL584">
        <v>3</v>
      </c>
      <c r="AN584">
        <v>392</v>
      </c>
      <c r="AO584">
        <v>2</v>
      </c>
      <c r="AP584" t="s">
        <v>56</v>
      </c>
      <c r="AQ584" t="s">
        <v>57</v>
      </c>
      <c r="AR584">
        <v>8.1999999999999993</v>
      </c>
      <c r="AS584">
        <v>0</v>
      </c>
      <c r="AT584" t="s">
        <v>56</v>
      </c>
      <c r="AU584">
        <v>393</v>
      </c>
      <c r="AV584">
        <v>4</v>
      </c>
      <c r="AW584" t="s">
        <v>56</v>
      </c>
      <c r="AX584">
        <v>8.1999999999999993</v>
      </c>
      <c r="AY584">
        <v>0</v>
      </c>
      <c r="AZ584" t="s">
        <v>56</v>
      </c>
      <c r="BB584">
        <f>LOG(AU584)</f>
        <v>2.5943925503754266</v>
      </c>
      <c r="BC584">
        <v>24</v>
      </c>
      <c r="BD584">
        <v>0.1</v>
      </c>
      <c r="BE584" t="s">
        <v>56</v>
      </c>
      <c r="BF584">
        <v>28</v>
      </c>
      <c r="BG584">
        <v>0.1</v>
      </c>
      <c r="BH584" t="s">
        <v>56</v>
      </c>
      <c r="BI584">
        <v>1</v>
      </c>
      <c r="BJ584">
        <v>4</v>
      </c>
      <c r="BK584" t="s">
        <v>56</v>
      </c>
      <c r="BL584" t="s">
        <v>443</v>
      </c>
      <c r="BM584" t="s">
        <v>192</v>
      </c>
      <c r="BN584" t="s">
        <v>60</v>
      </c>
      <c r="BO584" t="s">
        <v>444</v>
      </c>
      <c r="BP584" t="s">
        <v>194</v>
      </c>
      <c r="BR584" t="s">
        <v>63</v>
      </c>
      <c r="BT584">
        <v>45.19</v>
      </c>
      <c r="BU584">
        <v>45.19</v>
      </c>
      <c r="BV584">
        <v>11.07</v>
      </c>
      <c r="BW584">
        <f>BV584*SQRT(AK584)</f>
        <v>19.173802439787472</v>
      </c>
      <c r="BX584">
        <v>55.34</v>
      </c>
      <c r="BY584">
        <v>55.34</v>
      </c>
      <c r="BZ584">
        <v>8.11</v>
      </c>
      <c r="CA584">
        <f>BZ584*SQRT(AL584)</f>
        <v>14.046932049383592</v>
      </c>
      <c r="CB584">
        <v>56</v>
      </c>
      <c r="CC584">
        <v>3</v>
      </c>
      <c r="CD584">
        <v>0.20300000000000001</v>
      </c>
      <c r="CE584">
        <v>8.1500000000000003E-2</v>
      </c>
    </row>
    <row r="585" spans="1:84" hidden="1" x14ac:dyDescent="0.2">
      <c r="D585">
        <v>40</v>
      </c>
      <c r="G585" t="s">
        <v>43</v>
      </c>
      <c r="H585" t="s">
        <v>441</v>
      </c>
      <c r="J585">
        <v>2018</v>
      </c>
      <c r="M585" t="s">
        <v>174</v>
      </c>
      <c r="T585" t="s">
        <v>68</v>
      </c>
      <c r="U585" t="s">
        <v>167</v>
      </c>
      <c r="V585" t="s">
        <v>442</v>
      </c>
      <c r="Z585" t="s">
        <v>177</v>
      </c>
      <c r="AA585" t="s">
        <v>177</v>
      </c>
      <c r="AB585" t="s">
        <v>50</v>
      </c>
      <c r="AC585" t="s">
        <v>51</v>
      </c>
      <c r="AD585" t="s">
        <v>52</v>
      </c>
      <c r="AE585" t="s">
        <v>53</v>
      </c>
      <c r="AF585" t="s">
        <v>52</v>
      </c>
      <c r="AG585" t="s">
        <v>54</v>
      </c>
      <c r="AH585" t="s">
        <v>55</v>
      </c>
      <c r="AK585">
        <v>3</v>
      </c>
      <c r="AL585">
        <v>3</v>
      </c>
      <c r="AN585">
        <v>392</v>
      </c>
      <c r="AO585">
        <v>2</v>
      </c>
      <c r="AP585" t="s">
        <v>56</v>
      </c>
      <c r="AQ585" t="s">
        <v>57</v>
      </c>
      <c r="AR585">
        <v>8.1999999999999993</v>
      </c>
      <c r="AS585">
        <v>0</v>
      </c>
      <c r="AT585" t="s">
        <v>56</v>
      </c>
      <c r="AU585">
        <v>856</v>
      </c>
      <c r="AV585">
        <v>5</v>
      </c>
      <c r="AW585" t="s">
        <v>56</v>
      </c>
      <c r="AX585">
        <v>7.91</v>
      </c>
      <c r="AY585">
        <v>0</v>
      </c>
      <c r="AZ585" t="s">
        <v>56</v>
      </c>
      <c r="BB585">
        <f>LOG(AU585)</f>
        <v>2.932473764677153</v>
      </c>
      <c r="BC585">
        <v>24</v>
      </c>
      <c r="BD585">
        <v>0.1</v>
      </c>
      <c r="BE585" t="s">
        <v>56</v>
      </c>
      <c r="BF585">
        <v>24</v>
      </c>
      <c r="BG585">
        <v>0.1</v>
      </c>
      <c r="BH585" t="s">
        <v>56</v>
      </c>
      <c r="BI585">
        <v>464</v>
      </c>
      <c r="BJ585">
        <v>0</v>
      </c>
      <c r="BK585" t="s">
        <v>56</v>
      </c>
      <c r="BL585" t="s">
        <v>455</v>
      </c>
      <c r="BM585" t="s">
        <v>455</v>
      </c>
      <c r="BN585" t="s">
        <v>60</v>
      </c>
      <c r="BO585" t="s">
        <v>82</v>
      </c>
      <c r="BP585" t="s">
        <v>9</v>
      </c>
      <c r="BR585" t="s">
        <v>84</v>
      </c>
      <c r="BT585">
        <v>61.73</v>
      </c>
      <c r="BU585">
        <v>61.73</v>
      </c>
      <c r="BV585">
        <v>6.53</v>
      </c>
      <c r="BW585">
        <f>BV585*SQRT(AK585)</f>
        <v>11.310291773424769</v>
      </c>
      <c r="BX585">
        <v>77.540000000000006</v>
      </c>
      <c r="BY585">
        <v>77.540000000000006</v>
      </c>
      <c r="BZ585">
        <v>5.58</v>
      </c>
      <c r="CA585">
        <f>BZ585*SQRT(AL585)</f>
        <v>9.6648435062343356</v>
      </c>
      <c r="CB585">
        <v>56</v>
      </c>
      <c r="CC585">
        <v>3</v>
      </c>
      <c r="CD585">
        <v>0.22800000000000001</v>
      </c>
      <c r="CE585">
        <v>1.6400000000000001E-2</v>
      </c>
    </row>
    <row r="586" spans="1:84" hidden="1" x14ac:dyDescent="0.2">
      <c r="D586">
        <v>40</v>
      </c>
      <c r="G586" t="s">
        <v>43</v>
      </c>
      <c r="H586" t="s">
        <v>441</v>
      </c>
      <c r="J586">
        <v>2018</v>
      </c>
      <c r="M586" t="s">
        <v>174</v>
      </c>
      <c r="T586" t="s">
        <v>68</v>
      </c>
      <c r="U586" t="s">
        <v>167</v>
      </c>
      <c r="V586" t="s">
        <v>442</v>
      </c>
      <c r="Z586" t="s">
        <v>177</v>
      </c>
      <c r="AA586" t="s">
        <v>177</v>
      </c>
      <c r="AB586" t="s">
        <v>50</v>
      </c>
      <c r="AC586" t="s">
        <v>51</v>
      </c>
      <c r="AD586" t="s">
        <v>52</v>
      </c>
      <c r="AE586" t="s">
        <v>53</v>
      </c>
      <c r="AF586" t="s">
        <v>52</v>
      </c>
      <c r="AG586" t="s">
        <v>52</v>
      </c>
      <c r="AH586" t="s">
        <v>64</v>
      </c>
      <c r="AK586">
        <v>3</v>
      </c>
      <c r="AL586">
        <v>3</v>
      </c>
      <c r="AN586">
        <v>392</v>
      </c>
      <c r="AO586">
        <v>2</v>
      </c>
      <c r="AP586" t="s">
        <v>56</v>
      </c>
      <c r="AQ586" t="s">
        <v>57</v>
      </c>
      <c r="AR586">
        <v>8.1999999999999993</v>
      </c>
      <c r="AS586">
        <v>0</v>
      </c>
      <c r="AT586" t="s">
        <v>56</v>
      </c>
      <c r="AU586">
        <v>855</v>
      </c>
      <c r="AV586">
        <v>3</v>
      </c>
      <c r="AW586" t="s">
        <v>56</v>
      </c>
      <c r="AX586">
        <v>7.92</v>
      </c>
      <c r="AY586">
        <v>0</v>
      </c>
      <c r="AZ586" t="s">
        <v>56</v>
      </c>
      <c r="BB586">
        <f>LOG(AU586)</f>
        <v>2.9319661147281728</v>
      </c>
      <c r="BC586">
        <v>24</v>
      </c>
      <c r="BD586">
        <v>0.1</v>
      </c>
      <c r="BE586" t="s">
        <v>56</v>
      </c>
      <c r="BF586">
        <v>28</v>
      </c>
      <c r="BG586">
        <v>0.1</v>
      </c>
      <c r="BH586" t="s">
        <v>56</v>
      </c>
      <c r="BI586">
        <v>463</v>
      </c>
      <c r="BJ586">
        <v>4</v>
      </c>
      <c r="BK586" t="s">
        <v>56</v>
      </c>
      <c r="BL586" t="s">
        <v>455</v>
      </c>
      <c r="BM586" t="s">
        <v>455</v>
      </c>
      <c r="BN586" t="s">
        <v>60</v>
      </c>
      <c r="BO586" t="s">
        <v>82</v>
      </c>
      <c r="BP586" t="s">
        <v>9</v>
      </c>
      <c r="BR586" t="s">
        <v>84</v>
      </c>
      <c r="BT586">
        <v>61.73</v>
      </c>
      <c r="BU586">
        <v>61.73</v>
      </c>
      <c r="BV586">
        <v>6.53</v>
      </c>
      <c r="BW586">
        <f>BV586*SQRT(AK586)</f>
        <v>11.310291773424769</v>
      </c>
      <c r="BX586">
        <v>77.78</v>
      </c>
      <c r="BY586">
        <v>77.78</v>
      </c>
      <c r="BZ586">
        <v>3.7</v>
      </c>
      <c r="CA586">
        <f>BZ586*SQRT(AL586)</f>
        <v>6.4085879880048457</v>
      </c>
      <c r="CB586">
        <v>56</v>
      </c>
      <c r="CC586">
        <v>3</v>
      </c>
      <c r="CD586">
        <v>0.23100000000000001</v>
      </c>
      <c r="CE586">
        <v>1.35E-2</v>
      </c>
    </row>
    <row r="587" spans="1:84" hidden="1" x14ac:dyDescent="0.2">
      <c r="D587">
        <v>40</v>
      </c>
      <c r="G587" t="s">
        <v>43</v>
      </c>
      <c r="H587" t="s">
        <v>441</v>
      </c>
      <c r="J587">
        <v>2018</v>
      </c>
      <c r="M587" t="s">
        <v>174</v>
      </c>
      <c r="T587" t="s">
        <v>68</v>
      </c>
      <c r="U587" t="s">
        <v>167</v>
      </c>
      <c r="V587" t="s">
        <v>442</v>
      </c>
      <c r="Z587" t="s">
        <v>177</v>
      </c>
      <c r="AA587" t="s">
        <v>177</v>
      </c>
      <c r="AB587" t="s">
        <v>50</v>
      </c>
      <c r="AC587" t="s">
        <v>51</v>
      </c>
      <c r="AD587" t="s">
        <v>52</v>
      </c>
      <c r="AE587" t="s">
        <v>53</v>
      </c>
      <c r="AF587" t="s">
        <v>52</v>
      </c>
      <c r="AG587" t="s">
        <v>52</v>
      </c>
      <c r="AH587" t="s">
        <v>64</v>
      </c>
      <c r="AK587">
        <v>3</v>
      </c>
      <c r="AL587">
        <v>3</v>
      </c>
      <c r="AN587">
        <v>392</v>
      </c>
      <c r="AO587">
        <v>2</v>
      </c>
      <c r="AP587" t="s">
        <v>56</v>
      </c>
      <c r="AQ587" t="s">
        <v>57</v>
      </c>
      <c r="AR587">
        <v>8.1999999999999993</v>
      </c>
      <c r="AS587">
        <v>0</v>
      </c>
      <c r="AT587" t="s">
        <v>56</v>
      </c>
      <c r="AU587">
        <v>855</v>
      </c>
      <c r="AV587">
        <v>3</v>
      </c>
      <c r="AW587" t="s">
        <v>56</v>
      </c>
      <c r="AX587">
        <v>7.92</v>
      </c>
      <c r="AY587">
        <v>0</v>
      </c>
      <c r="AZ587" t="s">
        <v>56</v>
      </c>
      <c r="BB587">
        <f>LOG(AU587)</f>
        <v>2.9319661147281728</v>
      </c>
      <c r="BC587">
        <v>24</v>
      </c>
      <c r="BD587">
        <v>0.1</v>
      </c>
      <c r="BE587" t="s">
        <v>56</v>
      </c>
      <c r="BF587">
        <v>28</v>
      </c>
      <c r="BG587">
        <v>0.1</v>
      </c>
      <c r="BH587" t="s">
        <v>56</v>
      </c>
      <c r="BI587">
        <v>463</v>
      </c>
      <c r="BJ587">
        <v>4</v>
      </c>
      <c r="BK587" t="s">
        <v>56</v>
      </c>
      <c r="BL587" t="s">
        <v>327</v>
      </c>
      <c r="BM587" t="s">
        <v>327</v>
      </c>
      <c r="BN587" t="s">
        <v>81</v>
      </c>
      <c r="BO587" t="s">
        <v>447</v>
      </c>
      <c r="BP587" t="s">
        <v>190</v>
      </c>
      <c r="BR587" t="s">
        <v>63</v>
      </c>
      <c r="BT587">
        <v>6.53</v>
      </c>
      <c r="BU587">
        <v>6.53</v>
      </c>
      <c r="BV587">
        <v>1.28</v>
      </c>
      <c r="BW587">
        <f>BV587*SQRT(AK587)</f>
        <v>2.2170250336881629</v>
      </c>
      <c r="BX587">
        <v>9.0299999999999994</v>
      </c>
      <c r="BY587">
        <v>9.0299999999999994</v>
      </c>
      <c r="BZ587">
        <v>0.14000000000000001</v>
      </c>
      <c r="CA587">
        <f>BZ587*SQRT(AL587)</f>
        <v>0.24248711305964282</v>
      </c>
      <c r="CB587">
        <v>56</v>
      </c>
      <c r="CC587">
        <v>3</v>
      </c>
      <c r="CD587">
        <v>0.32400000000000001</v>
      </c>
      <c r="CE587">
        <v>3.8699999999999998E-2</v>
      </c>
    </row>
    <row r="588" spans="1:84" hidden="1" x14ac:dyDescent="0.2">
      <c r="D588">
        <v>40</v>
      </c>
      <c r="G588" t="s">
        <v>43</v>
      </c>
      <c r="H588" t="s">
        <v>441</v>
      </c>
      <c r="J588">
        <v>2018</v>
      </c>
      <c r="M588" t="s">
        <v>174</v>
      </c>
      <c r="T588" t="s">
        <v>68</v>
      </c>
      <c r="U588" t="s">
        <v>167</v>
      </c>
      <c r="V588" t="s">
        <v>442</v>
      </c>
      <c r="Z588" t="s">
        <v>177</v>
      </c>
      <c r="AA588" t="s">
        <v>177</v>
      </c>
      <c r="AB588" t="s">
        <v>50</v>
      </c>
      <c r="AC588" t="s">
        <v>51</v>
      </c>
      <c r="AD588" t="s">
        <v>52</v>
      </c>
      <c r="AE588" t="s">
        <v>53</v>
      </c>
      <c r="AF588" t="s">
        <v>54</v>
      </c>
      <c r="AG588" t="s">
        <v>52</v>
      </c>
      <c r="AH588" t="s">
        <v>65</v>
      </c>
      <c r="AK588">
        <v>3</v>
      </c>
      <c r="AL588">
        <v>3</v>
      </c>
      <c r="AN588">
        <v>392</v>
      </c>
      <c r="AO588">
        <v>2</v>
      </c>
      <c r="AP588" t="s">
        <v>56</v>
      </c>
      <c r="AQ588" t="s">
        <v>57</v>
      </c>
      <c r="AR588">
        <v>8.1999999999999993</v>
      </c>
      <c r="AS588">
        <v>0</v>
      </c>
      <c r="AT588" t="s">
        <v>56</v>
      </c>
      <c r="AU588">
        <v>393</v>
      </c>
      <c r="AV588">
        <v>4</v>
      </c>
      <c r="AW588" t="s">
        <v>56</v>
      </c>
      <c r="AX588">
        <v>8.1999999999999993</v>
      </c>
      <c r="AY588">
        <v>0</v>
      </c>
      <c r="AZ588" t="s">
        <v>56</v>
      </c>
      <c r="BB588">
        <f>LOG(AU588)</f>
        <v>2.5943925503754266</v>
      </c>
      <c r="BC588">
        <v>24</v>
      </c>
      <c r="BD588">
        <v>0.1</v>
      </c>
      <c r="BE588" t="s">
        <v>56</v>
      </c>
      <c r="BF588">
        <v>28</v>
      </c>
      <c r="BG588">
        <v>0.1</v>
      </c>
      <c r="BH588" t="s">
        <v>56</v>
      </c>
      <c r="BI588">
        <v>1</v>
      </c>
      <c r="BJ588">
        <v>4</v>
      </c>
      <c r="BK588" t="s">
        <v>56</v>
      </c>
      <c r="BL588" t="s">
        <v>327</v>
      </c>
      <c r="BM588" t="s">
        <v>327</v>
      </c>
      <c r="BN588" t="s">
        <v>81</v>
      </c>
      <c r="BO588" t="s">
        <v>447</v>
      </c>
      <c r="BP588" t="s">
        <v>190</v>
      </c>
      <c r="BR588" t="s">
        <v>63</v>
      </c>
      <c r="BT588">
        <v>6.53</v>
      </c>
      <c r="BU588">
        <v>6.53</v>
      </c>
      <c r="BV588">
        <v>1.28</v>
      </c>
      <c r="BW588">
        <f>BV588*SQRT(AK588)</f>
        <v>2.2170250336881629</v>
      </c>
      <c r="BX588">
        <v>12.3</v>
      </c>
      <c r="BY588">
        <v>12.3</v>
      </c>
      <c r="BZ588">
        <v>1.25</v>
      </c>
      <c r="CA588">
        <f>BZ588*SQRT(AL588)</f>
        <v>2.1650635094610964</v>
      </c>
      <c r="CB588">
        <v>56</v>
      </c>
      <c r="CC588">
        <v>3</v>
      </c>
      <c r="CD588">
        <v>0.63300000000000001</v>
      </c>
      <c r="CE588">
        <v>4.8800000000000003E-2</v>
      </c>
    </row>
    <row r="589" spans="1:84" hidden="1" x14ac:dyDescent="0.2">
      <c r="D589">
        <v>41</v>
      </c>
      <c r="G589" t="s">
        <v>43</v>
      </c>
      <c r="H589" t="s">
        <v>456</v>
      </c>
      <c r="J589">
        <v>2014</v>
      </c>
      <c r="M589" t="s">
        <v>457</v>
      </c>
      <c r="T589" t="s">
        <v>68</v>
      </c>
      <c r="U589" t="s">
        <v>266</v>
      </c>
      <c r="V589" t="s">
        <v>402</v>
      </c>
      <c r="Z589" t="s">
        <v>49</v>
      </c>
      <c r="AA589" t="s">
        <v>49</v>
      </c>
      <c r="AB589" t="s">
        <v>50</v>
      </c>
      <c r="AC589" t="s">
        <v>108</v>
      </c>
      <c r="AD589" t="s">
        <v>52</v>
      </c>
      <c r="AE589" t="s">
        <v>53</v>
      </c>
      <c r="AF589" t="s">
        <v>52</v>
      </c>
      <c r="AG589" t="s">
        <v>54</v>
      </c>
      <c r="AH589" t="s">
        <v>55</v>
      </c>
      <c r="AK589">
        <v>5</v>
      </c>
      <c r="AL589">
        <v>5</v>
      </c>
      <c r="AN589">
        <v>371</v>
      </c>
      <c r="AO589" t="s">
        <v>56</v>
      </c>
      <c r="AP589">
        <v>24</v>
      </c>
      <c r="AQ589" t="s">
        <v>109</v>
      </c>
      <c r="AR589">
        <v>8.06</v>
      </c>
      <c r="AS589" t="s">
        <v>56</v>
      </c>
      <c r="AT589">
        <v>0.03</v>
      </c>
      <c r="AU589">
        <v>978</v>
      </c>
      <c r="AV589" t="s">
        <v>56</v>
      </c>
      <c r="AW589">
        <v>61</v>
      </c>
      <c r="AX589">
        <v>7.67</v>
      </c>
      <c r="AY589" t="s">
        <v>56</v>
      </c>
      <c r="AZ589">
        <v>0.03</v>
      </c>
      <c r="BB589">
        <f>LOG(AU589)</f>
        <v>2.9903388547876015</v>
      </c>
      <c r="BC589">
        <v>12</v>
      </c>
      <c r="BD589" t="s">
        <v>56</v>
      </c>
      <c r="BE589" t="s">
        <v>56</v>
      </c>
      <c r="BF589">
        <v>12</v>
      </c>
      <c r="BG589" t="s">
        <v>56</v>
      </c>
      <c r="BH589" t="s">
        <v>56</v>
      </c>
      <c r="BI589">
        <v>606</v>
      </c>
      <c r="BJ589">
        <v>0</v>
      </c>
      <c r="BK589" t="s">
        <v>56</v>
      </c>
      <c r="BL589" t="s">
        <v>458</v>
      </c>
      <c r="BM589" t="s">
        <v>232</v>
      </c>
      <c r="BN589" t="s">
        <v>81</v>
      </c>
      <c r="BO589" t="s">
        <v>459</v>
      </c>
      <c r="BP589" t="s">
        <v>234</v>
      </c>
      <c r="BR589" t="s">
        <v>63</v>
      </c>
      <c r="BT589">
        <v>2.84</v>
      </c>
      <c r="BU589">
        <v>2.84</v>
      </c>
      <c r="BV589">
        <v>0.18</v>
      </c>
      <c r="BW589">
        <f>BV589*SQRT(AK589)</f>
        <v>0.40249223594996214</v>
      </c>
      <c r="BX589">
        <v>1.83</v>
      </c>
      <c r="BY589">
        <v>1.83</v>
      </c>
      <c r="BZ589">
        <v>0.11</v>
      </c>
      <c r="CA589">
        <f>BZ589*SQRT(AL589)</f>
        <v>0.24596747752497689</v>
      </c>
      <c r="CB589">
        <v>60</v>
      </c>
      <c r="CC589">
        <v>5</v>
      </c>
      <c r="CD589">
        <v>-0.439</v>
      </c>
      <c r="CE589">
        <v>7.9000000000000008E-3</v>
      </c>
    </row>
    <row r="590" spans="1:84" hidden="1" x14ac:dyDescent="0.2">
      <c r="D590">
        <v>41</v>
      </c>
      <c r="G590" t="s">
        <v>43</v>
      </c>
      <c r="H590" t="s">
        <v>456</v>
      </c>
      <c r="J590">
        <v>2014</v>
      </c>
      <c r="M590" t="s">
        <v>457</v>
      </c>
      <c r="T590" t="s">
        <v>68</v>
      </c>
      <c r="U590" t="s">
        <v>266</v>
      </c>
      <c r="V590" t="s">
        <v>402</v>
      </c>
      <c r="Z590" t="s">
        <v>49</v>
      </c>
      <c r="AA590" t="s">
        <v>49</v>
      </c>
      <c r="AB590" t="s">
        <v>50</v>
      </c>
      <c r="AC590" t="s">
        <v>108</v>
      </c>
      <c r="AD590" t="s">
        <v>52</v>
      </c>
      <c r="AE590" t="s">
        <v>53</v>
      </c>
      <c r="AF590" t="s">
        <v>52</v>
      </c>
      <c r="AG590" t="s">
        <v>54</v>
      </c>
      <c r="AH590" t="s">
        <v>55</v>
      </c>
      <c r="AK590">
        <v>5</v>
      </c>
      <c r="AL590">
        <v>5</v>
      </c>
      <c r="AN590">
        <v>371</v>
      </c>
      <c r="AO590" t="s">
        <v>56</v>
      </c>
      <c r="AP590">
        <v>24</v>
      </c>
      <c r="AQ590" t="s">
        <v>109</v>
      </c>
      <c r="AR590">
        <v>8.06</v>
      </c>
      <c r="AS590" t="s">
        <v>56</v>
      </c>
      <c r="AT590">
        <v>0.03</v>
      </c>
      <c r="AU590">
        <v>978</v>
      </c>
      <c r="AV590" t="s">
        <v>56</v>
      </c>
      <c r="AW590">
        <v>61</v>
      </c>
      <c r="AX590">
        <v>7.67</v>
      </c>
      <c r="AY590" t="s">
        <v>56</v>
      </c>
      <c r="AZ590">
        <v>0.03</v>
      </c>
      <c r="BB590">
        <f>LOG(AU590)</f>
        <v>2.9903388547876015</v>
      </c>
      <c r="BC590">
        <v>12</v>
      </c>
      <c r="BD590" t="s">
        <v>56</v>
      </c>
      <c r="BE590" t="s">
        <v>56</v>
      </c>
      <c r="BF590">
        <v>12</v>
      </c>
      <c r="BG590" t="s">
        <v>56</v>
      </c>
      <c r="BH590" t="s">
        <v>56</v>
      </c>
      <c r="BI590">
        <v>606</v>
      </c>
      <c r="BJ590">
        <v>0</v>
      </c>
      <c r="BK590" t="s">
        <v>56</v>
      </c>
      <c r="BL590" t="s">
        <v>460</v>
      </c>
      <c r="BM590" t="s">
        <v>253</v>
      </c>
      <c r="BN590" t="s">
        <v>81</v>
      </c>
      <c r="BO590" t="s">
        <v>461</v>
      </c>
      <c r="BP590" t="s">
        <v>92</v>
      </c>
      <c r="BR590" t="s">
        <v>63</v>
      </c>
      <c r="BT590">
        <v>1.28</v>
      </c>
      <c r="BU590">
        <v>1.28</v>
      </c>
      <c r="BV590">
        <v>0.15</v>
      </c>
      <c r="BW590">
        <f>BV590*SQRT(AK590)</f>
        <v>0.33541019662496846</v>
      </c>
      <c r="BX590">
        <v>0.84</v>
      </c>
      <c r="BY590">
        <v>0.84</v>
      </c>
      <c r="BZ590">
        <v>0.08</v>
      </c>
      <c r="CA590">
        <f>BZ590*SQRT(AL590)</f>
        <v>0.17888543819998318</v>
      </c>
      <c r="CB590">
        <v>60</v>
      </c>
      <c r="CC590">
        <v>5</v>
      </c>
      <c r="CD590">
        <v>-0.42099999999999999</v>
      </c>
      <c r="CE590">
        <v>2.3300000000000001E-2</v>
      </c>
    </row>
    <row r="591" spans="1:84" hidden="1" x14ac:dyDescent="0.2">
      <c r="D591">
        <v>41</v>
      </c>
      <c r="G591" t="s">
        <v>43</v>
      </c>
      <c r="H591" t="s">
        <v>456</v>
      </c>
      <c r="J591">
        <v>2014</v>
      </c>
      <c r="M591" t="s">
        <v>457</v>
      </c>
      <c r="T591" t="s">
        <v>68</v>
      </c>
      <c r="U591" t="s">
        <v>266</v>
      </c>
      <c r="V591" t="s">
        <v>402</v>
      </c>
      <c r="Z591" t="s">
        <v>49</v>
      </c>
      <c r="AA591" t="s">
        <v>49</v>
      </c>
      <c r="AB591" t="s">
        <v>50</v>
      </c>
      <c r="AC591" t="s">
        <v>108</v>
      </c>
      <c r="AD591" t="s">
        <v>52</v>
      </c>
      <c r="AE591" t="s">
        <v>53</v>
      </c>
      <c r="AF591" t="s">
        <v>52</v>
      </c>
      <c r="AG591" t="s">
        <v>52</v>
      </c>
      <c r="AH591" t="s">
        <v>64</v>
      </c>
      <c r="AK591">
        <v>5</v>
      </c>
      <c r="AL591">
        <v>5</v>
      </c>
      <c r="AN591">
        <v>371</v>
      </c>
      <c r="AO591" t="s">
        <v>56</v>
      </c>
      <c r="AP591">
        <v>24</v>
      </c>
      <c r="AQ591" t="s">
        <v>109</v>
      </c>
      <c r="AR591">
        <v>8.06</v>
      </c>
      <c r="AS591" t="s">
        <v>56</v>
      </c>
      <c r="AT591">
        <v>0.03</v>
      </c>
      <c r="AU591">
        <v>1142</v>
      </c>
      <c r="AV591" t="s">
        <v>56</v>
      </c>
      <c r="AW591">
        <v>69</v>
      </c>
      <c r="AX591">
        <v>7.62</v>
      </c>
      <c r="AY591" t="s">
        <v>56</v>
      </c>
      <c r="AZ591">
        <v>0.03</v>
      </c>
      <c r="BB591">
        <f>LOG(AU591)</f>
        <v>3.0576661039098294</v>
      </c>
      <c r="BC591">
        <v>12</v>
      </c>
      <c r="BD591" t="s">
        <v>56</v>
      </c>
      <c r="BE591" t="s">
        <v>56</v>
      </c>
      <c r="BF591">
        <v>16</v>
      </c>
      <c r="BG591" t="s">
        <v>56</v>
      </c>
      <c r="BH591" t="s">
        <v>56</v>
      </c>
      <c r="BI591">
        <v>771</v>
      </c>
      <c r="BJ591">
        <v>4</v>
      </c>
      <c r="BK591" t="s">
        <v>56</v>
      </c>
      <c r="BL591" t="s">
        <v>458</v>
      </c>
      <c r="BM591" t="s">
        <v>232</v>
      </c>
      <c r="BN591" t="s">
        <v>81</v>
      </c>
      <c r="BO591" t="s">
        <v>459</v>
      </c>
      <c r="BP591" t="s">
        <v>234</v>
      </c>
      <c r="BR591" t="s">
        <v>63</v>
      </c>
      <c r="BT591">
        <v>2.84</v>
      </c>
      <c r="BU591">
        <v>2.84</v>
      </c>
      <c r="BV591">
        <v>0.18</v>
      </c>
      <c r="BW591">
        <f>BV591*SQRT(AK591)</f>
        <v>0.40249223594996214</v>
      </c>
      <c r="BX591">
        <v>1.89</v>
      </c>
      <c r="BY591">
        <v>1.89</v>
      </c>
      <c r="BZ591">
        <v>0.21</v>
      </c>
      <c r="CA591">
        <f>BZ591*SQRT(AL591)</f>
        <v>0.46957427527495582</v>
      </c>
      <c r="CB591">
        <v>60</v>
      </c>
      <c r="CC591">
        <v>5</v>
      </c>
      <c r="CD591">
        <v>-0.40699999999999997</v>
      </c>
      <c r="CE591">
        <v>1.6500000000000001E-2</v>
      </c>
    </row>
    <row r="592" spans="1:84" hidden="1" x14ac:dyDescent="0.2">
      <c r="D592">
        <v>41</v>
      </c>
      <c r="G592" t="s">
        <v>43</v>
      </c>
      <c r="H592" t="s">
        <v>456</v>
      </c>
      <c r="J592">
        <v>2014</v>
      </c>
      <c r="M592" t="s">
        <v>457</v>
      </c>
      <c r="T592" t="s">
        <v>68</v>
      </c>
      <c r="U592" t="s">
        <v>266</v>
      </c>
      <c r="V592" t="s">
        <v>402</v>
      </c>
      <c r="Z592" t="s">
        <v>49</v>
      </c>
      <c r="AA592" t="s">
        <v>49</v>
      </c>
      <c r="AB592" t="s">
        <v>50</v>
      </c>
      <c r="AC592" t="s">
        <v>108</v>
      </c>
      <c r="AD592" t="s">
        <v>52</v>
      </c>
      <c r="AE592" t="s">
        <v>53</v>
      </c>
      <c r="AF592" t="s">
        <v>52</v>
      </c>
      <c r="AG592" t="s">
        <v>52</v>
      </c>
      <c r="AH592" t="s">
        <v>64</v>
      </c>
      <c r="AK592">
        <v>5</v>
      </c>
      <c r="AL592">
        <v>5</v>
      </c>
      <c r="AN592">
        <v>371</v>
      </c>
      <c r="AO592" t="s">
        <v>56</v>
      </c>
      <c r="AP592">
        <v>24</v>
      </c>
      <c r="AQ592" t="s">
        <v>109</v>
      </c>
      <c r="AR592">
        <v>8.06</v>
      </c>
      <c r="AS592" t="s">
        <v>56</v>
      </c>
      <c r="AT592">
        <v>0.03</v>
      </c>
      <c r="AU592">
        <v>1142</v>
      </c>
      <c r="AV592" t="s">
        <v>56</v>
      </c>
      <c r="AW592">
        <v>69</v>
      </c>
      <c r="AX592">
        <v>7.62</v>
      </c>
      <c r="AY592" t="s">
        <v>56</v>
      </c>
      <c r="AZ592">
        <v>0.03</v>
      </c>
      <c r="BB592">
        <f>LOG(AU592)</f>
        <v>3.0576661039098294</v>
      </c>
      <c r="BC592">
        <v>12</v>
      </c>
      <c r="BD592" t="s">
        <v>56</v>
      </c>
      <c r="BE592" t="s">
        <v>56</v>
      </c>
      <c r="BF592">
        <v>16</v>
      </c>
      <c r="BG592" t="s">
        <v>56</v>
      </c>
      <c r="BH592" t="s">
        <v>56</v>
      </c>
      <c r="BI592">
        <v>771</v>
      </c>
      <c r="BJ592">
        <v>4</v>
      </c>
      <c r="BK592" t="s">
        <v>56</v>
      </c>
      <c r="BL592" t="s">
        <v>460</v>
      </c>
      <c r="BM592" t="s">
        <v>253</v>
      </c>
      <c r="BN592" t="s">
        <v>81</v>
      </c>
      <c r="BO592" t="s">
        <v>461</v>
      </c>
      <c r="BP592" t="s">
        <v>92</v>
      </c>
      <c r="BR592" t="s">
        <v>63</v>
      </c>
      <c r="BT592">
        <v>1.28</v>
      </c>
      <c r="BU592">
        <v>1.28</v>
      </c>
      <c r="BV592">
        <v>0.15</v>
      </c>
      <c r="BW592">
        <f>BV592*SQRT(AK592)</f>
        <v>0.33541019662496846</v>
      </c>
      <c r="BX592">
        <v>0.88</v>
      </c>
      <c r="BY592">
        <v>0.88</v>
      </c>
      <c r="BZ592">
        <v>0.12</v>
      </c>
      <c r="CA592">
        <f>BZ592*SQRT(AL592)</f>
        <v>0.26832815729997478</v>
      </c>
      <c r="CB592">
        <v>60</v>
      </c>
      <c r="CC592">
        <v>5</v>
      </c>
      <c r="CD592">
        <v>-0.375</v>
      </c>
      <c r="CE592">
        <v>3.1600000000000003E-2</v>
      </c>
    </row>
    <row r="593" spans="1:84" hidden="1" x14ac:dyDescent="0.2">
      <c r="D593">
        <v>41</v>
      </c>
      <c r="G593" t="s">
        <v>43</v>
      </c>
      <c r="H593" t="s">
        <v>456</v>
      </c>
      <c r="J593">
        <v>2014</v>
      </c>
      <c r="M593" t="s">
        <v>457</v>
      </c>
      <c r="T593" t="s">
        <v>68</v>
      </c>
      <c r="U593" t="s">
        <v>266</v>
      </c>
      <c r="V593" t="s">
        <v>402</v>
      </c>
      <c r="Z593" t="s">
        <v>49</v>
      </c>
      <c r="AA593" t="s">
        <v>49</v>
      </c>
      <c r="AB593" t="s">
        <v>50</v>
      </c>
      <c r="AC593" t="s">
        <v>108</v>
      </c>
      <c r="AD593" t="s">
        <v>52</v>
      </c>
      <c r="AE593" t="s">
        <v>53</v>
      </c>
      <c r="AF593" t="s">
        <v>52</v>
      </c>
      <c r="AG593" t="s">
        <v>54</v>
      </c>
      <c r="AH593" t="s">
        <v>55</v>
      </c>
      <c r="AK593">
        <v>5</v>
      </c>
      <c r="AL593">
        <v>5</v>
      </c>
      <c r="AN593">
        <v>371</v>
      </c>
      <c r="AO593" t="s">
        <v>56</v>
      </c>
      <c r="AP593">
        <v>24</v>
      </c>
      <c r="AQ593" t="s">
        <v>109</v>
      </c>
      <c r="AR593">
        <v>8.06</v>
      </c>
      <c r="AS593" t="s">
        <v>56</v>
      </c>
      <c r="AT593">
        <v>0.03</v>
      </c>
      <c r="AU593">
        <v>657</v>
      </c>
      <c r="AV593" t="s">
        <v>56</v>
      </c>
      <c r="AW593">
        <v>50</v>
      </c>
      <c r="AX593">
        <v>7.84</v>
      </c>
      <c r="AY593" t="s">
        <v>56</v>
      </c>
      <c r="AZ593">
        <v>0.04</v>
      </c>
      <c r="BB593">
        <f>LOG(AU593)</f>
        <v>2.8175653695597807</v>
      </c>
      <c r="BC593">
        <v>12</v>
      </c>
      <c r="BD593" t="s">
        <v>56</v>
      </c>
      <c r="BE593" t="s">
        <v>56</v>
      </c>
      <c r="BF593">
        <v>12</v>
      </c>
      <c r="BG593" t="s">
        <v>56</v>
      </c>
      <c r="BH593" t="s">
        <v>56</v>
      </c>
      <c r="BI593">
        <v>286</v>
      </c>
      <c r="BJ593">
        <v>0</v>
      </c>
      <c r="BK593" t="s">
        <v>56</v>
      </c>
      <c r="BL593" t="s">
        <v>460</v>
      </c>
      <c r="BM593" t="s">
        <v>253</v>
      </c>
      <c r="BN593" t="s">
        <v>81</v>
      </c>
      <c r="BO593" t="s">
        <v>461</v>
      </c>
      <c r="BP593" t="s">
        <v>92</v>
      </c>
      <c r="BR593" t="s">
        <v>63</v>
      </c>
      <c r="BT593">
        <v>1.28</v>
      </c>
      <c r="BU593">
        <v>1.28</v>
      </c>
      <c r="BV593">
        <v>0.15</v>
      </c>
      <c r="BW593">
        <f>BV593*SQRT(AK593)</f>
        <v>0.33541019662496846</v>
      </c>
      <c r="BX593">
        <v>0.89</v>
      </c>
      <c r="BY593">
        <v>0.89</v>
      </c>
      <c r="BZ593">
        <v>0.06</v>
      </c>
      <c r="CA593">
        <f>BZ593*SQRT(AL593)</f>
        <v>0.13416407864998739</v>
      </c>
      <c r="CB593">
        <v>60</v>
      </c>
      <c r="CC593">
        <v>5</v>
      </c>
      <c r="CD593">
        <v>-0.36299999999999999</v>
      </c>
      <c r="CE593">
        <v>1.84E-2</v>
      </c>
    </row>
    <row r="594" spans="1:84" hidden="1" x14ac:dyDescent="0.2">
      <c r="D594">
        <v>41</v>
      </c>
      <c r="G594" t="s">
        <v>43</v>
      </c>
      <c r="H594" t="s">
        <v>456</v>
      </c>
      <c r="J594">
        <v>2014</v>
      </c>
      <c r="M594" t="s">
        <v>457</v>
      </c>
      <c r="T594" t="s">
        <v>68</v>
      </c>
      <c r="U594" t="s">
        <v>266</v>
      </c>
      <c r="V594" t="s">
        <v>402</v>
      </c>
      <c r="Z594" t="s">
        <v>49</v>
      </c>
      <c r="AA594" t="s">
        <v>49</v>
      </c>
      <c r="AB594" t="s">
        <v>50</v>
      </c>
      <c r="AC594" t="s">
        <v>108</v>
      </c>
      <c r="AD594" t="s">
        <v>52</v>
      </c>
      <c r="AE594" t="s">
        <v>53</v>
      </c>
      <c r="AF594" t="s">
        <v>52</v>
      </c>
      <c r="AG594" t="s">
        <v>54</v>
      </c>
      <c r="AH594" t="s">
        <v>55</v>
      </c>
      <c r="AK594">
        <v>5</v>
      </c>
      <c r="AL594">
        <v>5</v>
      </c>
      <c r="AN594">
        <v>371</v>
      </c>
      <c r="AO594" t="s">
        <v>56</v>
      </c>
      <c r="AP594">
        <v>24</v>
      </c>
      <c r="AQ594" t="s">
        <v>109</v>
      </c>
      <c r="AR594">
        <v>8.06</v>
      </c>
      <c r="AS594" t="s">
        <v>56</v>
      </c>
      <c r="AT594">
        <v>0.03</v>
      </c>
      <c r="AU594">
        <v>657</v>
      </c>
      <c r="AV594" t="s">
        <v>56</v>
      </c>
      <c r="AW594">
        <v>50</v>
      </c>
      <c r="AX594">
        <v>7.84</v>
      </c>
      <c r="AY594" t="s">
        <v>56</v>
      </c>
      <c r="AZ594">
        <v>0.04</v>
      </c>
      <c r="BB594">
        <f>LOG(AU594)</f>
        <v>2.8175653695597807</v>
      </c>
      <c r="BC594">
        <v>12</v>
      </c>
      <c r="BD594" t="s">
        <v>56</v>
      </c>
      <c r="BE594" t="s">
        <v>56</v>
      </c>
      <c r="BF594">
        <v>12</v>
      </c>
      <c r="BG594" t="s">
        <v>56</v>
      </c>
      <c r="BH594" t="s">
        <v>56</v>
      </c>
      <c r="BI594">
        <v>286</v>
      </c>
      <c r="BJ594">
        <v>0</v>
      </c>
      <c r="BK594" t="s">
        <v>56</v>
      </c>
      <c r="BL594" t="s">
        <v>458</v>
      </c>
      <c r="BM594" t="s">
        <v>232</v>
      </c>
      <c r="BN594" t="s">
        <v>81</v>
      </c>
      <c r="BO594" t="s">
        <v>459</v>
      </c>
      <c r="BP594" t="s">
        <v>234</v>
      </c>
      <c r="BR594" t="s">
        <v>63</v>
      </c>
      <c r="BT594">
        <v>2.84</v>
      </c>
      <c r="BU594">
        <v>2.84</v>
      </c>
      <c r="BV594">
        <v>0.18</v>
      </c>
      <c r="BW594">
        <f>BV594*SQRT(AK594)</f>
        <v>0.40249223594996214</v>
      </c>
      <c r="BX594">
        <v>1.99</v>
      </c>
      <c r="BY594">
        <v>1.99</v>
      </c>
      <c r="BZ594">
        <v>0.12</v>
      </c>
      <c r="CA594">
        <f>BZ594*SQRT(AL594)</f>
        <v>0.26832815729997478</v>
      </c>
      <c r="CB594">
        <v>60</v>
      </c>
      <c r="CC594">
        <v>5</v>
      </c>
      <c r="CD594">
        <v>-0.35599999999999998</v>
      </c>
      <c r="CE594">
        <v>7.6E-3</v>
      </c>
    </row>
    <row r="595" spans="1:84" hidden="1" x14ac:dyDescent="0.2">
      <c r="D595">
        <v>41</v>
      </c>
      <c r="G595" t="s">
        <v>43</v>
      </c>
      <c r="H595" t="s">
        <v>456</v>
      </c>
      <c r="J595">
        <v>2014</v>
      </c>
      <c r="M595" t="s">
        <v>457</v>
      </c>
      <c r="T595" t="s">
        <v>68</v>
      </c>
      <c r="U595" t="s">
        <v>266</v>
      </c>
      <c r="V595" t="s">
        <v>402</v>
      </c>
      <c r="Z595" t="s">
        <v>49</v>
      </c>
      <c r="AA595" t="s">
        <v>49</v>
      </c>
      <c r="AB595" t="s">
        <v>50</v>
      </c>
      <c r="AC595" t="s">
        <v>108</v>
      </c>
      <c r="AD595" t="s">
        <v>52</v>
      </c>
      <c r="AE595" t="s">
        <v>53</v>
      </c>
      <c r="AF595" t="s">
        <v>52</v>
      </c>
      <c r="AG595" t="s">
        <v>52</v>
      </c>
      <c r="AH595" t="s">
        <v>64</v>
      </c>
      <c r="AK595">
        <v>5</v>
      </c>
      <c r="AL595">
        <v>5</v>
      </c>
      <c r="AN595">
        <v>371</v>
      </c>
      <c r="AO595" t="s">
        <v>56</v>
      </c>
      <c r="AP595">
        <v>24</v>
      </c>
      <c r="AQ595" t="s">
        <v>109</v>
      </c>
      <c r="AR595">
        <v>8.06</v>
      </c>
      <c r="AS595" t="s">
        <v>56</v>
      </c>
      <c r="AT595">
        <v>0.03</v>
      </c>
      <c r="AU595">
        <v>773</v>
      </c>
      <c r="AV595" t="s">
        <v>56</v>
      </c>
      <c r="AW595">
        <v>58</v>
      </c>
      <c r="AX595">
        <v>7.78</v>
      </c>
      <c r="AY595" t="s">
        <v>56</v>
      </c>
      <c r="AZ595">
        <v>0.03</v>
      </c>
      <c r="BB595">
        <f>LOG(AU595)</f>
        <v>2.888179493918325</v>
      </c>
      <c r="BC595">
        <v>12</v>
      </c>
      <c r="BD595" t="s">
        <v>56</v>
      </c>
      <c r="BE595" t="s">
        <v>56</v>
      </c>
      <c r="BF595">
        <v>16</v>
      </c>
      <c r="BG595" t="s">
        <v>56</v>
      </c>
      <c r="BH595" t="s">
        <v>56</v>
      </c>
      <c r="BI595">
        <v>401</v>
      </c>
      <c r="BJ595">
        <v>4</v>
      </c>
      <c r="BK595" t="s">
        <v>56</v>
      </c>
      <c r="BL595" t="s">
        <v>458</v>
      </c>
      <c r="BM595" t="s">
        <v>232</v>
      </c>
      <c r="BN595" t="s">
        <v>81</v>
      </c>
      <c r="BO595" t="s">
        <v>459</v>
      </c>
      <c r="BP595" t="s">
        <v>234</v>
      </c>
      <c r="BR595" t="s">
        <v>63</v>
      </c>
      <c r="BT595">
        <v>2.84</v>
      </c>
      <c r="BU595">
        <v>2.84</v>
      </c>
      <c r="BV595">
        <v>0.18</v>
      </c>
      <c r="BW595">
        <f>BV595*SQRT(AK595)</f>
        <v>0.40249223594996214</v>
      </c>
      <c r="BX595">
        <v>2.66</v>
      </c>
      <c r="BY595">
        <v>2.66</v>
      </c>
      <c r="BZ595">
        <v>0.48</v>
      </c>
      <c r="CA595">
        <f>BZ595*SQRT(AL595)</f>
        <v>1.0733126291998991</v>
      </c>
      <c r="CB595">
        <v>60</v>
      </c>
      <c r="CC595">
        <v>5</v>
      </c>
      <c r="CD595">
        <v>-6.5000000000000002E-2</v>
      </c>
      <c r="CE595">
        <v>3.6499999999999998E-2</v>
      </c>
    </row>
    <row r="596" spans="1:84" hidden="1" x14ac:dyDescent="0.2">
      <c r="D596">
        <v>41</v>
      </c>
      <c r="G596" t="s">
        <v>43</v>
      </c>
      <c r="H596" t="s">
        <v>456</v>
      </c>
      <c r="J596">
        <v>2014</v>
      </c>
      <c r="M596" t="s">
        <v>457</v>
      </c>
      <c r="T596" t="s">
        <v>68</v>
      </c>
      <c r="U596" t="s">
        <v>266</v>
      </c>
      <c r="V596" t="s">
        <v>402</v>
      </c>
      <c r="Z596" t="s">
        <v>49</v>
      </c>
      <c r="AA596" t="s">
        <v>49</v>
      </c>
      <c r="AB596" t="s">
        <v>50</v>
      </c>
      <c r="AC596" t="s">
        <v>108</v>
      </c>
      <c r="AD596" t="s">
        <v>52</v>
      </c>
      <c r="AE596" t="s">
        <v>53</v>
      </c>
      <c r="AF596" t="s">
        <v>52</v>
      </c>
      <c r="AG596" t="s">
        <v>52</v>
      </c>
      <c r="AH596" t="s">
        <v>64</v>
      </c>
      <c r="AK596">
        <v>5</v>
      </c>
      <c r="AL596">
        <v>5</v>
      </c>
      <c r="AN596">
        <v>371</v>
      </c>
      <c r="AO596" t="s">
        <v>56</v>
      </c>
      <c r="AP596">
        <v>24</v>
      </c>
      <c r="AQ596" t="s">
        <v>109</v>
      </c>
      <c r="AR596">
        <v>8.06</v>
      </c>
      <c r="AS596" t="s">
        <v>56</v>
      </c>
      <c r="AT596">
        <v>0.03</v>
      </c>
      <c r="AU596">
        <v>773</v>
      </c>
      <c r="AV596" t="s">
        <v>56</v>
      </c>
      <c r="AW596">
        <v>58</v>
      </c>
      <c r="AX596">
        <v>7.78</v>
      </c>
      <c r="AY596" t="s">
        <v>56</v>
      </c>
      <c r="AZ596">
        <v>0.03</v>
      </c>
      <c r="BB596">
        <f>LOG(AU596)</f>
        <v>2.888179493918325</v>
      </c>
      <c r="BC596">
        <v>12</v>
      </c>
      <c r="BD596" t="s">
        <v>56</v>
      </c>
      <c r="BE596" t="s">
        <v>56</v>
      </c>
      <c r="BF596">
        <v>16</v>
      </c>
      <c r="BG596" t="s">
        <v>56</v>
      </c>
      <c r="BH596" t="s">
        <v>56</v>
      </c>
      <c r="BI596">
        <v>401</v>
      </c>
      <c r="BJ596">
        <v>4</v>
      </c>
      <c r="BK596" t="s">
        <v>56</v>
      </c>
      <c r="BL596" t="s">
        <v>460</v>
      </c>
      <c r="BM596" t="s">
        <v>253</v>
      </c>
      <c r="BN596" t="s">
        <v>81</v>
      </c>
      <c r="BO596" t="s">
        <v>461</v>
      </c>
      <c r="BP596" t="s">
        <v>92</v>
      </c>
      <c r="BR596" t="s">
        <v>63</v>
      </c>
      <c r="BT596">
        <v>1.28</v>
      </c>
      <c r="BU596">
        <v>1.28</v>
      </c>
      <c r="BV596">
        <v>0.15</v>
      </c>
      <c r="BW596">
        <f>BV596*SQRT(AK596)</f>
        <v>0.33541019662496846</v>
      </c>
      <c r="BX596">
        <v>1.2</v>
      </c>
      <c r="BY596">
        <v>1.2</v>
      </c>
      <c r="BZ596">
        <v>0.21</v>
      </c>
      <c r="CA596">
        <f>BZ596*SQRT(AL596)</f>
        <v>0.46957427527495582</v>
      </c>
      <c r="CB596">
        <v>60</v>
      </c>
      <c r="CC596">
        <v>5</v>
      </c>
      <c r="CD596">
        <v>-6.5000000000000002E-2</v>
      </c>
      <c r="CE596">
        <v>4.6100000000000002E-2</v>
      </c>
    </row>
    <row r="597" spans="1:84" hidden="1" x14ac:dyDescent="0.2">
      <c r="D597">
        <v>41</v>
      </c>
      <c r="G597" t="s">
        <v>43</v>
      </c>
      <c r="H597" t="s">
        <v>456</v>
      </c>
      <c r="J597">
        <v>2014</v>
      </c>
      <c r="M597" t="s">
        <v>457</v>
      </c>
      <c r="T597" t="s">
        <v>68</v>
      </c>
      <c r="U597" t="s">
        <v>266</v>
      </c>
      <c r="V597" t="s">
        <v>402</v>
      </c>
      <c r="Z597" t="s">
        <v>49</v>
      </c>
      <c r="AA597" t="s">
        <v>49</v>
      </c>
      <c r="AB597" t="s">
        <v>50</v>
      </c>
      <c r="AC597" t="s">
        <v>108</v>
      </c>
      <c r="AD597" t="s">
        <v>52</v>
      </c>
      <c r="AE597" t="s">
        <v>53</v>
      </c>
      <c r="AF597" t="s">
        <v>54</v>
      </c>
      <c r="AG597" t="s">
        <v>52</v>
      </c>
      <c r="AH597" t="s">
        <v>65</v>
      </c>
      <c r="AK597">
        <v>5</v>
      </c>
      <c r="AL597">
        <v>5</v>
      </c>
      <c r="AN597">
        <v>371</v>
      </c>
      <c r="AO597" t="s">
        <v>56</v>
      </c>
      <c r="AP597">
        <v>24</v>
      </c>
      <c r="AQ597" t="s">
        <v>109</v>
      </c>
      <c r="AR597">
        <v>8.06</v>
      </c>
      <c r="AS597" t="s">
        <v>56</v>
      </c>
      <c r="AT597">
        <v>0.03</v>
      </c>
      <c r="AU597">
        <v>440</v>
      </c>
      <c r="AV597" t="s">
        <v>56</v>
      </c>
      <c r="AW597">
        <v>28</v>
      </c>
      <c r="AX597">
        <v>8</v>
      </c>
      <c r="AY597" t="s">
        <v>56</v>
      </c>
      <c r="AZ597">
        <v>0.03</v>
      </c>
      <c r="BB597">
        <f>LOG(AU597)</f>
        <v>2.6434526764861874</v>
      </c>
      <c r="BC597">
        <v>12</v>
      </c>
      <c r="BD597" t="s">
        <v>56</v>
      </c>
      <c r="BE597" t="s">
        <v>56</v>
      </c>
      <c r="BF597">
        <v>16</v>
      </c>
      <c r="BG597" t="s">
        <v>56</v>
      </c>
      <c r="BH597" t="s">
        <v>56</v>
      </c>
      <c r="BI597">
        <v>68</v>
      </c>
      <c r="BJ597">
        <v>4</v>
      </c>
      <c r="BK597" t="s">
        <v>56</v>
      </c>
      <c r="BL597" t="s">
        <v>458</v>
      </c>
      <c r="BM597" t="s">
        <v>232</v>
      </c>
      <c r="BN597" t="s">
        <v>81</v>
      </c>
      <c r="BO597" t="s">
        <v>459</v>
      </c>
      <c r="BP597" t="s">
        <v>234</v>
      </c>
      <c r="BR597" t="s">
        <v>63</v>
      </c>
      <c r="BT597">
        <v>2.84</v>
      </c>
      <c r="BU597">
        <v>2.84</v>
      </c>
      <c r="BV597">
        <v>0.18</v>
      </c>
      <c r="BW597">
        <f>BV597*SQRT(AK597)</f>
        <v>0.40249223594996214</v>
      </c>
      <c r="BX597">
        <v>3.01</v>
      </c>
      <c r="BY597">
        <v>3.01</v>
      </c>
      <c r="BZ597">
        <v>0.16</v>
      </c>
      <c r="CA597">
        <f>BZ597*SQRT(AL597)</f>
        <v>0.35777087639996635</v>
      </c>
      <c r="CB597">
        <v>60</v>
      </c>
      <c r="CC597">
        <v>5</v>
      </c>
      <c r="CD597">
        <v>5.8000000000000003E-2</v>
      </c>
      <c r="CE597">
        <v>6.8999999999999999E-3</v>
      </c>
    </row>
    <row r="598" spans="1:84" hidden="1" x14ac:dyDescent="0.2">
      <c r="D598">
        <v>41</v>
      </c>
      <c r="G598" t="s">
        <v>43</v>
      </c>
      <c r="H598" t="s">
        <v>456</v>
      </c>
      <c r="J598">
        <v>2014</v>
      </c>
      <c r="M598" t="s">
        <v>457</v>
      </c>
      <c r="T598" t="s">
        <v>68</v>
      </c>
      <c r="U598" t="s">
        <v>266</v>
      </c>
      <c r="V598" t="s">
        <v>402</v>
      </c>
      <c r="Z598" t="s">
        <v>49</v>
      </c>
      <c r="AA598" t="s">
        <v>49</v>
      </c>
      <c r="AB598" t="s">
        <v>50</v>
      </c>
      <c r="AC598" t="s">
        <v>108</v>
      </c>
      <c r="AD598" t="s">
        <v>52</v>
      </c>
      <c r="AE598" t="s">
        <v>53</v>
      </c>
      <c r="AF598" t="s">
        <v>54</v>
      </c>
      <c r="AG598" t="s">
        <v>52</v>
      </c>
      <c r="AH598" t="s">
        <v>65</v>
      </c>
      <c r="AK598">
        <v>5</v>
      </c>
      <c r="AL598">
        <v>5</v>
      </c>
      <c r="AN598">
        <v>371</v>
      </c>
      <c r="AO598" t="s">
        <v>56</v>
      </c>
      <c r="AP598">
        <v>24</v>
      </c>
      <c r="AQ598" t="s">
        <v>109</v>
      </c>
      <c r="AR598">
        <v>8.06</v>
      </c>
      <c r="AS598" t="s">
        <v>56</v>
      </c>
      <c r="AT598">
        <v>0.03</v>
      </c>
      <c r="AU598">
        <v>440</v>
      </c>
      <c r="AV598" t="s">
        <v>56</v>
      </c>
      <c r="AW598">
        <v>28</v>
      </c>
      <c r="AX598">
        <v>8</v>
      </c>
      <c r="AY598" t="s">
        <v>56</v>
      </c>
      <c r="AZ598">
        <v>0.03</v>
      </c>
      <c r="BB598">
        <f>LOG(AU598)</f>
        <v>2.6434526764861874</v>
      </c>
      <c r="BC598">
        <v>12</v>
      </c>
      <c r="BD598" t="s">
        <v>56</v>
      </c>
      <c r="BE598" t="s">
        <v>56</v>
      </c>
      <c r="BF598">
        <v>16</v>
      </c>
      <c r="BG598" t="s">
        <v>56</v>
      </c>
      <c r="BH598" t="s">
        <v>56</v>
      </c>
      <c r="BI598">
        <v>68</v>
      </c>
      <c r="BJ598">
        <v>4</v>
      </c>
      <c r="BK598" t="s">
        <v>56</v>
      </c>
      <c r="BL598" t="s">
        <v>460</v>
      </c>
      <c r="BM598" t="s">
        <v>253</v>
      </c>
      <c r="BN598" t="s">
        <v>81</v>
      </c>
      <c r="BO598" t="s">
        <v>461</v>
      </c>
      <c r="BP598" t="s">
        <v>92</v>
      </c>
      <c r="BR598" t="s">
        <v>63</v>
      </c>
      <c r="BT598">
        <v>1.28</v>
      </c>
      <c r="BU598">
        <v>1.28</v>
      </c>
      <c r="BV598">
        <v>0.15</v>
      </c>
      <c r="BW598">
        <f>BV598*SQRT(AK598)</f>
        <v>0.33541019662496846</v>
      </c>
      <c r="BX598">
        <v>1.38</v>
      </c>
      <c r="BY598">
        <v>1.38</v>
      </c>
      <c r="BZ598">
        <v>0.13</v>
      </c>
      <c r="CA598">
        <f>BZ598*SQRT(AL598)</f>
        <v>0.29068883707497267</v>
      </c>
      <c r="CB598">
        <v>60</v>
      </c>
      <c r="CC598">
        <v>5</v>
      </c>
      <c r="CD598">
        <v>7.4999999999999997E-2</v>
      </c>
      <c r="CE598">
        <v>2.29E-2</v>
      </c>
    </row>
    <row r="599" spans="1:84" hidden="1" x14ac:dyDescent="0.2">
      <c r="D599">
        <v>42</v>
      </c>
      <c r="G599" t="s">
        <v>43</v>
      </c>
      <c r="H599" t="s">
        <v>462</v>
      </c>
      <c r="J599">
        <v>2017</v>
      </c>
      <c r="M599" t="s">
        <v>463</v>
      </c>
      <c r="T599" t="s">
        <v>68</v>
      </c>
      <c r="U599" t="s">
        <v>464</v>
      </c>
      <c r="V599" t="s">
        <v>465</v>
      </c>
      <c r="Z599" t="s">
        <v>49</v>
      </c>
      <c r="AA599" t="s">
        <v>49</v>
      </c>
      <c r="AB599" t="s">
        <v>50</v>
      </c>
      <c r="AC599" t="s">
        <v>108</v>
      </c>
      <c r="AD599" t="s">
        <v>52</v>
      </c>
      <c r="AE599" t="s">
        <v>53</v>
      </c>
      <c r="AF599" t="s">
        <v>52</v>
      </c>
      <c r="AG599" t="s">
        <v>54</v>
      </c>
      <c r="AH599" t="s">
        <v>55</v>
      </c>
      <c r="AK599">
        <v>9</v>
      </c>
      <c r="AL599">
        <v>9</v>
      </c>
      <c r="AN599">
        <v>539</v>
      </c>
      <c r="AO599">
        <v>10</v>
      </c>
      <c r="AP599" t="s">
        <v>56</v>
      </c>
      <c r="AQ599" t="s">
        <v>56</v>
      </c>
      <c r="AR599">
        <v>7.85</v>
      </c>
      <c r="AS599">
        <v>0.02</v>
      </c>
      <c r="AT599" t="s">
        <v>56</v>
      </c>
      <c r="AU599">
        <v>1463</v>
      </c>
      <c r="AV599">
        <v>25</v>
      </c>
      <c r="AW599" t="s">
        <v>56</v>
      </c>
      <c r="AX599">
        <v>7.47</v>
      </c>
      <c r="AY599">
        <v>0.01</v>
      </c>
      <c r="AZ599" t="s">
        <v>56</v>
      </c>
      <c r="BB599">
        <f>LOG(AU599)</f>
        <v>3.1652443261253107</v>
      </c>
      <c r="BC599">
        <v>15.7</v>
      </c>
      <c r="BD599">
        <v>0.1</v>
      </c>
      <c r="BE599" t="s">
        <v>56</v>
      </c>
      <c r="BF599">
        <v>15.6</v>
      </c>
      <c r="BG599">
        <v>0.1</v>
      </c>
      <c r="BH599" t="s">
        <v>56</v>
      </c>
      <c r="BI599">
        <v>923</v>
      </c>
      <c r="BJ599">
        <v>-0.1</v>
      </c>
      <c r="BK599" t="s">
        <v>56</v>
      </c>
      <c r="BL599" t="s">
        <v>466</v>
      </c>
      <c r="BM599" t="s">
        <v>466</v>
      </c>
      <c r="BN599" t="s">
        <v>81</v>
      </c>
      <c r="BO599" t="s">
        <v>467</v>
      </c>
      <c r="BP599" t="s">
        <v>77</v>
      </c>
      <c r="BR599" t="s">
        <v>63</v>
      </c>
      <c r="BT599">
        <v>0.81</v>
      </c>
      <c r="BU599">
        <v>0.81</v>
      </c>
      <c r="BV599">
        <v>0.02</v>
      </c>
      <c r="BW599">
        <f>BV599*SQRT(AK599)</f>
        <v>0.06</v>
      </c>
      <c r="BX599">
        <v>0.31</v>
      </c>
      <c r="BY599">
        <v>0.31</v>
      </c>
      <c r="BZ599">
        <v>0.05</v>
      </c>
      <c r="CA599">
        <f>BZ599*SQRT(AL599)</f>
        <v>0.15000000000000002</v>
      </c>
      <c r="CB599">
        <v>180</v>
      </c>
      <c r="CC599">
        <v>10</v>
      </c>
      <c r="CD599">
        <v>-0.96</v>
      </c>
      <c r="CE599">
        <v>2.6599999999999999E-2</v>
      </c>
    </row>
    <row r="600" spans="1:84" hidden="1" x14ac:dyDescent="0.2">
      <c r="D600">
        <v>42</v>
      </c>
      <c r="G600" t="s">
        <v>43</v>
      </c>
      <c r="H600" t="s">
        <v>462</v>
      </c>
      <c r="J600">
        <v>2017</v>
      </c>
      <c r="M600" t="s">
        <v>463</v>
      </c>
      <c r="T600" t="s">
        <v>68</v>
      </c>
      <c r="U600" t="s">
        <v>464</v>
      </c>
      <c r="V600" t="s">
        <v>465</v>
      </c>
      <c r="Z600" t="s">
        <v>49</v>
      </c>
      <c r="AA600" t="s">
        <v>49</v>
      </c>
      <c r="AB600" t="s">
        <v>50</v>
      </c>
      <c r="AC600" t="s">
        <v>108</v>
      </c>
      <c r="AD600" t="s">
        <v>52</v>
      </c>
      <c r="AE600" t="s">
        <v>53</v>
      </c>
      <c r="AF600" t="s">
        <v>54</v>
      </c>
      <c r="AG600" t="s">
        <v>52</v>
      </c>
      <c r="AH600" t="s">
        <v>65</v>
      </c>
      <c r="AK600">
        <v>9</v>
      </c>
      <c r="AL600">
        <v>8</v>
      </c>
      <c r="AN600">
        <v>539</v>
      </c>
      <c r="AO600">
        <v>10</v>
      </c>
      <c r="AP600" t="s">
        <v>56</v>
      </c>
      <c r="AQ600" t="s">
        <v>56</v>
      </c>
      <c r="AR600">
        <v>7.85</v>
      </c>
      <c r="AS600">
        <v>0.02</v>
      </c>
      <c r="AT600" t="s">
        <v>56</v>
      </c>
      <c r="AU600">
        <v>651</v>
      </c>
      <c r="AV600">
        <v>26</v>
      </c>
      <c r="AW600" t="s">
        <v>56</v>
      </c>
      <c r="AX600">
        <v>7.73</v>
      </c>
      <c r="AY600">
        <v>0.03</v>
      </c>
      <c r="AZ600" t="s">
        <v>56</v>
      </c>
      <c r="BB600">
        <f>LOG(AU600)</f>
        <v>2.8135809885681922</v>
      </c>
      <c r="BC600">
        <v>15.7</v>
      </c>
      <c r="BD600">
        <v>0.1</v>
      </c>
      <c r="BE600" t="s">
        <v>56</v>
      </c>
      <c r="BF600">
        <v>19.2</v>
      </c>
      <c r="BG600">
        <v>0.1</v>
      </c>
      <c r="BH600" t="s">
        <v>56</v>
      </c>
      <c r="BI600">
        <v>112</v>
      </c>
      <c r="BJ600">
        <v>3.4</v>
      </c>
      <c r="BK600" t="s">
        <v>56</v>
      </c>
      <c r="BL600" t="s">
        <v>466</v>
      </c>
      <c r="BM600" t="s">
        <v>466</v>
      </c>
      <c r="BN600" t="s">
        <v>81</v>
      </c>
      <c r="BO600" t="s">
        <v>467</v>
      </c>
      <c r="BP600" t="s">
        <v>77</v>
      </c>
      <c r="BR600" t="s">
        <v>63</v>
      </c>
      <c r="BT600">
        <v>0.81</v>
      </c>
      <c r="BU600">
        <v>0.81</v>
      </c>
      <c r="BV600">
        <v>0.02</v>
      </c>
      <c r="BW600">
        <f>BV600*SQRT(AK600)</f>
        <v>0.06</v>
      </c>
      <c r="BX600">
        <v>0.62</v>
      </c>
      <c r="BY600">
        <v>0.62</v>
      </c>
      <c r="BZ600">
        <v>0.09</v>
      </c>
      <c r="CA600">
        <f>BZ600*SQRT(AL600)</f>
        <v>0.2545584412271571</v>
      </c>
      <c r="CB600">
        <v>180</v>
      </c>
      <c r="CC600">
        <v>10</v>
      </c>
      <c r="CD600">
        <v>-0.26700000000000002</v>
      </c>
      <c r="CE600">
        <v>2.1700000000000001E-2</v>
      </c>
    </row>
    <row r="601" spans="1:84" hidden="1" x14ac:dyDescent="0.2">
      <c r="D601">
        <v>42</v>
      </c>
      <c r="G601" t="s">
        <v>43</v>
      </c>
      <c r="H601" t="s">
        <v>462</v>
      </c>
      <c r="J601">
        <v>2017</v>
      </c>
      <c r="M601" t="s">
        <v>463</v>
      </c>
      <c r="T601" t="s">
        <v>68</v>
      </c>
      <c r="U601" t="s">
        <v>464</v>
      </c>
      <c r="V601" t="s">
        <v>465</v>
      </c>
      <c r="Z601" t="s">
        <v>49</v>
      </c>
      <c r="AA601" t="s">
        <v>49</v>
      </c>
      <c r="AB601" t="s">
        <v>50</v>
      </c>
      <c r="AC601" t="s">
        <v>108</v>
      </c>
      <c r="AD601" t="s">
        <v>52</v>
      </c>
      <c r="AE601" t="s">
        <v>53</v>
      </c>
      <c r="AF601" t="s">
        <v>52</v>
      </c>
      <c r="AG601" t="s">
        <v>52</v>
      </c>
      <c r="AH601" t="s">
        <v>64</v>
      </c>
      <c r="AK601">
        <v>9</v>
      </c>
      <c r="AL601">
        <v>10</v>
      </c>
      <c r="AN601">
        <v>539</v>
      </c>
      <c r="AO601">
        <v>10</v>
      </c>
      <c r="AP601" t="s">
        <v>56</v>
      </c>
      <c r="AQ601" t="s">
        <v>56</v>
      </c>
      <c r="AR601">
        <v>7.85</v>
      </c>
      <c r="AS601">
        <v>0.02</v>
      </c>
      <c r="AT601" t="s">
        <v>56</v>
      </c>
      <c r="AU601">
        <v>1446</v>
      </c>
      <c r="AV601">
        <v>33</v>
      </c>
      <c r="AW601" t="s">
        <v>56</v>
      </c>
      <c r="AX601">
        <v>7.47</v>
      </c>
      <c r="AY601">
        <v>0.02</v>
      </c>
      <c r="AZ601" t="s">
        <v>56</v>
      </c>
      <c r="BB601">
        <f>LOG(AU601)</f>
        <v>3.1601682929585122</v>
      </c>
      <c r="BC601">
        <v>15.7</v>
      </c>
      <c r="BD601">
        <v>0.1</v>
      </c>
      <c r="BE601" t="s">
        <v>56</v>
      </c>
      <c r="BF601">
        <v>19.3</v>
      </c>
      <c r="BG601">
        <v>0.1</v>
      </c>
      <c r="BH601" t="s">
        <v>56</v>
      </c>
      <c r="BI601">
        <v>906</v>
      </c>
      <c r="BJ601">
        <v>3.6</v>
      </c>
      <c r="BK601" t="s">
        <v>56</v>
      </c>
      <c r="BL601" t="s">
        <v>466</v>
      </c>
      <c r="BM601" t="s">
        <v>466</v>
      </c>
      <c r="BN601" t="s">
        <v>81</v>
      </c>
      <c r="BO601" t="s">
        <v>467</v>
      </c>
      <c r="BP601" t="s">
        <v>77</v>
      </c>
      <c r="BR601" t="s">
        <v>63</v>
      </c>
      <c r="BT601">
        <v>0.81</v>
      </c>
      <c r="BU601">
        <v>0.81</v>
      </c>
      <c r="BV601">
        <v>0.02</v>
      </c>
      <c r="BW601">
        <f>BV601*SQRT(AK601)</f>
        <v>0.06</v>
      </c>
      <c r="BX601">
        <v>0.75</v>
      </c>
      <c r="BY601">
        <v>0.75</v>
      </c>
      <c r="BZ601">
        <v>0.06</v>
      </c>
      <c r="CA601">
        <f>BZ601*SQRT(AL601)</f>
        <v>0.18973665961010278</v>
      </c>
      <c r="CB601">
        <v>180</v>
      </c>
      <c r="CC601">
        <v>10</v>
      </c>
      <c r="CD601">
        <v>-7.6999999999999999E-2</v>
      </c>
      <c r="CE601">
        <v>7.0000000000000001E-3</v>
      </c>
    </row>
    <row r="602" spans="1:84" hidden="1" x14ac:dyDescent="0.2">
      <c r="D602">
        <v>42</v>
      </c>
      <c r="G602" t="s">
        <v>43</v>
      </c>
      <c r="H602" t="s">
        <v>462</v>
      </c>
      <c r="J602">
        <v>2017</v>
      </c>
      <c r="M602" t="s">
        <v>463</v>
      </c>
      <c r="T602" t="s">
        <v>68</v>
      </c>
      <c r="U602" t="s">
        <v>464</v>
      </c>
      <c r="V602" t="s">
        <v>465</v>
      </c>
      <c r="Z602" t="s">
        <v>49</v>
      </c>
      <c r="AA602" t="s">
        <v>49</v>
      </c>
      <c r="AB602" t="s">
        <v>50</v>
      </c>
      <c r="AC602" t="s">
        <v>108</v>
      </c>
      <c r="AD602" t="s">
        <v>52</v>
      </c>
      <c r="AE602" t="s">
        <v>53</v>
      </c>
      <c r="AF602" t="s">
        <v>52</v>
      </c>
      <c r="AG602" t="s">
        <v>54</v>
      </c>
      <c r="AH602" t="s">
        <v>55</v>
      </c>
      <c r="AK602">
        <v>9</v>
      </c>
      <c r="AL602">
        <v>9</v>
      </c>
      <c r="AN602">
        <v>539</v>
      </c>
      <c r="AO602">
        <v>10</v>
      </c>
      <c r="AP602" t="s">
        <v>56</v>
      </c>
      <c r="AQ602" t="s">
        <v>56</v>
      </c>
      <c r="AR602">
        <v>7.85</v>
      </c>
      <c r="AS602">
        <v>0.02</v>
      </c>
      <c r="AT602" t="s">
        <v>56</v>
      </c>
      <c r="AU602">
        <v>1463</v>
      </c>
      <c r="AV602">
        <v>25</v>
      </c>
      <c r="AW602" t="s">
        <v>56</v>
      </c>
      <c r="AX602">
        <v>7.47</v>
      </c>
      <c r="AY602">
        <v>0.01</v>
      </c>
      <c r="AZ602" t="s">
        <v>56</v>
      </c>
      <c r="BB602">
        <f>LOG(AU602)</f>
        <v>3.1652443261253107</v>
      </c>
      <c r="BC602">
        <v>15.7</v>
      </c>
      <c r="BD602">
        <v>0.1</v>
      </c>
      <c r="BE602" t="s">
        <v>56</v>
      </c>
      <c r="BF602">
        <v>15.6</v>
      </c>
      <c r="BG602">
        <v>0.1</v>
      </c>
      <c r="BH602" t="s">
        <v>56</v>
      </c>
      <c r="BI602">
        <v>923</v>
      </c>
      <c r="BJ602">
        <v>-0.1</v>
      </c>
      <c r="BK602" t="s">
        <v>56</v>
      </c>
      <c r="BL602" t="s">
        <v>468</v>
      </c>
      <c r="BM602" t="s">
        <v>468</v>
      </c>
      <c r="BN602" t="s">
        <v>60</v>
      </c>
      <c r="BO602" t="s">
        <v>469</v>
      </c>
      <c r="BP602" t="s">
        <v>77</v>
      </c>
      <c r="BR602" t="s">
        <v>63</v>
      </c>
      <c r="BT602">
        <v>58.24</v>
      </c>
      <c r="BU602">
        <v>58.24</v>
      </c>
      <c r="BV602">
        <v>12.09</v>
      </c>
      <c r="BW602">
        <f>BV602*SQRT(AK602)</f>
        <v>36.269999999999996</v>
      </c>
      <c r="BX602">
        <v>55.49</v>
      </c>
      <c r="BY602">
        <v>55.49</v>
      </c>
      <c r="BZ602">
        <v>9.89</v>
      </c>
      <c r="CA602">
        <f>BZ602*SQRT(AL602)</f>
        <v>29.67</v>
      </c>
      <c r="CB602">
        <v>180</v>
      </c>
      <c r="CC602">
        <v>10</v>
      </c>
      <c r="CD602">
        <v>-4.8000000000000001E-2</v>
      </c>
      <c r="CE602">
        <v>7.4899999999999994E-2</v>
      </c>
    </row>
    <row r="603" spans="1:84" hidden="1" x14ac:dyDescent="0.2">
      <c r="D603">
        <v>42</v>
      </c>
      <c r="G603" t="s">
        <v>43</v>
      </c>
      <c r="H603" t="s">
        <v>462</v>
      </c>
      <c r="J603">
        <v>2017</v>
      </c>
      <c r="M603" t="s">
        <v>463</v>
      </c>
      <c r="T603" t="s">
        <v>68</v>
      </c>
      <c r="U603" t="s">
        <v>464</v>
      </c>
      <c r="V603" t="s">
        <v>465</v>
      </c>
      <c r="Z603" t="s">
        <v>49</v>
      </c>
      <c r="AA603" t="s">
        <v>49</v>
      </c>
      <c r="AB603" t="s">
        <v>50</v>
      </c>
      <c r="AC603" t="s">
        <v>108</v>
      </c>
      <c r="AD603" t="s">
        <v>52</v>
      </c>
      <c r="AE603" t="s">
        <v>53</v>
      </c>
      <c r="AF603" t="s">
        <v>54</v>
      </c>
      <c r="AG603" t="s">
        <v>52</v>
      </c>
      <c r="AH603" t="s">
        <v>65</v>
      </c>
      <c r="AK603">
        <v>9</v>
      </c>
      <c r="AL603">
        <v>8</v>
      </c>
      <c r="AN603">
        <v>539</v>
      </c>
      <c r="AO603">
        <v>10</v>
      </c>
      <c r="AP603" t="s">
        <v>56</v>
      </c>
      <c r="AQ603" t="s">
        <v>56</v>
      </c>
      <c r="AR603">
        <v>7.85</v>
      </c>
      <c r="AS603">
        <v>0.02</v>
      </c>
      <c r="AT603" t="s">
        <v>56</v>
      </c>
      <c r="AU603">
        <v>651</v>
      </c>
      <c r="AV603">
        <v>26</v>
      </c>
      <c r="AW603" t="s">
        <v>56</v>
      </c>
      <c r="AX603">
        <v>7.73</v>
      </c>
      <c r="AY603">
        <v>0.03</v>
      </c>
      <c r="AZ603" t="s">
        <v>56</v>
      </c>
      <c r="BB603">
        <f>LOG(AU603)</f>
        <v>2.8135809885681922</v>
      </c>
      <c r="BC603">
        <v>15.7</v>
      </c>
      <c r="BD603">
        <v>0.1</v>
      </c>
      <c r="BE603" t="s">
        <v>56</v>
      </c>
      <c r="BF603">
        <v>19.2</v>
      </c>
      <c r="BG603">
        <v>0.1</v>
      </c>
      <c r="BH603" t="s">
        <v>56</v>
      </c>
      <c r="BI603">
        <v>112</v>
      </c>
      <c r="BJ603">
        <v>3.4</v>
      </c>
      <c r="BK603" t="s">
        <v>56</v>
      </c>
      <c r="BL603" t="s">
        <v>468</v>
      </c>
      <c r="BM603" t="s">
        <v>468</v>
      </c>
      <c r="BN603" t="s">
        <v>60</v>
      </c>
      <c r="BO603" t="s">
        <v>469</v>
      </c>
      <c r="BP603" t="s">
        <v>77</v>
      </c>
      <c r="BR603" t="s">
        <v>63</v>
      </c>
      <c r="BT603">
        <v>58.24</v>
      </c>
      <c r="BU603">
        <v>58.24</v>
      </c>
      <c r="BV603">
        <v>12.09</v>
      </c>
      <c r="BW603">
        <f>BV603*SQRT(AK603)</f>
        <v>36.269999999999996</v>
      </c>
      <c r="BX603">
        <v>56.04</v>
      </c>
      <c r="BY603">
        <v>56.04</v>
      </c>
      <c r="BZ603">
        <v>8.25</v>
      </c>
      <c r="CA603">
        <f>BZ603*SQRT(AL603)</f>
        <v>23.334523779156068</v>
      </c>
      <c r="CB603">
        <v>180</v>
      </c>
      <c r="CC603">
        <v>10</v>
      </c>
      <c r="CD603">
        <v>-3.9E-2</v>
      </c>
      <c r="CE603">
        <v>6.4799999999999996E-2</v>
      </c>
    </row>
    <row r="604" spans="1:84" hidden="1" x14ac:dyDescent="0.2">
      <c r="D604">
        <v>42</v>
      </c>
      <c r="G604" t="s">
        <v>43</v>
      </c>
      <c r="H604" t="s">
        <v>462</v>
      </c>
      <c r="J604">
        <v>2017</v>
      </c>
      <c r="M604" t="s">
        <v>463</v>
      </c>
      <c r="T604" t="s">
        <v>68</v>
      </c>
      <c r="U604" t="s">
        <v>464</v>
      </c>
      <c r="V604" t="s">
        <v>465</v>
      </c>
      <c r="Z604" t="s">
        <v>49</v>
      </c>
      <c r="AA604" t="s">
        <v>49</v>
      </c>
      <c r="AB604" t="s">
        <v>50</v>
      </c>
      <c r="AC604" t="s">
        <v>108</v>
      </c>
      <c r="AD604" t="s">
        <v>52</v>
      </c>
      <c r="AE604" t="s">
        <v>53</v>
      </c>
      <c r="AF604" t="s">
        <v>52</v>
      </c>
      <c r="AG604" t="s">
        <v>54</v>
      </c>
      <c r="AH604" t="s">
        <v>55</v>
      </c>
      <c r="AK604">
        <v>9</v>
      </c>
      <c r="AL604">
        <v>9</v>
      </c>
      <c r="AN604">
        <v>539</v>
      </c>
      <c r="AO604">
        <v>10</v>
      </c>
      <c r="AP604" t="s">
        <v>56</v>
      </c>
      <c r="AQ604" t="s">
        <v>56</v>
      </c>
      <c r="AR604">
        <v>7.85</v>
      </c>
      <c r="AS604">
        <v>0.02</v>
      </c>
      <c r="AT604" t="s">
        <v>56</v>
      </c>
      <c r="AU604">
        <v>1463</v>
      </c>
      <c r="AV604">
        <v>25</v>
      </c>
      <c r="AW604" t="s">
        <v>56</v>
      </c>
      <c r="AX604">
        <v>7.47</v>
      </c>
      <c r="AY604">
        <v>0.01</v>
      </c>
      <c r="AZ604" t="s">
        <v>56</v>
      </c>
      <c r="BB604">
        <f>LOG(AU604)</f>
        <v>3.1652443261253107</v>
      </c>
      <c r="BC604">
        <v>15.7</v>
      </c>
      <c r="BD604">
        <v>0.1</v>
      </c>
      <c r="BE604" t="s">
        <v>56</v>
      </c>
      <c r="BF604">
        <v>15.6</v>
      </c>
      <c r="BG604">
        <v>0.1</v>
      </c>
      <c r="BH604" t="s">
        <v>56</v>
      </c>
      <c r="BI604">
        <v>923</v>
      </c>
      <c r="BJ604">
        <v>-0.1</v>
      </c>
      <c r="BK604" t="s">
        <v>56</v>
      </c>
      <c r="BL604" t="s">
        <v>89</v>
      </c>
      <c r="BM604" t="s">
        <v>90</v>
      </c>
      <c r="BN604" t="s">
        <v>81</v>
      </c>
      <c r="BO604" t="s">
        <v>470</v>
      </c>
      <c r="BP604" t="s">
        <v>92</v>
      </c>
      <c r="BR604" t="s">
        <v>63</v>
      </c>
      <c r="BT604">
        <v>3.55</v>
      </c>
      <c r="BU604">
        <v>3.55</v>
      </c>
      <c r="BV604">
        <v>0.09</v>
      </c>
      <c r="BW604">
        <f>BV604*SQRT(AK604)</f>
        <v>0.27</v>
      </c>
      <c r="BX604">
        <v>3.42</v>
      </c>
      <c r="BY604">
        <v>3.42</v>
      </c>
      <c r="BZ604">
        <v>0.2</v>
      </c>
      <c r="CA604">
        <f>BZ604*SQRT(AL604)</f>
        <v>0.60000000000000009</v>
      </c>
      <c r="CB604">
        <v>180</v>
      </c>
      <c r="CC604">
        <v>10</v>
      </c>
      <c r="CD604">
        <v>-3.6999999999999998E-2</v>
      </c>
      <c r="CE604">
        <v>4.1000000000000003E-3</v>
      </c>
    </row>
    <row r="605" spans="1:84" hidden="1" x14ac:dyDescent="0.2">
      <c r="D605">
        <v>42</v>
      </c>
      <c r="G605" t="s">
        <v>43</v>
      </c>
      <c r="H605" t="s">
        <v>462</v>
      </c>
      <c r="J605">
        <v>2017</v>
      </c>
      <c r="M605" t="s">
        <v>463</v>
      </c>
      <c r="T605" t="s">
        <v>68</v>
      </c>
      <c r="U605" t="s">
        <v>464</v>
      </c>
      <c r="V605" t="s">
        <v>465</v>
      </c>
      <c r="Z605" t="s">
        <v>49</v>
      </c>
      <c r="AA605" t="s">
        <v>49</v>
      </c>
      <c r="AB605" t="s">
        <v>50</v>
      </c>
      <c r="AC605" t="s">
        <v>108</v>
      </c>
      <c r="AD605" t="s">
        <v>52</v>
      </c>
      <c r="AE605" t="s">
        <v>53</v>
      </c>
      <c r="AF605" t="s">
        <v>52</v>
      </c>
      <c r="AG605" t="s">
        <v>52</v>
      </c>
      <c r="AH605" t="s">
        <v>64</v>
      </c>
      <c r="AK605">
        <v>9</v>
      </c>
      <c r="AL605">
        <v>10</v>
      </c>
      <c r="AN605">
        <v>539</v>
      </c>
      <c r="AO605">
        <v>10</v>
      </c>
      <c r="AP605" t="s">
        <v>56</v>
      </c>
      <c r="AQ605" t="s">
        <v>56</v>
      </c>
      <c r="AR605">
        <v>7.85</v>
      </c>
      <c r="AS605">
        <v>0.02</v>
      </c>
      <c r="AT605" t="s">
        <v>56</v>
      </c>
      <c r="AU605">
        <v>1446</v>
      </c>
      <c r="AV605">
        <v>33</v>
      </c>
      <c r="AW605" t="s">
        <v>56</v>
      </c>
      <c r="AX605">
        <v>7.47</v>
      </c>
      <c r="AY605">
        <v>0.02</v>
      </c>
      <c r="AZ605" t="s">
        <v>56</v>
      </c>
      <c r="BB605">
        <f>LOG(AU605)</f>
        <v>3.1601682929585122</v>
      </c>
      <c r="BC605">
        <v>15.7</v>
      </c>
      <c r="BD605">
        <v>0.1</v>
      </c>
      <c r="BE605" t="s">
        <v>56</v>
      </c>
      <c r="BF605">
        <v>19.3</v>
      </c>
      <c r="BG605">
        <v>0.1</v>
      </c>
      <c r="BH605" t="s">
        <v>56</v>
      </c>
      <c r="BI605">
        <v>906</v>
      </c>
      <c r="BJ605">
        <v>3.6</v>
      </c>
      <c r="BK605" t="s">
        <v>56</v>
      </c>
      <c r="BL605" t="s">
        <v>468</v>
      </c>
      <c r="BM605" t="s">
        <v>468</v>
      </c>
      <c r="BN605" t="s">
        <v>60</v>
      </c>
      <c r="BO605" t="s">
        <v>469</v>
      </c>
      <c r="BP605" t="s">
        <v>77</v>
      </c>
      <c r="BR605" t="s">
        <v>63</v>
      </c>
      <c r="BT605">
        <v>58.24</v>
      </c>
      <c r="BU605">
        <v>58.24</v>
      </c>
      <c r="BV605">
        <v>12.09</v>
      </c>
      <c r="BW605">
        <f>BV605*SQRT(AK605)</f>
        <v>36.269999999999996</v>
      </c>
      <c r="BX605">
        <v>60.44</v>
      </c>
      <c r="BY605">
        <v>60.44</v>
      </c>
      <c r="BZ605">
        <v>7.14</v>
      </c>
      <c r="CA605">
        <f>BZ605*SQRT(AL605)</f>
        <v>22.578662493602227</v>
      </c>
      <c r="CB605">
        <v>180</v>
      </c>
      <c r="CC605">
        <v>10</v>
      </c>
      <c r="CD605">
        <v>3.6999999999999998E-2</v>
      </c>
      <c r="CE605">
        <v>5.7000000000000002E-2</v>
      </c>
    </row>
    <row r="606" spans="1:84" hidden="1" x14ac:dyDescent="0.2">
      <c r="D606">
        <v>42</v>
      </c>
      <c r="G606" t="s">
        <v>43</v>
      </c>
      <c r="H606" t="s">
        <v>462</v>
      </c>
      <c r="J606">
        <v>2017</v>
      </c>
      <c r="M606" t="s">
        <v>463</v>
      </c>
      <c r="T606" t="s">
        <v>68</v>
      </c>
      <c r="U606" t="s">
        <v>464</v>
      </c>
      <c r="V606" t="s">
        <v>465</v>
      </c>
      <c r="Z606" t="s">
        <v>49</v>
      </c>
      <c r="AA606" t="s">
        <v>49</v>
      </c>
      <c r="AB606" t="s">
        <v>50</v>
      </c>
      <c r="AC606" t="s">
        <v>108</v>
      </c>
      <c r="AD606" t="s">
        <v>52</v>
      </c>
      <c r="AE606" t="s">
        <v>53</v>
      </c>
      <c r="AF606" t="s">
        <v>52</v>
      </c>
      <c r="AG606" t="s">
        <v>52</v>
      </c>
      <c r="AH606" t="s">
        <v>64</v>
      </c>
      <c r="AK606">
        <v>9</v>
      </c>
      <c r="AL606">
        <v>10</v>
      </c>
      <c r="AN606">
        <v>539</v>
      </c>
      <c r="AO606">
        <v>10</v>
      </c>
      <c r="AP606" t="s">
        <v>56</v>
      </c>
      <c r="AQ606" t="s">
        <v>56</v>
      </c>
      <c r="AR606">
        <v>7.85</v>
      </c>
      <c r="AS606">
        <v>0.02</v>
      </c>
      <c r="AT606" t="s">
        <v>56</v>
      </c>
      <c r="AU606">
        <v>1446</v>
      </c>
      <c r="AV606">
        <v>33</v>
      </c>
      <c r="AW606" t="s">
        <v>56</v>
      </c>
      <c r="AX606">
        <v>7.47</v>
      </c>
      <c r="AY606">
        <v>0.02</v>
      </c>
      <c r="AZ606" t="s">
        <v>56</v>
      </c>
      <c r="BB606">
        <f>LOG(AU606)</f>
        <v>3.1601682929585122</v>
      </c>
      <c r="BC606">
        <v>15.7</v>
      </c>
      <c r="BD606">
        <v>0.1</v>
      </c>
      <c r="BE606" t="s">
        <v>56</v>
      </c>
      <c r="BF606">
        <v>19.3</v>
      </c>
      <c r="BG606">
        <v>0.1</v>
      </c>
      <c r="BH606" t="s">
        <v>56</v>
      </c>
      <c r="BI606">
        <v>906</v>
      </c>
      <c r="BJ606">
        <v>3.6</v>
      </c>
      <c r="BK606" t="s">
        <v>56</v>
      </c>
      <c r="BL606" t="s">
        <v>89</v>
      </c>
      <c r="BM606" t="s">
        <v>90</v>
      </c>
      <c r="BN606" t="s">
        <v>81</v>
      </c>
      <c r="BO606" t="s">
        <v>470</v>
      </c>
      <c r="BP606" t="s">
        <v>92</v>
      </c>
      <c r="BR606" t="s">
        <v>63</v>
      </c>
      <c r="BT606">
        <v>3.55</v>
      </c>
      <c r="BU606">
        <v>3.55</v>
      </c>
      <c r="BV606">
        <v>0.09</v>
      </c>
      <c r="BW606">
        <f>BV606*SQRT(AK606)</f>
        <v>0.27</v>
      </c>
      <c r="BX606">
        <v>3.73</v>
      </c>
      <c r="BY606">
        <v>3.73</v>
      </c>
      <c r="BZ606">
        <v>0.08</v>
      </c>
      <c r="CA606">
        <f>BZ606*SQRT(AL606)</f>
        <v>0.25298221281347039</v>
      </c>
      <c r="CB606">
        <v>180</v>
      </c>
      <c r="CC606">
        <v>10</v>
      </c>
      <c r="CD606">
        <v>4.9000000000000002E-2</v>
      </c>
      <c r="CE606">
        <v>1.1000000000000001E-3</v>
      </c>
    </row>
    <row r="607" spans="1:84" hidden="1" x14ac:dyDescent="0.2">
      <c r="D607">
        <v>42</v>
      </c>
      <c r="G607" t="s">
        <v>43</v>
      </c>
      <c r="H607" t="s">
        <v>462</v>
      </c>
      <c r="J607">
        <v>2017</v>
      </c>
      <c r="M607" t="s">
        <v>463</v>
      </c>
      <c r="T607" t="s">
        <v>68</v>
      </c>
      <c r="U607" t="s">
        <v>464</v>
      </c>
      <c r="V607" t="s">
        <v>465</v>
      </c>
      <c r="Z607" t="s">
        <v>49</v>
      </c>
      <c r="AA607" t="s">
        <v>49</v>
      </c>
      <c r="AB607" t="s">
        <v>50</v>
      </c>
      <c r="AC607" t="s">
        <v>108</v>
      </c>
      <c r="AD607" t="s">
        <v>52</v>
      </c>
      <c r="AE607" t="s">
        <v>53</v>
      </c>
      <c r="AF607" t="s">
        <v>54</v>
      </c>
      <c r="AG607" t="s">
        <v>52</v>
      </c>
      <c r="AH607" t="s">
        <v>65</v>
      </c>
      <c r="AK607">
        <v>9</v>
      </c>
      <c r="AL607">
        <v>8</v>
      </c>
      <c r="AN607">
        <v>539</v>
      </c>
      <c r="AO607">
        <v>10</v>
      </c>
      <c r="AP607" t="s">
        <v>56</v>
      </c>
      <c r="AQ607" t="s">
        <v>56</v>
      </c>
      <c r="AR607">
        <v>7.85</v>
      </c>
      <c r="AS607">
        <v>0.02</v>
      </c>
      <c r="AT607" t="s">
        <v>56</v>
      </c>
      <c r="AU607">
        <v>651</v>
      </c>
      <c r="AV607">
        <v>26</v>
      </c>
      <c r="AW607" t="s">
        <v>56</v>
      </c>
      <c r="AX607">
        <v>7.73</v>
      </c>
      <c r="AY607">
        <v>0.03</v>
      </c>
      <c r="AZ607" t="s">
        <v>56</v>
      </c>
      <c r="BB607">
        <f>LOG(AU607)</f>
        <v>2.8135809885681922</v>
      </c>
      <c r="BC607">
        <v>15.7</v>
      </c>
      <c r="BD607">
        <v>0.1</v>
      </c>
      <c r="BE607" t="s">
        <v>56</v>
      </c>
      <c r="BF607">
        <v>19.2</v>
      </c>
      <c r="BG607">
        <v>0.1</v>
      </c>
      <c r="BH607" t="s">
        <v>56</v>
      </c>
      <c r="BI607">
        <v>112</v>
      </c>
      <c r="BJ607">
        <v>3.4</v>
      </c>
      <c r="BK607" t="s">
        <v>56</v>
      </c>
      <c r="BL607" t="s">
        <v>89</v>
      </c>
      <c r="BM607" t="s">
        <v>90</v>
      </c>
      <c r="BN607" t="s">
        <v>81</v>
      </c>
      <c r="BO607" t="s">
        <v>470</v>
      </c>
      <c r="BP607" t="s">
        <v>92</v>
      </c>
      <c r="BR607" t="s">
        <v>63</v>
      </c>
      <c r="BT607">
        <v>3.55</v>
      </c>
      <c r="BU607">
        <v>3.55</v>
      </c>
      <c r="BV607">
        <v>0.09</v>
      </c>
      <c r="BW607">
        <f>BV607*SQRT(AK607)</f>
        <v>0.27</v>
      </c>
      <c r="BX607">
        <v>3.94</v>
      </c>
      <c r="BY607">
        <v>3.94</v>
      </c>
      <c r="BZ607">
        <v>0.05</v>
      </c>
      <c r="CA607">
        <f>BZ607*SQRT(AL607)</f>
        <v>0.14142135623730953</v>
      </c>
      <c r="CB607">
        <v>180</v>
      </c>
      <c r="CC607">
        <v>10</v>
      </c>
      <c r="CD607">
        <v>0.104</v>
      </c>
      <c r="CE607">
        <v>8.0000000000000004E-4</v>
      </c>
    </row>
    <row r="608" spans="1:84" s="8" customFormat="1" hidden="1" x14ac:dyDescent="0.2">
      <c r="A608"/>
      <c r="B608" t="str">
        <f>ROW()-1&amp;"_AltersInvert"</f>
        <v>607_AltersInvert</v>
      </c>
      <c r="C608" t="str">
        <f>D608&amp;"_"&amp;
SUBSTITUTE(TRIM(V608)," ","_")&amp;"_"&amp;
TRIM(AC608)&amp;"_"&amp;
"CO2"&amp;TEXT(AN608,"0.00")&amp;"_"&amp;
"pH"&amp;TEXT(AR608,"0.00")&amp;"_"&amp;
"T"&amp;TEXT(BC608,"0.##")</f>
        <v>192_Balanus_amphitrite_LARVA_CO2416.00_pHNA_T29.8</v>
      </c>
      <c r="D608">
        <v>192</v>
      </c>
      <c r="E608"/>
      <c r="F608"/>
      <c r="G608" t="s">
        <v>43</v>
      </c>
      <c r="H608" t="s">
        <v>911</v>
      </c>
      <c r="I608"/>
      <c r="J608">
        <v>2015</v>
      </c>
      <c r="K608"/>
      <c r="L608"/>
      <c r="M608" t="s">
        <v>45</v>
      </c>
      <c r="N608"/>
      <c r="O608"/>
      <c r="P608" t="s">
        <v>1135</v>
      </c>
      <c r="Q608"/>
      <c r="R608" t="s">
        <v>1127</v>
      </c>
      <c r="S608" t="s">
        <v>1128</v>
      </c>
      <c r="T608" t="s">
        <v>131</v>
      </c>
      <c r="U608" t="s">
        <v>860</v>
      </c>
      <c r="V608" t="s">
        <v>912</v>
      </c>
      <c r="W608"/>
      <c r="X608"/>
      <c r="Y608"/>
      <c r="Z608" t="s">
        <v>106</v>
      </c>
      <c r="AA608" t="s">
        <v>107</v>
      </c>
      <c r="AB608" t="s">
        <v>71</v>
      </c>
      <c r="AC608" t="s">
        <v>72</v>
      </c>
      <c r="AD608" t="s">
        <v>52</v>
      </c>
      <c r="AE608" t="s">
        <v>53</v>
      </c>
      <c r="AF608" t="s">
        <v>54</v>
      </c>
      <c r="AG608" t="s">
        <v>52</v>
      </c>
      <c r="AH608" t="s">
        <v>65</v>
      </c>
      <c r="AI608"/>
      <c r="AJ608"/>
      <c r="AK608">
        <v>3</v>
      </c>
      <c r="AL608">
        <v>3</v>
      </c>
      <c r="AM608"/>
      <c r="AN608">
        <v>416</v>
      </c>
      <c r="AO608" t="s">
        <v>56</v>
      </c>
      <c r="AP608">
        <v>31</v>
      </c>
      <c r="AQ608" t="s">
        <v>56</v>
      </c>
      <c r="AR608" t="s">
        <v>56</v>
      </c>
      <c r="AS608" t="s">
        <v>56</v>
      </c>
      <c r="AT608" t="s">
        <v>56</v>
      </c>
      <c r="AU608">
        <v>412</v>
      </c>
      <c r="AV608" t="s">
        <v>56</v>
      </c>
      <c r="AW608">
        <v>9</v>
      </c>
      <c r="AX608" t="s">
        <v>56</v>
      </c>
      <c r="AY608" t="s">
        <v>56</v>
      </c>
      <c r="AZ608" t="s">
        <v>56</v>
      </c>
      <c r="BA608"/>
      <c r="BB608">
        <f>LOG(AU608)</f>
        <v>2.6148972160331345</v>
      </c>
      <c r="BC608">
        <v>29.8</v>
      </c>
      <c r="BD608" t="s">
        <v>56</v>
      </c>
      <c r="BE608">
        <v>0.2</v>
      </c>
      <c r="BF608">
        <v>33.9</v>
      </c>
      <c r="BG608" t="s">
        <v>56</v>
      </c>
      <c r="BH608">
        <v>0.4</v>
      </c>
      <c r="BI608">
        <v>-4</v>
      </c>
      <c r="BJ608">
        <v>4.0999999999999996</v>
      </c>
      <c r="BK608" t="s">
        <v>913</v>
      </c>
      <c r="BL608" t="s">
        <v>862</v>
      </c>
      <c r="BM608" t="s">
        <v>249</v>
      </c>
      <c r="BN608" t="s">
        <v>60</v>
      </c>
      <c r="BO608" t="s">
        <v>250</v>
      </c>
      <c r="BP608" t="s">
        <v>9</v>
      </c>
      <c r="BQ608" t="s">
        <v>9</v>
      </c>
      <c r="BR608" t="s">
        <v>63</v>
      </c>
      <c r="BS608"/>
      <c r="BT608">
        <v>4.66</v>
      </c>
      <c r="BU608">
        <v>4.66</v>
      </c>
      <c r="BV608">
        <v>0.33</v>
      </c>
      <c r="BW608">
        <f>BV608*SQRT(AK608)</f>
        <v>0.57157676649772948</v>
      </c>
      <c r="BX608">
        <v>4.33</v>
      </c>
      <c r="BY608">
        <v>4.33</v>
      </c>
      <c r="BZ608">
        <v>0.33</v>
      </c>
      <c r="CA608">
        <f>BZ608*SQRT(AL608)</f>
        <v>0.57157676649772948</v>
      </c>
      <c r="CB608">
        <v>5</v>
      </c>
      <c r="CC608">
        <v>3</v>
      </c>
      <c r="CD608">
        <v>-7.2999999999999995E-2</v>
      </c>
      <c r="CE608">
        <v>1.0999999999999999E-2</v>
      </c>
      <c r="CF608"/>
    </row>
    <row r="609" spans="1:84" s="8" customFormat="1" hidden="1" x14ac:dyDescent="0.2">
      <c r="A609"/>
      <c r="B609" t="str">
        <f>ROW()-1&amp;"_AltersInvert"</f>
        <v>608_AltersInvert</v>
      </c>
      <c r="C609" t="str">
        <f>D609&amp;"_"&amp;
SUBSTITUTE(TRIM(V609)," ","_")&amp;"_"&amp;
TRIM(AC609)&amp;"_"&amp;
"CO2"&amp;TEXT(AN609,"0.00")&amp;"_"&amp;
"pH"&amp;TEXT(AR609,"0.00")&amp;"_"&amp;
"T"&amp;TEXT(BC609,"0.##")</f>
        <v>192_Balanus_amphitrite_LARVA_CO2416.00_pHNA_T29.8</v>
      </c>
      <c r="D609">
        <v>192</v>
      </c>
      <c r="E609"/>
      <c r="F609"/>
      <c r="G609" t="s">
        <v>43</v>
      </c>
      <c r="H609" t="s">
        <v>911</v>
      </c>
      <c r="I609"/>
      <c r="J609">
        <v>2015</v>
      </c>
      <c r="K609"/>
      <c r="L609"/>
      <c r="M609" t="s">
        <v>45</v>
      </c>
      <c r="N609"/>
      <c r="O609"/>
      <c r="P609" t="s">
        <v>1135</v>
      </c>
      <c r="Q609"/>
      <c r="R609" t="s">
        <v>1127</v>
      </c>
      <c r="S609" t="s">
        <v>1128</v>
      </c>
      <c r="T609" t="s">
        <v>131</v>
      </c>
      <c r="U609" t="s">
        <v>860</v>
      </c>
      <c r="V609" t="s">
        <v>912</v>
      </c>
      <c r="W609"/>
      <c r="X609"/>
      <c r="Y609"/>
      <c r="Z609" t="s">
        <v>106</v>
      </c>
      <c r="AA609" t="s">
        <v>107</v>
      </c>
      <c r="AB609" t="s">
        <v>71</v>
      </c>
      <c r="AC609" t="s">
        <v>72</v>
      </c>
      <c r="AD609" t="s">
        <v>52</v>
      </c>
      <c r="AE609" t="s">
        <v>53</v>
      </c>
      <c r="AF609" t="s">
        <v>52</v>
      </c>
      <c r="AG609" t="s">
        <v>52</v>
      </c>
      <c r="AH609" t="s">
        <v>64</v>
      </c>
      <c r="AI609"/>
      <c r="AJ609"/>
      <c r="AK609">
        <v>3</v>
      </c>
      <c r="AL609">
        <v>3</v>
      </c>
      <c r="AM609"/>
      <c r="AN609">
        <v>416</v>
      </c>
      <c r="AO609" t="s">
        <v>56</v>
      </c>
      <c r="AP609">
        <v>31</v>
      </c>
      <c r="AQ609" t="s">
        <v>56</v>
      </c>
      <c r="AR609" t="s">
        <v>56</v>
      </c>
      <c r="AS609" t="s">
        <v>56</v>
      </c>
      <c r="AT609" t="s">
        <v>56</v>
      </c>
      <c r="AU609">
        <v>781</v>
      </c>
      <c r="AV609" t="s">
        <v>56</v>
      </c>
      <c r="AW609">
        <v>22</v>
      </c>
      <c r="AX609" t="s">
        <v>56</v>
      </c>
      <c r="AY609" t="s">
        <v>56</v>
      </c>
      <c r="AZ609" t="s">
        <v>56</v>
      </c>
      <c r="BA609"/>
      <c r="BB609">
        <f>LOG(AU609)</f>
        <v>2.8926510338773004</v>
      </c>
      <c r="BC609">
        <v>29.8</v>
      </c>
      <c r="BD609" t="s">
        <v>56</v>
      </c>
      <c r="BE609">
        <v>0.2</v>
      </c>
      <c r="BF609">
        <v>33.9</v>
      </c>
      <c r="BG609" t="s">
        <v>56</v>
      </c>
      <c r="BH609">
        <v>0.4</v>
      </c>
      <c r="BI609">
        <v>365</v>
      </c>
      <c r="BJ609">
        <v>4.0999999999999996</v>
      </c>
      <c r="BK609" t="s">
        <v>913</v>
      </c>
      <c r="BL609" t="s">
        <v>862</v>
      </c>
      <c r="BM609" t="s">
        <v>249</v>
      </c>
      <c r="BN609" t="s">
        <v>60</v>
      </c>
      <c r="BO609" t="s">
        <v>250</v>
      </c>
      <c r="BP609" t="s">
        <v>9</v>
      </c>
      <c r="BQ609" t="s">
        <v>9</v>
      </c>
      <c r="BR609" t="s">
        <v>63</v>
      </c>
      <c r="BS609"/>
      <c r="BT609">
        <v>4.66</v>
      </c>
      <c r="BU609">
        <v>4.66</v>
      </c>
      <c r="BV609">
        <v>0.33</v>
      </c>
      <c r="BW609">
        <f>BV609*SQRT(AK609)</f>
        <v>0.57157676649772948</v>
      </c>
      <c r="BX609">
        <v>4</v>
      </c>
      <c r="BY609">
        <v>4</v>
      </c>
      <c r="BZ609">
        <v>0.02</v>
      </c>
      <c r="CA609">
        <f>BZ609*SQRT(AL609)</f>
        <v>3.4641016151377546E-2</v>
      </c>
      <c r="CB609">
        <v>4</v>
      </c>
      <c r="CC609">
        <v>3</v>
      </c>
      <c r="CD609">
        <v>-0.153</v>
      </c>
      <c r="CE609">
        <v>5.0000000000000001E-3</v>
      </c>
      <c r="CF609"/>
    </row>
    <row r="610" spans="1:84" s="8" customFormat="1" hidden="1" x14ac:dyDescent="0.2">
      <c r="A610"/>
      <c r="B610" t="str">
        <f>ROW()-1&amp;"_AltersInvert"</f>
        <v>609_AltersInvert</v>
      </c>
      <c r="C610" t="str">
        <f>D610&amp;"_"&amp;
SUBSTITUTE(TRIM(V610)," ","_")&amp;"_"&amp;
TRIM(AC610)&amp;"_"&amp;
"CO2"&amp;TEXT(AN610,"0.00")&amp;"_"&amp;
"pH"&amp;TEXT(AR610,"0.00")&amp;"_"&amp;
"T"&amp;TEXT(BC610,"0.##")</f>
        <v>75_Laternula_elliptica_LARVA_CO2458.00_pH7.97_T-1.6</v>
      </c>
      <c r="D610">
        <v>75</v>
      </c>
      <c r="E610"/>
      <c r="F610"/>
      <c r="G610" t="s">
        <v>43</v>
      </c>
      <c r="H610" t="s">
        <v>662</v>
      </c>
      <c r="I610"/>
      <c r="J610">
        <v>2017</v>
      </c>
      <c r="K610"/>
      <c r="L610"/>
      <c r="M610" t="s">
        <v>436</v>
      </c>
      <c r="N610"/>
      <c r="O610"/>
      <c r="P610" t="s">
        <v>1135</v>
      </c>
      <c r="Q610"/>
      <c r="R610" t="s">
        <v>1127</v>
      </c>
      <c r="S610" t="s">
        <v>1128</v>
      </c>
      <c r="T610" t="s">
        <v>68</v>
      </c>
      <c r="U610" t="s">
        <v>663</v>
      </c>
      <c r="V610" t="s">
        <v>664</v>
      </c>
      <c r="W610"/>
      <c r="X610"/>
      <c r="Y610"/>
      <c r="Z610" t="s">
        <v>475</v>
      </c>
      <c r="AA610" t="s">
        <v>475</v>
      </c>
      <c r="AB610" t="s">
        <v>71</v>
      </c>
      <c r="AC610" t="s">
        <v>72</v>
      </c>
      <c r="AD610" t="s">
        <v>52</v>
      </c>
      <c r="AE610" t="s">
        <v>53</v>
      </c>
      <c r="AF610" t="s">
        <v>52</v>
      </c>
      <c r="AG610" t="s">
        <v>54</v>
      </c>
      <c r="AH610" t="s">
        <v>55</v>
      </c>
      <c r="AI610"/>
      <c r="AJ610"/>
      <c r="AK610">
        <v>3</v>
      </c>
      <c r="AL610">
        <v>3</v>
      </c>
      <c r="AM610" t="s">
        <v>342</v>
      </c>
      <c r="AN610">
        <v>458</v>
      </c>
      <c r="AO610">
        <v>2</v>
      </c>
      <c r="AP610" t="s">
        <v>56</v>
      </c>
      <c r="AQ610" t="s">
        <v>109</v>
      </c>
      <c r="AR610">
        <v>7.97</v>
      </c>
      <c r="AS610">
        <v>0</v>
      </c>
      <c r="AT610" t="s">
        <v>56</v>
      </c>
      <c r="AU610">
        <v>714</v>
      </c>
      <c r="AV610">
        <v>3</v>
      </c>
      <c r="AW610" t="s">
        <v>56</v>
      </c>
      <c r="AX610">
        <v>7.79</v>
      </c>
      <c r="AY610">
        <v>0</v>
      </c>
      <c r="AZ610" t="s">
        <v>56</v>
      </c>
      <c r="BA610"/>
      <c r="BB610">
        <f>LOG(AU610)</f>
        <v>2.8536982117761744</v>
      </c>
      <c r="BC610">
        <v>-1.6</v>
      </c>
      <c r="BD610">
        <v>0</v>
      </c>
      <c r="BE610" t="s">
        <v>56</v>
      </c>
      <c r="BF610">
        <v>-1.6</v>
      </c>
      <c r="BG610">
        <v>0</v>
      </c>
      <c r="BH610" t="s">
        <v>56</v>
      </c>
      <c r="BI610">
        <v>256</v>
      </c>
      <c r="BJ610">
        <v>0</v>
      </c>
      <c r="BK610" t="s">
        <v>56</v>
      </c>
      <c r="BL610" t="s">
        <v>489</v>
      </c>
      <c r="BM610" t="s">
        <v>489</v>
      </c>
      <c r="BN610" t="s">
        <v>340</v>
      </c>
      <c r="BO610" t="s">
        <v>667</v>
      </c>
      <c r="BP610" t="s">
        <v>234</v>
      </c>
      <c r="BQ610" t="s">
        <v>194</v>
      </c>
      <c r="BR610" t="s">
        <v>63</v>
      </c>
      <c r="BS610"/>
      <c r="BT610">
        <v>3.43</v>
      </c>
      <c r="BU610">
        <v>96.57</v>
      </c>
      <c r="BV610">
        <v>0.33</v>
      </c>
      <c r="BW610">
        <f>BV610*SQRT(AK610)</f>
        <v>0.57157676649772948</v>
      </c>
      <c r="BX610">
        <v>7.11</v>
      </c>
      <c r="BY610">
        <v>92.89</v>
      </c>
      <c r="BZ610">
        <v>0.49</v>
      </c>
      <c r="CA610">
        <f>BZ610*SQRT(AL610)</f>
        <v>0.84870489570874985</v>
      </c>
      <c r="CB610">
        <v>27</v>
      </c>
      <c r="CC610">
        <v>3</v>
      </c>
      <c r="CD610">
        <v>3.9E-2</v>
      </c>
      <c r="CE610">
        <v>1E-4</v>
      </c>
      <c r="CF610"/>
    </row>
    <row r="611" spans="1:84" s="8" customFormat="1" hidden="1" x14ac:dyDescent="0.2">
      <c r="A611"/>
      <c r="B611" t="str">
        <f>ROW()-1&amp;"_AltersInvert"</f>
        <v>610_AltersInvert</v>
      </c>
      <c r="C611" t="str">
        <f>D611&amp;"_"&amp;
SUBSTITUTE(TRIM(V611)," ","_")&amp;"_"&amp;
TRIM(AC611)&amp;"_"&amp;
"CO2"&amp;TEXT(AN611,"0.00")&amp;"_"&amp;
"pH"&amp;TEXT(AR611,"0.00")&amp;"_"&amp;
"T"&amp;TEXT(BC611,"0.##")</f>
        <v>75_Laternula_elliptica_LARVA_CO2458.00_pH7.97_T-1.6</v>
      </c>
      <c r="D611">
        <v>75</v>
      </c>
      <c r="E611"/>
      <c r="F611"/>
      <c r="G611" t="s">
        <v>43</v>
      </c>
      <c r="H611" t="s">
        <v>662</v>
      </c>
      <c r="I611"/>
      <c r="J611">
        <v>2017</v>
      </c>
      <c r="K611"/>
      <c r="L611"/>
      <c r="M611" t="s">
        <v>436</v>
      </c>
      <c r="N611"/>
      <c r="O611"/>
      <c r="P611" t="s">
        <v>1135</v>
      </c>
      <c r="Q611"/>
      <c r="R611" t="s">
        <v>1127</v>
      </c>
      <c r="S611" t="s">
        <v>1128</v>
      </c>
      <c r="T611" t="s">
        <v>68</v>
      </c>
      <c r="U611" t="s">
        <v>663</v>
      </c>
      <c r="V611" t="s">
        <v>664</v>
      </c>
      <c r="W611"/>
      <c r="X611"/>
      <c r="Y611"/>
      <c r="Z611" t="s">
        <v>475</v>
      </c>
      <c r="AA611" t="s">
        <v>475</v>
      </c>
      <c r="AB611" t="s">
        <v>71</v>
      </c>
      <c r="AC611" t="s">
        <v>72</v>
      </c>
      <c r="AD611" t="s">
        <v>52</v>
      </c>
      <c r="AE611" t="s">
        <v>53</v>
      </c>
      <c r="AF611" t="s">
        <v>52</v>
      </c>
      <c r="AG611" t="s">
        <v>54</v>
      </c>
      <c r="AH611" t="s">
        <v>55</v>
      </c>
      <c r="AI611"/>
      <c r="AJ611"/>
      <c r="AK611">
        <v>3</v>
      </c>
      <c r="AL611">
        <v>3</v>
      </c>
      <c r="AM611" t="s">
        <v>342</v>
      </c>
      <c r="AN611">
        <v>458</v>
      </c>
      <c r="AO611">
        <v>2</v>
      </c>
      <c r="AP611" t="s">
        <v>56</v>
      </c>
      <c r="AQ611" t="s">
        <v>109</v>
      </c>
      <c r="AR611">
        <v>7.97</v>
      </c>
      <c r="AS611">
        <v>0</v>
      </c>
      <c r="AT611" t="s">
        <v>56</v>
      </c>
      <c r="AU611">
        <v>1045</v>
      </c>
      <c r="AV611">
        <v>3</v>
      </c>
      <c r="AW611" t="s">
        <v>56</v>
      </c>
      <c r="AX611">
        <v>7.63</v>
      </c>
      <c r="AY611">
        <v>0</v>
      </c>
      <c r="AZ611" t="s">
        <v>56</v>
      </c>
      <c r="BA611"/>
      <c r="BB611">
        <f>LOG(AU611)</f>
        <v>3.019116290447073</v>
      </c>
      <c r="BC611">
        <v>-1.6</v>
      </c>
      <c r="BD611">
        <v>0</v>
      </c>
      <c r="BE611" t="s">
        <v>56</v>
      </c>
      <c r="BF611">
        <v>-1.6</v>
      </c>
      <c r="BG611">
        <v>0</v>
      </c>
      <c r="BH611" t="s">
        <v>56</v>
      </c>
      <c r="BI611">
        <v>587</v>
      </c>
      <c r="BJ611">
        <v>0</v>
      </c>
      <c r="BK611" t="s">
        <v>56</v>
      </c>
      <c r="BL611" t="s">
        <v>489</v>
      </c>
      <c r="BM611" t="s">
        <v>489</v>
      </c>
      <c r="BN611" t="s">
        <v>340</v>
      </c>
      <c r="BO611" t="s">
        <v>667</v>
      </c>
      <c r="BP611" t="s">
        <v>234</v>
      </c>
      <c r="BQ611" t="s">
        <v>194</v>
      </c>
      <c r="BR611" t="s">
        <v>63</v>
      </c>
      <c r="BS611"/>
      <c r="BT611">
        <v>3.43</v>
      </c>
      <c r="BU611">
        <v>96.57</v>
      </c>
      <c r="BV611">
        <v>0.33</v>
      </c>
      <c r="BW611">
        <f>BV611*SQRT(AK611)</f>
        <v>0.57157676649772948</v>
      </c>
      <c r="BX611">
        <v>12.32</v>
      </c>
      <c r="BY611">
        <v>87.68</v>
      </c>
      <c r="BZ611">
        <v>1.22</v>
      </c>
      <c r="CA611">
        <f>BZ611*SQRT(AL611)</f>
        <v>2.1131019852340303</v>
      </c>
      <c r="CB611">
        <v>27</v>
      </c>
      <c r="CC611">
        <v>3</v>
      </c>
      <c r="CD611">
        <v>9.7000000000000003E-2</v>
      </c>
      <c r="CE611">
        <v>2.0000000000000001E-4</v>
      </c>
    </row>
    <row r="612" spans="1:84" s="8" customFormat="1" hidden="1" x14ac:dyDescent="0.2">
      <c r="A612"/>
      <c r="B612" t="str">
        <f>ROW()-1&amp;"_AltersInvert"</f>
        <v>611_AltersInvert</v>
      </c>
      <c r="C612" t="str">
        <f>D612&amp;"_"&amp;
SUBSTITUTE(TRIM(V612)," ","_")&amp;"_"&amp;
TRIM(AC612)&amp;"_"&amp;
"CO2"&amp;TEXT(AN612,"0.00")&amp;"_"&amp;
"pH"&amp;TEXT(AR612,"0.00")&amp;"_"&amp;
"T"&amp;TEXT(BC612,"0.##")</f>
        <v>75_Laternula_elliptica_LARVA_CO2458.00_pH7.97_T-1.6</v>
      </c>
      <c r="D612">
        <v>75</v>
      </c>
      <c r="E612"/>
      <c r="F612"/>
      <c r="G612" t="s">
        <v>43</v>
      </c>
      <c r="H612" t="s">
        <v>662</v>
      </c>
      <c r="I612"/>
      <c r="J612">
        <v>2017</v>
      </c>
      <c r="K612"/>
      <c r="L612"/>
      <c r="M612" t="s">
        <v>436</v>
      </c>
      <c r="N612"/>
      <c r="O612"/>
      <c r="P612" t="s">
        <v>1135</v>
      </c>
      <c r="Q612"/>
      <c r="R612" t="s">
        <v>1127</v>
      </c>
      <c r="S612" t="s">
        <v>1128</v>
      </c>
      <c r="T612" t="s">
        <v>68</v>
      </c>
      <c r="U612" t="s">
        <v>663</v>
      </c>
      <c r="V612" t="s">
        <v>664</v>
      </c>
      <c r="W612"/>
      <c r="X612"/>
      <c r="Y612"/>
      <c r="Z612" t="s">
        <v>475</v>
      </c>
      <c r="AA612" t="s">
        <v>475</v>
      </c>
      <c r="AB612" t="s">
        <v>71</v>
      </c>
      <c r="AC612" t="s">
        <v>72</v>
      </c>
      <c r="AD612" t="s">
        <v>52</v>
      </c>
      <c r="AE612" t="s">
        <v>53</v>
      </c>
      <c r="AF612" t="s">
        <v>54</v>
      </c>
      <c r="AG612" t="s">
        <v>52</v>
      </c>
      <c r="AH612" t="s">
        <v>65</v>
      </c>
      <c r="AI612"/>
      <c r="AJ612"/>
      <c r="AK612">
        <v>3</v>
      </c>
      <c r="AL612">
        <v>3</v>
      </c>
      <c r="AM612" t="s">
        <v>342</v>
      </c>
      <c r="AN612">
        <v>458</v>
      </c>
      <c r="AO612">
        <v>2</v>
      </c>
      <c r="AP612" t="s">
        <v>56</v>
      </c>
      <c r="AQ612" t="s">
        <v>109</v>
      </c>
      <c r="AR612">
        <v>7.97</v>
      </c>
      <c r="AS612">
        <v>0</v>
      </c>
      <c r="AT612" t="s">
        <v>56</v>
      </c>
      <c r="AU612">
        <v>460</v>
      </c>
      <c r="AV612">
        <v>2</v>
      </c>
      <c r="AW612" t="s">
        <v>56</v>
      </c>
      <c r="AX612">
        <v>7.99</v>
      </c>
      <c r="AY612">
        <v>0</v>
      </c>
      <c r="AZ612" t="s">
        <v>56</v>
      </c>
      <c r="BA612"/>
      <c r="BB612">
        <f>LOG(AU612)</f>
        <v>2.6627578316815739</v>
      </c>
      <c r="BC612">
        <v>-1.6</v>
      </c>
      <c r="BD612">
        <v>0</v>
      </c>
      <c r="BE612" t="s">
        <v>56</v>
      </c>
      <c r="BF612">
        <v>-0.5</v>
      </c>
      <c r="BG612">
        <v>0</v>
      </c>
      <c r="BH612" t="s">
        <v>56</v>
      </c>
      <c r="BI612">
        <v>2</v>
      </c>
      <c r="BJ612">
        <v>1.1000000000000001</v>
      </c>
      <c r="BK612" t="s">
        <v>56</v>
      </c>
      <c r="BL612" t="s">
        <v>489</v>
      </c>
      <c r="BM612" t="s">
        <v>489</v>
      </c>
      <c r="BN612" t="s">
        <v>340</v>
      </c>
      <c r="BO612" t="s">
        <v>667</v>
      </c>
      <c r="BP612" t="s">
        <v>234</v>
      </c>
      <c r="BQ612" t="s">
        <v>194</v>
      </c>
      <c r="BR612" t="s">
        <v>63</v>
      </c>
      <c r="BS612"/>
      <c r="BT612">
        <v>3.43</v>
      </c>
      <c r="BU612">
        <v>96.57</v>
      </c>
      <c r="BV612">
        <v>0.33</v>
      </c>
      <c r="BW612">
        <f>BV612*SQRT(AK612)</f>
        <v>0.57157676649772948</v>
      </c>
      <c r="BX612">
        <v>3.27</v>
      </c>
      <c r="BY612">
        <v>96.73</v>
      </c>
      <c r="BZ612">
        <v>0.73</v>
      </c>
      <c r="CA612">
        <f>BZ612*SQRT(AL612)</f>
        <v>1.2643970895252803</v>
      </c>
      <c r="CB612">
        <v>27</v>
      </c>
      <c r="CC612">
        <v>3</v>
      </c>
      <c r="CD612">
        <v>-2E-3</v>
      </c>
      <c r="CE612">
        <v>1E-4</v>
      </c>
      <c r="CF612"/>
    </row>
    <row r="613" spans="1:84" s="8" customFormat="1" hidden="1" x14ac:dyDescent="0.2">
      <c r="A613"/>
      <c r="B613" t="str">
        <f>ROW()-1&amp;"_AltersInvert"</f>
        <v>612_AltersInvert</v>
      </c>
      <c r="C613" t="str">
        <f>D613&amp;"_"&amp;
SUBSTITUTE(TRIM(V613)," ","_")&amp;"_"&amp;
TRIM(AC613)&amp;"_"&amp;
"CO2"&amp;TEXT(AN613,"0.00")&amp;"_"&amp;
"pH"&amp;TEXT(AR613,"0.00")&amp;"_"&amp;
"T"&amp;TEXT(BC613,"0.##")</f>
        <v>75_Laternula_elliptica_LARVA_CO2458.00_pH7.97_T-1.6</v>
      </c>
      <c r="D613">
        <v>75</v>
      </c>
      <c r="E613"/>
      <c r="F613"/>
      <c r="G613" t="s">
        <v>43</v>
      </c>
      <c r="H613" t="s">
        <v>662</v>
      </c>
      <c r="I613"/>
      <c r="J613">
        <v>2017</v>
      </c>
      <c r="K613"/>
      <c r="L613"/>
      <c r="M613" t="s">
        <v>436</v>
      </c>
      <c r="N613"/>
      <c r="O613"/>
      <c r="P613" t="s">
        <v>1135</v>
      </c>
      <c r="Q613"/>
      <c r="R613" t="s">
        <v>1127</v>
      </c>
      <c r="S613" t="s">
        <v>1128</v>
      </c>
      <c r="T613" t="s">
        <v>68</v>
      </c>
      <c r="U613" t="s">
        <v>663</v>
      </c>
      <c r="V613" t="s">
        <v>664</v>
      </c>
      <c r="W613"/>
      <c r="X613"/>
      <c r="Y613"/>
      <c r="Z613" t="s">
        <v>475</v>
      </c>
      <c r="AA613" t="s">
        <v>475</v>
      </c>
      <c r="AB613" t="s">
        <v>71</v>
      </c>
      <c r="AC613" t="s">
        <v>72</v>
      </c>
      <c r="AD613" t="s">
        <v>52</v>
      </c>
      <c r="AE613" t="s">
        <v>53</v>
      </c>
      <c r="AF613" t="s">
        <v>54</v>
      </c>
      <c r="AG613" t="s">
        <v>52</v>
      </c>
      <c r="AH613" t="s">
        <v>65</v>
      </c>
      <c r="AI613"/>
      <c r="AJ613"/>
      <c r="AK613">
        <v>3</v>
      </c>
      <c r="AL613">
        <v>3</v>
      </c>
      <c r="AM613" t="s">
        <v>342</v>
      </c>
      <c r="AN613">
        <v>458</v>
      </c>
      <c r="AO613">
        <v>2</v>
      </c>
      <c r="AP613" t="s">
        <v>56</v>
      </c>
      <c r="AQ613" t="s">
        <v>109</v>
      </c>
      <c r="AR613">
        <v>7.97</v>
      </c>
      <c r="AS613">
        <v>0</v>
      </c>
      <c r="AT613" t="s">
        <v>56</v>
      </c>
      <c r="AU613">
        <v>462</v>
      </c>
      <c r="AV613">
        <v>2</v>
      </c>
      <c r="AW613" t="s">
        <v>56</v>
      </c>
      <c r="AX613">
        <v>7.99</v>
      </c>
      <c r="AY613">
        <v>0</v>
      </c>
      <c r="AZ613" t="s">
        <v>56</v>
      </c>
      <c r="BA613"/>
      <c r="BB613">
        <f>LOG(AU613)</f>
        <v>2.6646419755561257</v>
      </c>
      <c r="BC613">
        <v>-1.6</v>
      </c>
      <c r="BD613">
        <v>0</v>
      </c>
      <c r="BE613" t="s">
        <v>56</v>
      </c>
      <c r="BF613">
        <v>0.4</v>
      </c>
      <c r="BG613">
        <v>0</v>
      </c>
      <c r="BH613" t="s">
        <v>56</v>
      </c>
      <c r="BI613">
        <v>4</v>
      </c>
      <c r="BJ613">
        <v>2</v>
      </c>
      <c r="BK613" t="s">
        <v>56</v>
      </c>
      <c r="BL613" t="s">
        <v>489</v>
      </c>
      <c r="BM613" t="s">
        <v>489</v>
      </c>
      <c r="BN613" t="s">
        <v>340</v>
      </c>
      <c r="BO613" t="s">
        <v>667</v>
      </c>
      <c r="BP613" t="s">
        <v>234</v>
      </c>
      <c r="BQ613" t="s">
        <v>194</v>
      </c>
      <c r="BR613" t="s">
        <v>63</v>
      </c>
      <c r="BS613"/>
      <c r="BT613">
        <v>3.43</v>
      </c>
      <c r="BU613">
        <v>96.57</v>
      </c>
      <c r="BV613">
        <v>0.33</v>
      </c>
      <c r="BW613">
        <f>BV613*SQRT(AK613)</f>
        <v>0.57157676649772948</v>
      </c>
      <c r="BX613">
        <v>4.6500000000000004</v>
      </c>
      <c r="BY613">
        <v>95.35</v>
      </c>
      <c r="BZ613">
        <v>1.29</v>
      </c>
      <c r="CA613">
        <f>BZ613*SQRT(AL613)</f>
        <v>2.2343455417638518</v>
      </c>
      <c r="CB613">
        <v>27</v>
      </c>
      <c r="CC613">
        <v>3</v>
      </c>
      <c r="CD613">
        <v>1.2999999999999999E-2</v>
      </c>
      <c r="CE613">
        <v>2.0000000000000001E-4</v>
      </c>
      <c r="CF613"/>
    </row>
    <row r="614" spans="1:84" s="8" customFormat="1" hidden="1" x14ac:dyDescent="0.2">
      <c r="A614"/>
      <c r="B614" t="str">
        <f>ROW()-1&amp;"_AltersInvert"</f>
        <v>613_AltersInvert</v>
      </c>
      <c r="C614" t="str">
        <f>D614&amp;"_"&amp;
SUBSTITUTE(TRIM(V614)," ","_")&amp;"_"&amp;
TRIM(AC614)&amp;"_"&amp;
"CO2"&amp;TEXT(AN614,"0.00")&amp;"_"&amp;
"pH"&amp;TEXT(AR614,"0.00")&amp;"_"&amp;
"T"&amp;TEXT(BC614,"0.##")</f>
        <v>75_Laternula_elliptica_LARVA_CO2458.00_pH7.97_T-1.6</v>
      </c>
      <c r="D614">
        <v>75</v>
      </c>
      <c r="E614"/>
      <c r="F614"/>
      <c r="G614" t="s">
        <v>43</v>
      </c>
      <c r="H614" t="s">
        <v>662</v>
      </c>
      <c r="I614"/>
      <c r="J614">
        <v>2017</v>
      </c>
      <c r="K614"/>
      <c r="L614"/>
      <c r="M614" t="s">
        <v>436</v>
      </c>
      <c r="N614"/>
      <c r="O614"/>
      <c r="P614" t="s">
        <v>1135</v>
      </c>
      <c r="Q614"/>
      <c r="R614" t="s">
        <v>1127</v>
      </c>
      <c r="S614" t="s">
        <v>1128</v>
      </c>
      <c r="T614" t="s">
        <v>68</v>
      </c>
      <c r="U614" t="s">
        <v>663</v>
      </c>
      <c r="V614" t="s">
        <v>664</v>
      </c>
      <c r="W614"/>
      <c r="X614"/>
      <c r="Y614"/>
      <c r="Z614" t="s">
        <v>475</v>
      </c>
      <c r="AA614" t="s">
        <v>475</v>
      </c>
      <c r="AB614" t="s">
        <v>71</v>
      </c>
      <c r="AC614" t="s">
        <v>72</v>
      </c>
      <c r="AD614" t="s">
        <v>52</v>
      </c>
      <c r="AE614" t="s">
        <v>53</v>
      </c>
      <c r="AF614" t="s">
        <v>52</v>
      </c>
      <c r="AG614" t="s">
        <v>52</v>
      </c>
      <c r="AH614" t="s">
        <v>64</v>
      </c>
      <c r="AI614"/>
      <c r="AJ614"/>
      <c r="AK614">
        <v>3</v>
      </c>
      <c r="AL614">
        <v>3</v>
      </c>
      <c r="AM614" t="s">
        <v>342</v>
      </c>
      <c r="AN614">
        <v>458</v>
      </c>
      <c r="AO614">
        <v>2</v>
      </c>
      <c r="AP614" t="s">
        <v>56</v>
      </c>
      <c r="AQ614" t="s">
        <v>109</v>
      </c>
      <c r="AR614">
        <v>7.97</v>
      </c>
      <c r="AS614">
        <v>0</v>
      </c>
      <c r="AT614" t="s">
        <v>56</v>
      </c>
      <c r="AU614">
        <v>704</v>
      </c>
      <c r="AV614">
        <v>2</v>
      </c>
      <c r="AW614" t="s">
        <v>56</v>
      </c>
      <c r="AX614">
        <v>7.8</v>
      </c>
      <c r="AY614">
        <v>0</v>
      </c>
      <c r="AZ614" t="s">
        <v>56</v>
      </c>
      <c r="BA614"/>
      <c r="BB614">
        <f>LOG(AU614)</f>
        <v>2.847572659142112</v>
      </c>
      <c r="BC614">
        <v>-1.6</v>
      </c>
      <c r="BD614">
        <v>0</v>
      </c>
      <c r="BE614" t="s">
        <v>56</v>
      </c>
      <c r="BF614">
        <v>-0.5</v>
      </c>
      <c r="BG614">
        <v>0</v>
      </c>
      <c r="BH614" t="s">
        <v>56</v>
      </c>
      <c r="BI614">
        <v>245</v>
      </c>
      <c r="BJ614">
        <v>1.1000000000000001</v>
      </c>
      <c r="BK614" t="s">
        <v>56</v>
      </c>
      <c r="BL614" t="s">
        <v>489</v>
      </c>
      <c r="BM614" t="s">
        <v>489</v>
      </c>
      <c r="BN614" t="s">
        <v>340</v>
      </c>
      <c r="BO614" t="s">
        <v>667</v>
      </c>
      <c r="BP614" t="s">
        <v>234</v>
      </c>
      <c r="BQ614" t="s">
        <v>194</v>
      </c>
      <c r="BR614" t="s">
        <v>63</v>
      </c>
      <c r="BS614"/>
      <c r="BT614">
        <v>3.43</v>
      </c>
      <c r="BU614">
        <v>96.57</v>
      </c>
      <c r="BV614">
        <v>0.33</v>
      </c>
      <c r="BW614">
        <f>BV614*SQRT(AK614)</f>
        <v>0.57157676649772948</v>
      </c>
      <c r="BX614">
        <v>5.17</v>
      </c>
      <c r="BY614">
        <v>94.83</v>
      </c>
      <c r="BZ614">
        <v>0.85</v>
      </c>
      <c r="CA614">
        <f>BZ614*SQRT(AL614)</f>
        <v>1.4722431864335457</v>
      </c>
      <c r="CB614">
        <v>27</v>
      </c>
      <c r="CC614">
        <v>3</v>
      </c>
      <c r="CD614">
        <v>1.7999999999999999E-2</v>
      </c>
      <c r="CE614">
        <v>1E-4</v>
      </c>
      <c r="CF614"/>
    </row>
    <row r="615" spans="1:84" s="8" customFormat="1" hidden="1" x14ac:dyDescent="0.2">
      <c r="A615"/>
      <c r="B615" t="str">
        <f>ROW()-1&amp;"_AltersInvert"</f>
        <v>614_AltersInvert</v>
      </c>
      <c r="C615" t="str">
        <f>D615&amp;"_"&amp;
SUBSTITUTE(TRIM(V615)," ","_")&amp;"_"&amp;
TRIM(AC615)&amp;"_"&amp;
"CO2"&amp;TEXT(AN615,"0.00")&amp;"_"&amp;
"pH"&amp;TEXT(AR615,"0.00")&amp;"_"&amp;
"T"&amp;TEXT(BC615,"0.##")</f>
        <v>75_Laternula_elliptica_LARVA_CO2458.00_pH7.97_T-1.6</v>
      </c>
      <c r="D615">
        <v>75</v>
      </c>
      <c r="E615"/>
      <c r="F615"/>
      <c r="G615" t="s">
        <v>43</v>
      </c>
      <c r="H615" t="s">
        <v>662</v>
      </c>
      <c r="I615"/>
      <c r="J615">
        <v>2017</v>
      </c>
      <c r="K615"/>
      <c r="L615"/>
      <c r="M615" t="s">
        <v>436</v>
      </c>
      <c r="N615"/>
      <c r="O615"/>
      <c r="P615" t="s">
        <v>1135</v>
      </c>
      <c r="Q615"/>
      <c r="R615" t="s">
        <v>1127</v>
      </c>
      <c r="S615" t="s">
        <v>1128</v>
      </c>
      <c r="T615" t="s">
        <v>68</v>
      </c>
      <c r="U615" t="s">
        <v>663</v>
      </c>
      <c r="V615" t="s">
        <v>664</v>
      </c>
      <c r="W615"/>
      <c r="X615"/>
      <c r="Y615"/>
      <c r="Z615" t="s">
        <v>475</v>
      </c>
      <c r="AA615" t="s">
        <v>475</v>
      </c>
      <c r="AB615" t="s">
        <v>71</v>
      </c>
      <c r="AC615" t="s">
        <v>72</v>
      </c>
      <c r="AD615" t="s">
        <v>52</v>
      </c>
      <c r="AE615" t="s">
        <v>53</v>
      </c>
      <c r="AF615" t="s">
        <v>52</v>
      </c>
      <c r="AG615" t="s">
        <v>52</v>
      </c>
      <c r="AH615" t="s">
        <v>64</v>
      </c>
      <c r="AI615"/>
      <c r="AJ615"/>
      <c r="AK615">
        <v>3</v>
      </c>
      <c r="AL615">
        <v>3</v>
      </c>
      <c r="AM615" t="s">
        <v>342</v>
      </c>
      <c r="AN615">
        <v>458</v>
      </c>
      <c r="AO615">
        <v>2</v>
      </c>
      <c r="AP615" t="s">
        <v>56</v>
      </c>
      <c r="AQ615" t="s">
        <v>109</v>
      </c>
      <c r="AR615">
        <v>7.97</v>
      </c>
      <c r="AS615">
        <v>0</v>
      </c>
      <c r="AT615" t="s">
        <v>56</v>
      </c>
      <c r="AU615">
        <v>1052</v>
      </c>
      <c r="AV615">
        <v>4</v>
      </c>
      <c r="AW615" t="s">
        <v>56</v>
      </c>
      <c r="AX615">
        <v>7.63</v>
      </c>
      <c r="AY615">
        <v>0</v>
      </c>
      <c r="AZ615" t="s">
        <v>56</v>
      </c>
      <c r="BA615"/>
      <c r="BB615">
        <f>LOG(AU615)</f>
        <v>3.0220157398177201</v>
      </c>
      <c r="BC615">
        <v>-1.6</v>
      </c>
      <c r="BD615">
        <v>0</v>
      </c>
      <c r="BE615" t="s">
        <v>56</v>
      </c>
      <c r="BF615">
        <v>0.4</v>
      </c>
      <c r="BG615">
        <v>0</v>
      </c>
      <c r="BH615" t="s">
        <v>56</v>
      </c>
      <c r="BI615">
        <v>594</v>
      </c>
      <c r="BJ615">
        <v>2</v>
      </c>
      <c r="BK615" t="s">
        <v>56</v>
      </c>
      <c r="BL615" t="s">
        <v>489</v>
      </c>
      <c r="BM615" t="s">
        <v>489</v>
      </c>
      <c r="BN615" t="s">
        <v>340</v>
      </c>
      <c r="BO615" t="s">
        <v>667</v>
      </c>
      <c r="BP615" t="s">
        <v>234</v>
      </c>
      <c r="BQ615" t="s">
        <v>194</v>
      </c>
      <c r="BR615" t="s">
        <v>63</v>
      </c>
      <c r="BS615"/>
      <c r="BT615">
        <v>3.43</v>
      </c>
      <c r="BU615">
        <v>96.57</v>
      </c>
      <c r="BV615">
        <v>0.33</v>
      </c>
      <c r="BW615">
        <f>BV615*SQRT(AK615)</f>
        <v>0.57157676649772948</v>
      </c>
      <c r="BX615">
        <v>7.6</v>
      </c>
      <c r="BY615">
        <v>92.403999999999996</v>
      </c>
      <c r="BZ615">
        <v>0.64</v>
      </c>
      <c r="CA615">
        <f>BZ615*SQRT(AL615)</f>
        <v>1.1085125168440815</v>
      </c>
      <c r="CB615">
        <v>27</v>
      </c>
      <c r="CC615">
        <v>3</v>
      </c>
      <c r="CD615">
        <v>4.3999999999999997E-2</v>
      </c>
      <c r="CE615">
        <v>1E-4</v>
      </c>
    </row>
    <row r="616" spans="1:84" hidden="1" x14ac:dyDescent="0.2">
      <c r="D616">
        <v>44</v>
      </c>
      <c r="G616" t="s">
        <v>43</v>
      </c>
      <c r="H616" t="s">
        <v>474</v>
      </c>
      <c r="J616">
        <v>2013</v>
      </c>
      <c r="M616" t="s">
        <v>67</v>
      </c>
      <c r="T616" t="s">
        <v>131</v>
      </c>
      <c r="U616" t="s">
        <v>245</v>
      </c>
      <c r="V616" t="s">
        <v>246</v>
      </c>
      <c r="Z616" t="s">
        <v>475</v>
      </c>
      <c r="AA616" t="s">
        <v>475</v>
      </c>
      <c r="AB616" t="s">
        <v>50</v>
      </c>
      <c r="AC616" t="s">
        <v>51</v>
      </c>
      <c r="AD616" t="s">
        <v>52</v>
      </c>
      <c r="AE616" t="s">
        <v>53</v>
      </c>
      <c r="AF616" t="s">
        <v>52</v>
      </c>
      <c r="AG616" t="s">
        <v>52</v>
      </c>
      <c r="AH616" t="s">
        <v>64</v>
      </c>
      <c r="AK616">
        <v>6</v>
      </c>
      <c r="AL616">
        <v>6</v>
      </c>
      <c r="AM616" t="s">
        <v>342</v>
      </c>
      <c r="AN616">
        <v>351</v>
      </c>
      <c r="AO616">
        <v>10</v>
      </c>
      <c r="AP616" t="s">
        <v>56</v>
      </c>
      <c r="AQ616" t="s">
        <v>109</v>
      </c>
      <c r="AR616">
        <v>8.08</v>
      </c>
      <c r="AS616">
        <v>0.01</v>
      </c>
      <c r="AT616" t="s">
        <v>56</v>
      </c>
      <c r="AU616">
        <v>834</v>
      </c>
      <c r="AV616">
        <v>77</v>
      </c>
      <c r="AW616" t="s">
        <v>56</v>
      </c>
      <c r="AX616">
        <v>7.76</v>
      </c>
      <c r="AY616">
        <v>0.03</v>
      </c>
      <c r="AZ616" t="s">
        <v>56</v>
      </c>
      <c r="BB616">
        <f>LOG(AU616)</f>
        <v>2.9211660506377388</v>
      </c>
      <c r="BC616">
        <v>1.2</v>
      </c>
      <c r="BD616">
        <v>0.2</v>
      </c>
      <c r="BE616" t="s">
        <v>56</v>
      </c>
      <c r="BF616">
        <v>3.8</v>
      </c>
      <c r="BG616">
        <v>0.2</v>
      </c>
      <c r="BH616" t="s">
        <v>56</v>
      </c>
      <c r="BI616">
        <v>483</v>
      </c>
      <c r="BJ616">
        <v>2.6</v>
      </c>
      <c r="BK616" t="s">
        <v>476</v>
      </c>
      <c r="BL616" t="s">
        <v>477</v>
      </c>
      <c r="BM616" t="s">
        <v>478</v>
      </c>
      <c r="BN616" t="s">
        <v>340</v>
      </c>
      <c r="BO616" t="s">
        <v>479</v>
      </c>
      <c r="BP616" t="s">
        <v>77</v>
      </c>
      <c r="BR616" t="s">
        <v>63</v>
      </c>
      <c r="BT616">
        <v>37.299999999999997</v>
      </c>
      <c r="BU616">
        <v>37.299999999999997</v>
      </c>
      <c r="BV616">
        <v>4.76</v>
      </c>
      <c r="BW616">
        <f>BV616*SQRT(AK616)</f>
        <v>11.659571175647926</v>
      </c>
      <c r="BX616">
        <v>71.430000000000007</v>
      </c>
      <c r="BY616">
        <v>71.428571399999996</v>
      </c>
      <c r="BZ616">
        <v>7.14</v>
      </c>
      <c r="CA616">
        <f>BZ616*SQRT(AL616)</f>
        <v>17.489356763471889</v>
      </c>
      <c r="CB616">
        <v>12</v>
      </c>
      <c r="CC616">
        <v>1</v>
      </c>
      <c r="CD616">
        <v>-0.65</v>
      </c>
      <c r="CE616">
        <v>2.63E-2</v>
      </c>
    </row>
    <row r="617" spans="1:84" hidden="1" x14ac:dyDescent="0.2">
      <c r="D617">
        <v>44</v>
      </c>
      <c r="G617" t="s">
        <v>43</v>
      </c>
      <c r="H617" t="s">
        <v>474</v>
      </c>
      <c r="J617">
        <v>2013</v>
      </c>
      <c r="M617" t="s">
        <v>67</v>
      </c>
      <c r="T617" t="s">
        <v>131</v>
      </c>
      <c r="U617" t="s">
        <v>245</v>
      </c>
      <c r="V617" t="s">
        <v>246</v>
      </c>
      <c r="Z617" t="s">
        <v>475</v>
      </c>
      <c r="AA617" t="s">
        <v>475</v>
      </c>
      <c r="AB617" t="s">
        <v>50</v>
      </c>
      <c r="AC617" t="s">
        <v>51</v>
      </c>
      <c r="AD617" t="s">
        <v>52</v>
      </c>
      <c r="AE617" t="s">
        <v>53</v>
      </c>
      <c r="AF617" t="s">
        <v>52</v>
      </c>
      <c r="AG617" t="s">
        <v>54</v>
      </c>
      <c r="AH617" t="s">
        <v>55</v>
      </c>
      <c r="AK617">
        <v>6</v>
      </c>
      <c r="AL617">
        <v>6</v>
      </c>
      <c r="AM617" t="s">
        <v>342</v>
      </c>
      <c r="AN617">
        <v>351</v>
      </c>
      <c r="AO617">
        <v>10</v>
      </c>
      <c r="AP617" t="s">
        <v>56</v>
      </c>
      <c r="AQ617" t="s">
        <v>109</v>
      </c>
      <c r="AR617">
        <v>8.08</v>
      </c>
      <c r="AS617">
        <v>0.01</v>
      </c>
      <c r="AT617" t="s">
        <v>56</v>
      </c>
      <c r="AU617">
        <v>1249</v>
      </c>
      <c r="AV617">
        <v>65</v>
      </c>
      <c r="AW617" t="s">
        <v>56</v>
      </c>
      <c r="AX617">
        <v>7.57</v>
      </c>
      <c r="AY617">
        <v>0.02</v>
      </c>
      <c r="AZ617" t="s">
        <v>56</v>
      </c>
      <c r="BB617">
        <f>LOG(AU617)</f>
        <v>3.0965624383741357</v>
      </c>
      <c r="BC617">
        <v>1.2</v>
      </c>
      <c r="BD617">
        <v>0.2</v>
      </c>
      <c r="BE617" t="s">
        <v>56</v>
      </c>
      <c r="BF617">
        <v>0.9</v>
      </c>
      <c r="BG617">
        <v>0.1</v>
      </c>
      <c r="BH617" t="s">
        <v>56</v>
      </c>
      <c r="BI617">
        <v>898</v>
      </c>
      <c r="BJ617">
        <v>-0.3</v>
      </c>
      <c r="BK617" t="s">
        <v>476</v>
      </c>
      <c r="BL617" t="s">
        <v>477</v>
      </c>
      <c r="BM617" t="s">
        <v>478</v>
      </c>
      <c r="BN617" t="s">
        <v>340</v>
      </c>
      <c r="BO617" t="s">
        <v>479</v>
      </c>
      <c r="BP617" t="s">
        <v>77</v>
      </c>
      <c r="BR617" t="s">
        <v>63</v>
      </c>
      <c r="BT617">
        <v>37.299999999999997</v>
      </c>
      <c r="BU617">
        <v>37.299999999999997</v>
      </c>
      <c r="BV617">
        <v>4.76</v>
      </c>
      <c r="BW617">
        <f>BV617*SQRT(AK617)</f>
        <v>11.659571175647926</v>
      </c>
      <c r="BX617">
        <v>68.7</v>
      </c>
      <c r="BY617">
        <v>68.7</v>
      </c>
      <c r="BZ617">
        <v>7.4</v>
      </c>
      <c r="CA617">
        <f>BZ617*SQRT(AL617)</f>
        <v>18.126224096595518</v>
      </c>
      <c r="CB617">
        <v>12</v>
      </c>
      <c r="CC617">
        <v>1</v>
      </c>
      <c r="CD617">
        <v>-0.61099999999999999</v>
      </c>
      <c r="CE617">
        <v>2.7900000000000001E-2</v>
      </c>
    </row>
    <row r="618" spans="1:84" hidden="1" x14ac:dyDescent="0.2">
      <c r="D618">
        <v>44</v>
      </c>
      <c r="G618" t="s">
        <v>43</v>
      </c>
      <c r="H618" t="s">
        <v>474</v>
      </c>
      <c r="J618">
        <v>2013</v>
      </c>
      <c r="M618" t="s">
        <v>67</v>
      </c>
      <c r="T618" t="s">
        <v>131</v>
      </c>
      <c r="U618" t="s">
        <v>245</v>
      </c>
      <c r="V618" t="s">
        <v>246</v>
      </c>
      <c r="Z618" t="s">
        <v>475</v>
      </c>
      <c r="AA618" t="s">
        <v>475</v>
      </c>
      <c r="AB618" t="s">
        <v>50</v>
      </c>
      <c r="AC618" t="s">
        <v>51</v>
      </c>
      <c r="AD618" t="s">
        <v>52</v>
      </c>
      <c r="AE618" t="s">
        <v>53</v>
      </c>
      <c r="AF618" t="s">
        <v>52</v>
      </c>
      <c r="AG618" t="s">
        <v>54</v>
      </c>
      <c r="AH618" t="s">
        <v>55</v>
      </c>
      <c r="AK618">
        <v>6</v>
      </c>
      <c r="AL618">
        <v>6</v>
      </c>
      <c r="AM618" t="s">
        <v>342</v>
      </c>
      <c r="AN618">
        <v>351</v>
      </c>
      <c r="AO618">
        <v>10</v>
      </c>
      <c r="AP618" t="s">
        <v>56</v>
      </c>
      <c r="AQ618" t="s">
        <v>109</v>
      </c>
      <c r="AR618">
        <v>8.08</v>
      </c>
      <c r="AS618">
        <v>0.01</v>
      </c>
      <c r="AT618" t="s">
        <v>56</v>
      </c>
      <c r="AU618">
        <v>825</v>
      </c>
      <c r="AV618">
        <v>49</v>
      </c>
      <c r="AW618" t="s">
        <v>56</v>
      </c>
      <c r="AX618">
        <v>7.74</v>
      </c>
      <c r="AY618">
        <v>0.02</v>
      </c>
      <c r="AZ618" t="s">
        <v>56</v>
      </c>
      <c r="BB618">
        <f>LOG(AU618)</f>
        <v>2.916453948549925</v>
      </c>
      <c r="BC618">
        <v>1.2</v>
      </c>
      <c r="BD618">
        <v>0.2</v>
      </c>
      <c r="BE618" t="s">
        <v>56</v>
      </c>
      <c r="BF618">
        <v>0.8</v>
      </c>
      <c r="BG618">
        <v>0.2</v>
      </c>
      <c r="BH618" t="s">
        <v>56</v>
      </c>
      <c r="BI618">
        <v>474</v>
      </c>
      <c r="BJ618">
        <v>-0.4</v>
      </c>
      <c r="BK618" t="s">
        <v>476</v>
      </c>
      <c r="BL618" t="s">
        <v>477</v>
      </c>
      <c r="BM618" t="s">
        <v>478</v>
      </c>
      <c r="BN618" t="s">
        <v>340</v>
      </c>
      <c r="BO618" t="s">
        <v>479</v>
      </c>
      <c r="BP618" t="s">
        <v>77</v>
      </c>
      <c r="BR618" t="s">
        <v>63</v>
      </c>
      <c r="BT618">
        <v>37.299999999999997</v>
      </c>
      <c r="BU618">
        <v>37.299999999999997</v>
      </c>
      <c r="BV618">
        <v>4.76</v>
      </c>
      <c r="BW618">
        <f>BV618*SQRT(AK618)</f>
        <v>11.659571175647926</v>
      </c>
      <c r="BX618">
        <v>67.599999999999994</v>
      </c>
      <c r="BY618">
        <v>67.599999999999994</v>
      </c>
      <c r="BZ618">
        <v>7.7</v>
      </c>
      <c r="CA618">
        <f>BZ618*SQRT(AL618)</f>
        <v>18.861071019430469</v>
      </c>
      <c r="CB618">
        <v>12</v>
      </c>
      <c r="CC618">
        <v>1</v>
      </c>
      <c r="CD618">
        <v>-0.59499999999999997</v>
      </c>
      <c r="CE618">
        <v>2.93E-2</v>
      </c>
    </row>
    <row r="619" spans="1:84" hidden="1" x14ac:dyDescent="0.2">
      <c r="D619">
        <v>44</v>
      </c>
      <c r="G619" t="s">
        <v>43</v>
      </c>
      <c r="H619" t="s">
        <v>474</v>
      </c>
      <c r="J619">
        <v>2013</v>
      </c>
      <c r="M619" t="s">
        <v>67</v>
      </c>
      <c r="T619" t="s">
        <v>131</v>
      </c>
      <c r="U619" t="s">
        <v>245</v>
      </c>
      <c r="V619" t="s">
        <v>246</v>
      </c>
      <c r="Z619" t="s">
        <v>475</v>
      </c>
      <c r="AA619" t="s">
        <v>475</v>
      </c>
      <c r="AB619" t="s">
        <v>50</v>
      </c>
      <c r="AC619" t="s">
        <v>51</v>
      </c>
      <c r="AD619" t="s">
        <v>52</v>
      </c>
      <c r="AE619" t="s">
        <v>53</v>
      </c>
      <c r="AF619" t="s">
        <v>52</v>
      </c>
      <c r="AG619" t="s">
        <v>54</v>
      </c>
      <c r="AH619" t="s">
        <v>55</v>
      </c>
      <c r="AK619">
        <v>6</v>
      </c>
      <c r="AL619">
        <v>6</v>
      </c>
      <c r="AM619" t="s">
        <v>342</v>
      </c>
      <c r="AN619">
        <v>351</v>
      </c>
      <c r="AO619">
        <v>10</v>
      </c>
      <c r="AP619" t="s">
        <v>56</v>
      </c>
      <c r="AQ619" t="s">
        <v>109</v>
      </c>
      <c r="AR619">
        <v>8.08</v>
      </c>
      <c r="AS619">
        <v>0.01</v>
      </c>
      <c r="AT619" t="s">
        <v>56</v>
      </c>
      <c r="AU619">
        <v>2859</v>
      </c>
      <c r="AV619">
        <v>160</v>
      </c>
      <c r="AW619" t="s">
        <v>56</v>
      </c>
      <c r="AX619">
        <v>7.22</v>
      </c>
      <c r="AY619">
        <v>0.02</v>
      </c>
      <c r="AZ619" t="s">
        <v>56</v>
      </c>
      <c r="BB619">
        <f>LOG(AU619)</f>
        <v>3.4562141553579888</v>
      </c>
      <c r="BC619">
        <v>1.2</v>
      </c>
      <c r="BD619">
        <v>0.2</v>
      </c>
      <c r="BE619" t="s">
        <v>56</v>
      </c>
      <c r="BF619">
        <v>1.2</v>
      </c>
      <c r="BG619">
        <v>0.2</v>
      </c>
      <c r="BH619" t="s">
        <v>56</v>
      </c>
      <c r="BI619">
        <v>2508</v>
      </c>
      <c r="BJ619">
        <v>0</v>
      </c>
      <c r="BK619" t="s">
        <v>476</v>
      </c>
      <c r="BL619" t="s">
        <v>477</v>
      </c>
      <c r="BM619" t="s">
        <v>478</v>
      </c>
      <c r="BN619" t="s">
        <v>340</v>
      </c>
      <c r="BO619" t="s">
        <v>479</v>
      </c>
      <c r="BP619" t="s">
        <v>77</v>
      </c>
      <c r="BR619" t="s">
        <v>63</v>
      </c>
      <c r="BT619">
        <v>37.299999999999997</v>
      </c>
      <c r="BU619">
        <v>37.299999999999997</v>
      </c>
      <c r="BV619">
        <v>4.76</v>
      </c>
      <c r="BW619">
        <f>BV619*SQRT(AK619)</f>
        <v>11.659571175647926</v>
      </c>
      <c r="BX619">
        <v>61.4</v>
      </c>
      <c r="BY619">
        <v>61.4</v>
      </c>
      <c r="BZ619">
        <v>8.5</v>
      </c>
      <c r="CA619">
        <f>BZ619*SQRT(AL619)</f>
        <v>20.820662813657012</v>
      </c>
      <c r="CB619">
        <v>12</v>
      </c>
      <c r="CC619">
        <v>1</v>
      </c>
      <c r="CD619">
        <v>-0.498</v>
      </c>
      <c r="CE619">
        <v>3.5499999999999997E-2</v>
      </c>
    </row>
    <row r="620" spans="1:84" hidden="1" x14ac:dyDescent="0.2">
      <c r="D620">
        <v>44</v>
      </c>
      <c r="G620" t="s">
        <v>43</v>
      </c>
      <c r="H620" t="s">
        <v>474</v>
      </c>
      <c r="J620">
        <v>2013</v>
      </c>
      <c r="M620" t="s">
        <v>67</v>
      </c>
      <c r="T620" t="s">
        <v>131</v>
      </c>
      <c r="U620" t="s">
        <v>245</v>
      </c>
      <c r="V620" t="s">
        <v>246</v>
      </c>
      <c r="Z620" t="s">
        <v>475</v>
      </c>
      <c r="AA620" t="s">
        <v>475</v>
      </c>
      <c r="AB620" t="s">
        <v>50</v>
      </c>
      <c r="AC620" t="s">
        <v>51</v>
      </c>
      <c r="AD620" t="s">
        <v>52</v>
      </c>
      <c r="AE620" t="s">
        <v>53</v>
      </c>
      <c r="AF620" t="s">
        <v>52</v>
      </c>
      <c r="AG620" t="s">
        <v>52</v>
      </c>
      <c r="AH620" t="s">
        <v>64</v>
      </c>
      <c r="AK620">
        <v>6</v>
      </c>
      <c r="AL620">
        <v>6</v>
      </c>
      <c r="AM620" t="s">
        <v>342</v>
      </c>
      <c r="AN620">
        <v>351</v>
      </c>
      <c r="AO620">
        <v>10</v>
      </c>
      <c r="AP620" t="s">
        <v>56</v>
      </c>
      <c r="AQ620" t="s">
        <v>109</v>
      </c>
      <c r="AR620">
        <v>8.08</v>
      </c>
      <c r="AS620">
        <v>0.01</v>
      </c>
      <c r="AT620" t="s">
        <v>56</v>
      </c>
      <c r="AU620">
        <v>1215</v>
      </c>
      <c r="AV620">
        <v>68</v>
      </c>
      <c r="AW620" t="s">
        <v>56</v>
      </c>
      <c r="AX620">
        <v>7.59</v>
      </c>
      <c r="AY620">
        <v>0.02</v>
      </c>
      <c r="AZ620" t="s">
        <v>56</v>
      </c>
      <c r="BB620">
        <f>LOG(AU620)</f>
        <v>3.0845762779343309</v>
      </c>
      <c r="BC620">
        <v>1.2</v>
      </c>
      <c r="BD620">
        <v>0.2</v>
      </c>
      <c r="BE620" t="s">
        <v>56</v>
      </c>
      <c r="BF620">
        <v>4</v>
      </c>
      <c r="BG620">
        <v>0.1</v>
      </c>
      <c r="BH620" t="s">
        <v>56</v>
      </c>
      <c r="BI620">
        <v>864</v>
      </c>
      <c r="BJ620">
        <v>2.8</v>
      </c>
      <c r="BK620" t="s">
        <v>476</v>
      </c>
      <c r="BL620" t="s">
        <v>477</v>
      </c>
      <c r="BM620" t="s">
        <v>478</v>
      </c>
      <c r="BN620" t="s">
        <v>340</v>
      </c>
      <c r="BO620" t="s">
        <v>479</v>
      </c>
      <c r="BP620" t="s">
        <v>77</v>
      </c>
      <c r="BR620" t="s">
        <v>63</v>
      </c>
      <c r="BT620">
        <v>37.299999999999997</v>
      </c>
      <c r="BU620">
        <v>37.299999999999997</v>
      </c>
      <c r="BV620">
        <v>4.76</v>
      </c>
      <c r="BW620">
        <f>BV620*SQRT(AK620)</f>
        <v>11.659571175647926</v>
      </c>
      <c r="BX620">
        <v>46.3</v>
      </c>
      <c r="BY620">
        <v>46.3</v>
      </c>
      <c r="BZ620">
        <v>5.5</v>
      </c>
      <c r="CA620">
        <f>BZ620*SQRT(AL620)</f>
        <v>13.472193585307478</v>
      </c>
      <c r="CB620">
        <v>12</v>
      </c>
      <c r="CC620">
        <v>1</v>
      </c>
      <c r="CD620">
        <v>-0.216</v>
      </c>
      <c r="CE620">
        <v>3.04E-2</v>
      </c>
    </row>
    <row r="621" spans="1:84" hidden="1" x14ac:dyDescent="0.2">
      <c r="D621">
        <v>44</v>
      </c>
      <c r="G621" t="s">
        <v>43</v>
      </c>
      <c r="H621" t="s">
        <v>474</v>
      </c>
      <c r="J621">
        <v>2013</v>
      </c>
      <c r="M621" t="s">
        <v>67</v>
      </c>
      <c r="T621" t="s">
        <v>131</v>
      </c>
      <c r="U621" t="s">
        <v>245</v>
      </c>
      <c r="V621" t="s">
        <v>246</v>
      </c>
      <c r="Z621" t="s">
        <v>475</v>
      </c>
      <c r="AA621" t="s">
        <v>475</v>
      </c>
      <c r="AB621" t="s">
        <v>50</v>
      </c>
      <c r="AC621" t="s">
        <v>51</v>
      </c>
      <c r="AD621" t="s">
        <v>52</v>
      </c>
      <c r="AE621" t="s">
        <v>53</v>
      </c>
      <c r="AF621" t="s">
        <v>54</v>
      </c>
      <c r="AG621" t="s">
        <v>52</v>
      </c>
      <c r="AH621" t="s">
        <v>65</v>
      </c>
      <c r="AK621">
        <v>6</v>
      </c>
      <c r="AL621">
        <v>6</v>
      </c>
      <c r="AM621" t="s">
        <v>342</v>
      </c>
      <c r="AN621">
        <v>351</v>
      </c>
      <c r="AO621">
        <v>10</v>
      </c>
      <c r="AP621" t="s">
        <v>56</v>
      </c>
      <c r="AQ621" t="s">
        <v>109</v>
      </c>
      <c r="AR621">
        <v>8.08</v>
      </c>
      <c r="AS621">
        <v>0.01</v>
      </c>
      <c r="AT621" t="s">
        <v>56</v>
      </c>
      <c r="AU621">
        <v>387</v>
      </c>
      <c r="AV621">
        <v>12</v>
      </c>
      <c r="AW621" t="s">
        <v>56</v>
      </c>
      <c r="AX621">
        <v>8.0500000000000007</v>
      </c>
      <c r="AY621">
        <v>0.02</v>
      </c>
      <c r="AZ621" t="s">
        <v>56</v>
      </c>
      <c r="BB621">
        <f>LOG(AU621)</f>
        <v>2.5877109650189114</v>
      </c>
      <c r="BC621">
        <v>1.2</v>
      </c>
      <c r="BD621">
        <v>0.2</v>
      </c>
      <c r="BE621" t="s">
        <v>56</v>
      </c>
      <c r="BF621">
        <v>4</v>
      </c>
      <c r="BG621">
        <v>0.2</v>
      </c>
      <c r="BH621" t="s">
        <v>56</v>
      </c>
      <c r="BI621">
        <v>36</v>
      </c>
      <c r="BJ621">
        <v>2.8</v>
      </c>
      <c r="BK621" t="s">
        <v>476</v>
      </c>
      <c r="BL621" t="s">
        <v>477</v>
      </c>
      <c r="BM621" t="s">
        <v>478</v>
      </c>
      <c r="BN621" t="s">
        <v>340</v>
      </c>
      <c r="BO621" t="s">
        <v>479</v>
      </c>
      <c r="BP621" t="s">
        <v>77</v>
      </c>
      <c r="BR621" t="s">
        <v>63</v>
      </c>
      <c r="BT621">
        <v>37.299999999999997</v>
      </c>
      <c r="BU621">
        <v>37.299999999999997</v>
      </c>
      <c r="BV621">
        <v>4.76</v>
      </c>
      <c r="BW621">
        <f>BV621*SQRT(AK621)</f>
        <v>11.659571175647926</v>
      </c>
      <c r="BX621">
        <v>40</v>
      </c>
      <c r="BY621">
        <v>40</v>
      </c>
      <c r="BZ621">
        <v>7.14</v>
      </c>
      <c r="CA621">
        <f>BZ621*SQRT(AL621)</f>
        <v>17.489356763471889</v>
      </c>
      <c r="CB621">
        <v>12</v>
      </c>
      <c r="CC621">
        <v>1</v>
      </c>
      <c r="CD621">
        <v>-7.0000000000000007E-2</v>
      </c>
      <c r="CE621">
        <v>4.82E-2</v>
      </c>
    </row>
    <row r="622" spans="1:84" hidden="1" x14ac:dyDescent="0.2">
      <c r="D622">
        <v>44</v>
      </c>
      <c r="G622" t="s">
        <v>43</v>
      </c>
      <c r="H622" t="s">
        <v>474</v>
      </c>
      <c r="J622">
        <v>2013</v>
      </c>
      <c r="M622" t="s">
        <v>67</v>
      </c>
      <c r="T622" t="s">
        <v>131</v>
      </c>
      <c r="U622" t="s">
        <v>245</v>
      </c>
      <c r="V622" t="s">
        <v>246</v>
      </c>
      <c r="Z622" t="s">
        <v>475</v>
      </c>
      <c r="AA622" t="s">
        <v>475</v>
      </c>
      <c r="AB622" t="s">
        <v>50</v>
      </c>
      <c r="AC622" t="s">
        <v>51</v>
      </c>
      <c r="AD622" t="s">
        <v>52</v>
      </c>
      <c r="AE622" t="s">
        <v>53</v>
      </c>
      <c r="AF622" t="s">
        <v>52</v>
      </c>
      <c r="AG622" t="s">
        <v>52</v>
      </c>
      <c r="AH622" t="s">
        <v>64</v>
      </c>
      <c r="AK622">
        <v>6</v>
      </c>
      <c r="AL622">
        <v>6</v>
      </c>
      <c r="AM622" t="s">
        <v>342</v>
      </c>
      <c r="AN622">
        <v>351</v>
      </c>
      <c r="AO622">
        <v>10</v>
      </c>
      <c r="AP622" t="s">
        <v>56</v>
      </c>
      <c r="AQ622" t="s">
        <v>109</v>
      </c>
      <c r="AR622">
        <v>8.08</v>
      </c>
      <c r="AS622">
        <v>0.01</v>
      </c>
      <c r="AT622" t="s">
        <v>56</v>
      </c>
      <c r="AU622">
        <v>3094</v>
      </c>
      <c r="AV622">
        <v>206</v>
      </c>
      <c r="AW622" t="s">
        <v>56</v>
      </c>
      <c r="AX622">
        <v>7.2</v>
      </c>
      <c r="AY622">
        <v>0</v>
      </c>
      <c r="AZ622" t="s">
        <v>56</v>
      </c>
      <c r="BB622">
        <f>LOG(AU622)</f>
        <v>3.4905203093633488</v>
      </c>
      <c r="BC622">
        <v>1.2</v>
      </c>
      <c r="BD622">
        <v>0.2</v>
      </c>
      <c r="BE622" t="s">
        <v>56</v>
      </c>
      <c r="BF622">
        <v>4.2</v>
      </c>
      <c r="BG622">
        <v>0.1</v>
      </c>
      <c r="BH622" t="s">
        <v>56</v>
      </c>
      <c r="BI622">
        <v>2743</v>
      </c>
      <c r="BJ622">
        <v>3</v>
      </c>
      <c r="BK622" t="s">
        <v>476</v>
      </c>
      <c r="BL622" t="s">
        <v>477</v>
      </c>
      <c r="BM622" t="s">
        <v>478</v>
      </c>
      <c r="BN622" t="s">
        <v>340</v>
      </c>
      <c r="BO622" t="s">
        <v>479</v>
      </c>
      <c r="BP622" t="s">
        <v>77</v>
      </c>
      <c r="BR622" t="s">
        <v>63</v>
      </c>
      <c r="BT622">
        <v>37.299999999999997</v>
      </c>
      <c r="BU622">
        <v>37.299999999999997</v>
      </c>
      <c r="BV622">
        <v>3.97</v>
      </c>
      <c r="BW622">
        <f>BV622*SQRT(AK622)</f>
        <v>9.7244742788492164</v>
      </c>
      <c r="BX622">
        <v>37.799999999999997</v>
      </c>
      <c r="BY622">
        <v>37.799999999999997</v>
      </c>
      <c r="BZ622">
        <v>2.7</v>
      </c>
      <c r="CA622">
        <f>BZ622*SQRT(AL622)</f>
        <v>6.6136223055145811</v>
      </c>
      <c r="CB622">
        <v>12</v>
      </c>
      <c r="CC622">
        <v>1</v>
      </c>
      <c r="CD622">
        <v>-1.2999999999999999E-2</v>
      </c>
      <c r="CE622">
        <v>1.6400000000000001E-2</v>
      </c>
    </row>
    <row r="623" spans="1:84" hidden="1" x14ac:dyDescent="0.2">
      <c r="D623">
        <v>44</v>
      </c>
      <c r="G623" t="s">
        <v>43</v>
      </c>
      <c r="H623" t="s">
        <v>474</v>
      </c>
      <c r="J623">
        <v>2013</v>
      </c>
      <c r="M623" t="s">
        <v>67</v>
      </c>
      <c r="T623" t="s">
        <v>131</v>
      </c>
      <c r="U623" t="s">
        <v>245</v>
      </c>
      <c r="V623" t="s">
        <v>246</v>
      </c>
      <c r="Z623" t="s">
        <v>475</v>
      </c>
      <c r="AA623" t="s">
        <v>475</v>
      </c>
      <c r="AB623" t="s">
        <v>50</v>
      </c>
      <c r="AC623" t="s">
        <v>51</v>
      </c>
      <c r="AD623" t="s">
        <v>52</v>
      </c>
      <c r="AE623" t="s">
        <v>53</v>
      </c>
      <c r="AF623" t="s">
        <v>54</v>
      </c>
      <c r="AG623" t="s">
        <v>52</v>
      </c>
      <c r="AH623" t="s">
        <v>65</v>
      </c>
      <c r="AK623">
        <v>5</v>
      </c>
      <c r="AL623">
        <v>5</v>
      </c>
      <c r="AN623">
        <v>351</v>
      </c>
      <c r="AO623">
        <v>10</v>
      </c>
      <c r="AP623" t="s">
        <v>56</v>
      </c>
      <c r="AQ623" t="s">
        <v>109</v>
      </c>
      <c r="AR623">
        <v>8.08</v>
      </c>
      <c r="AS623">
        <v>0.01</v>
      </c>
      <c r="AT623" t="s">
        <v>56</v>
      </c>
      <c r="AU623">
        <v>387</v>
      </c>
      <c r="AV623">
        <v>12</v>
      </c>
      <c r="AW623" t="s">
        <v>56</v>
      </c>
      <c r="AX623">
        <v>8.0500000000000007</v>
      </c>
      <c r="AY623">
        <v>0.02</v>
      </c>
      <c r="AZ623" t="s">
        <v>56</v>
      </c>
      <c r="BB623">
        <f>LOG(AU623)</f>
        <v>2.5877109650189114</v>
      </c>
      <c r="BC623">
        <v>1.2</v>
      </c>
      <c r="BD623">
        <v>0.2</v>
      </c>
      <c r="BE623" t="s">
        <v>56</v>
      </c>
      <c r="BF623">
        <v>4</v>
      </c>
      <c r="BG623">
        <v>0.2</v>
      </c>
      <c r="BH623" t="s">
        <v>56</v>
      </c>
      <c r="BI623">
        <v>36</v>
      </c>
      <c r="BJ623">
        <v>2.8</v>
      </c>
      <c r="BK623" t="s">
        <v>476</v>
      </c>
      <c r="BL623" t="s">
        <v>480</v>
      </c>
      <c r="BM623" t="s">
        <v>276</v>
      </c>
      <c r="BN623" t="s">
        <v>60</v>
      </c>
      <c r="BO623" t="s">
        <v>481</v>
      </c>
      <c r="BP623" t="s">
        <v>194</v>
      </c>
      <c r="BR623" t="s">
        <v>63</v>
      </c>
      <c r="BT623">
        <v>0.09</v>
      </c>
      <c r="BU623">
        <v>8.6906999999999998E-2</v>
      </c>
      <c r="BV623">
        <v>0.01</v>
      </c>
      <c r="BW623">
        <f>BV623*SQRT(AK623)</f>
        <v>2.2360679774997897E-2</v>
      </c>
      <c r="BX623">
        <v>0.12</v>
      </c>
      <c r="BY623">
        <v>0.1200903</v>
      </c>
      <c r="BZ623">
        <v>0.01</v>
      </c>
      <c r="CA623">
        <f>BZ623*SQRT(AL623)</f>
        <v>2.2360679774997897E-2</v>
      </c>
      <c r="CB623">
        <v>12</v>
      </c>
      <c r="CC623">
        <v>1</v>
      </c>
      <c r="CD623">
        <v>0.32300000000000001</v>
      </c>
      <c r="CE623">
        <v>1.6400000000000001E-2</v>
      </c>
    </row>
    <row r="624" spans="1:84" hidden="1" x14ac:dyDescent="0.2">
      <c r="D624">
        <v>44</v>
      </c>
      <c r="G624" t="s">
        <v>43</v>
      </c>
      <c r="H624" t="s">
        <v>474</v>
      </c>
      <c r="J624">
        <v>2013</v>
      </c>
      <c r="M624" t="s">
        <v>67</v>
      </c>
      <c r="T624" t="s">
        <v>131</v>
      </c>
      <c r="U624" t="s">
        <v>245</v>
      </c>
      <c r="V624" t="s">
        <v>246</v>
      </c>
      <c r="Z624" t="s">
        <v>475</v>
      </c>
      <c r="AA624" t="s">
        <v>475</v>
      </c>
      <c r="AB624" t="s">
        <v>50</v>
      </c>
      <c r="AC624" t="s">
        <v>51</v>
      </c>
      <c r="AD624" t="s">
        <v>52</v>
      </c>
      <c r="AE624" t="s">
        <v>53</v>
      </c>
      <c r="AF624" t="s">
        <v>52</v>
      </c>
      <c r="AG624" t="s">
        <v>54</v>
      </c>
      <c r="AH624" t="s">
        <v>55</v>
      </c>
      <c r="AK624">
        <v>5</v>
      </c>
      <c r="AL624">
        <v>5</v>
      </c>
      <c r="AN624">
        <v>351</v>
      </c>
      <c r="AO624">
        <v>10</v>
      </c>
      <c r="AP624" t="s">
        <v>56</v>
      </c>
      <c r="AQ624" t="s">
        <v>109</v>
      </c>
      <c r="AR624">
        <v>8.08</v>
      </c>
      <c r="AS624">
        <v>0.01</v>
      </c>
      <c r="AT624" t="s">
        <v>56</v>
      </c>
      <c r="AU624">
        <v>1249</v>
      </c>
      <c r="AV624">
        <v>65</v>
      </c>
      <c r="AW624" t="s">
        <v>56</v>
      </c>
      <c r="AX624">
        <v>7.57</v>
      </c>
      <c r="AY624">
        <v>0.02</v>
      </c>
      <c r="AZ624" t="s">
        <v>56</v>
      </c>
      <c r="BB624">
        <f>LOG(AU624)</f>
        <v>3.0965624383741357</v>
      </c>
      <c r="BC624">
        <v>1.2</v>
      </c>
      <c r="BD624">
        <v>0.2</v>
      </c>
      <c r="BE624" t="s">
        <v>56</v>
      </c>
      <c r="BF624">
        <v>0.9</v>
      </c>
      <c r="BG624">
        <v>0.1</v>
      </c>
      <c r="BH624" t="s">
        <v>56</v>
      </c>
      <c r="BI624">
        <v>898</v>
      </c>
      <c r="BJ624">
        <v>-0.3</v>
      </c>
      <c r="BK624" t="s">
        <v>476</v>
      </c>
      <c r="BL624" t="s">
        <v>480</v>
      </c>
      <c r="BM624" t="s">
        <v>276</v>
      </c>
      <c r="BN624" t="s">
        <v>60</v>
      </c>
      <c r="BO624" t="s">
        <v>481</v>
      </c>
      <c r="BP624" t="s">
        <v>194</v>
      </c>
      <c r="BR624" t="s">
        <v>63</v>
      </c>
      <c r="BT624">
        <v>0.09</v>
      </c>
      <c r="BU624">
        <v>8.6906999999999998E-2</v>
      </c>
      <c r="BV624">
        <v>0.01</v>
      </c>
      <c r="BW624">
        <f>BV624*SQRT(AK624)</f>
        <v>2.2360679774997897E-2</v>
      </c>
      <c r="BX624">
        <v>0.14000000000000001</v>
      </c>
      <c r="BY624">
        <v>0.14379230000000001</v>
      </c>
      <c r="BZ624">
        <v>0.01</v>
      </c>
      <c r="CA624">
        <f>BZ624*SQRT(AL624)</f>
        <v>2.2360679774997897E-2</v>
      </c>
      <c r="CB624">
        <v>12</v>
      </c>
      <c r="CC624">
        <v>1</v>
      </c>
      <c r="CD624">
        <v>0.504</v>
      </c>
      <c r="CE624">
        <v>9.5999999999999992E-3</v>
      </c>
    </row>
    <row r="625" spans="4:83" hidden="1" x14ac:dyDescent="0.2">
      <c r="D625">
        <v>44</v>
      </c>
      <c r="G625" t="s">
        <v>43</v>
      </c>
      <c r="H625" t="s">
        <v>474</v>
      </c>
      <c r="J625">
        <v>2013</v>
      </c>
      <c r="M625" t="s">
        <v>67</v>
      </c>
      <c r="T625" t="s">
        <v>131</v>
      </c>
      <c r="U625" t="s">
        <v>245</v>
      </c>
      <c r="V625" t="s">
        <v>246</v>
      </c>
      <c r="Z625" t="s">
        <v>475</v>
      </c>
      <c r="AA625" t="s">
        <v>475</v>
      </c>
      <c r="AB625" t="s">
        <v>50</v>
      </c>
      <c r="AC625" t="s">
        <v>51</v>
      </c>
      <c r="AD625" t="s">
        <v>52</v>
      </c>
      <c r="AE625" t="s">
        <v>53</v>
      </c>
      <c r="AF625" t="s">
        <v>52</v>
      </c>
      <c r="AG625" t="s">
        <v>54</v>
      </c>
      <c r="AH625" t="s">
        <v>55</v>
      </c>
      <c r="AK625">
        <v>5</v>
      </c>
      <c r="AL625">
        <v>5</v>
      </c>
      <c r="AN625">
        <v>351</v>
      </c>
      <c r="AO625">
        <v>10</v>
      </c>
      <c r="AP625" t="s">
        <v>56</v>
      </c>
      <c r="AQ625" t="s">
        <v>109</v>
      </c>
      <c r="AR625">
        <v>8.08</v>
      </c>
      <c r="AS625">
        <v>0.01</v>
      </c>
      <c r="AT625" t="s">
        <v>56</v>
      </c>
      <c r="AU625">
        <v>825</v>
      </c>
      <c r="AV625">
        <v>49</v>
      </c>
      <c r="AW625" t="s">
        <v>56</v>
      </c>
      <c r="AX625">
        <v>7.74</v>
      </c>
      <c r="AY625">
        <v>0.02</v>
      </c>
      <c r="AZ625" t="s">
        <v>56</v>
      </c>
      <c r="BB625">
        <f>LOG(AU625)</f>
        <v>2.916453948549925</v>
      </c>
      <c r="BC625">
        <v>1.2</v>
      </c>
      <c r="BD625">
        <v>0.2</v>
      </c>
      <c r="BE625" t="s">
        <v>56</v>
      </c>
      <c r="BF625">
        <v>0.8</v>
      </c>
      <c r="BG625">
        <v>0.2</v>
      </c>
      <c r="BH625" t="s">
        <v>56</v>
      </c>
      <c r="BI625">
        <v>474</v>
      </c>
      <c r="BJ625">
        <v>-0.4</v>
      </c>
      <c r="BK625" t="s">
        <v>476</v>
      </c>
      <c r="BL625" t="s">
        <v>480</v>
      </c>
      <c r="BM625" t="s">
        <v>276</v>
      </c>
      <c r="BN625" t="s">
        <v>60</v>
      </c>
      <c r="BO625" t="s">
        <v>481</v>
      </c>
      <c r="BP625" t="s">
        <v>194</v>
      </c>
      <c r="BR625" t="s">
        <v>63</v>
      </c>
      <c r="BT625">
        <v>0.09</v>
      </c>
      <c r="BU625">
        <v>8.6906999999999998E-2</v>
      </c>
      <c r="BV625">
        <v>0.01</v>
      </c>
      <c r="BW625">
        <f>BV625*SQRT(AK625)</f>
        <v>2.2360679774997897E-2</v>
      </c>
      <c r="BX625">
        <v>0.2</v>
      </c>
      <c r="BY625">
        <v>0.2006772</v>
      </c>
      <c r="BZ625">
        <v>0.01</v>
      </c>
      <c r="CA625">
        <f>BZ625*SQRT(AL625)</f>
        <v>2.2360679774997897E-2</v>
      </c>
      <c r="CB625">
        <v>12</v>
      </c>
      <c r="CC625">
        <v>1</v>
      </c>
      <c r="CD625">
        <v>0.83699999999999997</v>
      </c>
      <c r="CE625">
        <v>6.3E-3</v>
      </c>
    </row>
    <row r="626" spans="4:83" hidden="1" x14ac:dyDescent="0.2">
      <c r="D626">
        <v>44</v>
      </c>
      <c r="G626" t="s">
        <v>43</v>
      </c>
      <c r="H626" t="s">
        <v>474</v>
      </c>
      <c r="J626">
        <v>2013</v>
      </c>
      <c r="M626" t="s">
        <v>67</v>
      </c>
      <c r="T626" t="s">
        <v>131</v>
      </c>
      <c r="U626" t="s">
        <v>245</v>
      </c>
      <c r="V626" t="s">
        <v>246</v>
      </c>
      <c r="Z626" t="s">
        <v>475</v>
      </c>
      <c r="AA626" t="s">
        <v>475</v>
      </c>
      <c r="AB626" t="s">
        <v>50</v>
      </c>
      <c r="AC626" t="s">
        <v>51</v>
      </c>
      <c r="AD626" t="s">
        <v>52</v>
      </c>
      <c r="AE626" t="s">
        <v>53</v>
      </c>
      <c r="AF626" t="s">
        <v>52</v>
      </c>
      <c r="AG626" t="s">
        <v>52</v>
      </c>
      <c r="AH626" t="s">
        <v>64</v>
      </c>
      <c r="AK626">
        <v>5</v>
      </c>
      <c r="AL626">
        <v>5</v>
      </c>
      <c r="AN626">
        <v>351</v>
      </c>
      <c r="AO626">
        <v>10</v>
      </c>
      <c r="AP626" t="s">
        <v>56</v>
      </c>
      <c r="AQ626" t="s">
        <v>109</v>
      </c>
      <c r="AR626">
        <v>8.08</v>
      </c>
      <c r="AS626">
        <v>0.01</v>
      </c>
      <c r="AT626" t="s">
        <v>56</v>
      </c>
      <c r="AU626">
        <v>1215</v>
      </c>
      <c r="AV626">
        <v>68</v>
      </c>
      <c r="AW626" t="s">
        <v>56</v>
      </c>
      <c r="AX626">
        <v>7.59</v>
      </c>
      <c r="AY626">
        <v>0.02</v>
      </c>
      <c r="AZ626" t="s">
        <v>56</v>
      </c>
      <c r="BB626">
        <f>LOG(AU626)</f>
        <v>3.0845762779343309</v>
      </c>
      <c r="BC626">
        <v>1.2</v>
      </c>
      <c r="BD626">
        <v>0.2</v>
      </c>
      <c r="BE626" t="s">
        <v>56</v>
      </c>
      <c r="BF626">
        <v>4</v>
      </c>
      <c r="BG626">
        <v>0.1</v>
      </c>
      <c r="BH626" t="s">
        <v>56</v>
      </c>
      <c r="BI626">
        <v>864</v>
      </c>
      <c r="BJ626">
        <v>2.8</v>
      </c>
      <c r="BK626" t="s">
        <v>476</v>
      </c>
      <c r="BL626" t="s">
        <v>480</v>
      </c>
      <c r="BM626" t="s">
        <v>276</v>
      </c>
      <c r="BN626" t="s">
        <v>60</v>
      </c>
      <c r="BO626" t="s">
        <v>481</v>
      </c>
      <c r="BP626" t="s">
        <v>194</v>
      </c>
      <c r="BR626" t="s">
        <v>63</v>
      </c>
      <c r="BT626">
        <v>0.09</v>
      </c>
      <c r="BU626">
        <v>8.6906999999999998E-2</v>
      </c>
      <c r="BV626">
        <v>0.01</v>
      </c>
      <c r="BW626">
        <f>BV626*SQRT(AK626)</f>
        <v>2.2360679774997897E-2</v>
      </c>
      <c r="BX626">
        <v>0.21</v>
      </c>
      <c r="BY626">
        <v>0.21173810000000001</v>
      </c>
      <c r="BZ626">
        <v>0.01</v>
      </c>
      <c r="CA626">
        <f>BZ626*SQRT(AL626)</f>
        <v>2.2360679774997897E-2</v>
      </c>
      <c r="CB626">
        <v>12</v>
      </c>
      <c r="CC626">
        <v>1</v>
      </c>
      <c r="CD626">
        <v>0.89100000000000001</v>
      </c>
      <c r="CE626">
        <v>6.1999999999999998E-3</v>
      </c>
    </row>
    <row r="627" spans="4:83" hidden="1" x14ac:dyDescent="0.2">
      <c r="D627">
        <v>44</v>
      </c>
      <c r="G627" t="s">
        <v>43</v>
      </c>
      <c r="H627" t="s">
        <v>474</v>
      </c>
      <c r="J627">
        <v>2013</v>
      </c>
      <c r="M627" t="s">
        <v>67</v>
      </c>
      <c r="T627" t="s">
        <v>131</v>
      </c>
      <c r="U627" t="s">
        <v>245</v>
      </c>
      <c r="V627" t="s">
        <v>246</v>
      </c>
      <c r="Z627" t="s">
        <v>475</v>
      </c>
      <c r="AA627" t="s">
        <v>475</v>
      </c>
      <c r="AB627" t="s">
        <v>50</v>
      </c>
      <c r="AC627" t="s">
        <v>51</v>
      </c>
      <c r="AD627" t="s">
        <v>52</v>
      </c>
      <c r="AE627" t="s">
        <v>53</v>
      </c>
      <c r="AF627" t="s">
        <v>52</v>
      </c>
      <c r="AG627" t="s">
        <v>52</v>
      </c>
      <c r="AH627" t="s">
        <v>64</v>
      </c>
      <c r="AK627">
        <v>5</v>
      </c>
      <c r="AL627">
        <v>5</v>
      </c>
      <c r="AN627">
        <v>351</v>
      </c>
      <c r="AO627">
        <v>10</v>
      </c>
      <c r="AP627" t="s">
        <v>56</v>
      </c>
      <c r="AQ627" t="s">
        <v>109</v>
      </c>
      <c r="AR627">
        <v>8.08</v>
      </c>
      <c r="AS627">
        <v>0.01</v>
      </c>
      <c r="AT627" t="s">
        <v>56</v>
      </c>
      <c r="AU627">
        <v>834</v>
      </c>
      <c r="AV627">
        <v>77</v>
      </c>
      <c r="AW627" t="s">
        <v>56</v>
      </c>
      <c r="AX627">
        <v>7.76</v>
      </c>
      <c r="AY627">
        <v>0.03</v>
      </c>
      <c r="AZ627" t="s">
        <v>56</v>
      </c>
      <c r="BB627">
        <f>LOG(AU627)</f>
        <v>2.9211660506377388</v>
      </c>
      <c r="BC627">
        <v>1.2</v>
      </c>
      <c r="BD627">
        <v>0.2</v>
      </c>
      <c r="BE627" t="s">
        <v>56</v>
      </c>
      <c r="BF627">
        <v>3.8</v>
      </c>
      <c r="BG627">
        <v>0.2</v>
      </c>
      <c r="BH627" t="s">
        <v>56</v>
      </c>
      <c r="BI627">
        <v>483</v>
      </c>
      <c r="BJ627">
        <v>2.6</v>
      </c>
      <c r="BK627" t="s">
        <v>476</v>
      </c>
      <c r="BL627" t="s">
        <v>480</v>
      </c>
      <c r="BM627" t="s">
        <v>276</v>
      </c>
      <c r="BN627" t="s">
        <v>60</v>
      </c>
      <c r="BO627" t="s">
        <v>481</v>
      </c>
      <c r="BP627" t="s">
        <v>194</v>
      </c>
      <c r="BR627" t="s">
        <v>63</v>
      </c>
      <c r="BT627">
        <v>0.09</v>
      </c>
      <c r="BU627">
        <v>8.6906999999999998E-2</v>
      </c>
      <c r="BV627">
        <v>0.01</v>
      </c>
      <c r="BW627">
        <f>BV627*SQRT(AK627)</f>
        <v>2.2360679774997897E-2</v>
      </c>
      <c r="BX627">
        <v>0.22</v>
      </c>
      <c r="BY627">
        <v>0.21647859999999999</v>
      </c>
      <c r="BZ627">
        <v>0</v>
      </c>
      <c r="CA627">
        <f>BZ627*SQRT(AL627)</f>
        <v>0</v>
      </c>
      <c r="CB627">
        <v>12</v>
      </c>
      <c r="CC627">
        <v>1</v>
      </c>
      <c r="CD627">
        <v>0.91300000000000003</v>
      </c>
      <c r="CE627">
        <v>5.3E-3</v>
      </c>
    </row>
    <row r="628" spans="4:83" hidden="1" x14ac:dyDescent="0.2">
      <c r="D628">
        <v>44</v>
      </c>
      <c r="G628" t="s">
        <v>43</v>
      </c>
      <c r="H628" t="s">
        <v>474</v>
      </c>
      <c r="J628">
        <v>2013</v>
      </c>
      <c r="M628" t="s">
        <v>67</v>
      </c>
      <c r="T628" t="s">
        <v>131</v>
      </c>
      <c r="U628" t="s">
        <v>245</v>
      </c>
      <c r="V628" t="s">
        <v>246</v>
      </c>
      <c r="Z628" t="s">
        <v>475</v>
      </c>
      <c r="AA628" t="s">
        <v>475</v>
      </c>
      <c r="AB628" t="s">
        <v>50</v>
      </c>
      <c r="AC628" t="s">
        <v>51</v>
      </c>
      <c r="AD628" t="s">
        <v>52</v>
      </c>
      <c r="AE628" t="s">
        <v>53</v>
      </c>
      <c r="AF628" t="s">
        <v>52</v>
      </c>
      <c r="AG628" t="s">
        <v>54</v>
      </c>
      <c r="AH628" t="s">
        <v>55</v>
      </c>
      <c r="AK628">
        <v>5</v>
      </c>
      <c r="AL628">
        <v>5</v>
      </c>
      <c r="AN628">
        <v>351</v>
      </c>
      <c r="AO628">
        <v>10</v>
      </c>
      <c r="AP628" t="s">
        <v>56</v>
      </c>
      <c r="AQ628" t="s">
        <v>109</v>
      </c>
      <c r="AR628">
        <v>8.08</v>
      </c>
      <c r="AS628">
        <v>0.01</v>
      </c>
      <c r="AT628" t="s">
        <v>56</v>
      </c>
      <c r="AU628">
        <v>2859</v>
      </c>
      <c r="AV628">
        <v>160</v>
      </c>
      <c r="AW628" t="s">
        <v>56</v>
      </c>
      <c r="AX628">
        <v>7.22</v>
      </c>
      <c r="AY628">
        <v>0.02</v>
      </c>
      <c r="AZ628" t="s">
        <v>56</v>
      </c>
      <c r="BB628">
        <f>LOG(AU628)</f>
        <v>3.4562141553579888</v>
      </c>
      <c r="BC628">
        <v>1.2</v>
      </c>
      <c r="BD628">
        <v>0.2</v>
      </c>
      <c r="BE628" t="s">
        <v>56</v>
      </c>
      <c r="BF628">
        <v>1.2</v>
      </c>
      <c r="BG628">
        <v>0.2</v>
      </c>
      <c r="BH628" t="s">
        <v>56</v>
      </c>
      <c r="BI628">
        <v>2508</v>
      </c>
      <c r="BJ628">
        <v>0</v>
      </c>
      <c r="BK628" t="s">
        <v>476</v>
      </c>
      <c r="BL628" t="s">
        <v>480</v>
      </c>
      <c r="BM628" t="s">
        <v>276</v>
      </c>
      <c r="BN628" t="s">
        <v>60</v>
      </c>
      <c r="BO628" t="s">
        <v>481</v>
      </c>
      <c r="BP628" t="s">
        <v>194</v>
      </c>
      <c r="BR628" t="s">
        <v>63</v>
      </c>
      <c r="BT628">
        <v>0.09</v>
      </c>
      <c r="BU628">
        <v>8.6906999999999998E-2</v>
      </c>
      <c r="BV628">
        <v>0.01</v>
      </c>
      <c r="BW628">
        <f>BV628*SQRT(AK628)</f>
        <v>2.2360679774997897E-2</v>
      </c>
      <c r="BX628">
        <v>0.34</v>
      </c>
      <c r="BY628">
        <v>0.34130929999999998</v>
      </c>
      <c r="BZ628">
        <v>0.03</v>
      </c>
      <c r="CA628">
        <f>BZ628*SQRT(AL628)</f>
        <v>6.7082039324993695E-2</v>
      </c>
      <c r="CB628">
        <v>12</v>
      </c>
      <c r="CC628">
        <v>1</v>
      </c>
      <c r="CD628">
        <v>1.3680000000000001</v>
      </c>
      <c r="CE628">
        <v>1.2200000000000001E-2</v>
      </c>
    </row>
    <row r="629" spans="4:83" hidden="1" x14ac:dyDescent="0.2">
      <c r="D629">
        <v>44</v>
      </c>
      <c r="G629" t="s">
        <v>43</v>
      </c>
      <c r="H629" t="s">
        <v>474</v>
      </c>
      <c r="J629">
        <v>2013</v>
      </c>
      <c r="M629" t="s">
        <v>67</v>
      </c>
      <c r="T629" t="s">
        <v>131</v>
      </c>
      <c r="U629" t="s">
        <v>245</v>
      </c>
      <c r="V629" t="s">
        <v>246</v>
      </c>
      <c r="Z629" t="s">
        <v>475</v>
      </c>
      <c r="AA629" t="s">
        <v>475</v>
      </c>
      <c r="AB629" t="s">
        <v>50</v>
      </c>
      <c r="AC629" t="s">
        <v>51</v>
      </c>
      <c r="AD629" t="s">
        <v>52</v>
      </c>
      <c r="AE629" t="s">
        <v>53</v>
      </c>
      <c r="AF629" t="s">
        <v>52</v>
      </c>
      <c r="AG629" t="s">
        <v>52</v>
      </c>
      <c r="AH629" t="s">
        <v>64</v>
      </c>
      <c r="AK629">
        <v>5</v>
      </c>
      <c r="AL629">
        <v>5</v>
      </c>
      <c r="AN629">
        <v>351</v>
      </c>
      <c r="AO629">
        <v>10</v>
      </c>
      <c r="AP629" t="s">
        <v>56</v>
      </c>
      <c r="AQ629" t="s">
        <v>109</v>
      </c>
      <c r="AR629">
        <v>8.08</v>
      </c>
      <c r="AS629">
        <v>0.01</v>
      </c>
      <c r="AT629" t="s">
        <v>56</v>
      </c>
      <c r="AU629">
        <v>3094</v>
      </c>
      <c r="AV629">
        <v>206</v>
      </c>
      <c r="AW629" t="s">
        <v>56</v>
      </c>
      <c r="AX629">
        <v>7.2</v>
      </c>
      <c r="AY629">
        <v>0</v>
      </c>
      <c r="AZ629" t="s">
        <v>56</v>
      </c>
      <c r="BB629">
        <f>LOG(AU629)</f>
        <v>3.4905203093633488</v>
      </c>
      <c r="BC629">
        <v>1.2</v>
      </c>
      <c r="BD629">
        <v>0.2</v>
      </c>
      <c r="BE629" t="s">
        <v>56</v>
      </c>
      <c r="BF629">
        <v>4.2</v>
      </c>
      <c r="BG629">
        <v>0.1</v>
      </c>
      <c r="BH629" t="s">
        <v>56</v>
      </c>
      <c r="BI629">
        <v>2743</v>
      </c>
      <c r="BJ629">
        <v>3</v>
      </c>
      <c r="BK629" t="s">
        <v>476</v>
      </c>
      <c r="BL629" t="s">
        <v>480</v>
      </c>
      <c r="BM629" t="s">
        <v>276</v>
      </c>
      <c r="BN629" t="s">
        <v>60</v>
      </c>
      <c r="BO629" t="s">
        <v>481</v>
      </c>
      <c r="BP629" t="s">
        <v>194</v>
      </c>
      <c r="BR629" t="s">
        <v>63</v>
      </c>
      <c r="BT629">
        <v>0.09</v>
      </c>
      <c r="BU629">
        <v>8.6906999999999998E-2</v>
      </c>
      <c r="BV629">
        <v>0.01</v>
      </c>
      <c r="BW629">
        <f>BV629*SQRT(AK629)</f>
        <v>2.2360679774997897E-2</v>
      </c>
      <c r="BX629">
        <v>0.51</v>
      </c>
      <c r="BY629">
        <v>0.513544</v>
      </c>
      <c r="BZ629">
        <v>7.0000000000000007E-2</v>
      </c>
      <c r="CA629">
        <f>BZ629*SQRT(AL629)</f>
        <v>0.15652475842498531</v>
      </c>
      <c r="CB629">
        <v>12</v>
      </c>
      <c r="CC629">
        <v>1</v>
      </c>
      <c r="CD629">
        <v>1.776</v>
      </c>
      <c r="CE629">
        <v>2.2800000000000001E-2</v>
      </c>
    </row>
    <row r="630" spans="4:83" hidden="1" x14ac:dyDescent="0.2">
      <c r="D630">
        <v>45</v>
      </c>
      <c r="G630" t="s">
        <v>43</v>
      </c>
      <c r="H630" t="s">
        <v>380</v>
      </c>
      <c r="J630">
        <v>2013</v>
      </c>
      <c r="M630" t="s">
        <v>482</v>
      </c>
      <c r="T630" t="s">
        <v>46</v>
      </c>
      <c r="U630" t="s">
        <v>382</v>
      </c>
      <c r="V630" t="s">
        <v>383</v>
      </c>
      <c r="Z630" t="s">
        <v>177</v>
      </c>
      <c r="AA630" t="s">
        <v>177</v>
      </c>
      <c r="AB630" t="s">
        <v>50</v>
      </c>
      <c r="AC630" t="s">
        <v>108</v>
      </c>
      <c r="AD630" t="s">
        <v>52</v>
      </c>
      <c r="AE630" t="s">
        <v>53</v>
      </c>
      <c r="AF630" t="s">
        <v>52</v>
      </c>
      <c r="AG630" t="s">
        <v>52</v>
      </c>
      <c r="AH630" t="s">
        <v>64</v>
      </c>
      <c r="AK630">
        <v>4</v>
      </c>
      <c r="AL630">
        <v>4</v>
      </c>
      <c r="AN630">
        <v>305</v>
      </c>
      <c r="AO630">
        <v>10</v>
      </c>
      <c r="AP630" t="s">
        <v>56</v>
      </c>
      <c r="AQ630" t="s">
        <v>109</v>
      </c>
      <c r="AR630">
        <v>8.17</v>
      </c>
      <c r="AS630">
        <v>0.01</v>
      </c>
      <c r="AT630" t="s">
        <v>56</v>
      </c>
      <c r="AU630">
        <v>5690</v>
      </c>
      <c r="AV630">
        <v>187</v>
      </c>
      <c r="AW630" t="s">
        <v>56</v>
      </c>
      <c r="AX630">
        <v>6.99</v>
      </c>
      <c r="AY630">
        <v>0.01</v>
      </c>
      <c r="AZ630" t="s">
        <v>56</v>
      </c>
      <c r="BB630">
        <f>LOG(AU630)</f>
        <v>3.7551122663950713</v>
      </c>
      <c r="BC630">
        <v>21</v>
      </c>
      <c r="BD630" t="s">
        <v>56</v>
      </c>
      <c r="BE630" t="s">
        <v>56</v>
      </c>
      <c r="BF630">
        <v>25</v>
      </c>
      <c r="BG630" t="s">
        <v>56</v>
      </c>
      <c r="BH630" t="s">
        <v>56</v>
      </c>
      <c r="BI630">
        <v>5385</v>
      </c>
      <c r="BJ630">
        <v>4</v>
      </c>
      <c r="BK630" t="s">
        <v>56</v>
      </c>
      <c r="BL630" t="s">
        <v>483</v>
      </c>
      <c r="BM630" t="s">
        <v>483</v>
      </c>
      <c r="BN630" t="s">
        <v>60</v>
      </c>
      <c r="BO630" t="s">
        <v>56</v>
      </c>
      <c r="BP630" t="s">
        <v>9</v>
      </c>
      <c r="BR630" t="s">
        <v>63</v>
      </c>
      <c r="BT630">
        <v>14.91</v>
      </c>
      <c r="BU630">
        <v>14.913207999999999</v>
      </c>
      <c r="BV630">
        <v>0.06</v>
      </c>
      <c r="BW630">
        <f>BV630*SQRT(AK630)</f>
        <v>0.12</v>
      </c>
      <c r="BX630">
        <v>2.29</v>
      </c>
      <c r="BY630">
        <v>2.2943395999999998</v>
      </c>
      <c r="BZ630">
        <v>0.21</v>
      </c>
      <c r="CA630">
        <f>BZ630*SQRT(AL630)</f>
        <v>0.42</v>
      </c>
      <c r="CB630">
        <v>14</v>
      </c>
      <c r="CC630">
        <v>4</v>
      </c>
      <c r="CD630">
        <v>-1.8720000000000001</v>
      </c>
      <c r="CE630">
        <v>8.5000000000000006E-3</v>
      </c>
    </row>
    <row r="631" spans="4:83" hidden="1" x14ac:dyDescent="0.2">
      <c r="D631">
        <v>45</v>
      </c>
      <c r="G631" t="s">
        <v>43</v>
      </c>
      <c r="H631" t="s">
        <v>380</v>
      </c>
      <c r="J631">
        <v>2013</v>
      </c>
      <c r="M631" t="s">
        <v>482</v>
      </c>
      <c r="T631" t="s">
        <v>46</v>
      </c>
      <c r="U631" t="s">
        <v>382</v>
      </c>
      <c r="V631" t="s">
        <v>383</v>
      </c>
      <c r="Z631" t="s">
        <v>177</v>
      </c>
      <c r="AA631" t="s">
        <v>177</v>
      </c>
      <c r="AB631" t="s">
        <v>50</v>
      </c>
      <c r="AC631" t="s">
        <v>108</v>
      </c>
      <c r="AD631" t="s">
        <v>52</v>
      </c>
      <c r="AE631" t="s">
        <v>53</v>
      </c>
      <c r="AF631" t="s">
        <v>52</v>
      </c>
      <c r="AG631" t="s">
        <v>54</v>
      </c>
      <c r="AH631" t="s">
        <v>55</v>
      </c>
      <c r="AK631">
        <v>4</v>
      </c>
      <c r="AL631">
        <v>4</v>
      </c>
      <c r="AN631">
        <v>305</v>
      </c>
      <c r="AO631">
        <v>10</v>
      </c>
      <c r="AP631" t="s">
        <v>56</v>
      </c>
      <c r="AQ631" t="s">
        <v>109</v>
      </c>
      <c r="AR631">
        <v>8.17</v>
      </c>
      <c r="AS631">
        <v>0.01</v>
      </c>
      <c r="AT631" t="s">
        <v>56</v>
      </c>
      <c r="AU631">
        <v>5690</v>
      </c>
      <c r="AV631">
        <v>187</v>
      </c>
      <c r="AW631" t="s">
        <v>56</v>
      </c>
      <c r="AX631">
        <v>6.99</v>
      </c>
      <c r="AY631">
        <v>0.01</v>
      </c>
      <c r="AZ631" t="s">
        <v>56</v>
      </c>
      <c r="BB631">
        <f>LOG(AU631)</f>
        <v>3.7551122663950713</v>
      </c>
      <c r="BC631">
        <v>21</v>
      </c>
      <c r="BD631" t="s">
        <v>56</v>
      </c>
      <c r="BE631" t="s">
        <v>56</v>
      </c>
      <c r="BF631">
        <v>21</v>
      </c>
      <c r="BG631" t="s">
        <v>56</v>
      </c>
      <c r="BH631" t="s">
        <v>56</v>
      </c>
      <c r="BI631">
        <v>5385</v>
      </c>
      <c r="BJ631">
        <v>0</v>
      </c>
      <c r="BK631" t="s">
        <v>56</v>
      </c>
      <c r="BL631" t="s">
        <v>483</v>
      </c>
      <c r="BM631" t="s">
        <v>483</v>
      </c>
      <c r="BN631" t="s">
        <v>60</v>
      </c>
      <c r="BO631" t="s">
        <v>56</v>
      </c>
      <c r="BP631" t="s">
        <v>9</v>
      </c>
      <c r="BR631" t="s">
        <v>63</v>
      </c>
      <c r="BT631">
        <v>14.91</v>
      </c>
      <c r="BU631">
        <v>14.913207999999999</v>
      </c>
      <c r="BV631">
        <v>0.06</v>
      </c>
      <c r="BW631">
        <f>BV631*SQRT(AK631)</f>
        <v>0.12</v>
      </c>
      <c r="BX631">
        <v>5.8</v>
      </c>
      <c r="BY631">
        <v>5.7962264000000001</v>
      </c>
      <c r="BZ631">
        <v>0.27</v>
      </c>
      <c r="CA631">
        <f>BZ631*SQRT(AL631)</f>
        <v>0.54</v>
      </c>
      <c r="CB631">
        <v>14</v>
      </c>
      <c r="CC631">
        <v>4</v>
      </c>
      <c r="CD631">
        <v>-0.94499999999999995</v>
      </c>
      <c r="CE631">
        <v>2.2000000000000001E-3</v>
      </c>
    </row>
    <row r="632" spans="4:83" hidden="1" x14ac:dyDescent="0.2">
      <c r="D632">
        <v>45</v>
      </c>
      <c r="G632" t="s">
        <v>43</v>
      </c>
      <c r="H632" t="s">
        <v>380</v>
      </c>
      <c r="J632">
        <v>2013</v>
      </c>
      <c r="M632" t="s">
        <v>482</v>
      </c>
      <c r="T632" t="s">
        <v>46</v>
      </c>
      <c r="U632" t="s">
        <v>382</v>
      </c>
      <c r="V632" t="s">
        <v>383</v>
      </c>
      <c r="Z632" t="s">
        <v>177</v>
      </c>
      <c r="AA632" t="s">
        <v>177</v>
      </c>
      <c r="AB632" t="s">
        <v>50</v>
      </c>
      <c r="AC632" t="s">
        <v>108</v>
      </c>
      <c r="AD632" t="s">
        <v>52</v>
      </c>
      <c r="AE632" t="s">
        <v>53</v>
      </c>
      <c r="AF632" t="s">
        <v>52</v>
      </c>
      <c r="AG632" t="s">
        <v>52</v>
      </c>
      <c r="AH632" t="s">
        <v>64</v>
      </c>
      <c r="AK632">
        <v>4</v>
      </c>
      <c r="AL632">
        <v>4</v>
      </c>
      <c r="AN632">
        <v>305</v>
      </c>
      <c r="AO632">
        <v>10</v>
      </c>
      <c r="AP632" t="s">
        <v>56</v>
      </c>
      <c r="AQ632" t="s">
        <v>109</v>
      </c>
      <c r="AR632">
        <v>8.17</v>
      </c>
      <c r="AS632">
        <v>0.01</v>
      </c>
      <c r="AT632" t="s">
        <v>56</v>
      </c>
      <c r="AU632">
        <v>5690</v>
      </c>
      <c r="AV632">
        <v>187</v>
      </c>
      <c r="AW632" t="s">
        <v>56</v>
      </c>
      <c r="AX632">
        <v>6.99</v>
      </c>
      <c r="AY632">
        <v>0.01</v>
      </c>
      <c r="AZ632" t="s">
        <v>56</v>
      </c>
      <c r="BB632">
        <f>LOG(AU632)</f>
        <v>3.7551122663950713</v>
      </c>
      <c r="BC632">
        <v>21</v>
      </c>
      <c r="BD632" t="s">
        <v>56</v>
      </c>
      <c r="BE632" t="s">
        <v>56</v>
      </c>
      <c r="BF632">
        <v>25</v>
      </c>
      <c r="BG632" t="s">
        <v>56</v>
      </c>
      <c r="BH632" t="s">
        <v>56</v>
      </c>
      <c r="BI632">
        <v>5385</v>
      </c>
      <c r="BJ632">
        <v>4</v>
      </c>
      <c r="BK632" t="s">
        <v>56</v>
      </c>
      <c r="BL632" t="s">
        <v>384</v>
      </c>
      <c r="BM632" t="s">
        <v>385</v>
      </c>
      <c r="BN632" t="s">
        <v>81</v>
      </c>
      <c r="BO632" t="s">
        <v>91</v>
      </c>
      <c r="BP632" t="s">
        <v>92</v>
      </c>
      <c r="BR632" t="s">
        <v>63</v>
      </c>
      <c r="BT632">
        <v>453.77</v>
      </c>
      <c r="BU632">
        <v>453.77358500000003</v>
      </c>
      <c r="BV632">
        <v>4.72</v>
      </c>
      <c r="BW632">
        <f>BV632*SQRT(AK632)</f>
        <v>9.44</v>
      </c>
      <c r="BX632">
        <v>341.51</v>
      </c>
      <c r="BY632">
        <v>341.509434</v>
      </c>
      <c r="BZ632">
        <v>6.6</v>
      </c>
      <c r="CA632">
        <f>BZ632*SQRT(AL632)</f>
        <v>13.2</v>
      </c>
      <c r="CB632">
        <v>14</v>
      </c>
      <c r="CC632">
        <v>4</v>
      </c>
      <c r="CD632">
        <v>-0.28399999999999997</v>
      </c>
      <c r="CE632">
        <v>5.0000000000000001E-4</v>
      </c>
    </row>
    <row r="633" spans="4:83" hidden="1" x14ac:dyDescent="0.2">
      <c r="D633">
        <v>45</v>
      </c>
      <c r="G633" t="s">
        <v>43</v>
      </c>
      <c r="H633" t="s">
        <v>380</v>
      </c>
      <c r="J633">
        <v>2013</v>
      </c>
      <c r="M633" t="s">
        <v>482</v>
      </c>
      <c r="T633" t="s">
        <v>46</v>
      </c>
      <c r="U633" t="s">
        <v>382</v>
      </c>
      <c r="V633" t="s">
        <v>383</v>
      </c>
      <c r="Z633" t="s">
        <v>177</v>
      </c>
      <c r="AA633" t="s">
        <v>177</v>
      </c>
      <c r="AB633" t="s">
        <v>50</v>
      </c>
      <c r="AC633" t="s">
        <v>108</v>
      </c>
      <c r="AD633" t="s">
        <v>52</v>
      </c>
      <c r="AE633" t="s">
        <v>53</v>
      </c>
      <c r="AF633" t="s">
        <v>52</v>
      </c>
      <c r="AG633" t="s">
        <v>54</v>
      </c>
      <c r="AH633" t="s">
        <v>55</v>
      </c>
      <c r="AK633">
        <v>4</v>
      </c>
      <c r="AL633">
        <v>4</v>
      </c>
      <c r="AN633">
        <v>305</v>
      </c>
      <c r="AO633">
        <v>10</v>
      </c>
      <c r="AP633" t="s">
        <v>56</v>
      </c>
      <c r="AQ633" t="s">
        <v>109</v>
      </c>
      <c r="AR633">
        <v>8.17</v>
      </c>
      <c r="AS633">
        <v>0.01</v>
      </c>
      <c r="AT633" t="s">
        <v>56</v>
      </c>
      <c r="AU633">
        <v>5690</v>
      </c>
      <c r="AV633">
        <v>187</v>
      </c>
      <c r="AW633" t="s">
        <v>56</v>
      </c>
      <c r="AX633">
        <v>6.99</v>
      </c>
      <c r="AY633">
        <v>0.01</v>
      </c>
      <c r="AZ633" t="s">
        <v>56</v>
      </c>
      <c r="BB633">
        <f>LOG(AU633)</f>
        <v>3.7551122663950713</v>
      </c>
      <c r="BC633">
        <v>21</v>
      </c>
      <c r="BD633" t="s">
        <v>56</v>
      </c>
      <c r="BE633" t="s">
        <v>56</v>
      </c>
      <c r="BF633">
        <v>21</v>
      </c>
      <c r="BG633" t="s">
        <v>56</v>
      </c>
      <c r="BH633" t="s">
        <v>56</v>
      </c>
      <c r="BI633">
        <v>5385</v>
      </c>
      <c r="BJ633">
        <v>0</v>
      </c>
      <c r="BK633" t="s">
        <v>56</v>
      </c>
      <c r="BL633" t="s">
        <v>384</v>
      </c>
      <c r="BM633" t="s">
        <v>385</v>
      </c>
      <c r="BN633" t="s">
        <v>81</v>
      </c>
      <c r="BO633" t="s">
        <v>91</v>
      </c>
      <c r="BP633" t="s">
        <v>92</v>
      </c>
      <c r="BR633" t="s">
        <v>63</v>
      </c>
      <c r="BT633">
        <v>453.77</v>
      </c>
      <c r="BU633">
        <v>453.77358500000003</v>
      </c>
      <c r="BV633">
        <v>4.72</v>
      </c>
      <c r="BW633">
        <f>BV633*SQRT(AK633)</f>
        <v>9.44</v>
      </c>
      <c r="BX633">
        <v>346.23</v>
      </c>
      <c r="BY633">
        <v>346.2264151</v>
      </c>
      <c r="BZ633">
        <v>2.83</v>
      </c>
      <c r="CA633">
        <f>BZ633*SQRT(AL633)</f>
        <v>5.66</v>
      </c>
      <c r="CB633">
        <v>14</v>
      </c>
      <c r="CC633">
        <v>4</v>
      </c>
      <c r="CD633">
        <v>-0.27100000000000002</v>
      </c>
      <c r="CE633">
        <v>2.0000000000000001E-4</v>
      </c>
    </row>
    <row r="634" spans="4:83" hidden="1" x14ac:dyDescent="0.2">
      <c r="D634">
        <v>45</v>
      </c>
      <c r="G634" t="s">
        <v>43</v>
      </c>
      <c r="H634" t="s">
        <v>380</v>
      </c>
      <c r="J634">
        <v>2013</v>
      </c>
      <c r="M634" t="s">
        <v>482</v>
      </c>
      <c r="T634" t="s">
        <v>46</v>
      </c>
      <c r="U634" t="s">
        <v>382</v>
      </c>
      <c r="V634" t="s">
        <v>383</v>
      </c>
      <c r="Z634" t="s">
        <v>177</v>
      </c>
      <c r="AA634" t="s">
        <v>177</v>
      </c>
      <c r="AB634" t="s">
        <v>50</v>
      </c>
      <c r="AC634" t="s">
        <v>108</v>
      </c>
      <c r="AD634" t="s">
        <v>52</v>
      </c>
      <c r="AE634" t="s">
        <v>53</v>
      </c>
      <c r="AF634" t="s">
        <v>52</v>
      </c>
      <c r="AG634" t="s">
        <v>52</v>
      </c>
      <c r="AH634" t="s">
        <v>64</v>
      </c>
      <c r="AK634">
        <v>4</v>
      </c>
      <c r="AL634">
        <v>4</v>
      </c>
      <c r="AN634">
        <v>305</v>
      </c>
      <c r="AO634">
        <v>10</v>
      </c>
      <c r="AP634" t="s">
        <v>56</v>
      </c>
      <c r="AQ634" t="s">
        <v>109</v>
      </c>
      <c r="AR634">
        <v>8.17</v>
      </c>
      <c r="AS634">
        <v>0.01</v>
      </c>
      <c r="AT634" t="s">
        <v>56</v>
      </c>
      <c r="AU634">
        <v>5690</v>
      </c>
      <c r="AV634">
        <v>187</v>
      </c>
      <c r="AW634" t="s">
        <v>56</v>
      </c>
      <c r="AX634">
        <v>6.99</v>
      </c>
      <c r="AY634">
        <v>0.01</v>
      </c>
      <c r="AZ634" t="s">
        <v>56</v>
      </c>
      <c r="BB634">
        <f>LOG(AU634)</f>
        <v>3.7551122663950713</v>
      </c>
      <c r="BC634">
        <v>21</v>
      </c>
      <c r="BD634" t="s">
        <v>56</v>
      </c>
      <c r="BE634" t="s">
        <v>56</v>
      </c>
      <c r="BF634">
        <v>25</v>
      </c>
      <c r="BG634" t="s">
        <v>56</v>
      </c>
      <c r="BH634" t="s">
        <v>56</v>
      </c>
      <c r="BI634">
        <v>5385</v>
      </c>
      <c r="BJ634">
        <v>4</v>
      </c>
      <c r="BK634" t="s">
        <v>56</v>
      </c>
      <c r="BL634" t="s">
        <v>83</v>
      </c>
      <c r="BM634" t="s">
        <v>83</v>
      </c>
      <c r="BN634" t="s">
        <v>81</v>
      </c>
      <c r="BO634" t="s">
        <v>82</v>
      </c>
      <c r="BP634" t="s">
        <v>204</v>
      </c>
      <c r="BR634" t="s">
        <v>84</v>
      </c>
      <c r="BT634">
        <v>96.59</v>
      </c>
      <c r="BU634">
        <v>96.590908999999996</v>
      </c>
      <c r="BV634">
        <v>1.52</v>
      </c>
      <c r="BW634">
        <f>BV634*SQRT(AK634)</f>
        <v>3.04</v>
      </c>
      <c r="BX634">
        <v>87.12</v>
      </c>
      <c r="BY634">
        <v>87.121212099999994</v>
      </c>
      <c r="BZ634">
        <v>5.87</v>
      </c>
      <c r="CA634">
        <f>BZ634*SQRT(AL634)</f>
        <v>11.74</v>
      </c>
      <c r="CB634">
        <v>14</v>
      </c>
      <c r="CC634">
        <v>4</v>
      </c>
      <c r="CD634">
        <v>-0.10299999999999999</v>
      </c>
      <c r="CE634">
        <v>4.7999999999999996E-3</v>
      </c>
    </row>
    <row r="635" spans="4:83" hidden="1" x14ac:dyDescent="0.2">
      <c r="D635">
        <v>45</v>
      </c>
      <c r="G635" t="s">
        <v>43</v>
      </c>
      <c r="H635" t="s">
        <v>380</v>
      </c>
      <c r="J635">
        <v>2013</v>
      </c>
      <c r="M635" t="s">
        <v>482</v>
      </c>
      <c r="T635" t="s">
        <v>46</v>
      </c>
      <c r="U635" t="s">
        <v>382</v>
      </c>
      <c r="V635" t="s">
        <v>383</v>
      </c>
      <c r="Z635" t="s">
        <v>177</v>
      </c>
      <c r="AA635" t="s">
        <v>177</v>
      </c>
      <c r="AB635" t="s">
        <v>50</v>
      </c>
      <c r="AC635" t="s">
        <v>108</v>
      </c>
      <c r="AD635" t="s">
        <v>52</v>
      </c>
      <c r="AE635" t="s">
        <v>53</v>
      </c>
      <c r="AF635" t="s">
        <v>52</v>
      </c>
      <c r="AG635" t="s">
        <v>52</v>
      </c>
      <c r="AH635" t="s">
        <v>64</v>
      </c>
      <c r="AK635">
        <v>4</v>
      </c>
      <c r="AL635">
        <v>4</v>
      </c>
      <c r="AN635">
        <v>305</v>
      </c>
      <c r="AO635">
        <v>10</v>
      </c>
      <c r="AP635" t="s">
        <v>56</v>
      </c>
      <c r="AQ635" t="s">
        <v>109</v>
      </c>
      <c r="AR635">
        <v>8.17</v>
      </c>
      <c r="AS635">
        <v>0.01</v>
      </c>
      <c r="AT635" t="s">
        <v>56</v>
      </c>
      <c r="AU635">
        <v>2582</v>
      </c>
      <c r="AV635">
        <v>100</v>
      </c>
      <c r="AW635" t="s">
        <v>56</v>
      </c>
      <c r="AX635">
        <v>7.32</v>
      </c>
      <c r="AY635">
        <v>0.02</v>
      </c>
      <c r="AZ635" t="s">
        <v>56</v>
      </c>
      <c r="BB635">
        <f>LOG(AU635)</f>
        <v>3.4119562379304016</v>
      </c>
      <c r="BC635">
        <v>21</v>
      </c>
      <c r="BD635" t="s">
        <v>56</v>
      </c>
      <c r="BE635" t="s">
        <v>56</v>
      </c>
      <c r="BF635">
        <v>25</v>
      </c>
      <c r="BG635" t="s">
        <v>56</v>
      </c>
      <c r="BH635" t="s">
        <v>56</v>
      </c>
      <c r="BI635">
        <v>2277</v>
      </c>
      <c r="BJ635">
        <v>4</v>
      </c>
      <c r="BK635" t="s">
        <v>56</v>
      </c>
      <c r="BL635" t="s">
        <v>483</v>
      </c>
      <c r="BM635" t="s">
        <v>483</v>
      </c>
      <c r="BN635" t="s">
        <v>60</v>
      </c>
      <c r="BO635" t="s">
        <v>56</v>
      </c>
      <c r="BP635" t="s">
        <v>9</v>
      </c>
      <c r="BR635" t="s">
        <v>63</v>
      </c>
      <c r="BT635">
        <v>14.91</v>
      </c>
      <c r="BU635">
        <v>14.913207999999999</v>
      </c>
      <c r="BV635">
        <v>0.06</v>
      </c>
      <c r="BW635">
        <f>BV635*SQRT(AK635)</f>
        <v>0.12</v>
      </c>
      <c r="BX635">
        <v>13.52</v>
      </c>
      <c r="BY635">
        <v>13.5245283</v>
      </c>
      <c r="BZ635">
        <v>0.21</v>
      </c>
      <c r="CA635">
        <f>BZ635*SQRT(AL635)</f>
        <v>0.42</v>
      </c>
      <c r="CB635">
        <v>14</v>
      </c>
      <c r="CC635">
        <v>4</v>
      </c>
      <c r="CD635">
        <v>-9.8000000000000004E-2</v>
      </c>
      <c r="CE635">
        <v>2.9999999999999997E-4</v>
      </c>
    </row>
    <row r="636" spans="4:83" hidden="1" x14ac:dyDescent="0.2">
      <c r="D636">
        <v>45</v>
      </c>
      <c r="G636" t="s">
        <v>43</v>
      </c>
      <c r="H636" t="s">
        <v>380</v>
      </c>
      <c r="J636">
        <v>2013</v>
      </c>
      <c r="M636" t="s">
        <v>482</v>
      </c>
      <c r="T636" t="s">
        <v>46</v>
      </c>
      <c r="U636" t="s">
        <v>382</v>
      </c>
      <c r="V636" t="s">
        <v>383</v>
      </c>
      <c r="Z636" t="s">
        <v>177</v>
      </c>
      <c r="AA636" t="s">
        <v>177</v>
      </c>
      <c r="AB636" t="s">
        <v>50</v>
      </c>
      <c r="AC636" t="s">
        <v>108</v>
      </c>
      <c r="AD636" t="s">
        <v>52</v>
      </c>
      <c r="AE636" t="s">
        <v>53</v>
      </c>
      <c r="AF636" t="s">
        <v>52</v>
      </c>
      <c r="AG636" t="s">
        <v>52</v>
      </c>
      <c r="AH636" t="s">
        <v>64</v>
      </c>
      <c r="AK636">
        <v>4</v>
      </c>
      <c r="AL636">
        <v>4</v>
      </c>
      <c r="AN636">
        <v>305</v>
      </c>
      <c r="AO636">
        <v>10</v>
      </c>
      <c r="AP636" t="s">
        <v>56</v>
      </c>
      <c r="AQ636" t="s">
        <v>109</v>
      </c>
      <c r="AR636">
        <v>8.17</v>
      </c>
      <c r="AS636">
        <v>0.01</v>
      </c>
      <c r="AT636" t="s">
        <v>56</v>
      </c>
      <c r="AU636">
        <v>2582</v>
      </c>
      <c r="AV636">
        <v>100</v>
      </c>
      <c r="AW636" t="s">
        <v>56</v>
      </c>
      <c r="AX636">
        <v>7.32</v>
      </c>
      <c r="AY636">
        <v>0.02</v>
      </c>
      <c r="AZ636" t="s">
        <v>56</v>
      </c>
      <c r="BB636">
        <f>LOG(AU636)</f>
        <v>3.4119562379304016</v>
      </c>
      <c r="BC636">
        <v>21</v>
      </c>
      <c r="BD636" t="s">
        <v>56</v>
      </c>
      <c r="BE636" t="s">
        <v>56</v>
      </c>
      <c r="BF636">
        <v>25</v>
      </c>
      <c r="BG636" t="s">
        <v>56</v>
      </c>
      <c r="BH636" t="s">
        <v>56</v>
      </c>
      <c r="BI636">
        <v>2277</v>
      </c>
      <c r="BJ636">
        <v>4</v>
      </c>
      <c r="BK636" t="s">
        <v>56</v>
      </c>
      <c r="BL636" t="s">
        <v>384</v>
      </c>
      <c r="BM636" t="s">
        <v>385</v>
      </c>
      <c r="BN636" t="s">
        <v>81</v>
      </c>
      <c r="BO636" t="s">
        <v>91</v>
      </c>
      <c r="BP636" t="s">
        <v>92</v>
      </c>
      <c r="BR636" t="s">
        <v>63</v>
      </c>
      <c r="BT636">
        <v>453.77</v>
      </c>
      <c r="BU636">
        <v>453.77358500000003</v>
      </c>
      <c r="BV636">
        <v>4.72</v>
      </c>
      <c r="BW636">
        <f>BV636*SQRT(AK636)</f>
        <v>9.44</v>
      </c>
      <c r="BX636">
        <v>414.15</v>
      </c>
      <c r="BY636">
        <v>414.15094340000002</v>
      </c>
      <c r="BZ636">
        <v>5.66</v>
      </c>
      <c r="CA636">
        <f>BZ636*SQRT(AL636)</f>
        <v>11.32</v>
      </c>
      <c r="CB636">
        <v>14</v>
      </c>
      <c r="CC636">
        <v>4</v>
      </c>
      <c r="CD636">
        <v>-9.0999999999999998E-2</v>
      </c>
      <c r="CE636">
        <v>2.9999999999999997E-4</v>
      </c>
    </row>
    <row r="637" spans="4:83" hidden="1" x14ac:dyDescent="0.2">
      <c r="D637">
        <v>45</v>
      </c>
      <c r="G637" t="s">
        <v>43</v>
      </c>
      <c r="H637" t="s">
        <v>380</v>
      </c>
      <c r="J637">
        <v>2013</v>
      </c>
      <c r="M637" t="s">
        <v>482</v>
      </c>
      <c r="T637" t="s">
        <v>46</v>
      </c>
      <c r="U637" t="s">
        <v>382</v>
      </c>
      <c r="V637" t="s">
        <v>383</v>
      </c>
      <c r="Z637" t="s">
        <v>177</v>
      </c>
      <c r="AA637" t="s">
        <v>177</v>
      </c>
      <c r="AB637" t="s">
        <v>50</v>
      </c>
      <c r="AC637" t="s">
        <v>108</v>
      </c>
      <c r="AD637" t="s">
        <v>52</v>
      </c>
      <c r="AE637" t="s">
        <v>53</v>
      </c>
      <c r="AF637" t="s">
        <v>52</v>
      </c>
      <c r="AG637" t="s">
        <v>54</v>
      </c>
      <c r="AH637" t="s">
        <v>55</v>
      </c>
      <c r="AK637">
        <v>4</v>
      </c>
      <c r="AL637">
        <v>4</v>
      </c>
      <c r="AN637">
        <v>305</v>
      </c>
      <c r="AO637">
        <v>10</v>
      </c>
      <c r="AP637" t="s">
        <v>56</v>
      </c>
      <c r="AQ637" t="s">
        <v>109</v>
      </c>
      <c r="AR637">
        <v>8.17</v>
      </c>
      <c r="AS637">
        <v>0.01</v>
      </c>
      <c r="AT637" t="s">
        <v>56</v>
      </c>
      <c r="AU637">
        <v>2582</v>
      </c>
      <c r="AV637">
        <v>100</v>
      </c>
      <c r="AW637" t="s">
        <v>56</v>
      </c>
      <c r="AX637">
        <v>7.32</v>
      </c>
      <c r="AY637">
        <v>0.02</v>
      </c>
      <c r="AZ637" t="s">
        <v>56</v>
      </c>
      <c r="BB637">
        <f>LOG(AU637)</f>
        <v>3.4119562379304016</v>
      </c>
      <c r="BC637">
        <v>21</v>
      </c>
      <c r="BD637" t="s">
        <v>56</v>
      </c>
      <c r="BE637" t="s">
        <v>56</v>
      </c>
      <c r="BF637">
        <v>21</v>
      </c>
      <c r="BG637" t="s">
        <v>56</v>
      </c>
      <c r="BH637" t="s">
        <v>56</v>
      </c>
      <c r="BI637">
        <v>2277</v>
      </c>
      <c r="BJ637">
        <v>0</v>
      </c>
      <c r="BK637" t="s">
        <v>56</v>
      </c>
      <c r="BL637" t="s">
        <v>384</v>
      </c>
      <c r="BM637" t="s">
        <v>385</v>
      </c>
      <c r="BN637" t="s">
        <v>81</v>
      </c>
      <c r="BO637" t="s">
        <v>91</v>
      </c>
      <c r="BP637" t="s">
        <v>92</v>
      </c>
      <c r="BR637" t="s">
        <v>63</v>
      </c>
      <c r="BT637">
        <v>453.77</v>
      </c>
      <c r="BU637">
        <v>453.77358500000003</v>
      </c>
      <c r="BV637">
        <v>4.72</v>
      </c>
      <c r="BW637">
        <f>BV637*SQRT(AK637)</f>
        <v>9.44</v>
      </c>
      <c r="BX637">
        <v>418.87</v>
      </c>
      <c r="BY637">
        <v>418.86792450000002</v>
      </c>
      <c r="BZ637">
        <v>3.77</v>
      </c>
      <c r="CA637">
        <f>BZ637*SQRT(AL637)</f>
        <v>7.54</v>
      </c>
      <c r="CB637">
        <v>14</v>
      </c>
      <c r="CC637">
        <v>4</v>
      </c>
      <c r="CD637">
        <v>-0.08</v>
      </c>
      <c r="CE637">
        <v>2.0000000000000001E-4</v>
      </c>
    </row>
    <row r="638" spans="4:83" hidden="1" x14ac:dyDescent="0.2">
      <c r="D638">
        <v>45</v>
      </c>
      <c r="G638" t="s">
        <v>43</v>
      </c>
      <c r="H638" t="s">
        <v>380</v>
      </c>
      <c r="J638">
        <v>2013</v>
      </c>
      <c r="M638" t="s">
        <v>482</v>
      </c>
      <c r="T638" t="s">
        <v>46</v>
      </c>
      <c r="U638" t="s">
        <v>382</v>
      </c>
      <c r="V638" t="s">
        <v>383</v>
      </c>
      <c r="Z638" t="s">
        <v>177</v>
      </c>
      <c r="AA638" t="s">
        <v>177</v>
      </c>
      <c r="AB638" t="s">
        <v>50</v>
      </c>
      <c r="AC638" t="s">
        <v>108</v>
      </c>
      <c r="AD638" t="s">
        <v>52</v>
      </c>
      <c r="AE638" t="s">
        <v>53</v>
      </c>
      <c r="AF638" t="s">
        <v>52</v>
      </c>
      <c r="AG638" t="s">
        <v>52</v>
      </c>
      <c r="AH638" t="s">
        <v>64</v>
      </c>
      <c r="AK638">
        <v>4</v>
      </c>
      <c r="AL638">
        <v>4</v>
      </c>
      <c r="AN638">
        <v>305</v>
      </c>
      <c r="AO638">
        <v>10</v>
      </c>
      <c r="AP638" t="s">
        <v>56</v>
      </c>
      <c r="AQ638" t="s">
        <v>109</v>
      </c>
      <c r="AR638">
        <v>8.17</v>
      </c>
      <c r="AS638">
        <v>0.01</v>
      </c>
      <c r="AT638" t="s">
        <v>56</v>
      </c>
      <c r="AU638">
        <v>2582</v>
      </c>
      <c r="AV638">
        <v>100</v>
      </c>
      <c r="AW638" t="s">
        <v>56</v>
      </c>
      <c r="AX638">
        <v>7.32</v>
      </c>
      <c r="AY638">
        <v>0.02</v>
      </c>
      <c r="AZ638" t="s">
        <v>56</v>
      </c>
      <c r="BB638">
        <f>LOG(AU638)</f>
        <v>3.4119562379304016</v>
      </c>
      <c r="BC638">
        <v>21</v>
      </c>
      <c r="BD638" t="s">
        <v>56</v>
      </c>
      <c r="BE638" t="s">
        <v>56</v>
      </c>
      <c r="BF638">
        <v>25</v>
      </c>
      <c r="BG638" t="s">
        <v>56</v>
      </c>
      <c r="BH638" t="s">
        <v>56</v>
      </c>
      <c r="BI638">
        <v>2277</v>
      </c>
      <c r="BJ638">
        <v>4</v>
      </c>
      <c r="BK638" t="s">
        <v>56</v>
      </c>
      <c r="BL638" t="s">
        <v>83</v>
      </c>
      <c r="BM638" t="s">
        <v>83</v>
      </c>
      <c r="BN638" t="s">
        <v>81</v>
      </c>
      <c r="BO638" t="s">
        <v>82</v>
      </c>
      <c r="BP638" t="s">
        <v>204</v>
      </c>
      <c r="BR638" t="s">
        <v>84</v>
      </c>
      <c r="BT638">
        <v>96.59</v>
      </c>
      <c r="BU638">
        <v>96.590908999999996</v>
      </c>
      <c r="BV638">
        <v>1.52</v>
      </c>
      <c r="BW638">
        <f>BV638*SQRT(AK638)</f>
        <v>3.04</v>
      </c>
      <c r="BX638">
        <v>94.13</v>
      </c>
      <c r="BY638">
        <v>94.128787900000006</v>
      </c>
      <c r="BZ638">
        <v>1.33</v>
      </c>
      <c r="CA638">
        <f>BZ638*SQRT(AL638)</f>
        <v>2.66</v>
      </c>
      <c r="CB638">
        <v>14</v>
      </c>
      <c r="CC638">
        <v>4</v>
      </c>
      <c r="CD638">
        <v>-2.5999999999999999E-2</v>
      </c>
      <c r="CE638">
        <v>4.0000000000000002E-4</v>
      </c>
    </row>
    <row r="639" spans="4:83" hidden="1" x14ac:dyDescent="0.2">
      <c r="D639">
        <v>45</v>
      </c>
      <c r="G639" t="s">
        <v>43</v>
      </c>
      <c r="H639" t="s">
        <v>380</v>
      </c>
      <c r="J639">
        <v>2013</v>
      </c>
      <c r="M639" t="s">
        <v>482</v>
      </c>
      <c r="T639" t="s">
        <v>46</v>
      </c>
      <c r="U639" t="s">
        <v>382</v>
      </c>
      <c r="V639" t="s">
        <v>383</v>
      </c>
      <c r="Z639" t="s">
        <v>177</v>
      </c>
      <c r="AA639" t="s">
        <v>177</v>
      </c>
      <c r="AB639" t="s">
        <v>50</v>
      </c>
      <c r="AC639" t="s">
        <v>108</v>
      </c>
      <c r="AD639" t="s">
        <v>52</v>
      </c>
      <c r="AE639" t="s">
        <v>53</v>
      </c>
      <c r="AF639" t="s">
        <v>54</v>
      </c>
      <c r="AG639" t="s">
        <v>52</v>
      </c>
      <c r="AH639" t="s">
        <v>65</v>
      </c>
      <c r="AK639">
        <v>4</v>
      </c>
      <c r="AL639">
        <v>4</v>
      </c>
      <c r="AN639">
        <v>305</v>
      </c>
      <c r="AO639">
        <v>10</v>
      </c>
      <c r="AP639" t="s">
        <v>56</v>
      </c>
      <c r="AQ639" t="s">
        <v>109</v>
      </c>
      <c r="AR639">
        <v>8.17</v>
      </c>
      <c r="AS639">
        <v>0.01</v>
      </c>
      <c r="AT639" t="s">
        <v>56</v>
      </c>
      <c r="AU639">
        <v>305</v>
      </c>
      <c r="AV639">
        <v>10</v>
      </c>
      <c r="AW639" t="s">
        <v>56</v>
      </c>
      <c r="AX639">
        <v>8.17</v>
      </c>
      <c r="AY639">
        <v>0.01</v>
      </c>
      <c r="AZ639" t="s">
        <v>56</v>
      </c>
      <c r="BB639">
        <f>LOG(AU639)</f>
        <v>2.4842998393467859</v>
      </c>
      <c r="BC639">
        <v>21</v>
      </c>
      <c r="BD639" t="s">
        <v>56</v>
      </c>
      <c r="BE639" t="s">
        <v>56</v>
      </c>
      <c r="BF639">
        <v>25</v>
      </c>
      <c r="BG639" t="s">
        <v>56</v>
      </c>
      <c r="BH639" t="s">
        <v>56</v>
      </c>
      <c r="BI639">
        <v>0</v>
      </c>
      <c r="BJ639">
        <v>4</v>
      </c>
      <c r="BK639" t="s">
        <v>56</v>
      </c>
      <c r="BL639" t="s">
        <v>483</v>
      </c>
      <c r="BM639" t="s">
        <v>483</v>
      </c>
      <c r="BN639" t="s">
        <v>60</v>
      </c>
      <c r="BO639" t="s">
        <v>56</v>
      </c>
      <c r="BP639" t="s">
        <v>9</v>
      </c>
      <c r="BR639" t="s">
        <v>63</v>
      </c>
      <c r="BT639">
        <v>14.91</v>
      </c>
      <c r="BU639">
        <v>14.913207999999999</v>
      </c>
      <c r="BV639">
        <v>0.06</v>
      </c>
      <c r="BW639">
        <f>BV639*SQRT(AK639)</f>
        <v>0.12</v>
      </c>
      <c r="BX639">
        <v>14.58</v>
      </c>
      <c r="BY639">
        <v>14.5811321</v>
      </c>
      <c r="BZ639">
        <v>0.06</v>
      </c>
      <c r="CA639">
        <f>BZ639*SQRT(AL639)</f>
        <v>0.12</v>
      </c>
      <c r="CB639">
        <v>14</v>
      </c>
      <c r="CC639">
        <v>4</v>
      </c>
      <c r="CD639">
        <v>-2.3E-2</v>
      </c>
      <c r="CE639">
        <v>1E-4</v>
      </c>
    </row>
    <row r="640" spans="4:83" hidden="1" x14ac:dyDescent="0.2">
      <c r="D640">
        <v>45</v>
      </c>
      <c r="G640" t="s">
        <v>43</v>
      </c>
      <c r="H640" t="s">
        <v>380</v>
      </c>
      <c r="J640">
        <v>2013</v>
      </c>
      <c r="M640" t="s">
        <v>482</v>
      </c>
      <c r="T640" t="s">
        <v>46</v>
      </c>
      <c r="U640" t="s">
        <v>382</v>
      </c>
      <c r="V640" t="s">
        <v>383</v>
      </c>
      <c r="Z640" t="s">
        <v>177</v>
      </c>
      <c r="AA640" t="s">
        <v>177</v>
      </c>
      <c r="AB640" t="s">
        <v>50</v>
      </c>
      <c r="AC640" t="s">
        <v>108</v>
      </c>
      <c r="AD640" t="s">
        <v>52</v>
      </c>
      <c r="AE640" t="s">
        <v>53</v>
      </c>
      <c r="AF640" t="s">
        <v>52</v>
      </c>
      <c r="AG640" t="s">
        <v>54</v>
      </c>
      <c r="AH640" t="s">
        <v>55</v>
      </c>
      <c r="AK640">
        <v>4</v>
      </c>
      <c r="AL640">
        <v>4</v>
      </c>
      <c r="AN640">
        <v>305</v>
      </c>
      <c r="AO640">
        <v>10</v>
      </c>
      <c r="AP640" t="s">
        <v>56</v>
      </c>
      <c r="AQ640" t="s">
        <v>109</v>
      </c>
      <c r="AR640">
        <v>8.17</v>
      </c>
      <c r="AS640">
        <v>0.01</v>
      </c>
      <c r="AT640" t="s">
        <v>56</v>
      </c>
      <c r="AU640">
        <v>5690</v>
      </c>
      <c r="AV640">
        <v>187</v>
      </c>
      <c r="AW640" t="s">
        <v>56</v>
      </c>
      <c r="AX640">
        <v>6.99</v>
      </c>
      <c r="AY640">
        <v>0.01</v>
      </c>
      <c r="AZ640" t="s">
        <v>56</v>
      </c>
      <c r="BB640">
        <f>LOG(AU640)</f>
        <v>3.7551122663950713</v>
      </c>
      <c r="BC640">
        <v>21</v>
      </c>
      <c r="BD640" t="s">
        <v>56</v>
      </c>
      <c r="BE640" t="s">
        <v>56</v>
      </c>
      <c r="BF640">
        <v>21</v>
      </c>
      <c r="BG640" t="s">
        <v>56</v>
      </c>
      <c r="BH640" t="s">
        <v>56</v>
      </c>
      <c r="BI640">
        <v>5385</v>
      </c>
      <c r="BJ640">
        <v>0</v>
      </c>
      <c r="BK640" t="s">
        <v>56</v>
      </c>
      <c r="BL640" t="s">
        <v>83</v>
      </c>
      <c r="BM640" t="s">
        <v>83</v>
      </c>
      <c r="BN640" t="s">
        <v>81</v>
      </c>
      <c r="BO640" t="s">
        <v>82</v>
      </c>
      <c r="BP640" t="s">
        <v>204</v>
      </c>
      <c r="BR640" t="s">
        <v>84</v>
      </c>
      <c r="BT640">
        <v>96.59</v>
      </c>
      <c r="BU640">
        <v>96.590908999999996</v>
      </c>
      <c r="BV640">
        <v>1.52</v>
      </c>
      <c r="BW640">
        <f>BV640*SQRT(AK640)</f>
        <v>3.04</v>
      </c>
      <c r="BX640">
        <v>95.27</v>
      </c>
      <c r="BY640">
        <v>95.265151500000002</v>
      </c>
      <c r="BZ640">
        <v>2.08</v>
      </c>
      <c r="CA640">
        <f>BZ640*SQRT(AL640)</f>
        <v>4.16</v>
      </c>
      <c r="CB640">
        <v>14</v>
      </c>
      <c r="CC640">
        <v>4</v>
      </c>
      <c r="CD640">
        <v>-1.4E-2</v>
      </c>
      <c r="CE640">
        <v>6.9999999999999999E-4</v>
      </c>
    </row>
    <row r="641" spans="4:83" hidden="1" x14ac:dyDescent="0.2">
      <c r="D641">
        <v>45</v>
      </c>
      <c r="G641" t="s">
        <v>43</v>
      </c>
      <c r="H641" t="s">
        <v>380</v>
      </c>
      <c r="J641">
        <v>2013</v>
      </c>
      <c r="M641" t="s">
        <v>482</v>
      </c>
      <c r="T641" t="s">
        <v>46</v>
      </c>
      <c r="U641" t="s">
        <v>382</v>
      </c>
      <c r="V641" t="s">
        <v>383</v>
      </c>
      <c r="Z641" t="s">
        <v>177</v>
      </c>
      <c r="AA641" t="s">
        <v>177</v>
      </c>
      <c r="AB641" t="s">
        <v>50</v>
      </c>
      <c r="AC641" t="s">
        <v>108</v>
      </c>
      <c r="AD641" t="s">
        <v>52</v>
      </c>
      <c r="AE641" t="s">
        <v>53</v>
      </c>
      <c r="AF641" t="s">
        <v>52</v>
      </c>
      <c r="AG641" t="s">
        <v>54</v>
      </c>
      <c r="AH641" t="s">
        <v>55</v>
      </c>
      <c r="AK641">
        <v>4</v>
      </c>
      <c r="AL641">
        <v>4</v>
      </c>
      <c r="AN641">
        <v>305</v>
      </c>
      <c r="AO641">
        <v>10</v>
      </c>
      <c r="AP641" t="s">
        <v>56</v>
      </c>
      <c r="AQ641" t="s">
        <v>109</v>
      </c>
      <c r="AR641">
        <v>8.17</v>
      </c>
      <c r="AS641">
        <v>0.01</v>
      </c>
      <c r="AT641" t="s">
        <v>56</v>
      </c>
      <c r="AU641">
        <v>2582</v>
      </c>
      <c r="AV641">
        <v>100</v>
      </c>
      <c r="AW641" t="s">
        <v>56</v>
      </c>
      <c r="AX641">
        <v>7.32</v>
      </c>
      <c r="AY641">
        <v>0.02</v>
      </c>
      <c r="AZ641" t="s">
        <v>56</v>
      </c>
      <c r="BB641">
        <f>LOG(AU641)</f>
        <v>3.4119562379304016</v>
      </c>
      <c r="BC641">
        <v>21</v>
      </c>
      <c r="BD641" t="s">
        <v>56</v>
      </c>
      <c r="BE641" t="s">
        <v>56</v>
      </c>
      <c r="BF641">
        <v>21</v>
      </c>
      <c r="BG641" t="s">
        <v>56</v>
      </c>
      <c r="BH641" t="s">
        <v>56</v>
      </c>
      <c r="BI641">
        <v>2277</v>
      </c>
      <c r="BJ641">
        <v>0</v>
      </c>
      <c r="BK641" t="s">
        <v>56</v>
      </c>
      <c r="BL641" t="s">
        <v>483</v>
      </c>
      <c r="BM641" t="s">
        <v>483</v>
      </c>
      <c r="BN641" t="s">
        <v>60</v>
      </c>
      <c r="BO641" t="s">
        <v>56</v>
      </c>
      <c r="BP641" t="s">
        <v>9</v>
      </c>
      <c r="BR641" t="s">
        <v>63</v>
      </c>
      <c r="BT641">
        <v>14.91</v>
      </c>
      <c r="BU641">
        <v>14.913207999999999</v>
      </c>
      <c r="BV641">
        <v>0.06</v>
      </c>
      <c r="BW641">
        <f>BV641*SQRT(AK641)</f>
        <v>0.12</v>
      </c>
      <c r="BX641">
        <v>14.85</v>
      </c>
      <c r="BY641">
        <v>14.8528302</v>
      </c>
      <c r="BZ641">
        <v>0.06</v>
      </c>
      <c r="CA641">
        <f>BZ641*SQRT(AL641)</f>
        <v>0.12</v>
      </c>
      <c r="CB641">
        <v>14</v>
      </c>
      <c r="CC641">
        <v>4</v>
      </c>
      <c r="CD641">
        <v>-4.0000000000000001E-3</v>
      </c>
      <c r="CE641">
        <v>1E-4</v>
      </c>
    </row>
    <row r="642" spans="4:83" hidden="1" x14ac:dyDescent="0.2">
      <c r="D642">
        <v>45</v>
      </c>
      <c r="G642" t="s">
        <v>43</v>
      </c>
      <c r="H642" t="s">
        <v>380</v>
      </c>
      <c r="J642">
        <v>2013</v>
      </c>
      <c r="M642" t="s">
        <v>482</v>
      </c>
      <c r="T642" t="s">
        <v>46</v>
      </c>
      <c r="U642" t="s">
        <v>382</v>
      </c>
      <c r="V642" t="s">
        <v>383</v>
      </c>
      <c r="Z642" t="s">
        <v>177</v>
      </c>
      <c r="AA642" t="s">
        <v>177</v>
      </c>
      <c r="AB642" t="s">
        <v>50</v>
      </c>
      <c r="AC642" t="s">
        <v>108</v>
      </c>
      <c r="AD642" t="s">
        <v>52</v>
      </c>
      <c r="AE642" t="s">
        <v>53</v>
      </c>
      <c r="AF642" t="s">
        <v>52</v>
      </c>
      <c r="AG642" t="s">
        <v>54</v>
      </c>
      <c r="AH642" t="s">
        <v>55</v>
      </c>
      <c r="AK642">
        <v>4</v>
      </c>
      <c r="AL642">
        <v>4</v>
      </c>
      <c r="AN642">
        <v>305</v>
      </c>
      <c r="AO642">
        <v>10</v>
      </c>
      <c r="AP642" t="s">
        <v>56</v>
      </c>
      <c r="AQ642" t="s">
        <v>109</v>
      </c>
      <c r="AR642">
        <v>8.17</v>
      </c>
      <c r="AS642">
        <v>0.01</v>
      </c>
      <c r="AT642" t="s">
        <v>56</v>
      </c>
      <c r="AU642">
        <v>764</v>
      </c>
      <c r="AV642">
        <v>51</v>
      </c>
      <c r="AW642" t="s">
        <v>56</v>
      </c>
      <c r="AX642">
        <v>7.8</v>
      </c>
      <c r="AY642">
        <v>0.02</v>
      </c>
      <c r="AZ642" t="s">
        <v>56</v>
      </c>
      <c r="BB642">
        <f>LOG(AU642)</f>
        <v>2.8830933585756897</v>
      </c>
      <c r="BC642">
        <v>21</v>
      </c>
      <c r="BD642" t="s">
        <v>56</v>
      </c>
      <c r="BE642" t="s">
        <v>56</v>
      </c>
      <c r="BF642">
        <v>21</v>
      </c>
      <c r="BG642" t="s">
        <v>56</v>
      </c>
      <c r="BH642" t="s">
        <v>56</v>
      </c>
      <c r="BI642">
        <v>459</v>
      </c>
      <c r="BJ642">
        <v>0</v>
      </c>
      <c r="BK642" t="s">
        <v>56</v>
      </c>
      <c r="BL642" t="s">
        <v>483</v>
      </c>
      <c r="BM642" t="s">
        <v>483</v>
      </c>
      <c r="BN642" t="s">
        <v>60</v>
      </c>
      <c r="BO642" t="s">
        <v>56</v>
      </c>
      <c r="BP642" t="s">
        <v>9</v>
      </c>
      <c r="BR642" t="s">
        <v>63</v>
      </c>
      <c r="BT642">
        <v>14.91</v>
      </c>
      <c r="BU642">
        <v>14.913207999999999</v>
      </c>
      <c r="BV642">
        <v>0.06</v>
      </c>
      <c r="BW642">
        <f>BV642*SQRT(AK642)</f>
        <v>0.12</v>
      </c>
      <c r="BX642">
        <v>14.94</v>
      </c>
      <c r="BY642">
        <v>14.9433962</v>
      </c>
      <c r="BZ642">
        <v>0.09</v>
      </c>
      <c r="CA642">
        <f>BZ642*SQRT(AL642)</f>
        <v>0.18</v>
      </c>
      <c r="CB642">
        <v>14</v>
      </c>
      <c r="CC642">
        <v>4</v>
      </c>
      <c r="CD642">
        <v>2E-3</v>
      </c>
      <c r="CE642">
        <v>1E-4</v>
      </c>
    </row>
    <row r="643" spans="4:83" hidden="1" x14ac:dyDescent="0.2">
      <c r="D643">
        <v>45</v>
      </c>
      <c r="G643" t="s">
        <v>43</v>
      </c>
      <c r="H643" t="s">
        <v>380</v>
      </c>
      <c r="J643">
        <v>2013</v>
      </c>
      <c r="M643" t="s">
        <v>482</v>
      </c>
      <c r="T643" t="s">
        <v>46</v>
      </c>
      <c r="U643" t="s">
        <v>382</v>
      </c>
      <c r="V643" t="s">
        <v>383</v>
      </c>
      <c r="Z643" t="s">
        <v>177</v>
      </c>
      <c r="AA643" t="s">
        <v>177</v>
      </c>
      <c r="AB643" t="s">
        <v>50</v>
      </c>
      <c r="AC643" t="s">
        <v>108</v>
      </c>
      <c r="AD643" t="s">
        <v>52</v>
      </c>
      <c r="AE643" t="s">
        <v>53</v>
      </c>
      <c r="AF643" t="s">
        <v>52</v>
      </c>
      <c r="AG643" t="s">
        <v>52</v>
      </c>
      <c r="AH643" t="s">
        <v>64</v>
      </c>
      <c r="AK643">
        <v>4</v>
      </c>
      <c r="AL643">
        <v>4</v>
      </c>
      <c r="AN643">
        <v>305</v>
      </c>
      <c r="AO643">
        <v>10</v>
      </c>
      <c r="AP643" t="s">
        <v>56</v>
      </c>
      <c r="AQ643" t="s">
        <v>109</v>
      </c>
      <c r="AR643">
        <v>8.17</v>
      </c>
      <c r="AS643">
        <v>0.01</v>
      </c>
      <c r="AT643" t="s">
        <v>56</v>
      </c>
      <c r="AU643">
        <v>764</v>
      </c>
      <c r="AV643">
        <v>51</v>
      </c>
      <c r="AW643" t="s">
        <v>56</v>
      </c>
      <c r="AX643">
        <v>7.8</v>
      </c>
      <c r="AY643">
        <v>0.02</v>
      </c>
      <c r="AZ643" t="s">
        <v>56</v>
      </c>
      <c r="BB643">
        <f>LOG(AU643)</f>
        <v>2.8830933585756897</v>
      </c>
      <c r="BC643">
        <v>21</v>
      </c>
      <c r="BD643" t="s">
        <v>56</v>
      </c>
      <c r="BE643" t="s">
        <v>56</v>
      </c>
      <c r="BF643">
        <v>25</v>
      </c>
      <c r="BG643" t="s">
        <v>56</v>
      </c>
      <c r="BH643" t="s">
        <v>56</v>
      </c>
      <c r="BI643">
        <v>459</v>
      </c>
      <c r="BJ643">
        <v>4</v>
      </c>
      <c r="BK643" t="s">
        <v>56</v>
      </c>
      <c r="BL643" t="s">
        <v>83</v>
      </c>
      <c r="BM643" t="s">
        <v>83</v>
      </c>
      <c r="BN643" t="s">
        <v>81</v>
      </c>
      <c r="BO643" t="s">
        <v>82</v>
      </c>
      <c r="BP643" t="s">
        <v>204</v>
      </c>
      <c r="BR643" t="s">
        <v>84</v>
      </c>
      <c r="BT643">
        <v>96.59</v>
      </c>
      <c r="BU643">
        <v>96.590908999999996</v>
      </c>
      <c r="BV643">
        <v>1.52</v>
      </c>
      <c r="BW643">
        <f>BV643*SQRT(AK643)</f>
        <v>3.04</v>
      </c>
      <c r="BX643">
        <v>97.54</v>
      </c>
      <c r="BY643">
        <v>97.537878800000001</v>
      </c>
      <c r="BZ643">
        <v>2.46</v>
      </c>
      <c r="CA643">
        <f>BZ643*SQRT(AL643)</f>
        <v>4.92</v>
      </c>
      <c r="CB643">
        <v>14</v>
      </c>
      <c r="CC643">
        <v>4</v>
      </c>
      <c r="CD643">
        <v>0.01</v>
      </c>
      <c r="CE643">
        <v>8.9999999999999998E-4</v>
      </c>
    </row>
    <row r="644" spans="4:83" hidden="1" x14ac:dyDescent="0.2">
      <c r="D644">
        <v>45</v>
      </c>
      <c r="G644" t="s">
        <v>43</v>
      </c>
      <c r="H644" t="s">
        <v>380</v>
      </c>
      <c r="J644">
        <v>2013</v>
      </c>
      <c r="M644" t="s">
        <v>482</v>
      </c>
      <c r="T644" t="s">
        <v>46</v>
      </c>
      <c r="U644" t="s">
        <v>382</v>
      </c>
      <c r="V644" t="s">
        <v>383</v>
      </c>
      <c r="Z644" t="s">
        <v>177</v>
      </c>
      <c r="AA644" t="s">
        <v>177</v>
      </c>
      <c r="AB644" t="s">
        <v>50</v>
      </c>
      <c r="AC644" t="s">
        <v>108</v>
      </c>
      <c r="AD644" t="s">
        <v>52</v>
      </c>
      <c r="AE644" t="s">
        <v>53</v>
      </c>
      <c r="AF644" t="s">
        <v>52</v>
      </c>
      <c r="AG644" t="s">
        <v>52</v>
      </c>
      <c r="AH644" t="s">
        <v>64</v>
      </c>
      <c r="AK644">
        <v>4</v>
      </c>
      <c r="AL644">
        <v>4</v>
      </c>
      <c r="AN644">
        <v>305</v>
      </c>
      <c r="AO644">
        <v>10</v>
      </c>
      <c r="AP644" t="s">
        <v>56</v>
      </c>
      <c r="AQ644" t="s">
        <v>109</v>
      </c>
      <c r="AR644">
        <v>8.17</v>
      </c>
      <c r="AS644">
        <v>0.01</v>
      </c>
      <c r="AT644" t="s">
        <v>56</v>
      </c>
      <c r="AU644">
        <v>764</v>
      </c>
      <c r="AV644">
        <v>51</v>
      </c>
      <c r="AW644" t="s">
        <v>56</v>
      </c>
      <c r="AX644">
        <v>7.8</v>
      </c>
      <c r="AY644">
        <v>0.02</v>
      </c>
      <c r="AZ644" t="s">
        <v>56</v>
      </c>
      <c r="BB644">
        <f>LOG(AU644)</f>
        <v>2.8830933585756897</v>
      </c>
      <c r="BC644">
        <v>21</v>
      </c>
      <c r="BD644" t="s">
        <v>56</v>
      </c>
      <c r="BE644" t="s">
        <v>56</v>
      </c>
      <c r="BF644">
        <v>25</v>
      </c>
      <c r="BG644" t="s">
        <v>56</v>
      </c>
      <c r="BH644" t="s">
        <v>56</v>
      </c>
      <c r="BI644">
        <v>459</v>
      </c>
      <c r="BJ644">
        <v>4</v>
      </c>
      <c r="BK644" t="s">
        <v>56</v>
      </c>
      <c r="BL644" t="s">
        <v>483</v>
      </c>
      <c r="BM644" t="s">
        <v>483</v>
      </c>
      <c r="BN644" t="s">
        <v>60</v>
      </c>
      <c r="BO644" t="s">
        <v>56</v>
      </c>
      <c r="BP644" t="s">
        <v>9</v>
      </c>
      <c r="BR644" t="s">
        <v>63</v>
      </c>
      <c r="BT644">
        <v>14.91</v>
      </c>
      <c r="BU644">
        <v>14.913207999999999</v>
      </c>
      <c r="BV644">
        <v>0.06</v>
      </c>
      <c r="BW644">
        <f>BV644*SQRT(AK644)</f>
        <v>0.12</v>
      </c>
      <c r="BX644">
        <v>15.06</v>
      </c>
      <c r="BY644">
        <v>15.0641509</v>
      </c>
      <c r="BZ644">
        <v>0.03</v>
      </c>
      <c r="CA644">
        <f>BZ644*SQRT(AL644)</f>
        <v>0.06</v>
      </c>
      <c r="CB644">
        <v>14</v>
      </c>
      <c r="CC644">
        <v>4</v>
      </c>
      <c r="CD644">
        <v>0.01</v>
      </c>
      <c r="CE644">
        <v>1E-4</v>
      </c>
    </row>
    <row r="645" spans="4:83" hidden="1" x14ac:dyDescent="0.2">
      <c r="D645">
        <v>45</v>
      </c>
      <c r="G645" t="s">
        <v>43</v>
      </c>
      <c r="H645" t="s">
        <v>380</v>
      </c>
      <c r="J645">
        <v>2013</v>
      </c>
      <c r="M645" t="s">
        <v>482</v>
      </c>
      <c r="T645" t="s">
        <v>46</v>
      </c>
      <c r="U645" t="s">
        <v>382</v>
      </c>
      <c r="V645" t="s">
        <v>383</v>
      </c>
      <c r="Z645" t="s">
        <v>177</v>
      </c>
      <c r="AA645" t="s">
        <v>177</v>
      </c>
      <c r="AB645" t="s">
        <v>50</v>
      </c>
      <c r="AC645" t="s">
        <v>108</v>
      </c>
      <c r="AD645" t="s">
        <v>52</v>
      </c>
      <c r="AE645" t="s">
        <v>53</v>
      </c>
      <c r="AF645" t="s">
        <v>54</v>
      </c>
      <c r="AG645" t="s">
        <v>52</v>
      </c>
      <c r="AH645" t="s">
        <v>65</v>
      </c>
      <c r="AK645">
        <v>4</v>
      </c>
      <c r="AL645">
        <v>4</v>
      </c>
      <c r="AN645">
        <v>305</v>
      </c>
      <c r="AO645">
        <v>10</v>
      </c>
      <c r="AP645" t="s">
        <v>56</v>
      </c>
      <c r="AQ645" t="s">
        <v>109</v>
      </c>
      <c r="AR645">
        <v>8.17</v>
      </c>
      <c r="AS645">
        <v>0.01</v>
      </c>
      <c r="AT645" t="s">
        <v>56</v>
      </c>
      <c r="AU645">
        <v>305</v>
      </c>
      <c r="AV645">
        <v>10</v>
      </c>
      <c r="AW645" t="s">
        <v>56</v>
      </c>
      <c r="AX645">
        <v>8.17</v>
      </c>
      <c r="AY645">
        <v>0.01</v>
      </c>
      <c r="AZ645" t="s">
        <v>56</v>
      </c>
      <c r="BB645">
        <f>LOG(AU645)</f>
        <v>2.4842998393467859</v>
      </c>
      <c r="BC645">
        <v>21</v>
      </c>
      <c r="BD645" t="s">
        <v>56</v>
      </c>
      <c r="BE645" t="s">
        <v>56</v>
      </c>
      <c r="BF645">
        <v>25</v>
      </c>
      <c r="BG645" t="s">
        <v>56</v>
      </c>
      <c r="BH645" t="s">
        <v>56</v>
      </c>
      <c r="BI645">
        <v>0</v>
      </c>
      <c r="BJ645">
        <v>4</v>
      </c>
      <c r="BK645" t="s">
        <v>56</v>
      </c>
      <c r="BL645" t="s">
        <v>384</v>
      </c>
      <c r="BM645" t="s">
        <v>385</v>
      </c>
      <c r="BN645" t="s">
        <v>81</v>
      </c>
      <c r="BO645" t="s">
        <v>91</v>
      </c>
      <c r="BP645" t="s">
        <v>92</v>
      </c>
      <c r="BR645" t="s">
        <v>63</v>
      </c>
      <c r="BT645">
        <v>453.77</v>
      </c>
      <c r="BU645">
        <v>453.77358500000003</v>
      </c>
      <c r="BV645">
        <v>4.72</v>
      </c>
      <c r="BW645">
        <f>BV645*SQRT(AK645)</f>
        <v>9.44</v>
      </c>
      <c r="BX645">
        <v>460.38</v>
      </c>
      <c r="BY645">
        <v>460.37735850000001</v>
      </c>
      <c r="BZ645">
        <v>2.83</v>
      </c>
      <c r="CA645">
        <f>BZ645*SQRT(AL645)</f>
        <v>5.66</v>
      </c>
      <c r="CB645">
        <v>14</v>
      </c>
      <c r="CC645">
        <v>4</v>
      </c>
      <c r="CD645">
        <v>1.4E-2</v>
      </c>
      <c r="CE645">
        <v>1E-4</v>
      </c>
    </row>
    <row r="646" spans="4:83" hidden="1" x14ac:dyDescent="0.2">
      <c r="D646">
        <v>45</v>
      </c>
      <c r="G646" t="s">
        <v>43</v>
      </c>
      <c r="H646" t="s">
        <v>380</v>
      </c>
      <c r="J646">
        <v>2013</v>
      </c>
      <c r="M646" t="s">
        <v>482</v>
      </c>
      <c r="T646" t="s">
        <v>46</v>
      </c>
      <c r="U646" t="s">
        <v>382</v>
      </c>
      <c r="V646" t="s">
        <v>383</v>
      </c>
      <c r="Z646" t="s">
        <v>177</v>
      </c>
      <c r="AA646" t="s">
        <v>177</v>
      </c>
      <c r="AB646" t="s">
        <v>50</v>
      </c>
      <c r="AC646" t="s">
        <v>108</v>
      </c>
      <c r="AD646" t="s">
        <v>52</v>
      </c>
      <c r="AE646" t="s">
        <v>53</v>
      </c>
      <c r="AF646" t="s">
        <v>52</v>
      </c>
      <c r="AG646" t="s">
        <v>54</v>
      </c>
      <c r="AH646" t="s">
        <v>55</v>
      </c>
      <c r="AK646">
        <v>4</v>
      </c>
      <c r="AL646">
        <v>4</v>
      </c>
      <c r="AN646">
        <v>305</v>
      </c>
      <c r="AO646">
        <v>10</v>
      </c>
      <c r="AP646" t="s">
        <v>56</v>
      </c>
      <c r="AQ646" t="s">
        <v>109</v>
      </c>
      <c r="AR646">
        <v>8.17</v>
      </c>
      <c r="AS646">
        <v>0.01</v>
      </c>
      <c r="AT646" t="s">
        <v>56</v>
      </c>
      <c r="AU646">
        <v>764</v>
      </c>
      <c r="AV646">
        <v>51</v>
      </c>
      <c r="AW646" t="s">
        <v>56</v>
      </c>
      <c r="AX646">
        <v>7.8</v>
      </c>
      <c r="AY646">
        <v>0.02</v>
      </c>
      <c r="AZ646" t="s">
        <v>56</v>
      </c>
      <c r="BB646">
        <f>LOG(AU646)</f>
        <v>2.8830933585756897</v>
      </c>
      <c r="BC646">
        <v>21</v>
      </c>
      <c r="BD646" t="s">
        <v>56</v>
      </c>
      <c r="BE646" t="s">
        <v>56</v>
      </c>
      <c r="BF646">
        <v>21</v>
      </c>
      <c r="BG646" t="s">
        <v>56</v>
      </c>
      <c r="BH646" t="s">
        <v>56</v>
      </c>
      <c r="BI646">
        <v>459</v>
      </c>
      <c r="BJ646">
        <v>0</v>
      </c>
      <c r="BK646" t="s">
        <v>56</v>
      </c>
      <c r="BL646" t="s">
        <v>83</v>
      </c>
      <c r="BM646" t="s">
        <v>83</v>
      </c>
      <c r="BN646" t="s">
        <v>81</v>
      </c>
      <c r="BO646" t="s">
        <v>82</v>
      </c>
      <c r="BP646" t="s">
        <v>204</v>
      </c>
      <c r="BR646" t="s">
        <v>84</v>
      </c>
      <c r="BT646">
        <v>96.59</v>
      </c>
      <c r="BU646">
        <v>96.590908999999996</v>
      </c>
      <c r="BV646">
        <v>1.52</v>
      </c>
      <c r="BW646">
        <f>BV646*SQRT(AK646)</f>
        <v>3.04</v>
      </c>
      <c r="BX646">
        <v>98.11</v>
      </c>
      <c r="BY646">
        <v>98.106060600000006</v>
      </c>
      <c r="BZ646">
        <v>0.76</v>
      </c>
      <c r="CA646">
        <f>BZ646*SQRT(AL646)</f>
        <v>1.52</v>
      </c>
      <c r="CB646">
        <v>14</v>
      </c>
      <c r="CC646">
        <v>4</v>
      </c>
      <c r="CD646">
        <v>1.6E-2</v>
      </c>
      <c r="CE646">
        <v>2.9999999999999997E-4</v>
      </c>
    </row>
    <row r="647" spans="4:83" hidden="1" x14ac:dyDescent="0.2">
      <c r="D647">
        <v>45</v>
      </c>
      <c r="G647" t="s">
        <v>43</v>
      </c>
      <c r="H647" t="s">
        <v>380</v>
      </c>
      <c r="J647">
        <v>2013</v>
      </c>
      <c r="M647" t="s">
        <v>482</v>
      </c>
      <c r="T647" t="s">
        <v>46</v>
      </c>
      <c r="U647" t="s">
        <v>382</v>
      </c>
      <c r="V647" t="s">
        <v>383</v>
      </c>
      <c r="Z647" t="s">
        <v>177</v>
      </c>
      <c r="AA647" t="s">
        <v>177</v>
      </c>
      <c r="AB647" t="s">
        <v>50</v>
      </c>
      <c r="AC647" t="s">
        <v>108</v>
      </c>
      <c r="AD647" t="s">
        <v>52</v>
      </c>
      <c r="AE647" t="s">
        <v>53</v>
      </c>
      <c r="AF647" t="s">
        <v>52</v>
      </c>
      <c r="AG647" t="s">
        <v>54</v>
      </c>
      <c r="AH647" t="s">
        <v>55</v>
      </c>
      <c r="AK647">
        <v>4</v>
      </c>
      <c r="AL647">
        <v>4</v>
      </c>
      <c r="AN647">
        <v>305</v>
      </c>
      <c r="AO647">
        <v>10</v>
      </c>
      <c r="AP647" t="s">
        <v>56</v>
      </c>
      <c r="AQ647" t="s">
        <v>109</v>
      </c>
      <c r="AR647">
        <v>8.17</v>
      </c>
      <c r="AS647">
        <v>0.01</v>
      </c>
      <c r="AT647" t="s">
        <v>56</v>
      </c>
      <c r="AU647">
        <v>2582</v>
      </c>
      <c r="AV647">
        <v>100</v>
      </c>
      <c r="AW647" t="s">
        <v>56</v>
      </c>
      <c r="AX647">
        <v>7.32</v>
      </c>
      <c r="AY647">
        <v>0.02</v>
      </c>
      <c r="AZ647" t="s">
        <v>56</v>
      </c>
      <c r="BB647">
        <f>LOG(AU647)</f>
        <v>3.4119562379304016</v>
      </c>
      <c r="BC647">
        <v>21</v>
      </c>
      <c r="BD647" t="s">
        <v>56</v>
      </c>
      <c r="BE647" t="s">
        <v>56</v>
      </c>
      <c r="BF647">
        <v>21</v>
      </c>
      <c r="BG647" t="s">
        <v>56</v>
      </c>
      <c r="BH647" t="s">
        <v>56</v>
      </c>
      <c r="BI647">
        <v>2277</v>
      </c>
      <c r="BJ647">
        <v>0</v>
      </c>
      <c r="BK647" t="s">
        <v>56</v>
      </c>
      <c r="BL647" t="s">
        <v>83</v>
      </c>
      <c r="BM647" t="s">
        <v>83</v>
      </c>
      <c r="BN647" t="s">
        <v>81</v>
      </c>
      <c r="BO647" t="s">
        <v>82</v>
      </c>
      <c r="BP647" t="s">
        <v>204</v>
      </c>
      <c r="BR647" t="s">
        <v>84</v>
      </c>
      <c r="BT647">
        <v>96.59</v>
      </c>
      <c r="BU647">
        <v>96.590908999999996</v>
      </c>
      <c r="BV647">
        <v>1.52</v>
      </c>
      <c r="BW647">
        <f>BV647*SQRT(AK647)</f>
        <v>3.04</v>
      </c>
      <c r="BX647">
        <v>98.48</v>
      </c>
      <c r="BY647">
        <v>98.484848499999998</v>
      </c>
      <c r="BZ647">
        <v>1.52</v>
      </c>
      <c r="CA647">
        <f>BZ647*SQRT(AL647)</f>
        <v>3.04</v>
      </c>
      <c r="CB647">
        <v>14</v>
      </c>
      <c r="CC647">
        <v>4</v>
      </c>
      <c r="CD647">
        <v>1.9E-2</v>
      </c>
      <c r="CE647">
        <v>5.0000000000000001E-4</v>
      </c>
    </row>
    <row r="648" spans="4:83" hidden="1" x14ac:dyDescent="0.2">
      <c r="D648">
        <v>45</v>
      </c>
      <c r="G648" t="s">
        <v>43</v>
      </c>
      <c r="H648" t="s">
        <v>380</v>
      </c>
      <c r="J648">
        <v>2013</v>
      </c>
      <c r="M648" t="s">
        <v>482</v>
      </c>
      <c r="T648" t="s">
        <v>46</v>
      </c>
      <c r="U648" t="s">
        <v>382</v>
      </c>
      <c r="V648" t="s">
        <v>383</v>
      </c>
      <c r="Z648" t="s">
        <v>177</v>
      </c>
      <c r="AA648" t="s">
        <v>177</v>
      </c>
      <c r="AB648" t="s">
        <v>50</v>
      </c>
      <c r="AC648" t="s">
        <v>108</v>
      </c>
      <c r="AD648" t="s">
        <v>52</v>
      </c>
      <c r="AE648" t="s">
        <v>53</v>
      </c>
      <c r="AF648" t="s">
        <v>54</v>
      </c>
      <c r="AG648" t="s">
        <v>52</v>
      </c>
      <c r="AH648" t="s">
        <v>65</v>
      </c>
      <c r="AK648">
        <v>4</v>
      </c>
      <c r="AL648">
        <v>4</v>
      </c>
      <c r="AN648">
        <v>305</v>
      </c>
      <c r="AO648">
        <v>10</v>
      </c>
      <c r="AP648" t="s">
        <v>56</v>
      </c>
      <c r="AQ648" t="s">
        <v>109</v>
      </c>
      <c r="AR648">
        <v>8.17</v>
      </c>
      <c r="AS648">
        <v>0.01</v>
      </c>
      <c r="AT648" t="s">
        <v>56</v>
      </c>
      <c r="AU648">
        <v>305</v>
      </c>
      <c r="AV648">
        <v>10</v>
      </c>
      <c r="AW648" t="s">
        <v>56</v>
      </c>
      <c r="AX648">
        <v>8.17</v>
      </c>
      <c r="AY648">
        <v>0.01</v>
      </c>
      <c r="AZ648" t="s">
        <v>56</v>
      </c>
      <c r="BB648">
        <f>LOG(AU648)</f>
        <v>2.4842998393467859</v>
      </c>
      <c r="BC648">
        <v>21</v>
      </c>
      <c r="BD648" t="s">
        <v>56</v>
      </c>
      <c r="BE648" t="s">
        <v>56</v>
      </c>
      <c r="BF648">
        <v>25</v>
      </c>
      <c r="BG648" t="s">
        <v>56</v>
      </c>
      <c r="BH648" t="s">
        <v>56</v>
      </c>
      <c r="BI648">
        <v>0</v>
      </c>
      <c r="BJ648">
        <v>4</v>
      </c>
      <c r="BK648" t="s">
        <v>56</v>
      </c>
      <c r="BL648" t="s">
        <v>83</v>
      </c>
      <c r="BM648" t="s">
        <v>83</v>
      </c>
      <c r="BN648" t="s">
        <v>81</v>
      </c>
      <c r="BO648" t="s">
        <v>82</v>
      </c>
      <c r="BP648" t="s">
        <v>204</v>
      </c>
      <c r="BR648" t="s">
        <v>84</v>
      </c>
      <c r="BT648">
        <v>96.59</v>
      </c>
      <c r="BU648">
        <v>96.590908999999996</v>
      </c>
      <c r="BV648">
        <v>1.52</v>
      </c>
      <c r="BW648">
        <f>BV648*SQRT(AK648)</f>
        <v>3.04</v>
      </c>
      <c r="BX648">
        <v>98.48</v>
      </c>
      <c r="BY648">
        <v>98.484848499999998</v>
      </c>
      <c r="BZ648">
        <v>0.95</v>
      </c>
      <c r="CA648">
        <f>BZ648*SQRT(AL648)</f>
        <v>1.9</v>
      </c>
      <c r="CB648">
        <v>14</v>
      </c>
      <c r="CC648">
        <v>4</v>
      </c>
      <c r="CD648">
        <v>1.9E-2</v>
      </c>
      <c r="CE648">
        <v>2.9999999999999997E-4</v>
      </c>
    </row>
    <row r="649" spans="4:83" hidden="1" x14ac:dyDescent="0.2">
      <c r="D649">
        <v>45</v>
      </c>
      <c r="G649" t="s">
        <v>43</v>
      </c>
      <c r="H649" t="s">
        <v>380</v>
      </c>
      <c r="J649">
        <v>2013</v>
      </c>
      <c r="M649" t="s">
        <v>482</v>
      </c>
      <c r="T649" t="s">
        <v>46</v>
      </c>
      <c r="U649" t="s">
        <v>382</v>
      </c>
      <c r="V649" t="s">
        <v>383</v>
      </c>
      <c r="Z649" t="s">
        <v>177</v>
      </c>
      <c r="AA649" t="s">
        <v>177</v>
      </c>
      <c r="AB649" t="s">
        <v>50</v>
      </c>
      <c r="AC649" t="s">
        <v>108</v>
      </c>
      <c r="AD649" t="s">
        <v>52</v>
      </c>
      <c r="AE649" t="s">
        <v>53</v>
      </c>
      <c r="AF649" t="s">
        <v>52</v>
      </c>
      <c r="AG649" t="s">
        <v>52</v>
      </c>
      <c r="AH649" t="s">
        <v>64</v>
      </c>
      <c r="AK649">
        <v>4</v>
      </c>
      <c r="AL649">
        <v>4</v>
      </c>
      <c r="AN649">
        <v>305</v>
      </c>
      <c r="AO649">
        <v>10</v>
      </c>
      <c r="AP649" t="s">
        <v>56</v>
      </c>
      <c r="AQ649" t="s">
        <v>109</v>
      </c>
      <c r="AR649">
        <v>8.17</v>
      </c>
      <c r="AS649">
        <v>0.01</v>
      </c>
      <c r="AT649" t="s">
        <v>56</v>
      </c>
      <c r="AU649">
        <v>764</v>
      </c>
      <c r="AV649">
        <v>51</v>
      </c>
      <c r="AW649" t="s">
        <v>56</v>
      </c>
      <c r="AX649">
        <v>7.8</v>
      </c>
      <c r="AY649">
        <v>0.02</v>
      </c>
      <c r="AZ649" t="s">
        <v>56</v>
      </c>
      <c r="BB649">
        <f>LOG(AU649)</f>
        <v>2.8830933585756897</v>
      </c>
      <c r="BC649">
        <v>21</v>
      </c>
      <c r="BD649" t="s">
        <v>56</v>
      </c>
      <c r="BE649" t="s">
        <v>56</v>
      </c>
      <c r="BF649">
        <v>25</v>
      </c>
      <c r="BG649" t="s">
        <v>56</v>
      </c>
      <c r="BH649" t="s">
        <v>56</v>
      </c>
      <c r="BI649">
        <v>459</v>
      </c>
      <c r="BJ649">
        <v>4</v>
      </c>
      <c r="BK649" t="s">
        <v>56</v>
      </c>
      <c r="BL649" t="s">
        <v>384</v>
      </c>
      <c r="BM649" t="s">
        <v>385</v>
      </c>
      <c r="BN649" t="s">
        <v>81</v>
      </c>
      <c r="BO649" t="s">
        <v>91</v>
      </c>
      <c r="BP649" t="s">
        <v>92</v>
      </c>
      <c r="BR649" t="s">
        <v>63</v>
      </c>
      <c r="BT649">
        <v>453.77</v>
      </c>
      <c r="BU649">
        <v>453.77358500000003</v>
      </c>
      <c r="BV649">
        <v>4.72</v>
      </c>
      <c r="BW649">
        <f>BV649*SQRT(AK649)</f>
        <v>9.44</v>
      </c>
      <c r="BX649">
        <v>464.15</v>
      </c>
      <c r="BY649">
        <v>464.15094340000002</v>
      </c>
      <c r="BZ649">
        <v>3.77</v>
      </c>
      <c r="CA649">
        <f>BZ649*SQRT(AL649)</f>
        <v>7.54</v>
      </c>
      <c r="CB649">
        <v>14</v>
      </c>
      <c r="CC649">
        <v>4</v>
      </c>
      <c r="CD649">
        <v>2.3E-2</v>
      </c>
      <c r="CE649">
        <v>2.0000000000000001E-4</v>
      </c>
    </row>
    <row r="650" spans="4:83" hidden="1" x14ac:dyDescent="0.2">
      <c r="D650">
        <v>45</v>
      </c>
      <c r="G650" t="s">
        <v>43</v>
      </c>
      <c r="H650" t="s">
        <v>380</v>
      </c>
      <c r="J650">
        <v>2013</v>
      </c>
      <c r="M650" t="s">
        <v>482</v>
      </c>
      <c r="T650" t="s">
        <v>46</v>
      </c>
      <c r="U650" t="s">
        <v>382</v>
      </c>
      <c r="V650" t="s">
        <v>383</v>
      </c>
      <c r="Z650" t="s">
        <v>177</v>
      </c>
      <c r="AA650" t="s">
        <v>177</v>
      </c>
      <c r="AB650" t="s">
        <v>50</v>
      </c>
      <c r="AC650" t="s">
        <v>108</v>
      </c>
      <c r="AD650" t="s">
        <v>52</v>
      </c>
      <c r="AE650" t="s">
        <v>53</v>
      </c>
      <c r="AF650" t="s">
        <v>52</v>
      </c>
      <c r="AG650" t="s">
        <v>54</v>
      </c>
      <c r="AH650" t="s">
        <v>55</v>
      </c>
      <c r="AK650">
        <v>4</v>
      </c>
      <c r="AL650">
        <v>4</v>
      </c>
      <c r="AN650">
        <v>305</v>
      </c>
      <c r="AO650">
        <v>10</v>
      </c>
      <c r="AP650" t="s">
        <v>56</v>
      </c>
      <c r="AQ650" t="s">
        <v>109</v>
      </c>
      <c r="AR650">
        <v>8.17</v>
      </c>
      <c r="AS650">
        <v>0.01</v>
      </c>
      <c r="AT650" t="s">
        <v>56</v>
      </c>
      <c r="AU650">
        <v>764</v>
      </c>
      <c r="AV650">
        <v>51</v>
      </c>
      <c r="AW650" t="s">
        <v>56</v>
      </c>
      <c r="AX650">
        <v>7.8</v>
      </c>
      <c r="AY650">
        <v>0.02</v>
      </c>
      <c r="AZ650" t="s">
        <v>56</v>
      </c>
      <c r="BB650">
        <f>LOG(AU650)</f>
        <v>2.8830933585756897</v>
      </c>
      <c r="BC650">
        <v>21</v>
      </c>
      <c r="BD650" t="s">
        <v>56</v>
      </c>
      <c r="BE650" t="s">
        <v>56</v>
      </c>
      <c r="BF650">
        <v>21</v>
      </c>
      <c r="BG650" t="s">
        <v>56</v>
      </c>
      <c r="BH650" t="s">
        <v>56</v>
      </c>
      <c r="BI650">
        <v>459</v>
      </c>
      <c r="BJ650">
        <v>0</v>
      </c>
      <c r="BK650" t="s">
        <v>56</v>
      </c>
      <c r="BL650" t="s">
        <v>384</v>
      </c>
      <c r="BM650" t="s">
        <v>385</v>
      </c>
      <c r="BN650" t="s">
        <v>81</v>
      </c>
      <c r="BO650" t="s">
        <v>91</v>
      </c>
      <c r="BP650" t="s">
        <v>92</v>
      </c>
      <c r="BR650" t="s">
        <v>63</v>
      </c>
      <c r="BT650">
        <v>453.77</v>
      </c>
      <c r="BU650">
        <v>453.77358500000003</v>
      </c>
      <c r="BV650">
        <v>4.72</v>
      </c>
      <c r="BW650">
        <f>BV650*SQRT(AK650)</f>
        <v>9.44</v>
      </c>
      <c r="BX650">
        <v>466.04</v>
      </c>
      <c r="BY650">
        <v>466.03773580000001</v>
      </c>
      <c r="BZ650">
        <v>5.66</v>
      </c>
      <c r="CA650">
        <f>BZ650*SQRT(AL650)</f>
        <v>11.32</v>
      </c>
      <c r="CB650">
        <v>14</v>
      </c>
      <c r="CC650">
        <v>4</v>
      </c>
      <c r="CD650">
        <v>2.7E-2</v>
      </c>
      <c r="CE650">
        <v>2.9999999999999997E-4</v>
      </c>
    </row>
    <row r="651" spans="4:83" hidden="1" x14ac:dyDescent="0.2">
      <c r="D651">
        <v>46</v>
      </c>
      <c r="G651" t="s">
        <v>43</v>
      </c>
      <c r="H651" t="s">
        <v>484</v>
      </c>
      <c r="J651">
        <v>2013</v>
      </c>
      <c r="M651" t="s">
        <v>485</v>
      </c>
      <c r="T651" t="s">
        <v>486</v>
      </c>
      <c r="U651" t="s">
        <v>487</v>
      </c>
      <c r="V651" t="s">
        <v>488</v>
      </c>
      <c r="Z651" t="s">
        <v>177</v>
      </c>
      <c r="AA651" t="s">
        <v>177</v>
      </c>
      <c r="AB651" t="s">
        <v>50</v>
      </c>
      <c r="AC651" t="s">
        <v>51</v>
      </c>
      <c r="AD651" t="s">
        <v>52</v>
      </c>
      <c r="AE651" t="s">
        <v>53</v>
      </c>
      <c r="AF651" t="s">
        <v>52</v>
      </c>
      <c r="AG651" t="s">
        <v>52</v>
      </c>
      <c r="AH651" t="s">
        <v>64</v>
      </c>
      <c r="AK651">
        <v>4</v>
      </c>
      <c r="AL651">
        <v>4</v>
      </c>
      <c r="AM651" t="s">
        <v>342</v>
      </c>
      <c r="AN651">
        <v>418</v>
      </c>
      <c r="AO651" t="s">
        <v>56</v>
      </c>
      <c r="AP651">
        <v>3</v>
      </c>
      <c r="AQ651" t="s">
        <v>109</v>
      </c>
      <c r="AR651">
        <v>8.0399999999999991</v>
      </c>
      <c r="AS651" t="s">
        <v>56</v>
      </c>
      <c r="AT651">
        <v>0</v>
      </c>
      <c r="AU651">
        <v>1711</v>
      </c>
      <c r="AV651" t="s">
        <v>56</v>
      </c>
      <c r="AW651">
        <v>65</v>
      </c>
      <c r="AX651">
        <v>7.56</v>
      </c>
      <c r="AY651" t="s">
        <v>56</v>
      </c>
      <c r="AZ651">
        <v>0.01</v>
      </c>
      <c r="BB651">
        <f>LOG(AU651)</f>
        <v>3.2332500095411003</v>
      </c>
      <c r="BC651">
        <v>23.9</v>
      </c>
      <c r="BD651" t="s">
        <v>56</v>
      </c>
      <c r="BE651">
        <v>0.2</v>
      </c>
      <c r="BF651">
        <v>30.8</v>
      </c>
      <c r="BG651" t="s">
        <v>56</v>
      </c>
      <c r="BH651">
        <v>0.1</v>
      </c>
      <c r="BI651">
        <v>1293</v>
      </c>
      <c r="BJ651">
        <v>6.9</v>
      </c>
      <c r="BK651" t="s">
        <v>56</v>
      </c>
      <c r="BL651" t="s">
        <v>489</v>
      </c>
      <c r="BM651" t="s">
        <v>489</v>
      </c>
      <c r="BN651" t="s">
        <v>340</v>
      </c>
      <c r="BO651" t="s">
        <v>490</v>
      </c>
      <c r="BP651" t="s">
        <v>234</v>
      </c>
      <c r="BR651" t="s">
        <v>63</v>
      </c>
      <c r="BT651">
        <v>0.21</v>
      </c>
      <c r="BU651">
        <v>0.21</v>
      </c>
      <c r="BV651">
        <v>0.02</v>
      </c>
      <c r="BW651">
        <f>BV651*SQRT(AK651)</f>
        <v>0.04</v>
      </c>
      <c r="BX651">
        <v>1.18</v>
      </c>
      <c r="BY651">
        <v>1.18</v>
      </c>
      <c r="BZ651">
        <v>0.13</v>
      </c>
      <c r="CA651">
        <f>BZ651*SQRT(AL651)</f>
        <v>0.26</v>
      </c>
      <c r="CB651">
        <v>3</v>
      </c>
      <c r="CC651">
        <v>4</v>
      </c>
      <c r="CD651">
        <v>-1.726</v>
      </c>
      <c r="CE651">
        <v>2.0299999999999999E-2</v>
      </c>
    </row>
    <row r="652" spans="4:83" hidden="1" x14ac:dyDescent="0.2">
      <c r="D652">
        <v>46</v>
      </c>
      <c r="G652" t="s">
        <v>43</v>
      </c>
      <c r="H652" t="s">
        <v>484</v>
      </c>
      <c r="J652">
        <v>2013</v>
      </c>
      <c r="M652" t="s">
        <v>485</v>
      </c>
      <c r="T652" t="s">
        <v>486</v>
      </c>
      <c r="U652" t="s">
        <v>487</v>
      </c>
      <c r="V652" t="s">
        <v>488</v>
      </c>
      <c r="Z652" t="s">
        <v>177</v>
      </c>
      <c r="AA652" t="s">
        <v>177</v>
      </c>
      <c r="AB652" t="s">
        <v>50</v>
      </c>
      <c r="AC652" t="s">
        <v>51</v>
      </c>
      <c r="AD652" t="s">
        <v>52</v>
      </c>
      <c r="AE652" t="s">
        <v>53</v>
      </c>
      <c r="AF652" t="s">
        <v>52</v>
      </c>
      <c r="AG652" t="s">
        <v>54</v>
      </c>
      <c r="AH652" t="s">
        <v>55</v>
      </c>
      <c r="AK652">
        <v>4</v>
      </c>
      <c r="AL652">
        <v>4</v>
      </c>
      <c r="AM652" t="s">
        <v>342</v>
      </c>
      <c r="AN652">
        <v>418</v>
      </c>
      <c r="AO652" t="s">
        <v>56</v>
      </c>
      <c r="AP652">
        <v>3</v>
      </c>
      <c r="AQ652" t="s">
        <v>109</v>
      </c>
      <c r="AR652">
        <v>8.0399999999999991</v>
      </c>
      <c r="AS652" t="s">
        <v>56</v>
      </c>
      <c r="AT652">
        <v>0</v>
      </c>
      <c r="AU652">
        <v>1595</v>
      </c>
      <c r="AV652" t="s">
        <v>56</v>
      </c>
      <c r="AW652">
        <v>54</v>
      </c>
      <c r="AX652">
        <v>7.57</v>
      </c>
      <c r="AY652" t="s">
        <v>56</v>
      </c>
      <c r="AZ652">
        <v>0.01</v>
      </c>
      <c r="BB652">
        <f>LOG(AU652)</f>
        <v>3.2027606873931997</v>
      </c>
      <c r="BC652">
        <v>23.9</v>
      </c>
      <c r="BD652" t="s">
        <v>56</v>
      </c>
      <c r="BE652">
        <v>0.2</v>
      </c>
      <c r="BF652">
        <v>24.5</v>
      </c>
      <c r="BG652" t="s">
        <v>56</v>
      </c>
      <c r="BH652">
        <v>0.2</v>
      </c>
      <c r="BI652">
        <v>1177</v>
      </c>
      <c r="BJ652">
        <v>0.6</v>
      </c>
      <c r="BK652" t="s">
        <v>56</v>
      </c>
      <c r="BL652" t="s">
        <v>491</v>
      </c>
      <c r="BM652" t="s">
        <v>489</v>
      </c>
      <c r="BN652" t="s">
        <v>340</v>
      </c>
      <c r="BO652" t="s">
        <v>490</v>
      </c>
      <c r="BP652" t="s">
        <v>234</v>
      </c>
      <c r="BR652" t="s">
        <v>63</v>
      </c>
      <c r="BT652">
        <v>0.21</v>
      </c>
      <c r="BU652">
        <v>0.21</v>
      </c>
      <c r="BV652">
        <v>0.02</v>
      </c>
      <c r="BW652">
        <f>BV652*SQRT(AK652)</f>
        <v>0.04</v>
      </c>
      <c r="BX652">
        <v>1.0900000000000001</v>
      </c>
      <c r="BY652">
        <v>1.0900000000000001</v>
      </c>
      <c r="BZ652">
        <v>0.02</v>
      </c>
      <c r="CA652">
        <f>BZ652*SQRT(AL652)</f>
        <v>0.04</v>
      </c>
      <c r="CB652">
        <v>3</v>
      </c>
      <c r="CC652">
        <v>4</v>
      </c>
      <c r="CD652">
        <v>-1.647</v>
      </c>
      <c r="CE652">
        <v>9.4000000000000004E-3</v>
      </c>
    </row>
    <row r="653" spans="4:83" hidden="1" x14ac:dyDescent="0.2">
      <c r="D653">
        <v>46</v>
      </c>
      <c r="G653" t="s">
        <v>43</v>
      </c>
      <c r="H653" t="s">
        <v>484</v>
      </c>
      <c r="J653">
        <v>2013</v>
      </c>
      <c r="M653" t="s">
        <v>485</v>
      </c>
      <c r="T653" t="s">
        <v>486</v>
      </c>
      <c r="U653" t="s">
        <v>487</v>
      </c>
      <c r="V653" t="s">
        <v>488</v>
      </c>
      <c r="Z653" t="s">
        <v>177</v>
      </c>
      <c r="AA653" t="s">
        <v>177</v>
      </c>
      <c r="AB653" t="s">
        <v>50</v>
      </c>
      <c r="AC653" t="s">
        <v>51</v>
      </c>
      <c r="AD653" t="s">
        <v>52</v>
      </c>
      <c r="AE653" t="s">
        <v>53</v>
      </c>
      <c r="AF653" t="s">
        <v>52</v>
      </c>
      <c r="AG653" t="s">
        <v>52</v>
      </c>
      <c r="AH653" t="s">
        <v>64</v>
      </c>
      <c r="AK653">
        <v>4</v>
      </c>
      <c r="AL653">
        <v>4</v>
      </c>
      <c r="AM653" t="s">
        <v>342</v>
      </c>
      <c r="AN653">
        <v>418</v>
      </c>
      <c r="AO653" t="s">
        <v>56</v>
      </c>
      <c r="AP653">
        <v>3</v>
      </c>
      <c r="AQ653" t="s">
        <v>109</v>
      </c>
      <c r="AR653">
        <v>8.0399999999999991</v>
      </c>
      <c r="AS653" t="s">
        <v>56</v>
      </c>
      <c r="AT653">
        <v>0</v>
      </c>
      <c r="AU653">
        <v>1677</v>
      </c>
      <c r="AV653" t="s">
        <v>56</v>
      </c>
      <c r="AW653">
        <v>67</v>
      </c>
      <c r="AX653">
        <v>7.55</v>
      </c>
      <c r="AY653" t="s">
        <v>56</v>
      </c>
      <c r="AZ653">
        <v>0.02</v>
      </c>
      <c r="BB653">
        <f>LOG(AU653)</f>
        <v>3.2245330626060857</v>
      </c>
      <c r="BC653">
        <v>23.9</v>
      </c>
      <c r="BD653" t="s">
        <v>56</v>
      </c>
      <c r="BE653">
        <v>0.2</v>
      </c>
      <c r="BF653">
        <v>27.9</v>
      </c>
      <c r="BG653" t="s">
        <v>56</v>
      </c>
      <c r="BH653">
        <v>0.3</v>
      </c>
      <c r="BI653">
        <v>1259</v>
      </c>
      <c r="BJ653">
        <v>4</v>
      </c>
      <c r="BK653" t="s">
        <v>56</v>
      </c>
      <c r="BL653" t="s">
        <v>489</v>
      </c>
      <c r="BM653" t="s">
        <v>489</v>
      </c>
      <c r="BN653" t="s">
        <v>340</v>
      </c>
      <c r="BO653" t="s">
        <v>490</v>
      </c>
      <c r="BP653" t="s">
        <v>234</v>
      </c>
      <c r="BR653" t="s">
        <v>63</v>
      </c>
      <c r="BT653">
        <v>0.21</v>
      </c>
      <c r="BU653">
        <v>0.21</v>
      </c>
      <c r="BV653">
        <v>0.02</v>
      </c>
      <c r="BW653">
        <f>BV653*SQRT(AK653)</f>
        <v>0.04</v>
      </c>
      <c r="BX653">
        <v>0.95</v>
      </c>
      <c r="BY653">
        <v>0.95</v>
      </c>
      <c r="BZ653">
        <v>0.04</v>
      </c>
      <c r="CA653">
        <f>BZ653*SQRT(AL653)</f>
        <v>0.08</v>
      </c>
      <c r="CB653">
        <v>3</v>
      </c>
      <c r="CC653">
        <v>4</v>
      </c>
      <c r="CD653">
        <v>-1.5089999999999999</v>
      </c>
      <c r="CE653">
        <v>1.0800000000000001E-2</v>
      </c>
    </row>
    <row r="654" spans="4:83" hidden="1" x14ac:dyDescent="0.2">
      <c r="D654">
        <v>46</v>
      </c>
      <c r="G654" t="s">
        <v>43</v>
      </c>
      <c r="H654" t="s">
        <v>484</v>
      </c>
      <c r="J654">
        <v>2013</v>
      </c>
      <c r="M654" t="s">
        <v>485</v>
      </c>
      <c r="T654" t="s">
        <v>486</v>
      </c>
      <c r="U654" t="s">
        <v>487</v>
      </c>
      <c r="V654" t="s">
        <v>488</v>
      </c>
      <c r="Z654" t="s">
        <v>177</v>
      </c>
      <c r="AA654" t="s">
        <v>177</v>
      </c>
      <c r="AB654" t="s">
        <v>50</v>
      </c>
      <c r="AC654" t="s">
        <v>51</v>
      </c>
      <c r="AD654" t="s">
        <v>52</v>
      </c>
      <c r="AE654" t="s">
        <v>53</v>
      </c>
      <c r="AF654" t="s">
        <v>54</v>
      </c>
      <c r="AG654" t="s">
        <v>52</v>
      </c>
      <c r="AH654" t="s">
        <v>65</v>
      </c>
      <c r="AK654">
        <v>4</v>
      </c>
      <c r="AL654">
        <v>4</v>
      </c>
      <c r="AN654">
        <v>418</v>
      </c>
      <c r="AO654" t="s">
        <v>56</v>
      </c>
      <c r="AP654">
        <v>3</v>
      </c>
      <c r="AQ654" t="s">
        <v>109</v>
      </c>
      <c r="AR654">
        <v>8.0399999999999991</v>
      </c>
      <c r="AS654" t="s">
        <v>56</v>
      </c>
      <c r="AT654">
        <v>0</v>
      </c>
      <c r="AU654">
        <v>380</v>
      </c>
      <c r="AV654" t="s">
        <v>56</v>
      </c>
      <c r="AW654">
        <v>21</v>
      </c>
      <c r="AX654">
        <v>8.07</v>
      </c>
      <c r="AY654" t="s">
        <v>56</v>
      </c>
      <c r="AZ654">
        <v>0.01</v>
      </c>
      <c r="BB654">
        <f>LOG(AU654)</f>
        <v>2.5797835966168101</v>
      </c>
      <c r="BC654">
        <v>23.9</v>
      </c>
      <c r="BD654" t="s">
        <v>56</v>
      </c>
      <c r="BE654">
        <v>0.2</v>
      </c>
      <c r="BF654">
        <v>30.9</v>
      </c>
      <c r="BG654" t="s">
        <v>56</v>
      </c>
      <c r="BH654">
        <v>0.1</v>
      </c>
      <c r="BI654">
        <v>-38</v>
      </c>
      <c r="BJ654">
        <v>7</v>
      </c>
      <c r="BK654" t="s">
        <v>56</v>
      </c>
      <c r="BL654" t="s">
        <v>492</v>
      </c>
      <c r="BM654" t="s">
        <v>83</v>
      </c>
      <c r="BN654" t="s">
        <v>81</v>
      </c>
      <c r="BO654" t="s">
        <v>493</v>
      </c>
      <c r="BP654" t="s">
        <v>83</v>
      </c>
      <c r="BR654" t="s">
        <v>63</v>
      </c>
      <c r="BT654">
        <v>90.11</v>
      </c>
      <c r="BU654">
        <v>90.107527000000005</v>
      </c>
      <c r="BV654">
        <v>3.55</v>
      </c>
      <c r="BW654">
        <f>BV654*SQRT(AK654)</f>
        <v>7.1</v>
      </c>
      <c r="BX654">
        <v>30.97</v>
      </c>
      <c r="BY654">
        <v>30.9677419</v>
      </c>
      <c r="BZ654">
        <v>15.48</v>
      </c>
      <c r="CA654">
        <f>BZ654*SQRT(AL654)</f>
        <v>30.96</v>
      </c>
      <c r="CB654">
        <v>3</v>
      </c>
      <c r="CC654">
        <v>4</v>
      </c>
      <c r="CD654">
        <v>-1.0680000000000001</v>
      </c>
      <c r="CE654">
        <v>0.25159999999999999</v>
      </c>
    </row>
    <row r="655" spans="4:83" hidden="1" x14ac:dyDescent="0.2">
      <c r="D655">
        <v>46</v>
      </c>
      <c r="G655" t="s">
        <v>43</v>
      </c>
      <c r="H655" t="s">
        <v>484</v>
      </c>
      <c r="J655">
        <v>2013</v>
      </c>
      <c r="M655" t="s">
        <v>485</v>
      </c>
      <c r="T655" t="s">
        <v>486</v>
      </c>
      <c r="U655" t="s">
        <v>487</v>
      </c>
      <c r="V655" t="s">
        <v>488</v>
      </c>
      <c r="Z655" t="s">
        <v>177</v>
      </c>
      <c r="AA655" t="s">
        <v>177</v>
      </c>
      <c r="AB655" t="s">
        <v>50</v>
      </c>
      <c r="AC655" t="s">
        <v>51</v>
      </c>
      <c r="AD655" t="s">
        <v>52</v>
      </c>
      <c r="AE655" t="s">
        <v>53</v>
      </c>
      <c r="AF655" t="s">
        <v>52</v>
      </c>
      <c r="AG655" t="s">
        <v>54</v>
      </c>
      <c r="AH655" t="s">
        <v>55</v>
      </c>
      <c r="AK655">
        <v>4</v>
      </c>
      <c r="AL655">
        <v>4</v>
      </c>
      <c r="AM655" t="s">
        <v>342</v>
      </c>
      <c r="AN655">
        <v>418</v>
      </c>
      <c r="AO655" t="s">
        <v>56</v>
      </c>
      <c r="AP655">
        <v>3</v>
      </c>
      <c r="AQ655" t="s">
        <v>109</v>
      </c>
      <c r="AR655">
        <v>8.0399999999999991</v>
      </c>
      <c r="AS655" t="s">
        <v>56</v>
      </c>
      <c r="AT655">
        <v>0</v>
      </c>
      <c r="AU655">
        <v>742</v>
      </c>
      <c r="AV655" t="s">
        <v>56</v>
      </c>
      <c r="AW655">
        <v>22</v>
      </c>
      <c r="AX655">
        <v>7.84</v>
      </c>
      <c r="AY655" t="s">
        <v>56</v>
      </c>
      <c r="AZ655">
        <v>0.01</v>
      </c>
      <c r="BB655">
        <f>LOG(AU655)</f>
        <v>2.8704039052790269</v>
      </c>
      <c r="BC655">
        <v>23.9</v>
      </c>
      <c r="BD655" t="s">
        <v>56</v>
      </c>
      <c r="BE655">
        <v>0.2</v>
      </c>
      <c r="BF655">
        <v>24.5</v>
      </c>
      <c r="BG655" t="s">
        <v>56</v>
      </c>
      <c r="BH655">
        <v>0.2</v>
      </c>
      <c r="BI655">
        <v>324</v>
      </c>
      <c r="BJ655">
        <v>0.6</v>
      </c>
      <c r="BK655" t="s">
        <v>56</v>
      </c>
      <c r="BL655" t="s">
        <v>491</v>
      </c>
      <c r="BM655" t="s">
        <v>489</v>
      </c>
      <c r="BN655" t="s">
        <v>340</v>
      </c>
      <c r="BO655" t="s">
        <v>490</v>
      </c>
      <c r="BP655" t="s">
        <v>234</v>
      </c>
      <c r="BR655" t="s">
        <v>63</v>
      </c>
      <c r="BT655">
        <v>0.21</v>
      </c>
      <c r="BU655">
        <v>0.21</v>
      </c>
      <c r="BV655">
        <v>0.02</v>
      </c>
      <c r="BW655">
        <f>BV655*SQRT(AK655)</f>
        <v>0.04</v>
      </c>
      <c r="BX655">
        <v>0.51</v>
      </c>
      <c r="BY655">
        <v>0.51</v>
      </c>
      <c r="BZ655">
        <v>0.02</v>
      </c>
      <c r="CA655">
        <f>BZ655*SQRT(AL655)</f>
        <v>0.04</v>
      </c>
      <c r="CB655">
        <v>3</v>
      </c>
      <c r="CC655">
        <v>4</v>
      </c>
      <c r="CD655">
        <v>-0.88700000000000001</v>
      </c>
      <c r="CE655">
        <v>1.06E-2</v>
      </c>
    </row>
    <row r="656" spans="4:83" hidden="1" x14ac:dyDescent="0.2">
      <c r="D656">
        <v>46</v>
      </c>
      <c r="G656" t="s">
        <v>43</v>
      </c>
      <c r="H656" t="s">
        <v>484</v>
      </c>
      <c r="J656">
        <v>2013</v>
      </c>
      <c r="M656" t="s">
        <v>485</v>
      </c>
      <c r="T656" t="s">
        <v>486</v>
      </c>
      <c r="U656" t="s">
        <v>487</v>
      </c>
      <c r="V656" t="s">
        <v>488</v>
      </c>
      <c r="Z656" t="s">
        <v>177</v>
      </c>
      <c r="AA656" t="s">
        <v>177</v>
      </c>
      <c r="AB656" t="s">
        <v>50</v>
      </c>
      <c r="AC656" t="s">
        <v>51</v>
      </c>
      <c r="AD656" t="s">
        <v>52</v>
      </c>
      <c r="AE656" t="s">
        <v>53</v>
      </c>
      <c r="AF656" t="s">
        <v>52</v>
      </c>
      <c r="AG656" t="s">
        <v>52</v>
      </c>
      <c r="AH656" t="s">
        <v>64</v>
      </c>
      <c r="AK656">
        <v>4</v>
      </c>
      <c r="AL656">
        <v>4</v>
      </c>
      <c r="AN656">
        <v>418</v>
      </c>
      <c r="AO656" t="s">
        <v>56</v>
      </c>
      <c r="AP656">
        <v>3</v>
      </c>
      <c r="AQ656" t="s">
        <v>109</v>
      </c>
      <c r="AR656">
        <v>8.0399999999999991</v>
      </c>
      <c r="AS656" t="s">
        <v>56</v>
      </c>
      <c r="AT656">
        <v>0</v>
      </c>
      <c r="AU656">
        <v>599</v>
      </c>
      <c r="AV656" t="s">
        <v>56</v>
      </c>
      <c r="AW656">
        <v>9</v>
      </c>
      <c r="AX656">
        <v>7.92</v>
      </c>
      <c r="AY656" t="s">
        <v>56</v>
      </c>
      <c r="AZ656">
        <v>0.01</v>
      </c>
      <c r="BB656">
        <f>LOG(AU656)</f>
        <v>2.7774268223893115</v>
      </c>
      <c r="BC656">
        <v>23.9</v>
      </c>
      <c r="BD656" t="s">
        <v>56</v>
      </c>
      <c r="BE656">
        <v>0.2</v>
      </c>
      <c r="BF656">
        <v>30.8</v>
      </c>
      <c r="BG656" t="s">
        <v>56</v>
      </c>
      <c r="BH656">
        <v>0.1</v>
      </c>
      <c r="BI656">
        <v>180</v>
      </c>
      <c r="BJ656">
        <v>6.9</v>
      </c>
      <c r="BK656" t="s">
        <v>56</v>
      </c>
      <c r="BL656" t="s">
        <v>492</v>
      </c>
      <c r="BM656" t="s">
        <v>83</v>
      </c>
      <c r="BN656" t="s">
        <v>81</v>
      </c>
      <c r="BO656" t="s">
        <v>493</v>
      </c>
      <c r="BP656" t="s">
        <v>83</v>
      </c>
      <c r="BR656" t="s">
        <v>63</v>
      </c>
      <c r="BT656">
        <v>90.11</v>
      </c>
      <c r="BU656">
        <v>90.107527000000005</v>
      </c>
      <c r="BV656">
        <v>3.55</v>
      </c>
      <c r="BW656">
        <f>BV656*SQRT(AK656)</f>
        <v>7.1</v>
      </c>
      <c r="BX656">
        <v>46.45</v>
      </c>
      <c r="BY656">
        <v>46.451612900000001</v>
      </c>
      <c r="BZ656">
        <v>13.01</v>
      </c>
      <c r="CA656">
        <f>BZ656*SQRT(AL656)</f>
        <v>26.02</v>
      </c>
      <c r="CB656">
        <v>3</v>
      </c>
      <c r="CC656">
        <v>4</v>
      </c>
      <c r="CD656">
        <v>-0.66300000000000003</v>
      </c>
      <c r="CE656">
        <v>0.08</v>
      </c>
    </row>
    <row r="657" spans="4:83" hidden="1" x14ac:dyDescent="0.2">
      <c r="D657">
        <v>46</v>
      </c>
      <c r="G657" t="s">
        <v>43</v>
      </c>
      <c r="H657" t="s">
        <v>484</v>
      </c>
      <c r="J657">
        <v>2013</v>
      </c>
      <c r="M657" t="s">
        <v>485</v>
      </c>
      <c r="T657" t="s">
        <v>486</v>
      </c>
      <c r="U657" t="s">
        <v>487</v>
      </c>
      <c r="V657" t="s">
        <v>488</v>
      </c>
      <c r="Z657" t="s">
        <v>177</v>
      </c>
      <c r="AA657" t="s">
        <v>177</v>
      </c>
      <c r="AB657" t="s">
        <v>50</v>
      </c>
      <c r="AC657" t="s">
        <v>51</v>
      </c>
      <c r="AD657" t="s">
        <v>52</v>
      </c>
      <c r="AE657" t="s">
        <v>53</v>
      </c>
      <c r="AF657" t="s">
        <v>52</v>
      </c>
      <c r="AG657" t="s">
        <v>52</v>
      </c>
      <c r="AH657" t="s">
        <v>64</v>
      </c>
      <c r="AK657">
        <v>4</v>
      </c>
      <c r="AL657">
        <v>4</v>
      </c>
      <c r="AN657">
        <v>418</v>
      </c>
      <c r="AO657" t="s">
        <v>56</v>
      </c>
      <c r="AP657">
        <v>3</v>
      </c>
      <c r="AQ657" t="s">
        <v>109</v>
      </c>
      <c r="AR657">
        <v>8.0399999999999991</v>
      </c>
      <c r="AS657" t="s">
        <v>56</v>
      </c>
      <c r="AT657">
        <v>0</v>
      </c>
      <c r="AU657">
        <v>1711</v>
      </c>
      <c r="AV657" t="s">
        <v>56</v>
      </c>
      <c r="AW657">
        <v>65</v>
      </c>
      <c r="AX657">
        <v>7.56</v>
      </c>
      <c r="AY657" t="s">
        <v>56</v>
      </c>
      <c r="AZ657">
        <v>0.01</v>
      </c>
      <c r="BB657">
        <f>LOG(AU657)</f>
        <v>3.2332500095411003</v>
      </c>
      <c r="BC657">
        <v>23.9</v>
      </c>
      <c r="BD657" t="s">
        <v>56</v>
      </c>
      <c r="BE657">
        <v>0.2</v>
      </c>
      <c r="BF657">
        <v>30.8</v>
      </c>
      <c r="BG657" t="s">
        <v>56</v>
      </c>
      <c r="BH657">
        <v>0.1</v>
      </c>
      <c r="BI657">
        <v>1293</v>
      </c>
      <c r="BJ657">
        <v>6.9</v>
      </c>
      <c r="BK657" t="s">
        <v>56</v>
      </c>
      <c r="BL657" t="s">
        <v>492</v>
      </c>
      <c r="BM657" t="s">
        <v>83</v>
      </c>
      <c r="BN657" t="s">
        <v>81</v>
      </c>
      <c r="BO657" t="s">
        <v>493</v>
      </c>
      <c r="BP657" t="s">
        <v>83</v>
      </c>
      <c r="BR657" t="s">
        <v>63</v>
      </c>
      <c r="BT657">
        <v>90.11</v>
      </c>
      <c r="BU657">
        <v>90.107527000000005</v>
      </c>
      <c r="BV657">
        <v>3.55</v>
      </c>
      <c r="BW657">
        <f>BV657*SQRT(AK657)</f>
        <v>7.1</v>
      </c>
      <c r="BX657">
        <v>49.89</v>
      </c>
      <c r="BY657">
        <v>49.892473099999997</v>
      </c>
      <c r="BZ657">
        <v>9.14</v>
      </c>
      <c r="CA657">
        <f>BZ657*SQRT(AL657)</f>
        <v>18.28</v>
      </c>
      <c r="CB657">
        <v>3</v>
      </c>
      <c r="CC657">
        <v>4</v>
      </c>
      <c r="CD657">
        <v>-0.59099999999999997</v>
      </c>
      <c r="CE657">
        <v>3.5099999999999999E-2</v>
      </c>
    </row>
    <row r="658" spans="4:83" hidden="1" x14ac:dyDescent="0.2">
      <c r="D658">
        <v>46</v>
      </c>
      <c r="G658" t="s">
        <v>43</v>
      </c>
      <c r="H658" t="s">
        <v>484</v>
      </c>
      <c r="J658">
        <v>2013</v>
      </c>
      <c r="M658" t="s">
        <v>485</v>
      </c>
      <c r="T658" t="s">
        <v>486</v>
      </c>
      <c r="U658" t="s">
        <v>487</v>
      </c>
      <c r="V658" t="s">
        <v>488</v>
      </c>
      <c r="Z658" t="s">
        <v>177</v>
      </c>
      <c r="AA658" t="s">
        <v>177</v>
      </c>
      <c r="AB658" t="s">
        <v>50</v>
      </c>
      <c r="AC658" t="s">
        <v>51</v>
      </c>
      <c r="AD658" t="s">
        <v>52</v>
      </c>
      <c r="AE658" t="s">
        <v>53</v>
      </c>
      <c r="AF658" t="s">
        <v>52</v>
      </c>
      <c r="AG658" t="s">
        <v>52</v>
      </c>
      <c r="AH658" t="s">
        <v>64</v>
      </c>
      <c r="AK658">
        <v>4</v>
      </c>
      <c r="AL658">
        <v>4</v>
      </c>
      <c r="AM658" t="s">
        <v>342</v>
      </c>
      <c r="AN658">
        <v>418</v>
      </c>
      <c r="AO658" t="s">
        <v>56</v>
      </c>
      <c r="AP658">
        <v>3</v>
      </c>
      <c r="AQ658" t="s">
        <v>109</v>
      </c>
      <c r="AR658">
        <v>8.0399999999999991</v>
      </c>
      <c r="AS658" t="s">
        <v>56</v>
      </c>
      <c r="AT658">
        <v>0</v>
      </c>
      <c r="AU658">
        <v>599</v>
      </c>
      <c r="AV658" t="s">
        <v>56</v>
      </c>
      <c r="AW658">
        <v>9</v>
      </c>
      <c r="AX658">
        <v>7.92</v>
      </c>
      <c r="AY658" t="s">
        <v>56</v>
      </c>
      <c r="AZ658">
        <v>0.01</v>
      </c>
      <c r="BB658">
        <f>LOG(AU658)</f>
        <v>2.7774268223893115</v>
      </c>
      <c r="BC658">
        <v>23.9</v>
      </c>
      <c r="BD658" t="s">
        <v>56</v>
      </c>
      <c r="BE658">
        <v>0.2</v>
      </c>
      <c r="BF658">
        <v>30.8</v>
      </c>
      <c r="BG658" t="s">
        <v>56</v>
      </c>
      <c r="BH658">
        <v>0.1</v>
      </c>
      <c r="BI658">
        <v>180</v>
      </c>
      <c r="BJ658">
        <v>6.9</v>
      </c>
      <c r="BK658" t="s">
        <v>56</v>
      </c>
      <c r="BL658" t="s">
        <v>489</v>
      </c>
      <c r="BM658" t="s">
        <v>489</v>
      </c>
      <c r="BN658" t="s">
        <v>340</v>
      </c>
      <c r="BO658" t="s">
        <v>490</v>
      </c>
      <c r="BP658" t="s">
        <v>234</v>
      </c>
      <c r="BR658" t="s">
        <v>63</v>
      </c>
      <c r="BT658">
        <v>0.21</v>
      </c>
      <c r="BU658">
        <v>0.21</v>
      </c>
      <c r="BV658">
        <v>0.02</v>
      </c>
      <c r="BW658">
        <f>BV658*SQRT(AK658)</f>
        <v>0.04</v>
      </c>
      <c r="BX658">
        <v>0.28000000000000003</v>
      </c>
      <c r="BY658">
        <v>0.28000000000000003</v>
      </c>
      <c r="BZ658">
        <v>0.03</v>
      </c>
      <c r="CA658">
        <f>BZ658*SQRT(AL658)</f>
        <v>0.06</v>
      </c>
      <c r="CB658">
        <v>3</v>
      </c>
      <c r="CC658">
        <v>4</v>
      </c>
      <c r="CD658">
        <v>-0.28799999999999998</v>
      </c>
      <c r="CE658">
        <v>1.7000000000000001E-2</v>
      </c>
    </row>
    <row r="659" spans="4:83" hidden="1" x14ac:dyDescent="0.2">
      <c r="D659">
        <v>46</v>
      </c>
      <c r="G659" t="s">
        <v>43</v>
      </c>
      <c r="H659" t="s">
        <v>484</v>
      </c>
      <c r="J659">
        <v>2013</v>
      </c>
      <c r="M659" t="s">
        <v>485</v>
      </c>
      <c r="T659" t="s">
        <v>486</v>
      </c>
      <c r="U659" t="s">
        <v>487</v>
      </c>
      <c r="V659" t="s">
        <v>488</v>
      </c>
      <c r="Z659" t="s">
        <v>177</v>
      </c>
      <c r="AA659" t="s">
        <v>177</v>
      </c>
      <c r="AB659" t="s">
        <v>50</v>
      </c>
      <c r="AC659" t="s">
        <v>51</v>
      </c>
      <c r="AD659" t="s">
        <v>52</v>
      </c>
      <c r="AE659" t="s">
        <v>53</v>
      </c>
      <c r="AF659" t="s">
        <v>52</v>
      </c>
      <c r="AG659" t="s">
        <v>52</v>
      </c>
      <c r="AH659" t="s">
        <v>64</v>
      </c>
      <c r="AK659">
        <v>4</v>
      </c>
      <c r="AL659">
        <v>4</v>
      </c>
      <c r="AN659">
        <v>418</v>
      </c>
      <c r="AO659" t="s">
        <v>56</v>
      </c>
      <c r="AP659">
        <v>3</v>
      </c>
      <c r="AQ659" t="s">
        <v>109</v>
      </c>
      <c r="AR659">
        <v>8.0399999999999991</v>
      </c>
      <c r="AS659" t="s">
        <v>56</v>
      </c>
      <c r="AT659">
        <v>0</v>
      </c>
      <c r="AU659">
        <v>774</v>
      </c>
      <c r="AV659" t="s">
        <v>56</v>
      </c>
      <c r="AW659">
        <v>43</v>
      </c>
      <c r="AX659">
        <v>7.81</v>
      </c>
      <c r="AY659" t="s">
        <v>56</v>
      </c>
      <c r="AZ659">
        <v>0.02</v>
      </c>
      <c r="BB659">
        <f>LOG(AU659)</f>
        <v>2.8887409606828927</v>
      </c>
      <c r="BC659">
        <v>23.9</v>
      </c>
      <c r="BD659" t="s">
        <v>56</v>
      </c>
      <c r="BE659">
        <v>0.2</v>
      </c>
      <c r="BF659">
        <v>27.9</v>
      </c>
      <c r="BG659" t="s">
        <v>56</v>
      </c>
      <c r="BH659">
        <v>0.3</v>
      </c>
      <c r="BI659">
        <v>356</v>
      </c>
      <c r="BJ659">
        <v>4</v>
      </c>
      <c r="BK659" t="s">
        <v>56</v>
      </c>
      <c r="BL659" t="s">
        <v>492</v>
      </c>
      <c r="BM659" t="s">
        <v>83</v>
      </c>
      <c r="BN659" t="s">
        <v>81</v>
      </c>
      <c r="BO659" t="s">
        <v>493</v>
      </c>
      <c r="BP659" t="s">
        <v>83</v>
      </c>
      <c r="BR659" t="s">
        <v>63</v>
      </c>
      <c r="BT659">
        <v>90.11</v>
      </c>
      <c r="BU659">
        <v>90.107527000000005</v>
      </c>
      <c r="BV659">
        <v>3.55</v>
      </c>
      <c r="BW659">
        <f>BV659*SQRT(AK659)</f>
        <v>7.1</v>
      </c>
      <c r="BX659">
        <v>71.180000000000007</v>
      </c>
      <c r="BY659">
        <v>71.1827957</v>
      </c>
      <c r="BZ659">
        <v>1.4</v>
      </c>
      <c r="CA659">
        <f>BZ659*SQRT(AL659)</f>
        <v>2.8</v>
      </c>
      <c r="CB659">
        <v>3</v>
      </c>
      <c r="CC659">
        <v>4</v>
      </c>
      <c r="CD659">
        <v>-0.23599999999999999</v>
      </c>
      <c r="CE659">
        <v>1.9E-3</v>
      </c>
    </row>
    <row r="660" spans="4:83" hidden="1" x14ac:dyDescent="0.2">
      <c r="D660">
        <v>46</v>
      </c>
      <c r="G660" t="s">
        <v>43</v>
      </c>
      <c r="H660" t="s">
        <v>484</v>
      </c>
      <c r="J660">
        <v>2013</v>
      </c>
      <c r="M660" t="s">
        <v>485</v>
      </c>
      <c r="T660" t="s">
        <v>486</v>
      </c>
      <c r="U660" t="s">
        <v>487</v>
      </c>
      <c r="V660" t="s">
        <v>488</v>
      </c>
      <c r="Z660" t="s">
        <v>177</v>
      </c>
      <c r="AA660" t="s">
        <v>177</v>
      </c>
      <c r="AB660" t="s">
        <v>50</v>
      </c>
      <c r="AC660" t="s">
        <v>51</v>
      </c>
      <c r="AD660" t="s">
        <v>52</v>
      </c>
      <c r="AE660" t="s">
        <v>53</v>
      </c>
      <c r="AF660" t="s">
        <v>54</v>
      </c>
      <c r="AG660" t="s">
        <v>52</v>
      </c>
      <c r="AH660" t="s">
        <v>65</v>
      </c>
      <c r="AK660">
        <v>4</v>
      </c>
      <c r="AL660">
        <v>4</v>
      </c>
      <c r="AN660">
        <v>418</v>
      </c>
      <c r="AO660" t="s">
        <v>56</v>
      </c>
      <c r="AP660">
        <v>3</v>
      </c>
      <c r="AQ660" t="s">
        <v>109</v>
      </c>
      <c r="AR660">
        <v>8.0399999999999991</v>
      </c>
      <c r="AS660" t="s">
        <v>56</v>
      </c>
      <c r="AT660">
        <v>0</v>
      </c>
      <c r="AU660">
        <v>419</v>
      </c>
      <c r="AV660" t="s">
        <v>56</v>
      </c>
      <c r="AW660">
        <v>29</v>
      </c>
      <c r="AX660">
        <v>8.0299999999999994</v>
      </c>
      <c r="AY660" t="s">
        <v>56</v>
      </c>
      <c r="AZ660">
        <v>0.02</v>
      </c>
      <c r="BB660">
        <f>LOG(AU660)</f>
        <v>2.6222140229662951</v>
      </c>
      <c r="BC660">
        <v>23.9</v>
      </c>
      <c r="BD660" t="s">
        <v>56</v>
      </c>
      <c r="BE660">
        <v>0.2</v>
      </c>
      <c r="BF660">
        <v>27.8</v>
      </c>
      <c r="BG660" t="s">
        <v>56</v>
      </c>
      <c r="BH660">
        <v>0.3</v>
      </c>
      <c r="BI660">
        <v>1</v>
      </c>
      <c r="BJ660">
        <v>3.9</v>
      </c>
      <c r="BK660" t="s">
        <v>56</v>
      </c>
      <c r="BL660" t="s">
        <v>492</v>
      </c>
      <c r="BM660" t="s">
        <v>83</v>
      </c>
      <c r="BN660" t="s">
        <v>81</v>
      </c>
      <c r="BO660" t="s">
        <v>493</v>
      </c>
      <c r="BP660" t="s">
        <v>83</v>
      </c>
      <c r="BR660" t="s">
        <v>63</v>
      </c>
      <c r="BT660">
        <v>90.11</v>
      </c>
      <c r="BU660">
        <v>90.107527000000005</v>
      </c>
      <c r="BV660">
        <v>3.55</v>
      </c>
      <c r="BW660">
        <f>BV660*SQRT(AK660)</f>
        <v>7.1</v>
      </c>
      <c r="BX660">
        <v>73.98</v>
      </c>
      <c r="BY660">
        <v>73.978494600000005</v>
      </c>
      <c r="BZ660">
        <v>1.72</v>
      </c>
      <c r="CA660">
        <f>BZ660*SQRT(AL660)</f>
        <v>3.44</v>
      </c>
      <c r="CB660">
        <v>3</v>
      </c>
      <c r="CC660">
        <v>4</v>
      </c>
      <c r="CD660">
        <v>-0.19700000000000001</v>
      </c>
      <c r="CE660">
        <v>2.0999999999999999E-3</v>
      </c>
    </row>
    <row r="661" spans="4:83" hidden="1" x14ac:dyDescent="0.2">
      <c r="D661">
        <v>46</v>
      </c>
      <c r="G661" t="s">
        <v>43</v>
      </c>
      <c r="H661" t="s">
        <v>484</v>
      </c>
      <c r="J661">
        <v>2013</v>
      </c>
      <c r="M661" t="s">
        <v>485</v>
      </c>
      <c r="T661" t="s">
        <v>486</v>
      </c>
      <c r="U661" t="s">
        <v>487</v>
      </c>
      <c r="V661" t="s">
        <v>488</v>
      </c>
      <c r="Z661" t="s">
        <v>177</v>
      </c>
      <c r="AA661" t="s">
        <v>177</v>
      </c>
      <c r="AB661" t="s">
        <v>50</v>
      </c>
      <c r="AC661" t="s">
        <v>51</v>
      </c>
      <c r="AD661" t="s">
        <v>52</v>
      </c>
      <c r="AE661" t="s">
        <v>53</v>
      </c>
      <c r="AF661" t="s">
        <v>52</v>
      </c>
      <c r="AG661" t="s">
        <v>52</v>
      </c>
      <c r="AH661" t="s">
        <v>64</v>
      </c>
      <c r="AK661">
        <v>4</v>
      </c>
      <c r="AL661">
        <v>4</v>
      </c>
      <c r="AM661" t="s">
        <v>342</v>
      </c>
      <c r="AN661">
        <v>418</v>
      </c>
      <c r="AO661" t="s">
        <v>56</v>
      </c>
      <c r="AP661">
        <v>3</v>
      </c>
      <c r="AQ661" t="s">
        <v>109</v>
      </c>
      <c r="AR661">
        <v>8.0399999999999991</v>
      </c>
      <c r="AS661" t="s">
        <v>56</v>
      </c>
      <c r="AT661">
        <v>0</v>
      </c>
      <c r="AU661">
        <v>774</v>
      </c>
      <c r="AV661" t="s">
        <v>56</v>
      </c>
      <c r="AW661">
        <v>43</v>
      </c>
      <c r="AX661">
        <v>7.81</v>
      </c>
      <c r="AY661" t="s">
        <v>56</v>
      </c>
      <c r="AZ661">
        <v>0.02</v>
      </c>
      <c r="BB661">
        <f>LOG(AU661)</f>
        <v>2.8887409606828927</v>
      </c>
      <c r="BC661">
        <v>23.9</v>
      </c>
      <c r="BD661" t="s">
        <v>56</v>
      </c>
      <c r="BE661">
        <v>0.2</v>
      </c>
      <c r="BF661">
        <v>27.9</v>
      </c>
      <c r="BG661" t="s">
        <v>56</v>
      </c>
      <c r="BH661">
        <v>0.3</v>
      </c>
      <c r="BI661">
        <v>356</v>
      </c>
      <c r="BJ661">
        <v>4</v>
      </c>
      <c r="BK661" t="s">
        <v>56</v>
      </c>
      <c r="BL661" t="s">
        <v>489</v>
      </c>
      <c r="BM661" t="s">
        <v>489</v>
      </c>
      <c r="BN661" t="s">
        <v>340</v>
      </c>
      <c r="BO661" t="s">
        <v>490</v>
      </c>
      <c r="BP661" t="s">
        <v>234</v>
      </c>
      <c r="BR661" t="s">
        <v>63</v>
      </c>
      <c r="BT661">
        <v>0.21</v>
      </c>
      <c r="BU661">
        <v>0.21</v>
      </c>
      <c r="BV661">
        <v>0.02</v>
      </c>
      <c r="BW661">
        <f>BV661*SQRT(AK661)</f>
        <v>0.04</v>
      </c>
      <c r="BX661">
        <v>0.25</v>
      </c>
      <c r="BY661">
        <v>0.25</v>
      </c>
      <c r="BZ661">
        <v>0.03</v>
      </c>
      <c r="CA661">
        <f>BZ661*SQRT(AL661)</f>
        <v>0.06</v>
      </c>
      <c r="CB661">
        <v>3</v>
      </c>
      <c r="CC661">
        <v>4</v>
      </c>
      <c r="CD661">
        <v>-0.17399999999999999</v>
      </c>
      <c r="CE661">
        <v>2.35E-2</v>
      </c>
    </row>
    <row r="662" spans="4:83" hidden="1" x14ac:dyDescent="0.2">
      <c r="D662">
        <v>46</v>
      </c>
      <c r="G662" t="s">
        <v>43</v>
      </c>
      <c r="H662" t="s">
        <v>484</v>
      </c>
      <c r="J662">
        <v>2013</v>
      </c>
      <c r="M662" t="s">
        <v>485</v>
      </c>
      <c r="T662" t="s">
        <v>486</v>
      </c>
      <c r="U662" t="s">
        <v>487</v>
      </c>
      <c r="V662" t="s">
        <v>488</v>
      </c>
      <c r="Z662" t="s">
        <v>177</v>
      </c>
      <c r="AA662" t="s">
        <v>177</v>
      </c>
      <c r="AB662" t="s">
        <v>50</v>
      </c>
      <c r="AC662" t="s">
        <v>51</v>
      </c>
      <c r="AD662" t="s">
        <v>52</v>
      </c>
      <c r="AE662" t="s">
        <v>53</v>
      </c>
      <c r="AF662" t="s">
        <v>52</v>
      </c>
      <c r="AG662" t="s">
        <v>52</v>
      </c>
      <c r="AH662" t="s">
        <v>64</v>
      </c>
      <c r="AK662">
        <v>4</v>
      </c>
      <c r="AL662">
        <v>4</v>
      </c>
      <c r="AN662">
        <v>418</v>
      </c>
      <c r="AO662" t="s">
        <v>56</v>
      </c>
      <c r="AP662">
        <v>3</v>
      </c>
      <c r="AQ662" t="s">
        <v>109</v>
      </c>
      <c r="AR662">
        <v>8.0399999999999991</v>
      </c>
      <c r="AS662" t="s">
        <v>56</v>
      </c>
      <c r="AT662">
        <v>0</v>
      </c>
      <c r="AU662">
        <v>1677</v>
      </c>
      <c r="AV662" t="s">
        <v>56</v>
      </c>
      <c r="AW662">
        <v>67</v>
      </c>
      <c r="AX662">
        <v>7.55</v>
      </c>
      <c r="AY662" t="s">
        <v>56</v>
      </c>
      <c r="AZ662">
        <v>0.02</v>
      </c>
      <c r="BB662">
        <f>LOG(AU662)</f>
        <v>3.2245330626060857</v>
      </c>
      <c r="BC662">
        <v>23.9</v>
      </c>
      <c r="BD662" t="s">
        <v>56</v>
      </c>
      <c r="BE662">
        <v>0.2</v>
      </c>
      <c r="BF662">
        <v>27.9</v>
      </c>
      <c r="BG662" t="s">
        <v>56</v>
      </c>
      <c r="BH662">
        <v>0.3</v>
      </c>
      <c r="BI662">
        <v>1259</v>
      </c>
      <c r="BJ662">
        <v>4</v>
      </c>
      <c r="BK662" t="s">
        <v>56</v>
      </c>
      <c r="BL662" t="s">
        <v>492</v>
      </c>
      <c r="BM662" t="s">
        <v>83</v>
      </c>
      <c r="BN662" t="s">
        <v>81</v>
      </c>
      <c r="BO662" t="s">
        <v>493</v>
      </c>
      <c r="BP662" t="s">
        <v>83</v>
      </c>
      <c r="BR662" t="s">
        <v>63</v>
      </c>
      <c r="BT662">
        <v>90.11</v>
      </c>
      <c r="BU662">
        <v>90.107527000000005</v>
      </c>
      <c r="BV662">
        <v>3.55</v>
      </c>
      <c r="BW662">
        <f>BV662*SQRT(AK662)</f>
        <v>7.1</v>
      </c>
      <c r="BX662">
        <v>83.66</v>
      </c>
      <c r="BY662">
        <v>83.655913999999996</v>
      </c>
      <c r="BZ662">
        <v>3.98</v>
      </c>
      <c r="CA662">
        <f>BZ662*SQRT(AL662)</f>
        <v>7.96</v>
      </c>
      <c r="CB662">
        <v>3</v>
      </c>
      <c r="CC662">
        <v>4</v>
      </c>
      <c r="CD662">
        <v>-7.3999999999999996E-2</v>
      </c>
      <c r="CE662">
        <v>3.8E-3</v>
      </c>
    </row>
    <row r="663" spans="4:83" hidden="1" x14ac:dyDescent="0.2">
      <c r="D663">
        <v>46</v>
      </c>
      <c r="G663" t="s">
        <v>43</v>
      </c>
      <c r="H663" t="s">
        <v>484</v>
      </c>
      <c r="J663">
        <v>2013</v>
      </c>
      <c r="M663" t="s">
        <v>485</v>
      </c>
      <c r="T663" t="s">
        <v>486</v>
      </c>
      <c r="U663" t="s">
        <v>487</v>
      </c>
      <c r="V663" t="s">
        <v>488</v>
      </c>
      <c r="Z663" t="s">
        <v>177</v>
      </c>
      <c r="AA663" t="s">
        <v>177</v>
      </c>
      <c r="AB663" t="s">
        <v>50</v>
      </c>
      <c r="AC663" t="s">
        <v>51</v>
      </c>
      <c r="AD663" t="s">
        <v>52</v>
      </c>
      <c r="AE663" t="s">
        <v>53</v>
      </c>
      <c r="AF663" t="s">
        <v>52</v>
      </c>
      <c r="AG663" t="s">
        <v>54</v>
      </c>
      <c r="AH663" t="s">
        <v>55</v>
      </c>
      <c r="AK663">
        <v>4</v>
      </c>
      <c r="AL663">
        <v>4</v>
      </c>
      <c r="AN663">
        <v>418</v>
      </c>
      <c r="AO663" t="s">
        <v>56</v>
      </c>
      <c r="AP663">
        <v>3</v>
      </c>
      <c r="AQ663" t="s">
        <v>109</v>
      </c>
      <c r="AR663">
        <v>8.0399999999999991</v>
      </c>
      <c r="AS663" t="s">
        <v>56</v>
      </c>
      <c r="AT663">
        <v>0</v>
      </c>
      <c r="AU663">
        <v>742</v>
      </c>
      <c r="AV663" t="s">
        <v>56</v>
      </c>
      <c r="AW663">
        <v>22</v>
      </c>
      <c r="AX663">
        <v>7.84</v>
      </c>
      <c r="AY663" t="s">
        <v>56</v>
      </c>
      <c r="AZ663">
        <v>0.01</v>
      </c>
      <c r="BB663">
        <f>LOG(AU663)</f>
        <v>2.8704039052790269</v>
      </c>
      <c r="BC663">
        <v>23.9</v>
      </c>
      <c r="BD663" t="s">
        <v>56</v>
      </c>
      <c r="BE663">
        <v>0.2</v>
      </c>
      <c r="BF663">
        <v>24.5</v>
      </c>
      <c r="BG663" t="s">
        <v>56</v>
      </c>
      <c r="BH663">
        <v>0.2</v>
      </c>
      <c r="BI663">
        <v>324</v>
      </c>
      <c r="BJ663">
        <v>0.6</v>
      </c>
      <c r="BK663" t="s">
        <v>56</v>
      </c>
      <c r="BL663" t="s">
        <v>492</v>
      </c>
      <c r="BM663" t="s">
        <v>83</v>
      </c>
      <c r="BN663" t="s">
        <v>81</v>
      </c>
      <c r="BO663" t="s">
        <v>493</v>
      </c>
      <c r="BP663" t="s">
        <v>83</v>
      </c>
      <c r="BR663" t="s">
        <v>63</v>
      </c>
      <c r="BT663">
        <v>90.11</v>
      </c>
      <c r="BU663">
        <v>90.107527000000005</v>
      </c>
      <c r="BV663">
        <v>3.55</v>
      </c>
      <c r="BW663">
        <f>BV663*SQRT(AK663)</f>
        <v>7.1</v>
      </c>
      <c r="BX663">
        <v>84.73</v>
      </c>
      <c r="BY663">
        <v>84.731182799999999</v>
      </c>
      <c r="BZ663">
        <v>2.69</v>
      </c>
      <c r="CA663">
        <f>BZ663*SQRT(AL663)</f>
        <v>5.38</v>
      </c>
      <c r="CB663">
        <v>3</v>
      </c>
      <c r="CC663">
        <v>4</v>
      </c>
      <c r="CD663">
        <v>-6.2E-2</v>
      </c>
      <c r="CE663">
        <v>2.5999999999999999E-3</v>
      </c>
    </row>
    <row r="664" spans="4:83" hidden="1" x14ac:dyDescent="0.2">
      <c r="D664">
        <v>46</v>
      </c>
      <c r="G664" t="s">
        <v>43</v>
      </c>
      <c r="H664" t="s">
        <v>484</v>
      </c>
      <c r="J664">
        <v>2013</v>
      </c>
      <c r="M664" t="s">
        <v>485</v>
      </c>
      <c r="T664" t="s">
        <v>486</v>
      </c>
      <c r="U664" t="s">
        <v>487</v>
      </c>
      <c r="V664" t="s">
        <v>488</v>
      </c>
      <c r="Z664" t="s">
        <v>177</v>
      </c>
      <c r="AA664" t="s">
        <v>177</v>
      </c>
      <c r="AB664" t="s">
        <v>50</v>
      </c>
      <c r="AC664" t="s">
        <v>51</v>
      </c>
      <c r="AD664" t="s">
        <v>52</v>
      </c>
      <c r="AE664" t="s">
        <v>53</v>
      </c>
      <c r="AF664" t="s">
        <v>52</v>
      </c>
      <c r="AG664" t="s">
        <v>54</v>
      </c>
      <c r="AH664" t="s">
        <v>55</v>
      </c>
      <c r="AK664">
        <v>4</v>
      </c>
      <c r="AL664">
        <v>4</v>
      </c>
      <c r="AN664">
        <v>418</v>
      </c>
      <c r="AO664" t="s">
        <v>56</v>
      </c>
      <c r="AP664">
        <v>3</v>
      </c>
      <c r="AQ664" t="s">
        <v>109</v>
      </c>
      <c r="AR664">
        <v>8.0399999999999991</v>
      </c>
      <c r="AS664" t="s">
        <v>56</v>
      </c>
      <c r="AT664">
        <v>0</v>
      </c>
      <c r="AU664">
        <v>1595</v>
      </c>
      <c r="AV664" t="s">
        <v>56</v>
      </c>
      <c r="AW664">
        <v>54</v>
      </c>
      <c r="AX664">
        <v>7.57</v>
      </c>
      <c r="AY664" t="s">
        <v>56</v>
      </c>
      <c r="AZ664">
        <v>0.01</v>
      </c>
      <c r="BB664">
        <f>LOG(AU664)</f>
        <v>3.2027606873931997</v>
      </c>
      <c r="BC664">
        <v>23.9</v>
      </c>
      <c r="BD664" t="s">
        <v>56</v>
      </c>
      <c r="BE664">
        <v>0.2</v>
      </c>
      <c r="BF664">
        <v>24.5</v>
      </c>
      <c r="BG664" t="s">
        <v>56</v>
      </c>
      <c r="BH664">
        <v>0.2</v>
      </c>
      <c r="BI664">
        <v>1177</v>
      </c>
      <c r="BJ664">
        <v>0.6</v>
      </c>
      <c r="BK664" t="s">
        <v>56</v>
      </c>
      <c r="BL664" t="s">
        <v>492</v>
      </c>
      <c r="BM664" t="s">
        <v>83</v>
      </c>
      <c r="BN664" t="s">
        <v>81</v>
      </c>
      <c r="BO664" t="s">
        <v>493</v>
      </c>
      <c r="BP664" t="s">
        <v>83</v>
      </c>
      <c r="BR664" t="s">
        <v>63</v>
      </c>
      <c r="BT664">
        <v>90.11</v>
      </c>
      <c r="BU664">
        <v>90.107527000000005</v>
      </c>
      <c r="BV664">
        <v>3.55</v>
      </c>
      <c r="BW664">
        <f>BV664*SQRT(AK664)</f>
        <v>7.1</v>
      </c>
      <c r="BX664">
        <v>84.95</v>
      </c>
      <c r="BY664">
        <v>84.946236600000006</v>
      </c>
      <c r="BZ664">
        <v>4.1900000000000004</v>
      </c>
      <c r="CA664">
        <f>BZ664*SQRT(AL664)</f>
        <v>8.3800000000000008</v>
      </c>
      <c r="CB664">
        <v>3</v>
      </c>
      <c r="CC664">
        <v>4</v>
      </c>
      <c r="CD664">
        <v>-5.8999999999999997E-2</v>
      </c>
      <c r="CE664">
        <v>4.0000000000000001E-3</v>
      </c>
    </row>
    <row r="665" spans="4:83" hidden="1" x14ac:dyDescent="0.2">
      <c r="D665">
        <v>46</v>
      </c>
      <c r="G665" t="s">
        <v>43</v>
      </c>
      <c r="H665" t="s">
        <v>484</v>
      </c>
      <c r="J665">
        <v>2013</v>
      </c>
      <c r="M665" t="s">
        <v>485</v>
      </c>
      <c r="T665" t="s">
        <v>486</v>
      </c>
      <c r="U665" t="s">
        <v>487</v>
      </c>
      <c r="V665" t="s">
        <v>488</v>
      </c>
      <c r="Z665" t="s">
        <v>177</v>
      </c>
      <c r="AA665" t="s">
        <v>177</v>
      </c>
      <c r="AB665" t="s">
        <v>50</v>
      </c>
      <c r="AC665" t="s">
        <v>51</v>
      </c>
      <c r="AD665" t="s">
        <v>52</v>
      </c>
      <c r="AE665" t="s">
        <v>53</v>
      </c>
      <c r="AF665" t="s">
        <v>54</v>
      </c>
      <c r="AG665" t="s">
        <v>52</v>
      </c>
      <c r="AH665" t="s">
        <v>65</v>
      </c>
      <c r="AK665">
        <v>4</v>
      </c>
      <c r="AL665">
        <v>4</v>
      </c>
      <c r="AM665" t="s">
        <v>342</v>
      </c>
      <c r="AN665">
        <v>418</v>
      </c>
      <c r="AO665" t="s">
        <v>56</v>
      </c>
      <c r="AP665">
        <v>3</v>
      </c>
      <c r="AQ665" t="s">
        <v>109</v>
      </c>
      <c r="AR665">
        <v>8.0399999999999991</v>
      </c>
      <c r="AS665" t="s">
        <v>56</v>
      </c>
      <c r="AT665">
        <v>0</v>
      </c>
      <c r="AU665">
        <v>380</v>
      </c>
      <c r="AV665" t="s">
        <v>56</v>
      </c>
      <c r="AW665">
        <v>21</v>
      </c>
      <c r="AX665">
        <v>8.07</v>
      </c>
      <c r="AY665" t="s">
        <v>56</v>
      </c>
      <c r="AZ665">
        <v>0.01</v>
      </c>
      <c r="BB665">
        <f>LOG(AU665)</f>
        <v>2.5797835966168101</v>
      </c>
      <c r="BC665">
        <v>23.9</v>
      </c>
      <c r="BD665" t="s">
        <v>56</v>
      </c>
      <c r="BE665">
        <v>0.2</v>
      </c>
      <c r="BF665">
        <v>30.9</v>
      </c>
      <c r="BG665" t="s">
        <v>56</v>
      </c>
      <c r="BH665">
        <v>0.1</v>
      </c>
      <c r="BI665">
        <v>-38</v>
      </c>
      <c r="BJ665">
        <v>7</v>
      </c>
      <c r="BK665" t="s">
        <v>56</v>
      </c>
      <c r="BL665" t="s">
        <v>491</v>
      </c>
      <c r="BM665" t="s">
        <v>489</v>
      </c>
      <c r="BN665" t="s">
        <v>340</v>
      </c>
      <c r="BO665" t="s">
        <v>490</v>
      </c>
      <c r="BP665" t="s">
        <v>234</v>
      </c>
      <c r="BR665" t="s">
        <v>63</v>
      </c>
      <c r="BT665">
        <v>0.21</v>
      </c>
      <c r="BU665">
        <v>0.21</v>
      </c>
      <c r="BV665">
        <v>0.02</v>
      </c>
      <c r="BW665">
        <f>BV665*SQRT(AK665)</f>
        <v>0.04</v>
      </c>
      <c r="BX665">
        <v>0.13</v>
      </c>
      <c r="BY665">
        <v>0.13</v>
      </c>
      <c r="BZ665">
        <v>0.02</v>
      </c>
      <c r="CA665">
        <f>BZ665*SQRT(AL665)</f>
        <v>0.04</v>
      </c>
      <c r="CB665">
        <v>3</v>
      </c>
      <c r="CC665">
        <v>4</v>
      </c>
      <c r="CD665">
        <v>0.48</v>
      </c>
      <c r="CE665">
        <v>2.24E-2</v>
      </c>
    </row>
    <row r="666" spans="4:83" hidden="1" x14ac:dyDescent="0.2">
      <c r="D666">
        <v>46</v>
      </c>
      <c r="G666" t="s">
        <v>43</v>
      </c>
      <c r="H666" t="s">
        <v>484</v>
      </c>
      <c r="J666">
        <v>2013</v>
      </c>
      <c r="M666" t="s">
        <v>485</v>
      </c>
      <c r="T666" t="s">
        <v>486</v>
      </c>
      <c r="U666" t="s">
        <v>487</v>
      </c>
      <c r="V666" t="s">
        <v>488</v>
      </c>
      <c r="Z666" t="s">
        <v>177</v>
      </c>
      <c r="AA666" t="s">
        <v>177</v>
      </c>
      <c r="AB666" t="s">
        <v>50</v>
      </c>
      <c r="AC666" t="s">
        <v>51</v>
      </c>
      <c r="AD666" t="s">
        <v>52</v>
      </c>
      <c r="AE666" t="s">
        <v>53</v>
      </c>
      <c r="AF666" t="s">
        <v>54</v>
      </c>
      <c r="AG666" t="s">
        <v>52</v>
      </c>
      <c r="AH666" t="s">
        <v>65</v>
      </c>
      <c r="AK666">
        <v>4</v>
      </c>
      <c r="AL666">
        <v>4</v>
      </c>
      <c r="AM666" t="s">
        <v>342</v>
      </c>
      <c r="AN666">
        <v>418</v>
      </c>
      <c r="AO666" t="s">
        <v>56</v>
      </c>
      <c r="AP666">
        <v>3</v>
      </c>
      <c r="AQ666" t="s">
        <v>109</v>
      </c>
      <c r="AR666">
        <v>8.0399999999999991</v>
      </c>
      <c r="AS666" t="s">
        <v>56</v>
      </c>
      <c r="AT666">
        <v>0</v>
      </c>
      <c r="AU666">
        <v>419</v>
      </c>
      <c r="AV666" t="s">
        <v>56</v>
      </c>
      <c r="AW666">
        <v>29</v>
      </c>
      <c r="AX666">
        <v>8.0299999999999994</v>
      </c>
      <c r="AY666" t="s">
        <v>56</v>
      </c>
      <c r="AZ666">
        <v>0.02</v>
      </c>
      <c r="BB666">
        <f>LOG(AU666)</f>
        <v>2.6222140229662951</v>
      </c>
      <c r="BC666">
        <v>23.9</v>
      </c>
      <c r="BD666" t="s">
        <v>56</v>
      </c>
      <c r="BE666">
        <v>0.2</v>
      </c>
      <c r="BF666">
        <v>27.8</v>
      </c>
      <c r="BG666" t="s">
        <v>56</v>
      </c>
      <c r="BH666">
        <v>0.3</v>
      </c>
      <c r="BI666">
        <v>1</v>
      </c>
      <c r="BJ666">
        <v>3.9</v>
      </c>
      <c r="BK666" t="s">
        <v>56</v>
      </c>
      <c r="BL666" t="s">
        <v>491</v>
      </c>
      <c r="BM666" t="s">
        <v>489</v>
      </c>
      <c r="BN666" t="s">
        <v>340</v>
      </c>
      <c r="BO666" t="s">
        <v>490</v>
      </c>
      <c r="BP666" t="s">
        <v>234</v>
      </c>
      <c r="BR666" t="s">
        <v>63</v>
      </c>
      <c r="BT666">
        <v>0.21</v>
      </c>
      <c r="BU666">
        <v>0.21</v>
      </c>
      <c r="BV666">
        <v>0.02</v>
      </c>
      <c r="BW666">
        <f>BV666*SQRT(AK666)</f>
        <v>0.04</v>
      </c>
      <c r="BX666">
        <v>0.09</v>
      </c>
      <c r="BY666">
        <v>0.09</v>
      </c>
      <c r="BZ666">
        <v>0.01</v>
      </c>
      <c r="CA666">
        <f>BZ666*SQRT(AL666)</f>
        <v>0.02</v>
      </c>
      <c r="CB666">
        <v>3</v>
      </c>
      <c r="CC666">
        <v>4</v>
      </c>
      <c r="CD666">
        <v>0.84699999999999998</v>
      </c>
      <c r="CE666">
        <v>2.1399999999999999E-2</v>
      </c>
    </row>
    <row r="667" spans="4:83" hidden="1" x14ac:dyDescent="0.2">
      <c r="D667">
        <v>47</v>
      </c>
      <c r="G667" t="s">
        <v>43</v>
      </c>
      <c r="H667" t="s">
        <v>494</v>
      </c>
      <c r="J667">
        <v>2020</v>
      </c>
      <c r="M667" t="s">
        <v>495</v>
      </c>
      <c r="T667" t="s">
        <v>68</v>
      </c>
      <c r="U667" t="s">
        <v>496</v>
      </c>
      <c r="V667" t="s">
        <v>497</v>
      </c>
      <c r="Z667" t="s">
        <v>106</v>
      </c>
      <c r="AA667" t="s">
        <v>107</v>
      </c>
      <c r="AB667" t="s">
        <v>50</v>
      </c>
      <c r="AC667" t="s">
        <v>51</v>
      </c>
      <c r="AD667" t="s">
        <v>52</v>
      </c>
      <c r="AE667" t="s">
        <v>53</v>
      </c>
      <c r="AF667" t="s">
        <v>52</v>
      </c>
      <c r="AG667" t="s">
        <v>52</v>
      </c>
      <c r="AH667" t="s">
        <v>64</v>
      </c>
      <c r="AK667">
        <v>15</v>
      </c>
      <c r="AL667">
        <v>15</v>
      </c>
      <c r="AM667" t="s">
        <v>342</v>
      </c>
      <c r="AN667">
        <v>466</v>
      </c>
      <c r="AO667">
        <v>3</v>
      </c>
      <c r="AP667" t="s">
        <v>56</v>
      </c>
      <c r="AQ667" t="s">
        <v>57</v>
      </c>
      <c r="AR667">
        <v>8.1300000000000008</v>
      </c>
      <c r="AS667">
        <v>0.02</v>
      </c>
      <c r="AT667" t="s">
        <v>56</v>
      </c>
      <c r="AU667">
        <v>1026</v>
      </c>
      <c r="AV667">
        <v>11</v>
      </c>
      <c r="AW667" t="s">
        <v>56</v>
      </c>
      <c r="AX667">
        <v>7.86</v>
      </c>
      <c r="AY667">
        <v>0.02</v>
      </c>
      <c r="AZ667" t="s">
        <v>56</v>
      </c>
      <c r="BB667">
        <f>LOG(AU667)</f>
        <v>3.0111473607757975</v>
      </c>
      <c r="BC667">
        <v>27.9</v>
      </c>
      <c r="BD667">
        <v>0.1</v>
      </c>
      <c r="BE667" t="s">
        <v>56</v>
      </c>
      <c r="BF667">
        <v>30.9</v>
      </c>
      <c r="BG667">
        <v>0.1</v>
      </c>
      <c r="BH667" t="s">
        <v>56</v>
      </c>
      <c r="BI667">
        <v>560</v>
      </c>
      <c r="BJ667">
        <v>3</v>
      </c>
      <c r="BK667" t="s">
        <v>498</v>
      </c>
      <c r="BL667" t="s">
        <v>499</v>
      </c>
      <c r="BM667" t="s">
        <v>499</v>
      </c>
      <c r="BN667" t="s">
        <v>340</v>
      </c>
      <c r="BO667" t="s">
        <v>500</v>
      </c>
      <c r="BP667" t="s">
        <v>77</v>
      </c>
      <c r="BR667" t="s">
        <v>63</v>
      </c>
      <c r="BT667">
        <v>2.14</v>
      </c>
      <c r="BU667">
        <v>2.14</v>
      </c>
      <c r="BV667">
        <v>0.1</v>
      </c>
      <c r="BW667">
        <f>BV667*SQRT(AK667)</f>
        <v>0.3872983346207417</v>
      </c>
      <c r="BX667">
        <v>6.63</v>
      </c>
      <c r="BY667">
        <v>6.63</v>
      </c>
      <c r="BZ667">
        <v>0.04</v>
      </c>
      <c r="CA667">
        <f>BZ667*SQRT(AL667)</f>
        <v>0.15491933384829668</v>
      </c>
      <c r="CB667">
        <v>45</v>
      </c>
      <c r="CC667">
        <v>3</v>
      </c>
      <c r="CD667">
        <v>-1.131</v>
      </c>
      <c r="CE667">
        <v>2.2000000000000001E-3</v>
      </c>
    </row>
    <row r="668" spans="4:83" hidden="1" x14ac:dyDescent="0.2">
      <c r="D668">
        <v>47</v>
      </c>
      <c r="G668" t="s">
        <v>43</v>
      </c>
      <c r="H668" t="s">
        <v>494</v>
      </c>
      <c r="J668">
        <v>2020</v>
      </c>
      <c r="M668" t="s">
        <v>495</v>
      </c>
      <c r="T668" t="s">
        <v>68</v>
      </c>
      <c r="U668" t="s">
        <v>496</v>
      </c>
      <c r="V668" t="s">
        <v>497</v>
      </c>
      <c r="Z668" t="s">
        <v>106</v>
      </c>
      <c r="AA668" t="s">
        <v>107</v>
      </c>
      <c r="AB668" t="s">
        <v>50</v>
      </c>
      <c r="AC668" t="s">
        <v>51</v>
      </c>
      <c r="AD668" t="s">
        <v>52</v>
      </c>
      <c r="AE668" t="s">
        <v>53</v>
      </c>
      <c r="AF668" t="s">
        <v>52</v>
      </c>
      <c r="AG668" t="s">
        <v>52</v>
      </c>
      <c r="AH668" t="s">
        <v>64</v>
      </c>
      <c r="AK668">
        <v>15</v>
      </c>
      <c r="AL668">
        <v>15</v>
      </c>
      <c r="AN668">
        <v>466</v>
      </c>
      <c r="AO668">
        <v>3</v>
      </c>
      <c r="AP668" t="s">
        <v>56</v>
      </c>
      <c r="AQ668" t="s">
        <v>57</v>
      </c>
      <c r="AR668">
        <v>8.1300000000000008</v>
      </c>
      <c r="AS668">
        <v>0.02</v>
      </c>
      <c r="AT668" t="s">
        <v>56</v>
      </c>
      <c r="AU668">
        <v>1026</v>
      </c>
      <c r="AV668">
        <v>11</v>
      </c>
      <c r="AW668" t="s">
        <v>56</v>
      </c>
      <c r="AX668">
        <v>7.86</v>
      </c>
      <c r="AY668">
        <v>0.02</v>
      </c>
      <c r="AZ668" t="s">
        <v>56</v>
      </c>
      <c r="BB668">
        <f>LOG(AU668)</f>
        <v>3.0111473607757975</v>
      </c>
      <c r="BC668">
        <v>27.9</v>
      </c>
      <c r="BD668">
        <v>0.1</v>
      </c>
      <c r="BE668" t="s">
        <v>56</v>
      </c>
      <c r="BF668">
        <v>30.9</v>
      </c>
      <c r="BG668">
        <v>0.1</v>
      </c>
      <c r="BH668" t="s">
        <v>56</v>
      </c>
      <c r="BI668">
        <v>560</v>
      </c>
      <c r="BJ668">
        <v>3</v>
      </c>
      <c r="BK668" t="s">
        <v>498</v>
      </c>
      <c r="BL668" t="s">
        <v>501</v>
      </c>
      <c r="BM668" t="s">
        <v>502</v>
      </c>
      <c r="BN668" t="s">
        <v>60</v>
      </c>
      <c r="BO668" t="s">
        <v>503</v>
      </c>
      <c r="BP668" t="s">
        <v>77</v>
      </c>
      <c r="BR668" t="s">
        <v>63</v>
      </c>
      <c r="BT668">
        <v>9.6999999999999993</v>
      </c>
      <c r="BU668">
        <v>9.6999999999999993</v>
      </c>
      <c r="BV668">
        <v>0.41</v>
      </c>
      <c r="BW668">
        <f>BV668*SQRT(AK668)</f>
        <v>1.5879231719450408</v>
      </c>
      <c r="BX668">
        <v>3.51</v>
      </c>
      <c r="BY668">
        <v>3.51</v>
      </c>
      <c r="BZ668">
        <v>7.0000000000000007E-2</v>
      </c>
      <c r="CA668">
        <f>BZ668*SQRT(AL668)</f>
        <v>0.2711088342345192</v>
      </c>
      <c r="CB668">
        <v>45</v>
      </c>
      <c r="CC668">
        <v>3</v>
      </c>
      <c r="CD668">
        <v>-1.0169999999999999</v>
      </c>
      <c r="CE668">
        <v>2.2000000000000001E-3</v>
      </c>
    </row>
    <row r="669" spans="4:83" hidden="1" x14ac:dyDescent="0.2">
      <c r="D669">
        <v>47</v>
      </c>
      <c r="G669" t="s">
        <v>43</v>
      </c>
      <c r="H669" t="s">
        <v>494</v>
      </c>
      <c r="J669">
        <v>2020</v>
      </c>
      <c r="M669" t="s">
        <v>495</v>
      </c>
      <c r="T669" t="s">
        <v>68</v>
      </c>
      <c r="U669" t="s">
        <v>496</v>
      </c>
      <c r="V669" t="s">
        <v>497</v>
      </c>
      <c r="Z669" t="s">
        <v>106</v>
      </c>
      <c r="AA669" t="s">
        <v>107</v>
      </c>
      <c r="AB669" t="s">
        <v>50</v>
      </c>
      <c r="AC669" t="s">
        <v>51</v>
      </c>
      <c r="AD669" t="s">
        <v>52</v>
      </c>
      <c r="AE669" t="s">
        <v>53</v>
      </c>
      <c r="AF669" t="s">
        <v>54</v>
      </c>
      <c r="AG669" t="s">
        <v>52</v>
      </c>
      <c r="AH669" t="s">
        <v>65</v>
      </c>
      <c r="AK669">
        <v>15</v>
      </c>
      <c r="AL669">
        <v>15</v>
      </c>
      <c r="AM669" t="s">
        <v>342</v>
      </c>
      <c r="AN669">
        <v>466</v>
      </c>
      <c r="AO669">
        <v>3</v>
      </c>
      <c r="AP669" t="s">
        <v>56</v>
      </c>
      <c r="AQ669" t="s">
        <v>57</v>
      </c>
      <c r="AR669">
        <v>8.1300000000000008</v>
      </c>
      <c r="AS669">
        <v>0.02</v>
      </c>
      <c r="AT669" t="s">
        <v>56</v>
      </c>
      <c r="AU669">
        <v>486</v>
      </c>
      <c r="AV669">
        <v>4</v>
      </c>
      <c r="AW669" t="s">
        <v>56</v>
      </c>
      <c r="AX669">
        <v>8.1199999999999992</v>
      </c>
      <c r="AY669">
        <v>0.02</v>
      </c>
      <c r="AZ669" t="s">
        <v>56</v>
      </c>
      <c r="BB669">
        <f>LOG(AU669)</f>
        <v>2.6866362692622934</v>
      </c>
      <c r="BC669">
        <v>27.9</v>
      </c>
      <c r="BD669">
        <v>0.1</v>
      </c>
      <c r="BE669" t="s">
        <v>56</v>
      </c>
      <c r="BF669">
        <v>30.9</v>
      </c>
      <c r="BG669">
        <v>0.1</v>
      </c>
      <c r="BH669" t="s">
        <v>56</v>
      </c>
      <c r="BI669">
        <v>20</v>
      </c>
      <c r="BJ669">
        <v>3</v>
      </c>
      <c r="BK669" t="s">
        <v>498</v>
      </c>
      <c r="BL669" t="s">
        <v>499</v>
      </c>
      <c r="BM669" t="s">
        <v>499</v>
      </c>
      <c r="BN669" t="s">
        <v>340</v>
      </c>
      <c r="BO669" t="s">
        <v>500</v>
      </c>
      <c r="BP669" t="s">
        <v>77</v>
      </c>
      <c r="BR669" t="s">
        <v>63</v>
      </c>
      <c r="BT669">
        <v>2.14</v>
      </c>
      <c r="BU669">
        <v>2.14</v>
      </c>
      <c r="BV669">
        <v>0.1</v>
      </c>
      <c r="BW669">
        <f>BV669*SQRT(AK669)</f>
        <v>0.3872983346207417</v>
      </c>
      <c r="BX669">
        <v>4.99</v>
      </c>
      <c r="BY669">
        <v>4.99</v>
      </c>
      <c r="BZ669">
        <v>0.05</v>
      </c>
      <c r="CA669">
        <f>BZ669*SQRT(AL669)</f>
        <v>0.19364916731037085</v>
      </c>
      <c r="CB669">
        <v>45</v>
      </c>
      <c r="CC669">
        <v>3</v>
      </c>
      <c r="CD669">
        <v>-0.84699999999999998</v>
      </c>
      <c r="CE669">
        <v>2.3E-3</v>
      </c>
    </row>
    <row r="670" spans="4:83" hidden="1" x14ac:dyDescent="0.2">
      <c r="D670">
        <v>47</v>
      </c>
      <c r="G670" t="s">
        <v>43</v>
      </c>
      <c r="H670" t="s">
        <v>494</v>
      </c>
      <c r="J670">
        <v>2020</v>
      </c>
      <c r="M670" t="s">
        <v>495</v>
      </c>
      <c r="T670" t="s">
        <v>68</v>
      </c>
      <c r="U670" t="s">
        <v>496</v>
      </c>
      <c r="V670" t="s">
        <v>497</v>
      </c>
      <c r="Z670" t="s">
        <v>106</v>
      </c>
      <c r="AA670" t="s">
        <v>107</v>
      </c>
      <c r="AB670" t="s">
        <v>50</v>
      </c>
      <c r="AC670" t="s">
        <v>51</v>
      </c>
      <c r="AD670" t="s">
        <v>52</v>
      </c>
      <c r="AE670" t="s">
        <v>53</v>
      </c>
      <c r="AF670" t="s">
        <v>54</v>
      </c>
      <c r="AG670" t="s">
        <v>52</v>
      </c>
      <c r="AH670" t="s">
        <v>65</v>
      </c>
      <c r="AK670">
        <v>15</v>
      </c>
      <c r="AL670">
        <v>15</v>
      </c>
      <c r="AN670">
        <v>466</v>
      </c>
      <c r="AO670">
        <v>3</v>
      </c>
      <c r="AP670" t="s">
        <v>56</v>
      </c>
      <c r="AQ670" t="s">
        <v>57</v>
      </c>
      <c r="AR670">
        <v>8.1300000000000008</v>
      </c>
      <c r="AS670">
        <v>0.02</v>
      </c>
      <c r="AT670" t="s">
        <v>56</v>
      </c>
      <c r="AU670">
        <v>486</v>
      </c>
      <c r="AV670">
        <v>4</v>
      </c>
      <c r="AW670" t="s">
        <v>56</v>
      </c>
      <c r="AX670">
        <v>8.1199999999999992</v>
      </c>
      <c r="AY670">
        <v>0.02</v>
      </c>
      <c r="AZ670" t="s">
        <v>56</v>
      </c>
      <c r="BB670">
        <f>LOG(AU670)</f>
        <v>2.6866362692622934</v>
      </c>
      <c r="BC670">
        <v>27.9</v>
      </c>
      <c r="BD670">
        <v>0.1</v>
      </c>
      <c r="BE670" t="s">
        <v>56</v>
      </c>
      <c r="BF670">
        <v>30.9</v>
      </c>
      <c r="BG670">
        <v>0.1</v>
      </c>
      <c r="BH670" t="s">
        <v>56</v>
      </c>
      <c r="BI670">
        <v>20</v>
      </c>
      <c r="BJ670">
        <v>3</v>
      </c>
      <c r="BK670" t="s">
        <v>498</v>
      </c>
      <c r="BL670" t="s">
        <v>501</v>
      </c>
      <c r="BM670" t="s">
        <v>502</v>
      </c>
      <c r="BN670" t="s">
        <v>60</v>
      </c>
      <c r="BO670" t="s">
        <v>503</v>
      </c>
      <c r="BP670" t="s">
        <v>77</v>
      </c>
      <c r="BR670" t="s">
        <v>63</v>
      </c>
      <c r="BT670">
        <v>9.6999999999999993</v>
      </c>
      <c r="BU670">
        <v>9.6999999999999993</v>
      </c>
      <c r="BV670">
        <v>0.41</v>
      </c>
      <c r="BW670">
        <f>BV670*SQRT(AK670)</f>
        <v>1.5879231719450408</v>
      </c>
      <c r="BX670">
        <v>4.4400000000000004</v>
      </c>
      <c r="BY670">
        <v>4.4400000000000004</v>
      </c>
      <c r="BZ670">
        <v>7.0000000000000007E-2</v>
      </c>
      <c r="CA670">
        <f>BZ670*SQRT(AL670)</f>
        <v>0.2711088342345192</v>
      </c>
      <c r="CB670">
        <v>45</v>
      </c>
      <c r="CC670">
        <v>3</v>
      </c>
      <c r="CD670">
        <v>-0.78100000000000003</v>
      </c>
      <c r="CE670">
        <v>2E-3</v>
      </c>
    </row>
    <row r="671" spans="4:83" hidden="1" x14ac:dyDescent="0.2">
      <c r="D671">
        <v>47</v>
      </c>
      <c r="G671" t="s">
        <v>43</v>
      </c>
      <c r="H671" t="s">
        <v>494</v>
      </c>
      <c r="J671">
        <v>2020</v>
      </c>
      <c r="M671" t="s">
        <v>495</v>
      </c>
      <c r="T671" t="s">
        <v>68</v>
      </c>
      <c r="U671" t="s">
        <v>496</v>
      </c>
      <c r="V671" t="s">
        <v>497</v>
      </c>
      <c r="Z671" t="s">
        <v>106</v>
      </c>
      <c r="AA671" t="s">
        <v>107</v>
      </c>
      <c r="AB671" t="s">
        <v>50</v>
      </c>
      <c r="AC671" t="s">
        <v>51</v>
      </c>
      <c r="AD671" t="s">
        <v>52</v>
      </c>
      <c r="AE671" t="s">
        <v>53</v>
      </c>
      <c r="AF671" t="s">
        <v>52</v>
      </c>
      <c r="AG671" t="s">
        <v>54</v>
      </c>
      <c r="AH671" t="s">
        <v>55</v>
      </c>
      <c r="AK671">
        <v>15</v>
      </c>
      <c r="AL671">
        <v>15</v>
      </c>
      <c r="AM671" t="s">
        <v>342</v>
      </c>
      <c r="AN671">
        <v>466</v>
      </c>
      <c r="AO671">
        <v>3</v>
      </c>
      <c r="AP671" t="s">
        <v>56</v>
      </c>
      <c r="AQ671" t="s">
        <v>57</v>
      </c>
      <c r="AR671">
        <v>8.1300000000000008</v>
      </c>
      <c r="AS671">
        <v>0.02</v>
      </c>
      <c r="AT671" t="s">
        <v>56</v>
      </c>
      <c r="AU671">
        <v>1015</v>
      </c>
      <c r="AV671">
        <v>11</v>
      </c>
      <c r="AW671" t="s">
        <v>56</v>
      </c>
      <c r="AX671">
        <v>7.83</v>
      </c>
      <c r="AY671">
        <v>0.03</v>
      </c>
      <c r="AZ671" t="s">
        <v>56</v>
      </c>
      <c r="BB671">
        <f>LOG(AU671)</f>
        <v>3.0064660422492318</v>
      </c>
      <c r="BC671">
        <v>27.9</v>
      </c>
      <c r="BD671">
        <v>0.1</v>
      </c>
      <c r="BE671" t="s">
        <v>56</v>
      </c>
      <c r="BF671">
        <v>27.9</v>
      </c>
      <c r="BG671">
        <v>0.2</v>
      </c>
      <c r="BH671" t="s">
        <v>56</v>
      </c>
      <c r="BI671">
        <v>549</v>
      </c>
      <c r="BJ671">
        <v>0</v>
      </c>
      <c r="BK671" t="s">
        <v>498</v>
      </c>
      <c r="BL671" t="s">
        <v>499</v>
      </c>
      <c r="BM671" t="s">
        <v>499</v>
      </c>
      <c r="BN671" t="s">
        <v>340</v>
      </c>
      <c r="BO671" t="s">
        <v>500</v>
      </c>
      <c r="BP671" t="s">
        <v>77</v>
      </c>
      <c r="BR671" t="s">
        <v>63</v>
      </c>
      <c r="BT671">
        <v>2.14</v>
      </c>
      <c r="BU671">
        <v>2.14</v>
      </c>
      <c r="BV671">
        <v>0.1</v>
      </c>
      <c r="BW671">
        <f>BV671*SQRT(AK671)</f>
        <v>0.3872983346207417</v>
      </c>
      <c r="BX671">
        <v>3.62</v>
      </c>
      <c r="BY671">
        <v>3.62</v>
      </c>
      <c r="BZ671">
        <v>0.08</v>
      </c>
      <c r="CA671">
        <f>BZ671*SQRT(AL671)</f>
        <v>0.30983866769659335</v>
      </c>
      <c r="CB671">
        <v>45</v>
      </c>
      <c r="CC671">
        <v>3</v>
      </c>
      <c r="CD671">
        <v>-0.52600000000000002</v>
      </c>
      <c r="CE671">
        <v>2.7000000000000001E-3</v>
      </c>
    </row>
    <row r="672" spans="4:83" hidden="1" x14ac:dyDescent="0.2">
      <c r="D672">
        <v>47</v>
      </c>
      <c r="G672" t="s">
        <v>43</v>
      </c>
      <c r="H672" t="s">
        <v>494</v>
      </c>
      <c r="J672">
        <v>2020</v>
      </c>
      <c r="M672" t="s">
        <v>495</v>
      </c>
      <c r="T672" t="s">
        <v>68</v>
      </c>
      <c r="U672" t="s">
        <v>496</v>
      </c>
      <c r="V672" t="s">
        <v>497</v>
      </c>
      <c r="Z672" t="s">
        <v>106</v>
      </c>
      <c r="AA672" t="s">
        <v>107</v>
      </c>
      <c r="AB672" t="s">
        <v>50</v>
      </c>
      <c r="AC672" t="s">
        <v>51</v>
      </c>
      <c r="AD672" t="s">
        <v>52</v>
      </c>
      <c r="AE672" t="s">
        <v>53</v>
      </c>
      <c r="AF672" t="s">
        <v>52</v>
      </c>
      <c r="AG672" t="s">
        <v>54</v>
      </c>
      <c r="AH672" t="s">
        <v>55</v>
      </c>
      <c r="AK672">
        <v>15</v>
      </c>
      <c r="AL672">
        <v>15</v>
      </c>
      <c r="AN672">
        <v>466</v>
      </c>
      <c r="AO672">
        <v>3</v>
      </c>
      <c r="AP672" t="s">
        <v>56</v>
      </c>
      <c r="AQ672" t="s">
        <v>57</v>
      </c>
      <c r="AR672">
        <v>8.1300000000000008</v>
      </c>
      <c r="AS672">
        <v>0.02</v>
      </c>
      <c r="AT672" t="s">
        <v>56</v>
      </c>
      <c r="AU672">
        <v>1015</v>
      </c>
      <c r="AV672">
        <v>11</v>
      </c>
      <c r="AW672" t="s">
        <v>56</v>
      </c>
      <c r="AX672">
        <v>7.83</v>
      </c>
      <c r="AY672">
        <v>0.03</v>
      </c>
      <c r="AZ672" t="s">
        <v>56</v>
      </c>
      <c r="BB672">
        <f>LOG(AU672)</f>
        <v>3.0064660422492318</v>
      </c>
      <c r="BC672">
        <v>27.9</v>
      </c>
      <c r="BD672">
        <v>0.1</v>
      </c>
      <c r="BE672" t="s">
        <v>56</v>
      </c>
      <c r="BF672">
        <v>27.9</v>
      </c>
      <c r="BG672">
        <v>0.2</v>
      </c>
      <c r="BH672" t="s">
        <v>56</v>
      </c>
      <c r="BI672">
        <v>549</v>
      </c>
      <c r="BJ672">
        <v>0</v>
      </c>
      <c r="BK672" t="s">
        <v>498</v>
      </c>
      <c r="BL672" t="s">
        <v>501</v>
      </c>
      <c r="BM672" t="s">
        <v>502</v>
      </c>
      <c r="BN672" t="s">
        <v>60</v>
      </c>
      <c r="BO672" t="s">
        <v>503</v>
      </c>
      <c r="BP672" t="s">
        <v>77</v>
      </c>
      <c r="BR672" t="s">
        <v>63</v>
      </c>
      <c r="BT672">
        <v>9.6999999999999993</v>
      </c>
      <c r="BU672">
        <v>9.6999999999999993</v>
      </c>
      <c r="BV672">
        <v>0.41</v>
      </c>
      <c r="BW672">
        <f>BV672*SQRT(AK672)</f>
        <v>1.5879231719450408</v>
      </c>
      <c r="BX672">
        <v>6.19</v>
      </c>
      <c r="BY672">
        <v>6.19</v>
      </c>
      <c r="BZ672">
        <v>0.17</v>
      </c>
      <c r="CA672">
        <f>BZ672*SQRT(AL672)</f>
        <v>0.65840716885526096</v>
      </c>
      <c r="CB672">
        <v>45</v>
      </c>
      <c r="CC672">
        <v>3</v>
      </c>
      <c r="CD672">
        <v>-0.44900000000000001</v>
      </c>
      <c r="CE672">
        <v>2.5000000000000001E-3</v>
      </c>
    </row>
    <row r="673" spans="1:84" hidden="1" x14ac:dyDescent="0.2">
      <c r="D673">
        <v>47</v>
      </c>
      <c r="G673" t="s">
        <v>43</v>
      </c>
      <c r="H673" t="s">
        <v>494</v>
      </c>
      <c r="J673">
        <v>2020</v>
      </c>
      <c r="M673" t="s">
        <v>495</v>
      </c>
      <c r="T673" t="s">
        <v>68</v>
      </c>
      <c r="U673" t="s">
        <v>496</v>
      </c>
      <c r="V673" t="s">
        <v>497</v>
      </c>
      <c r="Z673" t="s">
        <v>106</v>
      </c>
      <c r="AA673" t="s">
        <v>107</v>
      </c>
      <c r="AB673" t="s">
        <v>50</v>
      </c>
      <c r="AC673" t="s">
        <v>51</v>
      </c>
      <c r="AD673" t="s">
        <v>52</v>
      </c>
      <c r="AE673" t="s">
        <v>53</v>
      </c>
      <c r="AF673" t="s">
        <v>52</v>
      </c>
      <c r="AG673" t="s">
        <v>54</v>
      </c>
      <c r="AH673" t="s">
        <v>55</v>
      </c>
      <c r="AK673">
        <v>14</v>
      </c>
      <c r="AL673">
        <v>12</v>
      </c>
      <c r="AN673">
        <v>466</v>
      </c>
      <c r="AO673">
        <v>3</v>
      </c>
      <c r="AP673" t="s">
        <v>56</v>
      </c>
      <c r="AQ673" t="s">
        <v>57</v>
      </c>
      <c r="AR673">
        <v>8.1300000000000008</v>
      </c>
      <c r="AS673">
        <v>0.02</v>
      </c>
      <c r="AT673" t="s">
        <v>56</v>
      </c>
      <c r="AU673">
        <v>1015</v>
      </c>
      <c r="AV673">
        <v>11</v>
      </c>
      <c r="AW673" t="s">
        <v>56</v>
      </c>
      <c r="AX673">
        <v>7.83</v>
      </c>
      <c r="AY673">
        <v>0.03</v>
      </c>
      <c r="AZ673" t="s">
        <v>56</v>
      </c>
      <c r="BB673">
        <f>LOG(AU673)</f>
        <v>3.0064660422492318</v>
      </c>
      <c r="BC673">
        <v>27.9</v>
      </c>
      <c r="BD673">
        <v>0.1</v>
      </c>
      <c r="BE673" t="s">
        <v>56</v>
      </c>
      <c r="BF673">
        <v>27.9</v>
      </c>
      <c r="BG673">
        <v>0.2</v>
      </c>
      <c r="BH673" t="s">
        <v>56</v>
      </c>
      <c r="BI673">
        <v>549</v>
      </c>
      <c r="BJ673">
        <v>0</v>
      </c>
      <c r="BK673" t="s">
        <v>498</v>
      </c>
      <c r="BL673" t="s">
        <v>504</v>
      </c>
      <c r="BM673" t="s">
        <v>59</v>
      </c>
      <c r="BN673" t="s">
        <v>60</v>
      </c>
      <c r="BO673" t="s">
        <v>505</v>
      </c>
      <c r="BP673" t="s">
        <v>62</v>
      </c>
      <c r="BR673" t="s">
        <v>63</v>
      </c>
      <c r="BT673">
        <v>0.19</v>
      </c>
      <c r="BU673">
        <v>0.19</v>
      </c>
      <c r="BV673">
        <v>0.01</v>
      </c>
      <c r="BW673">
        <f>BV673*SQRT(AK673)</f>
        <v>3.7416573867739417E-2</v>
      </c>
      <c r="BX673">
        <v>0.16</v>
      </c>
      <c r="BY673">
        <v>0.16</v>
      </c>
      <c r="BZ673">
        <v>0</v>
      </c>
      <c r="CA673">
        <f>BZ673*SQRT(AL673)</f>
        <v>0</v>
      </c>
      <c r="CB673">
        <v>45</v>
      </c>
      <c r="CC673">
        <v>3</v>
      </c>
      <c r="CD673">
        <v>-0.17199999999999999</v>
      </c>
      <c r="CE673">
        <v>3.5000000000000001E-3</v>
      </c>
    </row>
    <row r="674" spans="1:84" hidden="1" x14ac:dyDescent="0.2">
      <c r="D674">
        <v>47</v>
      </c>
      <c r="G674" t="s">
        <v>43</v>
      </c>
      <c r="H674" t="s">
        <v>494</v>
      </c>
      <c r="J674">
        <v>2020</v>
      </c>
      <c r="M674" t="s">
        <v>495</v>
      </c>
      <c r="T674" t="s">
        <v>68</v>
      </c>
      <c r="U674" t="s">
        <v>496</v>
      </c>
      <c r="V674" t="s">
        <v>497</v>
      </c>
      <c r="Z674" t="s">
        <v>106</v>
      </c>
      <c r="AA674" t="s">
        <v>107</v>
      </c>
      <c r="AB674" t="s">
        <v>50</v>
      </c>
      <c r="AC674" t="s">
        <v>51</v>
      </c>
      <c r="AD674" t="s">
        <v>52</v>
      </c>
      <c r="AE674" t="s">
        <v>53</v>
      </c>
      <c r="AF674" t="s">
        <v>54</v>
      </c>
      <c r="AG674" t="s">
        <v>52</v>
      </c>
      <c r="AH674" t="s">
        <v>65</v>
      </c>
      <c r="AK674">
        <v>14</v>
      </c>
      <c r="AL674">
        <v>4</v>
      </c>
      <c r="AN674">
        <v>466</v>
      </c>
      <c r="AO674">
        <v>3</v>
      </c>
      <c r="AP674" t="s">
        <v>56</v>
      </c>
      <c r="AQ674" t="s">
        <v>57</v>
      </c>
      <c r="AR674">
        <v>8.1300000000000008</v>
      </c>
      <c r="AS674">
        <v>0.02</v>
      </c>
      <c r="AT674" t="s">
        <v>56</v>
      </c>
      <c r="AU674">
        <v>486</v>
      </c>
      <c r="AV674">
        <v>4</v>
      </c>
      <c r="AW674" t="s">
        <v>56</v>
      </c>
      <c r="AX674">
        <v>8.1199999999999992</v>
      </c>
      <c r="AY674">
        <v>0.02</v>
      </c>
      <c r="AZ674" t="s">
        <v>56</v>
      </c>
      <c r="BB674">
        <f>LOG(AU674)</f>
        <v>2.6866362692622934</v>
      </c>
      <c r="BC674">
        <v>27.9</v>
      </c>
      <c r="BD674">
        <v>0.1</v>
      </c>
      <c r="BE674" t="s">
        <v>56</v>
      </c>
      <c r="BF674">
        <v>30.9</v>
      </c>
      <c r="BG674">
        <v>0.1</v>
      </c>
      <c r="BH674" t="s">
        <v>56</v>
      </c>
      <c r="BI674">
        <v>20</v>
      </c>
      <c r="BJ674">
        <v>3</v>
      </c>
      <c r="BK674" t="s">
        <v>498</v>
      </c>
      <c r="BL674" t="s">
        <v>504</v>
      </c>
      <c r="BM674" t="s">
        <v>59</v>
      </c>
      <c r="BN674" t="s">
        <v>60</v>
      </c>
      <c r="BO674" t="s">
        <v>505</v>
      </c>
      <c r="BP674" t="s">
        <v>62</v>
      </c>
      <c r="BR674" t="s">
        <v>63</v>
      </c>
      <c r="BT674">
        <v>0.19</v>
      </c>
      <c r="BU674">
        <v>0.19</v>
      </c>
      <c r="BV674">
        <v>0.01</v>
      </c>
      <c r="BW674">
        <f>BV674*SQRT(AK674)</f>
        <v>3.7416573867739417E-2</v>
      </c>
      <c r="BX674">
        <v>0.22</v>
      </c>
      <c r="BY674">
        <v>0.22</v>
      </c>
      <c r="BZ674">
        <v>0.01</v>
      </c>
      <c r="CA674">
        <f>BZ674*SQRT(AL674)</f>
        <v>0.02</v>
      </c>
      <c r="CB674">
        <v>45</v>
      </c>
      <c r="CC674">
        <v>3</v>
      </c>
      <c r="CD674">
        <v>0.14699999999999999</v>
      </c>
      <c r="CE674">
        <v>4.7999999999999996E-3</v>
      </c>
    </row>
    <row r="675" spans="1:84" hidden="1" x14ac:dyDescent="0.2">
      <c r="D675">
        <v>47</v>
      </c>
      <c r="G675" t="s">
        <v>43</v>
      </c>
      <c r="H675" t="s">
        <v>494</v>
      </c>
      <c r="J675">
        <v>2020</v>
      </c>
      <c r="M675" t="s">
        <v>495</v>
      </c>
      <c r="T675" t="s">
        <v>68</v>
      </c>
      <c r="U675" t="s">
        <v>496</v>
      </c>
      <c r="V675" t="s">
        <v>497</v>
      </c>
      <c r="Z675" t="s">
        <v>106</v>
      </c>
      <c r="AA675" t="s">
        <v>107</v>
      </c>
      <c r="AB675" t="s">
        <v>50</v>
      </c>
      <c r="AC675" t="s">
        <v>51</v>
      </c>
      <c r="AD675" t="s">
        <v>52</v>
      </c>
      <c r="AE675" t="s">
        <v>53</v>
      </c>
      <c r="AF675" t="s">
        <v>52</v>
      </c>
      <c r="AG675" t="s">
        <v>52</v>
      </c>
      <c r="AH675" t="s">
        <v>64</v>
      </c>
      <c r="AK675">
        <v>14</v>
      </c>
      <c r="AL675">
        <v>5</v>
      </c>
      <c r="AN675">
        <v>466</v>
      </c>
      <c r="AO675">
        <v>3</v>
      </c>
      <c r="AP675" t="s">
        <v>56</v>
      </c>
      <c r="AQ675" t="s">
        <v>57</v>
      </c>
      <c r="AR675">
        <v>8.1300000000000008</v>
      </c>
      <c r="AS675">
        <v>0.02</v>
      </c>
      <c r="AT675" t="s">
        <v>56</v>
      </c>
      <c r="AU675">
        <v>1026</v>
      </c>
      <c r="AV675">
        <v>11</v>
      </c>
      <c r="AW675" t="s">
        <v>56</v>
      </c>
      <c r="AX675">
        <v>7.86</v>
      </c>
      <c r="AY675">
        <v>0.02</v>
      </c>
      <c r="AZ675" t="s">
        <v>56</v>
      </c>
      <c r="BB675">
        <f>LOG(AU675)</f>
        <v>3.0111473607757975</v>
      </c>
      <c r="BC675">
        <v>27.9</v>
      </c>
      <c r="BD675">
        <v>0.1</v>
      </c>
      <c r="BE675" t="s">
        <v>56</v>
      </c>
      <c r="BF675">
        <v>30.9</v>
      </c>
      <c r="BG675">
        <v>0.1</v>
      </c>
      <c r="BH675" t="s">
        <v>56</v>
      </c>
      <c r="BI675">
        <v>560</v>
      </c>
      <c r="BJ675">
        <v>3</v>
      </c>
      <c r="BK675" t="s">
        <v>498</v>
      </c>
      <c r="BL675" t="s">
        <v>504</v>
      </c>
      <c r="BM675" t="s">
        <v>59</v>
      </c>
      <c r="BN675" t="s">
        <v>60</v>
      </c>
      <c r="BO675" t="s">
        <v>505</v>
      </c>
      <c r="BP675" t="s">
        <v>62</v>
      </c>
      <c r="BR675" t="s">
        <v>63</v>
      </c>
      <c r="BT675">
        <v>0.19</v>
      </c>
      <c r="BU675">
        <v>0.19</v>
      </c>
      <c r="BV675">
        <v>0.01</v>
      </c>
      <c r="BW675">
        <f>BV675*SQRT(AK675)</f>
        <v>3.7416573867739417E-2</v>
      </c>
      <c r="BX675">
        <v>0.25</v>
      </c>
      <c r="BY675">
        <v>0.25</v>
      </c>
      <c r="BZ675">
        <v>0.02</v>
      </c>
      <c r="CA675">
        <f>BZ675*SQRT(AL675)</f>
        <v>4.4721359549995794E-2</v>
      </c>
      <c r="CB675">
        <v>45</v>
      </c>
      <c r="CC675">
        <v>3</v>
      </c>
      <c r="CD675">
        <v>0.27400000000000002</v>
      </c>
      <c r="CE675">
        <v>7.9000000000000008E-3</v>
      </c>
    </row>
    <row r="676" spans="1:84" hidden="1" x14ac:dyDescent="0.2">
      <c r="B676" t="str">
        <f>ROW()-1&amp;"_AltersInvert"</f>
        <v>675_AltersInvert</v>
      </c>
      <c r="C676" t="str">
        <f>D676&amp;"_"&amp;
SUBSTITUTE(TRIM(V676)," ","_")&amp;"_"&amp;
TRIM(AC676)&amp;"_"&amp;
"CO2"&amp;TEXT(AN676,"0.00")&amp;"_"&amp;
"pH"&amp;TEXT(AR676,"0.00")&amp;"_"&amp;
"T"&amp;TEXT(BC676,"0.##")</f>
        <v>75_Laternula_elliptica_LARVA_CO2458.00_pH7.97_T-1.6</v>
      </c>
      <c r="D676">
        <v>75</v>
      </c>
      <c r="G676" t="s">
        <v>43</v>
      </c>
      <c r="H676" t="s">
        <v>662</v>
      </c>
      <c r="J676">
        <v>2017</v>
      </c>
      <c r="M676" t="s">
        <v>436</v>
      </c>
      <c r="P676" t="s">
        <v>1135</v>
      </c>
      <c r="R676" t="s">
        <v>1127</v>
      </c>
      <c r="S676" t="s">
        <v>1128</v>
      </c>
      <c r="T676" t="s">
        <v>68</v>
      </c>
      <c r="U676" t="s">
        <v>663</v>
      </c>
      <c r="V676" t="s">
        <v>664</v>
      </c>
      <c r="Z676" t="s">
        <v>475</v>
      </c>
      <c r="AA676" t="s">
        <v>475</v>
      </c>
      <c r="AB676" t="s">
        <v>71</v>
      </c>
      <c r="AC676" t="s">
        <v>72</v>
      </c>
      <c r="AD676" t="s">
        <v>52</v>
      </c>
      <c r="AE676" t="s">
        <v>53</v>
      </c>
      <c r="AF676" t="s">
        <v>52</v>
      </c>
      <c r="AG676" t="s">
        <v>52</v>
      </c>
      <c r="AH676" t="s">
        <v>64</v>
      </c>
      <c r="AK676">
        <v>3</v>
      </c>
      <c r="AL676">
        <v>3</v>
      </c>
      <c r="AM676" t="s">
        <v>342</v>
      </c>
      <c r="AN676">
        <v>458</v>
      </c>
      <c r="AO676">
        <v>2</v>
      </c>
      <c r="AP676" t="s">
        <v>56</v>
      </c>
      <c r="AQ676" t="s">
        <v>109</v>
      </c>
      <c r="AR676">
        <v>7.97</v>
      </c>
      <c r="AS676">
        <v>0</v>
      </c>
      <c r="AT676" t="s">
        <v>56</v>
      </c>
      <c r="AU676">
        <v>1021</v>
      </c>
      <c r="AV676">
        <v>3</v>
      </c>
      <c r="AW676" t="s">
        <v>56</v>
      </c>
      <c r="AX676">
        <v>7.64</v>
      </c>
      <c r="AY676">
        <v>0</v>
      </c>
      <c r="AZ676" t="s">
        <v>56</v>
      </c>
      <c r="BB676">
        <f>LOG(AU676)</f>
        <v>3.0090257420869104</v>
      </c>
      <c r="BC676">
        <v>-1.6</v>
      </c>
      <c r="BD676">
        <v>0</v>
      </c>
      <c r="BE676" t="s">
        <v>56</v>
      </c>
      <c r="BF676">
        <v>-0.5</v>
      </c>
      <c r="BG676">
        <v>0</v>
      </c>
      <c r="BH676" t="s">
        <v>56</v>
      </c>
      <c r="BI676">
        <v>562</v>
      </c>
      <c r="BJ676">
        <v>1.1000000000000001</v>
      </c>
      <c r="BK676" t="s">
        <v>56</v>
      </c>
      <c r="BL676" t="s">
        <v>489</v>
      </c>
      <c r="BM676" t="s">
        <v>489</v>
      </c>
      <c r="BN676" t="s">
        <v>340</v>
      </c>
      <c r="BO676" t="s">
        <v>667</v>
      </c>
      <c r="BP676" t="s">
        <v>234</v>
      </c>
      <c r="BQ676" t="s">
        <v>194</v>
      </c>
      <c r="BR676" t="s">
        <v>63</v>
      </c>
      <c r="BT676">
        <v>3.43</v>
      </c>
      <c r="BU676">
        <v>96.57</v>
      </c>
      <c r="BV676">
        <v>0.33</v>
      </c>
      <c r="BW676">
        <f>BV676*SQRT(AK676)</f>
        <v>0.57157676649772948</v>
      </c>
      <c r="BX676">
        <v>9.6199999999999992</v>
      </c>
      <c r="BY676">
        <v>90.38</v>
      </c>
      <c r="BZ676">
        <v>0.76</v>
      </c>
      <c r="CA676">
        <f>BZ676*SQRT(AL676)</f>
        <v>1.3163586137523466</v>
      </c>
      <c r="CB676">
        <v>27</v>
      </c>
      <c r="CC676">
        <v>3</v>
      </c>
      <c r="CD676">
        <v>6.6000000000000003E-2</v>
      </c>
      <c r="CE676">
        <v>1E-4</v>
      </c>
      <c r="CF676" s="8"/>
    </row>
    <row r="677" spans="1:84" hidden="1" x14ac:dyDescent="0.2">
      <c r="A677" s="8"/>
      <c r="B677" s="8"/>
      <c r="C677" s="8" t="s">
        <v>1129</v>
      </c>
      <c r="D677" s="8">
        <v>40</v>
      </c>
      <c r="E677" s="8"/>
      <c r="F677" s="8"/>
      <c r="G677" s="8" t="s">
        <v>43</v>
      </c>
      <c r="H677" s="8" t="s">
        <v>441</v>
      </c>
      <c r="I677" s="8" t="s">
        <v>1129</v>
      </c>
      <c r="J677" s="8">
        <v>2018</v>
      </c>
      <c r="K677" s="8"/>
      <c r="L677" s="8"/>
      <c r="M677" s="8" t="s">
        <v>174</v>
      </c>
      <c r="N677" s="8"/>
      <c r="O677" s="8"/>
      <c r="P677" s="8"/>
      <c r="Q677" s="8"/>
      <c r="R677" s="8"/>
      <c r="S677" s="8"/>
      <c r="T677" s="8" t="s">
        <v>68</v>
      </c>
      <c r="U677" s="8" t="s">
        <v>167</v>
      </c>
      <c r="V677" s="8" t="s">
        <v>442</v>
      </c>
      <c r="W677" s="8"/>
      <c r="X677" s="8"/>
      <c r="Y677" s="8"/>
      <c r="Z677" s="8" t="s">
        <v>177</v>
      </c>
      <c r="AA677" s="8" t="s">
        <v>177</v>
      </c>
      <c r="AB677" s="8" t="s">
        <v>71</v>
      </c>
      <c r="AC677" s="8" t="s">
        <v>195</v>
      </c>
      <c r="AD677" s="8" t="s">
        <v>52</v>
      </c>
      <c r="AE677" s="8" t="s">
        <v>53</v>
      </c>
      <c r="AF677" s="8" t="s">
        <v>52</v>
      </c>
      <c r="AG677" s="8" t="s">
        <v>52</v>
      </c>
      <c r="AH677" s="8" t="s">
        <v>64</v>
      </c>
      <c r="AI677" s="8"/>
      <c r="AJ677" s="8"/>
      <c r="AK677" s="8">
        <v>3</v>
      </c>
      <c r="AL677" s="8">
        <v>3</v>
      </c>
      <c r="AM677" s="8"/>
      <c r="AN677" s="8">
        <v>392</v>
      </c>
      <c r="AO677" s="8">
        <v>2</v>
      </c>
      <c r="AP677" s="8" t="s">
        <v>56</v>
      </c>
      <c r="AQ677" s="8" t="s">
        <v>57</v>
      </c>
      <c r="AR677" s="8">
        <v>8.1999999999999993</v>
      </c>
      <c r="AS677" s="8">
        <v>0</v>
      </c>
      <c r="AT677" s="8" t="s">
        <v>56</v>
      </c>
      <c r="AU677" s="8">
        <v>855</v>
      </c>
      <c r="AV677">
        <v>3</v>
      </c>
      <c r="AW677" t="s">
        <v>56</v>
      </c>
      <c r="AX677">
        <v>7.92</v>
      </c>
      <c r="AY677">
        <v>0</v>
      </c>
      <c r="AZ677" t="s">
        <v>56</v>
      </c>
      <c r="BA677" s="8"/>
      <c r="BB677" s="8">
        <f>LOG(AU677)</f>
        <v>2.9319661147281728</v>
      </c>
      <c r="BC677" s="8">
        <v>24</v>
      </c>
      <c r="BD677" s="8">
        <v>0.1</v>
      </c>
      <c r="BE677" s="8" t="s">
        <v>56</v>
      </c>
      <c r="BF677" s="8">
        <v>28</v>
      </c>
      <c r="BG677" s="8">
        <v>0.1</v>
      </c>
      <c r="BH677" s="8" t="s">
        <v>56</v>
      </c>
      <c r="BI677" s="8">
        <v>463</v>
      </c>
      <c r="BJ677" s="8">
        <v>4</v>
      </c>
      <c r="BK677" s="8" t="s">
        <v>56</v>
      </c>
      <c r="BL677" s="8" t="s">
        <v>451</v>
      </c>
      <c r="BM677" s="8" t="s">
        <v>452</v>
      </c>
      <c r="BN677" s="8" t="s">
        <v>60</v>
      </c>
      <c r="BO677" s="8" t="s">
        <v>449</v>
      </c>
      <c r="BP677" s="8" t="s">
        <v>450</v>
      </c>
      <c r="BQ677" s="8"/>
      <c r="BR677" s="8" t="s">
        <v>63</v>
      </c>
      <c r="BS677" s="8"/>
      <c r="BT677" s="8">
        <v>50.92</v>
      </c>
      <c r="BU677" s="8">
        <v>50.92</v>
      </c>
      <c r="BV677" s="8">
        <v>0.39</v>
      </c>
      <c r="BW677" s="8">
        <f>BV677*SQRT(AK677)</f>
        <v>0.67549981495186218</v>
      </c>
      <c r="BX677" s="8">
        <v>47.44</v>
      </c>
      <c r="BY677" s="8">
        <v>47.44</v>
      </c>
      <c r="BZ677" s="8">
        <v>0.1</v>
      </c>
      <c r="CA677" s="8">
        <f>BZ677*SQRT(AL677)</f>
        <v>0.17320508075688773</v>
      </c>
      <c r="CB677" s="8">
        <v>56</v>
      </c>
      <c r="CC677" s="8">
        <v>3</v>
      </c>
      <c r="CD677" s="8">
        <v>-7.0999999999999994E-2</v>
      </c>
      <c r="CE677" s="8">
        <v>1E-4</v>
      </c>
      <c r="CF677" s="8"/>
    </row>
    <row r="678" spans="1:84" hidden="1" x14ac:dyDescent="0.2">
      <c r="A678" s="8"/>
      <c r="B678" s="8"/>
      <c r="C678" s="8" t="s">
        <v>1129</v>
      </c>
      <c r="D678" s="8">
        <v>40</v>
      </c>
      <c r="E678" s="8"/>
      <c r="F678" s="8"/>
      <c r="G678" s="8" t="s">
        <v>43</v>
      </c>
      <c r="H678" s="8" t="s">
        <v>441</v>
      </c>
      <c r="I678" s="8" t="s">
        <v>1129</v>
      </c>
      <c r="J678" s="8">
        <v>2018</v>
      </c>
      <c r="K678" s="8"/>
      <c r="L678" s="8"/>
      <c r="M678" s="8" t="s">
        <v>174</v>
      </c>
      <c r="N678" s="8"/>
      <c r="O678" s="8"/>
      <c r="P678" s="8"/>
      <c r="Q678" s="8"/>
      <c r="R678" s="8"/>
      <c r="S678" s="8"/>
      <c r="T678" s="8" t="s">
        <v>68</v>
      </c>
      <c r="U678" s="8" t="s">
        <v>167</v>
      </c>
      <c r="V678" s="8" t="s">
        <v>442</v>
      </c>
      <c r="W678" s="8"/>
      <c r="X678" s="8"/>
      <c r="Y678" s="8"/>
      <c r="Z678" s="8" t="s">
        <v>177</v>
      </c>
      <c r="AA678" s="8" t="s">
        <v>177</v>
      </c>
      <c r="AB678" s="8" t="s">
        <v>71</v>
      </c>
      <c r="AC678" s="8" t="s">
        <v>195</v>
      </c>
      <c r="AD678" s="8" t="s">
        <v>52</v>
      </c>
      <c r="AE678" s="8" t="s">
        <v>53</v>
      </c>
      <c r="AF678" s="8" t="s">
        <v>54</v>
      </c>
      <c r="AG678" s="8" t="s">
        <v>52</v>
      </c>
      <c r="AH678" s="8" t="s">
        <v>65</v>
      </c>
      <c r="AI678" s="8"/>
      <c r="AJ678" s="8"/>
      <c r="AK678" s="8">
        <v>3</v>
      </c>
      <c r="AL678" s="8">
        <v>3</v>
      </c>
      <c r="AM678" s="8"/>
      <c r="AN678" s="8">
        <v>392</v>
      </c>
      <c r="AO678" s="8">
        <v>2</v>
      </c>
      <c r="AP678" s="8" t="s">
        <v>56</v>
      </c>
      <c r="AQ678" s="8" t="s">
        <v>57</v>
      </c>
      <c r="AR678" s="8">
        <v>8.1999999999999993</v>
      </c>
      <c r="AS678" s="8">
        <v>0</v>
      </c>
      <c r="AT678" s="8" t="s">
        <v>56</v>
      </c>
      <c r="AU678" s="8">
        <v>393</v>
      </c>
      <c r="AV678">
        <v>4</v>
      </c>
      <c r="AW678" t="s">
        <v>56</v>
      </c>
      <c r="AX678">
        <v>8.1999999999999993</v>
      </c>
      <c r="AY678">
        <v>0</v>
      </c>
      <c r="AZ678" t="s">
        <v>56</v>
      </c>
      <c r="BA678" s="8"/>
      <c r="BB678" s="8">
        <f>LOG(AU678)</f>
        <v>2.5943925503754266</v>
      </c>
      <c r="BC678" s="8">
        <v>24</v>
      </c>
      <c r="BD678" s="8">
        <v>0.1</v>
      </c>
      <c r="BE678" s="8" t="s">
        <v>56</v>
      </c>
      <c r="BF678" s="8">
        <v>28</v>
      </c>
      <c r="BG678" s="8">
        <v>0.1</v>
      </c>
      <c r="BH678" s="8" t="s">
        <v>56</v>
      </c>
      <c r="BI678" s="8">
        <v>1</v>
      </c>
      <c r="BJ678" s="8">
        <v>4</v>
      </c>
      <c r="BK678" s="8" t="s">
        <v>56</v>
      </c>
      <c r="BL678" s="8" t="s">
        <v>451</v>
      </c>
      <c r="BM678" s="8" t="s">
        <v>452</v>
      </c>
      <c r="BN678" s="8" t="s">
        <v>60</v>
      </c>
      <c r="BO678" s="8" t="s">
        <v>449</v>
      </c>
      <c r="BP678" s="8" t="s">
        <v>450</v>
      </c>
      <c r="BQ678" s="8"/>
      <c r="BR678" s="8" t="s">
        <v>63</v>
      </c>
      <c r="BS678" s="8"/>
      <c r="BT678" s="8">
        <v>50.92</v>
      </c>
      <c r="BU678" s="8">
        <v>50.92</v>
      </c>
      <c r="BV678" s="8">
        <v>0.39</v>
      </c>
      <c r="BW678" s="8">
        <f>BV678*SQRT(AK678)</f>
        <v>0.67549981495186218</v>
      </c>
      <c r="BX678" s="8">
        <v>48.06</v>
      </c>
      <c r="BY678" s="8">
        <v>48.06</v>
      </c>
      <c r="BZ678" s="8">
        <v>0.53</v>
      </c>
      <c r="CA678" s="8">
        <f>BZ678*SQRT(AL678)</f>
        <v>0.91798692801150494</v>
      </c>
      <c r="CB678" s="8">
        <v>56</v>
      </c>
      <c r="CC678" s="8">
        <v>3</v>
      </c>
      <c r="CD678" s="8">
        <v>-5.8000000000000003E-2</v>
      </c>
      <c r="CE678" s="8">
        <v>2.0000000000000001E-4</v>
      </c>
      <c r="CF678" s="8"/>
    </row>
    <row r="679" spans="1:84" hidden="1" x14ac:dyDescent="0.2">
      <c r="A679" s="8"/>
      <c r="B679" s="8"/>
      <c r="C679" s="8" t="s">
        <v>1129</v>
      </c>
      <c r="D679" s="8">
        <v>40</v>
      </c>
      <c r="E679" s="8"/>
      <c r="F679" s="8"/>
      <c r="G679" s="8" t="s">
        <v>43</v>
      </c>
      <c r="H679" s="8" t="s">
        <v>441</v>
      </c>
      <c r="I679" s="8" t="s">
        <v>1129</v>
      </c>
      <c r="J679" s="8">
        <v>2018</v>
      </c>
      <c r="K679" s="8"/>
      <c r="L679" s="8"/>
      <c r="M679" s="8" t="s">
        <v>174</v>
      </c>
      <c r="N679" s="8"/>
      <c r="O679" s="8"/>
      <c r="P679" s="8"/>
      <c r="Q679" s="8"/>
      <c r="R679" s="8"/>
      <c r="S679" s="8"/>
      <c r="T679" s="8" t="s">
        <v>68</v>
      </c>
      <c r="U679" s="8" t="s">
        <v>167</v>
      </c>
      <c r="V679" s="8" t="s">
        <v>442</v>
      </c>
      <c r="W679" s="8"/>
      <c r="X679" s="8"/>
      <c r="Y679" s="8"/>
      <c r="Z679" s="8" t="s">
        <v>177</v>
      </c>
      <c r="AA679" s="8" t="s">
        <v>177</v>
      </c>
      <c r="AB679" s="8" t="s">
        <v>71</v>
      </c>
      <c r="AC679" s="8" t="s">
        <v>195</v>
      </c>
      <c r="AD679" s="8" t="s">
        <v>52</v>
      </c>
      <c r="AE679" s="8" t="s">
        <v>53</v>
      </c>
      <c r="AF679" s="8" t="s">
        <v>52</v>
      </c>
      <c r="AG679" s="8" t="s">
        <v>54</v>
      </c>
      <c r="AH679" s="8" t="s">
        <v>55</v>
      </c>
      <c r="AI679" s="8"/>
      <c r="AJ679" s="8"/>
      <c r="AK679" s="8">
        <v>3</v>
      </c>
      <c r="AL679" s="8">
        <v>3</v>
      </c>
      <c r="AM679" s="8"/>
      <c r="AN679" s="8">
        <v>392</v>
      </c>
      <c r="AO679" s="8">
        <v>2</v>
      </c>
      <c r="AP679" s="8" t="s">
        <v>56</v>
      </c>
      <c r="AQ679" s="8" t="s">
        <v>57</v>
      </c>
      <c r="AR679" s="8">
        <v>8.1999999999999993</v>
      </c>
      <c r="AS679" s="8">
        <v>0</v>
      </c>
      <c r="AT679" s="8" t="s">
        <v>56</v>
      </c>
      <c r="AU679" s="8">
        <v>856</v>
      </c>
      <c r="AV679">
        <v>5</v>
      </c>
      <c r="AW679" t="s">
        <v>56</v>
      </c>
      <c r="AX679">
        <v>7.91</v>
      </c>
      <c r="AY679">
        <v>0</v>
      </c>
      <c r="AZ679" t="s">
        <v>56</v>
      </c>
      <c r="BA679" s="8"/>
      <c r="BB679" s="8">
        <f>LOG(AU679)</f>
        <v>2.932473764677153</v>
      </c>
      <c r="BC679" s="8">
        <v>24</v>
      </c>
      <c r="BD679" s="8">
        <v>0.1</v>
      </c>
      <c r="BE679" s="8" t="s">
        <v>56</v>
      </c>
      <c r="BF679" s="8">
        <v>24</v>
      </c>
      <c r="BG679" s="8">
        <v>0.1</v>
      </c>
      <c r="BH679" s="8" t="s">
        <v>56</v>
      </c>
      <c r="BI679" s="8">
        <v>464</v>
      </c>
      <c r="BJ679" s="8">
        <v>0</v>
      </c>
      <c r="BK679" s="8" t="s">
        <v>56</v>
      </c>
      <c r="BL679" s="8" t="s">
        <v>451</v>
      </c>
      <c r="BM679" s="8" t="s">
        <v>452</v>
      </c>
      <c r="BN679" s="8" t="s">
        <v>60</v>
      </c>
      <c r="BO679" s="8" t="s">
        <v>449</v>
      </c>
      <c r="BP679" s="8" t="s">
        <v>450</v>
      </c>
      <c r="BQ679" s="8"/>
      <c r="BR679" s="8" t="s">
        <v>63</v>
      </c>
      <c r="BS679" s="8"/>
      <c r="BT679" s="8">
        <v>50.92</v>
      </c>
      <c r="BU679" s="8">
        <v>50.92</v>
      </c>
      <c r="BV679" s="8">
        <v>0.39</v>
      </c>
      <c r="BW679" s="8">
        <f>BV679*SQRT(AK679)</f>
        <v>0.67549981495186218</v>
      </c>
      <c r="BX679" s="8">
        <v>49.71</v>
      </c>
      <c r="BY679" s="8">
        <v>49.71</v>
      </c>
      <c r="BZ679" s="8">
        <v>0.45</v>
      </c>
      <c r="CA679" s="8">
        <f>BZ679*SQRT(AL679)</f>
        <v>0.77942286340599476</v>
      </c>
      <c r="CB679" s="8">
        <v>56</v>
      </c>
      <c r="CC679" s="8">
        <v>3</v>
      </c>
      <c r="CD679" s="8">
        <v>-2.4E-2</v>
      </c>
      <c r="CE679" s="8">
        <v>1E-4</v>
      </c>
      <c r="CF679" s="8"/>
    </row>
    <row r="680" spans="1:84" hidden="1" x14ac:dyDescent="0.2">
      <c r="B680" t="str">
        <f>ROW()-1&amp;"_AltersInvert"</f>
        <v>679_AltersInvert</v>
      </c>
      <c r="C680" t="str">
        <f>D680&amp;"_"&amp;
SUBSTITUTE(TRIM(V680)," ","_")&amp;"_"&amp;
TRIM(AC680)&amp;"_"&amp;
"CO2"&amp;TEXT(AN680,"0.00")&amp;"_"&amp;
"pH"&amp;TEXT(AR680,"0.00")&amp;"_"&amp;
"T"&amp;TEXT(BC680,"0.##")</f>
        <v>215_Hyas_araneus_LARVA_CO2354.00_pH0.00_T3.</v>
      </c>
      <c r="D680">
        <v>215</v>
      </c>
      <c r="G680" t="s">
        <v>43</v>
      </c>
      <c r="H680" t="s">
        <v>1036</v>
      </c>
      <c r="J680">
        <v>2011</v>
      </c>
      <c r="M680" t="s">
        <v>67</v>
      </c>
      <c r="P680" t="s">
        <v>1135</v>
      </c>
      <c r="R680" t="s">
        <v>1127</v>
      </c>
      <c r="S680" t="s">
        <v>1128</v>
      </c>
      <c r="T680" t="s">
        <v>131</v>
      </c>
      <c r="U680" t="s">
        <v>245</v>
      </c>
      <c r="V680" t="s">
        <v>246</v>
      </c>
      <c r="AC680" t="s">
        <v>72</v>
      </c>
      <c r="AF680" t="s">
        <v>52</v>
      </c>
      <c r="AG680" t="s">
        <v>54</v>
      </c>
      <c r="AH680" t="s">
        <v>55</v>
      </c>
      <c r="AK680">
        <v>9</v>
      </c>
      <c r="AL680">
        <v>9</v>
      </c>
      <c r="AN680">
        <v>354</v>
      </c>
      <c r="AU680">
        <v>2378</v>
      </c>
      <c r="BB680">
        <f>LOG(AU680)</f>
        <v>3.3762118502826728</v>
      </c>
      <c r="BC680">
        <v>3</v>
      </c>
      <c r="BF680">
        <v>3</v>
      </c>
      <c r="BI680">
        <v>2024</v>
      </c>
      <c r="BJ680">
        <v>0</v>
      </c>
      <c r="BK680" t="s">
        <v>1037</v>
      </c>
      <c r="BL680" t="s">
        <v>1038</v>
      </c>
      <c r="BM680" t="s">
        <v>241</v>
      </c>
      <c r="BN680" t="s">
        <v>60</v>
      </c>
      <c r="BO680" t="s">
        <v>1039</v>
      </c>
      <c r="BP680" t="s">
        <v>234</v>
      </c>
      <c r="BQ680" t="s">
        <v>194</v>
      </c>
      <c r="BR680" t="s">
        <v>63</v>
      </c>
      <c r="BT680">
        <v>2.3319999999999999</v>
      </c>
      <c r="BU680">
        <v>2.3319999999999999</v>
      </c>
      <c r="BV680">
        <v>0.22600000000000001</v>
      </c>
      <c r="BW680">
        <f>BV680*SQRT(AK680)</f>
        <v>0.67800000000000005</v>
      </c>
      <c r="BX680">
        <v>1.109</v>
      </c>
      <c r="BY680">
        <v>1.109</v>
      </c>
      <c r="BZ680">
        <v>6.8000000000000005E-2</v>
      </c>
      <c r="CA680">
        <f>BZ680*SQRT(AL680)</f>
        <v>0.20400000000000001</v>
      </c>
      <c r="CB680">
        <v>14</v>
      </c>
      <c r="CD680">
        <v>-0.74299999999999999</v>
      </c>
      <c r="CE680">
        <v>1.32E-2</v>
      </c>
    </row>
    <row r="681" spans="1:84" hidden="1" x14ac:dyDescent="0.2">
      <c r="B681" t="str">
        <f>ROW()-1&amp;"_AltersInvert"</f>
        <v>680_AltersInvert</v>
      </c>
      <c r="C681" t="str">
        <f>D681&amp;"_"&amp;
SUBSTITUTE(TRIM(V681)," ","_")&amp;"_"&amp;
TRIM(AC681)&amp;"_"&amp;
"CO2"&amp;TEXT(AN681,"0.00")&amp;"_"&amp;
"pH"&amp;TEXT(AR681,"0.00")&amp;"_"&amp;
"T"&amp;TEXT(BC681,"0.##")</f>
        <v>215_Hyas_araneus_LARVA_CO2354.00_pH0.00_T3.</v>
      </c>
      <c r="D681">
        <v>215</v>
      </c>
      <c r="G681" t="s">
        <v>43</v>
      </c>
      <c r="H681" t="s">
        <v>1036</v>
      </c>
      <c r="J681">
        <v>2011</v>
      </c>
      <c r="M681" t="s">
        <v>67</v>
      </c>
      <c r="P681" t="s">
        <v>1135</v>
      </c>
      <c r="R681" t="s">
        <v>1127</v>
      </c>
      <c r="S681" t="s">
        <v>1128</v>
      </c>
      <c r="T681" t="s">
        <v>131</v>
      </c>
      <c r="U681" t="s">
        <v>245</v>
      </c>
      <c r="V681" t="s">
        <v>246</v>
      </c>
      <c r="AC681" t="s">
        <v>72</v>
      </c>
      <c r="AF681" t="s">
        <v>52</v>
      </c>
      <c r="AG681" t="s">
        <v>54</v>
      </c>
      <c r="AH681" t="s">
        <v>55</v>
      </c>
      <c r="AK681">
        <v>9</v>
      </c>
      <c r="AL681">
        <v>9</v>
      </c>
      <c r="AN681">
        <v>354</v>
      </c>
      <c r="AU681">
        <v>754</v>
      </c>
      <c r="BB681">
        <f>LOG(AU681)</f>
        <v>2.8773713458697738</v>
      </c>
      <c r="BC681">
        <v>3</v>
      </c>
      <c r="BF681">
        <v>3</v>
      </c>
      <c r="BI681">
        <v>400</v>
      </c>
      <c r="BJ681">
        <v>0</v>
      </c>
      <c r="BK681" t="s">
        <v>1037</v>
      </c>
      <c r="BL681" t="s">
        <v>1038</v>
      </c>
      <c r="BM681" t="s">
        <v>241</v>
      </c>
      <c r="BN681" t="s">
        <v>60</v>
      </c>
      <c r="BO681" t="s">
        <v>1039</v>
      </c>
      <c r="BP681" t="s">
        <v>234</v>
      </c>
      <c r="BQ681" t="s">
        <v>194</v>
      </c>
      <c r="BR681" t="s">
        <v>63</v>
      </c>
      <c r="BT681">
        <v>2.3319999999999999</v>
      </c>
      <c r="BU681">
        <v>2.3319999999999999</v>
      </c>
      <c r="BV681">
        <v>0.22600000000000001</v>
      </c>
      <c r="BW681">
        <f>BV681*SQRT(AK681)</f>
        <v>0.67800000000000005</v>
      </c>
      <c r="BX681">
        <v>2.423</v>
      </c>
      <c r="BY681">
        <v>2.423</v>
      </c>
      <c r="BZ681">
        <v>0.18099999999999999</v>
      </c>
      <c r="CA681">
        <f>BZ681*SQRT(AL681)</f>
        <v>0.54299999999999993</v>
      </c>
      <c r="CB681">
        <v>14</v>
      </c>
      <c r="CD681">
        <v>3.7999999999999999E-2</v>
      </c>
      <c r="CE681">
        <v>1.4999999999999999E-2</v>
      </c>
      <c r="CF681" s="8"/>
    </row>
    <row r="682" spans="1:84" hidden="1" x14ac:dyDescent="0.2">
      <c r="B682" t="str">
        <f>ROW()-1&amp;"_AltersInvert"</f>
        <v>681_AltersInvert</v>
      </c>
      <c r="C682" t="str">
        <f>D682&amp;"_"&amp;
SUBSTITUTE(TRIM(V682)," ","_")&amp;"_"&amp;
TRIM(AC682)&amp;"_"&amp;
"CO2"&amp;TEXT(AN682,"0.00")&amp;"_"&amp;
"pH"&amp;TEXT(AR682,"0.00")&amp;"_"&amp;
"T"&amp;TEXT(BC682,"0.##")</f>
        <v>215_Hyas_araneus_LARVA_CO2354.00_pH0.00_T3.</v>
      </c>
      <c r="D682">
        <v>215</v>
      </c>
      <c r="G682" t="s">
        <v>43</v>
      </c>
      <c r="H682" t="s">
        <v>1036</v>
      </c>
      <c r="J682">
        <v>2011</v>
      </c>
      <c r="M682" t="s">
        <v>67</v>
      </c>
      <c r="P682" t="s">
        <v>1135</v>
      </c>
      <c r="R682" t="s">
        <v>1127</v>
      </c>
      <c r="S682" t="s">
        <v>1128</v>
      </c>
      <c r="T682" t="s">
        <v>131</v>
      </c>
      <c r="U682" t="s">
        <v>245</v>
      </c>
      <c r="V682" t="s">
        <v>246</v>
      </c>
      <c r="AC682" t="s">
        <v>72</v>
      </c>
      <c r="AF682" t="s">
        <v>54</v>
      </c>
      <c r="AG682" t="s">
        <v>52</v>
      </c>
      <c r="AH682" t="s">
        <v>65</v>
      </c>
      <c r="AK682">
        <v>9</v>
      </c>
      <c r="AL682">
        <v>9</v>
      </c>
      <c r="AN682">
        <v>354</v>
      </c>
      <c r="AU682">
        <v>346</v>
      </c>
      <c r="BB682">
        <f>LOG(AU682)</f>
        <v>2.5390760987927767</v>
      </c>
      <c r="BC682">
        <v>3</v>
      </c>
      <c r="BF682">
        <v>9</v>
      </c>
      <c r="BI682">
        <v>-8</v>
      </c>
      <c r="BJ682">
        <v>6</v>
      </c>
      <c r="BK682" t="s">
        <v>1037</v>
      </c>
      <c r="BL682" t="s">
        <v>1038</v>
      </c>
      <c r="BM682" t="s">
        <v>241</v>
      </c>
      <c r="BN682" t="s">
        <v>60</v>
      </c>
      <c r="BO682" t="s">
        <v>1039</v>
      </c>
      <c r="BP682" t="s">
        <v>234</v>
      </c>
      <c r="BQ682" t="s">
        <v>194</v>
      </c>
      <c r="BR682" t="s">
        <v>63</v>
      </c>
      <c r="BT682">
        <v>2.3319999999999999</v>
      </c>
      <c r="BU682">
        <v>2.3319999999999999</v>
      </c>
      <c r="BV682">
        <v>0.22600000000000001</v>
      </c>
      <c r="BW682">
        <f>BV682*SQRT(AK682)</f>
        <v>0.67800000000000005</v>
      </c>
      <c r="BX682">
        <v>3.1320000000000001</v>
      </c>
      <c r="BY682">
        <v>3.1320000000000001</v>
      </c>
      <c r="BZ682">
        <v>0.155</v>
      </c>
      <c r="CA682">
        <f>BZ682*SQRT(AL682)</f>
        <v>0.46499999999999997</v>
      </c>
      <c r="CB682">
        <v>14</v>
      </c>
      <c r="CD682">
        <v>0.29499999999999998</v>
      </c>
      <c r="CE682">
        <v>1.18E-2</v>
      </c>
    </row>
    <row r="683" spans="1:84" hidden="1" x14ac:dyDescent="0.2">
      <c r="B683" t="str">
        <f>ROW()-1&amp;"_AltersInvert"</f>
        <v>682_AltersInvert</v>
      </c>
      <c r="C683" t="str">
        <f>D683&amp;"_"&amp;
SUBSTITUTE(TRIM(V683)," ","_")&amp;"_"&amp;
TRIM(AC683)&amp;"_"&amp;
"CO2"&amp;TEXT(AN683,"0.00")&amp;"_"&amp;
"pH"&amp;TEXT(AR683,"0.00")&amp;"_"&amp;
"T"&amp;TEXT(BC683,"0.##")</f>
        <v>215_Hyas_araneus_LARVA_CO2354.00_pH0.00_T3.</v>
      </c>
      <c r="D683">
        <v>215</v>
      </c>
      <c r="G683" t="s">
        <v>43</v>
      </c>
      <c r="H683" t="s">
        <v>1036</v>
      </c>
      <c r="J683">
        <v>2011</v>
      </c>
      <c r="M683" t="s">
        <v>67</v>
      </c>
      <c r="P683" t="s">
        <v>1135</v>
      </c>
      <c r="R683" t="s">
        <v>1127</v>
      </c>
      <c r="S683" t="s">
        <v>1128</v>
      </c>
      <c r="T683" t="s">
        <v>131</v>
      </c>
      <c r="U683" t="s">
        <v>245</v>
      </c>
      <c r="V683" t="s">
        <v>246</v>
      </c>
      <c r="AC683" t="s">
        <v>72</v>
      </c>
      <c r="AF683" t="s">
        <v>54</v>
      </c>
      <c r="AG683" t="s">
        <v>52</v>
      </c>
      <c r="AH683" t="s">
        <v>65</v>
      </c>
      <c r="AK683">
        <v>9</v>
      </c>
      <c r="AL683">
        <v>9</v>
      </c>
      <c r="AN683">
        <v>354</v>
      </c>
      <c r="AU683">
        <v>401</v>
      </c>
      <c r="BB683">
        <f>LOG(AU683)</f>
        <v>2.6031443726201822</v>
      </c>
      <c r="BC683">
        <v>3</v>
      </c>
      <c r="BF683">
        <v>15</v>
      </c>
      <c r="BI683">
        <v>47</v>
      </c>
      <c r="BJ683">
        <v>12</v>
      </c>
      <c r="BK683" t="s">
        <v>1037</v>
      </c>
      <c r="BL683" t="s">
        <v>1038</v>
      </c>
      <c r="BM683" t="s">
        <v>241</v>
      </c>
      <c r="BN683" t="s">
        <v>60</v>
      </c>
      <c r="BO683" t="s">
        <v>1039</v>
      </c>
      <c r="BP683" t="s">
        <v>234</v>
      </c>
      <c r="BQ683" t="s">
        <v>194</v>
      </c>
      <c r="BR683" t="s">
        <v>63</v>
      </c>
      <c r="BT683">
        <v>2.3319999999999999</v>
      </c>
      <c r="BU683">
        <v>2.3319999999999999</v>
      </c>
      <c r="BV683">
        <v>0.22600000000000001</v>
      </c>
      <c r="BW683">
        <f>BV683*SQRT(AK683)</f>
        <v>0.67800000000000005</v>
      </c>
      <c r="BX683">
        <v>4.4000000000000004</v>
      </c>
      <c r="BY683">
        <v>4.4000000000000004</v>
      </c>
      <c r="BZ683">
        <v>0.214</v>
      </c>
      <c r="CA683">
        <f>BZ683*SQRT(AL683)</f>
        <v>0.64200000000000002</v>
      </c>
      <c r="CB683">
        <v>14</v>
      </c>
      <c r="CD683">
        <v>0.63500000000000001</v>
      </c>
      <c r="CE683">
        <v>1.18E-2</v>
      </c>
    </row>
    <row r="684" spans="1:84" hidden="1" x14ac:dyDescent="0.2">
      <c r="B684" t="str">
        <f>ROW()-1&amp;"_AltersInvert"</f>
        <v>683_AltersInvert</v>
      </c>
      <c r="C684" t="str">
        <f>D684&amp;"_"&amp;
SUBSTITUTE(TRIM(V684)," ","_")&amp;"_"&amp;
TRIM(AC684)&amp;"_"&amp;
"CO2"&amp;TEXT(AN684,"0.00")&amp;"_"&amp;
"pH"&amp;TEXT(AR684,"0.00")&amp;"_"&amp;
"T"&amp;TEXT(BC684,"0.##")</f>
        <v>215_Hyas_araneus_LARVA_CO2354.00_pH0.00_T3.</v>
      </c>
      <c r="D684">
        <v>215</v>
      </c>
      <c r="G684" t="s">
        <v>43</v>
      </c>
      <c r="H684" t="s">
        <v>1036</v>
      </c>
      <c r="J684">
        <v>2011</v>
      </c>
      <c r="M684" t="s">
        <v>67</v>
      </c>
      <c r="P684" t="s">
        <v>1135</v>
      </c>
      <c r="R684" t="s">
        <v>1127</v>
      </c>
      <c r="S684" t="s">
        <v>1128</v>
      </c>
      <c r="T684" t="s">
        <v>131</v>
      </c>
      <c r="U684" t="s">
        <v>245</v>
      </c>
      <c r="V684" t="s">
        <v>246</v>
      </c>
      <c r="AC684" t="s">
        <v>72</v>
      </c>
      <c r="AF684" t="s">
        <v>52</v>
      </c>
      <c r="AG684" t="s">
        <v>52</v>
      </c>
      <c r="AH684" t="s">
        <v>64</v>
      </c>
      <c r="AK684">
        <v>9</v>
      </c>
      <c r="AL684">
        <v>9</v>
      </c>
      <c r="AN684">
        <v>354</v>
      </c>
      <c r="AU684">
        <v>2443</v>
      </c>
      <c r="BB684">
        <f>LOG(AU684)</f>
        <v>3.3879234669734366</v>
      </c>
      <c r="BC684">
        <v>3</v>
      </c>
      <c r="BF684">
        <v>9</v>
      </c>
      <c r="BI684">
        <v>2089</v>
      </c>
      <c r="BJ684">
        <v>6</v>
      </c>
      <c r="BK684" t="s">
        <v>1037</v>
      </c>
      <c r="BL684" t="s">
        <v>1038</v>
      </c>
      <c r="BM684" t="s">
        <v>241</v>
      </c>
      <c r="BN684" t="s">
        <v>60</v>
      </c>
      <c r="BO684" t="s">
        <v>1039</v>
      </c>
      <c r="BP684" t="s">
        <v>234</v>
      </c>
      <c r="BQ684" t="s">
        <v>194</v>
      </c>
      <c r="BR684" t="s">
        <v>63</v>
      </c>
      <c r="BT684">
        <v>2.3319999999999999</v>
      </c>
      <c r="BU684">
        <v>2.3319999999999999</v>
      </c>
      <c r="BV684">
        <v>0.22600000000000001</v>
      </c>
      <c r="BW684">
        <f>BV684*SQRT(AK684)</f>
        <v>0.67800000000000005</v>
      </c>
      <c r="BX684">
        <v>1.625</v>
      </c>
      <c r="BY684">
        <v>1.625</v>
      </c>
      <c r="BZ684">
        <v>0.156</v>
      </c>
      <c r="CA684">
        <f>BZ684*SQRT(AL684)</f>
        <v>0.46799999999999997</v>
      </c>
      <c r="CB684">
        <v>14</v>
      </c>
      <c r="CD684">
        <v>-0.36099999999999999</v>
      </c>
      <c r="CE684">
        <v>1.8599999999999998E-2</v>
      </c>
    </row>
    <row r="685" spans="1:84" hidden="1" x14ac:dyDescent="0.2">
      <c r="B685" t="str">
        <f>ROW()-1&amp;"_AltersInvert"</f>
        <v>684_AltersInvert</v>
      </c>
      <c r="C685" t="str">
        <f>D685&amp;"_"&amp;
SUBSTITUTE(TRIM(V685)," ","_")&amp;"_"&amp;
TRIM(AC685)&amp;"_"&amp;
"CO2"&amp;TEXT(AN685,"0.00")&amp;"_"&amp;
"pH"&amp;TEXT(AR685,"0.00")&amp;"_"&amp;
"T"&amp;TEXT(BC685,"0.##")</f>
        <v>215_Hyas_araneus_LARVA_CO2354.00_pH0.00_T3.</v>
      </c>
      <c r="D685">
        <v>215</v>
      </c>
      <c r="G685" t="s">
        <v>43</v>
      </c>
      <c r="H685" t="s">
        <v>1036</v>
      </c>
      <c r="J685">
        <v>2011</v>
      </c>
      <c r="M685" t="s">
        <v>67</v>
      </c>
      <c r="P685" t="s">
        <v>1135</v>
      </c>
      <c r="R685" t="s">
        <v>1127</v>
      </c>
      <c r="S685" t="s">
        <v>1128</v>
      </c>
      <c r="T685" t="s">
        <v>131</v>
      </c>
      <c r="U685" t="s">
        <v>245</v>
      </c>
      <c r="V685" t="s">
        <v>246</v>
      </c>
      <c r="AC685" t="s">
        <v>72</v>
      </c>
      <c r="AF685" t="s">
        <v>52</v>
      </c>
      <c r="AG685" t="s">
        <v>52</v>
      </c>
      <c r="AH685" t="s">
        <v>64</v>
      </c>
      <c r="AK685">
        <v>9</v>
      </c>
      <c r="AL685">
        <v>9</v>
      </c>
      <c r="AN685">
        <v>354</v>
      </c>
      <c r="AU685">
        <v>786</v>
      </c>
      <c r="BB685">
        <f>LOG(AU685)</f>
        <v>2.8954225460394079</v>
      </c>
      <c r="BC685">
        <v>3</v>
      </c>
      <c r="BF685">
        <v>9</v>
      </c>
      <c r="BI685">
        <v>432</v>
      </c>
      <c r="BJ685">
        <v>6</v>
      </c>
      <c r="BK685" t="s">
        <v>1037</v>
      </c>
      <c r="BL685" t="s">
        <v>1038</v>
      </c>
      <c r="BM685" t="s">
        <v>241</v>
      </c>
      <c r="BN685" t="s">
        <v>60</v>
      </c>
      <c r="BO685" t="s">
        <v>1039</v>
      </c>
      <c r="BP685" t="s">
        <v>234</v>
      </c>
      <c r="BQ685" t="s">
        <v>194</v>
      </c>
      <c r="BR685" t="s">
        <v>63</v>
      </c>
      <c r="BT685">
        <v>2.3319999999999999</v>
      </c>
      <c r="BU685">
        <v>2.3319999999999999</v>
      </c>
      <c r="BV685">
        <v>0.22600000000000001</v>
      </c>
      <c r="BW685">
        <f>BV685*SQRT(AK685)</f>
        <v>0.67800000000000005</v>
      </c>
      <c r="BX685">
        <v>3.1789999999999998</v>
      </c>
      <c r="BY685">
        <v>3.1789999999999998</v>
      </c>
      <c r="BZ685">
        <v>0.28899999999999998</v>
      </c>
      <c r="CA685">
        <f>BZ685*SQRT(AL685)</f>
        <v>0.86699999999999999</v>
      </c>
      <c r="CB685">
        <v>14</v>
      </c>
      <c r="CD685">
        <v>0.31</v>
      </c>
      <c r="CE685">
        <v>1.77E-2</v>
      </c>
    </row>
    <row r="686" spans="1:84" s="8" customFormat="1" hidden="1" x14ac:dyDescent="0.2">
      <c r="A686"/>
      <c r="B686" t="str">
        <f>ROW()-1&amp;"_AltersInvert"</f>
        <v>685_AltersInvert</v>
      </c>
      <c r="C686" t="str">
        <f>D686&amp;"_"&amp;
SUBSTITUTE(TRIM(V686)," ","_")&amp;"_"&amp;
TRIM(AC686)&amp;"_"&amp;
"CO2"&amp;TEXT(AN686,"0.00")&amp;"_"&amp;
"pH"&amp;TEXT(AR686,"0.00")&amp;"_"&amp;
"T"&amp;TEXT(BC686,"0.##")</f>
        <v>215_Hyas_araneus_LARVA_CO2354.00_pH0.00_T3.</v>
      </c>
      <c r="D686">
        <v>215</v>
      </c>
      <c r="E686"/>
      <c r="F686"/>
      <c r="G686" t="s">
        <v>43</v>
      </c>
      <c r="H686" t="s">
        <v>1036</v>
      </c>
      <c r="I686"/>
      <c r="J686">
        <v>2011</v>
      </c>
      <c r="K686"/>
      <c r="L686"/>
      <c r="M686" t="s">
        <v>67</v>
      </c>
      <c r="N686"/>
      <c r="O686"/>
      <c r="P686" t="s">
        <v>1135</v>
      </c>
      <c r="Q686"/>
      <c r="R686" t="s">
        <v>1127</v>
      </c>
      <c r="S686" t="s">
        <v>1128</v>
      </c>
      <c r="T686" t="s">
        <v>131</v>
      </c>
      <c r="U686" t="s">
        <v>245</v>
      </c>
      <c r="V686" t="s">
        <v>246</v>
      </c>
      <c r="W686"/>
      <c r="X686"/>
      <c r="Y686"/>
      <c r="Z686"/>
      <c r="AA686"/>
      <c r="AB686"/>
      <c r="AC686" t="s">
        <v>72</v>
      </c>
      <c r="AD686"/>
      <c r="AE686"/>
      <c r="AF686" t="s">
        <v>52</v>
      </c>
      <c r="AG686" t="s">
        <v>52</v>
      </c>
      <c r="AH686" t="s">
        <v>64</v>
      </c>
      <c r="AI686"/>
      <c r="AJ686"/>
      <c r="AK686">
        <v>9</v>
      </c>
      <c r="AL686">
        <v>9</v>
      </c>
      <c r="AM686"/>
      <c r="AN686">
        <v>354</v>
      </c>
      <c r="AO686"/>
      <c r="AP686"/>
      <c r="AQ686"/>
      <c r="AR686"/>
      <c r="AS686"/>
      <c r="AT686"/>
      <c r="AU686">
        <v>2637</v>
      </c>
      <c r="AV686"/>
      <c r="AW686"/>
      <c r="AX686"/>
      <c r="AY686"/>
      <c r="AZ686"/>
      <c r="BA686"/>
      <c r="BB686">
        <f>LOG(AU686)</f>
        <v>3.4211101297934343</v>
      </c>
      <c r="BC686">
        <v>3</v>
      </c>
      <c r="BD686"/>
      <c r="BE686"/>
      <c r="BF686">
        <v>15</v>
      </c>
      <c r="BG686"/>
      <c r="BH686"/>
      <c r="BI686">
        <v>2283</v>
      </c>
      <c r="BJ686">
        <v>12</v>
      </c>
      <c r="BK686" t="s">
        <v>1037</v>
      </c>
      <c r="BL686" t="s">
        <v>1038</v>
      </c>
      <c r="BM686" t="s">
        <v>241</v>
      </c>
      <c r="BN686" t="s">
        <v>60</v>
      </c>
      <c r="BO686" t="s">
        <v>1039</v>
      </c>
      <c r="BP686" t="s">
        <v>234</v>
      </c>
      <c r="BQ686" t="s">
        <v>194</v>
      </c>
      <c r="BR686" t="s">
        <v>63</v>
      </c>
      <c r="BS686"/>
      <c r="BT686">
        <v>2.3319999999999999</v>
      </c>
      <c r="BU686">
        <v>2.3319999999999999</v>
      </c>
      <c r="BV686">
        <v>0.22600000000000001</v>
      </c>
      <c r="BW686">
        <f>BV686*SQRT(AK686)</f>
        <v>0.67800000000000005</v>
      </c>
      <c r="BX686">
        <v>4.18</v>
      </c>
      <c r="BY686">
        <v>4.18</v>
      </c>
      <c r="BZ686">
        <v>0.214</v>
      </c>
      <c r="CA686">
        <f>BZ686*SQRT(AL686)</f>
        <v>0.64200000000000002</v>
      </c>
      <c r="CB686">
        <v>14</v>
      </c>
      <c r="CC686"/>
      <c r="CD686">
        <v>0.58399999999999996</v>
      </c>
      <c r="CE686">
        <v>1.2E-2</v>
      </c>
      <c r="CF686"/>
    </row>
    <row r="687" spans="1:84" s="8" customFormat="1" hidden="1" x14ac:dyDescent="0.2">
      <c r="A687"/>
      <c r="B687" t="str">
        <f>ROW()-1&amp;"_AltersInvert"</f>
        <v>686_AltersInvert</v>
      </c>
      <c r="C687" t="str">
        <f>D687&amp;"_"&amp;
SUBSTITUTE(TRIM(V687)," ","_")&amp;"_"&amp;
TRIM(AC687)&amp;"_"&amp;
"CO2"&amp;TEXT(AN687,"0.00")&amp;"_"&amp;
"pH"&amp;TEXT(AR687,"0.00")&amp;"_"&amp;
"T"&amp;TEXT(BC687,"0.##")</f>
        <v>215_Hyas_araneus_LARVA_CO2354.00_pH0.00_T3.</v>
      </c>
      <c r="D687">
        <v>215</v>
      </c>
      <c r="E687"/>
      <c r="F687"/>
      <c r="G687" t="s">
        <v>43</v>
      </c>
      <c r="H687" t="s">
        <v>1036</v>
      </c>
      <c r="I687"/>
      <c r="J687">
        <v>2011</v>
      </c>
      <c r="K687"/>
      <c r="L687"/>
      <c r="M687" t="s">
        <v>67</v>
      </c>
      <c r="N687"/>
      <c r="O687"/>
      <c r="P687" t="s">
        <v>1135</v>
      </c>
      <c r="Q687"/>
      <c r="R687" t="s">
        <v>1127</v>
      </c>
      <c r="S687" t="s">
        <v>1128</v>
      </c>
      <c r="T687" t="s">
        <v>131</v>
      </c>
      <c r="U687" t="s">
        <v>245</v>
      </c>
      <c r="V687" t="s">
        <v>246</v>
      </c>
      <c r="W687"/>
      <c r="X687"/>
      <c r="Y687"/>
      <c r="Z687"/>
      <c r="AA687"/>
      <c r="AB687"/>
      <c r="AC687" t="s">
        <v>72</v>
      </c>
      <c r="AD687"/>
      <c r="AE687"/>
      <c r="AF687" t="s">
        <v>52</v>
      </c>
      <c r="AG687" t="s">
        <v>52</v>
      </c>
      <c r="AH687" t="s">
        <v>64</v>
      </c>
      <c r="AI687"/>
      <c r="AJ687"/>
      <c r="AK687">
        <v>9</v>
      </c>
      <c r="AL687">
        <v>9</v>
      </c>
      <c r="AM687"/>
      <c r="AN687">
        <v>354</v>
      </c>
      <c r="AO687"/>
      <c r="AP687"/>
      <c r="AQ687"/>
      <c r="AR687"/>
      <c r="AS687"/>
      <c r="AT687"/>
      <c r="AU687">
        <v>846</v>
      </c>
      <c r="AV687"/>
      <c r="AW687"/>
      <c r="AX687"/>
      <c r="AY687"/>
      <c r="AZ687"/>
      <c r="BA687"/>
      <c r="BB687">
        <f>LOG(AU687)</f>
        <v>2.9273703630390235</v>
      </c>
      <c r="BC687">
        <v>3</v>
      </c>
      <c r="BD687"/>
      <c r="BE687"/>
      <c r="BF687">
        <v>15</v>
      </c>
      <c r="BG687"/>
      <c r="BH687"/>
      <c r="BI687">
        <v>492</v>
      </c>
      <c r="BJ687">
        <v>12</v>
      </c>
      <c r="BK687" t="s">
        <v>1037</v>
      </c>
      <c r="BL687" t="s">
        <v>1038</v>
      </c>
      <c r="BM687" t="s">
        <v>241</v>
      </c>
      <c r="BN687" t="s">
        <v>60</v>
      </c>
      <c r="BO687" t="s">
        <v>1039</v>
      </c>
      <c r="BP687" t="s">
        <v>234</v>
      </c>
      <c r="BQ687" t="s">
        <v>194</v>
      </c>
      <c r="BR687" t="s">
        <v>63</v>
      </c>
      <c r="BS687"/>
      <c r="BT687">
        <v>2.3319999999999999</v>
      </c>
      <c r="BU687">
        <v>2.3319999999999999</v>
      </c>
      <c r="BV687">
        <v>0.22600000000000001</v>
      </c>
      <c r="BW687">
        <f>BV687*SQRT(AK687)</f>
        <v>0.67800000000000005</v>
      </c>
      <c r="BX687">
        <v>4.5259999999999998</v>
      </c>
      <c r="BY687">
        <v>4.5259999999999998</v>
      </c>
      <c r="BZ687">
        <v>0.107</v>
      </c>
      <c r="CA687">
        <f>BZ687*SQRT(AL687)</f>
        <v>0.32100000000000001</v>
      </c>
      <c r="CB687">
        <v>14</v>
      </c>
      <c r="CC687"/>
      <c r="CD687">
        <v>0.66300000000000003</v>
      </c>
      <c r="CE687">
        <v>0.01</v>
      </c>
      <c r="CF687"/>
    </row>
    <row r="688" spans="1:84" s="8" customFormat="1" hidden="1" x14ac:dyDescent="0.2">
      <c r="C688" s="8" t="s">
        <v>1129</v>
      </c>
      <c r="D688" s="8">
        <v>202</v>
      </c>
      <c r="G688" s="8" t="s">
        <v>43</v>
      </c>
      <c r="H688" s="8" t="s">
        <v>951</v>
      </c>
      <c r="I688" s="8" t="s">
        <v>1131</v>
      </c>
      <c r="J688" s="8">
        <v>2021</v>
      </c>
      <c r="M688" s="8" t="s">
        <v>94</v>
      </c>
      <c r="T688" s="8" t="s">
        <v>68</v>
      </c>
      <c r="U688" s="8" t="s">
        <v>167</v>
      </c>
      <c r="V688" s="8" t="s">
        <v>168</v>
      </c>
      <c r="Z688" s="8" t="s">
        <v>49</v>
      </c>
      <c r="AA688" s="8" t="s">
        <v>49</v>
      </c>
      <c r="AB688" s="8" t="s">
        <v>71</v>
      </c>
      <c r="AC688" s="8" t="s">
        <v>195</v>
      </c>
      <c r="AD688" s="8" t="s">
        <v>54</v>
      </c>
      <c r="AE688" s="8" t="s">
        <v>53</v>
      </c>
      <c r="AF688" s="8" t="s">
        <v>52</v>
      </c>
      <c r="AG688" s="8" t="s">
        <v>52</v>
      </c>
      <c r="AH688" s="8" t="s">
        <v>64</v>
      </c>
      <c r="AK688" s="8">
        <v>3</v>
      </c>
      <c r="AL688" s="8">
        <v>3</v>
      </c>
      <c r="AN688" s="8">
        <v>367</v>
      </c>
      <c r="AO688" s="8">
        <v>2</v>
      </c>
      <c r="AP688" s="8" t="s">
        <v>56</v>
      </c>
      <c r="AQ688" s="8" t="s">
        <v>109</v>
      </c>
      <c r="AR688" s="8">
        <v>8.1</v>
      </c>
      <c r="AS688" s="8">
        <v>0</v>
      </c>
      <c r="AT688" s="8" t="s">
        <v>56</v>
      </c>
      <c r="AU688" s="8">
        <v>850</v>
      </c>
      <c r="AV688">
        <v>10</v>
      </c>
      <c r="AW688" t="s">
        <v>56</v>
      </c>
      <c r="AX688">
        <v>7.8</v>
      </c>
      <c r="AY688">
        <v>0</v>
      </c>
      <c r="AZ688" t="s">
        <v>56</v>
      </c>
      <c r="BB688" s="8">
        <f>LOG(AU688)</f>
        <v>2.9294189257142929</v>
      </c>
      <c r="BC688" s="8">
        <v>24</v>
      </c>
      <c r="BD688" s="8">
        <v>1</v>
      </c>
      <c r="BE688" s="8" t="s">
        <v>56</v>
      </c>
      <c r="BF688" s="8">
        <v>28</v>
      </c>
      <c r="BG688" s="8">
        <v>1</v>
      </c>
      <c r="BH688" s="8" t="s">
        <v>56</v>
      </c>
      <c r="BI688" s="8">
        <v>483</v>
      </c>
      <c r="BJ688" s="8">
        <v>4</v>
      </c>
      <c r="BK688" s="8" t="s">
        <v>56</v>
      </c>
      <c r="BL688" s="8" t="s">
        <v>952</v>
      </c>
      <c r="BM688" s="8" t="s">
        <v>192</v>
      </c>
      <c r="BN688" s="8" t="s">
        <v>60</v>
      </c>
      <c r="BO688" s="8" t="s">
        <v>446</v>
      </c>
      <c r="BP688" s="8" t="s">
        <v>194</v>
      </c>
      <c r="BQ688" s="8" t="s">
        <v>190</v>
      </c>
      <c r="BR688" s="8" t="s">
        <v>63</v>
      </c>
      <c r="BT688" s="8">
        <v>6.21</v>
      </c>
      <c r="BU688" s="8">
        <v>6.21</v>
      </c>
      <c r="BV688" s="8">
        <v>0.43</v>
      </c>
      <c r="BW688" s="8">
        <f>BV688*SQRT(AK688)</f>
        <v>0.74478184725461716</v>
      </c>
      <c r="BX688" s="8">
        <v>4.66</v>
      </c>
      <c r="BY688" s="8">
        <v>4.66</v>
      </c>
      <c r="BZ688" s="8">
        <v>0.27</v>
      </c>
      <c r="CA688" s="8">
        <f>BZ688*SQRT(AL688)</f>
        <v>0.4676537180435969</v>
      </c>
      <c r="CB688" s="8">
        <v>1</v>
      </c>
      <c r="CC688" s="8">
        <v>3</v>
      </c>
      <c r="CD688" s="8">
        <v>-0.28699999999999998</v>
      </c>
      <c r="CE688" s="8">
        <v>8.2000000000000007E-3</v>
      </c>
    </row>
    <row r="689" spans="1:84" s="8" customFormat="1" hidden="1" x14ac:dyDescent="0.2">
      <c r="C689" s="8" t="s">
        <v>1129</v>
      </c>
      <c r="D689" s="8">
        <v>202</v>
      </c>
      <c r="G689" s="8" t="s">
        <v>43</v>
      </c>
      <c r="H689" s="8" t="s">
        <v>951</v>
      </c>
      <c r="I689" s="8" t="s">
        <v>1131</v>
      </c>
      <c r="J689" s="8">
        <v>2021</v>
      </c>
      <c r="M689" s="8" t="s">
        <v>94</v>
      </c>
      <c r="T689" s="8" t="s">
        <v>68</v>
      </c>
      <c r="U689" s="8" t="s">
        <v>167</v>
      </c>
      <c r="V689" s="8" t="s">
        <v>168</v>
      </c>
      <c r="Z689" s="8" t="s">
        <v>49</v>
      </c>
      <c r="AA689" s="8" t="s">
        <v>49</v>
      </c>
      <c r="AB689" s="8" t="s">
        <v>71</v>
      </c>
      <c r="AC689" s="8" t="s">
        <v>195</v>
      </c>
      <c r="AD689" s="8" t="s">
        <v>54</v>
      </c>
      <c r="AE689" s="8" t="s">
        <v>53</v>
      </c>
      <c r="AF689" s="8" t="s">
        <v>54</v>
      </c>
      <c r="AG689" s="8" t="s">
        <v>52</v>
      </c>
      <c r="AH689" s="8" t="s">
        <v>65</v>
      </c>
      <c r="AK689" s="8">
        <v>3</v>
      </c>
      <c r="AL689" s="8">
        <v>3</v>
      </c>
      <c r="AN689" s="8">
        <v>367</v>
      </c>
      <c r="AO689" s="8">
        <v>2</v>
      </c>
      <c r="AP689" s="8" t="s">
        <v>56</v>
      </c>
      <c r="AQ689" s="8" t="s">
        <v>109</v>
      </c>
      <c r="AR689" s="8">
        <v>8.1</v>
      </c>
      <c r="AS689" s="8">
        <v>0</v>
      </c>
      <c r="AT689" s="8" t="s">
        <v>56</v>
      </c>
      <c r="AU689" s="8">
        <v>369</v>
      </c>
      <c r="AV689">
        <v>10</v>
      </c>
      <c r="AW689" t="s">
        <v>56</v>
      </c>
      <c r="AX689">
        <v>8.1</v>
      </c>
      <c r="AY689">
        <v>0</v>
      </c>
      <c r="AZ689" t="s">
        <v>56</v>
      </c>
      <c r="BB689" s="8">
        <f>LOG(AU689)</f>
        <v>2.5670263661590602</v>
      </c>
      <c r="BC689" s="8">
        <v>24</v>
      </c>
      <c r="BD689" s="8">
        <v>1</v>
      </c>
      <c r="BE689" s="8" t="s">
        <v>56</v>
      </c>
      <c r="BF689" s="8">
        <v>28</v>
      </c>
      <c r="BG689" s="8">
        <v>1</v>
      </c>
      <c r="BH689" s="8" t="s">
        <v>56</v>
      </c>
      <c r="BI689" s="8">
        <v>2</v>
      </c>
      <c r="BJ689" s="8">
        <v>4</v>
      </c>
      <c r="BK689" s="8" t="s">
        <v>56</v>
      </c>
      <c r="BL689" s="8" t="s">
        <v>952</v>
      </c>
      <c r="BM689" s="8" t="s">
        <v>192</v>
      </c>
      <c r="BN689" s="8" t="s">
        <v>60</v>
      </c>
      <c r="BO689" s="8" t="s">
        <v>446</v>
      </c>
      <c r="BP689" s="8" t="s">
        <v>194</v>
      </c>
      <c r="BQ689" s="8" t="s">
        <v>190</v>
      </c>
      <c r="BR689" s="8" t="s">
        <v>63</v>
      </c>
      <c r="BT689" s="8">
        <v>6.21</v>
      </c>
      <c r="BU689" s="8">
        <v>6.21</v>
      </c>
      <c r="BV689" s="8">
        <v>0.43</v>
      </c>
      <c r="BW689" s="8">
        <f>BV689*SQRT(AK689)</f>
        <v>0.74478184725461716</v>
      </c>
      <c r="BX689" s="8">
        <v>5.03</v>
      </c>
      <c r="BY689" s="8">
        <v>5.03</v>
      </c>
      <c r="BZ689" s="8">
        <v>0.18</v>
      </c>
      <c r="CA689" s="8">
        <f>BZ689*SQRT(AL689)</f>
        <v>0.31176914536239786</v>
      </c>
      <c r="CB689" s="8">
        <v>1</v>
      </c>
      <c r="CC689" s="8">
        <v>3</v>
      </c>
      <c r="CD689" s="8">
        <v>-0.21099999999999999</v>
      </c>
      <c r="CE689" s="8">
        <v>6.1000000000000004E-3</v>
      </c>
    </row>
    <row r="690" spans="1:84" s="8" customFormat="1" hidden="1" x14ac:dyDescent="0.2">
      <c r="C690" s="8" t="s">
        <v>1129</v>
      </c>
      <c r="D690" s="8">
        <v>202</v>
      </c>
      <c r="G690" s="8" t="s">
        <v>43</v>
      </c>
      <c r="H690" s="8" t="s">
        <v>951</v>
      </c>
      <c r="I690" s="8" t="s">
        <v>1131</v>
      </c>
      <c r="J690" s="8">
        <v>2021</v>
      </c>
      <c r="M690" s="8" t="s">
        <v>94</v>
      </c>
      <c r="T690" s="8" t="s">
        <v>68</v>
      </c>
      <c r="U690" s="8" t="s">
        <v>167</v>
      </c>
      <c r="V690" s="8" t="s">
        <v>168</v>
      </c>
      <c r="Z690" s="8" t="s">
        <v>49</v>
      </c>
      <c r="AA690" s="8" t="s">
        <v>49</v>
      </c>
      <c r="AB690" s="8" t="s">
        <v>71</v>
      </c>
      <c r="AC690" s="8" t="s">
        <v>195</v>
      </c>
      <c r="AD690" s="8" t="s">
        <v>54</v>
      </c>
      <c r="AE690" s="8" t="s">
        <v>53</v>
      </c>
      <c r="AF690" s="8" t="s">
        <v>52</v>
      </c>
      <c r="AG690" s="8" t="s">
        <v>54</v>
      </c>
      <c r="AH690" s="8" t="s">
        <v>55</v>
      </c>
      <c r="AK690" s="8">
        <v>3</v>
      </c>
      <c r="AL690" s="8">
        <v>3</v>
      </c>
      <c r="AN690" s="8">
        <v>367</v>
      </c>
      <c r="AO690" s="8">
        <v>2</v>
      </c>
      <c r="AP690" s="8" t="s">
        <v>56</v>
      </c>
      <c r="AQ690" s="8" t="s">
        <v>109</v>
      </c>
      <c r="AR690" s="8">
        <v>8.1</v>
      </c>
      <c r="AS690" s="8">
        <v>0</v>
      </c>
      <c r="AT690" s="8" t="s">
        <v>56</v>
      </c>
      <c r="AU690" s="8">
        <v>843</v>
      </c>
      <c r="AV690">
        <v>4</v>
      </c>
      <c r="AW690" t="s">
        <v>56</v>
      </c>
      <c r="AX690">
        <v>7.8</v>
      </c>
      <c r="AY690">
        <v>0</v>
      </c>
      <c r="AZ690" t="s">
        <v>56</v>
      </c>
      <c r="BB690" s="8">
        <f>LOG(AU690)</f>
        <v>2.9258275746247424</v>
      </c>
      <c r="BC690" s="8">
        <v>24</v>
      </c>
      <c r="BD690" s="8">
        <v>1</v>
      </c>
      <c r="BE690" s="8" t="s">
        <v>56</v>
      </c>
      <c r="BF690" s="8">
        <v>24</v>
      </c>
      <c r="BG690" s="8">
        <v>1</v>
      </c>
      <c r="BH690" s="8" t="s">
        <v>56</v>
      </c>
      <c r="BI690" s="8">
        <v>476</v>
      </c>
      <c r="BJ690" s="8">
        <v>0</v>
      </c>
      <c r="BK690" s="8" t="s">
        <v>56</v>
      </c>
      <c r="BL690" s="8" t="s">
        <v>952</v>
      </c>
      <c r="BM690" s="8" t="s">
        <v>192</v>
      </c>
      <c r="BN690" s="8" t="s">
        <v>60</v>
      </c>
      <c r="BO690" s="8" t="s">
        <v>446</v>
      </c>
      <c r="BP690" s="8" t="s">
        <v>194</v>
      </c>
      <c r="BQ690" s="8" t="s">
        <v>190</v>
      </c>
      <c r="BR690" s="8" t="s">
        <v>63</v>
      </c>
      <c r="BT690" s="8">
        <v>6.21</v>
      </c>
      <c r="BU690" s="8">
        <v>6.21</v>
      </c>
      <c r="BV690" s="8">
        <v>0.43</v>
      </c>
      <c r="BW690" s="8">
        <f>BV690*SQRT(AK690)</f>
        <v>0.74478184725461716</v>
      </c>
      <c r="BX690" s="8">
        <v>7.01</v>
      </c>
      <c r="BY690" s="8">
        <v>7.01</v>
      </c>
      <c r="BZ690" s="8">
        <v>0.18</v>
      </c>
      <c r="CA690" s="8">
        <f>BZ690*SQRT(AL690)</f>
        <v>0.31176914536239786</v>
      </c>
      <c r="CB690" s="8">
        <v>1</v>
      </c>
      <c r="CC690" s="8">
        <v>3</v>
      </c>
      <c r="CD690" s="8">
        <v>0.121</v>
      </c>
      <c r="CE690" s="8">
        <v>5.4999999999999997E-3</v>
      </c>
    </row>
    <row r="691" spans="1:84" s="8" customFormat="1" hidden="1" x14ac:dyDescent="0.2">
      <c r="A691"/>
      <c r="B691" t="str">
        <f>ROW()-1&amp;"_AltersInvert"</f>
        <v>690_AltersInvert</v>
      </c>
      <c r="C691" t="str">
        <f>D691&amp;"_"&amp;
SUBSTITUTE(TRIM(V691)," ","_")&amp;"_"&amp;
TRIM(AC691)&amp;"_"&amp;
"CO2"&amp;TEXT(AN691,"0.00")&amp;"_"&amp;
"pH"&amp;TEXT(AR691,"0.00")&amp;"_"&amp;
"T"&amp;TEXT(BC691,"0.##")</f>
        <v>10_Pocillopora_damicornis _LARVA_CO2420.00_pH8.03_T25.3</v>
      </c>
      <c r="D691">
        <v>10</v>
      </c>
      <c r="E691"/>
      <c r="F691"/>
      <c r="G691" t="s">
        <v>43</v>
      </c>
      <c r="H691" t="s">
        <v>199</v>
      </c>
      <c r="I691"/>
      <c r="J691">
        <v>2013</v>
      </c>
      <c r="K691"/>
      <c r="L691"/>
      <c r="M691" t="s">
        <v>200</v>
      </c>
      <c r="N691"/>
      <c r="O691"/>
      <c r="P691" t="s">
        <v>1135</v>
      </c>
      <c r="Q691"/>
      <c r="R691" t="s">
        <v>1127</v>
      </c>
      <c r="S691" t="s">
        <v>1128</v>
      </c>
      <c r="T691" t="s">
        <v>103</v>
      </c>
      <c r="U691" t="s">
        <v>201</v>
      </c>
      <c r="V691" t="s">
        <v>202</v>
      </c>
      <c r="W691"/>
      <c r="X691"/>
      <c r="Y691"/>
      <c r="Z691" t="s">
        <v>106</v>
      </c>
      <c r="AA691" t="s">
        <v>107</v>
      </c>
      <c r="AB691" t="s">
        <v>71</v>
      </c>
      <c r="AC691" t="s">
        <v>72</v>
      </c>
      <c r="AD691" t="s">
        <v>52</v>
      </c>
      <c r="AE691" t="s">
        <v>56</v>
      </c>
      <c r="AF691" t="s">
        <v>52</v>
      </c>
      <c r="AG691" t="s">
        <v>54</v>
      </c>
      <c r="AH691" t="s">
        <v>55</v>
      </c>
      <c r="AI691"/>
      <c r="AJ691"/>
      <c r="AK691">
        <v>3</v>
      </c>
      <c r="AL691">
        <v>3</v>
      </c>
      <c r="AM691"/>
      <c r="AN691">
        <v>420</v>
      </c>
      <c r="AO691">
        <v>13</v>
      </c>
      <c r="AP691" t="s">
        <v>56</v>
      </c>
      <c r="AQ691" t="s">
        <v>109</v>
      </c>
      <c r="AR691">
        <v>8.0299999999999994</v>
      </c>
      <c r="AS691">
        <v>0.01</v>
      </c>
      <c r="AT691" t="s">
        <v>56</v>
      </c>
      <c r="AU691">
        <v>607</v>
      </c>
      <c r="AV691">
        <v>15</v>
      </c>
      <c r="AW691" t="s">
        <v>56</v>
      </c>
      <c r="AX691">
        <v>7.9</v>
      </c>
      <c r="AY691">
        <v>0.01</v>
      </c>
      <c r="AZ691" t="s">
        <v>56</v>
      </c>
      <c r="BA691"/>
      <c r="BB691">
        <f>LOG(AU691)</f>
        <v>2.7831886910752575</v>
      </c>
      <c r="BC691">
        <v>25.3</v>
      </c>
      <c r="BD691">
        <v>0.1</v>
      </c>
      <c r="BE691" t="s">
        <v>56</v>
      </c>
      <c r="BF691">
        <v>25.5</v>
      </c>
      <c r="BG691">
        <v>0.1</v>
      </c>
      <c r="BH691" t="s">
        <v>56</v>
      </c>
      <c r="BI691">
        <v>187</v>
      </c>
      <c r="BJ691">
        <v>0.2</v>
      </c>
      <c r="BK691" t="s">
        <v>56</v>
      </c>
      <c r="BL691" t="s">
        <v>205</v>
      </c>
      <c r="BM691" t="s">
        <v>206</v>
      </c>
      <c r="BN691" t="s">
        <v>60</v>
      </c>
      <c r="BO691" t="s">
        <v>207</v>
      </c>
      <c r="BP691" t="s">
        <v>194</v>
      </c>
      <c r="BQ691" t="s">
        <v>194</v>
      </c>
      <c r="BR691" t="s">
        <v>63</v>
      </c>
      <c r="BS691"/>
      <c r="BT691">
        <v>0.96</v>
      </c>
      <c r="BU691">
        <v>0.95762199999999997</v>
      </c>
      <c r="BV691">
        <v>0.43</v>
      </c>
      <c r="BW691">
        <f>BV691*SQRT(AK691)</f>
        <v>0.74478184725461716</v>
      </c>
      <c r="BX691">
        <v>1.37</v>
      </c>
      <c r="BY691">
        <v>1.3670277</v>
      </c>
      <c r="BZ691">
        <v>0.16</v>
      </c>
      <c r="CA691">
        <f>BZ691*SQRT(AL691)</f>
        <v>0.27712812921102037</v>
      </c>
      <c r="CB691">
        <v>9</v>
      </c>
      <c r="CC691">
        <v>4</v>
      </c>
      <c r="CD691">
        <v>0.35599999999999998</v>
      </c>
      <c r="CE691">
        <v>0.21160000000000001</v>
      </c>
      <c r="CF691"/>
    </row>
    <row r="692" spans="1:84" s="8" customFormat="1" hidden="1" x14ac:dyDescent="0.2">
      <c r="A692"/>
      <c r="B692" t="str">
        <f>ROW()-1&amp;"_AltersInvert"</f>
        <v>691_AltersInvert</v>
      </c>
      <c r="C692" t="str">
        <f>D692&amp;"_"&amp;
SUBSTITUTE(TRIM(V692)," ","_")&amp;"_"&amp;
TRIM(AC692)&amp;"_"&amp;
"CO2"&amp;TEXT(AN692,"0.00")&amp;"_"&amp;
"pH"&amp;TEXT(AR692,"0.00")&amp;"_"&amp;
"T"&amp;TEXT(BC692,"0.##")</f>
        <v>10_Pocillopora_damicornis _LARVA_CO2420.00_pH8.03_T25.3</v>
      </c>
      <c r="D692">
        <v>10</v>
      </c>
      <c r="E692"/>
      <c r="F692"/>
      <c r="G692" t="s">
        <v>43</v>
      </c>
      <c r="H692" t="s">
        <v>199</v>
      </c>
      <c r="I692"/>
      <c r="J692">
        <v>2013</v>
      </c>
      <c r="K692"/>
      <c r="L692"/>
      <c r="M692" t="s">
        <v>200</v>
      </c>
      <c r="N692"/>
      <c r="O692"/>
      <c r="P692" t="s">
        <v>1135</v>
      </c>
      <c r="Q692"/>
      <c r="R692" t="s">
        <v>1127</v>
      </c>
      <c r="S692" t="s">
        <v>1128</v>
      </c>
      <c r="T692" t="s">
        <v>103</v>
      </c>
      <c r="U692" t="s">
        <v>201</v>
      </c>
      <c r="V692" t="s">
        <v>202</v>
      </c>
      <c r="W692"/>
      <c r="X692"/>
      <c r="Y692"/>
      <c r="Z692" t="s">
        <v>106</v>
      </c>
      <c r="AA692" t="s">
        <v>107</v>
      </c>
      <c r="AB692" t="s">
        <v>71</v>
      </c>
      <c r="AC692" t="s">
        <v>72</v>
      </c>
      <c r="AD692" t="s">
        <v>52</v>
      </c>
      <c r="AE692" t="s">
        <v>56</v>
      </c>
      <c r="AF692" t="s">
        <v>54</v>
      </c>
      <c r="AG692" t="s">
        <v>52</v>
      </c>
      <c r="AH692" t="s">
        <v>65</v>
      </c>
      <c r="AI692"/>
      <c r="AJ692"/>
      <c r="AK692">
        <v>3</v>
      </c>
      <c r="AL692">
        <v>4</v>
      </c>
      <c r="AM692"/>
      <c r="AN692">
        <v>420</v>
      </c>
      <c r="AO692">
        <v>13</v>
      </c>
      <c r="AP692" t="s">
        <v>56</v>
      </c>
      <c r="AQ692" t="s">
        <v>109</v>
      </c>
      <c r="AR692">
        <v>8.0299999999999994</v>
      </c>
      <c r="AS692">
        <v>0.01</v>
      </c>
      <c r="AT692" t="s">
        <v>56</v>
      </c>
      <c r="AU692">
        <v>413</v>
      </c>
      <c r="AV692">
        <v>16</v>
      </c>
      <c r="AW692" t="s">
        <v>56</v>
      </c>
      <c r="AX692">
        <v>8.0500000000000007</v>
      </c>
      <c r="AY692">
        <v>0.02</v>
      </c>
      <c r="AZ692" t="s">
        <v>56</v>
      </c>
      <c r="BA692"/>
      <c r="BB692">
        <f>LOG(AU692)</f>
        <v>2.6159500516564012</v>
      </c>
      <c r="BC692">
        <v>25.3</v>
      </c>
      <c r="BD692">
        <v>0.1</v>
      </c>
      <c r="BE692" t="s">
        <v>56</v>
      </c>
      <c r="BF692">
        <v>29</v>
      </c>
      <c r="BG692">
        <v>0.2</v>
      </c>
      <c r="BH692" t="s">
        <v>56</v>
      </c>
      <c r="BI692">
        <v>-7</v>
      </c>
      <c r="BJ692">
        <v>3.7</v>
      </c>
      <c r="BK692" t="s">
        <v>56</v>
      </c>
      <c r="BL692" t="s">
        <v>205</v>
      </c>
      <c r="BM692" t="s">
        <v>206</v>
      </c>
      <c r="BN692" t="s">
        <v>60</v>
      </c>
      <c r="BO692" t="s">
        <v>207</v>
      </c>
      <c r="BP692" t="s">
        <v>194</v>
      </c>
      <c r="BQ692" t="s">
        <v>194</v>
      </c>
      <c r="BR692" t="s">
        <v>63</v>
      </c>
      <c r="BS692"/>
      <c r="BT692">
        <v>0.96</v>
      </c>
      <c r="BU692">
        <v>0.95762199999999997</v>
      </c>
      <c r="BV692">
        <v>0.43</v>
      </c>
      <c r="BW692">
        <f>BV692*SQRT(AK692)</f>
        <v>0.74478184725461716</v>
      </c>
      <c r="BX692">
        <v>0.82</v>
      </c>
      <c r="BY692">
        <v>0.81997819999999999</v>
      </c>
      <c r="BZ692">
        <v>0.22</v>
      </c>
      <c r="CA692">
        <f>BZ692*SQRT(AL692)</f>
        <v>0.44</v>
      </c>
      <c r="CB692">
        <v>9</v>
      </c>
      <c r="CC692">
        <v>4</v>
      </c>
      <c r="CD692">
        <v>-0.155</v>
      </c>
      <c r="CE692">
        <v>0.27139999999999997</v>
      </c>
      <c r="CF692"/>
    </row>
    <row r="693" spans="1:84" s="8" customFormat="1" hidden="1" x14ac:dyDescent="0.2">
      <c r="A693"/>
      <c r="B693" t="str">
        <f>ROW()-1&amp;"_AltersInvert"</f>
        <v>692_AltersInvert</v>
      </c>
      <c r="C693" t="str">
        <f>D693&amp;"_"&amp;
SUBSTITUTE(TRIM(V693)," ","_")&amp;"_"&amp;
TRIM(AC693)&amp;"_"&amp;
"CO2"&amp;TEXT(AN693,"0.00")&amp;"_"&amp;
"pH"&amp;TEXT(AR693,"0.00")&amp;"_"&amp;
"T"&amp;TEXT(BC693,"0.##")</f>
        <v>10_Pocillopora_damicornis _LARVA_CO2420.00_pH8.03_T25.3</v>
      </c>
      <c r="D693">
        <v>10</v>
      </c>
      <c r="E693"/>
      <c r="F693"/>
      <c r="G693" t="s">
        <v>43</v>
      </c>
      <c r="H693" t="s">
        <v>199</v>
      </c>
      <c r="I693"/>
      <c r="J693">
        <v>2013</v>
      </c>
      <c r="K693"/>
      <c r="L693"/>
      <c r="M693" t="s">
        <v>200</v>
      </c>
      <c r="N693"/>
      <c r="O693"/>
      <c r="P693" t="s">
        <v>1135</v>
      </c>
      <c r="Q693"/>
      <c r="R693" t="s">
        <v>1127</v>
      </c>
      <c r="S693" t="s">
        <v>1128</v>
      </c>
      <c r="T693" t="s">
        <v>103</v>
      </c>
      <c r="U693" t="s">
        <v>201</v>
      </c>
      <c r="V693" t="s">
        <v>202</v>
      </c>
      <c r="W693"/>
      <c r="X693"/>
      <c r="Y693"/>
      <c r="Z693" t="s">
        <v>106</v>
      </c>
      <c r="AA693" t="s">
        <v>107</v>
      </c>
      <c r="AB693" t="s">
        <v>71</v>
      </c>
      <c r="AC693" t="s">
        <v>72</v>
      </c>
      <c r="AD693" t="s">
        <v>52</v>
      </c>
      <c r="AE693" t="s">
        <v>56</v>
      </c>
      <c r="AF693" t="s">
        <v>52</v>
      </c>
      <c r="AG693" t="s">
        <v>52</v>
      </c>
      <c r="AH693" t="s">
        <v>64</v>
      </c>
      <c r="AI693"/>
      <c r="AJ693"/>
      <c r="AK693">
        <v>3</v>
      </c>
      <c r="AL693">
        <v>5</v>
      </c>
      <c r="AM693"/>
      <c r="AN693">
        <v>420</v>
      </c>
      <c r="AO693">
        <v>13</v>
      </c>
      <c r="AP693" t="s">
        <v>56</v>
      </c>
      <c r="AQ693" t="s">
        <v>109</v>
      </c>
      <c r="AR693">
        <v>8.0299999999999994</v>
      </c>
      <c r="AS693">
        <v>0.01</v>
      </c>
      <c r="AT693" t="s">
        <v>56</v>
      </c>
      <c r="AU693">
        <v>656</v>
      </c>
      <c r="AV693">
        <v>18</v>
      </c>
      <c r="AW693" t="s">
        <v>56</v>
      </c>
      <c r="AX693">
        <v>7.88</v>
      </c>
      <c r="AY693">
        <v>0.01</v>
      </c>
      <c r="AZ693" t="s">
        <v>56</v>
      </c>
      <c r="BA693"/>
      <c r="BB693">
        <f>LOG(AU693)</f>
        <v>2.8169038393756605</v>
      </c>
      <c r="BC693">
        <v>25.3</v>
      </c>
      <c r="BD693">
        <v>0.1</v>
      </c>
      <c r="BE693" t="s">
        <v>56</v>
      </c>
      <c r="BF693">
        <v>29.1</v>
      </c>
      <c r="BG693">
        <v>0.1</v>
      </c>
      <c r="BH693" t="s">
        <v>56</v>
      </c>
      <c r="BI693">
        <v>236</v>
      </c>
      <c r="BJ693">
        <v>3.9</v>
      </c>
      <c r="BK693" t="s">
        <v>56</v>
      </c>
      <c r="BL693" t="s">
        <v>205</v>
      </c>
      <c r="BM693" t="s">
        <v>206</v>
      </c>
      <c r="BN693" t="s">
        <v>60</v>
      </c>
      <c r="BO693" t="s">
        <v>207</v>
      </c>
      <c r="BP693" t="s">
        <v>194</v>
      </c>
      <c r="BQ693" t="s">
        <v>194</v>
      </c>
      <c r="BR693" t="s">
        <v>63</v>
      </c>
      <c r="BS693"/>
      <c r="BT693">
        <v>0.96</v>
      </c>
      <c r="BU693">
        <v>0.95762199999999997</v>
      </c>
      <c r="BV693">
        <v>0.43</v>
      </c>
      <c r="BW693">
        <f>BV693*SQRT(AK693)</f>
        <v>0.74478184725461716</v>
      </c>
      <c r="BX693">
        <v>0.88</v>
      </c>
      <c r="BY693">
        <v>0.88103719999999996</v>
      </c>
      <c r="BZ693">
        <v>0.2</v>
      </c>
      <c r="CA693">
        <f>BZ693*SQRT(AL693)</f>
        <v>0.44721359549995798</v>
      </c>
      <c r="CB693">
        <v>9</v>
      </c>
      <c r="CC693">
        <v>4</v>
      </c>
      <c r="CD693">
        <v>-8.3000000000000004E-2</v>
      </c>
      <c r="CE693">
        <v>0.2492</v>
      </c>
      <c r="CF693"/>
    </row>
    <row r="694" spans="1:84" s="8" customFormat="1" hidden="1" x14ac:dyDescent="0.2">
      <c r="B694" t="str">
        <f>ROW()-1&amp;"_AltersInvert"</f>
        <v>693_AltersInvert</v>
      </c>
      <c r="C694" t="str">
        <f>D694&amp;"_"&amp;
SUBSTITUTE(TRIM(V694)," ","_")&amp;"_"&amp;
TRIM(AC694)&amp;"_"&amp;
"CO2"&amp;TEXT(AN694,"0.00")&amp;"_"&amp;
"pH"&amp;TEXT(AR694,"0.00")&amp;"_"&amp;
"T"&amp;TEXT(BC694,"0.##")</f>
        <v>51_Acropora_hyacinthus_EMBRYO_CO2478.00_pH8.11_T27.</v>
      </c>
      <c r="D694" s="8">
        <v>51</v>
      </c>
      <c r="G694" s="8" t="s">
        <v>43</v>
      </c>
      <c r="H694" s="8" t="s">
        <v>527</v>
      </c>
      <c r="I694" s="8" t="s">
        <v>1130</v>
      </c>
      <c r="J694" s="8">
        <v>2015</v>
      </c>
      <c r="M694" s="8" t="s">
        <v>528</v>
      </c>
      <c r="P694" t="s">
        <v>1135</v>
      </c>
      <c r="R694" s="8" t="s">
        <v>1127</v>
      </c>
      <c r="S694" t="s">
        <v>1128</v>
      </c>
      <c r="T694" s="8" t="s">
        <v>103</v>
      </c>
      <c r="U694" s="8" t="s">
        <v>228</v>
      </c>
      <c r="V694" s="8" t="s">
        <v>529</v>
      </c>
      <c r="W694" s="8" t="str">
        <f>IF(ISNUMBER(MATCH(#REF!,{"Doryteuthis pealeii","Loligo vulgaris","Leptuca thayeri","Stylocheilus striatus","Ophryotrocha labronica"},0)),"N","Y")</f>
        <v>Y</v>
      </c>
      <c r="Z694" s="8" t="s">
        <v>106</v>
      </c>
      <c r="AA694" s="8" t="s">
        <v>107</v>
      </c>
      <c r="AB694" s="8" t="s">
        <v>71</v>
      </c>
      <c r="AC694" s="8" t="s">
        <v>195</v>
      </c>
      <c r="AD694" s="8" t="s">
        <v>52</v>
      </c>
      <c r="AE694" s="8" t="s">
        <v>53</v>
      </c>
      <c r="AF694" s="8" t="s">
        <v>52</v>
      </c>
      <c r="AG694" s="8" t="s">
        <v>54</v>
      </c>
      <c r="AH694" s="8" t="s">
        <v>55</v>
      </c>
      <c r="AK694" s="8">
        <v>5</v>
      </c>
      <c r="AL694" s="8">
        <v>5</v>
      </c>
      <c r="AM694" s="8" t="s">
        <v>532</v>
      </c>
      <c r="AN694" s="8">
        <v>478</v>
      </c>
      <c r="AO694" s="8" t="s">
        <v>56</v>
      </c>
      <c r="AP694" s="8">
        <v>14</v>
      </c>
      <c r="AQ694" s="8" t="s">
        <v>57</v>
      </c>
      <c r="AR694" s="8">
        <v>8.11</v>
      </c>
      <c r="AS694" s="8" t="s">
        <v>56</v>
      </c>
      <c r="AT694" s="8">
        <v>0.01</v>
      </c>
      <c r="AU694" s="8">
        <v>1034</v>
      </c>
      <c r="AV694" t="s">
        <v>56</v>
      </c>
      <c r="AW694">
        <v>47</v>
      </c>
      <c r="AX694">
        <v>7.82</v>
      </c>
      <c r="AY694" t="s">
        <v>56</v>
      </c>
      <c r="AZ694">
        <v>0.02</v>
      </c>
      <c r="BB694" s="8">
        <f>LOG(AU694)</f>
        <v>3.0145205387579237</v>
      </c>
      <c r="BC694" s="8">
        <v>27</v>
      </c>
      <c r="BD694" s="8" t="s">
        <v>56</v>
      </c>
      <c r="BE694" s="8">
        <v>0.2</v>
      </c>
      <c r="BF694" s="8">
        <v>27</v>
      </c>
      <c r="BG694" s="8" t="s">
        <v>56</v>
      </c>
      <c r="BH694" s="8">
        <v>0.2</v>
      </c>
      <c r="BI694" s="8">
        <v>556</v>
      </c>
      <c r="BJ694" s="8">
        <v>0</v>
      </c>
      <c r="BK694" s="8" t="s">
        <v>530</v>
      </c>
      <c r="BL694" s="8" t="s">
        <v>473</v>
      </c>
      <c r="BM694" s="8" t="s">
        <v>473</v>
      </c>
      <c r="BN694" s="8" t="s">
        <v>81</v>
      </c>
      <c r="BO694" s="8" t="s">
        <v>82</v>
      </c>
      <c r="BP694" s="8" t="s">
        <v>190</v>
      </c>
      <c r="BQ694" s="8" t="s">
        <v>9</v>
      </c>
      <c r="BR694" s="8" t="s">
        <v>84</v>
      </c>
      <c r="BT694" s="8">
        <v>98.65</v>
      </c>
      <c r="BU694" s="8">
        <v>98.648649000000006</v>
      </c>
      <c r="BV694" s="8">
        <v>0.4</v>
      </c>
      <c r="BW694" s="8">
        <f>BV694*SQRT(AK694)</f>
        <v>0.89442719099991597</v>
      </c>
      <c r="BX694" s="8">
        <v>90.32</v>
      </c>
      <c r="BY694" s="8">
        <v>90.315315299999995</v>
      </c>
      <c r="BZ694" s="8">
        <v>0.4</v>
      </c>
      <c r="CA694" s="8">
        <f>BZ694*SQRT(AL694)</f>
        <v>0.89442719099991597</v>
      </c>
      <c r="CB694" s="8">
        <v>0</v>
      </c>
      <c r="CC694" s="8">
        <v>5</v>
      </c>
      <c r="CD694" s="8">
        <v>-8.7999999999999995E-2</v>
      </c>
      <c r="CE694" s="8">
        <v>1E-4</v>
      </c>
      <c r="CF694" s="8" t="s">
        <v>1134</v>
      </c>
    </row>
    <row r="695" spans="1:84" s="8" customFormat="1" hidden="1" x14ac:dyDescent="0.2">
      <c r="B695" t="str">
        <f>ROW()-1&amp;"_AltersInvert"</f>
        <v>694_AltersInvert</v>
      </c>
      <c r="C695" t="str">
        <f>D695&amp;"_"&amp;
SUBSTITUTE(TRIM(V695)," ","_")&amp;"_"&amp;
TRIM(AC695)&amp;"_"&amp;
"CO2"&amp;TEXT(AN695,"0.00")&amp;"_"&amp;
"pH"&amp;TEXT(AR695,"0.00")&amp;"_"&amp;
"T"&amp;TEXT(BC695,"0.##")</f>
        <v>51_Acropora_hyacinthus_EMBRYO_CO2478.00_pH8.11_T27.</v>
      </c>
      <c r="D695" s="8">
        <v>51</v>
      </c>
      <c r="G695" s="8" t="s">
        <v>43</v>
      </c>
      <c r="H695" s="8" t="s">
        <v>527</v>
      </c>
      <c r="I695" s="8" t="s">
        <v>1130</v>
      </c>
      <c r="J695" s="8">
        <v>2015</v>
      </c>
      <c r="M695" s="8" t="s">
        <v>528</v>
      </c>
      <c r="P695" t="s">
        <v>1135</v>
      </c>
      <c r="R695" s="8" t="s">
        <v>1127</v>
      </c>
      <c r="S695" t="s">
        <v>1128</v>
      </c>
      <c r="T695" s="8" t="s">
        <v>103</v>
      </c>
      <c r="U695" s="8" t="s">
        <v>228</v>
      </c>
      <c r="V695" s="8" t="s">
        <v>529</v>
      </c>
      <c r="W695" s="8" t="str">
        <f>IF(ISNUMBER(MATCH(V89,{"Doryteuthis pealeii","Loligo vulgaris","Leptuca thayeri","Stylocheilus striatus","Ophryotrocha labronica"},0)),"N","Y")</f>
        <v>Y</v>
      </c>
      <c r="Z695" s="8" t="s">
        <v>106</v>
      </c>
      <c r="AA695" s="8" t="s">
        <v>107</v>
      </c>
      <c r="AB695" s="8" t="s">
        <v>71</v>
      </c>
      <c r="AC695" s="8" t="s">
        <v>195</v>
      </c>
      <c r="AD695" s="8" t="s">
        <v>52</v>
      </c>
      <c r="AE695" s="8" t="s">
        <v>53</v>
      </c>
      <c r="AF695" s="8" t="s">
        <v>54</v>
      </c>
      <c r="AG695" s="8" t="s">
        <v>52</v>
      </c>
      <c r="AH695" s="8" t="s">
        <v>65</v>
      </c>
      <c r="AK695" s="8">
        <v>5</v>
      </c>
      <c r="AL695" s="8">
        <v>5</v>
      </c>
      <c r="AM695" s="8" t="s">
        <v>532</v>
      </c>
      <c r="AN695" s="8">
        <v>478</v>
      </c>
      <c r="AO695" s="8" t="s">
        <v>56</v>
      </c>
      <c r="AP695" s="8">
        <v>14</v>
      </c>
      <c r="AQ695" s="8" t="s">
        <v>57</v>
      </c>
      <c r="AR695" s="8">
        <v>8.11</v>
      </c>
      <c r="AS695" s="8" t="s">
        <v>56</v>
      </c>
      <c r="AT695" s="8">
        <v>0.01</v>
      </c>
      <c r="AU695" s="8">
        <v>526</v>
      </c>
      <c r="AV695" t="s">
        <v>56</v>
      </c>
      <c r="AW695">
        <v>17</v>
      </c>
      <c r="AX695">
        <v>8.08</v>
      </c>
      <c r="AY695" t="s">
        <v>56</v>
      </c>
      <c r="AZ695">
        <v>0.01</v>
      </c>
      <c r="BB695" s="8">
        <f>LOG(AU695)</f>
        <v>2.7209857441537393</v>
      </c>
      <c r="BC695" s="8">
        <v>27</v>
      </c>
      <c r="BD695" s="8" t="s">
        <v>56</v>
      </c>
      <c r="BE695" s="8">
        <v>0.2</v>
      </c>
      <c r="BF695" s="8">
        <v>31</v>
      </c>
      <c r="BG695" s="8" t="s">
        <v>56</v>
      </c>
      <c r="BH695" s="8">
        <v>0.2</v>
      </c>
      <c r="BI695" s="8">
        <v>48</v>
      </c>
      <c r="BJ695" s="8">
        <v>4</v>
      </c>
      <c r="BK695" s="8" t="s">
        <v>530</v>
      </c>
      <c r="BL695" s="8" t="s">
        <v>473</v>
      </c>
      <c r="BM695" s="8" t="s">
        <v>473</v>
      </c>
      <c r="BN695" s="8" t="s">
        <v>81</v>
      </c>
      <c r="BO695" s="8" t="s">
        <v>82</v>
      </c>
      <c r="BP695" s="8" t="s">
        <v>190</v>
      </c>
      <c r="BQ695" s="8" t="s">
        <v>9</v>
      </c>
      <c r="BR695" s="8" t="s">
        <v>84</v>
      </c>
      <c r="BT695" s="8">
        <v>98.65</v>
      </c>
      <c r="BU695" s="8">
        <v>98.648649000000006</v>
      </c>
      <c r="BV695" s="8">
        <v>0.4</v>
      </c>
      <c r="BW695" s="8">
        <f>BV695*SQRT(AK695)</f>
        <v>0.89442719099991597</v>
      </c>
      <c r="BX695" s="8">
        <v>98.42</v>
      </c>
      <c r="BY695" s="8">
        <v>98.423423400000004</v>
      </c>
      <c r="BZ695" s="8">
        <v>0.1</v>
      </c>
      <c r="CA695" s="8">
        <f>BZ695*SQRT(AL695)</f>
        <v>0.22360679774997899</v>
      </c>
      <c r="CB695" s="8">
        <v>0</v>
      </c>
      <c r="CC695" s="8">
        <v>5</v>
      </c>
      <c r="CD695" s="8">
        <v>-2E-3</v>
      </c>
      <c r="CE695" s="8">
        <v>1E-4</v>
      </c>
      <c r="CF695" s="8" t="s">
        <v>1134</v>
      </c>
    </row>
    <row r="696" spans="1:84" s="8" customFormat="1" hidden="1" x14ac:dyDescent="0.2">
      <c r="B696" t="str">
        <f>ROW()-1&amp;"_AltersInvert"</f>
        <v>695_AltersInvert</v>
      </c>
      <c r="C696" t="str">
        <f>D696&amp;"_"&amp;
SUBSTITUTE(TRIM(V696)," ","_")&amp;"_"&amp;
TRIM(AC696)&amp;"_"&amp;
"CO2"&amp;TEXT(AN696,"0.00")&amp;"_"&amp;
"pH"&amp;TEXT(AR696,"0.00")&amp;"_"&amp;
"T"&amp;TEXT(BC696,"0.##")</f>
        <v>51_Acropora_hyacinthus_EMBRYO_CO2478.00_pH8.11_T27.</v>
      </c>
      <c r="D696" s="8">
        <v>51</v>
      </c>
      <c r="G696" s="8" t="s">
        <v>43</v>
      </c>
      <c r="H696" s="8" t="s">
        <v>527</v>
      </c>
      <c r="I696" s="8" t="s">
        <v>1130</v>
      </c>
      <c r="J696" s="8">
        <v>2015</v>
      </c>
      <c r="M696" s="8" t="s">
        <v>528</v>
      </c>
      <c r="P696" t="s">
        <v>1135</v>
      </c>
      <c r="R696" s="8" t="s">
        <v>1127</v>
      </c>
      <c r="S696" t="s">
        <v>1128</v>
      </c>
      <c r="T696" s="8" t="s">
        <v>103</v>
      </c>
      <c r="U696" s="8" t="s">
        <v>228</v>
      </c>
      <c r="V696" s="8" t="s">
        <v>529</v>
      </c>
      <c r="W696" s="8" t="str">
        <f>IF(ISNUMBER(MATCH(V90,{"Doryteuthis pealeii","Loligo vulgaris","Leptuca thayeri","Stylocheilus striatus","Ophryotrocha labronica"},0)),"N","Y")</f>
        <v>Y</v>
      </c>
      <c r="Z696" s="8" t="s">
        <v>106</v>
      </c>
      <c r="AA696" s="8" t="s">
        <v>107</v>
      </c>
      <c r="AB696" s="8" t="s">
        <v>71</v>
      </c>
      <c r="AC696" s="8" t="s">
        <v>195</v>
      </c>
      <c r="AD696" s="8" t="s">
        <v>52</v>
      </c>
      <c r="AE696" s="8" t="s">
        <v>53</v>
      </c>
      <c r="AF696" s="8" t="s">
        <v>52</v>
      </c>
      <c r="AG696" s="8" t="s">
        <v>52</v>
      </c>
      <c r="AH696" s="8" t="s">
        <v>64</v>
      </c>
      <c r="AK696" s="8">
        <v>5</v>
      </c>
      <c r="AL696" s="8">
        <v>5</v>
      </c>
      <c r="AM696" s="8" t="s">
        <v>532</v>
      </c>
      <c r="AN696" s="8">
        <v>478</v>
      </c>
      <c r="AO696" s="8" t="s">
        <v>56</v>
      </c>
      <c r="AP696" s="8">
        <v>14</v>
      </c>
      <c r="AQ696" s="8" t="s">
        <v>57</v>
      </c>
      <c r="AR696" s="8">
        <v>8.11</v>
      </c>
      <c r="AS696" s="8" t="s">
        <v>56</v>
      </c>
      <c r="AT696" s="8">
        <v>0.01</v>
      </c>
      <c r="AU696" s="8">
        <v>939</v>
      </c>
      <c r="AV696" t="s">
        <v>56</v>
      </c>
      <c r="AW696">
        <v>31</v>
      </c>
      <c r="AX696">
        <v>7.87</v>
      </c>
      <c r="AY696" t="s">
        <v>56</v>
      </c>
      <c r="AZ696">
        <v>0.01</v>
      </c>
      <c r="BB696" s="8">
        <f>LOG(AU696)</f>
        <v>2.9726655922661109</v>
      </c>
      <c r="BC696" s="8">
        <v>27</v>
      </c>
      <c r="BD696" s="8" t="s">
        <v>56</v>
      </c>
      <c r="BE696" s="8">
        <v>0.2</v>
      </c>
      <c r="BF696" s="8">
        <v>31</v>
      </c>
      <c r="BG696" s="8" t="s">
        <v>56</v>
      </c>
      <c r="BH696" s="8">
        <v>0.2</v>
      </c>
      <c r="BI696" s="8">
        <v>461</v>
      </c>
      <c r="BJ696" s="8">
        <v>4</v>
      </c>
      <c r="BK696" s="8" t="s">
        <v>530</v>
      </c>
      <c r="BL696" s="8" t="s">
        <v>473</v>
      </c>
      <c r="BM696" s="8" t="s">
        <v>473</v>
      </c>
      <c r="BN696" s="8" t="s">
        <v>81</v>
      </c>
      <c r="BO696" s="8" t="s">
        <v>82</v>
      </c>
      <c r="BP696" s="8" t="s">
        <v>190</v>
      </c>
      <c r="BQ696" s="8" t="s">
        <v>9</v>
      </c>
      <c r="BR696" s="8" t="s">
        <v>84</v>
      </c>
      <c r="BT696" s="8">
        <v>98.65</v>
      </c>
      <c r="BU696" s="8">
        <v>98.648649000000006</v>
      </c>
      <c r="BV696" s="8">
        <v>0.4</v>
      </c>
      <c r="BW696" s="8">
        <f>BV696*SQRT(AK696)</f>
        <v>0.89442719099991597</v>
      </c>
      <c r="BX696" s="8">
        <v>95.05</v>
      </c>
      <c r="BY696" s="8">
        <v>95.045045000000002</v>
      </c>
      <c r="BZ696" s="8">
        <v>1.01</v>
      </c>
      <c r="CA696" s="8">
        <f>BZ696*SQRT(AL696)</f>
        <v>2.2584286572747878</v>
      </c>
      <c r="CB696" s="8">
        <v>0</v>
      </c>
      <c r="CC696" s="8">
        <v>5</v>
      </c>
      <c r="CD696" s="8">
        <v>-3.6999999999999998E-2</v>
      </c>
      <c r="CE696" s="8">
        <v>1E-4</v>
      </c>
      <c r="CF696" s="8" t="s">
        <v>1134</v>
      </c>
    </row>
    <row r="697" spans="1:84" s="8" customFormat="1" hidden="1" x14ac:dyDescent="0.2">
      <c r="A697"/>
      <c r="B697" t="str">
        <f>ROW()-1&amp;"_AltersInvert"</f>
        <v>696_AltersInvert</v>
      </c>
      <c r="C697" t="str">
        <f>D697&amp;"_"&amp;
SUBSTITUTE(TRIM(V697)," ","_")&amp;"_"&amp;
TRIM(AC697)&amp;"_"&amp;
"CO2"&amp;TEXT(AN697,"0.00")&amp;"_"&amp;
"pH"&amp;TEXT(AR697,"0.00")&amp;"_"&amp;
"T"&amp;TEXT(BC697,"0.##")</f>
        <v>14_Homarus_americanus_LARVA_CO2454.00_pH8.08_T17.2</v>
      </c>
      <c r="D697">
        <v>14</v>
      </c>
      <c r="E697"/>
      <c r="F697"/>
      <c r="G697" t="s">
        <v>43</v>
      </c>
      <c r="H697" t="s">
        <v>235</v>
      </c>
      <c r="I697"/>
      <c r="J697">
        <v>2015</v>
      </c>
      <c r="K697"/>
      <c r="L697"/>
      <c r="M697" t="s">
        <v>236</v>
      </c>
      <c r="N697"/>
      <c r="O697"/>
      <c r="P697" t="s">
        <v>1135</v>
      </c>
      <c r="Q697"/>
      <c r="R697" t="s">
        <v>1127</v>
      </c>
      <c r="S697" t="s">
        <v>1128</v>
      </c>
      <c r="T697" t="s">
        <v>131</v>
      </c>
      <c r="U697" t="s">
        <v>237</v>
      </c>
      <c r="V697" t="s">
        <v>238</v>
      </c>
      <c r="W697"/>
      <c r="X697"/>
      <c r="Y697"/>
      <c r="Z697" t="s">
        <v>49</v>
      </c>
      <c r="AA697" t="s">
        <v>49</v>
      </c>
      <c r="AB697" t="s">
        <v>71</v>
      </c>
      <c r="AC697" t="s">
        <v>72</v>
      </c>
      <c r="AD697" t="s">
        <v>52</v>
      </c>
      <c r="AE697" t="s">
        <v>53</v>
      </c>
      <c r="AF697" t="s">
        <v>52</v>
      </c>
      <c r="AG697" t="s">
        <v>54</v>
      </c>
      <c r="AH697" t="s">
        <v>55</v>
      </c>
      <c r="AI697"/>
      <c r="AJ697"/>
      <c r="AK697">
        <v>9</v>
      </c>
      <c r="AL697">
        <v>9</v>
      </c>
      <c r="AM697"/>
      <c r="AN697">
        <v>454</v>
      </c>
      <c r="AO697">
        <v>11</v>
      </c>
      <c r="AP697" t="s">
        <v>56</v>
      </c>
      <c r="AQ697" t="s">
        <v>57</v>
      </c>
      <c r="AR697">
        <v>8.08</v>
      </c>
      <c r="AS697">
        <v>0.01</v>
      </c>
      <c r="AT697" t="s">
        <v>56</v>
      </c>
      <c r="AU697">
        <v>1154</v>
      </c>
      <c r="AV697">
        <v>17</v>
      </c>
      <c r="AW697" t="s">
        <v>56</v>
      </c>
      <c r="AX697">
        <v>7.73</v>
      </c>
      <c r="AY697">
        <v>0.01</v>
      </c>
      <c r="AZ697" t="s">
        <v>56</v>
      </c>
      <c r="BA697"/>
      <c r="BB697">
        <f>LOG(AU697)</f>
        <v>3.0622058088197126</v>
      </c>
      <c r="BC697">
        <v>17.2</v>
      </c>
      <c r="BD697">
        <v>0</v>
      </c>
      <c r="BE697" t="s">
        <v>56</v>
      </c>
      <c r="BF697">
        <v>17.2</v>
      </c>
      <c r="BG697">
        <v>0</v>
      </c>
      <c r="BH697" t="s">
        <v>56</v>
      </c>
      <c r="BI697">
        <v>700</v>
      </c>
      <c r="BJ697">
        <v>0</v>
      </c>
      <c r="BK697" t="s">
        <v>239</v>
      </c>
      <c r="BL697" t="s">
        <v>240</v>
      </c>
      <c r="BM697" t="s">
        <v>241</v>
      </c>
      <c r="BN697" t="s">
        <v>60</v>
      </c>
      <c r="BO697" t="s">
        <v>242</v>
      </c>
      <c r="BP697" t="s">
        <v>234</v>
      </c>
      <c r="BQ697" t="s">
        <v>194</v>
      </c>
      <c r="BR697" t="s">
        <v>63</v>
      </c>
      <c r="BS697"/>
      <c r="BT697">
        <v>3.81</v>
      </c>
      <c r="BU697">
        <v>3.811966</v>
      </c>
      <c r="BV697">
        <v>0.31</v>
      </c>
      <c r="BW697">
        <f>BV697*SQRT(AK697)</f>
        <v>0.92999999999999994</v>
      </c>
      <c r="BX697">
        <v>4.04</v>
      </c>
      <c r="BY697">
        <v>4.0427350000000004</v>
      </c>
      <c r="BZ697">
        <v>0.33</v>
      </c>
      <c r="CA697">
        <f>BZ697*SQRT(AL697)</f>
        <v>0.99</v>
      </c>
      <c r="CB697">
        <v>25</v>
      </c>
      <c r="CC697">
        <v>3</v>
      </c>
      <c r="CD697">
        <v>5.8999999999999997E-2</v>
      </c>
      <c r="CE697">
        <v>1.3299999999999999E-2</v>
      </c>
      <c r="CF697"/>
    </row>
    <row r="698" spans="1:84" s="8" customFormat="1" hidden="1" x14ac:dyDescent="0.2">
      <c r="A698"/>
      <c r="B698" t="str">
        <f>ROW()-1&amp;"_AltersInvert"</f>
        <v>697_AltersInvert</v>
      </c>
      <c r="C698" t="str">
        <f>D698&amp;"_"&amp;
SUBSTITUTE(TRIM(V698)," ","_")&amp;"_"&amp;
TRIM(AC698)&amp;"_"&amp;
"CO2"&amp;TEXT(AN698,"0.00")&amp;"_"&amp;
"pH"&amp;TEXT(AR698,"0.00")&amp;"_"&amp;
"T"&amp;TEXT(BC698,"0.##")</f>
        <v>14_Homarus_americanus_LARVA_CO2454.00_pH8.08_T17.2</v>
      </c>
      <c r="D698">
        <v>14</v>
      </c>
      <c r="E698"/>
      <c r="F698"/>
      <c r="G698" t="s">
        <v>43</v>
      </c>
      <c r="H698" t="s">
        <v>235</v>
      </c>
      <c r="I698"/>
      <c r="J698">
        <v>2015</v>
      </c>
      <c r="K698"/>
      <c r="L698"/>
      <c r="M698" t="s">
        <v>236</v>
      </c>
      <c r="N698"/>
      <c r="O698"/>
      <c r="P698" t="s">
        <v>1135</v>
      </c>
      <c r="Q698"/>
      <c r="R698" t="s">
        <v>1127</v>
      </c>
      <c r="S698" t="s">
        <v>1128</v>
      </c>
      <c r="T698" t="s">
        <v>131</v>
      </c>
      <c r="U698" t="s">
        <v>237</v>
      </c>
      <c r="V698" t="s">
        <v>238</v>
      </c>
      <c r="W698"/>
      <c r="X698"/>
      <c r="Y698"/>
      <c r="Z698" t="s">
        <v>49</v>
      </c>
      <c r="AA698" t="s">
        <v>49</v>
      </c>
      <c r="AB698" t="s">
        <v>71</v>
      </c>
      <c r="AC698" t="s">
        <v>72</v>
      </c>
      <c r="AD698" t="s">
        <v>52</v>
      </c>
      <c r="AE698" t="s">
        <v>53</v>
      </c>
      <c r="AF698" t="s">
        <v>54</v>
      </c>
      <c r="AG698" t="s">
        <v>52</v>
      </c>
      <c r="AH698" t="s">
        <v>65</v>
      </c>
      <c r="AI698"/>
      <c r="AJ698"/>
      <c r="AK698">
        <v>9</v>
      </c>
      <c r="AL698">
        <v>9</v>
      </c>
      <c r="AM698"/>
      <c r="AN698">
        <v>454</v>
      </c>
      <c r="AO698">
        <v>11</v>
      </c>
      <c r="AP698" t="s">
        <v>56</v>
      </c>
      <c r="AQ698" t="s">
        <v>57</v>
      </c>
      <c r="AR698">
        <v>8.08</v>
      </c>
      <c r="AS698">
        <v>0.01</v>
      </c>
      <c r="AT698" t="s">
        <v>56</v>
      </c>
      <c r="AU698">
        <v>426</v>
      </c>
      <c r="AV698">
        <v>11</v>
      </c>
      <c r="AW698" t="s">
        <v>56</v>
      </c>
      <c r="AX698">
        <v>8.11</v>
      </c>
      <c r="AY698">
        <v>0.01</v>
      </c>
      <c r="AZ698" t="s">
        <v>56</v>
      </c>
      <c r="BA698"/>
      <c r="BB698">
        <f>LOG(AU698)</f>
        <v>2.6294095991027189</v>
      </c>
      <c r="BC698">
        <v>17.2</v>
      </c>
      <c r="BD698">
        <v>0</v>
      </c>
      <c r="BE698" t="s">
        <v>56</v>
      </c>
      <c r="BF698">
        <v>21.3</v>
      </c>
      <c r="BG698">
        <v>0</v>
      </c>
      <c r="BH698" t="s">
        <v>56</v>
      </c>
      <c r="BI698">
        <v>-28</v>
      </c>
      <c r="BJ698">
        <v>4.0999999999999996</v>
      </c>
      <c r="BK698" t="s">
        <v>239</v>
      </c>
      <c r="BL698" t="s">
        <v>240</v>
      </c>
      <c r="BM698" t="s">
        <v>241</v>
      </c>
      <c r="BN698" t="s">
        <v>60</v>
      </c>
      <c r="BO698" t="s">
        <v>242</v>
      </c>
      <c r="BP698" t="s">
        <v>234</v>
      </c>
      <c r="BQ698" t="s">
        <v>194</v>
      </c>
      <c r="BR698" t="s">
        <v>63</v>
      </c>
      <c r="BS698"/>
      <c r="BT698">
        <v>3.81</v>
      </c>
      <c r="BU698">
        <v>3.811966</v>
      </c>
      <c r="BV698">
        <v>0.31</v>
      </c>
      <c r="BW698">
        <f>BV698*SQRT(AK698)</f>
        <v>0.92999999999999994</v>
      </c>
      <c r="BX698">
        <v>4.03</v>
      </c>
      <c r="BY698">
        <v>4.0341880000000003</v>
      </c>
      <c r="BZ698">
        <v>0.16</v>
      </c>
      <c r="CA698">
        <f>BZ698*SQRT(AL698)</f>
        <v>0.48</v>
      </c>
      <c r="CB698">
        <v>16</v>
      </c>
      <c r="CC698">
        <v>3</v>
      </c>
      <c r="CD698">
        <v>5.7000000000000002E-2</v>
      </c>
      <c r="CE698">
        <v>8.0999999999999996E-3</v>
      </c>
      <c r="CF698"/>
    </row>
    <row r="699" spans="1:84" s="8" customFormat="1" hidden="1" x14ac:dyDescent="0.2">
      <c r="A699"/>
      <c r="B699" t="str">
        <f>ROW()-1&amp;"_AltersInvert"</f>
        <v>698_AltersInvert</v>
      </c>
      <c r="C699" t="str">
        <f>D699&amp;"_"&amp;
SUBSTITUTE(TRIM(V699)," ","_")&amp;"_"&amp;
TRIM(AC699)&amp;"_"&amp;
"CO2"&amp;TEXT(AN699,"0.00")&amp;"_"&amp;
"pH"&amp;TEXT(AR699,"0.00")&amp;"_"&amp;
"T"&amp;TEXT(BC699,"0.##")</f>
        <v>14_Homarus_americanus_LARVA_CO2454.00_pH8.08_T17.2</v>
      </c>
      <c r="D699">
        <v>14</v>
      </c>
      <c r="E699"/>
      <c r="F699"/>
      <c r="G699" t="s">
        <v>43</v>
      </c>
      <c r="H699" t="s">
        <v>235</v>
      </c>
      <c r="I699"/>
      <c r="J699">
        <v>2015</v>
      </c>
      <c r="K699"/>
      <c r="L699"/>
      <c r="M699" t="s">
        <v>236</v>
      </c>
      <c r="N699"/>
      <c r="O699"/>
      <c r="P699" t="s">
        <v>1135</v>
      </c>
      <c r="Q699"/>
      <c r="R699" t="s">
        <v>1127</v>
      </c>
      <c r="S699" t="s">
        <v>1128</v>
      </c>
      <c r="T699" t="s">
        <v>131</v>
      </c>
      <c r="U699" t="s">
        <v>237</v>
      </c>
      <c r="V699" t="s">
        <v>238</v>
      </c>
      <c r="W699"/>
      <c r="X699"/>
      <c r="Y699"/>
      <c r="Z699" t="s">
        <v>49</v>
      </c>
      <c r="AA699" t="s">
        <v>49</v>
      </c>
      <c r="AB699" t="s">
        <v>71</v>
      </c>
      <c r="AC699" t="s">
        <v>72</v>
      </c>
      <c r="AD699" t="s">
        <v>52</v>
      </c>
      <c r="AE699" t="s">
        <v>53</v>
      </c>
      <c r="AF699" t="s">
        <v>52</v>
      </c>
      <c r="AG699" t="s">
        <v>52</v>
      </c>
      <c r="AH699" t="s">
        <v>64</v>
      </c>
      <c r="AI699"/>
      <c r="AJ699"/>
      <c r="AK699">
        <v>9</v>
      </c>
      <c r="AL699">
        <v>9</v>
      </c>
      <c r="AM699"/>
      <c r="AN699">
        <v>454</v>
      </c>
      <c r="AO699">
        <v>11</v>
      </c>
      <c r="AP699" t="s">
        <v>56</v>
      </c>
      <c r="AQ699" t="s">
        <v>57</v>
      </c>
      <c r="AR699">
        <v>8.08</v>
      </c>
      <c r="AS699">
        <v>0.01</v>
      </c>
      <c r="AT699" t="s">
        <v>56</v>
      </c>
      <c r="AU699">
        <v>1181</v>
      </c>
      <c r="AV699">
        <v>36</v>
      </c>
      <c r="AW699" t="s">
        <v>56</v>
      </c>
      <c r="AX699">
        <v>7.76</v>
      </c>
      <c r="AY699">
        <v>0.01</v>
      </c>
      <c r="AZ699" t="s">
        <v>56</v>
      </c>
      <c r="BA699"/>
      <c r="BB699">
        <f>LOG(AU699)</f>
        <v>3.0722498976135149</v>
      </c>
      <c r="BC699">
        <v>17.2</v>
      </c>
      <c r="BD699">
        <v>0</v>
      </c>
      <c r="BE699" t="s">
        <v>56</v>
      </c>
      <c r="BF699">
        <v>21.3</v>
      </c>
      <c r="BG699">
        <v>0</v>
      </c>
      <c r="BH699" t="s">
        <v>56</v>
      </c>
      <c r="BI699">
        <v>727</v>
      </c>
      <c r="BJ699">
        <v>4.0999999999999996</v>
      </c>
      <c r="BK699" t="s">
        <v>239</v>
      </c>
      <c r="BL699" t="s">
        <v>240</v>
      </c>
      <c r="BM699" t="s">
        <v>241</v>
      </c>
      <c r="BN699" t="s">
        <v>60</v>
      </c>
      <c r="BO699" t="s">
        <v>242</v>
      </c>
      <c r="BP699" t="s">
        <v>234</v>
      </c>
      <c r="BQ699" t="s">
        <v>194</v>
      </c>
      <c r="BR699" t="s">
        <v>63</v>
      </c>
      <c r="BS699"/>
      <c r="BT699">
        <v>3.81</v>
      </c>
      <c r="BU699">
        <v>3.811966</v>
      </c>
      <c r="BV699">
        <v>0.31</v>
      </c>
      <c r="BW699">
        <f>BV699*SQRT(AK699)</f>
        <v>0.92999999999999994</v>
      </c>
      <c r="BX699">
        <v>2.8</v>
      </c>
      <c r="BY699">
        <v>2.8034188000000002</v>
      </c>
      <c r="BZ699">
        <v>0.39</v>
      </c>
      <c r="CA699">
        <f>BZ699*SQRT(AL699)</f>
        <v>1.17</v>
      </c>
      <c r="CB699">
        <v>15</v>
      </c>
      <c r="CC699">
        <v>3</v>
      </c>
      <c r="CD699">
        <v>-0.307</v>
      </c>
      <c r="CE699">
        <v>2.6200000000000001E-2</v>
      </c>
      <c r="CF699"/>
    </row>
    <row r="700" spans="1:84" s="8" customFormat="1" hidden="1" x14ac:dyDescent="0.2">
      <c r="B700" t="str">
        <f>ROW()-1&amp;"_AltersInvert"</f>
        <v>699_AltersInvert</v>
      </c>
      <c r="C700" t="str">
        <f>D700&amp;"_"&amp;
SUBSTITUTE(TRIM(V700)," ","_")&amp;"_"&amp;
TRIM(AC700)&amp;"_"&amp;
"CO2"&amp;TEXT(AN700,"0.00")&amp;"_"&amp;
"pH"&amp;TEXT(AR700,"0.00")&amp;"_"&amp;
"T"&amp;TEXT(BC700,"0.##")</f>
        <v>112_Loligo_vulgaris_EMBRYO_CO2433.00_pH8.03_T13.2</v>
      </c>
      <c r="D700" s="8">
        <v>112</v>
      </c>
      <c r="G700" s="8" t="s">
        <v>43</v>
      </c>
      <c r="H700" s="8" t="s">
        <v>832</v>
      </c>
      <c r="I700" s="8" t="s">
        <v>1130</v>
      </c>
      <c r="J700" s="8">
        <v>2014</v>
      </c>
      <c r="M700" s="8" t="s">
        <v>463</v>
      </c>
      <c r="P700" t="s">
        <v>1135</v>
      </c>
      <c r="R700" s="8" t="s">
        <v>1127</v>
      </c>
      <c r="S700" t="s">
        <v>1128</v>
      </c>
      <c r="T700" s="8" t="s">
        <v>68</v>
      </c>
      <c r="U700" s="8" t="s">
        <v>693</v>
      </c>
      <c r="V700" s="8" t="s">
        <v>833</v>
      </c>
      <c r="W700" s="8" t="str">
        <f>IF(ISNUMBER(MATCH(V94,{"Doryteuthis pealeii","Loligo vulgaris","Leptuca thayeri","Stylocheilus striatus","Ophryotrocha labronica"},0)),"N","Y")</f>
        <v>Y</v>
      </c>
      <c r="Z700" s="8" t="s">
        <v>49</v>
      </c>
      <c r="AA700" s="8" t="s">
        <v>49</v>
      </c>
      <c r="AB700" s="8" t="s">
        <v>71</v>
      </c>
      <c r="AC700" s="8" t="s">
        <v>195</v>
      </c>
      <c r="AD700" s="8" t="s">
        <v>52</v>
      </c>
      <c r="AE700" s="8" t="s">
        <v>53</v>
      </c>
      <c r="AF700" s="8" t="s">
        <v>52</v>
      </c>
      <c r="AG700" s="8" t="s">
        <v>54</v>
      </c>
      <c r="AH700" s="8" t="s">
        <v>55</v>
      </c>
      <c r="AK700" s="8">
        <v>45</v>
      </c>
      <c r="AL700" s="8">
        <v>45</v>
      </c>
      <c r="AN700" s="8">
        <v>433</v>
      </c>
      <c r="AO700" s="8" t="s">
        <v>56</v>
      </c>
      <c r="AP700" s="8">
        <v>24</v>
      </c>
      <c r="AQ700" s="8" t="s">
        <v>109</v>
      </c>
      <c r="AR700" s="8">
        <v>8.0299999999999994</v>
      </c>
      <c r="AS700" s="8" t="s">
        <v>56</v>
      </c>
      <c r="AT700" s="8">
        <v>0.02</v>
      </c>
      <c r="AU700" s="8">
        <v>1682</v>
      </c>
      <c r="AV700" t="s">
        <v>56</v>
      </c>
      <c r="AW700">
        <v>132</v>
      </c>
      <c r="AX700">
        <v>7.51</v>
      </c>
      <c r="AY700" t="s">
        <v>56</v>
      </c>
      <c r="AZ700">
        <v>0.03</v>
      </c>
      <c r="BB700" s="8">
        <f>LOG(AU700)</f>
        <v>3.2258259914618934</v>
      </c>
      <c r="BC700" s="8">
        <v>13.2</v>
      </c>
      <c r="BD700" s="8" t="s">
        <v>56</v>
      </c>
      <c r="BE700" s="8">
        <v>0.3</v>
      </c>
      <c r="BF700" s="8">
        <v>13.2</v>
      </c>
      <c r="BG700" s="8" t="s">
        <v>56</v>
      </c>
      <c r="BH700" s="8">
        <v>0.3</v>
      </c>
      <c r="BI700" s="8">
        <v>1249</v>
      </c>
      <c r="BJ700" s="8">
        <v>0</v>
      </c>
      <c r="BK700" s="8" t="s">
        <v>834</v>
      </c>
      <c r="BL700" s="8" t="s">
        <v>83</v>
      </c>
      <c r="BM700" s="8" t="s">
        <v>83</v>
      </c>
      <c r="BN700" s="8" t="s">
        <v>81</v>
      </c>
      <c r="BO700" s="8" t="s">
        <v>82</v>
      </c>
      <c r="BP700" s="8" t="s">
        <v>83</v>
      </c>
      <c r="BQ700" s="8" t="s">
        <v>83</v>
      </c>
      <c r="BR700" s="8" t="s">
        <v>84</v>
      </c>
      <c r="BT700" s="8">
        <v>96.29</v>
      </c>
      <c r="BU700" s="8">
        <v>96.290323000000001</v>
      </c>
      <c r="BV700" s="8">
        <v>0.14000000000000001</v>
      </c>
      <c r="BW700" s="8">
        <f>BV700*SQRT(AK700)</f>
        <v>0.93914855054991175</v>
      </c>
      <c r="BX700" s="8">
        <v>98.71</v>
      </c>
      <c r="BY700" s="8">
        <v>98.709677400000004</v>
      </c>
      <c r="BZ700" s="8">
        <v>0.28999999999999998</v>
      </c>
      <c r="CA700" s="8">
        <f>BZ700*SQRT(AL700)</f>
        <v>1.9453791404248171</v>
      </c>
      <c r="CB700" s="8">
        <v>15</v>
      </c>
      <c r="CC700" s="8">
        <v>10</v>
      </c>
      <c r="CD700" s="8">
        <v>2.5000000000000001E-2</v>
      </c>
      <c r="CE700" s="8">
        <v>1E-4</v>
      </c>
      <c r="CF700" s="8" t="s">
        <v>1134</v>
      </c>
    </row>
    <row r="701" spans="1:84" s="8" customFormat="1" hidden="1" x14ac:dyDescent="0.2">
      <c r="B701" t="str">
        <f>ROW()-1&amp;"_AltersInvert"</f>
        <v>700_AltersInvert</v>
      </c>
      <c r="C701" t="str">
        <f>D701&amp;"_"&amp;
SUBSTITUTE(TRIM(V701)," ","_")&amp;"_"&amp;
TRIM(AC701)&amp;"_"&amp;
"CO2"&amp;TEXT(AN701,"0.00")&amp;"_"&amp;
"pH"&amp;TEXT(AR701,"0.00")&amp;"_"&amp;
"T"&amp;TEXT(BC701,"0.##")</f>
        <v>112_Loligo_vulgaris_EMBRYO_CO2433.00_pH8.03_T13.2</v>
      </c>
      <c r="D701" s="8">
        <v>112</v>
      </c>
      <c r="G701" s="8" t="s">
        <v>43</v>
      </c>
      <c r="H701" s="8" t="s">
        <v>832</v>
      </c>
      <c r="I701" s="8" t="s">
        <v>1130</v>
      </c>
      <c r="J701" s="8">
        <v>2014</v>
      </c>
      <c r="M701" s="8" t="s">
        <v>463</v>
      </c>
      <c r="P701" t="s">
        <v>1135</v>
      </c>
      <c r="R701" s="8" t="s">
        <v>1127</v>
      </c>
      <c r="S701" t="s">
        <v>1128</v>
      </c>
      <c r="T701" s="8" t="s">
        <v>68</v>
      </c>
      <c r="U701" s="8" t="s">
        <v>693</v>
      </c>
      <c r="V701" s="8" t="s">
        <v>833</v>
      </c>
      <c r="W701" s="8" t="str">
        <f>IF(ISNUMBER(MATCH(V95,{"Doryteuthis pealeii","Loligo vulgaris","Leptuca thayeri","Stylocheilus striatus","Ophryotrocha labronica"},0)),"N","Y")</f>
        <v>Y</v>
      </c>
      <c r="Z701" s="8" t="s">
        <v>49</v>
      </c>
      <c r="AA701" s="8" t="s">
        <v>49</v>
      </c>
      <c r="AB701" s="8" t="s">
        <v>71</v>
      </c>
      <c r="AC701" s="8" t="s">
        <v>195</v>
      </c>
      <c r="AD701" s="8" t="s">
        <v>52</v>
      </c>
      <c r="AE701" s="8" t="s">
        <v>53</v>
      </c>
      <c r="AF701" s="8" t="s">
        <v>54</v>
      </c>
      <c r="AG701" s="8" t="s">
        <v>52</v>
      </c>
      <c r="AH701" s="8" t="s">
        <v>65</v>
      </c>
      <c r="AK701" s="8">
        <v>45</v>
      </c>
      <c r="AL701" s="8">
        <v>45</v>
      </c>
      <c r="AN701" s="8">
        <v>433</v>
      </c>
      <c r="AO701" s="8" t="s">
        <v>56</v>
      </c>
      <c r="AP701" s="8">
        <v>24</v>
      </c>
      <c r="AQ701" s="8" t="s">
        <v>109</v>
      </c>
      <c r="AR701" s="8">
        <v>8.0299999999999994</v>
      </c>
      <c r="AS701" s="8" t="s">
        <v>56</v>
      </c>
      <c r="AT701" s="8">
        <v>0.02</v>
      </c>
      <c r="AU701" s="8">
        <v>440</v>
      </c>
      <c r="AV701" t="s">
        <v>56</v>
      </c>
      <c r="AW701">
        <v>12</v>
      </c>
      <c r="AX701">
        <v>8.0299999999999994</v>
      </c>
      <c r="AY701" t="s">
        <v>56</v>
      </c>
      <c r="AZ701">
        <v>0.01</v>
      </c>
      <c r="BB701" s="8">
        <f>LOG(AU701)</f>
        <v>2.6434526764861874</v>
      </c>
      <c r="BC701" s="8">
        <v>13.2</v>
      </c>
      <c r="BD701" s="8" t="s">
        <v>56</v>
      </c>
      <c r="BE701" s="8">
        <v>0.3</v>
      </c>
      <c r="BF701" s="8">
        <v>15.1</v>
      </c>
      <c r="BG701" s="8" t="s">
        <v>56</v>
      </c>
      <c r="BH701" s="8">
        <v>0.3</v>
      </c>
      <c r="BI701" s="8">
        <v>7</v>
      </c>
      <c r="BJ701" s="8">
        <v>1.9</v>
      </c>
      <c r="BK701" s="8" t="s">
        <v>834</v>
      </c>
      <c r="BL701" s="8" t="s">
        <v>83</v>
      </c>
      <c r="BM701" s="8" t="s">
        <v>83</v>
      </c>
      <c r="BN701" s="8" t="s">
        <v>81</v>
      </c>
      <c r="BO701" s="8" t="s">
        <v>82</v>
      </c>
      <c r="BP701" s="8" t="s">
        <v>83</v>
      </c>
      <c r="BQ701" s="8" t="s">
        <v>190</v>
      </c>
      <c r="BR701" s="8" t="s">
        <v>84</v>
      </c>
      <c r="BT701" s="8">
        <v>96.29</v>
      </c>
      <c r="BU701" s="8">
        <v>96.290323000000001</v>
      </c>
      <c r="BV701" s="8">
        <v>0.14000000000000001</v>
      </c>
      <c r="BW701" s="8">
        <f>BV701*SQRT(AK701)</f>
        <v>0.93914855054991175</v>
      </c>
      <c r="BX701" s="8">
        <v>93.06</v>
      </c>
      <c r="BY701" s="8">
        <v>93.064516100000006</v>
      </c>
      <c r="BZ701" s="8">
        <v>0.1</v>
      </c>
      <c r="CA701" s="8">
        <f>BZ701*SQRT(AL701)</f>
        <v>0.67082039324993703</v>
      </c>
      <c r="CB701" s="8">
        <v>15</v>
      </c>
      <c r="CC701" s="8">
        <v>10</v>
      </c>
      <c r="CD701" s="8">
        <v>-3.4000000000000002E-2</v>
      </c>
      <c r="CE701" s="8">
        <v>1E-4</v>
      </c>
      <c r="CF701" s="8" t="s">
        <v>1134</v>
      </c>
    </row>
    <row r="702" spans="1:84" s="8" customFormat="1" hidden="1" x14ac:dyDescent="0.2">
      <c r="B702" t="str">
        <f>ROW()-1&amp;"_AltersInvert"</f>
        <v>701_AltersInvert</v>
      </c>
      <c r="C702" t="str">
        <f>D702&amp;"_"&amp;
SUBSTITUTE(TRIM(V702)," ","_")&amp;"_"&amp;
TRIM(AC702)&amp;"_"&amp;
"CO2"&amp;TEXT(AN702,"0.00")&amp;"_"&amp;
"pH"&amp;TEXT(AR702,"0.00")&amp;"_"&amp;
"T"&amp;TEXT(BC702,"0.##")</f>
        <v>112_Loligo_vulgaris_EMBRYO_CO2433.00_pH8.03_T13.2</v>
      </c>
      <c r="D702" s="8">
        <v>112</v>
      </c>
      <c r="G702" s="8" t="s">
        <v>43</v>
      </c>
      <c r="H702" s="8" t="s">
        <v>832</v>
      </c>
      <c r="I702" s="8" t="s">
        <v>1130</v>
      </c>
      <c r="J702" s="8">
        <v>2014</v>
      </c>
      <c r="M702" s="8" t="s">
        <v>463</v>
      </c>
      <c r="P702" t="s">
        <v>1135</v>
      </c>
      <c r="R702" s="8" t="s">
        <v>1127</v>
      </c>
      <c r="S702" t="s">
        <v>1128</v>
      </c>
      <c r="T702" s="8" t="s">
        <v>68</v>
      </c>
      <c r="U702" s="8" t="s">
        <v>693</v>
      </c>
      <c r="V702" s="8" t="s">
        <v>833</v>
      </c>
      <c r="W702" s="8" t="str">
        <f>IF(ISNUMBER(MATCH(V96,{"Doryteuthis pealeii","Loligo vulgaris","Leptuca thayeri","Stylocheilus striatus","Ophryotrocha labronica"},0)),"N","Y")</f>
        <v>Y</v>
      </c>
      <c r="Z702" s="8" t="s">
        <v>49</v>
      </c>
      <c r="AA702" s="8" t="s">
        <v>49</v>
      </c>
      <c r="AB702" s="8" t="s">
        <v>71</v>
      </c>
      <c r="AC702" s="8" t="s">
        <v>195</v>
      </c>
      <c r="AD702" s="8" t="s">
        <v>52</v>
      </c>
      <c r="AE702" s="8" t="s">
        <v>53</v>
      </c>
      <c r="AF702" s="8" t="s">
        <v>52</v>
      </c>
      <c r="AG702" s="8" t="s">
        <v>52</v>
      </c>
      <c r="AH702" s="8" t="s">
        <v>64</v>
      </c>
      <c r="AK702" s="8">
        <v>45</v>
      </c>
      <c r="AL702" s="8">
        <v>45</v>
      </c>
      <c r="AN702" s="8">
        <v>433</v>
      </c>
      <c r="AO702" s="8" t="s">
        <v>56</v>
      </c>
      <c r="AP702" s="8">
        <v>24</v>
      </c>
      <c r="AQ702" s="8" t="s">
        <v>109</v>
      </c>
      <c r="AR702" s="8">
        <v>8.0299999999999994</v>
      </c>
      <c r="AS702" s="8" t="s">
        <v>56</v>
      </c>
      <c r="AT702" s="8">
        <v>0.02</v>
      </c>
      <c r="AU702" s="8">
        <v>1641</v>
      </c>
      <c r="AV702" t="s">
        <v>56</v>
      </c>
      <c r="AW702">
        <v>80</v>
      </c>
      <c r="AX702">
        <v>7.53</v>
      </c>
      <c r="AY702" t="s">
        <v>56</v>
      </c>
      <c r="AZ702">
        <v>0.02</v>
      </c>
      <c r="BB702" s="8">
        <f>LOG(AU702)</f>
        <v>3.2151085810530931</v>
      </c>
      <c r="BC702" s="8">
        <v>13.2</v>
      </c>
      <c r="BD702" s="8" t="s">
        <v>56</v>
      </c>
      <c r="BE702" s="8">
        <v>0.3</v>
      </c>
      <c r="BF702" s="8">
        <v>15.3</v>
      </c>
      <c r="BG702" s="8" t="s">
        <v>56</v>
      </c>
      <c r="BH702" s="8">
        <v>0.2</v>
      </c>
      <c r="BI702" s="8">
        <v>1208</v>
      </c>
      <c r="BJ702" s="8">
        <v>2.1</v>
      </c>
      <c r="BK702" s="8" t="s">
        <v>834</v>
      </c>
      <c r="BL702" s="8" t="s">
        <v>83</v>
      </c>
      <c r="BM702" s="8" t="s">
        <v>83</v>
      </c>
      <c r="BN702" s="8" t="s">
        <v>81</v>
      </c>
      <c r="BO702" s="8" t="s">
        <v>82</v>
      </c>
      <c r="BP702" s="8" t="s">
        <v>83</v>
      </c>
      <c r="BQ702" s="8" t="s">
        <v>190</v>
      </c>
      <c r="BR702" s="8" t="s">
        <v>84</v>
      </c>
      <c r="BT702" s="8">
        <v>96.29</v>
      </c>
      <c r="BU702" s="8">
        <v>96.290323000000001</v>
      </c>
      <c r="BV702" s="8">
        <v>0.14000000000000001</v>
      </c>
      <c r="BW702" s="8">
        <f>BV702*SQRT(AK702)</f>
        <v>0.93914855054991175</v>
      </c>
      <c r="BX702" s="8">
        <v>94.03</v>
      </c>
      <c r="BY702" s="8">
        <v>94.032258100000007</v>
      </c>
      <c r="BZ702" s="8">
        <v>0.12</v>
      </c>
      <c r="CA702" s="8">
        <f>BZ702*SQRT(AL702)</f>
        <v>0.80498447189992428</v>
      </c>
      <c r="CB702" s="8">
        <v>15</v>
      </c>
      <c r="CC702" s="8">
        <v>10</v>
      </c>
      <c r="CD702" s="8">
        <v>-2.4E-2</v>
      </c>
      <c r="CE702" s="8">
        <v>1E-4</v>
      </c>
      <c r="CF702" s="8" t="s">
        <v>1134</v>
      </c>
    </row>
    <row r="703" spans="1:84" s="8" customFormat="1" hidden="1" x14ac:dyDescent="0.2">
      <c r="B703" t="str">
        <f>ROW()-1&amp;"_AltersInvert"</f>
        <v>702_AltersInvert</v>
      </c>
      <c r="C703" t="str">
        <f>D703&amp;"_"&amp;
SUBSTITUTE(TRIM(V703)," ","_")&amp;"_"&amp;
TRIM(AC703)&amp;"_"&amp;
"CO2"&amp;TEXT(AN703,"0.00")&amp;"_"&amp;
"pH"&amp;TEXT(AR703,"0.00")&amp;"_"&amp;
"T"&amp;TEXT(BC703,"0.##")</f>
        <v>49_Limecola_balthica_EMBRYO_CO2681.00_pH7.87_T15.</v>
      </c>
      <c r="D703" s="8">
        <v>49</v>
      </c>
      <c r="G703" s="8" t="s">
        <v>43</v>
      </c>
      <c r="H703" s="8" t="s">
        <v>512</v>
      </c>
      <c r="I703" s="8" t="s">
        <v>1130</v>
      </c>
      <c r="J703" s="8">
        <v>2018</v>
      </c>
      <c r="M703" s="8" t="s">
        <v>513</v>
      </c>
      <c r="P703" t="s">
        <v>1135</v>
      </c>
      <c r="R703" s="8" t="s">
        <v>1127</v>
      </c>
      <c r="S703" t="s">
        <v>1128</v>
      </c>
      <c r="T703" s="8" t="s">
        <v>68</v>
      </c>
      <c r="U703" s="8" t="s">
        <v>514</v>
      </c>
      <c r="V703" s="8" t="s">
        <v>515</v>
      </c>
      <c r="W703" s="8" t="str">
        <f>IF(ISNUMBER(MATCH(#REF!,{"Doryteuthis pealeii","Loligo vulgaris","Leptuca thayeri","Stylocheilus striatus","Ophryotrocha labronica"},0)),"N","Y")</f>
        <v>Y</v>
      </c>
      <c r="Z703" s="8" t="s">
        <v>49</v>
      </c>
      <c r="AA703" s="8" t="s">
        <v>49</v>
      </c>
      <c r="AB703" s="8" t="s">
        <v>71</v>
      </c>
      <c r="AC703" s="8" t="s">
        <v>195</v>
      </c>
      <c r="AD703" s="8" t="s">
        <v>52</v>
      </c>
      <c r="AE703" s="8" t="s">
        <v>53</v>
      </c>
      <c r="AF703" s="8" t="s">
        <v>52</v>
      </c>
      <c r="AG703" s="8" t="s">
        <v>54</v>
      </c>
      <c r="AH703" s="8" t="s">
        <v>55</v>
      </c>
      <c r="AK703" s="8">
        <v>5</v>
      </c>
      <c r="AL703" s="8">
        <v>5</v>
      </c>
      <c r="AN703" s="8">
        <v>681</v>
      </c>
      <c r="AO703" s="8" t="s">
        <v>56</v>
      </c>
      <c r="AP703" s="8" t="s">
        <v>56</v>
      </c>
      <c r="AQ703" s="8" t="s">
        <v>57</v>
      </c>
      <c r="AR703" s="8">
        <v>7.87</v>
      </c>
      <c r="AS703" s="8" t="s">
        <v>56</v>
      </c>
      <c r="AT703" s="8" t="s">
        <v>56</v>
      </c>
      <c r="AU703" s="8">
        <v>1410</v>
      </c>
      <c r="AV703" t="s">
        <v>56</v>
      </c>
      <c r="AW703" t="s">
        <v>56</v>
      </c>
      <c r="AX703">
        <v>7.58</v>
      </c>
      <c r="AY703" t="s">
        <v>56</v>
      </c>
      <c r="AZ703" t="s">
        <v>56</v>
      </c>
      <c r="BB703" s="8">
        <f>LOG(AU703)</f>
        <v>3.1492191126553797</v>
      </c>
      <c r="BC703" s="8">
        <v>15</v>
      </c>
      <c r="BD703" s="8" t="s">
        <v>56</v>
      </c>
      <c r="BE703" s="8" t="s">
        <v>56</v>
      </c>
      <c r="BF703" s="8">
        <v>15</v>
      </c>
      <c r="BG703" s="8" t="s">
        <v>56</v>
      </c>
      <c r="BH703" s="8" t="s">
        <v>56</v>
      </c>
      <c r="BI703" s="8">
        <v>730</v>
      </c>
      <c r="BJ703" s="8">
        <v>0</v>
      </c>
      <c r="BK703" s="8" t="s">
        <v>516</v>
      </c>
      <c r="BL703" s="8" t="s">
        <v>519</v>
      </c>
      <c r="BM703" s="8" t="s">
        <v>90</v>
      </c>
      <c r="BN703" s="8" t="s">
        <v>81</v>
      </c>
      <c r="BO703" s="8" t="s">
        <v>91</v>
      </c>
      <c r="BP703" s="8" t="s">
        <v>92</v>
      </c>
      <c r="BQ703" s="8" t="s">
        <v>190</v>
      </c>
      <c r="BR703" s="8" t="s">
        <v>63</v>
      </c>
      <c r="BT703" s="8">
        <v>121.93</v>
      </c>
      <c r="BU703" s="8">
        <v>121.932515</v>
      </c>
      <c r="BV703" s="8">
        <v>0.46</v>
      </c>
      <c r="BW703" s="8">
        <f>BV703*SQRT(AK703)</f>
        <v>1.0285912696499033</v>
      </c>
      <c r="BX703" s="8">
        <v>113.47</v>
      </c>
      <c r="BY703" s="8">
        <v>113.4662577</v>
      </c>
      <c r="BZ703" s="8">
        <v>1.56</v>
      </c>
      <c r="CA703" s="8">
        <f>BZ703*SQRT(AL703)</f>
        <v>3.4882660448996723</v>
      </c>
      <c r="CB703" s="8">
        <v>3</v>
      </c>
      <c r="CC703" s="8">
        <v>5</v>
      </c>
      <c r="CD703" s="8">
        <v>-7.1999999999999995E-2</v>
      </c>
      <c r="CE703" s="8">
        <v>2.0000000000000001E-4</v>
      </c>
      <c r="CF703" s="8" t="s">
        <v>1134</v>
      </c>
    </row>
    <row r="704" spans="1:84" s="8" customFormat="1" hidden="1" x14ac:dyDescent="0.2">
      <c r="B704" t="str">
        <f>ROW()-1&amp;"_AltersInvert"</f>
        <v>703_AltersInvert</v>
      </c>
      <c r="C704" t="str">
        <f>D704&amp;"_"&amp;
SUBSTITUTE(TRIM(V704)," ","_")&amp;"_"&amp;
TRIM(AC704)&amp;"_"&amp;
"CO2"&amp;TEXT(AN704,"0.00")&amp;"_"&amp;
"pH"&amp;TEXT(AR704,"0.00")&amp;"_"&amp;
"T"&amp;TEXT(BC704,"0.##")</f>
        <v>49_Limecola_balthica_EMBRYO_CO2681.00_pH7.87_T15.</v>
      </c>
      <c r="D704" s="8">
        <v>49</v>
      </c>
      <c r="G704" s="8" t="s">
        <v>43</v>
      </c>
      <c r="H704" s="8" t="s">
        <v>512</v>
      </c>
      <c r="I704" s="8" t="s">
        <v>1130</v>
      </c>
      <c r="J704" s="8">
        <v>2018</v>
      </c>
      <c r="M704" s="8" t="s">
        <v>513</v>
      </c>
      <c r="P704" t="s">
        <v>1135</v>
      </c>
      <c r="R704" s="8" t="s">
        <v>1127</v>
      </c>
      <c r="S704" t="s">
        <v>1128</v>
      </c>
      <c r="T704" s="8" t="s">
        <v>68</v>
      </c>
      <c r="U704" s="8" t="s">
        <v>514</v>
      </c>
      <c r="V704" s="8" t="s">
        <v>515</v>
      </c>
      <c r="W704" s="8" t="str">
        <f>IF(ISNUMBER(MATCH(#REF!,{"Doryteuthis pealeii","Loligo vulgaris","Leptuca thayeri","Stylocheilus striatus","Ophryotrocha labronica"},0)),"N","Y")</f>
        <v>Y</v>
      </c>
      <c r="Z704" s="8" t="s">
        <v>49</v>
      </c>
      <c r="AA704" s="8" t="s">
        <v>49</v>
      </c>
      <c r="AB704" s="8" t="s">
        <v>71</v>
      </c>
      <c r="AC704" s="8" t="s">
        <v>195</v>
      </c>
      <c r="AD704" s="8" t="s">
        <v>52</v>
      </c>
      <c r="AE704" s="8" t="s">
        <v>53</v>
      </c>
      <c r="AF704" s="8" t="s">
        <v>52</v>
      </c>
      <c r="AG704" s="8" t="s">
        <v>54</v>
      </c>
      <c r="AH704" s="8" t="s">
        <v>55</v>
      </c>
      <c r="AK704" s="8">
        <v>5</v>
      </c>
      <c r="AL704" s="8">
        <v>5</v>
      </c>
      <c r="AN704" s="8">
        <v>681</v>
      </c>
      <c r="AO704" s="8" t="s">
        <v>56</v>
      </c>
      <c r="AP704" s="8" t="s">
        <v>56</v>
      </c>
      <c r="AQ704" s="8" t="s">
        <v>57</v>
      </c>
      <c r="AR704" s="8">
        <v>7.87</v>
      </c>
      <c r="AS704" s="8" t="s">
        <v>56</v>
      </c>
      <c r="AT704" s="8" t="s">
        <v>56</v>
      </c>
      <c r="AU704" s="8">
        <v>1633</v>
      </c>
      <c r="AV704" t="s">
        <v>56</v>
      </c>
      <c r="AW704" t="s">
        <v>56</v>
      </c>
      <c r="AX704">
        <v>7.52</v>
      </c>
      <c r="AY704" t="s">
        <v>56</v>
      </c>
      <c r="AZ704" t="s">
        <v>56</v>
      </c>
      <c r="BB704" s="8">
        <f>LOG(AU704)</f>
        <v>3.2129861847366681</v>
      </c>
      <c r="BC704" s="8">
        <v>15</v>
      </c>
      <c r="BD704" s="8" t="s">
        <v>56</v>
      </c>
      <c r="BE704" s="8" t="s">
        <v>56</v>
      </c>
      <c r="BF704" s="8">
        <v>15</v>
      </c>
      <c r="BG704" s="8" t="s">
        <v>56</v>
      </c>
      <c r="BH704" s="8" t="s">
        <v>56</v>
      </c>
      <c r="BI704" s="8">
        <v>952</v>
      </c>
      <c r="BJ704" s="8">
        <v>0</v>
      </c>
      <c r="BK704" s="8" t="s">
        <v>516</v>
      </c>
      <c r="BL704" s="8" t="s">
        <v>519</v>
      </c>
      <c r="BM704" s="8" t="s">
        <v>90</v>
      </c>
      <c r="BN704" s="8" t="s">
        <v>81</v>
      </c>
      <c r="BO704" s="8" t="s">
        <v>91</v>
      </c>
      <c r="BP704" s="8" t="s">
        <v>92</v>
      </c>
      <c r="BQ704" s="8" t="s">
        <v>190</v>
      </c>
      <c r="BR704" s="8" t="s">
        <v>63</v>
      </c>
      <c r="BT704" s="8">
        <v>121.93</v>
      </c>
      <c r="BU704" s="8">
        <v>121.932515</v>
      </c>
      <c r="BV704" s="8">
        <v>0.46</v>
      </c>
      <c r="BW704" s="8">
        <f>BV704*SQRT(AK704)</f>
        <v>1.0285912696499033</v>
      </c>
      <c r="BX704" s="8">
        <v>113.74</v>
      </c>
      <c r="BY704" s="8">
        <v>113.7423313</v>
      </c>
      <c r="BZ704" s="8">
        <v>1.38</v>
      </c>
      <c r="CA704" s="8">
        <f>BZ704*SQRT(AL704)</f>
        <v>3.0857738089497095</v>
      </c>
      <c r="CB704" s="8">
        <v>3</v>
      </c>
      <c r="CC704" s="8">
        <v>5</v>
      </c>
      <c r="CD704" s="8">
        <v>-7.0000000000000007E-2</v>
      </c>
      <c r="CE704" s="8">
        <v>2.0000000000000001E-4</v>
      </c>
      <c r="CF704" s="8" t="s">
        <v>1134</v>
      </c>
    </row>
    <row r="705" spans="1:84" s="8" customFormat="1" hidden="1" x14ac:dyDescent="0.2">
      <c r="B705" t="str">
        <f>ROW()-1&amp;"_AltersInvert"</f>
        <v>704_AltersInvert</v>
      </c>
      <c r="C705" t="str">
        <f>D705&amp;"_"&amp;
SUBSTITUTE(TRIM(V705)," ","_")&amp;"_"&amp;
TRIM(AC705)&amp;"_"&amp;
"CO2"&amp;TEXT(AN705,"0.00")&amp;"_"&amp;
"pH"&amp;TEXT(AR705,"0.00")&amp;"_"&amp;
"T"&amp;TEXT(BC705,"0.##")</f>
        <v>49_Limecola_balthica_EMBRYO_CO2681.00_pH7.87_T15.</v>
      </c>
      <c r="D705" s="8">
        <v>49</v>
      </c>
      <c r="G705" s="8" t="s">
        <v>43</v>
      </c>
      <c r="H705" s="8" t="s">
        <v>512</v>
      </c>
      <c r="I705" s="8" t="s">
        <v>1130</v>
      </c>
      <c r="J705" s="8">
        <v>2018</v>
      </c>
      <c r="M705" s="8" t="s">
        <v>513</v>
      </c>
      <c r="P705" t="s">
        <v>1135</v>
      </c>
      <c r="R705" s="8" t="s">
        <v>1127</v>
      </c>
      <c r="S705" t="s">
        <v>1128</v>
      </c>
      <c r="T705" s="8" t="s">
        <v>68</v>
      </c>
      <c r="U705" s="8" t="s">
        <v>514</v>
      </c>
      <c r="V705" s="8" t="s">
        <v>515</v>
      </c>
      <c r="W705" s="8" t="str">
        <f>IF(ISNUMBER(MATCH(#REF!,{"Doryteuthis pealeii","Loligo vulgaris","Leptuca thayeri","Stylocheilus striatus","Ophryotrocha labronica"},0)),"N","Y")</f>
        <v>Y</v>
      </c>
      <c r="Z705" s="8" t="s">
        <v>49</v>
      </c>
      <c r="AA705" s="8" t="s">
        <v>49</v>
      </c>
      <c r="AB705" s="8" t="s">
        <v>71</v>
      </c>
      <c r="AC705" s="8" t="s">
        <v>195</v>
      </c>
      <c r="AD705" s="8" t="s">
        <v>52</v>
      </c>
      <c r="AE705" s="8" t="s">
        <v>53</v>
      </c>
      <c r="AF705" s="8" t="s">
        <v>52</v>
      </c>
      <c r="AG705" s="8" t="s">
        <v>54</v>
      </c>
      <c r="AH705" s="8" t="s">
        <v>55</v>
      </c>
      <c r="AK705" s="8">
        <v>5</v>
      </c>
      <c r="AL705" s="8">
        <v>5</v>
      </c>
      <c r="AN705" s="8">
        <v>681</v>
      </c>
      <c r="AO705" s="8" t="s">
        <v>56</v>
      </c>
      <c r="AP705" s="8" t="s">
        <v>56</v>
      </c>
      <c r="AQ705" s="8" t="s">
        <v>57</v>
      </c>
      <c r="AR705" s="8">
        <v>7.87</v>
      </c>
      <c r="AS705" s="8" t="s">
        <v>56</v>
      </c>
      <c r="AT705" s="8" t="s">
        <v>56</v>
      </c>
      <c r="AU705" s="8">
        <v>1970</v>
      </c>
      <c r="AV705" t="s">
        <v>56</v>
      </c>
      <c r="AW705" t="s">
        <v>56</v>
      </c>
      <c r="AX705">
        <v>7.44</v>
      </c>
      <c r="AY705" t="s">
        <v>56</v>
      </c>
      <c r="AZ705" t="s">
        <v>56</v>
      </c>
      <c r="BB705" s="8">
        <f>LOG(AU705)</f>
        <v>3.2944662261615929</v>
      </c>
      <c r="BC705" s="8">
        <v>15</v>
      </c>
      <c r="BD705" s="8" t="s">
        <v>56</v>
      </c>
      <c r="BE705" s="8" t="s">
        <v>56</v>
      </c>
      <c r="BF705" s="8">
        <v>15</v>
      </c>
      <c r="BG705" s="8" t="s">
        <v>56</v>
      </c>
      <c r="BH705" s="8" t="s">
        <v>56</v>
      </c>
      <c r="BI705" s="8">
        <v>1289</v>
      </c>
      <c r="BJ705" s="8">
        <v>0</v>
      </c>
      <c r="BK705" s="8" t="s">
        <v>516</v>
      </c>
      <c r="BL705" s="8" t="s">
        <v>519</v>
      </c>
      <c r="BM705" s="8" t="s">
        <v>90</v>
      </c>
      <c r="BN705" s="8" t="s">
        <v>81</v>
      </c>
      <c r="BO705" s="8" t="s">
        <v>91</v>
      </c>
      <c r="BP705" s="8" t="s">
        <v>92</v>
      </c>
      <c r="BQ705" s="8" t="s">
        <v>190</v>
      </c>
      <c r="BR705" s="8" t="s">
        <v>63</v>
      </c>
      <c r="BT705" s="8">
        <v>121.93</v>
      </c>
      <c r="BU705" s="8">
        <v>121.932515</v>
      </c>
      <c r="BV705" s="8">
        <v>0.46</v>
      </c>
      <c r="BW705" s="8">
        <f>BV705*SQRT(AK705)</f>
        <v>1.0285912696499033</v>
      </c>
      <c r="BX705" s="8">
        <v>114.02</v>
      </c>
      <c r="BY705" s="8">
        <v>114.01840489999999</v>
      </c>
      <c r="BZ705" s="8">
        <v>1.01</v>
      </c>
      <c r="CA705" s="8">
        <f>BZ705*SQRT(AL705)</f>
        <v>2.2584286572747878</v>
      </c>
      <c r="CB705" s="8">
        <v>3</v>
      </c>
      <c r="CC705" s="8">
        <v>5</v>
      </c>
      <c r="CD705" s="8">
        <v>-6.7000000000000004E-2</v>
      </c>
      <c r="CE705" s="8">
        <v>1E-4</v>
      </c>
      <c r="CF705" s="8" t="s">
        <v>1134</v>
      </c>
    </row>
    <row r="706" spans="1:84" s="8" customFormat="1" hidden="1" x14ac:dyDescent="0.2">
      <c r="B706" t="str">
        <f>ROW()-1&amp;"_AltersInvert"</f>
        <v>705_AltersInvert</v>
      </c>
      <c r="C706" t="str">
        <f>D706&amp;"_"&amp;
SUBSTITUTE(TRIM(V706)," ","_")&amp;"_"&amp;
TRIM(AC706)&amp;"_"&amp;
"CO2"&amp;TEXT(AN706,"0.00")&amp;"_"&amp;
"pH"&amp;TEXT(AR706,"0.00")&amp;"_"&amp;
"T"&amp;TEXT(BC706,"0.##")</f>
        <v>49_Limecola_balthica_EMBRYO_CO2681.00_pH7.87_T15.</v>
      </c>
      <c r="D706" s="8">
        <v>49</v>
      </c>
      <c r="G706" s="8" t="s">
        <v>43</v>
      </c>
      <c r="H706" s="8" t="s">
        <v>512</v>
      </c>
      <c r="I706" s="8" t="s">
        <v>1130</v>
      </c>
      <c r="J706" s="8">
        <v>2018</v>
      </c>
      <c r="M706" s="8" t="s">
        <v>513</v>
      </c>
      <c r="P706" t="s">
        <v>1135</v>
      </c>
      <c r="R706" s="8" t="s">
        <v>1127</v>
      </c>
      <c r="S706" t="s">
        <v>1128</v>
      </c>
      <c r="T706" s="8" t="s">
        <v>68</v>
      </c>
      <c r="U706" s="8" t="s">
        <v>514</v>
      </c>
      <c r="V706" s="8" t="s">
        <v>515</v>
      </c>
      <c r="W706" s="8" t="str">
        <f>IF(ISNUMBER(MATCH(#REF!,{"Doryteuthis pealeii","Loligo vulgaris","Leptuca thayeri","Stylocheilus striatus","Ophryotrocha labronica"},0)),"N","Y")</f>
        <v>Y</v>
      </c>
      <c r="Z706" s="8" t="s">
        <v>49</v>
      </c>
      <c r="AA706" s="8" t="s">
        <v>49</v>
      </c>
      <c r="AB706" s="8" t="s">
        <v>71</v>
      </c>
      <c r="AC706" s="8" t="s">
        <v>195</v>
      </c>
      <c r="AD706" s="8" t="s">
        <v>52</v>
      </c>
      <c r="AE706" s="8" t="s">
        <v>53</v>
      </c>
      <c r="AF706" s="8" t="s">
        <v>52</v>
      </c>
      <c r="AG706" s="8" t="s">
        <v>54</v>
      </c>
      <c r="AH706" s="8" t="s">
        <v>55</v>
      </c>
      <c r="AK706" s="8">
        <v>5</v>
      </c>
      <c r="AL706" s="8">
        <v>5</v>
      </c>
      <c r="AN706" s="8">
        <v>681</v>
      </c>
      <c r="AO706" s="8" t="s">
        <v>56</v>
      </c>
      <c r="AP706" s="8" t="s">
        <v>56</v>
      </c>
      <c r="AQ706" s="8" t="s">
        <v>57</v>
      </c>
      <c r="AR706" s="8">
        <v>7.87</v>
      </c>
      <c r="AS706" s="8" t="s">
        <v>56</v>
      </c>
      <c r="AT706" s="8" t="s">
        <v>56</v>
      </c>
      <c r="AU706" s="8">
        <v>1123</v>
      </c>
      <c r="AV706" t="s">
        <v>56</v>
      </c>
      <c r="AW706" t="s">
        <v>56</v>
      </c>
      <c r="AX706">
        <v>7.67</v>
      </c>
      <c r="AY706" t="s">
        <v>56</v>
      </c>
      <c r="AZ706" t="s">
        <v>56</v>
      </c>
      <c r="BB706" s="8">
        <f>LOG(AU706)</f>
        <v>3.0503797562614579</v>
      </c>
      <c r="BC706" s="8">
        <v>15</v>
      </c>
      <c r="BD706" s="8" t="s">
        <v>56</v>
      </c>
      <c r="BE706" s="8" t="s">
        <v>56</v>
      </c>
      <c r="BF706" s="8">
        <v>15</v>
      </c>
      <c r="BG706" s="8" t="s">
        <v>56</v>
      </c>
      <c r="BH706" s="8" t="s">
        <v>56</v>
      </c>
      <c r="BI706" s="8">
        <v>442</v>
      </c>
      <c r="BJ706" s="8">
        <v>0</v>
      </c>
      <c r="BK706" s="8" t="s">
        <v>516</v>
      </c>
      <c r="BL706" s="8" t="s">
        <v>519</v>
      </c>
      <c r="BM706" s="8" t="s">
        <v>90</v>
      </c>
      <c r="BN706" s="8" t="s">
        <v>81</v>
      </c>
      <c r="BO706" s="8" t="s">
        <v>91</v>
      </c>
      <c r="BP706" s="8" t="s">
        <v>92</v>
      </c>
      <c r="BQ706" s="8" t="s">
        <v>9</v>
      </c>
      <c r="BR706" s="8" t="s">
        <v>63</v>
      </c>
      <c r="BT706" s="8">
        <v>121.93</v>
      </c>
      <c r="BU706" s="8">
        <v>121.932515</v>
      </c>
      <c r="BV706" s="8">
        <v>0.46</v>
      </c>
      <c r="BW706" s="8">
        <f>BV706*SQRT(AK706)</f>
        <v>1.0285912696499033</v>
      </c>
      <c r="BX706" s="8">
        <v>117.7</v>
      </c>
      <c r="BY706" s="8">
        <v>117.6993865</v>
      </c>
      <c r="BZ706" s="8">
        <v>0.55000000000000004</v>
      </c>
      <c r="CA706" s="8">
        <f>BZ706*SQRT(AL706)</f>
        <v>1.2298373876248845</v>
      </c>
      <c r="CB706" s="8">
        <v>3</v>
      </c>
      <c r="CC706" s="8">
        <v>5</v>
      </c>
      <c r="CD706" s="8">
        <v>-3.5000000000000003E-2</v>
      </c>
      <c r="CE706" s="8">
        <v>1E-4</v>
      </c>
      <c r="CF706" s="8" t="s">
        <v>1134</v>
      </c>
    </row>
    <row r="707" spans="1:84" s="8" customFormat="1" hidden="1" x14ac:dyDescent="0.2">
      <c r="B707" t="str">
        <f>ROW()-1&amp;"_AltersInvert"</f>
        <v>706_AltersInvert</v>
      </c>
      <c r="C707" t="str">
        <f>D707&amp;"_"&amp;
SUBSTITUTE(TRIM(V707)," ","_")&amp;"_"&amp;
TRIM(AC707)&amp;"_"&amp;
"CO2"&amp;TEXT(AN707,"0.00")&amp;"_"&amp;
"pH"&amp;TEXT(AR707,"0.00")&amp;"_"&amp;
"T"&amp;TEXT(BC707,"0.##")</f>
        <v>49_Limecola_balthica_EMBRYO_CO2681.00_pH7.87_T15.</v>
      </c>
      <c r="D707" s="8">
        <v>49</v>
      </c>
      <c r="G707" s="8" t="s">
        <v>43</v>
      </c>
      <c r="H707" s="8" t="s">
        <v>512</v>
      </c>
      <c r="I707" s="8" t="s">
        <v>1130</v>
      </c>
      <c r="J707" s="8">
        <v>2018</v>
      </c>
      <c r="M707" s="8" t="s">
        <v>513</v>
      </c>
      <c r="P707" t="s">
        <v>1135</v>
      </c>
      <c r="R707" s="8" t="s">
        <v>1127</v>
      </c>
      <c r="S707" t="s">
        <v>1128</v>
      </c>
      <c r="T707" s="8" t="s">
        <v>68</v>
      </c>
      <c r="U707" s="8" t="s">
        <v>514</v>
      </c>
      <c r="V707" s="8" t="s">
        <v>515</v>
      </c>
      <c r="W707" s="8" t="str">
        <f>IF(ISNUMBER(MATCH(V101,{"Doryteuthis pealeii","Loligo vulgaris","Leptuca thayeri","Stylocheilus striatus","Ophryotrocha labronica"},0)),"N","Y")</f>
        <v>Y</v>
      </c>
      <c r="Z707" s="8" t="s">
        <v>49</v>
      </c>
      <c r="AA707" s="8" t="s">
        <v>49</v>
      </c>
      <c r="AB707" s="8" t="s">
        <v>71</v>
      </c>
      <c r="AC707" s="8" t="s">
        <v>195</v>
      </c>
      <c r="AD707" s="8" t="s">
        <v>52</v>
      </c>
      <c r="AE707" s="8" t="s">
        <v>53</v>
      </c>
      <c r="AF707" s="8" t="s">
        <v>54</v>
      </c>
      <c r="AG707" s="8" t="s">
        <v>52</v>
      </c>
      <c r="AH707" s="8" t="s">
        <v>65</v>
      </c>
      <c r="AK707" s="8">
        <v>5</v>
      </c>
      <c r="AL707" s="8">
        <v>5</v>
      </c>
      <c r="AN707" s="8">
        <v>681</v>
      </c>
      <c r="AO707" s="8" t="s">
        <v>56</v>
      </c>
      <c r="AP707" s="8" t="s">
        <v>56</v>
      </c>
      <c r="AQ707" s="8" t="s">
        <v>57</v>
      </c>
      <c r="AR707" s="8">
        <v>7.87</v>
      </c>
      <c r="AS707" s="8" t="s">
        <v>56</v>
      </c>
      <c r="AT707" s="8" t="s">
        <v>56</v>
      </c>
      <c r="AU707" s="8">
        <v>805</v>
      </c>
      <c r="AV707" t="s">
        <v>56</v>
      </c>
      <c r="AW707" t="s">
        <v>56</v>
      </c>
      <c r="AX707">
        <v>7.84</v>
      </c>
      <c r="AY707" t="s">
        <v>56</v>
      </c>
      <c r="AZ707" t="s">
        <v>56</v>
      </c>
      <c r="BB707" s="8">
        <f>LOG(AU707)</f>
        <v>2.9057958803678687</v>
      </c>
      <c r="BC707" s="8">
        <v>15</v>
      </c>
      <c r="BD707" s="8" t="s">
        <v>56</v>
      </c>
      <c r="BE707" s="8" t="s">
        <v>56</v>
      </c>
      <c r="BF707" s="8">
        <v>18</v>
      </c>
      <c r="BG707" s="8" t="s">
        <v>56</v>
      </c>
      <c r="BH707" s="8" t="s">
        <v>56</v>
      </c>
      <c r="BI707" s="8">
        <v>125</v>
      </c>
      <c r="BJ707" s="8">
        <v>3</v>
      </c>
      <c r="BK707" s="8" t="s">
        <v>516</v>
      </c>
      <c r="BL707" s="8" t="s">
        <v>519</v>
      </c>
      <c r="BM707" s="8" t="s">
        <v>90</v>
      </c>
      <c r="BN707" s="8" t="s">
        <v>81</v>
      </c>
      <c r="BO707" s="8" t="s">
        <v>91</v>
      </c>
      <c r="BP707" s="8" t="s">
        <v>92</v>
      </c>
      <c r="BQ707" s="8" t="s">
        <v>9</v>
      </c>
      <c r="BR707" s="8" t="s">
        <v>63</v>
      </c>
      <c r="BT707" s="8">
        <v>121.93</v>
      </c>
      <c r="BU707" s="8">
        <v>121.932515</v>
      </c>
      <c r="BV707" s="8">
        <v>0.46</v>
      </c>
      <c r="BW707" s="8">
        <f>BV707*SQRT(AK707)</f>
        <v>1.0285912696499033</v>
      </c>
      <c r="BX707" s="8">
        <v>116.96</v>
      </c>
      <c r="BY707" s="8">
        <v>116.9631902</v>
      </c>
      <c r="BZ707" s="8">
        <v>0.55000000000000004</v>
      </c>
      <c r="CA707" s="8">
        <f>BZ707*SQRT(AL707)</f>
        <v>1.2298373876248845</v>
      </c>
      <c r="CB707" s="8">
        <v>3</v>
      </c>
      <c r="CC707" s="8">
        <v>5</v>
      </c>
      <c r="CD707" s="8">
        <v>-4.2000000000000003E-2</v>
      </c>
      <c r="CE707" s="8">
        <v>1E-4</v>
      </c>
      <c r="CF707" s="8" t="s">
        <v>1134</v>
      </c>
    </row>
    <row r="708" spans="1:84" s="8" customFormat="1" hidden="1" x14ac:dyDescent="0.2">
      <c r="B708" t="str">
        <f>ROW()-1&amp;"_AltersInvert"</f>
        <v>707_AltersInvert</v>
      </c>
      <c r="C708" t="str">
        <f>D708&amp;"_"&amp;
SUBSTITUTE(TRIM(V708)," ","_")&amp;"_"&amp;
TRIM(AC708)&amp;"_"&amp;
"CO2"&amp;TEXT(AN708,"0.00")&amp;"_"&amp;
"pH"&amp;TEXT(AR708,"0.00")&amp;"_"&amp;
"T"&amp;TEXT(BC708,"0.##")</f>
        <v>49_Limecola_balthica_EMBRYO_CO2681.00_pH7.87_T15.</v>
      </c>
      <c r="D708" s="8">
        <v>49</v>
      </c>
      <c r="G708" s="8" t="s">
        <v>43</v>
      </c>
      <c r="H708" s="8" t="s">
        <v>512</v>
      </c>
      <c r="I708" s="8" t="s">
        <v>1130</v>
      </c>
      <c r="J708" s="8">
        <v>2018</v>
      </c>
      <c r="M708" s="8" t="s">
        <v>513</v>
      </c>
      <c r="P708" t="s">
        <v>1135</v>
      </c>
      <c r="R708" s="8" t="s">
        <v>1127</v>
      </c>
      <c r="S708" t="s">
        <v>1128</v>
      </c>
      <c r="T708" s="8" t="s">
        <v>68</v>
      </c>
      <c r="U708" s="8" t="s">
        <v>514</v>
      </c>
      <c r="V708" s="8" t="s">
        <v>515</v>
      </c>
      <c r="W708" s="8" t="str">
        <f>IF(ISNUMBER(MATCH(V102,{"Doryteuthis pealeii","Loligo vulgaris","Leptuca thayeri","Stylocheilus striatus","Ophryotrocha labronica"},0)),"N","Y")</f>
        <v>Y</v>
      </c>
      <c r="Z708" s="8" t="s">
        <v>49</v>
      </c>
      <c r="AA708" s="8" t="s">
        <v>49</v>
      </c>
      <c r="AB708" s="8" t="s">
        <v>71</v>
      </c>
      <c r="AC708" s="8" t="s">
        <v>195</v>
      </c>
      <c r="AD708" s="8" t="s">
        <v>52</v>
      </c>
      <c r="AE708" s="8" t="s">
        <v>53</v>
      </c>
      <c r="AF708" s="8" t="s">
        <v>52</v>
      </c>
      <c r="AG708" s="8" t="s">
        <v>52</v>
      </c>
      <c r="AH708" s="8" t="s">
        <v>64</v>
      </c>
      <c r="AK708" s="8">
        <v>5</v>
      </c>
      <c r="AL708" s="8">
        <v>5</v>
      </c>
      <c r="AN708" s="8">
        <v>681</v>
      </c>
      <c r="AO708" s="8" t="s">
        <v>56</v>
      </c>
      <c r="AP708" s="8" t="s">
        <v>56</v>
      </c>
      <c r="AQ708" s="8" t="s">
        <v>57</v>
      </c>
      <c r="AR708" s="8">
        <v>7.87</v>
      </c>
      <c r="AS708" s="8" t="s">
        <v>56</v>
      </c>
      <c r="AT708" s="8" t="s">
        <v>56</v>
      </c>
      <c r="AU708" s="8">
        <v>1905</v>
      </c>
      <c r="AV708" t="s">
        <v>56</v>
      </c>
      <c r="AW708" t="s">
        <v>56</v>
      </c>
      <c r="AX708">
        <v>7.49</v>
      </c>
      <c r="AY708" t="s">
        <v>56</v>
      </c>
      <c r="AZ708" t="s">
        <v>56</v>
      </c>
      <c r="BB708" s="8">
        <f>LOG(AU708)</f>
        <v>3.2798949800116382</v>
      </c>
      <c r="BC708" s="8">
        <v>15</v>
      </c>
      <c r="BD708" s="8" t="s">
        <v>56</v>
      </c>
      <c r="BE708" s="8" t="s">
        <v>56</v>
      </c>
      <c r="BF708" s="8">
        <v>18</v>
      </c>
      <c r="BG708" s="8" t="s">
        <v>56</v>
      </c>
      <c r="BH708" s="8" t="s">
        <v>56</v>
      </c>
      <c r="BI708" s="8">
        <v>1225</v>
      </c>
      <c r="BJ708" s="8">
        <v>3</v>
      </c>
      <c r="BK708" s="8" t="s">
        <v>516</v>
      </c>
      <c r="BL708" s="8" t="s">
        <v>519</v>
      </c>
      <c r="BM708" s="8" t="s">
        <v>90</v>
      </c>
      <c r="BN708" s="8" t="s">
        <v>81</v>
      </c>
      <c r="BO708" s="8" t="s">
        <v>91</v>
      </c>
      <c r="BP708" s="8" t="s">
        <v>92</v>
      </c>
      <c r="BQ708" s="8" t="s">
        <v>190</v>
      </c>
      <c r="BR708" s="8" t="s">
        <v>63</v>
      </c>
      <c r="BT708" s="8">
        <v>121.93</v>
      </c>
      <c r="BU708" s="8">
        <v>121.932515</v>
      </c>
      <c r="BV708" s="8">
        <v>0.46</v>
      </c>
      <c r="BW708" s="8">
        <f>BV708*SQRT(AK708)</f>
        <v>1.0285912696499033</v>
      </c>
      <c r="BX708" s="8">
        <v>110.89</v>
      </c>
      <c r="BY708" s="8">
        <v>110.8895706</v>
      </c>
      <c r="BZ708" s="8">
        <v>1.56</v>
      </c>
      <c r="CA708" s="8">
        <f>BZ708*SQRT(AL708)</f>
        <v>3.4882660448996723</v>
      </c>
      <c r="CB708" s="8">
        <v>3</v>
      </c>
      <c r="CC708" s="8">
        <v>5</v>
      </c>
      <c r="CD708" s="8">
        <v>-9.5000000000000001E-2</v>
      </c>
      <c r="CE708" s="8">
        <v>2.0000000000000001E-4</v>
      </c>
      <c r="CF708" s="8" t="s">
        <v>1134</v>
      </c>
    </row>
    <row r="709" spans="1:84" s="8" customFormat="1" hidden="1" x14ac:dyDescent="0.2">
      <c r="B709" t="str">
        <f>ROW()-1&amp;"_AltersInvert"</f>
        <v>708_AltersInvert</v>
      </c>
      <c r="C709" t="str">
        <f>D709&amp;"_"&amp;
SUBSTITUTE(TRIM(V709)," ","_")&amp;"_"&amp;
TRIM(AC709)&amp;"_"&amp;
"CO2"&amp;TEXT(AN709,"0.00")&amp;"_"&amp;
"pH"&amp;TEXT(AR709,"0.00")&amp;"_"&amp;
"T"&amp;TEXT(BC709,"0.##")</f>
        <v>49_Limecola_balthica_EMBRYO_CO2681.00_pH7.87_T15.</v>
      </c>
      <c r="D709" s="8">
        <v>49</v>
      </c>
      <c r="G709" s="8" t="s">
        <v>43</v>
      </c>
      <c r="H709" s="8" t="s">
        <v>512</v>
      </c>
      <c r="I709" s="8" t="s">
        <v>1130</v>
      </c>
      <c r="J709" s="8">
        <v>2018</v>
      </c>
      <c r="M709" s="8" t="s">
        <v>513</v>
      </c>
      <c r="P709" t="s">
        <v>1135</v>
      </c>
      <c r="R709" s="8" t="s">
        <v>1127</v>
      </c>
      <c r="S709" t="s">
        <v>1128</v>
      </c>
      <c r="T709" s="8" t="s">
        <v>68</v>
      </c>
      <c r="U709" s="8" t="s">
        <v>514</v>
      </c>
      <c r="V709" s="8" t="s">
        <v>515</v>
      </c>
      <c r="W709" s="8" t="str">
        <f>IF(ISNUMBER(MATCH(V103,{"Doryteuthis pealeii","Loligo vulgaris","Leptuca thayeri","Stylocheilus striatus","Ophryotrocha labronica"},0)),"N","Y")</f>
        <v>Y</v>
      </c>
      <c r="Z709" s="8" t="s">
        <v>49</v>
      </c>
      <c r="AA709" s="8" t="s">
        <v>49</v>
      </c>
      <c r="AB709" s="8" t="s">
        <v>71</v>
      </c>
      <c r="AC709" s="8" t="s">
        <v>195</v>
      </c>
      <c r="AD709" s="8" t="s">
        <v>52</v>
      </c>
      <c r="AE709" s="8" t="s">
        <v>53</v>
      </c>
      <c r="AF709" s="8" t="s">
        <v>52</v>
      </c>
      <c r="AG709" s="8" t="s">
        <v>52</v>
      </c>
      <c r="AH709" s="8" t="s">
        <v>64</v>
      </c>
      <c r="AK709" s="8">
        <v>5</v>
      </c>
      <c r="AL709" s="8">
        <v>5</v>
      </c>
      <c r="AN709" s="8">
        <v>681</v>
      </c>
      <c r="AO709" s="8" t="s">
        <v>56</v>
      </c>
      <c r="AP709" s="8" t="s">
        <v>56</v>
      </c>
      <c r="AQ709" s="8" t="s">
        <v>57</v>
      </c>
      <c r="AR709" s="8">
        <v>7.87</v>
      </c>
      <c r="AS709" s="8" t="s">
        <v>56</v>
      </c>
      <c r="AT709" s="8" t="s">
        <v>56</v>
      </c>
      <c r="AU709" s="8">
        <v>1630</v>
      </c>
      <c r="AV709" t="s">
        <v>56</v>
      </c>
      <c r="AW709" t="s">
        <v>56</v>
      </c>
      <c r="AX709">
        <v>7.56</v>
      </c>
      <c r="AY709" t="s">
        <v>56</v>
      </c>
      <c r="AZ709" t="s">
        <v>56</v>
      </c>
      <c r="BB709" s="8">
        <f>LOG(AU709)</f>
        <v>3.2121876044039577</v>
      </c>
      <c r="BC709" s="8">
        <v>15</v>
      </c>
      <c r="BD709" s="8" t="s">
        <v>56</v>
      </c>
      <c r="BE709" s="8" t="s">
        <v>56</v>
      </c>
      <c r="BF709" s="8">
        <v>18</v>
      </c>
      <c r="BG709" s="8" t="s">
        <v>56</v>
      </c>
      <c r="BH709" s="8" t="s">
        <v>56</v>
      </c>
      <c r="BI709" s="8">
        <v>949</v>
      </c>
      <c r="BJ709" s="8">
        <v>3</v>
      </c>
      <c r="BK709" s="8" t="s">
        <v>516</v>
      </c>
      <c r="BL709" s="8" t="s">
        <v>519</v>
      </c>
      <c r="BM709" s="8" t="s">
        <v>90</v>
      </c>
      <c r="BN709" s="8" t="s">
        <v>81</v>
      </c>
      <c r="BO709" s="8" t="s">
        <v>91</v>
      </c>
      <c r="BP709" s="8" t="s">
        <v>92</v>
      </c>
      <c r="BQ709" s="8" t="s">
        <v>9</v>
      </c>
      <c r="BR709" s="8" t="s">
        <v>63</v>
      </c>
      <c r="BT709" s="8">
        <v>121.93</v>
      </c>
      <c r="BU709" s="8">
        <v>121.932515</v>
      </c>
      <c r="BV709" s="8">
        <v>0.46</v>
      </c>
      <c r="BW709" s="8">
        <f>BV709*SQRT(AK709)</f>
        <v>1.0285912696499033</v>
      </c>
      <c r="BX709" s="8">
        <v>112.09</v>
      </c>
      <c r="BY709" s="8">
        <v>112.0858896</v>
      </c>
      <c r="BZ709" s="8">
        <v>1.84</v>
      </c>
      <c r="CA709" s="8">
        <f>BZ709*SQRT(AL709)</f>
        <v>4.1143650785996133</v>
      </c>
      <c r="CB709" s="8">
        <v>3</v>
      </c>
      <c r="CC709" s="8">
        <v>5</v>
      </c>
      <c r="CD709" s="8">
        <v>-8.4000000000000005E-2</v>
      </c>
      <c r="CE709" s="8">
        <v>2.9999999999999997E-4</v>
      </c>
      <c r="CF709" s="8" t="s">
        <v>1134</v>
      </c>
    </row>
    <row r="710" spans="1:84" s="8" customFormat="1" hidden="1" x14ac:dyDescent="0.2">
      <c r="B710" t="str">
        <f>ROW()-1&amp;"_AltersInvert"</f>
        <v>709_AltersInvert</v>
      </c>
      <c r="C710" t="str">
        <f>D710&amp;"_"&amp;
SUBSTITUTE(TRIM(V710)," ","_")&amp;"_"&amp;
TRIM(AC710)&amp;"_"&amp;
"CO2"&amp;TEXT(AN710,"0.00")&amp;"_"&amp;
"pH"&amp;TEXT(AR710,"0.00")&amp;"_"&amp;
"T"&amp;TEXT(BC710,"0.##")</f>
        <v>49_Limecola_balthica_EMBRYO_CO2681.00_pH7.87_T15.</v>
      </c>
      <c r="D710" s="8">
        <v>49</v>
      </c>
      <c r="G710" s="8" t="s">
        <v>43</v>
      </c>
      <c r="H710" s="8" t="s">
        <v>512</v>
      </c>
      <c r="I710" s="8" t="s">
        <v>1130</v>
      </c>
      <c r="J710" s="8">
        <v>2018</v>
      </c>
      <c r="M710" s="8" t="s">
        <v>513</v>
      </c>
      <c r="P710" t="s">
        <v>1135</v>
      </c>
      <c r="R710" s="8" t="s">
        <v>1127</v>
      </c>
      <c r="S710" t="s">
        <v>1128</v>
      </c>
      <c r="T710" s="8" t="s">
        <v>68</v>
      </c>
      <c r="U710" s="8" t="s">
        <v>514</v>
      </c>
      <c r="V710" s="8" t="s">
        <v>515</v>
      </c>
      <c r="W710" s="8" t="str">
        <f>IF(ISNUMBER(MATCH(V104,{"Doryteuthis pealeii","Loligo vulgaris","Leptuca thayeri","Stylocheilus striatus","Ophryotrocha labronica"},0)),"N","Y")</f>
        <v>Y</v>
      </c>
      <c r="Z710" s="8" t="s">
        <v>49</v>
      </c>
      <c r="AA710" s="8" t="s">
        <v>49</v>
      </c>
      <c r="AB710" s="8" t="s">
        <v>71</v>
      </c>
      <c r="AC710" s="8" t="s">
        <v>195</v>
      </c>
      <c r="AD710" s="8" t="s">
        <v>52</v>
      </c>
      <c r="AE710" s="8" t="s">
        <v>53</v>
      </c>
      <c r="AF710" s="8" t="s">
        <v>52</v>
      </c>
      <c r="AG710" s="8" t="s">
        <v>52</v>
      </c>
      <c r="AH710" s="8" t="s">
        <v>64</v>
      </c>
      <c r="AK710" s="8">
        <v>5</v>
      </c>
      <c r="AL710" s="8">
        <v>5</v>
      </c>
      <c r="AN710" s="8">
        <v>681</v>
      </c>
      <c r="AO710" s="8" t="s">
        <v>56</v>
      </c>
      <c r="AP710" s="8" t="s">
        <v>56</v>
      </c>
      <c r="AQ710" s="8" t="s">
        <v>57</v>
      </c>
      <c r="AR710" s="8">
        <v>7.87</v>
      </c>
      <c r="AS710" s="8" t="s">
        <v>56</v>
      </c>
      <c r="AT710" s="8" t="s">
        <v>56</v>
      </c>
      <c r="AU710" s="8">
        <v>1367</v>
      </c>
      <c r="AV710" t="s">
        <v>56</v>
      </c>
      <c r="AW710" t="s">
        <v>56</v>
      </c>
      <c r="AX710">
        <v>7.63</v>
      </c>
      <c r="AY710" t="s">
        <v>56</v>
      </c>
      <c r="AZ710" t="s">
        <v>56</v>
      </c>
      <c r="BB710" s="8">
        <f>LOG(AU710)</f>
        <v>3.1357685145678222</v>
      </c>
      <c r="BC710" s="8">
        <v>15</v>
      </c>
      <c r="BD710" s="8" t="s">
        <v>56</v>
      </c>
      <c r="BE710" s="8" t="s">
        <v>56</v>
      </c>
      <c r="BF710" s="8">
        <v>18</v>
      </c>
      <c r="BG710" s="8" t="s">
        <v>56</v>
      </c>
      <c r="BH710" s="8" t="s">
        <v>56</v>
      </c>
      <c r="BI710" s="8">
        <v>687</v>
      </c>
      <c r="BJ710" s="8">
        <v>3</v>
      </c>
      <c r="BK710" s="8" t="s">
        <v>516</v>
      </c>
      <c r="BL710" s="8" t="s">
        <v>519</v>
      </c>
      <c r="BM710" s="8" t="s">
        <v>90</v>
      </c>
      <c r="BN710" s="8" t="s">
        <v>81</v>
      </c>
      <c r="BO710" s="8" t="s">
        <v>91</v>
      </c>
      <c r="BP710" s="8" t="s">
        <v>92</v>
      </c>
      <c r="BQ710" s="8" t="s">
        <v>190</v>
      </c>
      <c r="BR710" s="8" t="s">
        <v>63</v>
      </c>
      <c r="BT710" s="8">
        <v>121.93</v>
      </c>
      <c r="BU710" s="8">
        <v>121.932515</v>
      </c>
      <c r="BV710" s="8">
        <v>0.46</v>
      </c>
      <c r="BW710" s="8">
        <f>BV710*SQRT(AK710)</f>
        <v>1.0285912696499033</v>
      </c>
      <c r="BX710" s="8">
        <v>114.94</v>
      </c>
      <c r="BY710" s="8">
        <v>114.93865030000001</v>
      </c>
      <c r="BZ710" s="8">
        <v>1.75</v>
      </c>
      <c r="CA710" s="8">
        <f>BZ710*SQRT(AL710)</f>
        <v>3.9131189606246322</v>
      </c>
      <c r="CB710" s="8">
        <v>3</v>
      </c>
      <c r="CC710" s="8">
        <v>5</v>
      </c>
      <c r="CD710" s="8">
        <v>-5.8999999999999997E-2</v>
      </c>
      <c r="CE710" s="8">
        <v>2.0000000000000001E-4</v>
      </c>
      <c r="CF710" s="8" t="s">
        <v>1134</v>
      </c>
    </row>
    <row r="711" spans="1:84" s="8" customFormat="1" hidden="1" x14ac:dyDescent="0.2">
      <c r="B711" t="str">
        <f>ROW()-1&amp;"_AltersInvert"</f>
        <v>710_AltersInvert</v>
      </c>
      <c r="C711" t="str">
        <f>D711&amp;"_"&amp;
SUBSTITUTE(TRIM(V711)," ","_")&amp;"_"&amp;
TRIM(AC711)&amp;"_"&amp;
"CO2"&amp;TEXT(AN711,"0.00")&amp;"_"&amp;
"pH"&amp;TEXT(AR711,"0.00")&amp;"_"&amp;
"T"&amp;TEXT(BC711,"0.##")</f>
        <v>49_Limecola_balthica_EMBRYO_CO2681.00_pH7.87_T15.</v>
      </c>
      <c r="D711" s="8">
        <v>49</v>
      </c>
      <c r="G711" s="8" t="s">
        <v>43</v>
      </c>
      <c r="H711" s="8" t="s">
        <v>512</v>
      </c>
      <c r="I711" s="8" t="s">
        <v>1130</v>
      </c>
      <c r="J711" s="8">
        <v>2018</v>
      </c>
      <c r="M711" s="8" t="s">
        <v>513</v>
      </c>
      <c r="P711" t="s">
        <v>1135</v>
      </c>
      <c r="R711" s="8" t="s">
        <v>1127</v>
      </c>
      <c r="S711" t="s">
        <v>1128</v>
      </c>
      <c r="T711" s="8" t="s">
        <v>68</v>
      </c>
      <c r="U711" s="8" t="s">
        <v>514</v>
      </c>
      <c r="V711" s="8" t="s">
        <v>515</v>
      </c>
      <c r="W711" s="8" t="str">
        <f>IF(ISNUMBER(MATCH(V105,{"Doryteuthis pealeii","Loligo vulgaris","Leptuca thayeri","Stylocheilus striatus","Ophryotrocha labronica"},0)),"N","Y")</f>
        <v>Y</v>
      </c>
      <c r="Z711" s="8" t="s">
        <v>49</v>
      </c>
      <c r="AA711" s="8" t="s">
        <v>49</v>
      </c>
      <c r="AB711" s="8" t="s">
        <v>71</v>
      </c>
      <c r="AC711" s="8" t="s">
        <v>195</v>
      </c>
      <c r="AD711" s="8" t="s">
        <v>52</v>
      </c>
      <c r="AE711" s="8" t="s">
        <v>53</v>
      </c>
      <c r="AF711" s="8" t="s">
        <v>52</v>
      </c>
      <c r="AG711" s="8" t="s">
        <v>52</v>
      </c>
      <c r="AH711" s="8" t="s">
        <v>64</v>
      </c>
      <c r="AK711" s="8">
        <v>5</v>
      </c>
      <c r="AL711" s="8">
        <v>5</v>
      </c>
      <c r="AN711" s="8">
        <v>681</v>
      </c>
      <c r="AO711" s="8" t="s">
        <v>56</v>
      </c>
      <c r="AP711" s="8" t="s">
        <v>56</v>
      </c>
      <c r="AQ711" s="8" t="s">
        <v>57</v>
      </c>
      <c r="AR711" s="8">
        <v>7.87</v>
      </c>
      <c r="AS711" s="8" t="s">
        <v>56</v>
      </c>
      <c r="AT711" s="8" t="s">
        <v>56</v>
      </c>
      <c r="AU711" s="8">
        <v>1056</v>
      </c>
      <c r="AV711" t="s">
        <v>56</v>
      </c>
      <c r="AW711" t="s">
        <v>56</v>
      </c>
      <c r="AX711">
        <v>7.73</v>
      </c>
      <c r="AY711" t="s">
        <v>56</v>
      </c>
      <c r="AZ711" t="s">
        <v>56</v>
      </c>
      <c r="BB711" s="8">
        <f>LOG(AU711)</f>
        <v>3.0236639181977933</v>
      </c>
      <c r="BC711" s="8">
        <v>15</v>
      </c>
      <c r="BD711" s="8" t="s">
        <v>56</v>
      </c>
      <c r="BE711" s="8" t="s">
        <v>56</v>
      </c>
      <c r="BF711" s="8">
        <v>18</v>
      </c>
      <c r="BG711" s="8" t="s">
        <v>56</v>
      </c>
      <c r="BH711" s="8" t="s">
        <v>56</v>
      </c>
      <c r="BI711" s="8">
        <v>376</v>
      </c>
      <c r="BJ711" s="8">
        <v>3</v>
      </c>
      <c r="BK711" s="8" t="s">
        <v>516</v>
      </c>
      <c r="BL711" s="8" t="s">
        <v>519</v>
      </c>
      <c r="BM711" s="8" t="s">
        <v>90</v>
      </c>
      <c r="BN711" s="8" t="s">
        <v>81</v>
      </c>
      <c r="BO711" s="8" t="s">
        <v>91</v>
      </c>
      <c r="BP711" s="8" t="s">
        <v>92</v>
      </c>
      <c r="BQ711" s="8" t="s">
        <v>9</v>
      </c>
      <c r="BR711" s="8" t="s">
        <v>63</v>
      </c>
      <c r="BT711" s="8">
        <v>121.93</v>
      </c>
      <c r="BU711" s="8">
        <v>121.932515</v>
      </c>
      <c r="BV711" s="8">
        <v>0.46</v>
      </c>
      <c r="BW711" s="8">
        <f>BV711*SQRT(AK711)</f>
        <v>1.0285912696499033</v>
      </c>
      <c r="BX711" s="8">
        <v>116.13</v>
      </c>
      <c r="BY711" s="8">
        <v>116.13496929999999</v>
      </c>
      <c r="BZ711" s="8">
        <v>1.1000000000000001</v>
      </c>
      <c r="CA711" s="8">
        <f>BZ711*SQRT(AL711)</f>
        <v>2.459674775249769</v>
      </c>
      <c r="CB711" s="8">
        <v>3</v>
      </c>
      <c r="CC711" s="8">
        <v>5</v>
      </c>
      <c r="CD711" s="8">
        <v>-4.9000000000000002E-2</v>
      </c>
      <c r="CE711" s="8">
        <v>1E-4</v>
      </c>
      <c r="CF711" s="8" t="s">
        <v>1134</v>
      </c>
    </row>
    <row r="712" spans="1:84" s="8" customFormat="1" hidden="1" x14ac:dyDescent="0.2">
      <c r="B712" t="str">
        <f>ROW()-1&amp;"_AltersInvert"</f>
        <v>711_AltersInvert</v>
      </c>
      <c r="C712" t="str">
        <f>D712&amp;"_"&amp;
SUBSTITUTE(TRIM(V712)," ","_")&amp;"_"&amp;
TRIM(AC712)&amp;"_"&amp;
"CO2"&amp;TEXT(AN712,"0.00")&amp;"_"&amp;
"pH"&amp;TEXT(AR712,"0.00")&amp;"_"&amp;
"T"&amp;TEXT(BC712,"0.##")</f>
        <v>112_Loligo_vulgaris_EMBRYO_CO2433.00_pH8.03_T13.2</v>
      </c>
      <c r="D712" s="8">
        <v>112</v>
      </c>
      <c r="G712" s="8" t="s">
        <v>43</v>
      </c>
      <c r="H712" s="8" t="s">
        <v>832</v>
      </c>
      <c r="I712" s="8" t="s">
        <v>1130</v>
      </c>
      <c r="J712" s="8">
        <v>2014</v>
      </c>
      <c r="M712" s="8" t="s">
        <v>463</v>
      </c>
      <c r="P712" t="s">
        <v>1135</v>
      </c>
      <c r="R712" s="8" t="s">
        <v>1127</v>
      </c>
      <c r="S712" t="s">
        <v>1128</v>
      </c>
      <c r="T712" s="8" t="s">
        <v>68</v>
      </c>
      <c r="U712" s="8" t="s">
        <v>693</v>
      </c>
      <c r="V712" s="8" t="s">
        <v>833</v>
      </c>
      <c r="W712" s="8" t="str">
        <f>IF(ISNUMBER(MATCH(V106,{"Doryteuthis pealeii","Loligo vulgaris","Leptuca thayeri","Stylocheilus striatus","Ophryotrocha labronica"},0)),"N","Y")</f>
        <v>Y</v>
      </c>
      <c r="Z712" s="8" t="s">
        <v>49</v>
      </c>
      <c r="AA712" s="8" t="s">
        <v>49</v>
      </c>
      <c r="AB712" s="8" t="s">
        <v>71</v>
      </c>
      <c r="AC712" s="8" t="s">
        <v>195</v>
      </c>
      <c r="AD712" s="8" t="s">
        <v>52</v>
      </c>
      <c r="AE712" s="8" t="s">
        <v>53</v>
      </c>
      <c r="AF712" s="8" t="s">
        <v>52</v>
      </c>
      <c r="AG712" s="8" t="s">
        <v>54</v>
      </c>
      <c r="AH712" s="8" t="s">
        <v>55</v>
      </c>
      <c r="AK712" s="8">
        <v>45</v>
      </c>
      <c r="AL712" s="8">
        <v>45</v>
      </c>
      <c r="AN712" s="8">
        <v>433</v>
      </c>
      <c r="AO712" s="8" t="s">
        <v>56</v>
      </c>
      <c r="AP712" s="8">
        <v>24</v>
      </c>
      <c r="AQ712" s="8" t="s">
        <v>109</v>
      </c>
      <c r="AR712" s="8">
        <v>8.0299999999999994</v>
      </c>
      <c r="AS712" s="8" t="s">
        <v>56</v>
      </c>
      <c r="AT712" s="8">
        <v>0.02</v>
      </c>
      <c r="AU712" s="8">
        <v>1682</v>
      </c>
      <c r="AV712" t="s">
        <v>56</v>
      </c>
      <c r="AW712">
        <v>132</v>
      </c>
      <c r="AX712">
        <v>7.51</v>
      </c>
      <c r="AY712" t="s">
        <v>56</v>
      </c>
      <c r="AZ712">
        <v>0.03</v>
      </c>
      <c r="BB712" s="8">
        <f>LOG(AU712)</f>
        <v>3.2258259914618934</v>
      </c>
      <c r="BC712" s="8">
        <v>13.2</v>
      </c>
      <c r="BD712" s="8" t="s">
        <v>56</v>
      </c>
      <c r="BE712" s="8">
        <v>0.3</v>
      </c>
      <c r="BF712" s="8">
        <v>13.2</v>
      </c>
      <c r="BG712" s="8" t="s">
        <v>56</v>
      </c>
      <c r="BH712" s="8">
        <v>0.3</v>
      </c>
      <c r="BI712" s="8">
        <v>1249</v>
      </c>
      <c r="BJ712" s="8">
        <v>0</v>
      </c>
      <c r="BK712" s="8" t="s">
        <v>834</v>
      </c>
      <c r="BL712" s="8" t="s">
        <v>836</v>
      </c>
      <c r="BM712" s="8" t="s">
        <v>249</v>
      </c>
      <c r="BN712" s="8" t="s">
        <v>60</v>
      </c>
      <c r="BO712" s="8" t="s">
        <v>250</v>
      </c>
      <c r="BP712" s="8" t="s">
        <v>9</v>
      </c>
      <c r="BQ712" s="8" t="s">
        <v>190</v>
      </c>
      <c r="BR712" s="8" t="s">
        <v>63</v>
      </c>
      <c r="BT712" s="8">
        <v>27.12</v>
      </c>
      <c r="BU712" s="8">
        <v>27.116182999999999</v>
      </c>
      <c r="BV712" s="8">
        <v>0.16</v>
      </c>
      <c r="BW712" s="8">
        <f>BV712*SQRT(AK712)</f>
        <v>1.0733126291998991</v>
      </c>
      <c r="BX712" s="8">
        <v>36.76</v>
      </c>
      <c r="BY712" s="8">
        <v>36.763485500000002</v>
      </c>
      <c r="BZ712" s="8">
        <v>0.25</v>
      </c>
      <c r="CA712" s="8">
        <f>BZ712*SQRT(AL712)</f>
        <v>1.6770509831248424</v>
      </c>
      <c r="CB712" s="8">
        <v>15</v>
      </c>
      <c r="CC712" s="8">
        <v>10</v>
      </c>
      <c r="CD712" s="8">
        <v>0.30399999999999999</v>
      </c>
      <c r="CE712" s="8">
        <v>1E-4</v>
      </c>
      <c r="CF712" s="8" t="s">
        <v>1134</v>
      </c>
    </row>
    <row r="713" spans="1:84" s="8" customFormat="1" hidden="1" x14ac:dyDescent="0.2">
      <c r="B713" t="str">
        <f>ROW()-1&amp;"_AltersInvert"</f>
        <v>712_AltersInvert</v>
      </c>
      <c r="C713" t="str">
        <f>D713&amp;"_"&amp;
SUBSTITUTE(TRIM(V713)," ","_")&amp;"_"&amp;
TRIM(AC713)&amp;"_"&amp;
"CO2"&amp;TEXT(AN713,"0.00")&amp;"_"&amp;
"pH"&amp;TEXT(AR713,"0.00")&amp;"_"&amp;
"T"&amp;TEXT(BC713,"0.##")</f>
        <v>112_Loligo_vulgaris_EMBRYO_CO2433.00_pH8.03_T13.2</v>
      </c>
      <c r="D713" s="8">
        <v>112</v>
      </c>
      <c r="G713" s="8" t="s">
        <v>43</v>
      </c>
      <c r="H713" s="8" t="s">
        <v>832</v>
      </c>
      <c r="I713" s="8" t="s">
        <v>1130</v>
      </c>
      <c r="J713" s="8">
        <v>2014</v>
      </c>
      <c r="M713" s="8" t="s">
        <v>463</v>
      </c>
      <c r="P713" t="s">
        <v>1135</v>
      </c>
      <c r="R713" s="8" t="s">
        <v>1127</v>
      </c>
      <c r="S713" t="s">
        <v>1128</v>
      </c>
      <c r="T713" s="8" t="s">
        <v>68</v>
      </c>
      <c r="U713" s="8" t="s">
        <v>693</v>
      </c>
      <c r="V713" s="8" t="s">
        <v>833</v>
      </c>
      <c r="W713" s="8" t="str">
        <f>IF(ISNUMBER(MATCH(V107,{"Doryteuthis pealeii","Loligo vulgaris","Leptuca thayeri","Stylocheilus striatus","Ophryotrocha labronica"},0)),"N","Y")</f>
        <v>Y</v>
      </c>
      <c r="Z713" s="8" t="s">
        <v>49</v>
      </c>
      <c r="AA713" s="8" t="s">
        <v>49</v>
      </c>
      <c r="AB713" s="8" t="s">
        <v>71</v>
      </c>
      <c r="AC713" s="8" t="s">
        <v>195</v>
      </c>
      <c r="AD713" s="8" t="s">
        <v>52</v>
      </c>
      <c r="AE713" s="8" t="s">
        <v>53</v>
      </c>
      <c r="AF713" s="8" t="s">
        <v>54</v>
      </c>
      <c r="AG713" s="8" t="s">
        <v>52</v>
      </c>
      <c r="AH713" s="8" t="s">
        <v>65</v>
      </c>
      <c r="AK713" s="8">
        <v>45</v>
      </c>
      <c r="AL713" s="8">
        <v>45</v>
      </c>
      <c r="AN713" s="8">
        <v>433</v>
      </c>
      <c r="AO713" s="8" t="s">
        <v>56</v>
      </c>
      <c r="AP713" s="8">
        <v>24</v>
      </c>
      <c r="AQ713" s="8" t="s">
        <v>109</v>
      </c>
      <c r="AR713" s="8">
        <v>8.0299999999999994</v>
      </c>
      <c r="AS713" s="8" t="s">
        <v>56</v>
      </c>
      <c r="AT713" s="8">
        <v>0.02</v>
      </c>
      <c r="AU713" s="8">
        <v>440</v>
      </c>
      <c r="AV713" t="s">
        <v>56</v>
      </c>
      <c r="AW713">
        <v>12</v>
      </c>
      <c r="AX713">
        <v>8.0299999999999994</v>
      </c>
      <c r="AY713" t="s">
        <v>56</v>
      </c>
      <c r="AZ713">
        <v>0.01</v>
      </c>
      <c r="BB713" s="8">
        <f>LOG(AU713)</f>
        <v>2.6434526764861874</v>
      </c>
      <c r="BC713" s="8">
        <v>13.2</v>
      </c>
      <c r="BD713" s="8" t="s">
        <v>56</v>
      </c>
      <c r="BE713" s="8">
        <v>0.3</v>
      </c>
      <c r="BF713" s="8">
        <v>15.1</v>
      </c>
      <c r="BG713" s="8" t="s">
        <v>56</v>
      </c>
      <c r="BH713" s="8">
        <v>0.3</v>
      </c>
      <c r="BI713" s="8">
        <v>7</v>
      </c>
      <c r="BJ713" s="8">
        <v>1.9</v>
      </c>
      <c r="BK713" s="8" t="s">
        <v>834</v>
      </c>
      <c r="BL713" s="8" t="s">
        <v>836</v>
      </c>
      <c r="BM713" s="8" t="s">
        <v>249</v>
      </c>
      <c r="BN713" s="8" t="s">
        <v>60</v>
      </c>
      <c r="BO713" s="8" t="s">
        <v>250</v>
      </c>
      <c r="BP713" s="8" t="s">
        <v>9</v>
      </c>
      <c r="BQ713" s="8" t="s">
        <v>190</v>
      </c>
      <c r="BR713" s="8" t="s">
        <v>63</v>
      </c>
      <c r="BT713" s="8">
        <v>27.12</v>
      </c>
      <c r="BU713" s="8">
        <v>27.116182999999999</v>
      </c>
      <c r="BV713" s="8">
        <v>0.16</v>
      </c>
      <c r="BW713" s="8">
        <f>BV713*SQRT(AK713)</f>
        <v>1.0733126291998991</v>
      </c>
      <c r="BX713" s="8">
        <v>23.63</v>
      </c>
      <c r="BY713" s="8">
        <v>23.6307054</v>
      </c>
      <c r="BZ713" s="8">
        <v>0.13</v>
      </c>
      <c r="CA713" s="8">
        <f>BZ713*SQRT(AL713)</f>
        <v>0.87206651122491807</v>
      </c>
      <c r="CB713" s="8">
        <v>15</v>
      </c>
      <c r="CC713" s="8">
        <v>10</v>
      </c>
      <c r="CD713" s="8">
        <v>-0.13800000000000001</v>
      </c>
      <c r="CE713" s="8">
        <v>1E-4</v>
      </c>
      <c r="CF713" s="8" t="s">
        <v>1134</v>
      </c>
    </row>
    <row r="714" spans="1:84" s="8" customFormat="1" hidden="1" x14ac:dyDescent="0.2">
      <c r="B714" t="str">
        <f>ROW()-1&amp;"_AltersInvert"</f>
        <v>713_AltersInvert</v>
      </c>
      <c r="C714" t="str">
        <f>D714&amp;"_"&amp;
SUBSTITUTE(TRIM(V714)," ","_")&amp;"_"&amp;
TRIM(AC714)&amp;"_"&amp;
"CO2"&amp;TEXT(AN714,"0.00")&amp;"_"&amp;
"pH"&amp;TEXT(AR714,"0.00")&amp;"_"&amp;
"T"&amp;TEXT(BC714,"0.##")</f>
        <v>112_Loligo_vulgaris_EMBRYO_CO2433.00_pH8.03_T13.2</v>
      </c>
      <c r="D714" s="8">
        <v>112</v>
      </c>
      <c r="G714" s="8" t="s">
        <v>43</v>
      </c>
      <c r="H714" s="8" t="s">
        <v>832</v>
      </c>
      <c r="I714" s="8" t="s">
        <v>1130</v>
      </c>
      <c r="J714" s="8">
        <v>2014</v>
      </c>
      <c r="M714" s="8" t="s">
        <v>463</v>
      </c>
      <c r="P714" t="s">
        <v>1135</v>
      </c>
      <c r="R714" s="8" t="s">
        <v>1127</v>
      </c>
      <c r="S714" t="s">
        <v>1128</v>
      </c>
      <c r="T714" s="8" t="s">
        <v>68</v>
      </c>
      <c r="U714" s="8" t="s">
        <v>693</v>
      </c>
      <c r="V714" s="8" t="s">
        <v>833</v>
      </c>
      <c r="W714" s="8" t="str">
        <f>IF(ISNUMBER(MATCH(V108,{"Doryteuthis pealeii","Loligo vulgaris","Leptuca thayeri","Stylocheilus striatus","Ophryotrocha labronica"},0)),"N","Y")</f>
        <v>Y</v>
      </c>
      <c r="Z714" s="8" t="s">
        <v>49</v>
      </c>
      <c r="AA714" s="8" t="s">
        <v>49</v>
      </c>
      <c r="AB714" s="8" t="s">
        <v>71</v>
      </c>
      <c r="AC714" s="8" t="s">
        <v>195</v>
      </c>
      <c r="AD714" s="8" t="s">
        <v>52</v>
      </c>
      <c r="AE714" s="8" t="s">
        <v>53</v>
      </c>
      <c r="AF714" s="8" t="s">
        <v>52</v>
      </c>
      <c r="AG714" s="8" t="s">
        <v>52</v>
      </c>
      <c r="AH714" s="8" t="s">
        <v>64</v>
      </c>
      <c r="AK714" s="8">
        <v>45</v>
      </c>
      <c r="AL714" s="8">
        <v>45</v>
      </c>
      <c r="AN714" s="8">
        <v>433</v>
      </c>
      <c r="AO714" s="8" t="s">
        <v>56</v>
      </c>
      <c r="AP714" s="8">
        <v>24</v>
      </c>
      <c r="AQ714" s="8" t="s">
        <v>109</v>
      </c>
      <c r="AR714" s="8">
        <v>8.0299999999999994</v>
      </c>
      <c r="AS714" s="8" t="s">
        <v>56</v>
      </c>
      <c r="AT714" s="8">
        <v>0.02</v>
      </c>
      <c r="AU714" s="8">
        <v>1641</v>
      </c>
      <c r="AV714" t="s">
        <v>56</v>
      </c>
      <c r="AW714">
        <v>80</v>
      </c>
      <c r="AX714">
        <v>7.53</v>
      </c>
      <c r="AY714" t="s">
        <v>56</v>
      </c>
      <c r="AZ714">
        <v>0.02</v>
      </c>
      <c r="BB714" s="8">
        <f>LOG(AU714)</f>
        <v>3.2151085810530931</v>
      </c>
      <c r="BC714" s="8">
        <v>13.2</v>
      </c>
      <c r="BD714" s="8" t="s">
        <v>56</v>
      </c>
      <c r="BE714" s="8">
        <v>0.3</v>
      </c>
      <c r="BF714" s="8">
        <v>15.3</v>
      </c>
      <c r="BG714" s="8" t="s">
        <v>56</v>
      </c>
      <c r="BH714" s="8">
        <v>0.2</v>
      </c>
      <c r="BI714" s="8">
        <v>1208</v>
      </c>
      <c r="BJ714" s="8">
        <v>2.1</v>
      </c>
      <c r="BK714" s="8" t="s">
        <v>834</v>
      </c>
      <c r="BL714" s="8" t="s">
        <v>836</v>
      </c>
      <c r="BM714" s="8" t="s">
        <v>249</v>
      </c>
      <c r="BN714" s="8" t="s">
        <v>60</v>
      </c>
      <c r="BO714" s="8" t="s">
        <v>250</v>
      </c>
      <c r="BP714" s="8" t="s">
        <v>9</v>
      </c>
      <c r="BQ714" s="8" t="s">
        <v>83</v>
      </c>
      <c r="BR714" s="8" t="s">
        <v>63</v>
      </c>
      <c r="BT714" s="8">
        <v>27.12</v>
      </c>
      <c r="BU714" s="8">
        <v>27.116182999999999</v>
      </c>
      <c r="BV714" s="8">
        <v>0.16</v>
      </c>
      <c r="BW714" s="8">
        <f>BV714*SQRT(AK714)</f>
        <v>1.0733126291998991</v>
      </c>
      <c r="BX714" s="8">
        <v>32.590000000000003</v>
      </c>
      <c r="BY714" s="8">
        <v>32.593361000000002</v>
      </c>
      <c r="BZ714" s="8">
        <v>0.13</v>
      </c>
      <c r="CA714" s="8">
        <f>BZ714*SQRT(AL714)</f>
        <v>0.87206651122491807</v>
      </c>
      <c r="CB714" s="8">
        <v>15</v>
      </c>
      <c r="CC714" s="8">
        <v>10</v>
      </c>
      <c r="CD714" s="8">
        <v>0.184</v>
      </c>
      <c r="CE714" s="8">
        <v>1E-4</v>
      </c>
      <c r="CF714" s="8" t="s">
        <v>1134</v>
      </c>
    </row>
    <row r="715" spans="1:84" s="8" customFormat="1" hidden="1" x14ac:dyDescent="0.2">
      <c r="A715"/>
      <c r="B715" t="str">
        <f>ROW()-1&amp;"_AltersInvert"</f>
        <v>714_AltersInvert</v>
      </c>
      <c r="C715" t="str">
        <f>D715&amp;"_"&amp;
SUBSTITUTE(TRIM(V715)," ","_")&amp;"_"&amp;
TRIM(AC715)&amp;"_"&amp;
"CO2"&amp;TEXT(AN715,"0.00")&amp;"_"&amp;
"pH"&amp;TEXT(AR715,"0.00")&amp;"_"&amp;
"T"&amp;TEXT(BC715,"0.##")</f>
        <v>215_Hyas_araneus_LARVA_CO2354.00_pH0.00_T3.</v>
      </c>
      <c r="D715">
        <v>215</v>
      </c>
      <c r="E715"/>
      <c r="F715"/>
      <c r="G715" t="s">
        <v>43</v>
      </c>
      <c r="H715" t="s">
        <v>1036</v>
      </c>
      <c r="I715"/>
      <c r="J715">
        <v>2011</v>
      </c>
      <c r="K715"/>
      <c r="L715"/>
      <c r="M715" t="s">
        <v>67</v>
      </c>
      <c r="N715"/>
      <c r="O715"/>
      <c r="P715" t="s">
        <v>1135</v>
      </c>
      <c r="Q715"/>
      <c r="R715" t="s">
        <v>1127</v>
      </c>
      <c r="S715" t="s">
        <v>1128</v>
      </c>
      <c r="T715" t="s">
        <v>131</v>
      </c>
      <c r="U715" t="s">
        <v>245</v>
      </c>
      <c r="V715" t="s">
        <v>246</v>
      </c>
      <c r="W715"/>
      <c r="X715"/>
      <c r="Y715"/>
      <c r="Z715"/>
      <c r="AA715"/>
      <c r="AB715"/>
      <c r="AC715" t="s">
        <v>72</v>
      </c>
      <c r="AD715"/>
      <c r="AE715"/>
      <c r="AF715" t="s">
        <v>52</v>
      </c>
      <c r="AG715" t="s">
        <v>54</v>
      </c>
      <c r="AH715" t="s">
        <v>55</v>
      </c>
      <c r="AI715"/>
      <c r="AJ715"/>
      <c r="AK715">
        <v>9</v>
      </c>
      <c r="AL715">
        <v>9</v>
      </c>
      <c r="AM715"/>
      <c r="AN715">
        <v>354</v>
      </c>
      <c r="AO715"/>
      <c r="AP715"/>
      <c r="AQ715"/>
      <c r="AR715"/>
      <c r="AS715"/>
      <c r="AT715"/>
      <c r="AU715">
        <v>2378</v>
      </c>
      <c r="AV715"/>
      <c r="AW715"/>
      <c r="AX715"/>
      <c r="AY715"/>
      <c r="AZ715"/>
      <c r="BA715"/>
      <c r="BB715">
        <f>LOG(AU715)</f>
        <v>3.3762118502826728</v>
      </c>
      <c r="BC715">
        <v>3</v>
      </c>
      <c r="BD715"/>
      <c r="BE715"/>
      <c r="BF715">
        <v>3</v>
      </c>
      <c r="BG715"/>
      <c r="BH715"/>
      <c r="BI715">
        <v>2024</v>
      </c>
      <c r="BJ715">
        <v>0</v>
      </c>
      <c r="BK715" t="s">
        <v>1049</v>
      </c>
      <c r="BL715" t="s">
        <v>1038</v>
      </c>
      <c r="BM715" t="s">
        <v>241</v>
      </c>
      <c r="BN715" t="s">
        <v>60</v>
      </c>
      <c r="BO715" t="s">
        <v>1039</v>
      </c>
      <c r="BP715" t="s">
        <v>234</v>
      </c>
      <c r="BQ715" t="s">
        <v>194</v>
      </c>
      <c r="BR715" t="s">
        <v>63</v>
      </c>
      <c r="BS715"/>
      <c r="BT715">
        <v>4.1429999999999998</v>
      </c>
      <c r="BU715">
        <v>4.1429999999999998</v>
      </c>
      <c r="BV715">
        <v>0.36299999999999999</v>
      </c>
      <c r="BW715">
        <f>BV715*SQRT(AK715)</f>
        <v>1.089</v>
      </c>
      <c r="BX715">
        <v>1.8340000000000001</v>
      </c>
      <c r="BY715">
        <v>1.8340000000000001</v>
      </c>
      <c r="BZ715">
        <v>0.158</v>
      </c>
      <c r="CA715">
        <f>BZ715*SQRT(AL715)</f>
        <v>0.47399999999999998</v>
      </c>
      <c r="CB715">
        <v>14</v>
      </c>
      <c r="CC715"/>
      <c r="CD715">
        <v>-0.81499999999999995</v>
      </c>
      <c r="CE715">
        <v>1.5100000000000001E-2</v>
      </c>
    </row>
    <row r="716" spans="1:84" s="8" customFormat="1" hidden="1" x14ac:dyDescent="0.2">
      <c r="A716"/>
      <c r="B716" t="str">
        <f>ROW()-1&amp;"_AltersInvert"</f>
        <v>715_AltersInvert</v>
      </c>
      <c r="C716" t="str">
        <f>D716&amp;"_"&amp;
SUBSTITUTE(TRIM(V716)," ","_")&amp;"_"&amp;
TRIM(AC716)&amp;"_"&amp;
"CO2"&amp;TEXT(AN716,"0.00")&amp;"_"&amp;
"pH"&amp;TEXT(AR716,"0.00")&amp;"_"&amp;
"T"&amp;TEXT(BC716,"0.##")</f>
        <v>215_Hyas_araneus_LARVA_CO2354.00_pH0.00_T3.</v>
      </c>
      <c r="D716">
        <v>215</v>
      </c>
      <c r="E716"/>
      <c r="F716"/>
      <c r="G716" t="s">
        <v>43</v>
      </c>
      <c r="H716" t="s">
        <v>1036</v>
      </c>
      <c r="I716"/>
      <c r="J716">
        <v>2011</v>
      </c>
      <c r="K716"/>
      <c r="L716"/>
      <c r="M716" t="s">
        <v>67</v>
      </c>
      <c r="N716"/>
      <c r="O716"/>
      <c r="P716" t="s">
        <v>1135</v>
      </c>
      <c r="Q716"/>
      <c r="R716" t="s">
        <v>1127</v>
      </c>
      <c r="S716" t="s">
        <v>1128</v>
      </c>
      <c r="T716" t="s">
        <v>131</v>
      </c>
      <c r="U716" t="s">
        <v>245</v>
      </c>
      <c r="V716" t="s">
        <v>246</v>
      </c>
      <c r="W716"/>
      <c r="X716"/>
      <c r="Y716"/>
      <c r="Z716"/>
      <c r="AA716"/>
      <c r="AB716"/>
      <c r="AC716" t="s">
        <v>72</v>
      </c>
      <c r="AD716"/>
      <c r="AE716"/>
      <c r="AF716" t="s">
        <v>52</v>
      </c>
      <c r="AG716" t="s">
        <v>54</v>
      </c>
      <c r="AH716" t="s">
        <v>55</v>
      </c>
      <c r="AI716"/>
      <c r="AJ716"/>
      <c r="AK716">
        <v>9</v>
      </c>
      <c r="AL716">
        <v>9</v>
      </c>
      <c r="AM716"/>
      <c r="AN716">
        <v>354</v>
      </c>
      <c r="AO716"/>
      <c r="AP716"/>
      <c r="AQ716"/>
      <c r="AR716"/>
      <c r="AS716"/>
      <c r="AT716"/>
      <c r="AU716">
        <v>754</v>
      </c>
      <c r="AV716"/>
      <c r="AW716"/>
      <c r="AX716"/>
      <c r="AY716"/>
      <c r="AZ716"/>
      <c r="BA716"/>
      <c r="BB716">
        <f>LOG(AU716)</f>
        <v>2.8773713458697738</v>
      </c>
      <c r="BC716">
        <v>3</v>
      </c>
      <c r="BD716"/>
      <c r="BE716"/>
      <c r="BF716">
        <v>3</v>
      </c>
      <c r="BG716"/>
      <c r="BH716"/>
      <c r="BI716">
        <v>400</v>
      </c>
      <c r="BJ716">
        <v>0</v>
      </c>
      <c r="BK716" t="s">
        <v>1049</v>
      </c>
      <c r="BL716" t="s">
        <v>1038</v>
      </c>
      <c r="BM716" t="s">
        <v>241</v>
      </c>
      <c r="BN716" t="s">
        <v>60</v>
      </c>
      <c r="BO716" t="s">
        <v>1039</v>
      </c>
      <c r="BP716" t="s">
        <v>234</v>
      </c>
      <c r="BQ716" t="s">
        <v>194</v>
      </c>
      <c r="BR716" t="s">
        <v>63</v>
      </c>
      <c r="BS716"/>
      <c r="BT716">
        <v>4.1429999999999998</v>
      </c>
      <c r="BU716">
        <v>4.1429999999999998</v>
      </c>
      <c r="BV716">
        <v>0.36299999999999999</v>
      </c>
      <c r="BW716">
        <f>BV716*SQRT(AK716)</f>
        <v>1.089</v>
      </c>
      <c r="BX716">
        <v>3.577</v>
      </c>
      <c r="BY716">
        <v>3.577</v>
      </c>
      <c r="BZ716">
        <v>0.18099999999999999</v>
      </c>
      <c r="CA716">
        <f>BZ716*SQRT(AL716)</f>
        <v>0.54299999999999993</v>
      </c>
      <c r="CB716">
        <v>14</v>
      </c>
      <c r="CC716"/>
      <c r="CD716">
        <v>-0.14699999999999999</v>
      </c>
      <c r="CE716">
        <v>1.0200000000000001E-2</v>
      </c>
      <c r="CF716"/>
    </row>
    <row r="717" spans="1:84" s="8" customFormat="1" hidden="1" x14ac:dyDescent="0.2">
      <c r="A717"/>
      <c r="B717" t="str">
        <f>ROW()-1&amp;"_AltersInvert"</f>
        <v>716_AltersInvert</v>
      </c>
      <c r="C717" t="str">
        <f>D717&amp;"_"&amp;
SUBSTITUTE(TRIM(V717)," ","_")&amp;"_"&amp;
TRIM(AC717)&amp;"_"&amp;
"CO2"&amp;TEXT(AN717,"0.00")&amp;"_"&amp;
"pH"&amp;TEXT(AR717,"0.00")&amp;"_"&amp;
"T"&amp;TEXT(BC717,"0.##")</f>
        <v>215_Hyas_araneus_LARVA_CO2354.00_pH0.00_T3.</v>
      </c>
      <c r="D717">
        <v>215</v>
      </c>
      <c r="E717"/>
      <c r="F717"/>
      <c r="G717" t="s">
        <v>43</v>
      </c>
      <c r="H717" t="s">
        <v>1036</v>
      </c>
      <c r="I717"/>
      <c r="J717">
        <v>2011</v>
      </c>
      <c r="K717"/>
      <c r="L717"/>
      <c r="M717" t="s">
        <v>67</v>
      </c>
      <c r="N717"/>
      <c r="O717"/>
      <c r="P717" t="s">
        <v>1135</v>
      </c>
      <c r="Q717"/>
      <c r="R717" t="s">
        <v>1127</v>
      </c>
      <c r="S717" t="s">
        <v>1128</v>
      </c>
      <c r="T717" t="s">
        <v>131</v>
      </c>
      <c r="U717" t="s">
        <v>245</v>
      </c>
      <c r="V717" t="s">
        <v>246</v>
      </c>
      <c r="W717"/>
      <c r="X717"/>
      <c r="Y717"/>
      <c r="Z717"/>
      <c r="AA717"/>
      <c r="AB717"/>
      <c r="AC717" t="s">
        <v>72</v>
      </c>
      <c r="AD717"/>
      <c r="AE717"/>
      <c r="AF717" t="s">
        <v>54</v>
      </c>
      <c r="AG717" t="s">
        <v>52</v>
      </c>
      <c r="AH717" t="s">
        <v>65</v>
      </c>
      <c r="AI717"/>
      <c r="AJ717"/>
      <c r="AK717">
        <v>9</v>
      </c>
      <c r="AL717">
        <v>9</v>
      </c>
      <c r="AM717"/>
      <c r="AN717">
        <v>354</v>
      </c>
      <c r="AO717"/>
      <c r="AP717"/>
      <c r="AQ717"/>
      <c r="AR717"/>
      <c r="AS717"/>
      <c r="AT717"/>
      <c r="AU717">
        <v>401</v>
      </c>
      <c r="AV717"/>
      <c r="AW717"/>
      <c r="AX717"/>
      <c r="AY717"/>
      <c r="AZ717"/>
      <c r="BA717"/>
      <c r="BB717">
        <f>LOG(AU717)</f>
        <v>2.6031443726201822</v>
      </c>
      <c r="BC717">
        <v>3</v>
      </c>
      <c r="BD717"/>
      <c r="BE717"/>
      <c r="BF717">
        <v>15</v>
      </c>
      <c r="BG717"/>
      <c r="BH717"/>
      <c r="BI717">
        <v>47</v>
      </c>
      <c r="BJ717">
        <v>12</v>
      </c>
      <c r="BK717" t="s">
        <v>1049</v>
      </c>
      <c r="BL717" t="s">
        <v>1038</v>
      </c>
      <c r="BM717" t="s">
        <v>241</v>
      </c>
      <c r="BN717" t="s">
        <v>60</v>
      </c>
      <c r="BO717" t="s">
        <v>1039</v>
      </c>
      <c r="BP717" t="s">
        <v>234</v>
      </c>
      <c r="BQ717" t="s">
        <v>194</v>
      </c>
      <c r="BR717" t="s">
        <v>63</v>
      </c>
      <c r="BS717"/>
      <c r="BT717">
        <v>4.1429999999999998</v>
      </c>
      <c r="BU717">
        <v>4.1429999999999998</v>
      </c>
      <c r="BV717">
        <v>0.36299999999999999</v>
      </c>
      <c r="BW717">
        <f>BV717*SQRT(AK717)</f>
        <v>1.089</v>
      </c>
      <c r="BX717">
        <v>3.9209999999999998</v>
      </c>
      <c r="BY717">
        <v>3.9209999999999998</v>
      </c>
      <c r="BZ717">
        <v>0.27800000000000002</v>
      </c>
      <c r="CA717">
        <f>BZ717*SQRT(AL717)</f>
        <v>0.83400000000000007</v>
      </c>
      <c r="CB717">
        <v>14</v>
      </c>
      <c r="CC717"/>
      <c r="CD717">
        <v>-5.5E-2</v>
      </c>
      <c r="CE717">
        <v>1.2699999999999999E-2</v>
      </c>
      <c r="CF717"/>
    </row>
    <row r="718" spans="1:84" s="8" customFormat="1" hidden="1" x14ac:dyDescent="0.2">
      <c r="A718"/>
      <c r="B718" t="str">
        <f>ROW()-1&amp;"_AltersInvert"</f>
        <v>717_AltersInvert</v>
      </c>
      <c r="C718" t="str">
        <f>D718&amp;"_"&amp;
SUBSTITUTE(TRIM(V718)," ","_")&amp;"_"&amp;
TRIM(AC718)&amp;"_"&amp;
"CO2"&amp;TEXT(AN718,"0.00")&amp;"_"&amp;
"pH"&amp;TEXT(AR718,"0.00")&amp;"_"&amp;
"T"&amp;TEXT(BC718,"0.##")</f>
        <v>215_Hyas_araneus_LARVA_CO2354.00_pH0.00_T3.</v>
      </c>
      <c r="D718">
        <v>215</v>
      </c>
      <c r="E718"/>
      <c r="F718"/>
      <c r="G718" t="s">
        <v>43</v>
      </c>
      <c r="H718" t="s">
        <v>1036</v>
      </c>
      <c r="I718"/>
      <c r="J718">
        <v>2011</v>
      </c>
      <c r="K718"/>
      <c r="L718"/>
      <c r="M718" t="s">
        <v>67</v>
      </c>
      <c r="N718"/>
      <c r="O718"/>
      <c r="P718" t="s">
        <v>1135</v>
      </c>
      <c r="Q718"/>
      <c r="R718" t="s">
        <v>1127</v>
      </c>
      <c r="S718" t="s">
        <v>1128</v>
      </c>
      <c r="T718" t="s">
        <v>131</v>
      </c>
      <c r="U718" t="s">
        <v>245</v>
      </c>
      <c r="V718" t="s">
        <v>246</v>
      </c>
      <c r="W718"/>
      <c r="X718"/>
      <c r="Y718"/>
      <c r="Z718"/>
      <c r="AA718"/>
      <c r="AB718"/>
      <c r="AC718" t="s">
        <v>72</v>
      </c>
      <c r="AD718"/>
      <c r="AE718"/>
      <c r="AF718" t="s">
        <v>54</v>
      </c>
      <c r="AG718" t="s">
        <v>52</v>
      </c>
      <c r="AH718" t="s">
        <v>65</v>
      </c>
      <c r="AI718"/>
      <c r="AJ718"/>
      <c r="AK718">
        <v>9</v>
      </c>
      <c r="AL718">
        <v>9</v>
      </c>
      <c r="AM718"/>
      <c r="AN718">
        <v>354</v>
      </c>
      <c r="AO718"/>
      <c r="AP718"/>
      <c r="AQ718"/>
      <c r="AR718"/>
      <c r="AS718"/>
      <c r="AT718"/>
      <c r="AU718">
        <v>346</v>
      </c>
      <c r="AV718"/>
      <c r="AW718"/>
      <c r="AX718"/>
      <c r="AY718"/>
      <c r="AZ718"/>
      <c r="BA718"/>
      <c r="BB718">
        <f>LOG(AU718)</f>
        <v>2.5390760987927767</v>
      </c>
      <c r="BC718">
        <v>3</v>
      </c>
      <c r="BD718"/>
      <c r="BE718"/>
      <c r="BF718">
        <v>9</v>
      </c>
      <c r="BG718"/>
      <c r="BH718"/>
      <c r="BI718">
        <v>-8</v>
      </c>
      <c r="BJ718">
        <v>6</v>
      </c>
      <c r="BK718" t="s">
        <v>1049</v>
      </c>
      <c r="BL718" t="s">
        <v>1038</v>
      </c>
      <c r="BM718" t="s">
        <v>241</v>
      </c>
      <c r="BN718" t="s">
        <v>60</v>
      </c>
      <c r="BO718" t="s">
        <v>1039</v>
      </c>
      <c r="BP718" t="s">
        <v>234</v>
      </c>
      <c r="BQ718" t="s">
        <v>194</v>
      </c>
      <c r="BR718" t="s">
        <v>63</v>
      </c>
      <c r="BS718"/>
      <c r="BT718">
        <v>4.1429999999999998</v>
      </c>
      <c r="BU718">
        <v>4.1429999999999998</v>
      </c>
      <c r="BV718">
        <v>0.36299999999999999</v>
      </c>
      <c r="BW718">
        <f>BV718*SQRT(AK718)</f>
        <v>1.089</v>
      </c>
      <c r="BX718">
        <v>4.2830000000000004</v>
      </c>
      <c r="BY718">
        <v>4.2830000000000004</v>
      </c>
      <c r="BZ718">
        <v>0.24399999999999999</v>
      </c>
      <c r="CA718">
        <f>BZ718*SQRT(AL718)</f>
        <v>0.73199999999999998</v>
      </c>
      <c r="CB718">
        <v>14</v>
      </c>
      <c r="CC718"/>
      <c r="CD718">
        <v>3.3000000000000002E-2</v>
      </c>
      <c r="CE718">
        <v>1.09E-2</v>
      </c>
    </row>
    <row r="719" spans="1:84" s="8" customFormat="1" hidden="1" x14ac:dyDescent="0.2">
      <c r="A719"/>
      <c r="B719" t="str">
        <f>ROW()-1&amp;"_AltersInvert"</f>
        <v>718_AltersInvert</v>
      </c>
      <c r="C719" t="str">
        <f>D719&amp;"_"&amp;
SUBSTITUTE(TRIM(V719)," ","_")&amp;"_"&amp;
TRIM(AC719)&amp;"_"&amp;
"CO2"&amp;TEXT(AN719,"0.00")&amp;"_"&amp;
"pH"&amp;TEXT(AR719,"0.00")&amp;"_"&amp;
"T"&amp;TEXT(BC719,"0.##")</f>
        <v>215_Hyas_araneus_LARVA_CO2354.00_pH0.00_T3.</v>
      </c>
      <c r="D719">
        <v>215</v>
      </c>
      <c r="E719"/>
      <c r="F719"/>
      <c r="G719" t="s">
        <v>43</v>
      </c>
      <c r="H719" t="s">
        <v>1036</v>
      </c>
      <c r="I719"/>
      <c r="J719">
        <v>2011</v>
      </c>
      <c r="K719"/>
      <c r="L719"/>
      <c r="M719" t="s">
        <v>67</v>
      </c>
      <c r="N719"/>
      <c r="O719"/>
      <c r="P719" t="s">
        <v>1135</v>
      </c>
      <c r="Q719"/>
      <c r="R719" t="s">
        <v>1127</v>
      </c>
      <c r="S719" t="s">
        <v>1128</v>
      </c>
      <c r="T719" t="s">
        <v>131</v>
      </c>
      <c r="U719" t="s">
        <v>245</v>
      </c>
      <c r="V719" t="s">
        <v>246</v>
      </c>
      <c r="W719"/>
      <c r="X719"/>
      <c r="Y719"/>
      <c r="Z719"/>
      <c r="AA719"/>
      <c r="AB719"/>
      <c r="AC719" t="s">
        <v>72</v>
      </c>
      <c r="AD719"/>
      <c r="AE719"/>
      <c r="AF719" t="s">
        <v>52</v>
      </c>
      <c r="AG719" t="s">
        <v>52</v>
      </c>
      <c r="AH719" t="s">
        <v>64</v>
      </c>
      <c r="AI719"/>
      <c r="AJ719"/>
      <c r="AK719">
        <v>9</v>
      </c>
      <c r="AL719">
        <v>9</v>
      </c>
      <c r="AM719"/>
      <c r="AN719">
        <v>354</v>
      </c>
      <c r="AO719"/>
      <c r="AP719"/>
      <c r="AQ719"/>
      <c r="AR719"/>
      <c r="AS719"/>
      <c r="AT719"/>
      <c r="AU719">
        <v>2637</v>
      </c>
      <c r="AV719"/>
      <c r="AW719"/>
      <c r="AX719"/>
      <c r="AY719"/>
      <c r="AZ719"/>
      <c r="BA719"/>
      <c r="BB719">
        <f>LOG(AU719)</f>
        <v>3.4211101297934343</v>
      </c>
      <c r="BC719">
        <v>3</v>
      </c>
      <c r="BD719"/>
      <c r="BE719"/>
      <c r="BF719">
        <v>15</v>
      </c>
      <c r="BG719"/>
      <c r="BH719"/>
      <c r="BI719">
        <v>2283</v>
      </c>
      <c r="BJ719">
        <v>12</v>
      </c>
      <c r="BK719" t="s">
        <v>1049</v>
      </c>
      <c r="BL719" t="s">
        <v>1038</v>
      </c>
      <c r="BM719" t="s">
        <v>241</v>
      </c>
      <c r="BN719" t="s">
        <v>60</v>
      </c>
      <c r="BO719" t="s">
        <v>1039</v>
      </c>
      <c r="BP719" t="s">
        <v>234</v>
      </c>
      <c r="BQ719" t="s">
        <v>194</v>
      </c>
      <c r="BR719" t="s">
        <v>63</v>
      </c>
      <c r="BS719"/>
      <c r="BT719">
        <v>4.1429999999999998</v>
      </c>
      <c r="BU719">
        <v>4.1429999999999998</v>
      </c>
      <c r="BV719">
        <v>0.36299999999999999</v>
      </c>
      <c r="BW719">
        <f>BV719*SQRT(AK719)</f>
        <v>1.089</v>
      </c>
      <c r="BX719">
        <v>3.1869999999999998</v>
      </c>
      <c r="BY719">
        <v>3.1869999999999998</v>
      </c>
      <c r="BZ719">
        <v>0.15</v>
      </c>
      <c r="CA719">
        <f>BZ719*SQRT(AL719)</f>
        <v>0.44999999999999996</v>
      </c>
      <c r="CB719">
        <v>14</v>
      </c>
      <c r="CC719"/>
      <c r="CD719">
        <v>-0.26200000000000001</v>
      </c>
      <c r="CE719">
        <v>9.9000000000000008E-3</v>
      </c>
      <c r="CF719"/>
    </row>
    <row r="720" spans="1:84" s="8" customFormat="1" hidden="1" x14ac:dyDescent="0.2">
      <c r="A720"/>
      <c r="B720" t="str">
        <f>ROW()-1&amp;"_AltersInvert"</f>
        <v>719_AltersInvert</v>
      </c>
      <c r="C720" t="str">
        <f>D720&amp;"_"&amp;
SUBSTITUTE(TRIM(V720)," ","_")&amp;"_"&amp;
TRIM(AC720)&amp;"_"&amp;
"CO2"&amp;TEXT(AN720,"0.00")&amp;"_"&amp;
"pH"&amp;TEXT(AR720,"0.00")&amp;"_"&amp;
"T"&amp;TEXT(BC720,"0.##")</f>
        <v>215_Hyas_araneus_LARVA_CO2354.00_pH0.00_T3.</v>
      </c>
      <c r="D720">
        <v>215</v>
      </c>
      <c r="E720"/>
      <c r="F720"/>
      <c r="G720" t="s">
        <v>43</v>
      </c>
      <c r="H720" t="s">
        <v>1036</v>
      </c>
      <c r="I720"/>
      <c r="J720">
        <v>2011</v>
      </c>
      <c r="K720"/>
      <c r="L720"/>
      <c r="M720" t="s">
        <v>67</v>
      </c>
      <c r="N720"/>
      <c r="O720"/>
      <c r="P720" t="s">
        <v>1135</v>
      </c>
      <c r="Q720"/>
      <c r="R720" t="s">
        <v>1127</v>
      </c>
      <c r="S720" t="s">
        <v>1128</v>
      </c>
      <c r="T720" t="s">
        <v>131</v>
      </c>
      <c r="U720" t="s">
        <v>245</v>
      </c>
      <c r="V720" t="s">
        <v>246</v>
      </c>
      <c r="W720"/>
      <c r="X720"/>
      <c r="Y720"/>
      <c r="Z720"/>
      <c r="AA720"/>
      <c r="AB720"/>
      <c r="AC720" t="s">
        <v>72</v>
      </c>
      <c r="AD720"/>
      <c r="AE720"/>
      <c r="AF720" t="s">
        <v>52</v>
      </c>
      <c r="AG720" t="s">
        <v>52</v>
      </c>
      <c r="AH720" t="s">
        <v>64</v>
      </c>
      <c r="AI720"/>
      <c r="AJ720"/>
      <c r="AK720">
        <v>9</v>
      </c>
      <c r="AL720">
        <v>9</v>
      </c>
      <c r="AM720"/>
      <c r="AN720">
        <v>354</v>
      </c>
      <c r="AO720"/>
      <c r="AP720"/>
      <c r="AQ720"/>
      <c r="AR720"/>
      <c r="AS720"/>
      <c r="AT720"/>
      <c r="AU720">
        <v>2443</v>
      </c>
      <c r="AV720"/>
      <c r="AW720"/>
      <c r="AX720"/>
      <c r="AY720"/>
      <c r="AZ720"/>
      <c r="BA720"/>
      <c r="BB720">
        <f>LOG(AU720)</f>
        <v>3.3879234669734366</v>
      </c>
      <c r="BC720">
        <v>3</v>
      </c>
      <c r="BD720"/>
      <c r="BE720"/>
      <c r="BF720">
        <v>9</v>
      </c>
      <c r="BG720"/>
      <c r="BH720"/>
      <c r="BI720">
        <v>2089</v>
      </c>
      <c r="BJ720">
        <v>6</v>
      </c>
      <c r="BK720" t="s">
        <v>1049</v>
      </c>
      <c r="BL720" t="s">
        <v>1038</v>
      </c>
      <c r="BM720" t="s">
        <v>241</v>
      </c>
      <c r="BN720" t="s">
        <v>60</v>
      </c>
      <c r="BO720" t="s">
        <v>1039</v>
      </c>
      <c r="BP720" t="s">
        <v>234</v>
      </c>
      <c r="BQ720" t="s">
        <v>194</v>
      </c>
      <c r="BR720" t="s">
        <v>63</v>
      </c>
      <c r="BS720"/>
      <c r="BT720">
        <v>4.1429999999999998</v>
      </c>
      <c r="BU720">
        <v>4.1429999999999998</v>
      </c>
      <c r="BV720">
        <v>0.36299999999999999</v>
      </c>
      <c r="BW720">
        <f>BV720*SQRT(AK720)</f>
        <v>1.089</v>
      </c>
      <c r="BX720">
        <v>3.6429999999999998</v>
      </c>
      <c r="BY720">
        <v>3.6429999999999998</v>
      </c>
      <c r="BZ720">
        <v>0.245</v>
      </c>
      <c r="CA720">
        <f>BZ720*SQRT(AL720)</f>
        <v>0.73499999999999999</v>
      </c>
      <c r="CB720">
        <v>14</v>
      </c>
      <c r="CC720"/>
      <c r="CD720">
        <v>-0.129</v>
      </c>
      <c r="CE720">
        <v>1.2200000000000001E-2</v>
      </c>
      <c r="CF720"/>
    </row>
    <row r="721" spans="1:84" s="8" customFormat="1" hidden="1" x14ac:dyDescent="0.2">
      <c r="A721"/>
      <c r="B721" t="str">
        <f>ROW()-1&amp;"_AltersInvert"</f>
        <v>720_AltersInvert</v>
      </c>
      <c r="C721" t="str">
        <f>D721&amp;"_"&amp;
SUBSTITUTE(TRIM(V721)," ","_")&amp;"_"&amp;
TRIM(AC721)&amp;"_"&amp;
"CO2"&amp;TEXT(AN721,"0.00")&amp;"_"&amp;
"pH"&amp;TEXT(AR721,"0.00")&amp;"_"&amp;
"T"&amp;TEXT(BC721,"0.##")</f>
        <v>215_Hyas_araneus_LARVA_CO2354.00_pH0.00_T3.</v>
      </c>
      <c r="D721">
        <v>215</v>
      </c>
      <c r="E721"/>
      <c r="F721"/>
      <c r="G721" t="s">
        <v>43</v>
      </c>
      <c r="H721" t="s">
        <v>1036</v>
      </c>
      <c r="I721"/>
      <c r="J721">
        <v>2011</v>
      </c>
      <c r="K721"/>
      <c r="L721"/>
      <c r="M721" t="s">
        <v>67</v>
      </c>
      <c r="N721"/>
      <c r="O721"/>
      <c r="P721" t="s">
        <v>1135</v>
      </c>
      <c r="Q721"/>
      <c r="R721" t="s">
        <v>1127</v>
      </c>
      <c r="S721" t="s">
        <v>1128</v>
      </c>
      <c r="T721" t="s">
        <v>131</v>
      </c>
      <c r="U721" t="s">
        <v>245</v>
      </c>
      <c r="V721" t="s">
        <v>246</v>
      </c>
      <c r="W721"/>
      <c r="X721"/>
      <c r="Y721"/>
      <c r="Z721"/>
      <c r="AA721"/>
      <c r="AB721"/>
      <c r="AC721" t="s">
        <v>72</v>
      </c>
      <c r="AD721"/>
      <c r="AE721"/>
      <c r="AF721" t="s">
        <v>52</v>
      </c>
      <c r="AG721" t="s">
        <v>52</v>
      </c>
      <c r="AH721" t="s">
        <v>64</v>
      </c>
      <c r="AI721"/>
      <c r="AJ721"/>
      <c r="AK721">
        <v>9</v>
      </c>
      <c r="AL721">
        <v>9</v>
      </c>
      <c r="AM721"/>
      <c r="AN721">
        <v>354</v>
      </c>
      <c r="AO721"/>
      <c r="AP721"/>
      <c r="AQ721"/>
      <c r="AR721"/>
      <c r="AS721"/>
      <c r="AT721"/>
      <c r="AU721">
        <v>846</v>
      </c>
      <c r="AV721"/>
      <c r="AW721"/>
      <c r="AX721"/>
      <c r="AY721"/>
      <c r="AZ721"/>
      <c r="BA721"/>
      <c r="BB721">
        <f>LOG(AU721)</f>
        <v>2.9273703630390235</v>
      </c>
      <c r="BC721">
        <v>3</v>
      </c>
      <c r="BD721"/>
      <c r="BE721"/>
      <c r="BF721">
        <v>15</v>
      </c>
      <c r="BG721"/>
      <c r="BH721"/>
      <c r="BI721">
        <v>492</v>
      </c>
      <c r="BJ721">
        <v>12</v>
      </c>
      <c r="BK721" t="s">
        <v>1049</v>
      </c>
      <c r="BL721" t="s">
        <v>1038</v>
      </c>
      <c r="BM721" t="s">
        <v>241</v>
      </c>
      <c r="BN721" t="s">
        <v>60</v>
      </c>
      <c r="BO721" t="s">
        <v>1039</v>
      </c>
      <c r="BP721" t="s">
        <v>234</v>
      </c>
      <c r="BQ721" t="s">
        <v>194</v>
      </c>
      <c r="BR721" t="s">
        <v>63</v>
      </c>
      <c r="BS721"/>
      <c r="BT721">
        <v>4.1429999999999998</v>
      </c>
      <c r="BU721">
        <v>4.1429999999999998</v>
      </c>
      <c r="BV721">
        <v>0.36299999999999999</v>
      </c>
      <c r="BW721">
        <f>BV721*SQRT(AK721)</f>
        <v>1.089</v>
      </c>
      <c r="BX721">
        <v>3.661</v>
      </c>
      <c r="BY721">
        <v>3.661</v>
      </c>
      <c r="BZ721">
        <v>0.34200000000000003</v>
      </c>
      <c r="CA721">
        <f>BZ721*SQRT(AL721)</f>
        <v>1.026</v>
      </c>
      <c r="CB721">
        <v>14</v>
      </c>
      <c r="CC721"/>
      <c r="CD721">
        <v>-0.124</v>
      </c>
      <c r="CE721">
        <v>1.6400000000000001E-2</v>
      </c>
      <c r="CF721"/>
    </row>
    <row r="722" spans="1:84" s="8" customFormat="1" hidden="1" x14ac:dyDescent="0.2">
      <c r="A722"/>
      <c r="B722" t="str">
        <f>ROW()-1&amp;"_AltersInvert"</f>
        <v>721_AltersInvert</v>
      </c>
      <c r="C722" t="str">
        <f>D722&amp;"_"&amp;
SUBSTITUTE(TRIM(V722)," ","_")&amp;"_"&amp;
TRIM(AC722)&amp;"_"&amp;
"CO2"&amp;TEXT(AN722,"0.00")&amp;"_"&amp;
"pH"&amp;TEXT(AR722,"0.00")&amp;"_"&amp;
"T"&amp;TEXT(BC722,"0.##")</f>
        <v>215_Hyas_araneus_LARVA_CO2354.00_pH0.00_T3.</v>
      </c>
      <c r="D722">
        <v>215</v>
      </c>
      <c r="E722"/>
      <c r="F722"/>
      <c r="G722" t="s">
        <v>43</v>
      </c>
      <c r="H722" t="s">
        <v>1036</v>
      </c>
      <c r="I722"/>
      <c r="J722">
        <v>2011</v>
      </c>
      <c r="K722"/>
      <c r="L722"/>
      <c r="M722" t="s">
        <v>67</v>
      </c>
      <c r="N722"/>
      <c r="O722"/>
      <c r="P722" t="s">
        <v>1135</v>
      </c>
      <c r="Q722"/>
      <c r="R722" t="s">
        <v>1127</v>
      </c>
      <c r="S722" t="s">
        <v>1128</v>
      </c>
      <c r="T722" t="s">
        <v>131</v>
      </c>
      <c r="U722" t="s">
        <v>245</v>
      </c>
      <c r="V722" t="s">
        <v>246</v>
      </c>
      <c r="W722"/>
      <c r="X722"/>
      <c r="Y722"/>
      <c r="Z722"/>
      <c r="AA722"/>
      <c r="AB722"/>
      <c r="AC722" t="s">
        <v>72</v>
      </c>
      <c r="AD722"/>
      <c r="AE722"/>
      <c r="AF722" t="s">
        <v>52</v>
      </c>
      <c r="AG722" t="s">
        <v>52</v>
      </c>
      <c r="AH722" t="s">
        <v>64</v>
      </c>
      <c r="AI722"/>
      <c r="AJ722"/>
      <c r="AK722">
        <v>9</v>
      </c>
      <c r="AL722">
        <v>9</v>
      </c>
      <c r="AM722"/>
      <c r="AN722">
        <v>354</v>
      </c>
      <c r="AO722"/>
      <c r="AP722"/>
      <c r="AQ722"/>
      <c r="AR722"/>
      <c r="AS722"/>
      <c r="AT722"/>
      <c r="AU722">
        <v>786</v>
      </c>
      <c r="AV722"/>
      <c r="AW722"/>
      <c r="AX722"/>
      <c r="AY722"/>
      <c r="AZ722"/>
      <c r="BA722"/>
      <c r="BB722">
        <f>LOG(AU722)</f>
        <v>2.8954225460394079</v>
      </c>
      <c r="BC722">
        <v>3</v>
      </c>
      <c r="BD722"/>
      <c r="BE722"/>
      <c r="BF722">
        <v>9</v>
      </c>
      <c r="BG722"/>
      <c r="BH722"/>
      <c r="BI722">
        <v>432</v>
      </c>
      <c r="BJ722">
        <v>6</v>
      </c>
      <c r="BK722" t="s">
        <v>1049</v>
      </c>
      <c r="BL722" t="s">
        <v>1038</v>
      </c>
      <c r="BM722" t="s">
        <v>241</v>
      </c>
      <c r="BN722" t="s">
        <v>60</v>
      </c>
      <c r="BO722" t="s">
        <v>1039</v>
      </c>
      <c r="BP722" t="s">
        <v>234</v>
      </c>
      <c r="BQ722" t="s">
        <v>194</v>
      </c>
      <c r="BR722" t="s">
        <v>63</v>
      </c>
      <c r="BS722"/>
      <c r="BT722">
        <v>4.1429999999999998</v>
      </c>
      <c r="BU722">
        <v>4.1429999999999998</v>
      </c>
      <c r="BV722">
        <v>0.36299999999999999</v>
      </c>
      <c r="BW722">
        <f>BV722*SQRT(AK722)</f>
        <v>1.089</v>
      </c>
      <c r="BX722">
        <v>4.3959999999999999</v>
      </c>
      <c r="BY722">
        <v>4.3959999999999999</v>
      </c>
      <c r="BZ722">
        <v>0.245</v>
      </c>
      <c r="CA722">
        <f>BZ722*SQRT(AL722)</f>
        <v>0.73499999999999999</v>
      </c>
      <c r="CB722">
        <v>14</v>
      </c>
      <c r="CC722"/>
      <c r="CD722">
        <v>5.8999999999999997E-2</v>
      </c>
      <c r="CE722">
        <v>1.0800000000000001E-2</v>
      </c>
    </row>
    <row r="723" spans="1:84" s="8" customFormat="1" hidden="1" x14ac:dyDescent="0.2">
      <c r="B723" t="str">
        <f>ROW()-1&amp;"_AltersInvert"</f>
        <v>722_AltersInvert</v>
      </c>
      <c r="C723" t="str">
        <f>D723&amp;"_"&amp;
SUBSTITUTE(TRIM(V723)," ","_")&amp;"_"&amp;
TRIM(AC723)&amp;"_"&amp;
"CO2"&amp;TEXT(AN723,"0.00")&amp;"_"&amp;
"pH"&amp;TEXT(AR723,"0.00")&amp;"_"&amp;
"T"&amp;TEXT(BC723,"0.##")</f>
        <v>51_Platygyra_contorta_EMBRYO_CO2550.00_pH8.06_T27.</v>
      </c>
      <c r="D723" s="8">
        <v>51</v>
      </c>
      <c r="G723" s="8" t="s">
        <v>43</v>
      </c>
      <c r="H723" s="8" t="s">
        <v>527</v>
      </c>
      <c r="I723" s="8" t="s">
        <v>1130</v>
      </c>
      <c r="J723" s="8">
        <v>2015</v>
      </c>
      <c r="M723" s="8" t="s">
        <v>528</v>
      </c>
      <c r="P723" t="s">
        <v>1135</v>
      </c>
      <c r="R723" s="8" t="s">
        <v>1127</v>
      </c>
      <c r="S723" t="s">
        <v>1128</v>
      </c>
      <c r="T723" s="8" t="s">
        <v>103</v>
      </c>
      <c r="U723" s="8" t="s">
        <v>534</v>
      </c>
      <c r="V723" s="8" t="s">
        <v>535</v>
      </c>
      <c r="W723" s="8" t="str">
        <f>IF(ISNUMBER(MATCH(#REF!,{"Doryteuthis pealeii","Loligo vulgaris","Leptuca thayeri","Stylocheilus striatus","Ophryotrocha labronica"},0)),"N","Y")</f>
        <v>Y</v>
      </c>
      <c r="Z723" s="8" t="s">
        <v>177</v>
      </c>
      <c r="AA723" s="8" t="s">
        <v>177</v>
      </c>
      <c r="AB723" s="8" t="s">
        <v>71</v>
      </c>
      <c r="AC723" s="8" t="s">
        <v>195</v>
      </c>
      <c r="AD723" s="8" t="s">
        <v>52</v>
      </c>
      <c r="AE723" s="8" t="s">
        <v>53</v>
      </c>
      <c r="AF723" s="8" t="s">
        <v>52</v>
      </c>
      <c r="AG723" s="8" t="s">
        <v>54</v>
      </c>
      <c r="AH723" s="8" t="s">
        <v>55</v>
      </c>
      <c r="AK723" s="8">
        <v>5</v>
      </c>
      <c r="AL723" s="8">
        <v>5</v>
      </c>
      <c r="AM723" s="8" t="s">
        <v>532</v>
      </c>
      <c r="AN723" s="8">
        <v>550</v>
      </c>
      <c r="AO723" s="8" t="s">
        <v>56</v>
      </c>
      <c r="AP723" s="8">
        <v>7</v>
      </c>
      <c r="AQ723" s="8" t="s">
        <v>57</v>
      </c>
      <c r="AR723" s="8">
        <v>8.06</v>
      </c>
      <c r="AS723" s="8" t="s">
        <v>56</v>
      </c>
      <c r="AT723" s="8">
        <v>0</v>
      </c>
      <c r="AU723" s="8">
        <v>1021</v>
      </c>
      <c r="AV723" t="s">
        <v>56</v>
      </c>
      <c r="AW723">
        <v>14</v>
      </c>
      <c r="AX723">
        <v>7.82</v>
      </c>
      <c r="AY723" t="s">
        <v>56</v>
      </c>
      <c r="AZ723">
        <v>0.01</v>
      </c>
      <c r="BB723" s="8">
        <f>LOG(AU723)</f>
        <v>3.0090257420869104</v>
      </c>
      <c r="BC723" s="8">
        <v>27</v>
      </c>
      <c r="BD723" s="8" t="s">
        <v>56</v>
      </c>
      <c r="BE723" s="8">
        <v>0.2</v>
      </c>
      <c r="BF723" s="8">
        <v>27</v>
      </c>
      <c r="BG723" s="8" t="s">
        <v>56</v>
      </c>
      <c r="BH723" s="8">
        <v>0.2</v>
      </c>
      <c r="BI723" s="8">
        <v>471</v>
      </c>
      <c r="BJ723" s="8">
        <v>0</v>
      </c>
      <c r="BK723" s="8" t="s">
        <v>530</v>
      </c>
      <c r="BL723" s="8" t="s">
        <v>473</v>
      </c>
      <c r="BM723" s="8" t="s">
        <v>473</v>
      </c>
      <c r="BN723" s="8" t="s">
        <v>81</v>
      </c>
      <c r="BO723" s="8" t="s">
        <v>82</v>
      </c>
      <c r="BP723" s="8" t="s">
        <v>190</v>
      </c>
      <c r="BQ723" s="8" t="s">
        <v>9</v>
      </c>
      <c r="BR723" s="8" t="s">
        <v>84</v>
      </c>
      <c r="BT723" s="8">
        <v>97.3</v>
      </c>
      <c r="BU723" s="8">
        <v>97.297297</v>
      </c>
      <c r="BV723" s="8">
        <v>0.5</v>
      </c>
      <c r="BW723" s="8">
        <f>BV723*SQRT(AK723)</f>
        <v>1.1180339887498949</v>
      </c>
      <c r="BX723" s="8">
        <v>98.42</v>
      </c>
      <c r="BY723" s="8">
        <v>98.423423400000004</v>
      </c>
      <c r="BZ723" s="8">
        <v>0.3</v>
      </c>
      <c r="CA723" s="8">
        <f>BZ723*SQRT(AL723)</f>
        <v>0.67082039324993692</v>
      </c>
      <c r="CB723" s="8">
        <v>0</v>
      </c>
      <c r="CC723" s="8">
        <v>5</v>
      </c>
      <c r="CD723" s="8">
        <v>1.2E-2</v>
      </c>
      <c r="CE723" s="8">
        <v>1E-4</v>
      </c>
      <c r="CF723" s="8" t="s">
        <v>1134</v>
      </c>
    </row>
    <row r="724" spans="1:84" s="8" customFormat="1" hidden="1" x14ac:dyDescent="0.2">
      <c r="B724" t="str">
        <f>ROW()-1&amp;"_AltersInvert"</f>
        <v>723_AltersInvert</v>
      </c>
      <c r="C724" t="str">
        <f>D724&amp;"_"&amp;
SUBSTITUTE(TRIM(V724)," ","_")&amp;"_"&amp;
TRIM(AC724)&amp;"_"&amp;
"CO2"&amp;TEXT(AN724,"0.00")&amp;"_"&amp;
"pH"&amp;TEXT(AR724,"0.00")&amp;"_"&amp;
"T"&amp;TEXT(BC724,"0.##")</f>
        <v>51_Platygyra_contorta_EMBRYO_CO2550.00_pH8.06_T27.</v>
      </c>
      <c r="D724" s="8">
        <v>51</v>
      </c>
      <c r="G724" s="8" t="s">
        <v>43</v>
      </c>
      <c r="H724" s="8" t="s">
        <v>527</v>
      </c>
      <c r="I724" s="8" t="s">
        <v>1130</v>
      </c>
      <c r="J724" s="8">
        <v>2015</v>
      </c>
      <c r="M724" s="8" t="s">
        <v>528</v>
      </c>
      <c r="P724" t="s">
        <v>1135</v>
      </c>
      <c r="R724" s="8" t="s">
        <v>1127</v>
      </c>
      <c r="S724" t="s">
        <v>1128</v>
      </c>
      <c r="T724" s="8" t="s">
        <v>103</v>
      </c>
      <c r="U724" s="8" t="s">
        <v>534</v>
      </c>
      <c r="V724" s="8" t="s">
        <v>535</v>
      </c>
      <c r="W724" s="8" t="str">
        <f>IF(ISNUMBER(MATCH(V118,{"Doryteuthis pealeii","Loligo vulgaris","Leptuca thayeri","Stylocheilus striatus","Ophryotrocha labronica"},0)),"N","Y")</f>
        <v>Y</v>
      </c>
      <c r="Z724" s="8" t="s">
        <v>177</v>
      </c>
      <c r="AA724" s="8" t="s">
        <v>177</v>
      </c>
      <c r="AB724" s="8" t="s">
        <v>71</v>
      </c>
      <c r="AC724" s="8" t="s">
        <v>195</v>
      </c>
      <c r="AD724" s="8" t="s">
        <v>52</v>
      </c>
      <c r="AE724" s="8" t="s">
        <v>53</v>
      </c>
      <c r="AF724" s="8" t="s">
        <v>54</v>
      </c>
      <c r="AG724" s="8" t="s">
        <v>52</v>
      </c>
      <c r="AH724" s="8" t="s">
        <v>65</v>
      </c>
      <c r="AK724" s="8">
        <v>5</v>
      </c>
      <c r="AL724" s="8">
        <v>5</v>
      </c>
      <c r="AM724" s="8" t="s">
        <v>532</v>
      </c>
      <c r="AN724" s="8">
        <v>550</v>
      </c>
      <c r="AO724" s="8" t="s">
        <v>56</v>
      </c>
      <c r="AP724" s="8">
        <v>7</v>
      </c>
      <c r="AQ724" s="8" t="s">
        <v>57</v>
      </c>
      <c r="AR724" s="8">
        <v>8.06</v>
      </c>
      <c r="AS724" s="8" t="s">
        <v>56</v>
      </c>
      <c r="AT724" s="8">
        <v>0</v>
      </c>
      <c r="AU724" s="8">
        <v>558</v>
      </c>
      <c r="AV724" t="s">
        <v>56</v>
      </c>
      <c r="AW724">
        <v>0</v>
      </c>
      <c r="AX724">
        <v>8.06</v>
      </c>
      <c r="AY724" t="s">
        <v>56</v>
      </c>
      <c r="AZ724">
        <v>0</v>
      </c>
      <c r="BB724" s="8">
        <f>LOG(AU724)</f>
        <v>2.7466341989375787</v>
      </c>
      <c r="BC724" s="8">
        <v>27</v>
      </c>
      <c r="BD724" s="8" t="s">
        <v>56</v>
      </c>
      <c r="BE724" s="8">
        <v>0.2</v>
      </c>
      <c r="BF724" s="8">
        <v>31</v>
      </c>
      <c r="BG724" s="8" t="s">
        <v>56</v>
      </c>
      <c r="BH724" s="8">
        <v>0.2</v>
      </c>
      <c r="BI724" s="8">
        <v>8</v>
      </c>
      <c r="BJ724" s="8">
        <v>4</v>
      </c>
      <c r="BK724" s="8" t="s">
        <v>530</v>
      </c>
      <c r="BL724" s="8" t="s">
        <v>473</v>
      </c>
      <c r="BM724" s="8" t="s">
        <v>473</v>
      </c>
      <c r="BN724" s="8" t="s">
        <v>81</v>
      </c>
      <c r="BO724" s="8" t="s">
        <v>82</v>
      </c>
      <c r="BP724" s="8" t="s">
        <v>190</v>
      </c>
      <c r="BQ724" s="8" t="s">
        <v>190</v>
      </c>
      <c r="BR724" s="8" t="s">
        <v>84</v>
      </c>
      <c r="BT724" s="8">
        <v>97.3</v>
      </c>
      <c r="BU724" s="8">
        <v>97.297297</v>
      </c>
      <c r="BV724" s="8">
        <v>0.5</v>
      </c>
      <c r="BW724" s="8">
        <f>BV724*SQRT(AK724)</f>
        <v>1.1180339887498949</v>
      </c>
      <c r="BX724" s="8">
        <v>74.55</v>
      </c>
      <c r="BY724" s="8">
        <v>74.549549499999998</v>
      </c>
      <c r="BZ724" s="8">
        <v>2.3199999999999998</v>
      </c>
      <c r="CA724" s="8">
        <f>BZ724*SQRT(AL724)</f>
        <v>5.1876777077995122</v>
      </c>
      <c r="CB724" s="8">
        <v>0</v>
      </c>
      <c r="CC724" s="8">
        <v>5</v>
      </c>
      <c r="CD724" s="8">
        <v>-0.26600000000000001</v>
      </c>
      <c r="CE724" s="8">
        <v>1E-3</v>
      </c>
      <c r="CF724" s="8" t="s">
        <v>1134</v>
      </c>
    </row>
    <row r="725" spans="1:84" s="8" customFormat="1" hidden="1" x14ac:dyDescent="0.2">
      <c r="B725" t="str">
        <f>ROW()-1&amp;"_AltersInvert"</f>
        <v>724_AltersInvert</v>
      </c>
      <c r="C725" t="str">
        <f>D725&amp;"_"&amp;
SUBSTITUTE(TRIM(V725)," ","_")&amp;"_"&amp;
TRIM(AC725)&amp;"_"&amp;
"CO2"&amp;TEXT(AN725,"0.00")&amp;"_"&amp;
"pH"&amp;TEXT(AR725,"0.00")&amp;"_"&amp;
"T"&amp;TEXT(BC725,"0.##")</f>
        <v>51_Platygyra_contorta_EMBRYO_CO2550.00_pH8.06_T27.</v>
      </c>
      <c r="D725" s="8">
        <v>51</v>
      </c>
      <c r="G725" s="8" t="s">
        <v>43</v>
      </c>
      <c r="H725" s="8" t="s">
        <v>527</v>
      </c>
      <c r="I725" s="8" t="s">
        <v>1130</v>
      </c>
      <c r="J725" s="8">
        <v>2015</v>
      </c>
      <c r="M725" s="8" t="s">
        <v>528</v>
      </c>
      <c r="P725" t="s">
        <v>1135</v>
      </c>
      <c r="R725" s="8" t="s">
        <v>1127</v>
      </c>
      <c r="S725" t="s">
        <v>1128</v>
      </c>
      <c r="T725" s="8" t="s">
        <v>103</v>
      </c>
      <c r="U725" s="8" t="s">
        <v>534</v>
      </c>
      <c r="V725" s="8" t="s">
        <v>535</v>
      </c>
      <c r="W725" s="8" t="str">
        <f>IF(ISNUMBER(MATCH(V119,{"Doryteuthis pealeii","Loligo vulgaris","Leptuca thayeri","Stylocheilus striatus","Ophryotrocha labronica"},0)),"N","Y")</f>
        <v>Y</v>
      </c>
      <c r="Z725" s="8" t="s">
        <v>177</v>
      </c>
      <c r="AA725" s="8" t="s">
        <v>177</v>
      </c>
      <c r="AB725" s="8" t="s">
        <v>71</v>
      </c>
      <c r="AC725" s="8" t="s">
        <v>195</v>
      </c>
      <c r="AD725" s="8" t="s">
        <v>52</v>
      </c>
      <c r="AE725" s="8" t="s">
        <v>53</v>
      </c>
      <c r="AF725" s="8" t="s">
        <v>52</v>
      </c>
      <c r="AG725" s="8" t="s">
        <v>52</v>
      </c>
      <c r="AH725" s="8" t="s">
        <v>64</v>
      </c>
      <c r="AK725" s="8">
        <v>5</v>
      </c>
      <c r="AL725" s="8">
        <v>5</v>
      </c>
      <c r="AM725" s="8" t="s">
        <v>532</v>
      </c>
      <c r="AN725" s="8">
        <v>550</v>
      </c>
      <c r="AO725" s="8" t="s">
        <v>56</v>
      </c>
      <c r="AP725" s="8">
        <v>7</v>
      </c>
      <c r="AQ725" s="8" t="s">
        <v>57</v>
      </c>
      <c r="AR725" s="8">
        <v>8.06</v>
      </c>
      <c r="AS725" s="8" t="s">
        <v>56</v>
      </c>
      <c r="AT725" s="8">
        <v>0</v>
      </c>
      <c r="AU725" s="8">
        <v>1001</v>
      </c>
      <c r="AV725" t="s">
        <v>56</v>
      </c>
      <c r="AW725">
        <v>12</v>
      </c>
      <c r="AX725">
        <v>7.84</v>
      </c>
      <c r="AY725" t="s">
        <v>56</v>
      </c>
      <c r="AZ725">
        <v>0</v>
      </c>
      <c r="BB725" s="8">
        <f>LOG(AU725)</f>
        <v>3.0004340774793188</v>
      </c>
      <c r="BC725" s="8">
        <v>27</v>
      </c>
      <c r="BD725" s="8" t="s">
        <v>56</v>
      </c>
      <c r="BE725" s="8">
        <v>0.2</v>
      </c>
      <c r="BF725" s="8">
        <v>31</v>
      </c>
      <c r="BG725" s="8" t="s">
        <v>56</v>
      </c>
      <c r="BH725" s="8">
        <v>0.2</v>
      </c>
      <c r="BI725" s="8">
        <v>451</v>
      </c>
      <c r="BJ725" s="8">
        <v>4</v>
      </c>
      <c r="BK725" s="8" t="s">
        <v>530</v>
      </c>
      <c r="BL725" s="8" t="s">
        <v>473</v>
      </c>
      <c r="BM725" s="8" t="s">
        <v>473</v>
      </c>
      <c r="BN725" s="8" t="s">
        <v>81</v>
      </c>
      <c r="BO725" s="8" t="s">
        <v>82</v>
      </c>
      <c r="BP725" s="8" t="s">
        <v>190</v>
      </c>
      <c r="BQ725" s="8" t="s">
        <v>190</v>
      </c>
      <c r="BR725" s="8" t="s">
        <v>84</v>
      </c>
      <c r="BT725" s="8">
        <v>97.3</v>
      </c>
      <c r="BU725" s="8">
        <v>97.297297</v>
      </c>
      <c r="BV725" s="8">
        <v>0.5</v>
      </c>
      <c r="BW725" s="8">
        <f>BV725*SQRT(AK725)</f>
        <v>1.1180339887498949</v>
      </c>
      <c r="BX725" s="8">
        <v>84.01</v>
      </c>
      <c r="BY725" s="8">
        <v>84.009009000000006</v>
      </c>
      <c r="BZ725" s="8">
        <v>1.61</v>
      </c>
      <c r="CA725" s="8">
        <f>BZ725*SQRT(AL725)</f>
        <v>3.6000694437746619</v>
      </c>
      <c r="CB725" s="8">
        <v>0</v>
      </c>
      <c r="CC725" s="8">
        <v>5</v>
      </c>
      <c r="CD725" s="8">
        <v>-0.14699999999999999</v>
      </c>
      <c r="CE725" s="8">
        <v>4.0000000000000002E-4</v>
      </c>
      <c r="CF725" s="8" t="s">
        <v>1134</v>
      </c>
    </row>
    <row r="726" spans="1:84" s="8" customFormat="1" hidden="1" x14ac:dyDescent="0.2">
      <c r="A726"/>
      <c r="B726" t="str">
        <f>ROW()-1&amp;"_AltersInvert"</f>
        <v>725_AltersInvert</v>
      </c>
      <c r="C726" t="str">
        <f>D726&amp;"_"&amp;
SUBSTITUTE(TRIM(V726)," ","_")&amp;"_"&amp;
TRIM(AC726)&amp;"_"&amp;
"CO2"&amp;TEXT(AN726,"0.00")&amp;"_"&amp;
"pH"&amp;TEXT(AR726,"0.00")&amp;"_"&amp;
"T"&amp;TEXT(BC726,"0.##")</f>
        <v>236_Acanthaster_planci_LARVA_CO2491.00_pH0.00_T28.</v>
      </c>
      <c r="D726">
        <v>236</v>
      </c>
      <c r="E726"/>
      <c r="F726"/>
      <c r="G726" t="s">
        <v>43</v>
      </c>
      <c r="H726" t="s">
        <v>1073</v>
      </c>
      <c r="I726"/>
      <c r="J726">
        <v>2017</v>
      </c>
      <c r="K726"/>
      <c r="L726"/>
      <c r="M726" t="s">
        <v>657</v>
      </c>
      <c r="N726"/>
      <c r="O726"/>
      <c r="P726" t="s">
        <v>1135</v>
      </c>
      <c r="Q726"/>
      <c r="R726" t="s">
        <v>1127</v>
      </c>
      <c r="S726" t="s">
        <v>1128</v>
      </c>
      <c r="T726" t="s">
        <v>46</v>
      </c>
      <c r="U726" t="s">
        <v>937</v>
      </c>
      <c r="V726" t="s">
        <v>938</v>
      </c>
      <c r="W726"/>
      <c r="X726"/>
      <c r="Y726"/>
      <c r="Z726"/>
      <c r="AA726"/>
      <c r="AB726"/>
      <c r="AC726" t="s">
        <v>72</v>
      </c>
      <c r="AD726"/>
      <c r="AE726"/>
      <c r="AF726" t="s">
        <v>52</v>
      </c>
      <c r="AG726" t="s">
        <v>54</v>
      </c>
      <c r="AH726" t="s">
        <v>55</v>
      </c>
      <c r="AI726"/>
      <c r="AJ726"/>
      <c r="AK726">
        <v>75</v>
      </c>
      <c r="AL726">
        <v>75</v>
      </c>
      <c r="AM726"/>
      <c r="AN726">
        <v>491</v>
      </c>
      <c r="AO726"/>
      <c r="AP726"/>
      <c r="AQ726"/>
      <c r="AR726"/>
      <c r="AS726"/>
      <c r="AT726"/>
      <c r="AU726">
        <v>902</v>
      </c>
      <c r="AV726"/>
      <c r="AW726"/>
      <c r="AX726"/>
      <c r="AY726"/>
      <c r="AZ726"/>
      <c r="BA726"/>
      <c r="BB726">
        <f>LOG(AU726)</f>
        <v>2.9552065375419416</v>
      </c>
      <c r="BC726">
        <v>28</v>
      </c>
      <c r="BD726"/>
      <c r="BE726"/>
      <c r="BF726">
        <v>27</v>
      </c>
      <c r="BG726"/>
      <c r="BH726"/>
      <c r="BI726">
        <v>411</v>
      </c>
      <c r="BJ726">
        <v>-0.4</v>
      </c>
      <c r="BK726"/>
      <c r="BL726" t="s">
        <v>573</v>
      </c>
      <c r="BM726" t="s">
        <v>226</v>
      </c>
      <c r="BN726" t="s">
        <v>60</v>
      </c>
      <c r="BO726" t="s">
        <v>82</v>
      </c>
      <c r="BP726" t="s">
        <v>9</v>
      </c>
      <c r="BQ726" t="s">
        <v>9</v>
      </c>
      <c r="BR726" t="s">
        <v>84</v>
      </c>
      <c r="BS726"/>
      <c r="BT726">
        <v>69.865319869999993</v>
      </c>
      <c r="BU726">
        <v>69.865319999999997</v>
      </c>
      <c r="BV726">
        <v>0.13692480400000001</v>
      </c>
      <c r="BW726">
        <f>BV726*SQRT(AK726)</f>
        <v>1.1858035867220513</v>
      </c>
      <c r="BX726">
        <v>64.309764310000006</v>
      </c>
      <c r="BY726">
        <v>64.309764299999998</v>
      </c>
      <c r="BZ726">
        <v>0.29405162699999998</v>
      </c>
      <c r="CA726">
        <f>BZ726*SQRT(AL726)</f>
        <v>2.5465617900614617</v>
      </c>
      <c r="CB726">
        <v>1</v>
      </c>
      <c r="CC726"/>
      <c r="CD726">
        <v>-8.3000000000000004E-2</v>
      </c>
      <c r="CE726">
        <v>0</v>
      </c>
      <c r="CF726"/>
    </row>
    <row r="727" spans="1:84" s="8" customFormat="1" hidden="1" x14ac:dyDescent="0.2">
      <c r="A727"/>
      <c r="B727" t="str">
        <f>ROW()-1&amp;"_AltersInvert"</f>
        <v>726_AltersInvert</v>
      </c>
      <c r="C727" t="str">
        <f>D727&amp;"_"&amp;
SUBSTITUTE(TRIM(V727)," ","_")&amp;"_"&amp;
TRIM(AC727)&amp;"_"&amp;
"CO2"&amp;TEXT(AN727,"0.00")&amp;"_"&amp;
"pH"&amp;TEXT(AR727,"0.00")&amp;"_"&amp;
"T"&amp;TEXT(BC727,"0.##")</f>
        <v>236_Acanthaster_planci_LARVA_CO2491.00_pH0.00_T28.</v>
      </c>
      <c r="D727">
        <v>236</v>
      </c>
      <c r="E727"/>
      <c r="F727"/>
      <c r="G727" t="s">
        <v>43</v>
      </c>
      <c r="H727" t="s">
        <v>1073</v>
      </c>
      <c r="I727"/>
      <c r="J727">
        <v>2017</v>
      </c>
      <c r="K727"/>
      <c r="L727"/>
      <c r="M727" t="s">
        <v>657</v>
      </c>
      <c r="N727"/>
      <c r="O727"/>
      <c r="P727" t="s">
        <v>1135</v>
      </c>
      <c r="Q727"/>
      <c r="R727" t="s">
        <v>1127</v>
      </c>
      <c r="S727" t="s">
        <v>1128</v>
      </c>
      <c r="T727" t="s">
        <v>46</v>
      </c>
      <c r="U727" t="s">
        <v>937</v>
      </c>
      <c r="V727" t="s">
        <v>938</v>
      </c>
      <c r="W727"/>
      <c r="X727"/>
      <c r="Y727"/>
      <c r="Z727"/>
      <c r="AA727"/>
      <c r="AB727"/>
      <c r="AC727" t="s">
        <v>72</v>
      </c>
      <c r="AD727"/>
      <c r="AE727"/>
      <c r="AF727" t="s">
        <v>54</v>
      </c>
      <c r="AG727" t="s">
        <v>52</v>
      </c>
      <c r="AH727" t="s">
        <v>65</v>
      </c>
      <c r="AI727"/>
      <c r="AJ727"/>
      <c r="AK727">
        <v>75</v>
      </c>
      <c r="AL727">
        <v>75</v>
      </c>
      <c r="AM727"/>
      <c r="AN727">
        <v>491</v>
      </c>
      <c r="AO727"/>
      <c r="AP727"/>
      <c r="AQ727"/>
      <c r="AR727"/>
      <c r="AS727"/>
      <c r="AT727"/>
      <c r="AU727">
        <v>564</v>
      </c>
      <c r="AV727"/>
      <c r="AW727"/>
      <c r="AX727"/>
      <c r="AY727"/>
      <c r="AZ727"/>
      <c r="BA727"/>
      <c r="BB727">
        <f>LOG(AU727)</f>
        <v>2.7512791039833422</v>
      </c>
      <c r="BC727">
        <v>28</v>
      </c>
      <c r="BD727"/>
      <c r="BE727"/>
      <c r="BF727">
        <v>30</v>
      </c>
      <c r="BG727"/>
      <c r="BH727"/>
      <c r="BI727">
        <v>73</v>
      </c>
      <c r="BJ727">
        <v>2.5</v>
      </c>
      <c r="BK727"/>
      <c r="BL727" t="s">
        <v>573</v>
      </c>
      <c r="BM727" t="s">
        <v>226</v>
      </c>
      <c r="BN727" t="s">
        <v>60</v>
      </c>
      <c r="BO727" t="s">
        <v>82</v>
      </c>
      <c r="BP727" t="s">
        <v>9</v>
      </c>
      <c r="BQ727" t="s">
        <v>9</v>
      </c>
      <c r="BR727" t="s">
        <v>84</v>
      </c>
      <c r="BS727"/>
      <c r="BT727">
        <v>69.865319869999993</v>
      </c>
      <c r="BU727">
        <v>69.865319999999997</v>
      </c>
      <c r="BV727">
        <v>0.13692480400000001</v>
      </c>
      <c r="BW727">
        <f>BV727*SQRT(AK727)</f>
        <v>1.1858035867220513</v>
      </c>
      <c r="BX727">
        <v>28.619528620000001</v>
      </c>
      <c r="BY727">
        <v>28.619528599999999</v>
      </c>
      <c r="BZ727">
        <v>6.5095397999999999E-2</v>
      </c>
      <c r="CA727">
        <f>BZ727*SQRT(AL727)</f>
        <v>0.56374268337458744</v>
      </c>
      <c r="CB727">
        <v>1</v>
      </c>
      <c r="CC727"/>
      <c r="CD727">
        <v>-0.89200000000000002</v>
      </c>
      <c r="CE727">
        <v>0</v>
      </c>
      <c r="CF727"/>
    </row>
    <row r="728" spans="1:84" s="8" customFormat="1" hidden="1" x14ac:dyDescent="0.2">
      <c r="A728"/>
      <c r="B728" t="str">
        <f>ROW()-1&amp;"_AltersInvert"</f>
        <v>727_AltersInvert</v>
      </c>
      <c r="C728" t="str">
        <f>D728&amp;"_"&amp;
SUBSTITUTE(TRIM(V728)," ","_")&amp;"_"&amp;
TRIM(AC728)&amp;"_"&amp;
"CO2"&amp;TEXT(AN728,"0.00")&amp;"_"&amp;
"pH"&amp;TEXT(AR728,"0.00")&amp;"_"&amp;
"T"&amp;TEXT(BC728,"0.##")</f>
        <v>236_Acanthaster_planci_LARVA_CO2491.00_pH0.00_T28.</v>
      </c>
      <c r="D728">
        <v>236</v>
      </c>
      <c r="E728"/>
      <c r="F728"/>
      <c r="G728" t="s">
        <v>43</v>
      </c>
      <c r="H728" t="s">
        <v>1073</v>
      </c>
      <c r="I728"/>
      <c r="J728">
        <v>2017</v>
      </c>
      <c r="K728"/>
      <c r="L728"/>
      <c r="M728" t="s">
        <v>657</v>
      </c>
      <c r="N728"/>
      <c r="O728"/>
      <c r="P728" t="s">
        <v>1135</v>
      </c>
      <c r="Q728"/>
      <c r="R728" t="s">
        <v>1127</v>
      </c>
      <c r="S728" t="s">
        <v>1128</v>
      </c>
      <c r="T728" t="s">
        <v>46</v>
      </c>
      <c r="U728" t="s">
        <v>937</v>
      </c>
      <c r="V728" t="s">
        <v>938</v>
      </c>
      <c r="W728"/>
      <c r="X728"/>
      <c r="Y728"/>
      <c r="Z728"/>
      <c r="AA728"/>
      <c r="AB728"/>
      <c r="AC728" t="s">
        <v>72</v>
      </c>
      <c r="AD728"/>
      <c r="AE728"/>
      <c r="AF728" t="s">
        <v>54</v>
      </c>
      <c r="AG728" t="s">
        <v>52</v>
      </c>
      <c r="AH728" t="s">
        <v>65</v>
      </c>
      <c r="AI728"/>
      <c r="AJ728"/>
      <c r="AK728">
        <v>75</v>
      </c>
      <c r="AL728">
        <v>75</v>
      </c>
      <c r="AM728"/>
      <c r="AN728">
        <v>491</v>
      </c>
      <c r="AO728"/>
      <c r="AP728"/>
      <c r="AQ728"/>
      <c r="AR728"/>
      <c r="AS728"/>
      <c r="AT728"/>
      <c r="AU728">
        <v>518</v>
      </c>
      <c r="AV728"/>
      <c r="AW728"/>
      <c r="AX728"/>
      <c r="AY728"/>
      <c r="AZ728"/>
      <c r="BA728"/>
      <c r="BB728">
        <f>LOG(AU728)</f>
        <v>2.7143297597452332</v>
      </c>
      <c r="BC728">
        <v>28</v>
      </c>
      <c r="BD728"/>
      <c r="BE728"/>
      <c r="BF728">
        <v>30</v>
      </c>
      <c r="BG728"/>
      <c r="BH728"/>
      <c r="BI728">
        <v>27</v>
      </c>
      <c r="BJ728">
        <v>1.9</v>
      </c>
      <c r="BK728"/>
      <c r="BL728" t="s">
        <v>573</v>
      </c>
      <c r="BM728" t="s">
        <v>226</v>
      </c>
      <c r="BN728" t="s">
        <v>60</v>
      </c>
      <c r="BO728" t="s">
        <v>82</v>
      </c>
      <c r="BP728" t="s">
        <v>9</v>
      </c>
      <c r="BQ728" t="s">
        <v>9</v>
      </c>
      <c r="BR728" t="s">
        <v>84</v>
      </c>
      <c r="BS728"/>
      <c r="BT728">
        <v>69.865319869999993</v>
      </c>
      <c r="BU728">
        <v>69.865319999999997</v>
      </c>
      <c r="BV728">
        <v>0.13692480400000001</v>
      </c>
      <c r="BW728">
        <f>BV728*SQRT(AK728)</f>
        <v>1.1858035867220513</v>
      </c>
      <c r="BX728">
        <v>59.25925926</v>
      </c>
      <c r="BY728">
        <v>59.259259299999997</v>
      </c>
      <c r="BZ728">
        <v>0.10325477</v>
      </c>
      <c r="CA728">
        <f>BZ728*SQRT(AL728)</f>
        <v>0.89421253881919349</v>
      </c>
      <c r="CB728">
        <v>1</v>
      </c>
      <c r="CC728"/>
      <c r="CD728">
        <v>-0.16500000000000001</v>
      </c>
      <c r="CE728">
        <v>0</v>
      </c>
    </row>
    <row r="729" spans="1:84" s="8" customFormat="1" hidden="1" x14ac:dyDescent="0.2">
      <c r="A729"/>
      <c r="B729" t="str">
        <f>ROW()-1&amp;"_AltersInvert"</f>
        <v>728_AltersInvert</v>
      </c>
      <c r="C729" t="str">
        <f>D729&amp;"_"&amp;
SUBSTITUTE(TRIM(V729)," ","_")&amp;"_"&amp;
TRIM(AC729)&amp;"_"&amp;
"CO2"&amp;TEXT(AN729,"0.00")&amp;"_"&amp;
"pH"&amp;TEXT(AR729,"0.00")&amp;"_"&amp;
"T"&amp;TEXT(BC729,"0.##")</f>
        <v>236_Acanthaster_planci_LARVA_CO2491.00_pH0.00_T28.</v>
      </c>
      <c r="D729">
        <v>236</v>
      </c>
      <c r="E729"/>
      <c r="F729"/>
      <c r="G729" t="s">
        <v>43</v>
      </c>
      <c r="H729" t="s">
        <v>1073</v>
      </c>
      <c r="I729"/>
      <c r="J729">
        <v>2017</v>
      </c>
      <c r="K729"/>
      <c r="L729"/>
      <c r="M729" t="s">
        <v>657</v>
      </c>
      <c r="N729"/>
      <c r="O729"/>
      <c r="P729" t="s">
        <v>1135</v>
      </c>
      <c r="Q729"/>
      <c r="R729" t="s">
        <v>1127</v>
      </c>
      <c r="S729" t="s">
        <v>1128</v>
      </c>
      <c r="T729" t="s">
        <v>46</v>
      </c>
      <c r="U729" t="s">
        <v>937</v>
      </c>
      <c r="V729" t="s">
        <v>938</v>
      </c>
      <c r="W729"/>
      <c r="X729"/>
      <c r="Y729"/>
      <c r="Z729"/>
      <c r="AA729"/>
      <c r="AB729"/>
      <c r="AC729" t="s">
        <v>72</v>
      </c>
      <c r="AD729"/>
      <c r="AE729"/>
      <c r="AF729" t="s">
        <v>52</v>
      </c>
      <c r="AG729" t="s">
        <v>52</v>
      </c>
      <c r="AH729" t="s">
        <v>64</v>
      </c>
      <c r="AI729"/>
      <c r="AJ729"/>
      <c r="AK729">
        <v>75</v>
      </c>
      <c r="AL729">
        <v>75</v>
      </c>
      <c r="AM729"/>
      <c r="AN729">
        <v>491</v>
      </c>
      <c r="AO729"/>
      <c r="AP729"/>
      <c r="AQ729"/>
      <c r="AR729"/>
      <c r="AS729"/>
      <c r="AT729"/>
      <c r="AU729">
        <v>915</v>
      </c>
      <c r="AV729"/>
      <c r="AW729"/>
      <c r="AX729"/>
      <c r="AY729"/>
      <c r="AZ729"/>
      <c r="BA729"/>
      <c r="BB729">
        <f>LOG(AU729)</f>
        <v>2.9614210940664485</v>
      </c>
      <c r="BC729">
        <v>28</v>
      </c>
      <c r="BD729"/>
      <c r="BE729"/>
      <c r="BF729">
        <v>31</v>
      </c>
      <c r="BG729"/>
      <c r="BH729"/>
      <c r="BI729">
        <v>424</v>
      </c>
      <c r="BJ729">
        <v>3.3</v>
      </c>
      <c r="BK729"/>
      <c r="BL729" t="s">
        <v>573</v>
      </c>
      <c r="BM729" t="s">
        <v>226</v>
      </c>
      <c r="BN729" t="s">
        <v>60</v>
      </c>
      <c r="BO729" t="s">
        <v>82</v>
      </c>
      <c r="BP729" t="s">
        <v>9</v>
      </c>
      <c r="BQ729" t="s">
        <v>9</v>
      </c>
      <c r="BR729" t="s">
        <v>84</v>
      </c>
      <c r="BS729"/>
      <c r="BT729">
        <v>69.865319869999993</v>
      </c>
      <c r="BU729">
        <v>69.865319999999997</v>
      </c>
      <c r="BV729">
        <v>0.13692480400000001</v>
      </c>
      <c r="BW729">
        <f>BV729*SQRT(AK729)</f>
        <v>1.1858035867220513</v>
      </c>
      <c r="BX729">
        <v>35.858585859999998</v>
      </c>
      <c r="BY729">
        <v>35.858585900000001</v>
      </c>
      <c r="BZ729">
        <v>0.18630752</v>
      </c>
      <c r="CA729">
        <f>BZ729*SQRT(AL729)</f>
        <v>1.6134704523607739</v>
      </c>
      <c r="CB729">
        <v>1</v>
      </c>
      <c r="CC729"/>
      <c r="CD729">
        <v>-0.66700000000000004</v>
      </c>
      <c r="CE729">
        <v>0</v>
      </c>
    </row>
    <row r="730" spans="1:84" s="8" customFormat="1" hidden="1" x14ac:dyDescent="0.2">
      <c r="A730"/>
      <c r="B730" t="str">
        <f>ROW()-1&amp;"_AltersInvert"</f>
        <v>729_AltersInvert</v>
      </c>
      <c r="C730" t="str">
        <f>D730&amp;"_"&amp;
SUBSTITUTE(TRIM(V730)," ","_")&amp;"_"&amp;
TRIM(AC730)&amp;"_"&amp;
"CO2"&amp;TEXT(AN730,"0.00")&amp;"_"&amp;
"pH"&amp;TEXT(AR730,"0.00")&amp;"_"&amp;
"T"&amp;TEXT(BC730,"0.##")</f>
        <v>236_Acanthaster_planci_LARVA_CO2491.00_pH0.00_T28.</v>
      </c>
      <c r="D730">
        <v>236</v>
      </c>
      <c r="E730"/>
      <c r="F730"/>
      <c r="G730" t="s">
        <v>43</v>
      </c>
      <c r="H730" t="s">
        <v>1073</v>
      </c>
      <c r="I730"/>
      <c r="J730">
        <v>2017</v>
      </c>
      <c r="K730"/>
      <c r="L730"/>
      <c r="M730" t="s">
        <v>657</v>
      </c>
      <c r="N730"/>
      <c r="O730"/>
      <c r="P730" t="s">
        <v>1135</v>
      </c>
      <c r="Q730"/>
      <c r="R730" t="s">
        <v>1127</v>
      </c>
      <c r="S730" t="s">
        <v>1128</v>
      </c>
      <c r="T730" t="s">
        <v>46</v>
      </c>
      <c r="U730" t="s">
        <v>937</v>
      </c>
      <c r="V730" t="s">
        <v>938</v>
      </c>
      <c r="W730"/>
      <c r="X730"/>
      <c r="Y730"/>
      <c r="Z730"/>
      <c r="AA730"/>
      <c r="AB730"/>
      <c r="AC730" t="s">
        <v>72</v>
      </c>
      <c r="AD730"/>
      <c r="AE730"/>
      <c r="AF730" t="s">
        <v>52</v>
      </c>
      <c r="AG730" t="s">
        <v>52</v>
      </c>
      <c r="AH730" t="s">
        <v>64</v>
      </c>
      <c r="AI730"/>
      <c r="AJ730"/>
      <c r="AK730">
        <v>75</v>
      </c>
      <c r="AL730">
        <v>75</v>
      </c>
      <c r="AM730"/>
      <c r="AN730">
        <v>491</v>
      </c>
      <c r="AO730"/>
      <c r="AP730"/>
      <c r="AQ730"/>
      <c r="AR730"/>
      <c r="AS730"/>
      <c r="AT730"/>
      <c r="AU730">
        <v>950</v>
      </c>
      <c r="AV730"/>
      <c r="AW730"/>
      <c r="AX730"/>
      <c r="AY730"/>
      <c r="AZ730"/>
      <c r="BA730"/>
      <c r="BB730">
        <f>LOG(AU730)</f>
        <v>2.9777236052888476</v>
      </c>
      <c r="BC730">
        <v>28</v>
      </c>
      <c r="BD730"/>
      <c r="BE730"/>
      <c r="BF730">
        <v>30</v>
      </c>
      <c r="BG730"/>
      <c r="BH730"/>
      <c r="BI730">
        <v>459</v>
      </c>
      <c r="BJ730">
        <v>1.9</v>
      </c>
      <c r="BK730"/>
      <c r="BL730" t="s">
        <v>573</v>
      </c>
      <c r="BM730" t="s">
        <v>226</v>
      </c>
      <c r="BN730" t="s">
        <v>60</v>
      </c>
      <c r="BO730" t="s">
        <v>82</v>
      </c>
      <c r="BP730" t="s">
        <v>9</v>
      </c>
      <c r="BQ730" t="s">
        <v>9</v>
      </c>
      <c r="BR730" t="s">
        <v>84</v>
      </c>
      <c r="BS730"/>
      <c r="BT730">
        <v>69.865319869999993</v>
      </c>
      <c r="BU730">
        <v>69.865319999999997</v>
      </c>
      <c r="BV730">
        <v>0.13692480400000001</v>
      </c>
      <c r="BW730">
        <f>BV730*SQRT(AK730)</f>
        <v>1.1858035867220513</v>
      </c>
      <c r="BX730">
        <v>57.912457910000001</v>
      </c>
      <c r="BY730">
        <v>57.9124579</v>
      </c>
      <c r="BZ730">
        <v>0.43097643099999999</v>
      </c>
      <c r="CA730">
        <f>BZ730*SQRT(AL730)</f>
        <v>3.732365376783513</v>
      </c>
      <c r="CB730">
        <v>1</v>
      </c>
      <c r="CC730"/>
      <c r="CD730">
        <v>-0.188</v>
      </c>
      <c r="CE730">
        <v>1E-4</v>
      </c>
    </row>
    <row r="731" spans="1:84" s="8" customFormat="1" hidden="1" x14ac:dyDescent="0.2">
      <c r="A731"/>
      <c r="B731" t="str">
        <f>ROW()-1&amp;"_AltersInvert"</f>
        <v>730_AltersInvert</v>
      </c>
      <c r="C731" t="str">
        <f>D731&amp;"_"&amp;
SUBSTITUTE(TRIM(V731)," ","_")&amp;"_"&amp;
TRIM(AC731)&amp;"_"&amp;
"CO2"&amp;TEXT(AN731,"0.00")&amp;"_"&amp;
"pH"&amp;TEXT(AR731,"0.00")&amp;"_"&amp;
"T"&amp;TEXT(BC731,"0.##")</f>
        <v>74_Orbicella_faveolata_POSTLARVA_CO2419.00_pH8.15_T28.3</v>
      </c>
      <c r="D731">
        <v>74</v>
      </c>
      <c r="E731"/>
      <c r="F731"/>
      <c r="G731" t="s">
        <v>43</v>
      </c>
      <c r="H731" t="s">
        <v>656</v>
      </c>
      <c r="I731"/>
      <c r="J731">
        <v>2020</v>
      </c>
      <c r="K731"/>
      <c r="L731"/>
      <c r="M731" t="s">
        <v>657</v>
      </c>
      <c r="N731"/>
      <c r="O731"/>
      <c r="P731" t="s">
        <v>1135</v>
      </c>
      <c r="Q731"/>
      <c r="R731" t="s">
        <v>1127</v>
      </c>
      <c r="S731" t="s">
        <v>1128</v>
      </c>
      <c r="T731" t="s">
        <v>103</v>
      </c>
      <c r="U731" t="s">
        <v>534</v>
      </c>
      <c r="V731" t="s">
        <v>658</v>
      </c>
      <c r="W731"/>
      <c r="X731"/>
      <c r="Y731"/>
      <c r="Z731" t="s">
        <v>106</v>
      </c>
      <c r="AA731" t="s">
        <v>107</v>
      </c>
      <c r="AB731" t="s">
        <v>50</v>
      </c>
      <c r="AC731" t="s">
        <v>416</v>
      </c>
      <c r="AD731" t="s">
        <v>52</v>
      </c>
      <c r="AE731" t="s">
        <v>53</v>
      </c>
      <c r="AF731" t="s">
        <v>52</v>
      </c>
      <c r="AG731" t="s">
        <v>54</v>
      </c>
      <c r="AH731" t="s">
        <v>55</v>
      </c>
      <c r="AI731"/>
      <c r="AJ731"/>
      <c r="AK731">
        <v>3</v>
      </c>
      <c r="AL731">
        <v>3</v>
      </c>
      <c r="AM731"/>
      <c r="AN731">
        <v>419</v>
      </c>
      <c r="AO731" t="s">
        <v>56</v>
      </c>
      <c r="AP731" t="s">
        <v>56</v>
      </c>
      <c r="AQ731" t="s">
        <v>57</v>
      </c>
      <c r="AR731">
        <v>8.15</v>
      </c>
      <c r="AS731" t="s">
        <v>56</v>
      </c>
      <c r="AT731" t="s">
        <v>56</v>
      </c>
      <c r="AU731">
        <v>641</v>
      </c>
      <c r="AV731" t="s">
        <v>56</v>
      </c>
      <c r="AW731" t="s">
        <v>56</v>
      </c>
      <c r="AX731">
        <v>8</v>
      </c>
      <c r="AY731" t="s">
        <v>56</v>
      </c>
      <c r="AZ731" t="s">
        <v>56</v>
      </c>
      <c r="BA731"/>
      <c r="BB731">
        <f>LOG(AU731)</f>
        <v>2.8068580295188172</v>
      </c>
      <c r="BC731">
        <v>28.3</v>
      </c>
      <c r="BD731" t="s">
        <v>56</v>
      </c>
      <c r="BE731" t="s">
        <v>56</v>
      </c>
      <c r="BF731">
        <v>28.3</v>
      </c>
      <c r="BG731" t="s">
        <v>56</v>
      </c>
      <c r="BH731" t="s">
        <v>56</v>
      </c>
      <c r="BI731">
        <v>222</v>
      </c>
      <c r="BJ731">
        <v>0</v>
      </c>
      <c r="BK731" t="s">
        <v>56</v>
      </c>
      <c r="BL731" t="s">
        <v>659</v>
      </c>
      <c r="BM731" t="s">
        <v>113</v>
      </c>
      <c r="BN731" t="s">
        <v>81</v>
      </c>
      <c r="BO731" t="s">
        <v>82</v>
      </c>
      <c r="BP731" t="s">
        <v>9</v>
      </c>
      <c r="BQ731" t="s">
        <v>9</v>
      </c>
      <c r="BR731" t="s">
        <v>84</v>
      </c>
      <c r="BS731"/>
      <c r="BT731">
        <v>18.3</v>
      </c>
      <c r="BU731">
        <v>18.3</v>
      </c>
      <c r="BV731">
        <v>0.7</v>
      </c>
      <c r="BW731">
        <f>BV731*SQRT(AK731)</f>
        <v>1.2124355652982139</v>
      </c>
      <c r="BX731">
        <v>7.51</v>
      </c>
      <c r="BY731">
        <v>7.51</v>
      </c>
      <c r="BZ731">
        <v>0.68</v>
      </c>
      <c r="CA731">
        <f>BZ731*SQRT(AL731)</f>
        <v>1.1777945491468367</v>
      </c>
      <c r="CB731">
        <v>7</v>
      </c>
      <c r="CC731">
        <v>3</v>
      </c>
      <c r="CD731">
        <v>-0.89100000000000001</v>
      </c>
      <c r="CE731">
        <v>9.7000000000000003E-3</v>
      </c>
      <c r="CF731"/>
    </row>
    <row r="732" spans="1:84" s="8" customFormat="1" hidden="1" x14ac:dyDescent="0.2">
      <c r="A732"/>
      <c r="B732" t="str">
        <f>ROW()-1&amp;"_AltersInvert"</f>
        <v>731_AltersInvert</v>
      </c>
      <c r="C732" t="str">
        <f>D732&amp;"_"&amp;
SUBSTITUTE(TRIM(V732)," ","_")&amp;"_"&amp;
TRIM(AC732)&amp;"_"&amp;
"CO2"&amp;TEXT(AN732,"0.00")&amp;"_"&amp;
"pH"&amp;TEXT(AR732,"0.00")&amp;"_"&amp;
"T"&amp;TEXT(BC732,"0.##")</f>
        <v>74_Orbicella_faveolata_POSTLARVA_CO2419.00_pH8.15_T28.3</v>
      </c>
      <c r="D732">
        <v>74</v>
      </c>
      <c r="E732"/>
      <c r="F732"/>
      <c r="G732" t="s">
        <v>43</v>
      </c>
      <c r="H732" t="s">
        <v>656</v>
      </c>
      <c r="I732"/>
      <c r="J732">
        <v>2020</v>
      </c>
      <c r="K732"/>
      <c r="L732"/>
      <c r="M732" t="s">
        <v>657</v>
      </c>
      <c r="N732"/>
      <c r="O732"/>
      <c r="P732" t="s">
        <v>1135</v>
      </c>
      <c r="Q732"/>
      <c r="R732" t="s">
        <v>1127</v>
      </c>
      <c r="S732" t="s">
        <v>1128</v>
      </c>
      <c r="T732" t="s">
        <v>103</v>
      </c>
      <c r="U732" t="s">
        <v>534</v>
      </c>
      <c r="V732" t="s">
        <v>658</v>
      </c>
      <c r="W732"/>
      <c r="X732"/>
      <c r="Y732"/>
      <c r="Z732" t="s">
        <v>106</v>
      </c>
      <c r="AA732" t="s">
        <v>107</v>
      </c>
      <c r="AB732" t="s">
        <v>50</v>
      </c>
      <c r="AC732" t="s">
        <v>416</v>
      </c>
      <c r="AD732" t="s">
        <v>52</v>
      </c>
      <c r="AE732" t="s">
        <v>53</v>
      </c>
      <c r="AF732" t="s">
        <v>52</v>
      </c>
      <c r="AG732" t="s">
        <v>52</v>
      </c>
      <c r="AH732" t="s">
        <v>64</v>
      </c>
      <c r="AI732"/>
      <c r="AJ732"/>
      <c r="AK732">
        <v>3</v>
      </c>
      <c r="AL732">
        <v>3</v>
      </c>
      <c r="AM732"/>
      <c r="AN732">
        <v>419</v>
      </c>
      <c r="AO732" t="s">
        <v>56</v>
      </c>
      <c r="AP732" t="s">
        <v>56</v>
      </c>
      <c r="AQ732" t="s">
        <v>57</v>
      </c>
      <c r="AR732">
        <v>8.15</v>
      </c>
      <c r="AS732" t="s">
        <v>56</v>
      </c>
      <c r="AT732" t="s">
        <v>56</v>
      </c>
      <c r="AU732">
        <v>647</v>
      </c>
      <c r="AV732" t="s">
        <v>56</v>
      </c>
      <c r="AW732" t="s">
        <v>56</v>
      </c>
      <c r="AX732">
        <v>8</v>
      </c>
      <c r="AY732" t="s">
        <v>56</v>
      </c>
      <c r="AZ732" t="s">
        <v>56</v>
      </c>
      <c r="BA732"/>
      <c r="BB732">
        <f>LOG(AU732)</f>
        <v>2.8109042806687006</v>
      </c>
      <c r="BC732">
        <v>28.3</v>
      </c>
      <c r="BD732" t="s">
        <v>56</v>
      </c>
      <c r="BE732" t="s">
        <v>56</v>
      </c>
      <c r="BF732">
        <v>29.9</v>
      </c>
      <c r="BG732" t="s">
        <v>56</v>
      </c>
      <c r="BH732" t="s">
        <v>56</v>
      </c>
      <c r="BI732">
        <v>228</v>
      </c>
      <c r="BJ732">
        <v>1.6</v>
      </c>
      <c r="BK732" t="s">
        <v>56</v>
      </c>
      <c r="BL732" t="s">
        <v>113</v>
      </c>
      <c r="BM732" t="s">
        <v>113</v>
      </c>
      <c r="BN732" t="s">
        <v>81</v>
      </c>
      <c r="BO732" t="s">
        <v>82</v>
      </c>
      <c r="BP732" t="s">
        <v>9</v>
      </c>
      <c r="BQ732" t="s">
        <v>9</v>
      </c>
      <c r="BR732" t="s">
        <v>84</v>
      </c>
      <c r="BS732"/>
      <c r="BT732">
        <v>18.3</v>
      </c>
      <c r="BU732">
        <v>18.3</v>
      </c>
      <c r="BV732">
        <v>0.7</v>
      </c>
      <c r="BW732">
        <f>BV732*SQRT(AK732)</f>
        <v>1.2124355652982139</v>
      </c>
      <c r="BX732">
        <v>5.97</v>
      </c>
      <c r="BY732">
        <v>5.97</v>
      </c>
      <c r="BZ732">
        <v>0.55000000000000004</v>
      </c>
      <c r="CA732">
        <f>BZ732*SQRT(AL732)</f>
        <v>0.95262794416288255</v>
      </c>
      <c r="CB732">
        <v>7</v>
      </c>
      <c r="CC732">
        <v>3</v>
      </c>
      <c r="CD732">
        <v>-1.1200000000000001</v>
      </c>
      <c r="CE732">
        <v>0.01</v>
      </c>
      <c r="CF732"/>
    </row>
    <row r="733" spans="1:84" s="8" customFormat="1" hidden="1" x14ac:dyDescent="0.2">
      <c r="A733"/>
      <c r="B733"/>
      <c r="C733"/>
      <c r="D733">
        <v>74</v>
      </c>
      <c r="E733"/>
      <c r="F733"/>
      <c r="G733" t="s">
        <v>43</v>
      </c>
      <c r="H733" t="s">
        <v>656</v>
      </c>
      <c r="I733"/>
      <c r="J733">
        <v>2020</v>
      </c>
      <c r="K733"/>
      <c r="L733"/>
      <c r="M733" t="s">
        <v>657</v>
      </c>
      <c r="N733"/>
      <c r="O733"/>
      <c r="P733" t="s">
        <v>1135</v>
      </c>
      <c r="Q733"/>
      <c r="R733" t="s">
        <v>1127</v>
      </c>
      <c r="S733" t="s">
        <v>1128</v>
      </c>
      <c r="T733" t="s">
        <v>103</v>
      </c>
      <c r="U733" t="s">
        <v>534</v>
      </c>
      <c r="V733" t="s">
        <v>658</v>
      </c>
      <c r="W733"/>
      <c r="X733"/>
      <c r="Y733"/>
      <c r="Z733" t="s">
        <v>106</v>
      </c>
      <c r="AA733" t="s">
        <v>107</v>
      </c>
      <c r="AB733" t="s">
        <v>50</v>
      </c>
      <c r="AC733" t="s">
        <v>416</v>
      </c>
      <c r="AD733" t="s">
        <v>52</v>
      </c>
      <c r="AE733" t="s">
        <v>53</v>
      </c>
      <c r="AF733" t="s">
        <v>54</v>
      </c>
      <c r="AG733" t="s">
        <v>52</v>
      </c>
      <c r="AH733" t="s">
        <v>65</v>
      </c>
      <c r="AI733"/>
      <c r="AJ733"/>
      <c r="AK733">
        <v>3</v>
      </c>
      <c r="AL733">
        <v>3</v>
      </c>
      <c r="AM733" t="s">
        <v>660</v>
      </c>
      <c r="AN733">
        <v>419</v>
      </c>
      <c r="AO733" t="s">
        <v>56</v>
      </c>
      <c r="AP733" t="s">
        <v>56</v>
      </c>
      <c r="AQ733" t="s">
        <v>57</v>
      </c>
      <c r="AR733">
        <v>8.15</v>
      </c>
      <c r="AS733" t="s">
        <v>56</v>
      </c>
      <c r="AT733" t="s">
        <v>56</v>
      </c>
      <c r="AU733">
        <v>415</v>
      </c>
      <c r="AV733" t="s">
        <v>56</v>
      </c>
      <c r="AW733" t="s">
        <v>56</v>
      </c>
      <c r="AX733">
        <v>8.16</v>
      </c>
      <c r="AY733" t="s">
        <v>56</v>
      </c>
      <c r="AZ733" t="s">
        <v>56</v>
      </c>
      <c r="BA733"/>
      <c r="BB733">
        <f>LOG(AU733)</f>
        <v>2.6180480967120925</v>
      </c>
      <c r="BC733">
        <v>28.3</v>
      </c>
      <c r="BD733" t="s">
        <v>56</v>
      </c>
      <c r="BE733" t="s">
        <v>56</v>
      </c>
      <c r="BF733">
        <v>29.9</v>
      </c>
      <c r="BG733" t="s">
        <v>56</v>
      </c>
      <c r="BH733" t="s">
        <v>56</v>
      </c>
      <c r="BI733">
        <v>-4</v>
      </c>
      <c r="BJ733">
        <v>2</v>
      </c>
      <c r="BK733" t="s">
        <v>56</v>
      </c>
      <c r="BL733" t="s">
        <v>659</v>
      </c>
      <c r="BM733" t="s">
        <v>113</v>
      </c>
      <c r="BN733" t="s">
        <v>81</v>
      </c>
      <c r="BO733" t="s">
        <v>82</v>
      </c>
      <c r="BP733" t="s">
        <v>9</v>
      </c>
      <c r="BQ733" s="8" t="s">
        <v>190</v>
      </c>
      <c r="BR733" t="s">
        <v>84</v>
      </c>
      <c r="BS733"/>
      <c r="BT733">
        <v>18.3</v>
      </c>
      <c r="BU733">
        <v>18.3</v>
      </c>
      <c r="BV733">
        <v>0.7</v>
      </c>
      <c r="BW733">
        <f>BV733*SQRT(AK733)</f>
        <v>1.2124355652982139</v>
      </c>
      <c r="BX733">
        <v>0</v>
      </c>
      <c r="BY733">
        <v>0.183</v>
      </c>
      <c r="BZ733">
        <v>0</v>
      </c>
      <c r="CA733">
        <f>BZ733*SQRT(AL733)</f>
        <v>0</v>
      </c>
      <c r="CB733">
        <v>7</v>
      </c>
      <c r="CC733">
        <v>3</v>
      </c>
      <c r="CD733">
        <v>-4.6050000000000004</v>
      </c>
      <c r="CE733">
        <v>1.5E-3</v>
      </c>
      <c r="CF733"/>
    </row>
    <row r="734" spans="1:84" s="8" customFormat="1" hidden="1" x14ac:dyDescent="0.2">
      <c r="B734" t="str">
        <f>ROW()-1&amp;"_AltersInvert"</f>
        <v>733_AltersInvert</v>
      </c>
      <c r="C734" t="str">
        <f>D734&amp;"_"&amp;
SUBSTITUTE(TRIM(V734)," ","_")&amp;"_"&amp;
TRIM(AC734)&amp;"_"&amp;
"CO2"&amp;TEXT(AN734,"0.00")&amp;"_"&amp;
"pH"&amp;TEXT(AR734,"0.00")&amp;"_"&amp;
"T"&amp;TEXT(BC734,"0.##")</f>
        <v>51_Platygyra_contorta_EMBRYO_CO2550.00_pH8.06_T27.</v>
      </c>
      <c r="D734" s="8">
        <v>51</v>
      </c>
      <c r="G734" s="8" t="s">
        <v>43</v>
      </c>
      <c r="H734" s="8" t="s">
        <v>527</v>
      </c>
      <c r="I734" s="8" t="s">
        <v>1130</v>
      </c>
      <c r="J734" s="8">
        <v>2015</v>
      </c>
      <c r="M734" s="8" t="s">
        <v>528</v>
      </c>
      <c r="P734" t="s">
        <v>1135</v>
      </c>
      <c r="R734" s="8" t="s">
        <v>1127</v>
      </c>
      <c r="S734" t="s">
        <v>1128</v>
      </c>
      <c r="T734" s="8" t="s">
        <v>103</v>
      </c>
      <c r="U734" s="8" t="s">
        <v>534</v>
      </c>
      <c r="V734" s="8" t="s">
        <v>535</v>
      </c>
      <c r="W734" s="8" t="str">
        <f>IF(ISNUMBER(MATCH(#REF!,{"Doryteuthis pealeii","Loligo vulgaris","Leptuca thayeri","Stylocheilus striatus","Ophryotrocha labronica"},0)),"N","Y")</f>
        <v>Y</v>
      </c>
      <c r="Z734" s="8" t="s">
        <v>177</v>
      </c>
      <c r="AA734" s="8" t="s">
        <v>177</v>
      </c>
      <c r="AB734" s="8" t="s">
        <v>71</v>
      </c>
      <c r="AC734" s="8" t="s">
        <v>195</v>
      </c>
      <c r="AD734" s="8" t="s">
        <v>52</v>
      </c>
      <c r="AE734" s="8" t="s">
        <v>53</v>
      </c>
      <c r="AF734" s="8" t="s">
        <v>52</v>
      </c>
      <c r="AG734" s="8" t="s">
        <v>54</v>
      </c>
      <c r="AH734" s="8" t="s">
        <v>55</v>
      </c>
      <c r="AK734" s="8">
        <v>5</v>
      </c>
      <c r="AL734" s="8">
        <v>5</v>
      </c>
      <c r="AM734" s="8" t="s">
        <v>532</v>
      </c>
      <c r="AN734" s="8">
        <v>550</v>
      </c>
      <c r="AO734" s="8" t="s">
        <v>56</v>
      </c>
      <c r="AP734" s="8">
        <v>7</v>
      </c>
      <c r="AQ734" s="8" t="s">
        <v>57</v>
      </c>
      <c r="AR734" s="8">
        <v>8.06</v>
      </c>
      <c r="AS734" s="8" t="s">
        <v>56</v>
      </c>
      <c r="AT734" s="8">
        <v>0</v>
      </c>
      <c r="AU734" s="8">
        <v>1021</v>
      </c>
      <c r="AV734" t="s">
        <v>56</v>
      </c>
      <c r="AW734">
        <v>14</v>
      </c>
      <c r="AX734">
        <v>7.82</v>
      </c>
      <c r="AY734" t="s">
        <v>56</v>
      </c>
      <c r="AZ734">
        <v>0.01</v>
      </c>
      <c r="BB734" s="8">
        <f>LOG(AU734)</f>
        <v>3.0090257420869104</v>
      </c>
      <c r="BC734" s="8">
        <v>27</v>
      </c>
      <c r="BD734" s="8" t="s">
        <v>56</v>
      </c>
      <c r="BE734" s="8">
        <v>0.2</v>
      </c>
      <c r="BF734" s="8">
        <v>27</v>
      </c>
      <c r="BG734" s="8" t="s">
        <v>56</v>
      </c>
      <c r="BH734" s="8">
        <v>0.2</v>
      </c>
      <c r="BI734" s="8">
        <v>471</v>
      </c>
      <c r="BJ734" s="8">
        <v>0</v>
      </c>
      <c r="BK734" s="8" t="s">
        <v>530</v>
      </c>
      <c r="BL734" s="8" t="s">
        <v>531</v>
      </c>
      <c r="BM734" s="8" t="s">
        <v>86</v>
      </c>
      <c r="BN734" s="8" t="s">
        <v>81</v>
      </c>
      <c r="BO734" s="8" t="s">
        <v>82</v>
      </c>
      <c r="BP734" s="8" t="s">
        <v>9</v>
      </c>
      <c r="BQ734" s="8" t="s">
        <v>190</v>
      </c>
      <c r="BR734" s="8" t="s">
        <v>84</v>
      </c>
      <c r="BT734" s="8">
        <v>3.68</v>
      </c>
      <c r="BU734" s="8">
        <v>96.323528999999994</v>
      </c>
      <c r="BV734" s="8">
        <v>0.55000000000000004</v>
      </c>
      <c r="BW734" s="8">
        <f>BV734*SQRT(AK734)</f>
        <v>1.2298373876248845</v>
      </c>
      <c r="BX734" s="8">
        <v>1.72</v>
      </c>
      <c r="BY734" s="8">
        <v>98.284313699999998</v>
      </c>
      <c r="BZ734" s="8">
        <v>1.72</v>
      </c>
      <c r="CA734" s="8">
        <f>BZ734*SQRT(AL734)</f>
        <v>3.8460369212996386</v>
      </c>
      <c r="CB734" s="8">
        <v>0</v>
      </c>
      <c r="CC734" s="8">
        <v>5</v>
      </c>
      <c r="CD734" s="8">
        <v>0.02</v>
      </c>
      <c r="CE734" s="8">
        <v>2.9999999999999997E-4</v>
      </c>
      <c r="CF734" s="8" t="s">
        <v>1134</v>
      </c>
    </row>
    <row r="735" spans="1:84" s="8" customFormat="1" hidden="1" x14ac:dyDescent="0.2">
      <c r="B735" t="str">
        <f>ROW()-1&amp;"_AltersInvert"</f>
        <v>734_AltersInvert</v>
      </c>
      <c r="C735" t="str">
        <f>D735&amp;"_"&amp;
SUBSTITUTE(TRIM(V735)," ","_")&amp;"_"&amp;
TRIM(AC735)&amp;"_"&amp;
"CO2"&amp;TEXT(AN735,"0.00")&amp;"_"&amp;
"pH"&amp;TEXT(AR735,"0.00")&amp;"_"&amp;
"T"&amp;TEXT(BC735,"0.##")</f>
        <v>51_Platygyra_contorta_EMBRYO_CO2550.00_pH8.06_T27.</v>
      </c>
      <c r="D735" s="8">
        <v>51</v>
      </c>
      <c r="G735" s="8" t="s">
        <v>43</v>
      </c>
      <c r="H735" s="8" t="s">
        <v>527</v>
      </c>
      <c r="I735" s="8" t="s">
        <v>1130</v>
      </c>
      <c r="J735" s="8">
        <v>2015</v>
      </c>
      <c r="M735" s="8" t="s">
        <v>528</v>
      </c>
      <c r="P735" t="s">
        <v>1135</v>
      </c>
      <c r="R735" s="8" t="s">
        <v>1127</v>
      </c>
      <c r="S735" t="s">
        <v>1128</v>
      </c>
      <c r="T735" s="8" t="s">
        <v>103</v>
      </c>
      <c r="U735" s="8" t="s">
        <v>534</v>
      </c>
      <c r="V735" s="8" t="s">
        <v>535</v>
      </c>
      <c r="W735" s="8" t="str">
        <f>IF(ISNUMBER(MATCH(V129,{"Doryteuthis pealeii","Loligo vulgaris","Leptuca thayeri","Stylocheilus striatus","Ophryotrocha labronica"},0)),"N","Y")</f>
        <v>Y</v>
      </c>
      <c r="Z735" s="8" t="s">
        <v>177</v>
      </c>
      <c r="AA735" s="8" t="s">
        <v>177</v>
      </c>
      <c r="AB735" s="8" t="s">
        <v>71</v>
      </c>
      <c r="AC735" s="8" t="s">
        <v>195</v>
      </c>
      <c r="AD735" s="8" t="s">
        <v>52</v>
      </c>
      <c r="AE735" s="8" t="s">
        <v>53</v>
      </c>
      <c r="AF735" s="8" t="s">
        <v>52</v>
      </c>
      <c r="AG735" s="8" t="s">
        <v>52</v>
      </c>
      <c r="AH735" s="8" t="s">
        <v>64</v>
      </c>
      <c r="AK735" s="8">
        <v>5</v>
      </c>
      <c r="AL735" s="8">
        <v>5</v>
      </c>
      <c r="AM735" s="8" t="s">
        <v>532</v>
      </c>
      <c r="AN735" s="8">
        <v>550</v>
      </c>
      <c r="AO735" s="8" t="s">
        <v>56</v>
      </c>
      <c r="AP735" s="8">
        <v>7</v>
      </c>
      <c r="AQ735" s="8" t="s">
        <v>57</v>
      </c>
      <c r="AR735" s="8">
        <v>8.06</v>
      </c>
      <c r="AS735" s="8" t="s">
        <v>56</v>
      </c>
      <c r="AT735" s="8">
        <v>0</v>
      </c>
      <c r="AU735" s="8">
        <v>1001</v>
      </c>
      <c r="AV735" t="s">
        <v>56</v>
      </c>
      <c r="AW735">
        <v>12</v>
      </c>
      <c r="AX735">
        <v>7.84</v>
      </c>
      <c r="AY735" t="s">
        <v>56</v>
      </c>
      <c r="AZ735">
        <v>0</v>
      </c>
      <c r="BB735" s="8">
        <f>LOG(AU735)</f>
        <v>3.0004340774793188</v>
      </c>
      <c r="BC735" s="8">
        <v>27</v>
      </c>
      <c r="BD735" s="8" t="s">
        <v>56</v>
      </c>
      <c r="BE735" s="8">
        <v>0.2</v>
      </c>
      <c r="BF735" s="8">
        <v>31</v>
      </c>
      <c r="BG735" s="8" t="s">
        <v>56</v>
      </c>
      <c r="BH735" s="8">
        <v>0.2</v>
      </c>
      <c r="BI735" s="8">
        <v>451</v>
      </c>
      <c r="BJ735" s="8">
        <v>4</v>
      </c>
      <c r="BK735" s="8" t="s">
        <v>530</v>
      </c>
      <c r="BL735" s="8" t="s">
        <v>531</v>
      </c>
      <c r="BM735" s="8" t="s">
        <v>86</v>
      </c>
      <c r="BN735" s="8" t="s">
        <v>81</v>
      </c>
      <c r="BO735" s="8" t="s">
        <v>82</v>
      </c>
      <c r="BP735" s="8" t="s">
        <v>9</v>
      </c>
      <c r="BQ735" s="8" t="s">
        <v>9</v>
      </c>
      <c r="BR735" s="8" t="s">
        <v>84</v>
      </c>
      <c r="BT735" s="8">
        <v>3.68</v>
      </c>
      <c r="BU735" s="8">
        <v>96.323528999999994</v>
      </c>
      <c r="BV735" s="8">
        <v>0.55000000000000004</v>
      </c>
      <c r="BW735" s="8">
        <f>BV735*SQRT(AK735)</f>
        <v>1.2298373876248845</v>
      </c>
      <c r="BX735" s="8">
        <v>14.95</v>
      </c>
      <c r="BY735" s="8">
        <v>85.049019599999994</v>
      </c>
      <c r="BZ735" s="8">
        <v>14.95</v>
      </c>
      <c r="CA735" s="8">
        <f>BZ735*SQRT(AL735)</f>
        <v>33.429216263621853</v>
      </c>
      <c r="CB735" s="8">
        <v>0</v>
      </c>
      <c r="CC735" s="8">
        <v>5</v>
      </c>
      <c r="CD735" s="8">
        <v>-0.124</v>
      </c>
      <c r="CE735" s="8">
        <v>3.09E-2</v>
      </c>
      <c r="CF735" s="8" t="s">
        <v>1134</v>
      </c>
    </row>
    <row r="736" spans="1:84" s="8" customFormat="1" hidden="1" x14ac:dyDescent="0.2">
      <c r="D736" s="8">
        <v>51</v>
      </c>
      <c r="G736" t="s">
        <v>43</v>
      </c>
      <c r="H736" s="8" t="s">
        <v>527</v>
      </c>
      <c r="I736" s="8" t="s">
        <v>1130</v>
      </c>
      <c r="J736" s="8">
        <v>2015</v>
      </c>
      <c r="M736" s="8" t="s">
        <v>528</v>
      </c>
      <c r="P736" t="s">
        <v>1135</v>
      </c>
      <c r="R736" s="8" t="s">
        <v>1127</v>
      </c>
      <c r="S736" t="s">
        <v>1128</v>
      </c>
      <c r="T736" s="8" t="s">
        <v>103</v>
      </c>
      <c r="U736" s="8" t="s">
        <v>534</v>
      </c>
      <c r="V736" s="8" t="s">
        <v>535</v>
      </c>
      <c r="W736" s="8" t="str">
        <f>IF(ISNUMBER(MATCH(V130,{"Doryteuthis pealeii","Loligo vulgaris","Leptuca thayeri","Stylocheilus striatus","Ophryotrocha labronica"},0)),"N","Y")</f>
        <v>Y</v>
      </c>
      <c r="Z736" s="8" t="s">
        <v>177</v>
      </c>
      <c r="AA736" s="8" t="s">
        <v>177</v>
      </c>
      <c r="AB736" s="8" t="s">
        <v>71</v>
      </c>
      <c r="AC736" s="8" t="s">
        <v>195</v>
      </c>
      <c r="AD736" s="8" t="s">
        <v>52</v>
      </c>
      <c r="AE736" s="8" t="s">
        <v>53</v>
      </c>
      <c r="AF736" s="8" t="s">
        <v>54</v>
      </c>
      <c r="AG736" s="8" t="s">
        <v>52</v>
      </c>
      <c r="AH736" s="8" t="s">
        <v>65</v>
      </c>
      <c r="AK736" s="8">
        <v>5</v>
      </c>
      <c r="AL736" s="8">
        <v>5</v>
      </c>
      <c r="AM736" s="8" t="s">
        <v>532</v>
      </c>
      <c r="AN736" s="8">
        <v>550</v>
      </c>
      <c r="AO736" s="8" t="s">
        <v>56</v>
      </c>
      <c r="AP736" s="8">
        <v>7</v>
      </c>
      <c r="AQ736" s="8" t="s">
        <v>57</v>
      </c>
      <c r="AR736" s="8">
        <v>8.06</v>
      </c>
      <c r="AS736" s="8" t="s">
        <v>56</v>
      </c>
      <c r="AT736" s="8">
        <v>0</v>
      </c>
      <c r="AU736" s="8">
        <v>558</v>
      </c>
      <c r="AV736" t="s">
        <v>56</v>
      </c>
      <c r="AW736">
        <v>0</v>
      </c>
      <c r="AX736">
        <v>8.06</v>
      </c>
      <c r="AY736" t="s">
        <v>56</v>
      </c>
      <c r="AZ736">
        <v>0</v>
      </c>
      <c r="BB736" s="8">
        <f>LOG(AU736)</f>
        <v>2.7466341989375787</v>
      </c>
      <c r="BC736" s="8">
        <v>27</v>
      </c>
      <c r="BD736" s="8" t="s">
        <v>56</v>
      </c>
      <c r="BE736" s="8">
        <v>0.2</v>
      </c>
      <c r="BF736" s="8">
        <v>31</v>
      </c>
      <c r="BG736" s="8" t="s">
        <v>56</v>
      </c>
      <c r="BH736" s="8">
        <v>0.2</v>
      </c>
      <c r="BI736" s="8">
        <v>8</v>
      </c>
      <c r="BJ736" s="8">
        <v>4</v>
      </c>
      <c r="BK736" s="8" t="s">
        <v>530</v>
      </c>
      <c r="BL736" s="8" t="s">
        <v>531</v>
      </c>
      <c r="BM736" s="8" t="s">
        <v>86</v>
      </c>
      <c r="BN736" s="8" t="s">
        <v>81</v>
      </c>
      <c r="BO736" s="8" t="s">
        <v>82</v>
      </c>
      <c r="BP736" s="8" t="s">
        <v>9</v>
      </c>
      <c r="BQ736" s="8" t="s">
        <v>190</v>
      </c>
      <c r="BR736" s="8" t="s">
        <v>84</v>
      </c>
      <c r="BT736" s="8">
        <v>3.68</v>
      </c>
      <c r="BU736" s="8">
        <v>96.323528999999994</v>
      </c>
      <c r="BV736" s="8">
        <v>0.55000000000000004</v>
      </c>
      <c r="BW736" s="8">
        <f>BV736*SQRT(AK736)</f>
        <v>1.2298373876248845</v>
      </c>
      <c r="BX736" s="8">
        <v>100.25</v>
      </c>
      <c r="BY736" s="8">
        <v>0</v>
      </c>
      <c r="BZ736" s="8">
        <v>1</v>
      </c>
      <c r="CA736" s="8">
        <f>BZ736*SQRT(AL736)</f>
        <v>2.2360679774997898</v>
      </c>
      <c r="CB736" s="8">
        <v>0</v>
      </c>
      <c r="CC736" s="8">
        <v>5</v>
      </c>
      <c r="CD736" s="8" t="e">
        <v>#NUM!</v>
      </c>
      <c r="CE736" s="8" t="e">
        <v>#DIV/0!</v>
      </c>
      <c r="CF736" s="8" t="s">
        <v>1134</v>
      </c>
    </row>
    <row r="737" spans="1:84" s="8" customFormat="1" hidden="1" x14ac:dyDescent="0.2">
      <c r="A737" s="11"/>
      <c r="B737" s="11" t="str">
        <f>ROW()-1&amp;"_AltersInvert"</f>
        <v>736_AltersInvert</v>
      </c>
      <c r="C737" s="11" t="str">
        <f>D737&amp;"_"&amp;
SUBSTITUTE(TRIM(V737)," ","_")&amp;"_"&amp;
TRIM(AC737)&amp;"_"&amp;
"CO2"&amp;TEXT(AN737,"0.00")&amp;"_"&amp;
"pH"&amp;TEXT(AR737,"0.00")&amp;"_"&amp;
"T"&amp;TEXT(BC737,"0.##")</f>
        <v>89_Diadema_africanum_EMBRYO_CO2574.00_pH8.06_T23.</v>
      </c>
      <c r="D737" s="11">
        <v>89</v>
      </c>
      <c r="E737" s="11"/>
      <c r="F737" s="11"/>
      <c r="G737" s="11" t="s">
        <v>43</v>
      </c>
      <c r="H737" s="11" t="s">
        <v>739</v>
      </c>
      <c r="I737" s="11" t="s">
        <v>1130</v>
      </c>
      <c r="J737" s="11">
        <v>2018</v>
      </c>
      <c r="K737" s="11"/>
      <c r="L737" s="11"/>
      <c r="M737" s="11" t="s">
        <v>740</v>
      </c>
      <c r="N737" s="11"/>
      <c r="O737" s="11"/>
      <c r="P737" s="11"/>
      <c r="Q737" s="11"/>
      <c r="R737" s="11"/>
      <c r="S737" s="11"/>
      <c r="T737" s="11" t="s">
        <v>46</v>
      </c>
      <c r="U737" s="11" t="s">
        <v>570</v>
      </c>
      <c r="V737" s="11" t="s">
        <v>742</v>
      </c>
      <c r="W737" s="11" t="str">
        <f>IF(ISNUMBER(MATCH(#REF!,{"Doryteuthis pealeii","Loligo vulgaris","Leptuca thayeri","Stylocheilus striatus","Ophryotrocha labronica"},0)),"N","Y")</f>
        <v>Y</v>
      </c>
      <c r="X737" s="11"/>
      <c r="Y737" s="11"/>
      <c r="Z737" s="11" t="s">
        <v>177</v>
      </c>
      <c r="AA737" s="11" t="s">
        <v>177</v>
      </c>
      <c r="AB737" s="11" t="s">
        <v>71</v>
      </c>
      <c r="AC737" s="11" t="s">
        <v>195</v>
      </c>
      <c r="AD737" s="11" t="s">
        <v>52</v>
      </c>
      <c r="AE737" s="11" t="s">
        <v>53</v>
      </c>
      <c r="AF737" s="11" t="s">
        <v>52</v>
      </c>
      <c r="AG737" s="11" t="s">
        <v>54</v>
      </c>
      <c r="AH737" s="11" t="s">
        <v>55</v>
      </c>
      <c r="AI737" s="11"/>
      <c r="AJ737" s="11"/>
      <c r="AK737" s="11">
        <v>3</v>
      </c>
      <c r="AL737" s="11">
        <v>3</v>
      </c>
      <c r="AM737" s="11"/>
      <c r="AN737" s="11">
        <v>574</v>
      </c>
      <c r="AO737" s="11" t="s">
        <v>56</v>
      </c>
      <c r="AP737" s="11" t="s">
        <v>56</v>
      </c>
      <c r="AQ737" s="11" t="s">
        <v>56</v>
      </c>
      <c r="AR737" s="11">
        <v>8.06</v>
      </c>
      <c r="AS737" s="11" t="s">
        <v>56</v>
      </c>
      <c r="AT737" s="11">
        <v>0.03</v>
      </c>
      <c r="AU737" s="11">
        <v>2416</v>
      </c>
      <c r="AV737" s="11" t="s">
        <v>56</v>
      </c>
      <c r="AW737" s="11" t="s">
        <v>56</v>
      </c>
      <c r="AX737" s="11">
        <v>7.44</v>
      </c>
      <c r="AY737" s="11" t="s">
        <v>56</v>
      </c>
      <c r="AZ737" s="11">
        <v>0.03</v>
      </c>
      <c r="BA737" s="11"/>
      <c r="BB737" s="11">
        <f>LOG(AU737)</f>
        <v>3.3830969299490943</v>
      </c>
      <c r="BC737" s="11">
        <v>23</v>
      </c>
      <c r="BD737" s="11" t="s">
        <v>56</v>
      </c>
      <c r="BE737" s="11">
        <v>0.2</v>
      </c>
      <c r="BF737" s="11">
        <v>23</v>
      </c>
      <c r="BG737" s="11" t="s">
        <v>56</v>
      </c>
      <c r="BH737" s="11">
        <v>0.1</v>
      </c>
      <c r="BI737" s="11">
        <v>1842</v>
      </c>
      <c r="BJ737" s="11">
        <v>0</v>
      </c>
      <c r="BK737" s="11" t="s">
        <v>56</v>
      </c>
      <c r="BL737" s="11" t="s">
        <v>473</v>
      </c>
      <c r="BM737" s="11" t="s">
        <v>473</v>
      </c>
      <c r="BN737" s="11" t="s">
        <v>81</v>
      </c>
      <c r="BO737" s="11" t="s">
        <v>82</v>
      </c>
      <c r="BP737" s="11" t="s">
        <v>190</v>
      </c>
      <c r="BQ737" s="11"/>
      <c r="BR737" s="11" t="s">
        <v>84</v>
      </c>
      <c r="BS737" s="11"/>
      <c r="BT737" s="11">
        <v>15.97</v>
      </c>
      <c r="BU737" s="11">
        <v>15.972222199999999</v>
      </c>
      <c r="BV737" s="11">
        <v>0.72</v>
      </c>
      <c r="BW737" s="11">
        <f>BV737*SQRT(AK737)</f>
        <v>1.2470765814495914</v>
      </c>
      <c r="BX737" s="11">
        <v>0.97</v>
      </c>
      <c r="BY737" s="11">
        <v>0.97222220000000004</v>
      </c>
      <c r="BZ737" s="11">
        <v>0.32</v>
      </c>
      <c r="CA737" s="11">
        <f>BZ737*SQRT(AL737)</f>
        <v>0.55425625842204074</v>
      </c>
      <c r="CB737" s="11">
        <v>0</v>
      </c>
      <c r="CC737" s="11">
        <v>12</v>
      </c>
      <c r="CD737" s="11">
        <v>-2.7989999999999999</v>
      </c>
      <c r="CE737" s="11">
        <v>0.1109</v>
      </c>
      <c r="CF737" s="11"/>
    </row>
    <row r="738" spans="1:84" s="8" customFormat="1" hidden="1" x14ac:dyDescent="0.2">
      <c r="A738" s="11"/>
      <c r="B738" s="11" t="str">
        <f>ROW()-1&amp;"_AltersInvert"</f>
        <v>737_AltersInvert</v>
      </c>
      <c r="C738" s="11" t="str">
        <f>D738&amp;"_"&amp;
SUBSTITUTE(TRIM(V738)," ","_")&amp;"_"&amp;
TRIM(AC738)&amp;"_"&amp;
"CO2"&amp;TEXT(AN738,"0.00")&amp;"_"&amp;
"pH"&amp;TEXT(AR738,"0.00")&amp;"_"&amp;
"T"&amp;TEXT(BC738,"0.##")</f>
        <v>89_Diadema_africanum_EMBRYO_CO2574.00_pH8.06_T23.</v>
      </c>
      <c r="D738" s="11">
        <v>89</v>
      </c>
      <c r="E738" s="11"/>
      <c r="F738" s="11"/>
      <c r="G738" s="11" t="s">
        <v>43</v>
      </c>
      <c r="H738" s="11" t="s">
        <v>739</v>
      </c>
      <c r="I738" s="11" t="s">
        <v>1130</v>
      </c>
      <c r="J738" s="11">
        <v>2018</v>
      </c>
      <c r="K738" s="11"/>
      <c r="L738" s="11"/>
      <c r="M738" s="11" t="s">
        <v>740</v>
      </c>
      <c r="N738" s="11"/>
      <c r="O738" s="11"/>
      <c r="P738" s="11"/>
      <c r="Q738" s="11"/>
      <c r="R738" s="11"/>
      <c r="S738" s="11"/>
      <c r="T738" s="11" t="s">
        <v>46</v>
      </c>
      <c r="U738" s="11" t="s">
        <v>570</v>
      </c>
      <c r="V738" s="11" t="s">
        <v>742</v>
      </c>
      <c r="W738" s="11" t="str">
        <f>IF(ISNUMBER(MATCH(#REF!,{"Doryteuthis pealeii","Loligo vulgaris","Leptuca thayeri","Stylocheilus striatus","Ophryotrocha labronica"},0)),"N","Y")</f>
        <v>Y</v>
      </c>
      <c r="X738" s="11"/>
      <c r="Y738" s="11"/>
      <c r="Z738" s="11" t="s">
        <v>177</v>
      </c>
      <c r="AA738" s="11" t="s">
        <v>177</v>
      </c>
      <c r="AB738" s="11" t="s">
        <v>71</v>
      </c>
      <c r="AC738" s="11" t="s">
        <v>195</v>
      </c>
      <c r="AD738" s="11" t="s">
        <v>52</v>
      </c>
      <c r="AE738" s="11" t="s">
        <v>53</v>
      </c>
      <c r="AF738" s="11" t="s">
        <v>52</v>
      </c>
      <c r="AG738" s="11" t="s">
        <v>54</v>
      </c>
      <c r="AH738" s="11" t="s">
        <v>55</v>
      </c>
      <c r="AI738" s="11"/>
      <c r="AJ738" s="11"/>
      <c r="AK738" s="11">
        <v>3</v>
      </c>
      <c r="AL738" s="11">
        <v>3</v>
      </c>
      <c r="AM738" s="11"/>
      <c r="AN738" s="11">
        <v>574</v>
      </c>
      <c r="AO738" s="11" t="s">
        <v>56</v>
      </c>
      <c r="AP738" s="11" t="s">
        <v>56</v>
      </c>
      <c r="AQ738" s="11" t="s">
        <v>56</v>
      </c>
      <c r="AR738" s="11">
        <v>8.06</v>
      </c>
      <c r="AS738" s="11" t="s">
        <v>56</v>
      </c>
      <c r="AT738" s="11">
        <v>0.03</v>
      </c>
      <c r="AU738" s="11">
        <v>1203</v>
      </c>
      <c r="AV738" s="11" t="s">
        <v>56</v>
      </c>
      <c r="AW738" s="11" t="s">
        <v>56</v>
      </c>
      <c r="AX738" s="11">
        <v>7.74</v>
      </c>
      <c r="AY738" s="11" t="s">
        <v>56</v>
      </c>
      <c r="AZ738" s="11">
        <v>0.02</v>
      </c>
      <c r="BA738" s="11"/>
      <c r="BB738" s="11">
        <f>LOG(AU738)</f>
        <v>3.0802656273398448</v>
      </c>
      <c r="BC738" s="11">
        <v>23</v>
      </c>
      <c r="BD738" s="11" t="s">
        <v>56</v>
      </c>
      <c r="BE738" s="11">
        <v>0.2</v>
      </c>
      <c r="BF738" s="11">
        <v>23.1</v>
      </c>
      <c r="BG738" s="11" t="s">
        <v>56</v>
      </c>
      <c r="BH738" s="11">
        <v>0.2</v>
      </c>
      <c r="BI738" s="11">
        <v>629</v>
      </c>
      <c r="BJ738" s="11">
        <v>0</v>
      </c>
      <c r="BK738" s="11" t="s">
        <v>56</v>
      </c>
      <c r="BL738" s="11" t="s">
        <v>473</v>
      </c>
      <c r="BM738" s="11" t="s">
        <v>473</v>
      </c>
      <c r="BN738" s="11" t="s">
        <v>81</v>
      </c>
      <c r="BO738" s="11" t="s">
        <v>82</v>
      </c>
      <c r="BP738" s="11" t="s">
        <v>190</v>
      </c>
      <c r="BQ738" s="11"/>
      <c r="BR738" s="11" t="s">
        <v>84</v>
      </c>
      <c r="BS738" s="11"/>
      <c r="BT738" s="11">
        <v>15.97</v>
      </c>
      <c r="BU738" s="11">
        <v>15.972222199999999</v>
      </c>
      <c r="BV738" s="11">
        <v>0.72</v>
      </c>
      <c r="BW738" s="11">
        <f>BV738*SQRT(AK738)</f>
        <v>1.2470765814495914</v>
      </c>
      <c r="BX738" s="11">
        <v>1.94</v>
      </c>
      <c r="BY738" s="11">
        <v>1.9444444000000001</v>
      </c>
      <c r="BZ738" s="11">
        <v>0.56000000000000005</v>
      </c>
      <c r="CA738" s="11">
        <f>BZ738*SQRT(AL738)</f>
        <v>0.96994845223857129</v>
      </c>
      <c r="CB738" s="11">
        <v>0</v>
      </c>
      <c r="CC738" s="11">
        <v>12</v>
      </c>
      <c r="CD738" s="11">
        <v>-2.1059999999999999</v>
      </c>
      <c r="CE738" s="11">
        <v>8.5400000000000004E-2</v>
      </c>
      <c r="CF738" s="11"/>
    </row>
    <row r="739" spans="1:84" s="8" customFormat="1" hidden="1" x14ac:dyDescent="0.2">
      <c r="B739" t="str">
        <f>ROW()-1&amp;"_AltersInvert"</f>
        <v>738_AltersInvert</v>
      </c>
      <c r="C739" t="str">
        <f>D739&amp;"_"&amp;
SUBSTITUTE(TRIM(V739)," ","_")&amp;"_"&amp;
TRIM(AC739)&amp;"_"&amp;
"CO2"&amp;TEXT(AN739,"0.00")&amp;"_"&amp;
"pH"&amp;TEXT(AR739,"0.00")&amp;"_"&amp;
"T"&amp;TEXT(BC739,"0.##")</f>
        <v>89_Diadema_africanum_EMBRYO_CO2574.00_pH8.06_T23.</v>
      </c>
      <c r="D739" s="8">
        <v>89</v>
      </c>
      <c r="G739" s="8" t="s">
        <v>43</v>
      </c>
      <c r="H739" s="8" t="s">
        <v>739</v>
      </c>
      <c r="I739" s="8" t="s">
        <v>1130</v>
      </c>
      <c r="J739" s="8">
        <v>2018</v>
      </c>
      <c r="M739" s="8" t="s">
        <v>740</v>
      </c>
      <c r="P739" t="s">
        <v>1135</v>
      </c>
      <c r="R739" s="8" t="s">
        <v>1127</v>
      </c>
      <c r="S739" t="s">
        <v>1128</v>
      </c>
      <c r="T739" s="8" t="s">
        <v>46</v>
      </c>
      <c r="U739" s="8" t="s">
        <v>570</v>
      </c>
      <c r="V739" s="8" t="s">
        <v>742</v>
      </c>
      <c r="W739" s="8" t="str">
        <f>IF(ISNUMBER(MATCH(V133,{"Doryteuthis pealeii","Loligo vulgaris","Leptuca thayeri","Stylocheilus striatus","Ophryotrocha labronica"},0)),"N","Y")</f>
        <v>Y</v>
      </c>
      <c r="Z739" s="8" t="s">
        <v>177</v>
      </c>
      <c r="AA739" s="8" t="s">
        <v>177</v>
      </c>
      <c r="AB739" s="8" t="s">
        <v>71</v>
      </c>
      <c r="AC739" s="8" t="s">
        <v>195</v>
      </c>
      <c r="AD739" s="8" t="s">
        <v>52</v>
      </c>
      <c r="AE739" s="8" t="s">
        <v>53</v>
      </c>
      <c r="AF739" s="8" t="s">
        <v>54</v>
      </c>
      <c r="AG739" s="8" t="s">
        <v>52</v>
      </c>
      <c r="AH739" s="8" t="s">
        <v>65</v>
      </c>
      <c r="AK739" s="8">
        <v>3</v>
      </c>
      <c r="AL739" s="8">
        <v>3</v>
      </c>
      <c r="AN739" s="8">
        <v>574</v>
      </c>
      <c r="AO739" s="8" t="s">
        <v>56</v>
      </c>
      <c r="AP739" s="8" t="s">
        <v>56</v>
      </c>
      <c r="AQ739" s="8" t="s">
        <v>56</v>
      </c>
      <c r="AR739" s="8">
        <v>8.06</v>
      </c>
      <c r="AS739" s="8" t="s">
        <v>56</v>
      </c>
      <c r="AT739" s="8">
        <v>0.03</v>
      </c>
      <c r="AU739" s="8">
        <v>580</v>
      </c>
      <c r="AV739" t="s">
        <v>56</v>
      </c>
      <c r="AW739" t="s">
        <v>56</v>
      </c>
      <c r="AX739">
        <v>8.07</v>
      </c>
      <c r="AY739" t="s">
        <v>56</v>
      </c>
      <c r="AZ739">
        <v>0.05</v>
      </c>
      <c r="BB739" s="8">
        <f>LOG(AU739)</f>
        <v>2.7634279935629373</v>
      </c>
      <c r="BC739" s="8">
        <v>23</v>
      </c>
      <c r="BD739" s="8" t="s">
        <v>56</v>
      </c>
      <c r="BE739" s="8">
        <v>0.2</v>
      </c>
      <c r="BF739" s="8">
        <v>25.1</v>
      </c>
      <c r="BG739" s="8" t="s">
        <v>56</v>
      </c>
      <c r="BH739" s="8">
        <v>0.1</v>
      </c>
      <c r="BI739" s="8">
        <v>6</v>
      </c>
      <c r="BJ739" s="8">
        <v>2.1</v>
      </c>
      <c r="BK739" s="8" t="s">
        <v>56</v>
      </c>
      <c r="BL739" s="8" t="s">
        <v>473</v>
      </c>
      <c r="BM739" s="8" t="s">
        <v>473</v>
      </c>
      <c r="BN739" s="8" t="s">
        <v>81</v>
      </c>
      <c r="BO739" s="8" t="s">
        <v>82</v>
      </c>
      <c r="BP739" s="8" t="s">
        <v>190</v>
      </c>
      <c r="BQ739" s="8" t="s">
        <v>190</v>
      </c>
      <c r="BR739" s="8" t="s">
        <v>84</v>
      </c>
      <c r="BT739" s="8">
        <v>15.97</v>
      </c>
      <c r="BU739" s="8">
        <v>15.972222199999999</v>
      </c>
      <c r="BV739" s="8">
        <v>0.72</v>
      </c>
      <c r="BW739" s="8">
        <f>BV739*SQRT(AK739)</f>
        <v>1.2470765814495914</v>
      </c>
      <c r="BX739" s="8">
        <v>19.309999999999999</v>
      </c>
      <c r="BY739" s="8">
        <v>19.305555600000002</v>
      </c>
      <c r="BZ739" s="8">
        <v>0.72</v>
      </c>
      <c r="CA739" s="8">
        <f>BZ739*SQRT(AL739)</f>
        <v>1.2470765814495914</v>
      </c>
      <c r="CB739" s="8">
        <v>0</v>
      </c>
      <c r="CC739" s="8">
        <v>12</v>
      </c>
      <c r="CD739" s="8">
        <v>0.19</v>
      </c>
      <c r="CE739" s="8">
        <v>3.3999999999999998E-3</v>
      </c>
      <c r="CF739" s="8" t="s">
        <v>1134</v>
      </c>
    </row>
    <row r="740" spans="1:84" hidden="1" x14ac:dyDescent="0.2">
      <c r="D740">
        <v>50</v>
      </c>
      <c r="G740" t="s">
        <v>43</v>
      </c>
      <c r="H740" t="s">
        <v>520</v>
      </c>
      <c r="J740">
        <v>2015</v>
      </c>
      <c r="M740" t="s">
        <v>436</v>
      </c>
      <c r="T740" t="s">
        <v>103</v>
      </c>
      <c r="U740" t="s">
        <v>228</v>
      </c>
      <c r="V740" t="s">
        <v>521</v>
      </c>
      <c r="Z740" t="s">
        <v>106</v>
      </c>
      <c r="AA740" t="s">
        <v>107</v>
      </c>
      <c r="AB740" t="s">
        <v>50</v>
      </c>
      <c r="AC740" t="s">
        <v>51</v>
      </c>
      <c r="AD740" t="s">
        <v>54</v>
      </c>
      <c r="AE740" t="s">
        <v>53</v>
      </c>
      <c r="AF740" t="s">
        <v>54</v>
      </c>
      <c r="AG740" t="s">
        <v>52</v>
      </c>
      <c r="AH740" t="s">
        <v>65</v>
      </c>
      <c r="AK740">
        <v>10</v>
      </c>
      <c r="AL740">
        <v>10</v>
      </c>
      <c r="AN740">
        <v>380</v>
      </c>
      <c r="AO740" t="s">
        <v>56</v>
      </c>
      <c r="AP740">
        <v>36</v>
      </c>
      <c r="AQ740" t="s">
        <v>56</v>
      </c>
      <c r="AR740">
        <v>8.07</v>
      </c>
      <c r="AS740" t="s">
        <v>56</v>
      </c>
      <c r="AT740">
        <v>0.04</v>
      </c>
      <c r="AU740">
        <v>393</v>
      </c>
      <c r="AV740" t="s">
        <v>56</v>
      </c>
      <c r="AW740">
        <v>52</v>
      </c>
      <c r="AX740">
        <v>8.06</v>
      </c>
      <c r="AY740" t="s">
        <v>56</v>
      </c>
      <c r="AZ740">
        <v>0.05</v>
      </c>
      <c r="BB740">
        <f>LOG(AU740)</f>
        <v>2.5943925503754266</v>
      </c>
      <c r="BC740">
        <v>26.2</v>
      </c>
      <c r="BD740" t="s">
        <v>56</v>
      </c>
      <c r="BE740">
        <v>0.2</v>
      </c>
      <c r="BF740">
        <v>30.2</v>
      </c>
      <c r="BG740" t="s">
        <v>56</v>
      </c>
      <c r="BH740">
        <v>0.2</v>
      </c>
      <c r="BI740">
        <v>13</v>
      </c>
      <c r="BJ740">
        <v>4</v>
      </c>
      <c r="BK740" t="s">
        <v>522</v>
      </c>
      <c r="BL740" t="s">
        <v>523</v>
      </c>
      <c r="BM740" t="s">
        <v>192</v>
      </c>
      <c r="BN740" t="s">
        <v>60</v>
      </c>
      <c r="BO740" t="s">
        <v>524</v>
      </c>
      <c r="BP740" t="s">
        <v>194</v>
      </c>
      <c r="BR740" t="s">
        <v>63</v>
      </c>
      <c r="BT740">
        <v>0.91</v>
      </c>
      <c r="BU740">
        <v>0.91210800000000003</v>
      </c>
      <c r="BV740">
        <v>0.06</v>
      </c>
      <c r="BW740">
        <f>BV740*SQRT(AK740)</f>
        <v>0.18973665961010278</v>
      </c>
      <c r="BX740">
        <v>0.72</v>
      </c>
      <c r="BY740">
        <v>0.71838599999999997</v>
      </c>
      <c r="BZ740">
        <v>0.05</v>
      </c>
      <c r="CA740">
        <f>BZ740*SQRT(AL740)</f>
        <v>0.158113883008419</v>
      </c>
      <c r="CB740">
        <v>56</v>
      </c>
      <c r="CC740">
        <v>1</v>
      </c>
      <c r="CD740">
        <v>-0.23899999999999999</v>
      </c>
      <c r="CE740">
        <v>1.0200000000000001E-2</v>
      </c>
    </row>
    <row r="741" spans="1:84" hidden="1" x14ac:dyDescent="0.2">
      <c r="D741">
        <v>50</v>
      </c>
      <c r="G741" t="s">
        <v>43</v>
      </c>
      <c r="H741" t="s">
        <v>520</v>
      </c>
      <c r="J741">
        <v>2015</v>
      </c>
      <c r="M741" t="s">
        <v>436</v>
      </c>
      <c r="T741" t="s">
        <v>103</v>
      </c>
      <c r="U741" t="s">
        <v>228</v>
      </c>
      <c r="V741" t="s">
        <v>521</v>
      </c>
      <c r="Z741" t="s">
        <v>106</v>
      </c>
      <c r="AA741" t="s">
        <v>107</v>
      </c>
      <c r="AB741" t="s">
        <v>50</v>
      </c>
      <c r="AC741" t="s">
        <v>51</v>
      </c>
      <c r="AD741" t="s">
        <v>54</v>
      </c>
      <c r="AE741" t="s">
        <v>53</v>
      </c>
      <c r="AF741" t="s">
        <v>54</v>
      </c>
      <c r="AG741" t="s">
        <v>52</v>
      </c>
      <c r="AH741" t="s">
        <v>65</v>
      </c>
      <c r="AK741">
        <v>10</v>
      </c>
      <c r="AL741">
        <v>10</v>
      </c>
      <c r="AN741">
        <v>380</v>
      </c>
      <c r="AO741" t="s">
        <v>56</v>
      </c>
      <c r="AP741">
        <v>36</v>
      </c>
      <c r="AQ741" t="s">
        <v>56</v>
      </c>
      <c r="AR741">
        <v>8.07</v>
      </c>
      <c r="AS741" t="s">
        <v>56</v>
      </c>
      <c r="AT741">
        <v>0.04</v>
      </c>
      <c r="AU741">
        <v>393</v>
      </c>
      <c r="AV741" t="s">
        <v>56</v>
      </c>
      <c r="AW741">
        <v>52</v>
      </c>
      <c r="AX741">
        <v>8.06</v>
      </c>
      <c r="AY741" t="s">
        <v>56</v>
      </c>
      <c r="AZ741">
        <v>0.05</v>
      </c>
      <c r="BB741">
        <f>LOG(AU741)</f>
        <v>2.5943925503754266</v>
      </c>
      <c r="BC741">
        <v>26.2</v>
      </c>
      <c r="BD741" t="s">
        <v>56</v>
      </c>
      <c r="BE741">
        <v>0.2</v>
      </c>
      <c r="BF741">
        <v>30.2</v>
      </c>
      <c r="BG741" t="s">
        <v>56</v>
      </c>
      <c r="BH741">
        <v>0.2</v>
      </c>
      <c r="BI741">
        <v>13</v>
      </c>
      <c r="BJ741">
        <v>4</v>
      </c>
      <c r="BK741" t="s">
        <v>56</v>
      </c>
      <c r="BL741" t="s">
        <v>525</v>
      </c>
      <c r="BM741" t="s">
        <v>75</v>
      </c>
      <c r="BN741" t="s">
        <v>60</v>
      </c>
      <c r="BO741" t="s">
        <v>524</v>
      </c>
      <c r="BP741" t="s">
        <v>77</v>
      </c>
      <c r="BR741" t="s">
        <v>63</v>
      </c>
      <c r="BT741">
        <v>0.97</v>
      </c>
      <c r="BU741">
        <v>0.96894400000000003</v>
      </c>
      <c r="BV741">
        <v>0.18</v>
      </c>
      <c r="BW741">
        <f>BV741*SQRT(AK741)</f>
        <v>0.56920997883030833</v>
      </c>
      <c r="BX741">
        <v>0.87</v>
      </c>
      <c r="BY741">
        <v>0.87204970000000004</v>
      </c>
      <c r="BZ741">
        <v>0.16</v>
      </c>
      <c r="CA741">
        <f>BZ741*SQRT(AL741)</f>
        <v>0.50596442562694077</v>
      </c>
      <c r="CB741">
        <v>56</v>
      </c>
      <c r="CC741">
        <v>1</v>
      </c>
      <c r="CD741">
        <v>-0.105</v>
      </c>
      <c r="CE741">
        <v>6.93E-2</v>
      </c>
    </row>
    <row r="742" spans="1:84" hidden="1" x14ac:dyDescent="0.2">
      <c r="D742">
        <v>50</v>
      </c>
      <c r="G742" t="s">
        <v>43</v>
      </c>
      <c r="H742" t="s">
        <v>520</v>
      </c>
      <c r="J742">
        <v>2015</v>
      </c>
      <c r="M742" t="s">
        <v>436</v>
      </c>
      <c r="T742" t="s">
        <v>103</v>
      </c>
      <c r="U742" t="s">
        <v>228</v>
      </c>
      <c r="V742" t="s">
        <v>521</v>
      </c>
      <c r="Z742" t="s">
        <v>106</v>
      </c>
      <c r="AA742" t="s">
        <v>107</v>
      </c>
      <c r="AB742" t="s">
        <v>50</v>
      </c>
      <c r="AC742" t="s">
        <v>51</v>
      </c>
      <c r="AD742" t="s">
        <v>54</v>
      </c>
      <c r="AE742" t="s">
        <v>53</v>
      </c>
      <c r="AF742" t="s">
        <v>52</v>
      </c>
      <c r="AG742" t="s">
        <v>52</v>
      </c>
      <c r="AH742" t="s">
        <v>64</v>
      </c>
      <c r="AK742">
        <v>10</v>
      </c>
      <c r="AL742">
        <v>10</v>
      </c>
      <c r="AN742">
        <v>380</v>
      </c>
      <c r="AO742" t="s">
        <v>56</v>
      </c>
      <c r="AP742">
        <v>36</v>
      </c>
      <c r="AQ742" t="s">
        <v>56</v>
      </c>
      <c r="AR742">
        <v>8.07</v>
      </c>
      <c r="AS742" t="s">
        <v>56</v>
      </c>
      <c r="AT742">
        <v>0.04</v>
      </c>
      <c r="AU742">
        <v>823</v>
      </c>
      <c r="AV742" t="s">
        <v>56</v>
      </c>
      <c r="AW742">
        <v>85</v>
      </c>
      <c r="AX742">
        <v>7.8</v>
      </c>
      <c r="AY742" t="s">
        <v>56</v>
      </c>
      <c r="AZ742">
        <v>0.05</v>
      </c>
      <c r="BB742">
        <f>LOG(AU742)</f>
        <v>2.9153998352122699</v>
      </c>
      <c r="BC742">
        <v>26.2</v>
      </c>
      <c r="BD742" t="s">
        <v>56</v>
      </c>
      <c r="BE742">
        <v>0.2</v>
      </c>
      <c r="BF742">
        <v>30</v>
      </c>
      <c r="BG742" t="s">
        <v>56</v>
      </c>
      <c r="BH742">
        <v>0.2</v>
      </c>
      <c r="BI742">
        <v>443</v>
      </c>
      <c r="BJ742">
        <v>3.8</v>
      </c>
      <c r="BK742" t="s">
        <v>522</v>
      </c>
      <c r="BL742" t="s">
        <v>262</v>
      </c>
      <c r="BM742" t="s">
        <v>262</v>
      </c>
      <c r="BN742" t="s">
        <v>81</v>
      </c>
      <c r="BO742" t="s">
        <v>526</v>
      </c>
      <c r="BP742" t="s">
        <v>92</v>
      </c>
      <c r="BR742" t="s">
        <v>63</v>
      </c>
      <c r="BT742">
        <v>1.3</v>
      </c>
      <c r="BU742">
        <v>1.2986409999999999</v>
      </c>
      <c r="BV742">
        <v>0.1</v>
      </c>
      <c r="BW742">
        <f>BV742*SQRT(AK742)</f>
        <v>0.316227766016838</v>
      </c>
      <c r="BX742">
        <v>1.21</v>
      </c>
      <c r="BY742">
        <v>1.2116505</v>
      </c>
      <c r="BZ742">
        <v>0.09</v>
      </c>
      <c r="CA742">
        <f>BZ742*SQRT(AL742)</f>
        <v>0.28460498941515416</v>
      </c>
      <c r="CB742">
        <v>56</v>
      </c>
      <c r="CC742">
        <v>1</v>
      </c>
      <c r="CD742">
        <v>-6.9000000000000006E-2</v>
      </c>
      <c r="CE742">
        <v>1.18E-2</v>
      </c>
    </row>
    <row r="743" spans="1:84" hidden="1" x14ac:dyDescent="0.2">
      <c r="D743">
        <v>50</v>
      </c>
      <c r="G743" t="s">
        <v>43</v>
      </c>
      <c r="H743" t="s">
        <v>520</v>
      </c>
      <c r="J743">
        <v>2015</v>
      </c>
      <c r="M743" t="s">
        <v>436</v>
      </c>
      <c r="T743" t="s">
        <v>103</v>
      </c>
      <c r="U743" t="s">
        <v>228</v>
      </c>
      <c r="V743" t="s">
        <v>521</v>
      </c>
      <c r="Z743" t="s">
        <v>106</v>
      </c>
      <c r="AA743" t="s">
        <v>107</v>
      </c>
      <c r="AB743" t="s">
        <v>50</v>
      </c>
      <c r="AC743" t="s">
        <v>51</v>
      </c>
      <c r="AD743" t="s">
        <v>54</v>
      </c>
      <c r="AE743" t="s">
        <v>53</v>
      </c>
      <c r="AF743" t="s">
        <v>54</v>
      </c>
      <c r="AG743" t="s">
        <v>52</v>
      </c>
      <c r="AH743" t="s">
        <v>65</v>
      </c>
      <c r="AK743">
        <v>10</v>
      </c>
      <c r="AL743">
        <v>10</v>
      </c>
      <c r="AN743">
        <v>380</v>
      </c>
      <c r="AO743" t="s">
        <v>56</v>
      </c>
      <c r="AP743">
        <v>36</v>
      </c>
      <c r="AQ743" t="s">
        <v>56</v>
      </c>
      <c r="AR743">
        <v>8.07</v>
      </c>
      <c r="AS743" t="s">
        <v>56</v>
      </c>
      <c r="AT743">
        <v>0.04</v>
      </c>
      <c r="AU743">
        <v>393</v>
      </c>
      <c r="AV743" t="s">
        <v>56</v>
      </c>
      <c r="AW743">
        <v>52</v>
      </c>
      <c r="AX743">
        <v>8.06</v>
      </c>
      <c r="AY743" t="s">
        <v>56</v>
      </c>
      <c r="AZ743">
        <v>0.05</v>
      </c>
      <c r="BB743">
        <f>LOG(AU743)</f>
        <v>2.5943925503754266</v>
      </c>
      <c r="BC743">
        <v>26.2</v>
      </c>
      <c r="BD743" t="s">
        <v>56</v>
      </c>
      <c r="BE743">
        <v>0.2</v>
      </c>
      <c r="BF743">
        <v>30.2</v>
      </c>
      <c r="BG743" t="s">
        <v>56</v>
      </c>
      <c r="BH743">
        <v>0.2</v>
      </c>
      <c r="BI743">
        <v>13</v>
      </c>
      <c r="BJ743">
        <v>4</v>
      </c>
      <c r="BK743" t="s">
        <v>522</v>
      </c>
      <c r="BL743" t="s">
        <v>262</v>
      </c>
      <c r="BM743" t="s">
        <v>262</v>
      </c>
      <c r="BN743" t="s">
        <v>81</v>
      </c>
      <c r="BO743" t="s">
        <v>526</v>
      </c>
      <c r="BP743" t="s">
        <v>92</v>
      </c>
      <c r="BR743" t="s">
        <v>63</v>
      </c>
      <c r="BT743">
        <v>1.3</v>
      </c>
      <c r="BU743">
        <v>1.2986409999999999</v>
      </c>
      <c r="BV743">
        <v>0.1</v>
      </c>
      <c r="BW743">
        <f>BV743*SQRT(AK743)</f>
        <v>0.316227766016838</v>
      </c>
      <c r="BX743">
        <v>1.33</v>
      </c>
      <c r="BY743">
        <v>1.3328154999999999</v>
      </c>
      <c r="BZ743">
        <v>0.09</v>
      </c>
      <c r="CA743">
        <f>BZ743*SQRT(AL743)</f>
        <v>0.28460498941515416</v>
      </c>
      <c r="CB743">
        <v>56</v>
      </c>
      <c r="CC743">
        <v>1</v>
      </c>
      <c r="CD743">
        <v>2.5999999999999999E-2</v>
      </c>
      <c r="CE743">
        <v>1.0800000000000001E-2</v>
      </c>
    </row>
    <row r="744" spans="1:84" hidden="1" x14ac:dyDescent="0.2">
      <c r="D744">
        <v>50</v>
      </c>
      <c r="G744" t="s">
        <v>43</v>
      </c>
      <c r="H744" t="s">
        <v>520</v>
      </c>
      <c r="J744">
        <v>2015</v>
      </c>
      <c r="M744" t="s">
        <v>436</v>
      </c>
      <c r="T744" t="s">
        <v>103</v>
      </c>
      <c r="U744" t="s">
        <v>228</v>
      </c>
      <c r="V744" t="s">
        <v>521</v>
      </c>
      <c r="Z744" t="s">
        <v>106</v>
      </c>
      <c r="AA744" t="s">
        <v>107</v>
      </c>
      <c r="AB744" t="s">
        <v>50</v>
      </c>
      <c r="AC744" t="s">
        <v>51</v>
      </c>
      <c r="AD744" t="s">
        <v>54</v>
      </c>
      <c r="AE744" t="s">
        <v>53</v>
      </c>
      <c r="AF744" t="s">
        <v>52</v>
      </c>
      <c r="AG744" t="s">
        <v>54</v>
      </c>
      <c r="AH744" t="s">
        <v>55</v>
      </c>
      <c r="AK744">
        <v>10</v>
      </c>
      <c r="AL744">
        <v>10</v>
      </c>
      <c r="AN744">
        <v>380</v>
      </c>
      <c r="AO744" t="s">
        <v>56</v>
      </c>
      <c r="AP744">
        <v>36</v>
      </c>
      <c r="AQ744" t="s">
        <v>56</v>
      </c>
      <c r="AR744">
        <v>8.07</v>
      </c>
      <c r="AS744" t="s">
        <v>56</v>
      </c>
      <c r="AT744">
        <v>0.04</v>
      </c>
      <c r="AU744">
        <v>789</v>
      </c>
      <c r="AV744" t="s">
        <v>56</v>
      </c>
      <c r="AW744">
        <v>80</v>
      </c>
      <c r="AX744">
        <v>7.81</v>
      </c>
      <c r="AY744" t="s">
        <v>56</v>
      </c>
      <c r="AZ744">
        <v>0.04</v>
      </c>
      <c r="BB744">
        <f>LOG(AU744)</f>
        <v>2.8970770032094202</v>
      </c>
      <c r="BC744">
        <v>26.2</v>
      </c>
      <c r="BD744" t="s">
        <v>56</v>
      </c>
      <c r="BE744">
        <v>0.2</v>
      </c>
      <c r="BF744">
        <v>26.1</v>
      </c>
      <c r="BG744" t="s">
        <v>56</v>
      </c>
      <c r="BH744">
        <v>0.1</v>
      </c>
      <c r="BI744">
        <v>409</v>
      </c>
      <c r="BJ744">
        <v>-0.1</v>
      </c>
      <c r="BK744" t="s">
        <v>522</v>
      </c>
      <c r="BL744" t="s">
        <v>262</v>
      </c>
      <c r="BM744" t="s">
        <v>262</v>
      </c>
      <c r="BN744" t="s">
        <v>81</v>
      </c>
      <c r="BO744" t="s">
        <v>526</v>
      </c>
      <c r="BP744" t="s">
        <v>92</v>
      </c>
      <c r="BR744" t="s">
        <v>63</v>
      </c>
      <c r="BT744">
        <v>1.3</v>
      </c>
      <c r="BU744">
        <v>1.2986409999999999</v>
      </c>
      <c r="BV744">
        <v>0.1</v>
      </c>
      <c r="BW744">
        <f>BV744*SQRT(AK744)</f>
        <v>0.316227766016838</v>
      </c>
      <c r="BX744">
        <v>1.41</v>
      </c>
      <c r="BY744">
        <v>1.4135922000000001</v>
      </c>
      <c r="BZ744">
        <v>0.09</v>
      </c>
      <c r="CA744">
        <f>BZ744*SQRT(AL744)</f>
        <v>0.28460498941515416</v>
      </c>
      <c r="CB744">
        <v>56</v>
      </c>
      <c r="CC744">
        <v>1</v>
      </c>
      <c r="CD744">
        <v>8.5000000000000006E-2</v>
      </c>
      <c r="CE744">
        <v>0.01</v>
      </c>
    </row>
    <row r="745" spans="1:84" hidden="1" x14ac:dyDescent="0.2">
      <c r="D745">
        <v>50</v>
      </c>
      <c r="G745" t="s">
        <v>43</v>
      </c>
      <c r="H745" t="s">
        <v>520</v>
      </c>
      <c r="J745">
        <v>2015</v>
      </c>
      <c r="M745" t="s">
        <v>436</v>
      </c>
      <c r="T745" t="s">
        <v>103</v>
      </c>
      <c r="U745" t="s">
        <v>228</v>
      </c>
      <c r="V745" t="s">
        <v>521</v>
      </c>
      <c r="Z745" t="s">
        <v>106</v>
      </c>
      <c r="AA745" t="s">
        <v>107</v>
      </c>
      <c r="AB745" t="s">
        <v>50</v>
      </c>
      <c r="AC745" t="s">
        <v>51</v>
      </c>
      <c r="AD745" t="s">
        <v>54</v>
      </c>
      <c r="AE745" t="s">
        <v>53</v>
      </c>
      <c r="AF745" t="s">
        <v>52</v>
      </c>
      <c r="AG745" t="s">
        <v>54</v>
      </c>
      <c r="AH745" t="s">
        <v>55</v>
      </c>
      <c r="AK745">
        <v>10</v>
      </c>
      <c r="AL745">
        <v>10</v>
      </c>
      <c r="AN745">
        <v>380</v>
      </c>
      <c r="AO745" t="s">
        <v>56</v>
      </c>
      <c r="AP745">
        <v>36</v>
      </c>
      <c r="AQ745" t="s">
        <v>56</v>
      </c>
      <c r="AR745">
        <v>8.07</v>
      </c>
      <c r="AS745" t="s">
        <v>56</v>
      </c>
      <c r="AT745">
        <v>0.04</v>
      </c>
      <c r="AU745">
        <v>789</v>
      </c>
      <c r="AV745" t="s">
        <v>56</v>
      </c>
      <c r="AW745">
        <v>80</v>
      </c>
      <c r="AX745">
        <v>7.81</v>
      </c>
      <c r="AY745" t="s">
        <v>56</v>
      </c>
      <c r="AZ745">
        <v>0.04</v>
      </c>
      <c r="BB745">
        <f>LOG(AU745)</f>
        <v>2.8970770032094202</v>
      </c>
      <c r="BC745">
        <v>26.2</v>
      </c>
      <c r="BD745" t="s">
        <v>56</v>
      </c>
      <c r="BE745">
        <v>0.2</v>
      </c>
      <c r="BF745">
        <v>26.1</v>
      </c>
      <c r="BG745" t="s">
        <v>56</v>
      </c>
      <c r="BH745">
        <v>0.1</v>
      </c>
      <c r="BI745">
        <v>409</v>
      </c>
      <c r="BJ745">
        <v>-0.1</v>
      </c>
      <c r="BK745" t="s">
        <v>56</v>
      </c>
      <c r="BL745" t="s">
        <v>525</v>
      </c>
      <c r="BM745" t="s">
        <v>75</v>
      </c>
      <c r="BN745" t="s">
        <v>60</v>
      </c>
      <c r="BO745" t="s">
        <v>524</v>
      </c>
      <c r="BP745" t="s">
        <v>77</v>
      </c>
      <c r="BR745" t="s">
        <v>63</v>
      </c>
      <c r="BT745">
        <v>0.97</v>
      </c>
      <c r="BU745">
        <v>0.96894400000000003</v>
      </c>
      <c r="BV745">
        <v>0.18</v>
      </c>
      <c r="BW745">
        <f>BV745*SQRT(AK745)</f>
        <v>0.56920997883030833</v>
      </c>
      <c r="BX745">
        <v>1.23</v>
      </c>
      <c r="BY745">
        <v>1.2298137</v>
      </c>
      <c r="BZ745">
        <v>0.14000000000000001</v>
      </c>
      <c r="CA745">
        <f>BZ745*SQRT(AL745)</f>
        <v>0.44271887242357316</v>
      </c>
      <c r="CB745">
        <v>56</v>
      </c>
      <c r="CC745">
        <v>1</v>
      </c>
      <c r="CD745">
        <v>0.23799999999999999</v>
      </c>
      <c r="CE745">
        <v>4.8099999999999997E-2</v>
      </c>
    </row>
    <row r="746" spans="1:84" hidden="1" x14ac:dyDescent="0.2">
      <c r="D746">
        <v>50</v>
      </c>
      <c r="G746" t="s">
        <v>43</v>
      </c>
      <c r="H746" t="s">
        <v>520</v>
      </c>
      <c r="J746">
        <v>2015</v>
      </c>
      <c r="M746" t="s">
        <v>436</v>
      </c>
      <c r="T746" t="s">
        <v>103</v>
      </c>
      <c r="U746" t="s">
        <v>228</v>
      </c>
      <c r="V746" t="s">
        <v>521</v>
      </c>
      <c r="Z746" t="s">
        <v>106</v>
      </c>
      <c r="AA746" t="s">
        <v>107</v>
      </c>
      <c r="AB746" t="s">
        <v>50</v>
      </c>
      <c r="AC746" t="s">
        <v>51</v>
      </c>
      <c r="AD746" t="s">
        <v>54</v>
      </c>
      <c r="AE746" t="s">
        <v>53</v>
      </c>
      <c r="AF746" t="s">
        <v>52</v>
      </c>
      <c r="AG746" t="s">
        <v>54</v>
      </c>
      <c r="AH746" t="s">
        <v>55</v>
      </c>
      <c r="AK746">
        <v>10</v>
      </c>
      <c r="AL746">
        <v>10</v>
      </c>
      <c r="AN746">
        <v>380</v>
      </c>
      <c r="AO746" t="s">
        <v>56</v>
      </c>
      <c r="AP746">
        <v>36</v>
      </c>
      <c r="AQ746" t="s">
        <v>56</v>
      </c>
      <c r="AR746">
        <v>8.07</v>
      </c>
      <c r="AS746" t="s">
        <v>56</v>
      </c>
      <c r="AT746">
        <v>0.04</v>
      </c>
      <c r="AU746">
        <v>789</v>
      </c>
      <c r="AV746" t="s">
        <v>56</v>
      </c>
      <c r="AW746">
        <v>80</v>
      </c>
      <c r="AX746">
        <v>7.81</v>
      </c>
      <c r="AY746" t="s">
        <v>56</v>
      </c>
      <c r="AZ746">
        <v>0.04</v>
      </c>
      <c r="BB746">
        <f>LOG(AU746)</f>
        <v>2.8970770032094202</v>
      </c>
      <c r="BC746">
        <v>26.2</v>
      </c>
      <c r="BD746" t="s">
        <v>56</v>
      </c>
      <c r="BE746">
        <v>0.2</v>
      </c>
      <c r="BF746">
        <v>26.1</v>
      </c>
      <c r="BG746" t="s">
        <v>56</v>
      </c>
      <c r="BH746">
        <v>0.1</v>
      </c>
      <c r="BI746">
        <v>409</v>
      </c>
      <c r="BJ746">
        <v>-0.1</v>
      </c>
      <c r="BK746" t="s">
        <v>522</v>
      </c>
      <c r="BL746" t="s">
        <v>523</v>
      </c>
      <c r="BM746" t="s">
        <v>192</v>
      </c>
      <c r="BN746" t="s">
        <v>60</v>
      </c>
      <c r="BO746" t="s">
        <v>524</v>
      </c>
      <c r="BP746" t="s">
        <v>194</v>
      </c>
      <c r="BR746" t="s">
        <v>63</v>
      </c>
      <c r="BT746">
        <v>0.91</v>
      </c>
      <c r="BU746">
        <v>0.91210800000000003</v>
      </c>
      <c r="BV746">
        <v>0.06</v>
      </c>
      <c r="BW746">
        <f>BV746*SQRT(AK746)</f>
        <v>0.18973665961010278</v>
      </c>
      <c r="BX746">
        <v>1.1599999999999999</v>
      </c>
      <c r="BY746">
        <v>1.1623300000000001</v>
      </c>
      <c r="BZ746">
        <v>0.05</v>
      </c>
      <c r="CA746">
        <f>BZ746*SQRT(AL746)</f>
        <v>0.158113883008419</v>
      </c>
      <c r="CB746">
        <v>56</v>
      </c>
      <c r="CC746">
        <v>1</v>
      </c>
      <c r="CD746">
        <v>0.24199999999999999</v>
      </c>
      <c r="CE746">
        <v>6.3E-3</v>
      </c>
    </row>
    <row r="747" spans="1:84" hidden="1" x14ac:dyDescent="0.2">
      <c r="D747">
        <v>50</v>
      </c>
      <c r="G747" t="s">
        <v>43</v>
      </c>
      <c r="H747" t="s">
        <v>520</v>
      </c>
      <c r="J747">
        <v>2015</v>
      </c>
      <c r="M747" t="s">
        <v>436</v>
      </c>
      <c r="T747" t="s">
        <v>103</v>
      </c>
      <c r="U747" t="s">
        <v>228</v>
      </c>
      <c r="V747" t="s">
        <v>521</v>
      </c>
      <c r="Z747" t="s">
        <v>106</v>
      </c>
      <c r="AA747" t="s">
        <v>107</v>
      </c>
      <c r="AB747" t="s">
        <v>50</v>
      </c>
      <c r="AC747" t="s">
        <v>51</v>
      </c>
      <c r="AD747" t="s">
        <v>54</v>
      </c>
      <c r="AE747" t="s">
        <v>53</v>
      </c>
      <c r="AF747" t="s">
        <v>52</v>
      </c>
      <c r="AG747" t="s">
        <v>52</v>
      </c>
      <c r="AH747" t="s">
        <v>64</v>
      </c>
      <c r="AK747">
        <v>10</v>
      </c>
      <c r="AL747">
        <v>10</v>
      </c>
      <c r="AN747">
        <v>380</v>
      </c>
      <c r="AO747" t="s">
        <v>56</v>
      </c>
      <c r="AP747">
        <v>36</v>
      </c>
      <c r="AQ747" t="s">
        <v>56</v>
      </c>
      <c r="AR747">
        <v>8.07</v>
      </c>
      <c r="AS747" t="s">
        <v>56</v>
      </c>
      <c r="AT747">
        <v>0.04</v>
      </c>
      <c r="AU747">
        <v>823</v>
      </c>
      <c r="AV747" t="s">
        <v>56</v>
      </c>
      <c r="AW747">
        <v>85</v>
      </c>
      <c r="AX747">
        <v>7.8</v>
      </c>
      <c r="AY747" t="s">
        <v>56</v>
      </c>
      <c r="AZ747">
        <v>0.05</v>
      </c>
      <c r="BB747">
        <f>LOG(AU747)</f>
        <v>2.9153998352122699</v>
      </c>
      <c r="BC747">
        <v>26.2</v>
      </c>
      <c r="BD747" t="s">
        <v>56</v>
      </c>
      <c r="BE747">
        <v>0.2</v>
      </c>
      <c r="BF747">
        <v>30</v>
      </c>
      <c r="BG747" t="s">
        <v>56</v>
      </c>
      <c r="BH747">
        <v>0.2</v>
      </c>
      <c r="BI747">
        <v>443</v>
      </c>
      <c r="BJ747">
        <v>3.8</v>
      </c>
      <c r="BK747" t="s">
        <v>56</v>
      </c>
      <c r="BL747" t="s">
        <v>525</v>
      </c>
      <c r="BM747" t="s">
        <v>75</v>
      </c>
      <c r="BN747" t="s">
        <v>60</v>
      </c>
      <c r="BO747" t="s">
        <v>524</v>
      </c>
      <c r="BP747" t="s">
        <v>77</v>
      </c>
      <c r="BR747" t="s">
        <v>63</v>
      </c>
      <c r="BT747">
        <v>0.97</v>
      </c>
      <c r="BU747">
        <v>0.96894400000000003</v>
      </c>
      <c r="BV747">
        <v>0.18</v>
      </c>
      <c r="BW747">
        <f>BV747*SQRT(AK747)</f>
        <v>0.56920997883030833</v>
      </c>
      <c r="BX747">
        <v>1.39</v>
      </c>
      <c r="BY747">
        <v>1.3900621</v>
      </c>
      <c r="BZ747">
        <v>0.14000000000000001</v>
      </c>
      <c r="CA747">
        <f>BZ747*SQRT(AL747)</f>
        <v>0.44271887242357316</v>
      </c>
      <c r="CB747">
        <v>56</v>
      </c>
      <c r="CC747">
        <v>1</v>
      </c>
      <c r="CD747">
        <v>0.36099999999999999</v>
      </c>
      <c r="CE747">
        <v>4.5400000000000003E-2</v>
      </c>
    </row>
    <row r="748" spans="1:84" hidden="1" x14ac:dyDescent="0.2">
      <c r="D748">
        <v>50</v>
      </c>
      <c r="G748" t="s">
        <v>43</v>
      </c>
      <c r="H748" t="s">
        <v>520</v>
      </c>
      <c r="J748">
        <v>2015</v>
      </c>
      <c r="M748" t="s">
        <v>436</v>
      </c>
      <c r="T748" t="s">
        <v>103</v>
      </c>
      <c r="U748" t="s">
        <v>228</v>
      </c>
      <c r="V748" t="s">
        <v>521</v>
      </c>
      <c r="Z748" t="s">
        <v>106</v>
      </c>
      <c r="AA748" t="s">
        <v>107</v>
      </c>
      <c r="AB748" t="s">
        <v>50</v>
      </c>
      <c r="AC748" t="s">
        <v>51</v>
      </c>
      <c r="AD748" t="s">
        <v>54</v>
      </c>
      <c r="AE748" t="s">
        <v>53</v>
      </c>
      <c r="AF748" t="s">
        <v>52</v>
      </c>
      <c r="AG748" t="s">
        <v>52</v>
      </c>
      <c r="AH748" t="s">
        <v>64</v>
      </c>
      <c r="AK748">
        <v>10</v>
      </c>
      <c r="AL748">
        <v>10</v>
      </c>
      <c r="AN748">
        <v>380</v>
      </c>
      <c r="AO748" t="s">
        <v>56</v>
      </c>
      <c r="AP748">
        <v>36</v>
      </c>
      <c r="AQ748" t="s">
        <v>56</v>
      </c>
      <c r="AR748">
        <v>8.07</v>
      </c>
      <c r="AS748" t="s">
        <v>56</v>
      </c>
      <c r="AT748">
        <v>0.04</v>
      </c>
      <c r="AU748">
        <v>823</v>
      </c>
      <c r="AV748" t="s">
        <v>56</v>
      </c>
      <c r="AW748">
        <v>85</v>
      </c>
      <c r="AX748">
        <v>7.8</v>
      </c>
      <c r="AY748" t="s">
        <v>56</v>
      </c>
      <c r="AZ748">
        <v>0.05</v>
      </c>
      <c r="BB748">
        <f>LOG(AU748)</f>
        <v>2.9153998352122699</v>
      </c>
      <c r="BC748">
        <v>26.2</v>
      </c>
      <c r="BD748" t="s">
        <v>56</v>
      </c>
      <c r="BE748">
        <v>0.2</v>
      </c>
      <c r="BF748">
        <v>30</v>
      </c>
      <c r="BG748" t="s">
        <v>56</v>
      </c>
      <c r="BH748">
        <v>0.2</v>
      </c>
      <c r="BI748">
        <v>443</v>
      </c>
      <c r="BJ748">
        <v>3.8</v>
      </c>
      <c r="BK748" t="s">
        <v>522</v>
      </c>
      <c r="BL748" t="s">
        <v>523</v>
      </c>
      <c r="BM748" t="s">
        <v>192</v>
      </c>
      <c r="BN748" t="s">
        <v>60</v>
      </c>
      <c r="BO748" t="s">
        <v>524</v>
      </c>
      <c r="BP748" t="s">
        <v>194</v>
      </c>
      <c r="BR748" t="s">
        <v>63</v>
      </c>
      <c r="BT748">
        <v>0.91</v>
      </c>
      <c r="BU748">
        <v>0.91210800000000003</v>
      </c>
      <c r="BV748">
        <v>0.06</v>
      </c>
      <c r="BW748">
        <f>BV748*SQRT(AK748)</f>
        <v>0.18973665961010278</v>
      </c>
      <c r="BX748">
        <v>1.54</v>
      </c>
      <c r="BY748">
        <v>1.53901</v>
      </c>
      <c r="BZ748">
        <v>0.05</v>
      </c>
      <c r="CA748">
        <f>BZ748*SQRT(AL748)</f>
        <v>0.158113883008419</v>
      </c>
      <c r="CB748">
        <v>56</v>
      </c>
      <c r="CC748">
        <v>1</v>
      </c>
      <c r="CD748">
        <v>0.52300000000000002</v>
      </c>
      <c r="CE748">
        <v>5.5999999999999999E-3</v>
      </c>
    </row>
    <row r="749" spans="1:84" s="8" customFormat="1" hidden="1" x14ac:dyDescent="0.2">
      <c r="A749" s="11"/>
      <c r="B749" s="11" t="str">
        <f>ROW()-1&amp;"_AltersInvert"</f>
        <v>748_AltersInvert</v>
      </c>
      <c r="C749" s="11" t="str">
        <f>D749&amp;"_"&amp;
SUBSTITUTE(TRIM(V749)," ","_")&amp;"_"&amp;
TRIM(AC749)&amp;"_"&amp;
"CO2"&amp;TEXT(AN749,"0.00")&amp;"_"&amp;
"pH"&amp;TEXT(AR749,"0.00")&amp;"_"&amp;
"T"&amp;TEXT(BC749,"0.##")</f>
        <v>89_Diadema_africanum_EMBRYO_CO2574.00_pH8.06_T23.</v>
      </c>
      <c r="D749" s="11">
        <v>89</v>
      </c>
      <c r="E749" s="11"/>
      <c r="F749" s="11"/>
      <c r="G749" s="11" t="s">
        <v>43</v>
      </c>
      <c r="H749" s="11" t="s">
        <v>739</v>
      </c>
      <c r="I749" s="11" t="s">
        <v>1130</v>
      </c>
      <c r="J749" s="11">
        <v>2018</v>
      </c>
      <c r="K749" s="11"/>
      <c r="L749" s="11"/>
      <c r="M749" s="11" t="s">
        <v>740</v>
      </c>
      <c r="N749" s="11"/>
      <c r="O749" s="11"/>
      <c r="P749" s="11"/>
      <c r="Q749" s="11"/>
      <c r="R749" s="11"/>
      <c r="S749" s="11"/>
      <c r="T749" s="11" t="s">
        <v>46</v>
      </c>
      <c r="U749" s="11" t="s">
        <v>570</v>
      </c>
      <c r="V749" s="11" t="s">
        <v>742</v>
      </c>
      <c r="W749" s="11" t="str">
        <f>IF(ISNUMBER(MATCH(#REF!,{"Doryteuthis pealeii","Loligo vulgaris","Leptuca thayeri","Stylocheilus striatus","Ophryotrocha labronica"},0)),"N","Y")</f>
        <v>Y</v>
      </c>
      <c r="X749" s="11"/>
      <c r="Y749" s="11"/>
      <c r="Z749" s="11" t="s">
        <v>177</v>
      </c>
      <c r="AA749" s="11" t="s">
        <v>177</v>
      </c>
      <c r="AB749" s="11" t="s">
        <v>71</v>
      </c>
      <c r="AC749" s="11" t="s">
        <v>195</v>
      </c>
      <c r="AD749" s="11" t="s">
        <v>52</v>
      </c>
      <c r="AE749" s="11" t="s">
        <v>53</v>
      </c>
      <c r="AF749" s="11" t="s">
        <v>52</v>
      </c>
      <c r="AG749" s="11" t="s">
        <v>52</v>
      </c>
      <c r="AH749" s="11" t="s">
        <v>64</v>
      </c>
      <c r="AI749" s="11"/>
      <c r="AJ749" s="11"/>
      <c r="AK749" s="11">
        <v>3</v>
      </c>
      <c r="AL749" s="11">
        <v>3</v>
      </c>
      <c r="AM749" s="11"/>
      <c r="AN749" s="11">
        <v>574</v>
      </c>
      <c r="AO749" s="11" t="s">
        <v>56</v>
      </c>
      <c r="AP749" s="11" t="s">
        <v>56</v>
      </c>
      <c r="AQ749" s="11" t="s">
        <v>56</v>
      </c>
      <c r="AR749" s="11">
        <v>8.06</v>
      </c>
      <c r="AS749" s="11" t="s">
        <v>56</v>
      </c>
      <c r="AT749" s="11">
        <v>0.03</v>
      </c>
      <c r="AU749" s="11">
        <v>2722</v>
      </c>
      <c r="AV749" s="11" t="s">
        <v>56</v>
      </c>
      <c r="AW749" s="11" t="s">
        <v>56</v>
      </c>
      <c r="AX749" s="11">
        <v>7.4</v>
      </c>
      <c r="AY749" s="11" t="s">
        <v>56</v>
      </c>
      <c r="AZ749" s="11">
        <v>0.03</v>
      </c>
      <c r="BA749" s="11"/>
      <c r="BB749" s="11">
        <f>LOG(AU749)</f>
        <v>3.4348881208673161</v>
      </c>
      <c r="BC749" s="11">
        <v>23</v>
      </c>
      <c r="BD749" s="11" t="s">
        <v>56</v>
      </c>
      <c r="BE749" s="11">
        <v>0.2</v>
      </c>
      <c r="BF749" s="11">
        <v>25.1</v>
      </c>
      <c r="BG749" s="11" t="s">
        <v>56</v>
      </c>
      <c r="BH749" s="11">
        <v>0.2</v>
      </c>
      <c r="BI749" s="11">
        <v>2148</v>
      </c>
      <c r="BJ749" s="11">
        <v>2.1</v>
      </c>
      <c r="BK749" s="11" t="s">
        <v>56</v>
      </c>
      <c r="BL749" s="11" t="s">
        <v>473</v>
      </c>
      <c r="BM749" s="11" t="s">
        <v>473</v>
      </c>
      <c r="BN749" s="11" t="s">
        <v>81</v>
      </c>
      <c r="BO749" s="11" t="s">
        <v>82</v>
      </c>
      <c r="BP749" s="11" t="s">
        <v>190</v>
      </c>
      <c r="BQ749" s="11"/>
      <c r="BR749" s="11" t="s">
        <v>84</v>
      </c>
      <c r="BS749" s="11"/>
      <c r="BT749" s="11">
        <v>15.97</v>
      </c>
      <c r="BU749" s="11">
        <v>15.972222199999999</v>
      </c>
      <c r="BV749" s="11">
        <v>0.72</v>
      </c>
      <c r="BW749" s="11">
        <f>BV749*SQRT(AK749)</f>
        <v>1.2470765814495914</v>
      </c>
      <c r="BX749" s="11">
        <v>0.42</v>
      </c>
      <c r="BY749" s="11">
        <v>0.4166667</v>
      </c>
      <c r="BZ749" s="11">
        <v>0.24</v>
      </c>
      <c r="CA749" s="11">
        <f>BZ749*SQRT(AL749)</f>
        <v>0.4156921938165305</v>
      </c>
      <c r="CB749" s="11">
        <v>0</v>
      </c>
      <c r="CC749" s="11">
        <v>12</v>
      </c>
      <c r="CD749" s="11">
        <v>-3.6459999999999999</v>
      </c>
      <c r="CE749" s="11">
        <v>0.33539999999999998</v>
      </c>
      <c r="CF749" s="11"/>
    </row>
    <row r="750" spans="1:84" s="8" customFormat="1" hidden="1" x14ac:dyDescent="0.2">
      <c r="A750" s="11"/>
      <c r="B750" s="11" t="str">
        <f>ROW()-1&amp;"_AltersInvert"</f>
        <v>749_AltersInvert</v>
      </c>
      <c r="C750" s="11" t="str">
        <f>D750&amp;"_"&amp;
SUBSTITUTE(TRIM(V750)," ","_")&amp;"_"&amp;
TRIM(AC750)&amp;"_"&amp;
"CO2"&amp;TEXT(AN750,"0.00")&amp;"_"&amp;
"pH"&amp;TEXT(AR750,"0.00")&amp;"_"&amp;
"T"&amp;TEXT(BC750,"0.##")</f>
        <v>89_Diadema_africanum_EMBRYO_CO2574.00_pH8.06_T23.</v>
      </c>
      <c r="D750" s="11">
        <v>89</v>
      </c>
      <c r="E750" s="11"/>
      <c r="F750" s="11"/>
      <c r="G750" s="11" t="s">
        <v>43</v>
      </c>
      <c r="H750" s="11" t="s">
        <v>739</v>
      </c>
      <c r="I750" s="11" t="s">
        <v>1130</v>
      </c>
      <c r="J750" s="11">
        <v>2018</v>
      </c>
      <c r="K750" s="11"/>
      <c r="L750" s="11"/>
      <c r="M750" s="11" t="s">
        <v>740</v>
      </c>
      <c r="N750" s="11"/>
      <c r="O750" s="11"/>
      <c r="P750" s="11"/>
      <c r="Q750" s="11"/>
      <c r="R750" s="11"/>
      <c r="S750" s="11"/>
      <c r="T750" s="11" t="s">
        <v>46</v>
      </c>
      <c r="U750" s="11" t="s">
        <v>570</v>
      </c>
      <c r="V750" s="11" t="s">
        <v>742</v>
      </c>
      <c r="W750" s="11" t="str">
        <f>IF(ISNUMBER(MATCH(#REF!,{"Doryteuthis pealeii","Loligo vulgaris","Leptuca thayeri","Stylocheilus striatus","Ophryotrocha labronica"},0)),"N","Y")</f>
        <v>Y</v>
      </c>
      <c r="X750" s="11"/>
      <c r="Y750" s="11"/>
      <c r="Z750" s="11" t="s">
        <v>177</v>
      </c>
      <c r="AA750" s="11" t="s">
        <v>177</v>
      </c>
      <c r="AB750" s="11" t="s">
        <v>71</v>
      </c>
      <c r="AC750" s="11" t="s">
        <v>195</v>
      </c>
      <c r="AD750" s="11" t="s">
        <v>52</v>
      </c>
      <c r="AE750" s="11" t="s">
        <v>53</v>
      </c>
      <c r="AF750" s="11" t="s">
        <v>52</v>
      </c>
      <c r="AG750" s="11" t="s">
        <v>52</v>
      </c>
      <c r="AH750" s="11" t="s">
        <v>64</v>
      </c>
      <c r="AI750" s="11"/>
      <c r="AJ750" s="11"/>
      <c r="AK750" s="11">
        <v>3</v>
      </c>
      <c r="AL750" s="11">
        <v>3</v>
      </c>
      <c r="AM750" s="11"/>
      <c r="AN750" s="11">
        <v>574</v>
      </c>
      <c r="AO750" s="11" t="s">
        <v>56</v>
      </c>
      <c r="AP750" s="11" t="s">
        <v>56</v>
      </c>
      <c r="AQ750" s="11" t="s">
        <v>56</v>
      </c>
      <c r="AR750" s="11">
        <v>8.06</v>
      </c>
      <c r="AS750" s="11" t="s">
        <v>56</v>
      </c>
      <c r="AT750" s="11">
        <v>0.03</v>
      </c>
      <c r="AU750" s="11">
        <v>1486</v>
      </c>
      <c r="AV750" s="11" t="s">
        <v>56</v>
      </c>
      <c r="AW750" s="11" t="s">
        <v>56</v>
      </c>
      <c r="AX750" s="11">
        <v>7.67</v>
      </c>
      <c r="AY750" s="11" t="s">
        <v>56</v>
      </c>
      <c r="AZ750" s="11">
        <v>0.05</v>
      </c>
      <c r="BA750" s="11"/>
      <c r="BB750" s="11">
        <f>LOG(AU750)</f>
        <v>3.1720188094245563</v>
      </c>
      <c r="BC750" s="11">
        <v>23</v>
      </c>
      <c r="BD750" s="11" t="s">
        <v>56</v>
      </c>
      <c r="BE750" s="11">
        <v>0.2</v>
      </c>
      <c r="BF750" s="11">
        <v>25.2</v>
      </c>
      <c r="BG750" s="11" t="s">
        <v>56</v>
      </c>
      <c r="BH750" s="11">
        <v>0.1</v>
      </c>
      <c r="BI750" s="11">
        <v>912</v>
      </c>
      <c r="BJ750" s="11">
        <v>2.1</v>
      </c>
      <c r="BK750" s="11" t="s">
        <v>56</v>
      </c>
      <c r="BL750" s="11" t="s">
        <v>473</v>
      </c>
      <c r="BM750" s="11" t="s">
        <v>473</v>
      </c>
      <c r="BN750" s="11" t="s">
        <v>81</v>
      </c>
      <c r="BO750" s="11" t="s">
        <v>82</v>
      </c>
      <c r="BP750" s="11" t="s">
        <v>190</v>
      </c>
      <c r="BQ750" s="11"/>
      <c r="BR750" s="11" t="s">
        <v>84</v>
      </c>
      <c r="BS750" s="11"/>
      <c r="BT750" s="11">
        <v>15.97</v>
      </c>
      <c r="BU750" s="11">
        <v>15.972222199999999</v>
      </c>
      <c r="BV750" s="11">
        <v>0.72</v>
      </c>
      <c r="BW750" s="11">
        <f>BV750*SQRT(AK750)</f>
        <v>1.2470765814495914</v>
      </c>
      <c r="BX750" s="11">
        <v>4.4400000000000004</v>
      </c>
      <c r="BY750" s="11">
        <v>4.4444444000000001</v>
      </c>
      <c r="BZ750" s="11">
        <v>0.48</v>
      </c>
      <c r="CA750" s="11">
        <f>BZ750*SQRT(AL750)</f>
        <v>0.83138438763306099</v>
      </c>
      <c r="CB750" s="11">
        <v>0</v>
      </c>
      <c r="CC750" s="11">
        <v>12</v>
      </c>
      <c r="CD750" s="11">
        <v>-1.2789999999999999</v>
      </c>
      <c r="CE750" s="11">
        <v>1.38E-2</v>
      </c>
      <c r="CF750" s="11"/>
    </row>
    <row r="751" spans="1:84" s="8" customFormat="1" hidden="1" x14ac:dyDescent="0.2">
      <c r="C751" s="8" t="s">
        <v>1129</v>
      </c>
      <c r="D751" s="8">
        <v>40</v>
      </c>
      <c r="G751" s="8" t="s">
        <v>43</v>
      </c>
      <c r="H751" s="8" t="s">
        <v>441</v>
      </c>
      <c r="I751" s="8" t="s">
        <v>1129</v>
      </c>
      <c r="J751" s="8">
        <v>2018</v>
      </c>
      <c r="M751" s="8" t="s">
        <v>174</v>
      </c>
      <c r="T751" s="8" t="s">
        <v>68</v>
      </c>
      <c r="U751" s="8" t="s">
        <v>167</v>
      </c>
      <c r="V751" s="8" t="s">
        <v>442</v>
      </c>
      <c r="Z751" s="8" t="s">
        <v>177</v>
      </c>
      <c r="AA751" s="8" t="s">
        <v>177</v>
      </c>
      <c r="AB751" s="8" t="s">
        <v>71</v>
      </c>
      <c r="AC751" s="8" t="s">
        <v>195</v>
      </c>
      <c r="AD751" s="8" t="s">
        <v>52</v>
      </c>
      <c r="AE751" s="8" t="s">
        <v>53</v>
      </c>
      <c r="AF751" s="8" t="s">
        <v>52</v>
      </c>
      <c r="AG751" s="8" t="s">
        <v>52</v>
      </c>
      <c r="AH751" s="8" t="s">
        <v>64</v>
      </c>
      <c r="AK751" s="8">
        <v>3</v>
      </c>
      <c r="AL751" s="8">
        <v>3</v>
      </c>
      <c r="AN751" s="8">
        <v>392</v>
      </c>
      <c r="AO751" s="8">
        <v>2</v>
      </c>
      <c r="AP751" s="8" t="s">
        <v>56</v>
      </c>
      <c r="AQ751" s="8" t="s">
        <v>57</v>
      </c>
      <c r="AR751" s="8">
        <v>8.1999999999999993</v>
      </c>
      <c r="AS751" s="8">
        <v>0</v>
      </c>
      <c r="AT751" s="8" t="s">
        <v>56</v>
      </c>
      <c r="AU751" s="8">
        <v>855</v>
      </c>
      <c r="AV751">
        <v>3</v>
      </c>
      <c r="AW751" t="s">
        <v>56</v>
      </c>
      <c r="AX751">
        <v>7.92</v>
      </c>
      <c r="AY751">
        <v>0</v>
      </c>
      <c r="AZ751" t="s">
        <v>56</v>
      </c>
      <c r="BB751" s="8">
        <f>LOG(AU751)</f>
        <v>2.9319661147281728</v>
      </c>
      <c r="BC751" s="8">
        <v>24</v>
      </c>
      <c r="BD751" s="8">
        <v>0.1</v>
      </c>
      <c r="BE751" s="8" t="s">
        <v>56</v>
      </c>
      <c r="BF751" s="8">
        <v>28</v>
      </c>
      <c r="BG751" s="8">
        <v>0.1</v>
      </c>
      <c r="BH751" s="8" t="s">
        <v>56</v>
      </c>
      <c r="BI751" s="8">
        <v>463</v>
      </c>
      <c r="BJ751" s="8">
        <v>4</v>
      </c>
      <c r="BK751" s="8" t="s">
        <v>56</v>
      </c>
      <c r="BL751" s="8" t="s">
        <v>445</v>
      </c>
      <c r="BM751" s="8" t="s">
        <v>192</v>
      </c>
      <c r="BN751" s="8" t="s">
        <v>60</v>
      </c>
      <c r="BO751" s="8" t="s">
        <v>446</v>
      </c>
      <c r="BP751" s="8" t="s">
        <v>194</v>
      </c>
      <c r="BR751" s="8" t="s">
        <v>63</v>
      </c>
      <c r="BT751" s="8">
        <v>6.79</v>
      </c>
      <c r="BU751" s="8">
        <v>6.79</v>
      </c>
      <c r="BV751" s="8">
        <v>0.72</v>
      </c>
      <c r="BW751" s="8">
        <f>BV751*SQRT(AK751)</f>
        <v>1.2470765814495914</v>
      </c>
      <c r="BX751" s="8">
        <v>2.76</v>
      </c>
      <c r="BY751" s="8">
        <v>2.76</v>
      </c>
      <c r="BZ751" s="8">
        <v>0.69</v>
      </c>
      <c r="CA751" s="8">
        <f>BZ751*SQRT(AL751)</f>
        <v>1.1951150572225251</v>
      </c>
      <c r="CB751" s="8">
        <v>56</v>
      </c>
      <c r="CC751" s="8">
        <v>3</v>
      </c>
      <c r="CD751" s="8">
        <v>-0.9</v>
      </c>
      <c r="CE751" s="8">
        <v>7.3700000000000002E-2</v>
      </c>
    </row>
    <row r="752" spans="1:84" s="8" customFormat="1" hidden="1" x14ac:dyDescent="0.2">
      <c r="C752" s="8" t="s">
        <v>1129</v>
      </c>
      <c r="D752" s="8">
        <v>40</v>
      </c>
      <c r="G752" s="8" t="s">
        <v>43</v>
      </c>
      <c r="H752" s="8" t="s">
        <v>441</v>
      </c>
      <c r="I752" s="8" t="s">
        <v>1129</v>
      </c>
      <c r="J752" s="8">
        <v>2018</v>
      </c>
      <c r="M752" s="8" t="s">
        <v>174</v>
      </c>
      <c r="T752" s="8" t="s">
        <v>68</v>
      </c>
      <c r="U752" s="8" t="s">
        <v>167</v>
      </c>
      <c r="V752" s="8" t="s">
        <v>442</v>
      </c>
      <c r="Z752" s="8" t="s">
        <v>177</v>
      </c>
      <c r="AA752" s="8" t="s">
        <v>177</v>
      </c>
      <c r="AB752" s="8" t="s">
        <v>71</v>
      </c>
      <c r="AC752" s="8" t="s">
        <v>195</v>
      </c>
      <c r="AD752" s="8" t="s">
        <v>52</v>
      </c>
      <c r="AE752" s="8" t="s">
        <v>53</v>
      </c>
      <c r="AF752" s="8" t="s">
        <v>54</v>
      </c>
      <c r="AG752" s="8" t="s">
        <v>52</v>
      </c>
      <c r="AH752" s="8" t="s">
        <v>65</v>
      </c>
      <c r="AK752" s="8">
        <v>3</v>
      </c>
      <c r="AL752" s="8">
        <v>3</v>
      </c>
      <c r="AN752" s="8">
        <v>392</v>
      </c>
      <c r="AO752" s="8">
        <v>2</v>
      </c>
      <c r="AP752" s="8" t="s">
        <v>56</v>
      </c>
      <c r="AQ752" s="8" t="s">
        <v>57</v>
      </c>
      <c r="AR752" s="8">
        <v>8.1999999999999993</v>
      </c>
      <c r="AS752" s="8">
        <v>0</v>
      </c>
      <c r="AT752" s="8" t="s">
        <v>56</v>
      </c>
      <c r="AU752" s="8">
        <v>393</v>
      </c>
      <c r="AV752">
        <v>4</v>
      </c>
      <c r="AW752" t="s">
        <v>56</v>
      </c>
      <c r="AX752">
        <v>8.1999999999999993</v>
      </c>
      <c r="AY752">
        <v>0</v>
      </c>
      <c r="AZ752" t="s">
        <v>56</v>
      </c>
      <c r="BB752" s="8">
        <f>LOG(AU752)</f>
        <v>2.5943925503754266</v>
      </c>
      <c r="BC752" s="8">
        <v>24</v>
      </c>
      <c r="BD752" s="8">
        <v>0.1</v>
      </c>
      <c r="BE752" s="8" t="s">
        <v>56</v>
      </c>
      <c r="BF752" s="8">
        <v>28</v>
      </c>
      <c r="BG752" s="8">
        <v>0.1</v>
      </c>
      <c r="BH752" s="8" t="s">
        <v>56</v>
      </c>
      <c r="BI752" s="8">
        <v>1</v>
      </c>
      <c r="BJ752" s="8">
        <v>4</v>
      </c>
      <c r="BK752" s="8" t="s">
        <v>56</v>
      </c>
      <c r="BL752" s="8" t="s">
        <v>445</v>
      </c>
      <c r="BM752" s="8" t="s">
        <v>192</v>
      </c>
      <c r="BN752" s="8" t="s">
        <v>60</v>
      </c>
      <c r="BO752" s="8" t="s">
        <v>446</v>
      </c>
      <c r="BP752" s="8" t="s">
        <v>194</v>
      </c>
      <c r="BR752" s="8" t="s">
        <v>63</v>
      </c>
      <c r="BT752" s="8">
        <v>6.79</v>
      </c>
      <c r="BU752" s="8">
        <v>6.79</v>
      </c>
      <c r="BV752" s="8">
        <v>0.72</v>
      </c>
      <c r="BW752" s="8">
        <f>BV752*SQRT(AK752)</f>
        <v>1.2470765814495914</v>
      </c>
      <c r="BX752" s="8">
        <v>4.4800000000000004</v>
      </c>
      <c r="BY752" s="8">
        <v>4.4800000000000004</v>
      </c>
      <c r="BZ752" s="8">
        <v>0.34</v>
      </c>
      <c r="CA752" s="8">
        <f>BZ752*SQRT(AL752)</f>
        <v>0.58889727457341834</v>
      </c>
      <c r="CB752" s="8">
        <v>56</v>
      </c>
      <c r="CC752" s="8">
        <v>3</v>
      </c>
      <c r="CD752" s="8">
        <v>-0.41599999999999998</v>
      </c>
      <c r="CE752" s="8">
        <v>1.7000000000000001E-2</v>
      </c>
    </row>
    <row r="753" spans="1:84" s="8" customFormat="1" hidden="1" x14ac:dyDescent="0.2">
      <c r="C753" s="8" t="s">
        <v>1129</v>
      </c>
      <c r="D753" s="8">
        <v>40</v>
      </c>
      <c r="G753" s="8" t="s">
        <v>43</v>
      </c>
      <c r="H753" s="8" t="s">
        <v>441</v>
      </c>
      <c r="I753" s="8" t="s">
        <v>1129</v>
      </c>
      <c r="J753" s="8">
        <v>2018</v>
      </c>
      <c r="M753" s="8" t="s">
        <v>174</v>
      </c>
      <c r="T753" s="8" t="s">
        <v>68</v>
      </c>
      <c r="U753" s="8" t="s">
        <v>167</v>
      </c>
      <c r="V753" s="8" t="s">
        <v>442</v>
      </c>
      <c r="Z753" s="8" t="s">
        <v>177</v>
      </c>
      <c r="AA753" s="8" t="s">
        <v>177</v>
      </c>
      <c r="AB753" s="8" t="s">
        <v>71</v>
      </c>
      <c r="AC753" s="8" t="s">
        <v>195</v>
      </c>
      <c r="AD753" s="8" t="s">
        <v>52</v>
      </c>
      <c r="AE753" s="8" t="s">
        <v>53</v>
      </c>
      <c r="AF753" s="8" t="s">
        <v>52</v>
      </c>
      <c r="AG753" s="8" t="s">
        <v>54</v>
      </c>
      <c r="AH753" s="8" t="s">
        <v>55</v>
      </c>
      <c r="AK753" s="8">
        <v>3</v>
      </c>
      <c r="AL753" s="8">
        <v>3</v>
      </c>
      <c r="AN753" s="8">
        <v>392</v>
      </c>
      <c r="AO753" s="8">
        <v>2</v>
      </c>
      <c r="AP753" s="8" t="s">
        <v>56</v>
      </c>
      <c r="AQ753" s="8" t="s">
        <v>57</v>
      </c>
      <c r="AR753" s="8">
        <v>8.1999999999999993</v>
      </c>
      <c r="AS753" s="8">
        <v>0</v>
      </c>
      <c r="AT753" s="8" t="s">
        <v>56</v>
      </c>
      <c r="AU753" s="8">
        <v>856</v>
      </c>
      <c r="AV753">
        <v>5</v>
      </c>
      <c r="AW753" t="s">
        <v>56</v>
      </c>
      <c r="AX753">
        <v>7.91</v>
      </c>
      <c r="AY753">
        <v>0</v>
      </c>
      <c r="AZ753" t="s">
        <v>56</v>
      </c>
      <c r="BB753" s="8">
        <f>LOG(AU753)</f>
        <v>2.932473764677153</v>
      </c>
      <c r="BC753" s="8">
        <v>24</v>
      </c>
      <c r="BD753" s="8">
        <v>0.1</v>
      </c>
      <c r="BE753" s="8" t="s">
        <v>56</v>
      </c>
      <c r="BF753" s="8">
        <v>24</v>
      </c>
      <c r="BG753" s="8">
        <v>0.1</v>
      </c>
      <c r="BH753" s="8" t="s">
        <v>56</v>
      </c>
      <c r="BI753" s="8">
        <v>464</v>
      </c>
      <c r="BJ753" s="8">
        <v>0</v>
      </c>
      <c r="BK753" s="8" t="s">
        <v>56</v>
      </c>
      <c r="BL753" s="8" t="s">
        <v>445</v>
      </c>
      <c r="BM753" s="8" t="s">
        <v>192</v>
      </c>
      <c r="BN753" s="8" t="s">
        <v>60</v>
      </c>
      <c r="BO753" s="8" t="s">
        <v>446</v>
      </c>
      <c r="BP753" s="8" t="s">
        <v>194</v>
      </c>
      <c r="BR753" s="8" t="s">
        <v>63</v>
      </c>
      <c r="BT753" s="8">
        <v>6.79</v>
      </c>
      <c r="BU753" s="8">
        <v>6.79</v>
      </c>
      <c r="BV753" s="8">
        <v>0.72</v>
      </c>
      <c r="BW753" s="8">
        <f>BV753*SQRT(AK753)</f>
        <v>1.2470765814495914</v>
      </c>
      <c r="BX753" s="8">
        <v>6.14</v>
      </c>
      <c r="BY753" s="8">
        <v>6.14</v>
      </c>
      <c r="BZ753" s="8">
        <v>1.01</v>
      </c>
      <c r="CA753" s="8">
        <f>BZ753*SQRT(AL753)</f>
        <v>1.749371315644566</v>
      </c>
      <c r="CB753" s="8">
        <v>56</v>
      </c>
      <c r="CC753" s="8">
        <v>3</v>
      </c>
      <c r="CD753" s="8">
        <v>-0.10100000000000001</v>
      </c>
      <c r="CE753" s="8">
        <v>3.8300000000000001E-2</v>
      </c>
    </row>
    <row r="754" spans="1:84" s="8" customFormat="1" hidden="1" x14ac:dyDescent="0.2">
      <c r="D754" s="8">
        <v>104</v>
      </c>
      <c r="G754" t="s">
        <v>43</v>
      </c>
      <c r="H754" s="8" t="s">
        <v>788</v>
      </c>
      <c r="I754" s="8" t="s">
        <v>1130</v>
      </c>
      <c r="J754" s="8">
        <v>2017</v>
      </c>
      <c r="M754" s="8" t="s">
        <v>789</v>
      </c>
      <c r="P754" t="s">
        <v>1135</v>
      </c>
      <c r="R754" s="8" t="s">
        <v>1127</v>
      </c>
      <c r="S754" t="s">
        <v>1128</v>
      </c>
      <c r="T754" s="8" t="s">
        <v>46</v>
      </c>
      <c r="U754" s="8" t="s">
        <v>790</v>
      </c>
      <c r="V754" s="8" t="s">
        <v>791</v>
      </c>
      <c r="W754" s="8" t="str">
        <f>IF(ISNUMBER(MATCH(#REF!,{"Doryteuthis pealeii","Loligo vulgaris","Leptuca thayeri","Stylocheilus striatus","Ophryotrocha labronica"},0)),"N","Y")</f>
        <v>Y</v>
      </c>
      <c r="Z754" s="8" t="s">
        <v>475</v>
      </c>
      <c r="AA754" s="8" t="s">
        <v>475</v>
      </c>
      <c r="AB754" s="8" t="s">
        <v>71</v>
      </c>
      <c r="AC754" s="8" t="s">
        <v>195</v>
      </c>
      <c r="AD754" s="8" t="s">
        <v>52</v>
      </c>
      <c r="AE754" s="8" t="s">
        <v>53</v>
      </c>
      <c r="AF754" s="8" t="s">
        <v>54</v>
      </c>
      <c r="AG754" s="8" t="s">
        <v>52</v>
      </c>
      <c r="AH754" s="8" t="s">
        <v>65</v>
      </c>
      <c r="AK754" s="8">
        <v>4</v>
      </c>
      <c r="AL754" s="8">
        <v>4</v>
      </c>
      <c r="AM754" s="8" t="s">
        <v>793</v>
      </c>
      <c r="AN754" s="8">
        <v>413</v>
      </c>
      <c r="AO754" s="8" t="s">
        <v>56</v>
      </c>
      <c r="AP754" s="8" t="s">
        <v>56</v>
      </c>
      <c r="AQ754" s="8" t="s">
        <v>118</v>
      </c>
      <c r="AR754" s="8">
        <v>8.09</v>
      </c>
      <c r="AS754" s="8" t="s">
        <v>56</v>
      </c>
      <c r="AT754" s="8" t="s">
        <v>56</v>
      </c>
      <c r="AU754" s="8">
        <v>413</v>
      </c>
      <c r="AV754" t="s">
        <v>56</v>
      </c>
      <c r="AW754" t="s">
        <v>56</v>
      </c>
      <c r="AX754">
        <v>8.1300000000000008</v>
      </c>
      <c r="AY754" t="s">
        <v>56</v>
      </c>
      <c r="AZ754" t="s">
        <v>56</v>
      </c>
      <c r="BB754" s="8">
        <f>LOG(AU754)</f>
        <v>2.6159500516564012</v>
      </c>
      <c r="BC754" s="8">
        <v>-0.5</v>
      </c>
      <c r="BD754" s="8" t="s">
        <v>56</v>
      </c>
      <c r="BE754" s="8" t="s">
        <v>56</v>
      </c>
      <c r="BF754" s="8">
        <v>10.1</v>
      </c>
      <c r="BG754" s="8" t="s">
        <v>56</v>
      </c>
      <c r="BH754" s="8" t="s">
        <v>56</v>
      </c>
      <c r="BI754" s="8">
        <v>0</v>
      </c>
      <c r="BJ754" s="8">
        <v>11</v>
      </c>
      <c r="BK754" s="8" t="s">
        <v>56</v>
      </c>
      <c r="BL754" s="8" t="s">
        <v>792</v>
      </c>
      <c r="BM754" s="8" t="s">
        <v>86</v>
      </c>
      <c r="BN754" s="8" t="s">
        <v>81</v>
      </c>
      <c r="BO754" s="8" t="s">
        <v>82</v>
      </c>
      <c r="BP754" s="8" t="s">
        <v>9</v>
      </c>
      <c r="BQ754" s="8" t="s">
        <v>92</v>
      </c>
      <c r="BR754" s="8" t="s">
        <v>84</v>
      </c>
      <c r="BT754" s="8">
        <v>96</v>
      </c>
      <c r="BU754" s="8">
        <v>96</v>
      </c>
      <c r="BV754" s="8">
        <v>0.66666700000000001</v>
      </c>
      <c r="BW754" s="8">
        <f>BV754*SQRT(AK754)</f>
        <v>1.333334</v>
      </c>
      <c r="BX754" s="8">
        <v>0</v>
      </c>
      <c r="BY754" s="8">
        <v>0.96</v>
      </c>
      <c r="BZ754" s="8">
        <v>0</v>
      </c>
      <c r="CA754" s="8">
        <f>BZ754*SQRT(AL754)</f>
        <v>0</v>
      </c>
      <c r="CB754" s="8">
        <v>4</v>
      </c>
      <c r="CC754" s="8">
        <v>4</v>
      </c>
      <c r="CD754" s="8">
        <v>-4.6050000000000004</v>
      </c>
      <c r="CE754" s="8">
        <v>1E-4</v>
      </c>
      <c r="CF754" s="8" t="s">
        <v>1134</v>
      </c>
    </row>
    <row r="755" spans="1:84" s="8" customFormat="1" hidden="1" x14ac:dyDescent="0.2">
      <c r="D755" s="8">
        <v>104</v>
      </c>
      <c r="G755" t="s">
        <v>43</v>
      </c>
      <c r="H755" s="8" t="s">
        <v>788</v>
      </c>
      <c r="I755" s="8" t="s">
        <v>1130</v>
      </c>
      <c r="J755" s="8">
        <v>2017</v>
      </c>
      <c r="M755" s="8" t="s">
        <v>789</v>
      </c>
      <c r="P755" t="s">
        <v>1135</v>
      </c>
      <c r="R755" s="8" t="s">
        <v>1127</v>
      </c>
      <c r="S755" t="s">
        <v>1128</v>
      </c>
      <c r="T755" s="8" t="s">
        <v>46</v>
      </c>
      <c r="U755" s="8" t="s">
        <v>790</v>
      </c>
      <c r="V755" s="8" t="s">
        <v>791</v>
      </c>
      <c r="W755" s="8" t="str">
        <f>IF(ISNUMBER(MATCH(#REF!,{"Doryteuthis pealeii","Loligo vulgaris","Leptuca thayeri","Stylocheilus striatus","Ophryotrocha labronica"},0)),"N","Y")</f>
        <v>Y</v>
      </c>
      <c r="Z755" s="8" t="s">
        <v>475</v>
      </c>
      <c r="AA755" s="8" t="s">
        <v>475</v>
      </c>
      <c r="AB755" s="8" t="s">
        <v>71</v>
      </c>
      <c r="AC755" s="8" t="s">
        <v>195</v>
      </c>
      <c r="AD755" s="8" t="s">
        <v>52</v>
      </c>
      <c r="AE755" s="8" t="s">
        <v>53</v>
      </c>
      <c r="AF755" s="8" t="s">
        <v>52</v>
      </c>
      <c r="AG755" s="8" t="s">
        <v>54</v>
      </c>
      <c r="AH755" s="8" t="s">
        <v>55</v>
      </c>
      <c r="AK755" s="8">
        <v>4</v>
      </c>
      <c r="AL755" s="8">
        <v>4</v>
      </c>
      <c r="AM755" s="8" t="s">
        <v>793</v>
      </c>
      <c r="AN755" s="8">
        <v>413</v>
      </c>
      <c r="AO755" s="8" t="s">
        <v>56</v>
      </c>
      <c r="AP755" s="8" t="s">
        <v>56</v>
      </c>
      <c r="AQ755" s="8" t="s">
        <v>118</v>
      </c>
      <c r="AR755" s="8">
        <v>8.09</v>
      </c>
      <c r="AS755" s="8" t="s">
        <v>56</v>
      </c>
      <c r="AT755" s="8" t="s">
        <v>56</v>
      </c>
      <c r="AU755" s="8">
        <v>823</v>
      </c>
      <c r="AV755" t="s">
        <v>56</v>
      </c>
      <c r="AW755" t="s">
        <v>56</v>
      </c>
      <c r="AX755">
        <v>7.85</v>
      </c>
      <c r="AY755" t="s">
        <v>56</v>
      </c>
      <c r="AZ755" t="s">
        <v>56</v>
      </c>
      <c r="BB755" s="8">
        <f>LOG(AU755)</f>
        <v>2.9153998352122699</v>
      </c>
      <c r="BC755" s="8">
        <v>-0.5</v>
      </c>
      <c r="BD755" s="8" t="s">
        <v>56</v>
      </c>
      <c r="BE755" s="8" t="s">
        <v>56</v>
      </c>
      <c r="BF755" s="8">
        <v>10.1</v>
      </c>
      <c r="BG755" s="8" t="s">
        <v>56</v>
      </c>
      <c r="BH755" s="8" t="s">
        <v>56</v>
      </c>
      <c r="BI755" s="8">
        <v>410</v>
      </c>
      <c r="BJ755" s="8">
        <v>11</v>
      </c>
      <c r="BK755" s="8" t="s">
        <v>56</v>
      </c>
      <c r="BL755" s="8" t="s">
        <v>792</v>
      </c>
      <c r="BM755" s="8" t="s">
        <v>86</v>
      </c>
      <c r="BN755" s="8" t="s">
        <v>81</v>
      </c>
      <c r="BO755" s="8" t="s">
        <v>82</v>
      </c>
      <c r="BP755" s="8" t="s">
        <v>9</v>
      </c>
      <c r="BQ755" s="8" t="s">
        <v>92</v>
      </c>
      <c r="BR755" s="8" t="s">
        <v>84</v>
      </c>
      <c r="BT755" s="8">
        <v>96</v>
      </c>
      <c r="BU755" s="8">
        <v>96</v>
      </c>
      <c r="BV755" s="8">
        <v>0.66666700000000001</v>
      </c>
      <c r="BW755" s="8">
        <f>BV755*SQRT(AK755)</f>
        <v>1.333334</v>
      </c>
      <c r="BX755" s="8">
        <v>0</v>
      </c>
      <c r="BY755" s="8">
        <v>0.96</v>
      </c>
      <c r="BZ755" s="8">
        <v>0</v>
      </c>
      <c r="CA755" s="8">
        <f>BZ755*SQRT(AL755)</f>
        <v>0</v>
      </c>
      <c r="CB755" s="8">
        <v>4</v>
      </c>
      <c r="CC755" s="8">
        <v>4</v>
      </c>
      <c r="CD755" s="8">
        <v>-4.6050000000000004</v>
      </c>
      <c r="CE755" s="8">
        <v>1E-4</v>
      </c>
      <c r="CF755" s="8" t="s">
        <v>1134</v>
      </c>
    </row>
    <row r="756" spans="1:84" s="8" customFormat="1" hidden="1" x14ac:dyDescent="0.2">
      <c r="B756" t="str">
        <f>ROW()-1&amp;"_AltersInvert"</f>
        <v>755_AltersInvert</v>
      </c>
      <c r="C756" t="str">
        <f>D756&amp;"_"&amp;
SUBSTITUTE(TRIM(V756)," ","_")&amp;"_"&amp;
TRIM(AC756)&amp;"_"&amp;
"CO2"&amp;TEXT(AN756,"0.00")&amp;"_"&amp;
"pH"&amp;TEXT(AR756,"0.00")&amp;"_"&amp;
"T"&amp;TEXT(BC756,"0.##")</f>
        <v>104_Odontaster_validus_EMBRYO_CO2413.00_pH8.09_T-0.5</v>
      </c>
      <c r="D756" s="8">
        <v>104</v>
      </c>
      <c r="G756" s="8" t="s">
        <v>43</v>
      </c>
      <c r="H756" s="8" t="s">
        <v>788</v>
      </c>
      <c r="I756" s="8" t="s">
        <v>1130</v>
      </c>
      <c r="J756" s="8">
        <v>2017</v>
      </c>
      <c r="M756" s="8" t="s">
        <v>789</v>
      </c>
      <c r="P756" t="s">
        <v>1135</v>
      </c>
      <c r="R756" s="8" t="s">
        <v>1127</v>
      </c>
      <c r="S756" t="s">
        <v>1128</v>
      </c>
      <c r="T756" s="8" t="s">
        <v>46</v>
      </c>
      <c r="U756" s="8" t="s">
        <v>790</v>
      </c>
      <c r="V756" s="8" t="s">
        <v>791</v>
      </c>
      <c r="W756" s="8" t="str">
        <f>IF(ISNUMBER(MATCH(V150,{"Doryteuthis pealeii","Loligo vulgaris","Leptuca thayeri","Stylocheilus striatus","Ophryotrocha labronica"},0)),"N","Y")</f>
        <v>Y</v>
      </c>
      <c r="Z756" s="8" t="s">
        <v>475</v>
      </c>
      <c r="AA756" s="8" t="s">
        <v>475</v>
      </c>
      <c r="AB756" s="8" t="s">
        <v>71</v>
      </c>
      <c r="AC756" s="8" t="s">
        <v>195</v>
      </c>
      <c r="AD756" s="8" t="s">
        <v>52</v>
      </c>
      <c r="AE756" s="8" t="s">
        <v>53</v>
      </c>
      <c r="AF756" s="8" t="s">
        <v>52</v>
      </c>
      <c r="AG756" s="8" t="s">
        <v>54</v>
      </c>
      <c r="AH756" s="8" t="s">
        <v>55</v>
      </c>
      <c r="AK756" s="8">
        <v>4</v>
      </c>
      <c r="AL756" s="8">
        <v>4</v>
      </c>
      <c r="AN756" s="8">
        <v>413</v>
      </c>
      <c r="AO756" s="8" t="s">
        <v>56</v>
      </c>
      <c r="AP756" s="8" t="s">
        <v>56</v>
      </c>
      <c r="AQ756" s="8" t="s">
        <v>118</v>
      </c>
      <c r="AR756" s="8">
        <v>8.09</v>
      </c>
      <c r="AS756" s="8" t="s">
        <v>56</v>
      </c>
      <c r="AT756" s="8" t="s">
        <v>56</v>
      </c>
      <c r="AU756" s="8">
        <v>823</v>
      </c>
      <c r="AV756" t="s">
        <v>56</v>
      </c>
      <c r="AW756" t="s">
        <v>56</v>
      </c>
      <c r="AX756">
        <v>7.81</v>
      </c>
      <c r="AY756" t="s">
        <v>56</v>
      </c>
      <c r="AZ756" t="s">
        <v>56</v>
      </c>
      <c r="BB756" s="8">
        <f>LOG(AU756)</f>
        <v>2.9153998352122699</v>
      </c>
      <c r="BC756" s="8">
        <v>-0.5</v>
      </c>
      <c r="BD756" s="8" t="s">
        <v>56</v>
      </c>
      <c r="BE756" s="8" t="s">
        <v>56</v>
      </c>
      <c r="BF756" s="8">
        <v>-0.5</v>
      </c>
      <c r="BG756" s="8" t="s">
        <v>56</v>
      </c>
      <c r="BH756" s="8" t="s">
        <v>56</v>
      </c>
      <c r="BI756" s="8">
        <v>410</v>
      </c>
      <c r="BJ756" s="8">
        <v>0</v>
      </c>
      <c r="BK756" s="8" t="s">
        <v>56</v>
      </c>
      <c r="BL756" s="8" t="s">
        <v>792</v>
      </c>
      <c r="BM756" s="8" t="s">
        <v>86</v>
      </c>
      <c r="BN756" s="8" t="s">
        <v>81</v>
      </c>
      <c r="BO756" s="8" t="s">
        <v>82</v>
      </c>
      <c r="BP756" s="8" t="s">
        <v>9</v>
      </c>
      <c r="BQ756" s="8" t="s">
        <v>190</v>
      </c>
      <c r="BR756" s="8" t="s">
        <v>84</v>
      </c>
      <c r="BT756" s="8">
        <v>96</v>
      </c>
      <c r="BU756" s="8">
        <v>96</v>
      </c>
      <c r="BV756" s="8">
        <v>0.67</v>
      </c>
      <c r="BW756" s="8">
        <f>BV756*SQRT(AK756)</f>
        <v>1.34</v>
      </c>
      <c r="BX756" s="8">
        <v>92</v>
      </c>
      <c r="BY756" s="8">
        <v>92</v>
      </c>
      <c r="BZ756" s="8">
        <v>2.67</v>
      </c>
      <c r="CA756" s="8">
        <f>BZ756*SQRT(AL756)</f>
        <v>5.34</v>
      </c>
      <c r="CB756" s="8">
        <v>4</v>
      </c>
      <c r="CC756" s="8">
        <v>4</v>
      </c>
      <c r="CD756" s="8">
        <v>-4.2999999999999997E-2</v>
      </c>
      <c r="CE756" s="8">
        <v>8.9999999999999998E-4</v>
      </c>
      <c r="CF756" s="8" t="s">
        <v>1134</v>
      </c>
    </row>
    <row r="757" spans="1:84" s="8" customFormat="1" hidden="1" x14ac:dyDescent="0.2">
      <c r="B757" t="str">
        <f>ROW()-1&amp;"_AltersInvert"</f>
        <v>756_AltersInvert</v>
      </c>
      <c r="C757" t="str">
        <f>D757&amp;"_"&amp;
SUBSTITUTE(TRIM(V757)," ","_")&amp;"_"&amp;
TRIM(AC757)&amp;"_"&amp;
"CO2"&amp;TEXT(AN757,"0.00")&amp;"_"&amp;
"pH"&amp;TEXT(AR757,"0.00")&amp;"_"&amp;
"T"&amp;TEXT(BC757,"0.##")</f>
        <v>104_Odontaster_validus_EMBRYO_CO2413.00_pH8.09_T-0.5</v>
      </c>
      <c r="D757" s="8">
        <v>104</v>
      </c>
      <c r="G757" s="8" t="s">
        <v>43</v>
      </c>
      <c r="H757" s="8" t="s">
        <v>788</v>
      </c>
      <c r="I757" s="8" t="s">
        <v>1130</v>
      </c>
      <c r="J757" s="8">
        <v>2017</v>
      </c>
      <c r="M757" s="8" t="s">
        <v>789</v>
      </c>
      <c r="P757" t="s">
        <v>1135</v>
      </c>
      <c r="R757" s="8" t="s">
        <v>1127</v>
      </c>
      <c r="S757" t="s">
        <v>1128</v>
      </c>
      <c r="T757" s="8" t="s">
        <v>46</v>
      </c>
      <c r="U757" s="8" t="s">
        <v>790</v>
      </c>
      <c r="V757" s="8" t="s">
        <v>791</v>
      </c>
      <c r="W757" s="8" t="str">
        <f>IF(ISNUMBER(MATCH(V151,{"Doryteuthis pealeii","Loligo vulgaris","Leptuca thayeri","Stylocheilus striatus","Ophryotrocha labronica"},0)),"N","Y")</f>
        <v>Y</v>
      </c>
      <c r="Z757" s="8" t="s">
        <v>475</v>
      </c>
      <c r="AA757" s="8" t="s">
        <v>475</v>
      </c>
      <c r="AB757" s="8" t="s">
        <v>71</v>
      </c>
      <c r="AC757" s="8" t="s">
        <v>195</v>
      </c>
      <c r="AD757" s="8" t="s">
        <v>52</v>
      </c>
      <c r="AE757" s="8" t="s">
        <v>53</v>
      </c>
      <c r="AF757" s="8" t="s">
        <v>54</v>
      </c>
      <c r="AG757" s="8" t="s">
        <v>52</v>
      </c>
      <c r="AH757" s="8" t="s">
        <v>65</v>
      </c>
      <c r="AK757" s="8">
        <v>4</v>
      </c>
      <c r="AL757" s="8">
        <v>4</v>
      </c>
      <c r="AN757" s="8">
        <v>413</v>
      </c>
      <c r="AO757" s="8" t="s">
        <v>56</v>
      </c>
      <c r="AP757" s="8" t="s">
        <v>56</v>
      </c>
      <c r="AQ757" s="8" t="s">
        <v>118</v>
      </c>
      <c r="AR757" s="8">
        <v>8.09</v>
      </c>
      <c r="AS757" s="8" t="s">
        <v>56</v>
      </c>
      <c r="AT757" s="8" t="s">
        <v>56</v>
      </c>
      <c r="AU757" s="8">
        <v>413</v>
      </c>
      <c r="AV757" t="s">
        <v>56</v>
      </c>
      <c r="AW757" t="s">
        <v>56</v>
      </c>
      <c r="AX757">
        <v>8.1199999999999992</v>
      </c>
      <c r="AY757" t="s">
        <v>56</v>
      </c>
      <c r="AZ757" t="s">
        <v>56</v>
      </c>
      <c r="BB757" s="8">
        <f>LOG(AU757)</f>
        <v>2.6159500516564012</v>
      </c>
      <c r="BC757" s="8">
        <v>-0.5</v>
      </c>
      <c r="BD757" s="8" t="s">
        <v>56</v>
      </c>
      <c r="BE757" s="8" t="s">
        <v>56</v>
      </c>
      <c r="BF757" s="8">
        <v>7</v>
      </c>
      <c r="BG757" s="8" t="s">
        <v>56</v>
      </c>
      <c r="BH757" s="8" t="s">
        <v>56</v>
      </c>
      <c r="BI757" s="8">
        <v>0</v>
      </c>
      <c r="BJ757" s="8">
        <v>7.5</v>
      </c>
      <c r="BK757" s="8" t="s">
        <v>56</v>
      </c>
      <c r="BL757" s="8" t="s">
        <v>792</v>
      </c>
      <c r="BM757" s="8" t="s">
        <v>86</v>
      </c>
      <c r="BN757" s="8" t="s">
        <v>81</v>
      </c>
      <c r="BO757" s="8" t="s">
        <v>82</v>
      </c>
      <c r="BP757" s="8" t="s">
        <v>9</v>
      </c>
      <c r="BQ757" s="8" t="s">
        <v>9</v>
      </c>
      <c r="BR757" s="8" t="s">
        <v>84</v>
      </c>
      <c r="BT757" s="8">
        <v>96</v>
      </c>
      <c r="BU757" s="8">
        <v>96</v>
      </c>
      <c r="BV757" s="8">
        <v>0.67</v>
      </c>
      <c r="BW757" s="8">
        <f>BV757*SQRT(AK757)</f>
        <v>1.34</v>
      </c>
      <c r="BX757" s="8">
        <v>36.67</v>
      </c>
      <c r="BY757" s="8">
        <v>36.6666667</v>
      </c>
      <c r="BZ757" s="8">
        <v>2</v>
      </c>
      <c r="CA757" s="8">
        <f>BZ757*SQRT(AL757)</f>
        <v>4</v>
      </c>
      <c r="CB757" s="8">
        <v>4</v>
      </c>
      <c r="CC757" s="8">
        <v>4</v>
      </c>
      <c r="CD757" s="8">
        <v>-0.96199999999999997</v>
      </c>
      <c r="CE757" s="8">
        <v>3.0000000000000001E-3</v>
      </c>
      <c r="CF757" s="8" t="s">
        <v>1134</v>
      </c>
    </row>
    <row r="758" spans="1:84" s="8" customFormat="1" hidden="1" x14ac:dyDescent="0.2">
      <c r="B758" t="str">
        <f>ROW()-1&amp;"_AltersInvert"</f>
        <v>757_AltersInvert</v>
      </c>
      <c r="C758" t="str">
        <f>D758&amp;"_"&amp;
SUBSTITUTE(TRIM(V758)," ","_")&amp;"_"&amp;
TRIM(AC758)&amp;"_"&amp;
"CO2"&amp;TEXT(AN758,"0.00")&amp;"_"&amp;
"pH"&amp;TEXT(AR758,"0.00")&amp;"_"&amp;
"T"&amp;TEXT(BC758,"0.##")</f>
        <v>104_Odontaster_validus_EMBRYO_CO2413.00_pH8.09_T-0.5</v>
      </c>
      <c r="D758" s="8">
        <v>104</v>
      </c>
      <c r="G758" s="8" t="s">
        <v>43</v>
      </c>
      <c r="H758" s="8" t="s">
        <v>788</v>
      </c>
      <c r="I758" s="8" t="s">
        <v>1130</v>
      </c>
      <c r="J758" s="8">
        <v>2017</v>
      </c>
      <c r="M758" s="8" t="s">
        <v>789</v>
      </c>
      <c r="P758" t="s">
        <v>1135</v>
      </c>
      <c r="R758" s="8" t="s">
        <v>1127</v>
      </c>
      <c r="S758" t="s">
        <v>1128</v>
      </c>
      <c r="T758" s="8" t="s">
        <v>46</v>
      </c>
      <c r="U758" s="8" t="s">
        <v>790</v>
      </c>
      <c r="V758" s="8" t="s">
        <v>791</v>
      </c>
      <c r="W758" s="8" t="str">
        <f>IF(ISNUMBER(MATCH(V152,{"Doryteuthis pealeii","Loligo vulgaris","Leptuca thayeri","Stylocheilus striatus","Ophryotrocha labronica"},0)),"N","Y")</f>
        <v>Y</v>
      </c>
      <c r="Z758" s="8" t="s">
        <v>475</v>
      </c>
      <c r="AA758" s="8" t="s">
        <v>475</v>
      </c>
      <c r="AB758" s="8" t="s">
        <v>71</v>
      </c>
      <c r="AC758" s="8" t="s">
        <v>195</v>
      </c>
      <c r="AD758" s="8" t="s">
        <v>52</v>
      </c>
      <c r="AE758" s="8" t="s">
        <v>53</v>
      </c>
      <c r="AF758" s="8" t="s">
        <v>52</v>
      </c>
      <c r="AG758" s="8" t="s">
        <v>52</v>
      </c>
      <c r="AH758" s="8" t="s">
        <v>64</v>
      </c>
      <c r="AK758" s="8">
        <v>4</v>
      </c>
      <c r="AL758" s="8">
        <v>4</v>
      </c>
      <c r="AN758" s="8">
        <v>413</v>
      </c>
      <c r="AO758" s="8" t="s">
        <v>56</v>
      </c>
      <c r="AP758" s="8" t="s">
        <v>56</v>
      </c>
      <c r="AQ758" s="8" t="s">
        <v>118</v>
      </c>
      <c r="AR758" s="8">
        <v>8.09</v>
      </c>
      <c r="AS758" s="8" t="s">
        <v>56</v>
      </c>
      <c r="AT758" s="8" t="s">
        <v>56</v>
      </c>
      <c r="AU758" s="8">
        <v>823</v>
      </c>
      <c r="AV758" t="s">
        <v>56</v>
      </c>
      <c r="AW758" t="s">
        <v>56</v>
      </c>
      <c r="AX758">
        <v>7.84</v>
      </c>
      <c r="AY758" t="s">
        <v>56</v>
      </c>
      <c r="AZ758" t="s">
        <v>56</v>
      </c>
      <c r="BB758" s="8">
        <f>LOG(AU758)</f>
        <v>2.9153998352122699</v>
      </c>
      <c r="BC758" s="8">
        <v>-0.5</v>
      </c>
      <c r="BD758" s="8" t="s">
        <v>56</v>
      </c>
      <c r="BE758" s="8" t="s">
        <v>56</v>
      </c>
      <c r="BF758" s="8">
        <v>7</v>
      </c>
      <c r="BG758" s="8" t="s">
        <v>56</v>
      </c>
      <c r="BH758" s="8" t="s">
        <v>56</v>
      </c>
      <c r="BI758" s="8">
        <v>410</v>
      </c>
      <c r="BJ758" s="8">
        <v>7.5</v>
      </c>
      <c r="BK758" s="8" t="s">
        <v>56</v>
      </c>
      <c r="BL758" s="8" t="s">
        <v>792</v>
      </c>
      <c r="BM758" s="8" t="s">
        <v>86</v>
      </c>
      <c r="BN758" s="8" t="s">
        <v>81</v>
      </c>
      <c r="BO758" s="8" t="s">
        <v>82</v>
      </c>
      <c r="BP758" s="8" t="s">
        <v>9</v>
      </c>
      <c r="BQ758" s="8" t="s">
        <v>194</v>
      </c>
      <c r="BR758" s="8" t="s">
        <v>84</v>
      </c>
      <c r="BT758" s="8">
        <v>96</v>
      </c>
      <c r="BU758" s="8">
        <v>96</v>
      </c>
      <c r="BV758" s="8">
        <v>0.67</v>
      </c>
      <c r="BW758" s="8">
        <f>BV758*SQRT(AK758)</f>
        <v>1.34</v>
      </c>
      <c r="BX758" s="8">
        <v>38</v>
      </c>
      <c r="BY758" s="8">
        <v>38</v>
      </c>
      <c r="BZ758" s="8">
        <v>0.67</v>
      </c>
      <c r="CA758" s="8">
        <f>BZ758*SQRT(AL758)</f>
        <v>1.34</v>
      </c>
      <c r="CB758" s="8">
        <v>4</v>
      </c>
      <c r="CC758" s="8">
        <v>4</v>
      </c>
      <c r="CD758" s="8">
        <v>-0.92700000000000005</v>
      </c>
      <c r="CE758" s="8">
        <v>4.0000000000000002E-4</v>
      </c>
      <c r="CF758" s="8" t="s">
        <v>1134</v>
      </c>
    </row>
    <row r="759" spans="1:84" s="8" customFormat="1" hidden="1" x14ac:dyDescent="0.2">
      <c r="A759"/>
      <c r="B759" t="str">
        <f>ROW()-1&amp;"_AltersInvert"</f>
        <v>758_AltersInvert</v>
      </c>
      <c r="C759" t="str">
        <f>D759&amp;"_"&amp;
SUBSTITUTE(TRIM(V759)," ","_")&amp;"_"&amp;
TRIM(AC759)&amp;"_"&amp;
"CO2"&amp;TEXT(AN759,"0.00")&amp;"_"&amp;
"pH"&amp;TEXT(AR759,"0.00")&amp;"_"&amp;
"T"&amp;TEXT(BC759,"0.##")</f>
        <v>8_Strongylocentrotus_purpuratus_LARVA_CO2397.00_pH8.02_T13.6</v>
      </c>
      <c r="D759">
        <v>8</v>
      </c>
      <c r="E759"/>
      <c r="F759"/>
      <c r="G759" t="s">
        <v>43</v>
      </c>
      <c r="H759" t="s">
        <v>173</v>
      </c>
      <c r="I759"/>
      <c r="J759">
        <v>2013</v>
      </c>
      <c r="K759"/>
      <c r="L759"/>
      <c r="M759" t="s">
        <v>174</v>
      </c>
      <c r="N759"/>
      <c r="O759"/>
      <c r="P759" t="s">
        <v>1135</v>
      </c>
      <c r="Q759"/>
      <c r="R759" t="s">
        <v>1127</v>
      </c>
      <c r="S759" t="s">
        <v>1128</v>
      </c>
      <c r="T759" t="s">
        <v>46</v>
      </c>
      <c r="U759" t="s">
        <v>175</v>
      </c>
      <c r="V759" t="s">
        <v>176</v>
      </c>
      <c r="W759"/>
      <c r="X759"/>
      <c r="Y759"/>
      <c r="Z759" t="s">
        <v>177</v>
      </c>
      <c r="AA759" t="s">
        <v>177</v>
      </c>
      <c r="AB759" t="s">
        <v>71</v>
      </c>
      <c r="AC759" t="s">
        <v>72</v>
      </c>
      <c r="AD759" t="s">
        <v>54</v>
      </c>
      <c r="AE759" t="s">
        <v>53</v>
      </c>
      <c r="AF759" t="s">
        <v>52</v>
      </c>
      <c r="AG759" t="s">
        <v>54</v>
      </c>
      <c r="AH759" t="s">
        <v>55</v>
      </c>
      <c r="AI759"/>
      <c r="AJ759"/>
      <c r="AK759">
        <v>6</v>
      </c>
      <c r="AL759">
        <v>6</v>
      </c>
      <c r="AM759"/>
      <c r="AN759">
        <v>397</v>
      </c>
      <c r="AO759">
        <v>6</v>
      </c>
      <c r="AP759" t="s">
        <v>56</v>
      </c>
      <c r="AQ759" t="s">
        <v>109</v>
      </c>
      <c r="AR759">
        <v>8.02</v>
      </c>
      <c r="AS759">
        <v>0.02</v>
      </c>
      <c r="AT759" t="s">
        <v>56</v>
      </c>
      <c r="AU759">
        <v>1124</v>
      </c>
      <c r="AV759">
        <v>24</v>
      </c>
      <c r="AW759" t="s">
        <v>56</v>
      </c>
      <c r="AX759">
        <v>7.62</v>
      </c>
      <c r="AY759">
        <v>0.02</v>
      </c>
      <c r="AZ759" t="s">
        <v>56</v>
      </c>
      <c r="BA759"/>
      <c r="BB759">
        <f>LOG(AU759)</f>
        <v>3.0507663112330423</v>
      </c>
      <c r="BC759">
        <v>13.6</v>
      </c>
      <c r="BD759">
        <v>0.1</v>
      </c>
      <c r="BE759" t="s">
        <v>56</v>
      </c>
      <c r="BF759">
        <v>13.6</v>
      </c>
      <c r="BG759">
        <v>0.1</v>
      </c>
      <c r="BH759" t="s">
        <v>56</v>
      </c>
      <c r="BI759">
        <v>727</v>
      </c>
      <c r="BJ759">
        <v>0</v>
      </c>
      <c r="BK759" t="s">
        <v>56</v>
      </c>
      <c r="BL759" t="s">
        <v>182</v>
      </c>
      <c r="BM759" t="s">
        <v>59</v>
      </c>
      <c r="BN759" t="s">
        <v>60</v>
      </c>
      <c r="BO759" t="s">
        <v>183</v>
      </c>
      <c r="BP759" t="s">
        <v>62</v>
      </c>
      <c r="BQ759" t="s">
        <v>194</v>
      </c>
      <c r="BR759" t="s">
        <v>63</v>
      </c>
      <c r="BS759"/>
      <c r="BT759">
        <v>8.23</v>
      </c>
      <c r="BU759">
        <v>8.23</v>
      </c>
      <c r="BV759">
        <v>0.55000000000000004</v>
      </c>
      <c r="BW759">
        <f>BV759*SQRT(AK759)</f>
        <v>1.3472193585307479</v>
      </c>
      <c r="BX759">
        <v>7.92</v>
      </c>
      <c r="BY759">
        <v>7.92</v>
      </c>
      <c r="BZ759">
        <v>0.45</v>
      </c>
      <c r="CA759">
        <f>BZ759*SQRT(AL759)</f>
        <v>1.1022703842524302</v>
      </c>
      <c r="CB759">
        <v>3</v>
      </c>
      <c r="CC759">
        <v>4</v>
      </c>
      <c r="CD759">
        <v>-3.7999999999999999E-2</v>
      </c>
      <c r="CE759">
        <v>7.7000000000000002E-3</v>
      </c>
      <c r="CF759"/>
    </row>
    <row r="760" spans="1:84" s="8" customFormat="1" hidden="1" x14ac:dyDescent="0.2">
      <c r="A760"/>
      <c r="B760" t="str">
        <f>ROW()-1&amp;"_AltersInvert"</f>
        <v>759_AltersInvert</v>
      </c>
      <c r="C760" t="str">
        <f>D760&amp;"_"&amp;
SUBSTITUTE(TRIM(V760)," ","_")&amp;"_"&amp;
TRIM(AC760)&amp;"_"&amp;
"CO2"&amp;TEXT(AN760,"0.00")&amp;"_"&amp;
"pH"&amp;TEXT(AR760,"0.00")&amp;"_"&amp;
"T"&amp;TEXT(BC760,"0.##")</f>
        <v>8_Strongylocentrotus_purpuratus_LARVA_CO2397.00_pH8.02_T13.6</v>
      </c>
      <c r="D760">
        <v>8</v>
      </c>
      <c r="E760"/>
      <c r="F760"/>
      <c r="G760" t="s">
        <v>43</v>
      </c>
      <c r="H760" t="s">
        <v>173</v>
      </c>
      <c r="I760"/>
      <c r="J760">
        <v>2013</v>
      </c>
      <c r="K760"/>
      <c r="L760"/>
      <c r="M760" t="s">
        <v>174</v>
      </c>
      <c r="N760"/>
      <c r="O760"/>
      <c r="P760" t="s">
        <v>1135</v>
      </c>
      <c r="Q760"/>
      <c r="R760" t="s">
        <v>1127</v>
      </c>
      <c r="S760" t="s">
        <v>1128</v>
      </c>
      <c r="T760" t="s">
        <v>46</v>
      </c>
      <c r="U760" t="s">
        <v>175</v>
      </c>
      <c r="V760" t="s">
        <v>176</v>
      </c>
      <c r="W760"/>
      <c r="X760"/>
      <c r="Y760"/>
      <c r="Z760" t="s">
        <v>177</v>
      </c>
      <c r="AA760" t="s">
        <v>177</v>
      </c>
      <c r="AB760" t="s">
        <v>71</v>
      </c>
      <c r="AC760" t="s">
        <v>72</v>
      </c>
      <c r="AD760" t="s">
        <v>54</v>
      </c>
      <c r="AE760" t="s">
        <v>53</v>
      </c>
      <c r="AF760" t="s">
        <v>54</v>
      </c>
      <c r="AG760" t="s">
        <v>52</v>
      </c>
      <c r="AH760" t="s">
        <v>65</v>
      </c>
      <c r="AI760"/>
      <c r="AJ760"/>
      <c r="AK760">
        <v>6</v>
      </c>
      <c r="AL760">
        <v>6</v>
      </c>
      <c r="AM760"/>
      <c r="AN760">
        <v>397</v>
      </c>
      <c r="AO760">
        <v>6</v>
      </c>
      <c r="AP760" t="s">
        <v>56</v>
      </c>
      <c r="AQ760" t="s">
        <v>109</v>
      </c>
      <c r="AR760">
        <v>8.02</v>
      </c>
      <c r="AS760">
        <v>0.02</v>
      </c>
      <c r="AT760" t="s">
        <v>56</v>
      </c>
      <c r="AU760">
        <v>398</v>
      </c>
      <c r="AV760">
        <v>9</v>
      </c>
      <c r="AW760" t="s">
        <v>56</v>
      </c>
      <c r="AX760">
        <v>8.0399999999999991</v>
      </c>
      <c r="AY760">
        <v>0.02</v>
      </c>
      <c r="AZ760" t="s">
        <v>56</v>
      </c>
      <c r="BA760"/>
      <c r="BB760">
        <f>LOG(AU760)</f>
        <v>2.5998830720736876</v>
      </c>
      <c r="BC760">
        <v>13.6</v>
      </c>
      <c r="BD760">
        <v>0.1</v>
      </c>
      <c r="BE760" t="s">
        <v>56</v>
      </c>
      <c r="BF760">
        <v>18.399999999999999</v>
      </c>
      <c r="BG760">
        <v>0</v>
      </c>
      <c r="BH760" t="s">
        <v>56</v>
      </c>
      <c r="BI760">
        <v>1</v>
      </c>
      <c r="BJ760">
        <v>4.8</v>
      </c>
      <c r="BK760" t="s">
        <v>56</v>
      </c>
      <c r="BL760" t="s">
        <v>182</v>
      </c>
      <c r="BM760" t="s">
        <v>59</v>
      </c>
      <c r="BN760" t="s">
        <v>60</v>
      </c>
      <c r="BO760" t="s">
        <v>183</v>
      </c>
      <c r="BP760" t="s">
        <v>62</v>
      </c>
      <c r="BQ760" t="s">
        <v>194</v>
      </c>
      <c r="BR760" t="s">
        <v>63</v>
      </c>
      <c r="BS760"/>
      <c r="BT760">
        <v>8.23</v>
      </c>
      <c r="BU760">
        <v>8.23</v>
      </c>
      <c r="BV760">
        <v>0.55000000000000004</v>
      </c>
      <c r="BW760">
        <f>BV760*SQRT(AK760)</f>
        <v>1.3472193585307479</v>
      </c>
      <c r="BX760">
        <v>12.86</v>
      </c>
      <c r="BY760">
        <v>12.86</v>
      </c>
      <c r="BZ760">
        <v>0.96</v>
      </c>
      <c r="CA760">
        <f>BZ760*SQRT(AL760)</f>
        <v>2.3515101530718505</v>
      </c>
      <c r="CB760">
        <v>3</v>
      </c>
      <c r="CC760">
        <v>4</v>
      </c>
      <c r="CD760">
        <v>0.44600000000000001</v>
      </c>
      <c r="CE760">
        <v>0.01</v>
      </c>
      <c r="CF760"/>
    </row>
    <row r="761" spans="1:84" s="8" customFormat="1" hidden="1" x14ac:dyDescent="0.2">
      <c r="A761"/>
      <c r="B761" t="str">
        <f>ROW()-1&amp;"_AltersInvert"</f>
        <v>760_AltersInvert</v>
      </c>
      <c r="C761" t="str">
        <f>D761&amp;"_"&amp;
SUBSTITUTE(TRIM(V761)," ","_")&amp;"_"&amp;
TRIM(AC761)&amp;"_"&amp;
"CO2"&amp;TEXT(AN761,"0.00")&amp;"_"&amp;
"pH"&amp;TEXT(AR761,"0.00")&amp;"_"&amp;
"T"&amp;TEXT(BC761,"0.##")</f>
        <v>8_Strongylocentrotus_purpuratus_LARVA_CO2397.00_pH8.02_T13.6</v>
      </c>
      <c r="D761">
        <v>8</v>
      </c>
      <c r="E761"/>
      <c r="F761"/>
      <c r="G761" t="s">
        <v>43</v>
      </c>
      <c r="H761" t="s">
        <v>173</v>
      </c>
      <c r="I761"/>
      <c r="J761">
        <v>2013</v>
      </c>
      <c r="K761"/>
      <c r="L761"/>
      <c r="M761" t="s">
        <v>174</v>
      </c>
      <c r="N761"/>
      <c r="O761"/>
      <c r="P761" t="s">
        <v>1135</v>
      </c>
      <c r="Q761"/>
      <c r="R761" t="s">
        <v>1127</v>
      </c>
      <c r="S761" t="s">
        <v>1128</v>
      </c>
      <c r="T761" t="s">
        <v>46</v>
      </c>
      <c r="U761" t="s">
        <v>175</v>
      </c>
      <c r="V761" t="s">
        <v>176</v>
      </c>
      <c r="W761"/>
      <c r="X761"/>
      <c r="Y761"/>
      <c r="Z761" t="s">
        <v>177</v>
      </c>
      <c r="AA761" t="s">
        <v>177</v>
      </c>
      <c r="AB761" t="s">
        <v>71</v>
      </c>
      <c r="AC761" t="s">
        <v>72</v>
      </c>
      <c r="AD761" t="s">
        <v>54</v>
      </c>
      <c r="AE761" t="s">
        <v>53</v>
      </c>
      <c r="AF761" t="s">
        <v>52</v>
      </c>
      <c r="AG761" t="s">
        <v>52</v>
      </c>
      <c r="AH761" t="s">
        <v>64</v>
      </c>
      <c r="AI761"/>
      <c r="AJ761"/>
      <c r="AK761">
        <v>6</v>
      </c>
      <c r="AL761">
        <v>6</v>
      </c>
      <c r="AM761"/>
      <c r="AN761">
        <v>397</v>
      </c>
      <c r="AO761">
        <v>6</v>
      </c>
      <c r="AP761" t="s">
        <v>56</v>
      </c>
      <c r="AQ761" t="s">
        <v>109</v>
      </c>
      <c r="AR761">
        <v>8.02</v>
      </c>
      <c r="AS761">
        <v>0.02</v>
      </c>
      <c r="AT761" t="s">
        <v>56</v>
      </c>
      <c r="AU761">
        <v>1181</v>
      </c>
      <c r="AV761">
        <v>12</v>
      </c>
      <c r="AW761" t="s">
        <v>56</v>
      </c>
      <c r="AX761">
        <v>7.58</v>
      </c>
      <c r="AY761">
        <v>0.02</v>
      </c>
      <c r="AZ761" t="s">
        <v>56</v>
      </c>
      <c r="BA761"/>
      <c r="BB761">
        <f>LOG(AU761)</f>
        <v>3.0722498976135149</v>
      </c>
      <c r="BC761">
        <v>13.6</v>
      </c>
      <c r="BD761">
        <v>0.1</v>
      </c>
      <c r="BE761" t="s">
        <v>56</v>
      </c>
      <c r="BF761">
        <v>18.399999999999999</v>
      </c>
      <c r="BG761">
        <v>0</v>
      </c>
      <c r="BH761" t="s">
        <v>56</v>
      </c>
      <c r="BI761">
        <v>784</v>
      </c>
      <c r="BJ761">
        <v>4.8</v>
      </c>
      <c r="BK761" t="s">
        <v>56</v>
      </c>
      <c r="BL761" t="s">
        <v>182</v>
      </c>
      <c r="BM761" t="s">
        <v>59</v>
      </c>
      <c r="BN761" t="s">
        <v>60</v>
      </c>
      <c r="BO761" t="s">
        <v>183</v>
      </c>
      <c r="BP761" t="s">
        <v>62</v>
      </c>
      <c r="BQ761" t="s">
        <v>194</v>
      </c>
      <c r="BR761" t="s">
        <v>63</v>
      </c>
      <c r="BS761"/>
      <c r="BT761">
        <v>8.23</v>
      </c>
      <c r="BU761">
        <v>8.23</v>
      </c>
      <c r="BV761">
        <v>0.55000000000000004</v>
      </c>
      <c r="BW761">
        <f>BV761*SQRT(AK761)</f>
        <v>1.3472193585307479</v>
      </c>
      <c r="BX761">
        <v>9.8000000000000007</v>
      </c>
      <c r="BY761">
        <v>9.8000000000000007</v>
      </c>
      <c r="BZ761">
        <v>0.86</v>
      </c>
      <c r="CA761">
        <f>BZ761*SQRT(AL761)</f>
        <v>2.106561178793533</v>
      </c>
      <c r="CB761">
        <v>3</v>
      </c>
      <c r="CC761">
        <v>4</v>
      </c>
      <c r="CD761">
        <v>0.17499999999999999</v>
      </c>
      <c r="CE761">
        <v>1.2200000000000001E-2</v>
      </c>
      <c r="CF761"/>
    </row>
    <row r="762" spans="1:84" s="8" customFormat="1" hidden="1" x14ac:dyDescent="0.2">
      <c r="A762"/>
      <c r="B762" t="str">
        <f>ROW()-1&amp;"_AltersInvert"</f>
        <v>761_AltersInvert</v>
      </c>
      <c r="C762" t="str">
        <f>D762&amp;"_"&amp;
SUBSTITUTE(TRIM(V762)," ","_")&amp;"_"&amp;
TRIM(AC762)&amp;"_"&amp;
"CO2"&amp;TEXT(AN762,"0.00")&amp;"_"&amp;
"pH"&amp;TEXT(AR762,"0.00")&amp;"_"&amp;
"T"&amp;TEXT(BC762,"0.##")</f>
        <v>10_Pocillopora_damicornis _LARVA_CO2420.00_pH8.03_T25.3</v>
      </c>
      <c r="D762">
        <v>10</v>
      </c>
      <c r="E762"/>
      <c r="F762"/>
      <c r="G762" t="s">
        <v>43</v>
      </c>
      <c r="H762" t="s">
        <v>199</v>
      </c>
      <c r="I762"/>
      <c r="J762">
        <v>2013</v>
      </c>
      <c r="K762"/>
      <c r="L762"/>
      <c r="M762" t="s">
        <v>200</v>
      </c>
      <c r="N762"/>
      <c r="O762"/>
      <c r="P762" t="s">
        <v>1135</v>
      </c>
      <c r="Q762"/>
      <c r="R762" t="s">
        <v>1127</v>
      </c>
      <c r="S762" t="s">
        <v>1128</v>
      </c>
      <c r="T762" t="s">
        <v>103</v>
      </c>
      <c r="U762" t="s">
        <v>201</v>
      </c>
      <c r="V762" t="s">
        <v>202</v>
      </c>
      <c r="W762"/>
      <c r="X762"/>
      <c r="Y762"/>
      <c r="Z762" t="s">
        <v>106</v>
      </c>
      <c r="AA762" t="s">
        <v>107</v>
      </c>
      <c r="AB762" t="s">
        <v>71</v>
      </c>
      <c r="AC762" t="s">
        <v>72</v>
      </c>
      <c r="AD762" t="s">
        <v>52</v>
      </c>
      <c r="AE762" t="s">
        <v>56</v>
      </c>
      <c r="AF762" t="s">
        <v>52</v>
      </c>
      <c r="AG762" t="s">
        <v>54</v>
      </c>
      <c r="AH762" t="s">
        <v>55</v>
      </c>
      <c r="AI762"/>
      <c r="AJ762"/>
      <c r="AK762">
        <v>3</v>
      </c>
      <c r="AL762">
        <v>3</v>
      </c>
      <c r="AM762"/>
      <c r="AN762">
        <v>420</v>
      </c>
      <c r="AO762">
        <v>13</v>
      </c>
      <c r="AP762" t="s">
        <v>56</v>
      </c>
      <c r="AQ762" t="s">
        <v>109</v>
      </c>
      <c r="AR762">
        <v>8.0299999999999994</v>
      </c>
      <c r="AS762">
        <v>0.01</v>
      </c>
      <c r="AT762" t="s">
        <v>56</v>
      </c>
      <c r="AU762">
        <v>607</v>
      </c>
      <c r="AV762">
        <v>15</v>
      </c>
      <c r="AW762" t="s">
        <v>56</v>
      </c>
      <c r="AX762">
        <v>7.9</v>
      </c>
      <c r="AY762">
        <v>0.01</v>
      </c>
      <c r="AZ762" t="s">
        <v>56</v>
      </c>
      <c r="BA762"/>
      <c r="BB762">
        <f>LOG(AU762)</f>
        <v>2.7831886910752575</v>
      </c>
      <c r="BC762">
        <v>25.3</v>
      </c>
      <c r="BD762">
        <v>0.1</v>
      </c>
      <c r="BE762" t="s">
        <v>56</v>
      </c>
      <c r="BF762">
        <v>25.5</v>
      </c>
      <c r="BG762">
        <v>0.1</v>
      </c>
      <c r="BH762" t="s">
        <v>56</v>
      </c>
      <c r="BI762">
        <v>187</v>
      </c>
      <c r="BJ762">
        <v>0.2</v>
      </c>
      <c r="BK762" t="s">
        <v>56</v>
      </c>
      <c r="BL762" t="s">
        <v>208</v>
      </c>
      <c r="BM762" t="s">
        <v>209</v>
      </c>
      <c r="BN762" t="s">
        <v>60</v>
      </c>
      <c r="BO762" t="s">
        <v>56</v>
      </c>
      <c r="BP762" t="s">
        <v>194</v>
      </c>
      <c r="BQ762" t="s">
        <v>194</v>
      </c>
      <c r="BR762" t="s">
        <v>63</v>
      </c>
      <c r="BS762"/>
      <c r="BT762">
        <v>2.94</v>
      </c>
      <c r="BU762">
        <v>2.938329</v>
      </c>
      <c r="BV762">
        <v>0.79</v>
      </c>
      <c r="BW762">
        <f>BV762*SQRT(AK762)</f>
        <v>1.368320137979413</v>
      </c>
      <c r="BX762">
        <v>2.74</v>
      </c>
      <c r="BY762">
        <v>2.7406904999999999</v>
      </c>
      <c r="BZ762">
        <v>0.33</v>
      </c>
      <c r="CA762">
        <f>BZ762*SQRT(AL762)</f>
        <v>0.57157676649772948</v>
      </c>
      <c r="CB762">
        <v>9</v>
      </c>
      <c r="CC762">
        <v>4</v>
      </c>
      <c r="CD762">
        <v>-7.0000000000000007E-2</v>
      </c>
      <c r="CE762">
        <v>8.6300000000000002E-2</v>
      </c>
      <c r="CF762"/>
    </row>
    <row r="763" spans="1:84" s="8" customFormat="1" hidden="1" x14ac:dyDescent="0.2">
      <c r="A763"/>
      <c r="B763" t="str">
        <f>ROW()-1&amp;"_AltersInvert"</f>
        <v>762_AltersInvert</v>
      </c>
      <c r="C763" t="str">
        <f>D763&amp;"_"&amp;
SUBSTITUTE(TRIM(V763)," ","_")&amp;"_"&amp;
TRIM(AC763)&amp;"_"&amp;
"CO2"&amp;TEXT(AN763,"0.00")&amp;"_"&amp;
"pH"&amp;TEXT(AR763,"0.00")&amp;"_"&amp;
"T"&amp;TEXT(BC763,"0.##")</f>
        <v>10_Pocillopora_damicornis _LARVA_CO2420.00_pH8.03_T25.3</v>
      </c>
      <c r="D763">
        <v>10</v>
      </c>
      <c r="E763"/>
      <c r="F763"/>
      <c r="G763" t="s">
        <v>43</v>
      </c>
      <c r="H763" t="s">
        <v>199</v>
      </c>
      <c r="I763"/>
      <c r="J763">
        <v>2013</v>
      </c>
      <c r="K763"/>
      <c r="L763"/>
      <c r="M763" t="s">
        <v>200</v>
      </c>
      <c r="N763"/>
      <c r="O763"/>
      <c r="P763" t="s">
        <v>1135</v>
      </c>
      <c r="Q763"/>
      <c r="R763" t="s">
        <v>1127</v>
      </c>
      <c r="S763" t="s">
        <v>1128</v>
      </c>
      <c r="T763" t="s">
        <v>103</v>
      </c>
      <c r="U763" t="s">
        <v>201</v>
      </c>
      <c r="V763" t="s">
        <v>202</v>
      </c>
      <c r="W763"/>
      <c r="X763"/>
      <c r="Y763"/>
      <c r="Z763" t="s">
        <v>106</v>
      </c>
      <c r="AA763" t="s">
        <v>107</v>
      </c>
      <c r="AB763" t="s">
        <v>71</v>
      </c>
      <c r="AC763" t="s">
        <v>72</v>
      </c>
      <c r="AD763" t="s">
        <v>52</v>
      </c>
      <c r="AE763" t="s">
        <v>56</v>
      </c>
      <c r="AF763" t="s">
        <v>54</v>
      </c>
      <c r="AG763" t="s">
        <v>52</v>
      </c>
      <c r="AH763" t="s">
        <v>65</v>
      </c>
      <c r="AI763"/>
      <c r="AJ763"/>
      <c r="AK763">
        <v>3</v>
      </c>
      <c r="AL763">
        <v>4</v>
      </c>
      <c r="AM763"/>
      <c r="AN763">
        <v>420</v>
      </c>
      <c r="AO763">
        <v>13</v>
      </c>
      <c r="AP763" t="s">
        <v>56</v>
      </c>
      <c r="AQ763" t="s">
        <v>109</v>
      </c>
      <c r="AR763">
        <v>8.0299999999999994</v>
      </c>
      <c r="AS763">
        <v>0.01</v>
      </c>
      <c r="AT763" t="s">
        <v>56</v>
      </c>
      <c r="AU763">
        <v>413</v>
      </c>
      <c r="AV763">
        <v>16</v>
      </c>
      <c r="AW763" t="s">
        <v>56</v>
      </c>
      <c r="AX763">
        <v>8.0500000000000007</v>
      </c>
      <c r="AY763">
        <v>0.02</v>
      </c>
      <c r="AZ763" t="s">
        <v>56</v>
      </c>
      <c r="BA763"/>
      <c r="BB763">
        <f>LOG(AU763)</f>
        <v>2.6159500516564012</v>
      </c>
      <c r="BC763">
        <v>25.3</v>
      </c>
      <c r="BD763">
        <v>0.1</v>
      </c>
      <c r="BE763" t="s">
        <v>56</v>
      </c>
      <c r="BF763">
        <v>29</v>
      </c>
      <c r="BG763">
        <v>0.2</v>
      </c>
      <c r="BH763" t="s">
        <v>56</v>
      </c>
      <c r="BI763">
        <v>-7</v>
      </c>
      <c r="BJ763">
        <v>3.7</v>
      </c>
      <c r="BK763" t="s">
        <v>56</v>
      </c>
      <c r="BL763" t="s">
        <v>208</v>
      </c>
      <c r="BM763" t="s">
        <v>209</v>
      </c>
      <c r="BN763" t="s">
        <v>60</v>
      </c>
      <c r="BO763" t="s">
        <v>56</v>
      </c>
      <c r="BP763" t="s">
        <v>194</v>
      </c>
      <c r="BQ763" t="s">
        <v>194</v>
      </c>
      <c r="BR763" t="s">
        <v>63</v>
      </c>
      <c r="BS763"/>
      <c r="BT763">
        <v>2.94</v>
      </c>
      <c r="BU763">
        <v>2.938329</v>
      </c>
      <c r="BV763">
        <v>0.79</v>
      </c>
      <c r="BW763">
        <f>BV763*SQRT(AK763)</f>
        <v>1.368320137979413</v>
      </c>
      <c r="BX763">
        <v>2.88</v>
      </c>
      <c r="BY763">
        <v>2.8763505</v>
      </c>
      <c r="BZ763">
        <v>0.66</v>
      </c>
      <c r="CA763">
        <f>BZ763*SQRT(AL763)</f>
        <v>1.32</v>
      </c>
      <c r="CB763">
        <v>9</v>
      </c>
      <c r="CC763">
        <v>4</v>
      </c>
      <c r="CD763">
        <v>-2.1000000000000001E-2</v>
      </c>
      <c r="CE763">
        <v>0.124</v>
      </c>
      <c r="CF763"/>
    </row>
    <row r="764" spans="1:84" s="8" customFormat="1" hidden="1" x14ac:dyDescent="0.2">
      <c r="A764"/>
      <c r="B764" t="str">
        <f>ROW()-1&amp;"_AltersInvert"</f>
        <v>763_AltersInvert</v>
      </c>
      <c r="C764" t="str">
        <f>D764&amp;"_"&amp;
SUBSTITUTE(TRIM(V764)," ","_")&amp;"_"&amp;
TRIM(AC764)&amp;"_"&amp;
"CO2"&amp;TEXT(AN764,"0.00")&amp;"_"&amp;
"pH"&amp;TEXT(AR764,"0.00")&amp;"_"&amp;
"T"&amp;TEXT(BC764,"0.##")</f>
        <v>10_Pocillopora_damicornis _LARVA_CO2420.00_pH8.03_T25.3</v>
      </c>
      <c r="D764">
        <v>10</v>
      </c>
      <c r="E764"/>
      <c r="F764"/>
      <c r="G764" t="s">
        <v>43</v>
      </c>
      <c r="H764" t="s">
        <v>199</v>
      </c>
      <c r="I764"/>
      <c r="J764">
        <v>2013</v>
      </c>
      <c r="K764"/>
      <c r="L764"/>
      <c r="M764" t="s">
        <v>200</v>
      </c>
      <c r="N764"/>
      <c r="O764"/>
      <c r="P764" t="s">
        <v>1135</v>
      </c>
      <c r="Q764"/>
      <c r="R764" t="s">
        <v>1127</v>
      </c>
      <c r="S764" t="s">
        <v>1128</v>
      </c>
      <c r="T764" t="s">
        <v>103</v>
      </c>
      <c r="U764" t="s">
        <v>201</v>
      </c>
      <c r="V764" t="s">
        <v>202</v>
      </c>
      <c r="W764"/>
      <c r="X764"/>
      <c r="Y764"/>
      <c r="Z764" t="s">
        <v>106</v>
      </c>
      <c r="AA764" t="s">
        <v>107</v>
      </c>
      <c r="AB764" t="s">
        <v>71</v>
      </c>
      <c r="AC764" t="s">
        <v>72</v>
      </c>
      <c r="AD764" t="s">
        <v>52</v>
      </c>
      <c r="AE764" t="s">
        <v>56</v>
      </c>
      <c r="AF764" t="s">
        <v>52</v>
      </c>
      <c r="AG764" t="s">
        <v>52</v>
      </c>
      <c r="AH764" t="s">
        <v>64</v>
      </c>
      <c r="AI764"/>
      <c r="AJ764"/>
      <c r="AK764">
        <v>3</v>
      </c>
      <c r="AL764">
        <v>5</v>
      </c>
      <c r="AM764"/>
      <c r="AN764">
        <v>420</v>
      </c>
      <c r="AO764">
        <v>13</v>
      </c>
      <c r="AP764" t="s">
        <v>56</v>
      </c>
      <c r="AQ764" t="s">
        <v>109</v>
      </c>
      <c r="AR764">
        <v>8.0299999999999994</v>
      </c>
      <c r="AS764">
        <v>0.01</v>
      </c>
      <c r="AT764" t="s">
        <v>56</v>
      </c>
      <c r="AU764">
        <v>656</v>
      </c>
      <c r="AV764">
        <v>18</v>
      </c>
      <c r="AW764" t="s">
        <v>56</v>
      </c>
      <c r="AX764">
        <v>7.88</v>
      </c>
      <c r="AY764">
        <v>0.01</v>
      </c>
      <c r="AZ764" t="s">
        <v>56</v>
      </c>
      <c r="BA764"/>
      <c r="BB764">
        <f>LOG(AU764)</f>
        <v>2.8169038393756605</v>
      </c>
      <c r="BC764">
        <v>25.3</v>
      </c>
      <c r="BD764">
        <v>0.1</v>
      </c>
      <c r="BE764" t="s">
        <v>56</v>
      </c>
      <c r="BF764">
        <v>29.1</v>
      </c>
      <c r="BG764">
        <v>0.1</v>
      </c>
      <c r="BH764" t="s">
        <v>56</v>
      </c>
      <c r="BI764">
        <v>236</v>
      </c>
      <c r="BJ764">
        <v>3.9</v>
      </c>
      <c r="BK764" t="s">
        <v>56</v>
      </c>
      <c r="BL764" t="s">
        <v>208</v>
      </c>
      <c r="BM764" t="s">
        <v>209</v>
      </c>
      <c r="BN764" t="s">
        <v>60</v>
      </c>
      <c r="BO764" t="s">
        <v>56</v>
      </c>
      <c r="BP764" t="s">
        <v>194</v>
      </c>
      <c r="BQ764" t="s">
        <v>194</v>
      </c>
      <c r="BR764" t="s">
        <v>63</v>
      </c>
      <c r="BS764"/>
      <c r="BT764">
        <v>2.94</v>
      </c>
      <c r="BU764">
        <v>2.938329</v>
      </c>
      <c r="BV764">
        <v>0.79</v>
      </c>
      <c r="BW764">
        <f>BV764*SQRT(AK764)</f>
        <v>1.368320137979413</v>
      </c>
      <c r="BX764">
        <v>3.23</v>
      </c>
      <c r="BY764">
        <v>3.2295772999999999</v>
      </c>
      <c r="BZ764">
        <v>0.42</v>
      </c>
      <c r="CA764">
        <f>BZ764*SQRT(AL764)</f>
        <v>0.93914855054991164</v>
      </c>
      <c r="CB764">
        <v>9</v>
      </c>
      <c r="CC764">
        <v>4</v>
      </c>
      <c r="CD764">
        <v>9.5000000000000001E-2</v>
      </c>
      <c r="CE764">
        <v>8.8700000000000001E-2</v>
      </c>
      <c r="CF764"/>
    </row>
    <row r="765" spans="1:84" s="8" customFormat="1" hidden="1" x14ac:dyDescent="0.2">
      <c r="B765" t="str">
        <f>ROW()-1&amp;"_AltersInvert"</f>
        <v>764_AltersInvert</v>
      </c>
      <c r="C765" t="str">
        <f>D765&amp;"_"&amp;
SUBSTITUTE(TRIM(V765)," ","_")&amp;"_"&amp;
TRIM(AC765)&amp;"_"&amp;
"CO2"&amp;TEXT(AN765,"0.00")&amp;"_"&amp;
"pH"&amp;TEXT(AR765,"0.00")&amp;"_"&amp;
"T"&amp;TEXT(BC765,"0.##")</f>
        <v>49_Limecola_balthica_EMBRYO_CO2366.00_pH8.09_T15.</v>
      </c>
      <c r="D765" s="8">
        <v>49</v>
      </c>
      <c r="G765" s="8" t="s">
        <v>43</v>
      </c>
      <c r="H765" s="8" t="s">
        <v>512</v>
      </c>
      <c r="I765" s="8" t="s">
        <v>1130</v>
      </c>
      <c r="J765" s="8">
        <v>2018</v>
      </c>
      <c r="M765" s="8" t="s">
        <v>513</v>
      </c>
      <c r="P765" t="s">
        <v>1135</v>
      </c>
      <c r="R765" s="8" t="s">
        <v>1127</v>
      </c>
      <c r="S765" t="s">
        <v>1128</v>
      </c>
      <c r="T765" s="8" t="s">
        <v>68</v>
      </c>
      <c r="U765" s="8" t="s">
        <v>514</v>
      </c>
      <c r="V765" s="8" t="s">
        <v>515</v>
      </c>
      <c r="W765" s="8" t="str">
        <f>IF(ISNUMBER(MATCH(#REF!,{"Doryteuthis pealeii","Loligo vulgaris","Leptuca thayeri","Stylocheilus striatus","Ophryotrocha labronica"},0)),"N","Y")</f>
        <v>Y</v>
      </c>
      <c r="Z765" s="8" t="s">
        <v>49</v>
      </c>
      <c r="AA765" s="8" t="s">
        <v>49</v>
      </c>
      <c r="AB765" s="8" t="s">
        <v>71</v>
      </c>
      <c r="AC765" s="8" t="s">
        <v>195</v>
      </c>
      <c r="AD765" s="8" t="s">
        <v>52</v>
      </c>
      <c r="AE765" s="8" t="s">
        <v>53</v>
      </c>
      <c r="AF765" s="8" t="s">
        <v>52</v>
      </c>
      <c r="AG765" s="8" t="s">
        <v>54</v>
      </c>
      <c r="AH765" s="8" t="s">
        <v>55</v>
      </c>
      <c r="AK765" s="8">
        <v>5</v>
      </c>
      <c r="AL765" s="8">
        <v>5</v>
      </c>
      <c r="AN765" s="8">
        <v>366</v>
      </c>
      <c r="AO765" s="8" t="s">
        <v>56</v>
      </c>
      <c r="AP765" s="8" t="s">
        <v>56</v>
      </c>
      <c r="AQ765" s="8" t="s">
        <v>57</v>
      </c>
      <c r="AR765" s="8">
        <v>8.09</v>
      </c>
      <c r="AS765" s="8" t="s">
        <v>56</v>
      </c>
      <c r="AT765" s="8" t="s">
        <v>56</v>
      </c>
      <c r="AU765" s="8">
        <v>577</v>
      </c>
      <c r="AV765" t="s">
        <v>56</v>
      </c>
      <c r="AW765" t="s">
        <v>56</v>
      </c>
      <c r="AX765">
        <v>7.92</v>
      </c>
      <c r="AY765" t="s">
        <v>56</v>
      </c>
      <c r="AZ765" t="s">
        <v>56</v>
      </c>
      <c r="BB765" s="8">
        <f>LOG(AU765)</f>
        <v>2.7611758131557314</v>
      </c>
      <c r="BC765" s="8">
        <v>15</v>
      </c>
      <c r="BD765" s="8" t="s">
        <v>56</v>
      </c>
      <c r="BE765" s="8" t="s">
        <v>56</v>
      </c>
      <c r="BF765" s="8">
        <v>15</v>
      </c>
      <c r="BG765" s="8" t="s">
        <v>56</v>
      </c>
      <c r="BH765" s="8" t="s">
        <v>56</v>
      </c>
      <c r="BI765" s="8">
        <v>211</v>
      </c>
      <c r="BJ765" s="8">
        <v>0</v>
      </c>
      <c r="BK765" s="8" t="s">
        <v>518</v>
      </c>
      <c r="BL765" s="8" t="s">
        <v>519</v>
      </c>
      <c r="BM765" s="8" t="s">
        <v>90</v>
      </c>
      <c r="BN765" s="8" t="s">
        <v>81</v>
      </c>
      <c r="BO765" s="8" t="s">
        <v>91</v>
      </c>
      <c r="BP765" s="8" t="s">
        <v>92</v>
      </c>
      <c r="BQ765" s="8" t="s">
        <v>9</v>
      </c>
      <c r="BR765" s="8" t="s">
        <v>63</v>
      </c>
      <c r="BT765" s="8">
        <v>136.19999999999999</v>
      </c>
      <c r="BU765" s="8">
        <v>136.19631899999999</v>
      </c>
      <c r="BV765" s="8">
        <v>0.64</v>
      </c>
      <c r="BW765" s="8">
        <f>BV765*SQRT(AK765)</f>
        <v>1.4310835055998654</v>
      </c>
      <c r="BX765" s="8">
        <v>135.18</v>
      </c>
      <c r="BY765" s="8">
        <v>135.18404910000001</v>
      </c>
      <c r="BZ765" s="8">
        <v>0.83</v>
      </c>
      <c r="CA765" s="8">
        <f>BZ765*SQRT(AL765)</f>
        <v>1.8559364213248255</v>
      </c>
      <c r="CB765" s="8">
        <v>3</v>
      </c>
      <c r="CC765" s="8">
        <v>5</v>
      </c>
      <c r="CD765" s="8">
        <v>-7.0000000000000001E-3</v>
      </c>
      <c r="CE765" s="8">
        <v>1E-4</v>
      </c>
      <c r="CF765" s="8" t="s">
        <v>1134</v>
      </c>
    </row>
    <row r="766" spans="1:84" s="8" customFormat="1" hidden="1" x14ac:dyDescent="0.2">
      <c r="B766" t="str">
        <f>ROW()-1&amp;"_AltersInvert"</f>
        <v>765_AltersInvert</v>
      </c>
      <c r="C766" t="str">
        <f>D766&amp;"_"&amp;
SUBSTITUTE(TRIM(V766)," ","_")&amp;"_"&amp;
TRIM(AC766)&amp;"_"&amp;
"CO2"&amp;TEXT(AN766,"0.00")&amp;"_"&amp;
"pH"&amp;TEXT(AR766,"0.00")&amp;"_"&amp;
"T"&amp;TEXT(BC766,"0.##")</f>
        <v>49_Limecola_balthica_EMBRYO_CO2366.00_pH8.09_T15.</v>
      </c>
      <c r="D766" s="8">
        <v>49</v>
      </c>
      <c r="G766" s="8" t="s">
        <v>43</v>
      </c>
      <c r="H766" s="8" t="s">
        <v>512</v>
      </c>
      <c r="I766" s="8" t="s">
        <v>1130</v>
      </c>
      <c r="J766" s="8">
        <v>2018</v>
      </c>
      <c r="M766" s="8" t="s">
        <v>513</v>
      </c>
      <c r="P766" t="s">
        <v>1135</v>
      </c>
      <c r="R766" s="8" t="s">
        <v>1127</v>
      </c>
      <c r="S766" t="s">
        <v>1128</v>
      </c>
      <c r="T766" s="8" t="s">
        <v>68</v>
      </c>
      <c r="U766" s="8" t="s">
        <v>514</v>
      </c>
      <c r="V766" s="8" t="s">
        <v>515</v>
      </c>
      <c r="W766" s="8" t="str">
        <f>IF(ISNUMBER(MATCH(#REF!,{"Doryteuthis pealeii","Loligo vulgaris","Leptuca thayeri","Stylocheilus striatus","Ophryotrocha labronica"},0)),"N","Y")</f>
        <v>Y</v>
      </c>
      <c r="Z766" s="8" t="s">
        <v>49</v>
      </c>
      <c r="AA766" s="8" t="s">
        <v>49</v>
      </c>
      <c r="AB766" s="8" t="s">
        <v>71</v>
      </c>
      <c r="AC766" s="8" t="s">
        <v>195</v>
      </c>
      <c r="AD766" s="8" t="s">
        <v>52</v>
      </c>
      <c r="AE766" s="8" t="s">
        <v>53</v>
      </c>
      <c r="AF766" s="8" t="s">
        <v>52</v>
      </c>
      <c r="AG766" s="8" t="s">
        <v>54</v>
      </c>
      <c r="AH766" s="8" t="s">
        <v>55</v>
      </c>
      <c r="AK766" s="8">
        <v>5</v>
      </c>
      <c r="AL766" s="8">
        <v>5</v>
      </c>
      <c r="AN766" s="8">
        <v>366</v>
      </c>
      <c r="AO766" s="8" t="s">
        <v>56</v>
      </c>
      <c r="AP766" s="8" t="s">
        <v>56</v>
      </c>
      <c r="AQ766" s="8" t="s">
        <v>57</v>
      </c>
      <c r="AR766" s="8">
        <v>8.09</v>
      </c>
      <c r="AS766" s="8" t="s">
        <v>56</v>
      </c>
      <c r="AT766" s="8" t="s">
        <v>56</v>
      </c>
      <c r="AU766" s="8">
        <v>956</v>
      </c>
      <c r="AV766" t="s">
        <v>56</v>
      </c>
      <c r="AW766" t="s">
        <v>56</v>
      </c>
      <c r="AX766">
        <v>7.73</v>
      </c>
      <c r="AY766" t="s">
        <v>56</v>
      </c>
      <c r="AZ766" t="s">
        <v>56</v>
      </c>
      <c r="BB766" s="8">
        <f>LOG(AU766)</f>
        <v>2.9804578922761</v>
      </c>
      <c r="BC766" s="8">
        <v>15</v>
      </c>
      <c r="BD766" s="8" t="s">
        <v>56</v>
      </c>
      <c r="BE766" s="8" t="s">
        <v>56</v>
      </c>
      <c r="BF766" s="8">
        <v>15</v>
      </c>
      <c r="BG766" s="8" t="s">
        <v>56</v>
      </c>
      <c r="BH766" s="8" t="s">
        <v>56</v>
      </c>
      <c r="BI766" s="8">
        <v>591</v>
      </c>
      <c r="BJ766" s="8">
        <v>0</v>
      </c>
      <c r="BK766" s="8" t="s">
        <v>518</v>
      </c>
      <c r="BL766" s="8" t="s">
        <v>519</v>
      </c>
      <c r="BM766" s="8" t="s">
        <v>90</v>
      </c>
      <c r="BN766" s="8" t="s">
        <v>81</v>
      </c>
      <c r="BO766" s="8" t="s">
        <v>91</v>
      </c>
      <c r="BP766" s="8" t="s">
        <v>92</v>
      </c>
      <c r="BQ766" s="8" t="s">
        <v>9</v>
      </c>
      <c r="BR766" s="8" t="s">
        <v>63</v>
      </c>
      <c r="BT766" s="8">
        <v>136.19999999999999</v>
      </c>
      <c r="BU766" s="8">
        <v>136.19631899999999</v>
      </c>
      <c r="BV766" s="8">
        <v>0.64</v>
      </c>
      <c r="BW766" s="8">
        <f>BV766*SQRT(AK766)</f>
        <v>1.4310835055998654</v>
      </c>
      <c r="BX766" s="8">
        <v>135.18</v>
      </c>
      <c r="BY766" s="8">
        <v>135.18404910000001</v>
      </c>
      <c r="BZ766" s="8">
        <v>0.92</v>
      </c>
      <c r="CA766" s="8">
        <f>BZ766*SQRT(AL766)</f>
        <v>2.0571825392998067</v>
      </c>
      <c r="CB766" s="8">
        <v>3</v>
      </c>
      <c r="CC766" s="8">
        <v>5</v>
      </c>
      <c r="CD766" s="8">
        <v>-7.0000000000000001E-3</v>
      </c>
      <c r="CE766" s="8">
        <v>1E-4</v>
      </c>
      <c r="CF766" s="8" t="s">
        <v>1134</v>
      </c>
    </row>
    <row r="767" spans="1:84" hidden="1" x14ac:dyDescent="0.2">
      <c r="A767" s="8"/>
      <c r="B767" t="str">
        <f>ROW()-1&amp;"_AltersInvert"</f>
        <v>766_AltersInvert</v>
      </c>
      <c r="C767" t="str">
        <f>D767&amp;"_"&amp;
SUBSTITUTE(TRIM(V767)," ","_")&amp;"_"&amp;
TRIM(AC767)&amp;"_"&amp;
"CO2"&amp;TEXT(AN767,"0.00")&amp;"_"&amp;
"pH"&amp;TEXT(AR767,"0.00")&amp;"_"&amp;
"T"&amp;TEXT(BC767,"0.##")</f>
        <v>49_Limecola_balthica_EMBRYO_CO2366.00_pH8.09_T15.</v>
      </c>
      <c r="D767" s="8">
        <v>49</v>
      </c>
      <c r="E767" s="8"/>
      <c r="F767" s="8"/>
      <c r="G767" s="8" t="s">
        <v>43</v>
      </c>
      <c r="H767" s="8" t="s">
        <v>512</v>
      </c>
      <c r="I767" s="8" t="s">
        <v>1130</v>
      </c>
      <c r="J767" s="8">
        <v>2018</v>
      </c>
      <c r="K767" s="8"/>
      <c r="L767" s="8"/>
      <c r="M767" s="8" t="s">
        <v>513</v>
      </c>
      <c r="N767" s="8"/>
      <c r="O767" s="8"/>
      <c r="P767" t="s">
        <v>1135</v>
      </c>
      <c r="Q767" s="8"/>
      <c r="R767" s="8" t="s">
        <v>1127</v>
      </c>
      <c r="S767" t="s">
        <v>1128</v>
      </c>
      <c r="T767" s="8" t="s">
        <v>68</v>
      </c>
      <c r="U767" s="8" t="s">
        <v>514</v>
      </c>
      <c r="V767" s="8" t="s">
        <v>515</v>
      </c>
      <c r="W767" s="8" t="str">
        <f>IF(ISNUMBER(MATCH(#REF!,{"Doryteuthis pealeii","Loligo vulgaris","Leptuca thayeri","Stylocheilus striatus","Ophryotrocha labronica"},0)),"N","Y")</f>
        <v>Y</v>
      </c>
      <c r="X767" s="8"/>
      <c r="Y767" s="8"/>
      <c r="Z767" s="8" t="s">
        <v>49</v>
      </c>
      <c r="AA767" s="8" t="s">
        <v>49</v>
      </c>
      <c r="AB767" s="8" t="s">
        <v>71</v>
      </c>
      <c r="AC767" s="8" t="s">
        <v>195</v>
      </c>
      <c r="AD767" s="8" t="s">
        <v>52</v>
      </c>
      <c r="AE767" s="8" t="s">
        <v>53</v>
      </c>
      <c r="AF767" s="8" t="s">
        <v>52</v>
      </c>
      <c r="AG767" s="8" t="s">
        <v>54</v>
      </c>
      <c r="AH767" s="8" t="s">
        <v>55</v>
      </c>
      <c r="AI767" s="8"/>
      <c r="AJ767" s="8"/>
      <c r="AK767" s="8">
        <v>5</v>
      </c>
      <c r="AL767" s="8">
        <v>5</v>
      </c>
      <c r="AM767" s="8"/>
      <c r="AN767" s="8">
        <v>366</v>
      </c>
      <c r="AO767" s="8" t="s">
        <v>56</v>
      </c>
      <c r="AP767" s="8" t="s">
        <v>56</v>
      </c>
      <c r="AQ767" s="8" t="s">
        <v>57</v>
      </c>
      <c r="AR767" s="8">
        <v>8.09</v>
      </c>
      <c r="AS767" s="8" t="s">
        <v>56</v>
      </c>
      <c r="AT767" s="8" t="s">
        <v>56</v>
      </c>
      <c r="AU767" s="8">
        <v>769</v>
      </c>
      <c r="AV767" t="s">
        <v>56</v>
      </c>
      <c r="AW767" t="s">
        <v>56</v>
      </c>
      <c r="AX767">
        <v>7.82</v>
      </c>
      <c r="AY767" t="s">
        <v>56</v>
      </c>
      <c r="AZ767" t="s">
        <v>56</v>
      </c>
      <c r="BA767" s="8"/>
      <c r="BB767" s="8">
        <f>LOG(AU767)</f>
        <v>2.885926339801431</v>
      </c>
      <c r="BC767" s="8">
        <v>15</v>
      </c>
      <c r="BD767" s="8" t="s">
        <v>56</v>
      </c>
      <c r="BE767" s="8" t="s">
        <v>56</v>
      </c>
      <c r="BF767" s="8">
        <v>15</v>
      </c>
      <c r="BG767" s="8" t="s">
        <v>56</v>
      </c>
      <c r="BH767" s="8" t="s">
        <v>56</v>
      </c>
      <c r="BI767" s="8">
        <v>403</v>
      </c>
      <c r="BJ767" s="8">
        <v>0</v>
      </c>
      <c r="BK767" s="8" t="s">
        <v>518</v>
      </c>
      <c r="BL767" s="8" t="s">
        <v>519</v>
      </c>
      <c r="BM767" s="8" t="s">
        <v>90</v>
      </c>
      <c r="BN767" s="8" t="s">
        <v>81</v>
      </c>
      <c r="BO767" s="8" t="s">
        <v>91</v>
      </c>
      <c r="BP767" s="8" t="s">
        <v>92</v>
      </c>
      <c r="BQ767" s="8" t="s">
        <v>83</v>
      </c>
      <c r="BR767" s="8" t="s">
        <v>63</v>
      </c>
      <c r="BS767" s="8"/>
      <c r="BT767" s="8">
        <v>136.19999999999999</v>
      </c>
      <c r="BU767" s="8">
        <v>136.19631899999999</v>
      </c>
      <c r="BV767" s="8">
        <v>0.64</v>
      </c>
      <c r="BW767" s="8">
        <f>BV767*SQRT(AK767)</f>
        <v>1.4310835055998654</v>
      </c>
      <c r="BX767" s="8">
        <v>135.55000000000001</v>
      </c>
      <c r="BY767" s="8">
        <v>135.55214720000001</v>
      </c>
      <c r="BZ767" s="8">
        <v>0.46</v>
      </c>
      <c r="CA767" s="8">
        <f>BZ767*SQRT(AL767)</f>
        <v>1.0285912696499033</v>
      </c>
      <c r="CB767" s="8">
        <v>3</v>
      </c>
      <c r="CC767" s="8">
        <v>5</v>
      </c>
      <c r="CD767" s="8">
        <v>-5.0000000000000001E-3</v>
      </c>
      <c r="CE767" s="8">
        <v>1E-4</v>
      </c>
      <c r="CF767" s="8" t="s">
        <v>1134</v>
      </c>
    </row>
    <row r="768" spans="1:84" hidden="1" x14ac:dyDescent="0.2">
      <c r="A768" s="8"/>
      <c r="B768" t="str">
        <f>ROW()-1&amp;"_AltersInvert"</f>
        <v>767_AltersInvert</v>
      </c>
      <c r="C768" t="str">
        <f>D768&amp;"_"&amp;
SUBSTITUTE(TRIM(V768)," ","_")&amp;"_"&amp;
TRIM(AC768)&amp;"_"&amp;
"CO2"&amp;TEXT(AN768,"0.00")&amp;"_"&amp;
"pH"&amp;TEXT(AR768,"0.00")&amp;"_"&amp;
"T"&amp;TEXT(BC768,"0.##")</f>
        <v>49_Limecola_balthica_EMBRYO_CO2366.00_pH8.09_T15.</v>
      </c>
      <c r="D768" s="8">
        <v>49</v>
      </c>
      <c r="E768" s="8"/>
      <c r="F768" s="8"/>
      <c r="G768" s="8" t="s">
        <v>43</v>
      </c>
      <c r="H768" s="8" t="s">
        <v>512</v>
      </c>
      <c r="I768" s="8" t="s">
        <v>1130</v>
      </c>
      <c r="J768" s="8">
        <v>2018</v>
      </c>
      <c r="K768" s="8"/>
      <c r="L768" s="8"/>
      <c r="M768" s="8" t="s">
        <v>513</v>
      </c>
      <c r="N768" s="8"/>
      <c r="O768" s="8"/>
      <c r="P768" t="s">
        <v>1135</v>
      </c>
      <c r="Q768" s="8"/>
      <c r="R768" s="8" t="s">
        <v>1127</v>
      </c>
      <c r="S768" t="s">
        <v>1128</v>
      </c>
      <c r="T768" s="8" t="s">
        <v>68</v>
      </c>
      <c r="U768" s="8" t="s">
        <v>514</v>
      </c>
      <c r="V768" s="8" t="s">
        <v>515</v>
      </c>
      <c r="W768" s="8" t="str">
        <f>IF(ISNUMBER(MATCH(#REF!,{"Doryteuthis pealeii","Loligo vulgaris","Leptuca thayeri","Stylocheilus striatus","Ophryotrocha labronica"},0)),"N","Y")</f>
        <v>Y</v>
      </c>
      <c r="X768" s="8"/>
      <c r="Y768" s="8"/>
      <c r="Z768" s="8" t="s">
        <v>49</v>
      </c>
      <c r="AA768" s="8" t="s">
        <v>49</v>
      </c>
      <c r="AB768" s="8" t="s">
        <v>71</v>
      </c>
      <c r="AC768" s="8" t="s">
        <v>195</v>
      </c>
      <c r="AD768" s="8" t="s">
        <v>52</v>
      </c>
      <c r="AE768" s="8" t="s">
        <v>53</v>
      </c>
      <c r="AF768" s="8" t="s">
        <v>52</v>
      </c>
      <c r="AG768" s="8" t="s">
        <v>54</v>
      </c>
      <c r="AH768" s="8" t="s">
        <v>55</v>
      </c>
      <c r="AI768" s="8"/>
      <c r="AJ768" s="8"/>
      <c r="AK768" s="8">
        <v>5</v>
      </c>
      <c r="AL768" s="8">
        <v>5</v>
      </c>
      <c r="AM768" s="8"/>
      <c r="AN768" s="8">
        <v>366</v>
      </c>
      <c r="AO768" s="8" t="s">
        <v>56</v>
      </c>
      <c r="AP768" s="8" t="s">
        <v>56</v>
      </c>
      <c r="AQ768" s="8" t="s">
        <v>57</v>
      </c>
      <c r="AR768" s="8">
        <v>8.09</v>
      </c>
      <c r="AS768" s="8" t="s">
        <v>56</v>
      </c>
      <c r="AT768" s="8" t="s">
        <v>56</v>
      </c>
      <c r="AU768" s="8">
        <v>1315</v>
      </c>
      <c r="AV768" t="s">
        <v>56</v>
      </c>
      <c r="AW768" t="s">
        <v>56</v>
      </c>
      <c r="AX768">
        <v>7.61</v>
      </c>
      <c r="AY768" t="s">
        <v>56</v>
      </c>
      <c r="AZ768" t="s">
        <v>56</v>
      </c>
      <c r="BA768" s="8"/>
      <c r="BB768" s="8">
        <f>LOG(AU768)</f>
        <v>3.1189257528257768</v>
      </c>
      <c r="BC768" s="8">
        <v>15</v>
      </c>
      <c r="BD768" s="8" t="s">
        <v>56</v>
      </c>
      <c r="BE768" s="8" t="s">
        <v>56</v>
      </c>
      <c r="BF768" s="8">
        <v>15</v>
      </c>
      <c r="BG768" s="8" t="s">
        <v>56</v>
      </c>
      <c r="BH768" s="8" t="s">
        <v>56</v>
      </c>
      <c r="BI768" s="8">
        <v>949</v>
      </c>
      <c r="BJ768" s="8">
        <v>0</v>
      </c>
      <c r="BK768" s="8" t="s">
        <v>518</v>
      </c>
      <c r="BL768" s="8" t="s">
        <v>519</v>
      </c>
      <c r="BM768" s="8" t="s">
        <v>90</v>
      </c>
      <c r="BN768" s="8" t="s">
        <v>81</v>
      </c>
      <c r="BO768" s="8" t="s">
        <v>91</v>
      </c>
      <c r="BP768" s="8" t="s">
        <v>92</v>
      </c>
      <c r="BQ768" s="8" t="s">
        <v>83</v>
      </c>
      <c r="BR768" s="8" t="s">
        <v>63</v>
      </c>
      <c r="BS768" s="8"/>
      <c r="BT768" s="8">
        <v>136.19999999999999</v>
      </c>
      <c r="BU768" s="8">
        <v>136.19631899999999</v>
      </c>
      <c r="BV768" s="8">
        <v>0.64</v>
      </c>
      <c r="BW768" s="8">
        <f>BV768*SQRT(AK768)</f>
        <v>1.4310835055998654</v>
      </c>
      <c r="BX768" s="8">
        <v>135.55000000000001</v>
      </c>
      <c r="BY768" s="8">
        <v>135.55214720000001</v>
      </c>
      <c r="BZ768" s="8">
        <v>0.92</v>
      </c>
      <c r="CA768" s="8">
        <f>BZ768*SQRT(AL768)</f>
        <v>2.0571825392998067</v>
      </c>
      <c r="CB768" s="8">
        <v>3</v>
      </c>
      <c r="CC768" s="8">
        <v>5</v>
      </c>
      <c r="CD768" s="8">
        <v>-5.0000000000000001E-3</v>
      </c>
      <c r="CE768" s="8">
        <v>1E-4</v>
      </c>
      <c r="CF768" s="8" t="s">
        <v>1134</v>
      </c>
    </row>
    <row r="769" spans="1:84" hidden="1" x14ac:dyDescent="0.2">
      <c r="A769" s="8"/>
      <c r="B769" t="str">
        <f>ROW()-1&amp;"_AltersInvert"</f>
        <v>768_AltersInvert</v>
      </c>
      <c r="C769" t="str">
        <f>D769&amp;"_"&amp;
SUBSTITUTE(TRIM(V769)," ","_")&amp;"_"&amp;
TRIM(AC769)&amp;"_"&amp;
"CO2"&amp;TEXT(AN769,"0.00")&amp;"_"&amp;
"pH"&amp;TEXT(AR769,"0.00")&amp;"_"&amp;
"T"&amp;TEXT(BC769,"0.##")</f>
        <v>49_Limecola_balthica_EMBRYO_CO2366.00_pH8.09_T15.</v>
      </c>
      <c r="D769" s="8">
        <v>49</v>
      </c>
      <c r="E769" s="8"/>
      <c r="F769" s="8"/>
      <c r="G769" s="8" t="s">
        <v>43</v>
      </c>
      <c r="H769" s="8" t="s">
        <v>512</v>
      </c>
      <c r="I769" s="8" t="s">
        <v>1130</v>
      </c>
      <c r="J769" s="8">
        <v>2018</v>
      </c>
      <c r="K769" s="8"/>
      <c r="L769" s="8"/>
      <c r="M769" s="8" t="s">
        <v>513</v>
      </c>
      <c r="N769" s="8"/>
      <c r="O769" s="8"/>
      <c r="P769" t="s">
        <v>1135</v>
      </c>
      <c r="Q769" s="8"/>
      <c r="R769" s="8" t="s">
        <v>1127</v>
      </c>
      <c r="S769" t="s">
        <v>1128</v>
      </c>
      <c r="T769" s="8" t="s">
        <v>68</v>
      </c>
      <c r="U769" s="8" t="s">
        <v>514</v>
      </c>
      <c r="V769" s="8" t="s">
        <v>515</v>
      </c>
      <c r="W769" s="8" t="str">
        <f>IF(ISNUMBER(MATCH(V163,{"Doryteuthis pealeii","Loligo vulgaris","Leptuca thayeri","Stylocheilus striatus","Ophryotrocha labronica"},0)),"N","Y")</f>
        <v>Y</v>
      </c>
      <c r="X769" s="8"/>
      <c r="Y769" s="8"/>
      <c r="Z769" s="8" t="s">
        <v>49</v>
      </c>
      <c r="AA769" s="8" t="s">
        <v>49</v>
      </c>
      <c r="AB769" s="8" t="s">
        <v>71</v>
      </c>
      <c r="AC769" s="8" t="s">
        <v>195</v>
      </c>
      <c r="AD769" s="8" t="s">
        <v>52</v>
      </c>
      <c r="AE769" s="8" t="s">
        <v>53</v>
      </c>
      <c r="AF769" s="8" t="s">
        <v>54</v>
      </c>
      <c r="AG769" s="8" t="s">
        <v>52</v>
      </c>
      <c r="AH769" s="8" t="s">
        <v>65</v>
      </c>
      <c r="AI769" s="8"/>
      <c r="AJ769" s="8"/>
      <c r="AK769" s="8">
        <v>5</v>
      </c>
      <c r="AL769" s="8">
        <v>5</v>
      </c>
      <c r="AM769" s="8"/>
      <c r="AN769" s="8">
        <v>366</v>
      </c>
      <c r="AO769" s="8" t="s">
        <v>56</v>
      </c>
      <c r="AP769" s="8" t="s">
        <v>56</v>
      </c>
      <c r="AQ769" s="8" t="s">
        <v>57</v>
      </c>
      <c r="AR769" s="8">
        <v>8.09</v>
      </c>
      <c r="AS769" s="8" t="s">
        <v>56</v>
      </c>
      <c r="AT769" s="8" t="s">
        <v>56</v>
      </c>
      <c r="AU769" s="8">
        <v>440</v>
      </c>
      <c r="AV769" t="s">
        <v>56</v>
      </c>
      <c r="AW769" t="s">
        <v>56</v>
      </c>
      <c r="AX769">
        <v>8.07</v>
      </c>
      <c r="AY769" t="s">
        <v>56</v>
      </c>
      <c r="AZ769" t="s">
        <v>56</v>
      </c>
      <c r="BA769" s="8"/>
      <c r="BB769" s="8">
        <f>LOG(AU769)</f>
        <v>2.6434526764861874</v>
      </c>
      <c r="BC769" s="8">
        <v>15</v>
      </c>
      <c r="BD769" s="8" t="s">
        <v>56</v>
      </c>
      <c r="BE769" s="8" t="s">
        <v>56</v>
      </c>
      <c r="BF769" s="8">
        <v>18</v>
      </c>
      <c r="BG769" s="8" t="s">
        <v>56</v>
      </c>
      <c r="BH769" s="8" t="s">
        <v>56</v>
      </c>
      <c r="BI769" s="8">
        <v>75</v>
      </c>
      <c r="BJ769" s="8">
        <v>3</v>
      </c>
      <c r="BK769" s="8" t="s">
        <v>518</v>
      </c>
      <c r="BL769" s="8" t="s">
        <v>519</v>
      </c>
      <c r="BM769" s="8" t="s">
        <v>90</v>
      </c>
      <c r="BN769" s="8" t="s">
        <v>81</v>
      </c>
      <c r="BO769" s="8" t="s">
        <v>91</v>
      </c>
      <c r="BP769" s="8" t="s">
        <v>92</v>
      </c>
      <c r="BQ769" s="8" t="s">
        <v>204</v>
      </c>
      <c r="BR769" s="8" t="s">
        <v>63</v>
      </c>
      <c r="BS769" s="8"/>
      <c r="BT769" s="8">
        <v>136.19999999999999</v>
      </c>
      <c r="BU769" s="8">
        <v>136.19631899999999</v>
      </c>
      <c r="BV769" s="8">
        <v>0.64</v>
      </c>
      <c r="BW769" s="8">
        <f>BV769*SQRT(AK769)</f>
        <v>1.4310835055998654</v>
      </c>
      <c r="BX769" s="8">
        <v>137.66999999999999</v>
      </c>
      <c r="BY769" s="8">
        <v>137.66871169999999</v>
      </c>
      <c r="BZ769" s="8">
        <v>0.64</v>
      </c>
      <c r="CA769" s="8">
        <f>BZ769*SQRT(AL769)</f>
        <v>1.4310835055998654</v>
      </c>
      <c r="CB769" s="8">
        <v>3</v>
      </c>
      <c r="CC769" s="8">
        <v>5</v>
      </c>
      <c r="CD769" s="8">
        <v>1.0999999999999999E-2</v>
      </c>
      <c r="CE769" s="8">
        <v>1E-4</v>
      </c>
      <c r="CF769" s="8" t="s">
        <v>1134</v>
      </c>
    </row>
    <row r="770" spans="1:84" hidden="1" x14ac:dyDescent="0.2">
      <c r="A770" s="8"/>
      <c r="B770" t="str">
        <f>ROW()-1&amp;"_AltersInvert"</f>
        <v>769_AltersInvert</v>
      </c>
      <c r="C770" t="str">
        <f>D770&amp;"_"&amp;
SUBSTITUTE(TRIM(V770)," ","_")&amp;"_"&amp;
TRIM(AC770)&amp;"_"&amp;
"CO2"&amp;TEXT(AN770,"0.00")&amp;"_"&amp;
"pH"&amp;TEXT(AR770,"0.00")&amp;"_"&amp;
"T"&amp;TEXT(BC770,"0.##")</f>
        <v>49_Limecola_balthica_EMBRYO_CO2366.00_pH8.09_T15.</v>
      </c>
      <c r="D770" s="8">
        <v>49</v>
      </c>
      <c r="E770" s="8"/>
      <c r="F770" s="8"/>
      <c r="G770" s="8" t="s">
        <v>43</v>
      </c>
      <c r="H770" s="8" t="s">
        <v>512</v>
      </c>
      <c r="I770" s="8" t="s">
        <v>1130</v>
      </c>
      <c r="J770" s="8">
        <v>2018</v>
      </c>
      <c r="K770" s="8"/>
      <c r="L770" s="8"/>
      <c r="M770" s="8" t="s">
        <v>513</v>
      </c>
      <c r="N770" s="8"/>
      <c r="O770" s="8"/>
      <c r="P770" t="s">
        <v>1135</v>
      </c>
      <c r="Q770" s="8"/>
      <c r="R770" s="8" t="s">
        <v>1127</v>
      </c>
      <c r="S770" t="s">
        <v>1128</v>
      </c>
      <c r="T770" s="8" t="s">
        <v>68</v>
      </c>
      <c r="U770" s="8" t="s">
        <v>514</v>
      </c>
      <c r="V770" s="8" t="s">
        <v>515</v>
      </c>
      <c r="W770" s="8" t="str">
        <f>IF(ISNUMBER(MATCH(V164,{"Doryteuthis pealeii","Loligo vulgaris","Leptuca thayeri","Stylocheilus striatus","Ophryotrocha labronica"},0)),"N","Y")</f>
        <v>Y</v>
      </c>
      <c r="X770" s="8"/>
      <c r="Y770" s="8"/>
      <c r="Z770" s="8" t="s">
        <v>49</v>
      </c>
      <c r="AA770" s="8" t="s">
        <v>49</v>
      </c>
      <c r="AB770" s="8" t="s">
        <v>71</v>
      </c>
      <c r="AC770" s="8" t="s">
        <v>195</v>
      </c>
      <c r="AD770" s="8" t="s">
        <v>52</v>
      </c>
      <c r="AE770" s="8" t="s">
        <v>53</v>
      </c>
      <c r="AF770" s="8" t="s">
        <v>52</v>
      </c>
      <c r="AG770" s="8" t="s">
        <v>52</v>
      </c>
      <c r="AH770" s="8" t="s">
        <v>64</v>
      </c>
      <c r="AI770" s="8"/>
      <c r="AJ770" s="8"/>
      <c r="AK770" s="8">
        <v>5</v>
      </c>
      <c r="AL770" s="8">
        <v>5</v>
      </c>
      <c r="AM770" s="8"/>
      <c r="AN770" s="8">
        <v>366</v>
      </c>
      <c r="AO770" s="8" t="s">
        <v>56</v>
      </c>
      <c r="AP770" s="8" t="s">
        <v>56</v>
      </c>
      <c r="AQ770" s="8" t="s">
        <v>57</v>
      </c>
      <c r="AR770" s="8">
        <v>8.09</v>
      </c>
      <c r="AS770" s="8" t="s">
        <v>56</v>
      </c>
      <c r="AT770" s="8" t="s">
        <v>56</v>
      </c>
      <c r="AU770" s="8">
        <v>722</v>
      </c>
      <c r="AV770" t="s">
        <v>56</v>
      </c>
      <c r="AW770" t="s">
        <v>56</v>
      </c>
      <c r="AX770">
        <v>7.88</v>
      </c>
      <c r="AY770" t="s">
        <v>56</v>
      </c>
      <c r="AZ770" t="s">
        <v>56</v>
      </c>
      <c r="BA770" s="8"/>
      <c r="BB770" s="8">
        <f>LOG(AU770)</f>
        <v>2.858537197569639</v>
      </c>
      <c r="BC770" s="8">
        <v>15</v>
      </c>
      <c r="BD770" s="8" t="s">
        <v>56</v>
      </c>
      <c r="BE770" s="8" t="s">
        <v>56</v>
      </c>
      <c r="BF770" s="8">
        <v>18</v>
      </c>
      <c r="BG770" s="8" t="s">
        <v>56</v>
      </c>
      <c r="BH770" s="8" t="s">
        <v>56</v>
      </c>
      <c r="BI770" s="8">
        <v>356</v>
      </c>
      <c r="BJ770" s="8">
        <v>3</v>
      </c>
      <c r="BK770" s="8" t="s">
        <v>518</v>
      </c>
      <c r="BL770" s="8" t="s">
        <v>519</v>
      </c>
      <c r="BM770" s="8" t="s">
        <v>90</v>
      </c>
      <c r="BN770" s="8" t="s">
        <v>81</v>
      </c>
      <c r="BO770" s="8" t="s">
        <v>91</v>
      </c>
      <c r="BP770" s="8" t="s">
        <v>92</v>
      </c>
      <c r="BQ770" s="8" t="s">
        <v>9</v>
      </c>
      <c r="BR770" s="8" t="s">
        <v>63</v>
      </c>
      <c r="BS770" s="8"/>
      <c r="BT770" s="8">
        <v>136.19999999999999</v>
      </c>
      <c r="BU770" s="8">
        <v>136.19631899999999</v>
      </c>
      <c r="BV770" s="8">
        <v>0.64</v>
      </c>
      <c r="BW770" s="8">
        <f>BV770*SQRT(AK770)</f>
        <v>1.4310835055998654</v>
      </c>
      <c r="BX770" s="8">
        <v>130.12</v>
      </c>
      <c r="BY770" s="8">
        <v>130.12269939999999</v>
      </c>
      <c r="BZ770" s="8">
        <v>2.67</v>
      </c>
      <c r="CA770" s="8">
        <f>BZ770*SQRT(AL770)</f>
        <v>5.9703014999244388</v>
      </c>
      <c r="CB770" s="8">
        <v>3</v>
      </c>
      <c r="CC770" s="8">
        <v>5</v>
      </c>
      <c r="CD770" s="8">
        <v>-4.5999999999999999E-2</v>
      </c>
      <c r="CE770" s="8">
        <v>4.0000000000000002E-4</v>
      </c>
      <c r="CF770" s="8" t="s">
        <v>1134</v>
      </c>
    </row>
    <row r="771" spans="1:84" hidden="1" x14ac:dyDescent="0.2">
      <c r="A771" s="8"/>
      <c r="B771" t="str">
        <f>ROW()-1&amp;"_AltersInvert"</f>
        <v>770_AltersInvert</v>
      </c>
      <c r="C771" t="str">
        <f>D771&amp;"_"&amp;
SUBSTITUTE(TRIM(V771)," ","_")&amp;"_"&amp;
TRIM(AC771)&amp;"_"&amp;
"CO2"&amp;TEXT(AN771,"0.00")&amp;"_"&amp;
"pH"&amp;TEXT(AR771,"0.00")&amp;"_"&amp;
"T"&amp;TEXT(BC771,"0.##")</f>
        <v>49_Limecola_balthica_EMBRYO_CO2366.00_pH8.09_T15.</v>
      </c>
      <c r="D771" s="8">
        <v>49</v>
      </c>
      <c r="E771" s="8"/>
      <c r="F771" s="8"/>
      <c r="G771" s="8" t="s">
        <v>43</v>
      </c>
      <c r="H771" s="8" t="s">
        <v>512</v>
      </c>
      <c r="I771" s="8" t="s">
        <v>1130</v>
      </c>
      <c r="J771" s="8">
        <v>2018</v>
      </c>
      <c r="K771" s="8"/>
      <c r="L771" s="8"/>
      <c r="M771" s="8" t="s">
        <v>513</v>
      </c>
      <c r="N771" s="8"/>
      <c r="O771" s="8"/>
      <c r="P771" t="s">
        <v>1135</v>
      </c>
      <c r="Q771" s="8"/>
      <c r="R771" s="8" t="s">
        <v>1127</v>
      </c>
      <c r="S771" t="s">
        <v>1128</v>
      </c>
      <c r="T771" s="8" t="s">
        <v>68</v>
      </c>
      <c r="U771" s="8" t="s">
        <v>514</v>
      </c>
      <c r="V771" s="8" t="s">
        <v>515</v>
      </c>
      <c r="W771" s="8" t="str">
        <f>IF(ISNUMBER(MATCH(V165,{"Doryteuthis pealeii","Loligo vulgaris","Leptuca thayeri","Stylocheilus striatus","Ophryotrocha labronica"},0)),"N","Y")</f>
        <v>Y</v>
      </c>
      <c r="X771" s="8"/>
      <c r="Y771" s="8"/>
      <c r="Z771" s="8" t="s">
        <v>49</v>
      </c>
      <c r="AA771" s="8" t="s">
        <v>49</v>
      </c>
      <c r="AB771" s="8" t="s">
        <v>71</v>
      </c>
      <c r="AC771" s="8" t="s">
        <v>195</v>
      </c>
      <c r="AD771" s="8" t="s">
        <v>52</v>
      </c>
      <c r="AE771" s="8" t="s">
        <v>53</v>
      </c>
      <c r="AF771" s="8" t="s">
        <v>52</v>
      </c>
      <c r="AG771" s="8" t="s">
        <v>52</v>
      </c>
      <c r="AH771" s="8" t="s">
        <v>64</v>
      </c>
      <c r="AI771" s="8"/>
      <c r="AJ771" s="8"/>
      <c r="AK771" s="8">
        <v>5</v>
      </c>
      <c r="AL771" s="8">
        <v>5</v>
      </c>
      <c r="AM771" s="8"/>
      <c r="AN771" s="8">
        <v>366</v>
      </c>
      <c r="AO771" s="8" t="s">
        <v>56</v>
      </c>
      <c r="AP771" s="8" t="s">
        <v>56</v>
      </c>
      <c r="AQ771" s="8" t="s">
        <v>57</v>
      </c>
      <c r="AR771" s="8">
        <v>8.09</v>
      </c>
      <c r="AS771" s="8" t="s">
        <v>56</v>
      </c>
      <c r="AT771" s="8" t="s">
        <v>56</v>
      </c>
      <c r="AU771" s="8">
        <v>548</v>
      </c>
      <c r="AV771" t="s">
        <v>56</v>
      </c>
      <c r="AW771" t="s">
        <v>56</v>
      </c>
      <c r="AX771">
        <v>7.99</v>
      </c>
      <c r="AY771" t="s">
        <v>56</v>
      </c>
      <c r="AZ771" t="s">
        <v>56</v>
      </c>
      <c r="BA771" s="8"/>
      <c r="BB771" s="8">
        <f>LOG(AU771)</f>
        <v>2.7387805584843692</v>
      </c>
      <c r="BC771" s="8">
        <v>15</v>
      </c>
      <c r="BD771" s="8" t="s">
        <v>56</v>
      </c>
      <c r="BE771" s="8" t="s">
        <v>56</v>
      </c>
      <c r="BF771" s="8">
        <v>18</v>
      </c>
      <c r="BG771" s="8" t="s">
        <v>56</v>
      </c>
      <c r="BH771" s="8" t="s">
        <v>56</v>
      </c>
      <c r="BI771" s="8">
        <v>182</v>
      </c>
      <c r="BJ771" s="8">
        <v>3</v>
      </c>
      <c r="BK771" s="8" t="s">
        <v>518</v>
      </c>
      <c r="BL771" s="8" t="s">
        <v>519</v>
      </c>
      <c r="BM771" s="8" t="s">
        <v>90</v>
      </c>
      <c r="BN771" s="8" t="s">
        <v>81</v>
      </c>
      <c r="BO771" s="8" t="s">
        <v>91</v>
      </c>
      <c r="BP771" s="8" t="s">
        <v>92</v>
      </c>
      <c r="BQ771" s="8" t="s">
        <v>83</v>
      </c>
      <c r="BR771" s="8" t="s">
        <v>63</v>
      </c>
      <c r="BS771" s="8"/>
      <c r="BT771" s="8">
        <v>136.19999999999999</v>
      </c>
      <c r="BU771" s="8">
        <v>136.19631899999999</v>
      </c>
      <c r="BV771" s="8">
        <v>0.64</v>
      </c>
      <c r="BW771" s="8">
        <f>BV771*SQRT(AK771)</f>
        <v>1.4310835055998654</v>
      </c>
      <c r="BX771" s="8">
        <v>134.08000000000001</v>
      </c>
      <c r="BY771" s="8">
        <v>134.0797546</v>
      </c>
      <c r="BZ771" s="8">
        <v>3.59</v>
      </c>
      <c r="CA771" s="8">
        <f>BZ771*SQRT(AL771)</f>
        <v>8.0274840392242446</v>
      </c>
      <c r="CB771" s="8">
        <v>3</v>
      </c>
      <c r="CC771" s="8">
        <v>5</v>
      </c>
      <c r="CD771" s="8">
        <v>-1.6E-2</v>
      </c>
      <c r="CE771" s="8">
        <v>6.9999999999999999E-4</v>
      </c>
      <c r="CF771" s="8" t="s">
        <v>1134</v>
      </c>
    </row>
    <row r="772" spans="1:84" hidden="1" x14ac:dyDescent="0.2">
      <c r="A772" s="8"/>
      <c r="B772" t="str">
        <f>ROW()-1&amp;"_AltersInvert"</f>
        <v>771_AltersInvert</v>
      </c>
      <c r="C772" t="str">
        <f>D772&amp;"_"&amp;
SUBSTITUTE(TRIM(V772)," ","_")&amp;"_"&amp;
TRIM(AC772)&amp;"_"&amp;
"CO2"&amp;TEXT(AN772,"0.00")&amp;"_"&amp;
"pH"&amp;TEXT(AR772,"0.00")&amp;"_"&amp;
"T"&amp;TEXT(BC772,"0.##")</f>
        <v>49_Limecola_balthica_EMBRYO_CO2366.00_pH8.09_T15.</v>
      </c>
      <c r="D772" s="8">
        <v>49</v>
      </c>
      <c r="E772" s="8"/>
      <c r="F772" s="8"/>
      <c r="G772" s="8" t="s">
        <v>43</v>
      </c>
      <c r="H772" s="8" t="s">
        <v>512</v>
      </c>
      <c r="I772" s="8" t="s">
        <v>1130</v>
      </c>
      <c r="J772" s="8">
        <v>2018</v>
      </c>
      <c r="K772" s="8"/>
      <c r="L772" s="8"/>
      <c r="M772" s="8" t="s">
        <v>513</v>
      </c>
      <c r="N772" s="8"/>
      <c r="O772" s="8"/>
      <c r="P772" t="s">
        <v>1135</v>
      </c>
      <c r="Q772" s="8"/>
      <c r="R772" s="8" t="s">
        <v>1127</v>
      </c>
      <c r="S772" t="s">
        <v>1128</v>
      </c>
      <c r="T772" s="8" t="s">
        <v>68</v>
      </c>
      <c r="U772" s="8" t="s">
        <v>514</v>
      </c>
      <c r="V772" s="8" t="s">
        <v>515</v>
      </c>
      <c r="W772" s="8" t="str">
        <f>IF(ISNUMBER(MATCH(V166,{"Doryteuthis pealeii","Loligo vulgaris","Leptuca thayeri","Stylocheilus striatus","Ophryotrocha labronica"},0)),"N","Y")</f>
        <v>Y</v>
      </c>
      <c r="X772" s="8"/>
      <c r="Y772" s="8"/>
      <c r="Z772" s="8" t="s">
        <v>49</v>
      </c>
      <c r="AA772" s="8" t="s">
        <v>49</v>
      </c>
      <c r="AB772" s="8" t="s">
        <v>71</v>
      </c>
      <c r="AC772" s="8" t="s">
        <v>195</v>
      </c>
      <c r="AD772" s="8" t="s">
        <v>52</v>
      </c>
      <c r="AE772" s="8" t="s">
        <v>53</v>
      </c>
      <c r="AF772" s="8" t="s">
        <v>52</v>
      </c>
      <c r="AG772" s="8" t="s">
        <v>52</v>
      </c>
      <c r="AH772" s="8" t="s">
        <v>64</v>
      </c>
      <c r="AI772" s="8"/>
      <c r="AJ772" s="8"/>
      <c r="AK772" s="8">
        <v>5</v>
      </c>
      <c r="AL772" s="8">
        <v>5</v>
      </c>
      <c r="AM772" s="8"/>
      <c r="AN772" s="8">
        <v>366</v>
      </c>
      <c r="AO772" s="8" t="s">
        <v>56</v>
      </c>
      <c r="AP772" s="8" t="s">
        <v>56</v>
      </c>
      <c r="AQ772" s="8" t="s">
        <v>57</v>
      </c>
      <c r="AR772" s="8">
        <v>8.09</v>
      </c>
      <c r="AS772" s="8" t="s">
        <v>56</v>
      </c>
      <c r="AT772" s="8" t="s">
        <v>56</v>
      </c>
      <c r="AU772" s="8">
        <v>1166</v>
      </c>
      <c r="AV772" t="s">
        <v>56</v>
      </c>
      <c r="AW772" t="s">
        <v>56</v>
      </c>
      <c r="AX772">
        <v>7.6</v>
      </c>
      <c r="AY772" t="s">
        <v>56</v>
      </c>
      <c r="AZ772" t="s">
        <v>56</v>
      </c>
      <c r="BA772" s="8"/>
      <c r="BB772" s="8">
        <f>LOG(AU772)</f>
        <v>3.0666985504229953</v>
      </c>
      <c r="BC772" s="8">
        <v>15</v>
      </c>
      <c r="BD772" s="8" t="s">
        <v>56</v>
      </c>
      <c r="BE772" s="8" t="s">
        <v>56</v>
      </c>
      <c r="BF772" s="8">
        <v>18</v>
      </c>
      <c r="BG772" s="8" t="s">
        <v>56</v>
      </c>
      <c r="BH772" s="8" t="s">
        <v>56</v>
      </c>
      <c r="BI772" s="8">
        <v>800</v>
      </c>
      <c r="BJ772" s="8">
        <v>3</v>
      </c>
      <c r="BK772" s="8" t="s">
        <v>518</v>
      </c>
      <c r="BL772" s="8" t="s">
        <v>519</v>
      </c>
      <c r="BM772" s="8" t="s">
        <v>90</v>
      </c>
      <c r="BN772" s="8" t="s">
        <v>81</v>
      </c>
      <c r="BO772" s="8" t="s">
        <v>91</v>
      </c>
      <c r="BP772" s="8" t="s">
        <v>92</v>
      </c>
      <c r="BQ772" s="8" t="s">
        <v>204</v>
      </c>
      <c r="BR772" s="8" t="s">
        <v>63</v>
      </c>
      <c r="BS772" s="8"/>
      <c r="BT772" s="8">
        <v>136.19999999999999</v>
      </c>
      <c r="BU772" s="8">
        <v>136.19631899999999</v>
      </c>
      <c r="BV772" s="8">
        <v>0.64</v>
      </c>
      <c r="BW772" s="8">
        <f>BV772*SQRT(AK772)</f>
        <v>1.4310835055998654</v>
      </c>
      <c r="BX772" s="8">
        <v>136.56</v>
      </c>
      <c r="BY772" s="8">
        <v>136.56441720000001</v>
      </c>
      <c r="BZ772" s="8">
        <v>0.55000000000000004</v>
      </c>
      <c r="CA772" s="8">
        <f>BZ772*SQRT(AL772)</f>
        <v>1.2298373876248845</v>
      </c>
      <c r="CB772" s="8">
        <v>3</v>
      </c>
      <c r="CC772" s="8">
        <v>5</v>
      </c>
      <c r="CD772" s="8">
        <v>3.0000000000000001E-3</v>
      </c>
      <c r="CE772" s="8">
        <v>1E-4</v>
      </c>
      <c r="CF772" s="8" t="s">
        <v>1134</v>
      </c>
    </row>
    <row r="773" spans="1:84" hidden="1" x14ac:dyDescent="0.2">
      <c r="A773" s="8"/>
      <c r="B773" t="str">
        <f>ROW()-1&amp;"_AltersInvert"</f>
        <v>772_AltersInvert</v>
      </c>
      <c r="C773" t="str">
        <f>D773&amp;"_"&amp;
SUBSTITUTE(TRIM(V773)," ","_")&amp;"_"&amp;
TRIM(AC773)&amp;"_"&amp;
"CO2"&amp;TEXT(AN773,"0.00")&amp;"_"&amp;
"pH"&amp;TEXT(AR773,"0.00")&amp;"_"&amp;
"T"&amp;TEXT(BC773,"0.##")</f>
        <v>49_Limecola_balthica_EMBRYO_CO2366.00_pH8.09_T15.</v>
      </c>
      <c r="D773" s="8">
        <v>49</v>
      </c>
      <c r="E773" s="8"/>
      <c r="F773" s="8"/>
      <c r="G773" s="8" t="s">
        <v>43</v>
      </c>
      <c r="H773" s="8" t="s">
        <v>512</v>
      </c>
      <c r="I773" s="8" t="s">
        <v>1130</v>
      </c>
      <c r="J773" s="8">
        <v>2018</v>
      </c>
      <c r="K773" s="8"/>
      <c r="L773" s="8"/>
      <c r="M773" s="8" t="s">
        <v>513</v>
      </c>
      <c r="N773" s="8"/>
      <c r="O773" s="8"/>
      <c r="P773" t="s">
        <v>1135</v>
      </c>
      <c r="Q773" s="8"/>
      <c r="R773" s="8" t="s">
        <v>1127</v>
      </c>
      <c r="S773" t="s">
        <v>1128</v>
      </c>
      <c r="T773" s="8" t="s">
        <v>68</v>
      </c>
      <c r="U773" s="8" t="s">
        <v>514</v>
      </c>
      <c r="V773" s="8" t="s">
        <v>515</v>
      </c>
      <c r="W773" s="8" t="str">
        <f>IF(ISNUMBER(MATCH(V167,{"Doryteuthis pealeii","Loligo vulgaris","Leptuca thayeri","Stylocheilus striatus","Ophryotrocha labronica"},0)),"N","Y")</f>
        <v>Y</v>
      </c>
      <c r="X773" s="8"/>
      <c r="Y773" s="8"/>
      <c r="Z773" s="8" t="s">
        <v>49</v>
      </c>
      <c r="AA773" s="8" t="s">
        <v>49</v>
      </c>
      <c r="AB773" s="8" t="s">
        <v>71</v>
      </c>
      <c r="AC773" s="8" t="s">
        <v>195</v>
      </c>
      <c r="AD773" s="8" t="s">
        <v>52</v>
      </c>
      <c r="AE773" s="8" t="s">
        <v>53</v>
      </c>
      <c r="AF773" s="8" t="s">
        <v>52</v>
      </c>
      <c r="AG773" s="8" t="s">
        <v>52</v>
      </c>
      <c r="AH773" s="8" t="s">
        <v>64</v>
      </c>
      <c r="AI773" s="8"/>
      <c r="AJ773" s="8"/>
      <c r="AK773" s="8">
        <v>5</v>
      </c>
      <c r="AL773" s="8">
        <v>5</v>
      </c>
      <c r="AM773" s="8"/>
      <c r="AN773" s="8">
        <v>366</v>
      </c>
      <c r="AO773" s="8" t="s">
        <v>56</v>
      </c>
      <c r="AP773" s="8" t="s">
        <v>56</v>
      </c>
      <c r="AQ773" s="8" t="s">
        <v>57</v>
      </c>
      <c r="AR773" s="8">
        <v>8.09</v>
      </c>
      <c r="AS773" s="8" t="s">
        <v>56</v>
      </c>
      <c r="AT773" s="8" t="s">
        <v>56</v>
      </c>
      <c r="AU773" s="8">
        <v>932</v>
      </c>
      <c r="AV773" t="s">
        <v>56</v>
      </c>
      <c r="AW773" t="s">
        <v>56</v>
      </c>
      <c r="AX773">
        <v>7.79</v>
      </c>
      <c r="AY773" t="s">
        <v>56</v>
      </c>
      <c r="AZ773" t="s">
        <v>56</v>
      </c>
      <c r="BA773" s="8"/>
      <c r="BB773" s="8">
        <f>LOG(AU773)</f>
        <v>2.9694159123539814</v>
      </c>
      <c r="BC773" s="8">
        <v>15</v>
      </c>
      <c r="BD773" s="8" t="s">
        <v>56</v>
      </c>
      <c r="BE773" s="8" t="s">
        <v>56</v>
      </c>
      <c r="BF773" s="8">
        <v>18</v>
      </c>
      <c r="BG773" s="8" t="s">
        <v>56</v>
      </c>
      <c r="BH773" s="8" t="s">
        <v>56</v>
      </c>
      <c r="BI773" s="8">
        <v>566</v>
      </c>
      <c r="BJ773" s="8">
        <v>3</v>
      </c>
      <c r="BK773" s="8" t="s">
        <v>518</v>
      </c>
      <c r="BL773" s="8" t="s">
        <v>519</v>
      </c>
      <c r="BM773" s="8" t="s">
        <v>90</v>
      </c>
      <c r="BN773" s="8" t="s">
        <v>81</v>
      </c>
      <c r="BO773" s="8" t="s">
        <v>91</v>
      </c>
      <c r="BP773" s="8" t="s">
        <v>92</v>
      </c>
      <c r="BQ773" s="8" t="s">
        <v>204</v>
      </c>
      <c r="BR773" s="8" t="s">
        <v>63</v>
      </c>
      <c r="BS773" s="8"/>
      <c r="BT773" s="8">
        <v>136.19999999999999</v>
      </c>
      <c r="BU773" s="8">
        <v>136.19631899999999</v>
      </c>
      <c r="BV773" s="8">
        <v>0.64</v>
      </c>
      <c r="BW773" s="8">
        <f>BV773*SQRT(AK773)</f>
        <v>1.4310835055998654</v>
      </c>
      <c r="BX773" s="8">
        <v>137.66999999999999</v>
      </c>
      <c r="BY773" s="8">
        <v>137.66871169999999</v>
      </c>
      <c r="BZ773" s="8">
        <v>0.55000000000000004</v>
      </c>
      <c r="CA773" s="8">
        <f>BZ773*SQRT(AL773)</f>
        <v>1.2298373876248845</v>
      </c>
      <c r="CB773" s="8">
        <v>3</v>
      </c>
      <c r="CC773" s="8">
        <v>5</v>
      </c>
      <c r="CD773" s="8">
        <v>1.0999999999999999E-2</v>
      </c>
      <c r="CE773" s="8">
        <v>1E-4</v>
      </c>
      <c r="CF773" s="8" t="s">
        <v>1134</v>
      </c>
    </row>
    <row r="774" spans="1:84" hidden="1" x14ac:dyDescent="0.2">
      <c r="B774" t="str">
        <f>ROW()-1&amp;"_AltersInvert"</f>
        <v>773_AltersInvert</v>
      </c>
      <c r="C774" t="str">
        <f>D774&amp;"_"&amp;
SUBSTITUTE(TRIM(V774)," ","_")&amp;"_"&amp;
TRIM(AC774)&amp;"_"&amp;
"CO2"&amp;TEXT(AN774,"0.00")&amp;"_"&amp;
"pH"&amp;TEXT(AR774,"0.00")&amp;"_"&amp;
"T"&amp;TEXT(BC774,"0.##")</f>
        <v>84_Pocillopora_damicornis_LARVA_CO2466.00_pH7.99_T28.4</v>
      </c>
      <c r="D774">
        <v>84</v>
      </c>
      <c r="G774" t="s">
        <v>43</v>
      </c>
      <c r="H774" t="s">
        <v>711</v>
      </c>
      <c r="J774">
        <v>2018</v>
      </c>
      <c r="M774" t="s">
        <v>265</v>
      </c>
      <c r="P774" t="s">
        <v>1135</v>
      </c>
      <c r="R774" t="s">
        <v>1127</v>
      </c>
      <c r="S774" t="s">
        <v>1128</v>
      </c>
      <c r="T774" t="s">
        <v>103</v>
      </c>
      <c r="U774" t="s">
        <v>201</v>
      </c>
      <c r="V774" t="s">
        <v>214</v>
      </c>
      <c r="Z774" t="s">
        <v>106</v>
      </c>
      <c r="AA774" t="s">
        <v>107</v>
      </c>
      <c r="AB774" t="s">
        <v>71</v>
      </c>
      <c r="AC774" t="s">
        <v>72</v>
      </c>
      <c r="AD774" t="s">
        <v>54</v>
      </c>
      <c r="AE774" t="s">
        <v>53</v>
      </c>
      <c r="AF774" t="s">
        <v>52</v>
      </c>
      <c r="AG774" t="s">
        <v>54</v>
      </c>
      <c r="AH774" t="s">
        <v>55</v>
      </c>
      <c r="AK774">
        <v>4</v>
      </c>
      <c r="AL774">
        <v>4</v>
      </c>
      <c r="AN774">
        <v>466</v>
      </c>
      <c r="AO774">
        <v>7</v>
      </c>
      <c r="AP774" t="s">
        <v>56</v>
      </c>
      <c r="AQ774" t="s">
        <v>109</v>
      </c>
      <c r="AR774">
        <v>7.99</v>
      </c>
      <c r="AS774">
        <v>0.01</v>
      </c>
      <c r="AT774" t="s">
        <v>56</v>
      </c>
      <c r="AU774">
        <v>1034</v>
      </c>
      <c r="AV774">
        <v>62</v>
      </c>
      <c r="AW774" t="s">
        <v>56</v>
      </c>
      <c r="AX774">
        <v>7.7</v>
      </c>
      <c r="AY774">
        <v>0.02</v>
      </c>
      <c r="AZ774" t="s">
        <v>56</v>
      </c>
      <c r="BB774">
        <f>LOG(AU774)</f>
        <v>3.0145205387579237</v>
      </c>
      <c r="BC774">
        <v>28.4</v>
      </c>
      <c r="BD774">
        <v>0.1</v>
      </c>
      <c r="BE774" t="s">
        <v>56</v>
      </c>
      <c r="BF774">
        <v>27.9</v>
      </c>
      <c r="BG774">
        <v>0.3</v>
      </c>
      <c r="BH774" t="s">
        <v>56</v>
      </c>
      <c r="BI774">
        <v>568</v>
      </c>
      <c r="BJ774">
        <v>-0.5</v>
      </c>
      <c r="BK774" t="s">
        <v>56</v>
      </c>
      <c r="BL774" t="s">
        <v>715</v>
      </c>
      <c r="BM774" t="s">
        <v>543</v>
      </c>
      <c r="BN774" t="s">
        <v>60</v>
      </c>
      <c r="BO774" t="s">
        <v>716</v>
      </c>
      <c r="BP774" t="s">
        <v>194</v>
      </c>
      <c r="BQ774" t="s">
        <v>194</v>
      </c>
      <c r="BR774" t="s">
        <v>714</v>
      </c>
      <c r="BT774">
        <v>8.11</v>
      </c>
      <c r="BU774">
        <v>8.1120000000000001</v>
      </c>
      <c r="BV774">
        <v>0.74</v>
      </c>
      <c r="BW774">
        <f>BV774*SQRT(AK774)</f>
        <v>1.48</v>
      </c>
      <c r="BX774">
        <v>12.3</v>
      </c>
      <c r="BY774">
        <v>12.304</v>
      </c>
      <c r="BZ774">
        <v>1.1499999999999999</v>
      </c>
      <c r="CA774">
        <f>BZ774*SQRT(AL774)</f>
        <v>2.2999999999999998</v>
      </c>
      <c r="CB774">
        <v>1</v>
      </c>
      <c r="CC774">
        <v>2</v>
      </c>
      <c r="CD774">
        <v>0.41699999999999998</v>
      </c>
      <c r="CE774">
        <v>1.7000000000000001E-2</v>
      </c>
      <c r="CF774" s="8"/>
    </row>
    <row r="775" spans="1:84" hidden="1" x14ac:dyDescent="0.2">
      <c r="B775" t="str">
        <f>ROW()-1&amp;"_AltersInvert"</f>
        <v>774_AltersInvert</v>
      </c>
      <c r="C775" t="str">
        <f>D775&amp;"_"&amp;
SUBSTITUTE(TRIM(V775)," ","_")&amp;"_"&amp;
TRIM(AC775)&amp;"_"&amp;
"CO2"&amp;TEXT(AN775,"0.00")&amp;"_"&amp;
"pH"&amp;TEXT(AR775,"0.00")&amp;"_"&amp;
"T"&amp;TEXT(BC775,"0.##")</f>
        <v>84_Pocillopora_damicornis_LARVA_CO2466.00_pH7.99_T28.4</v>
      </c>
      <c r="D775">
        <v>84</v>
      </c>
      <c r="G775" t="s">
        <v>43</v>
      </c>
      <c r="H775" t="s">
        <v>711</v>
      </c>
      <c r="J775">
        <v>2018</v>
      </c>
      <c r="M775" t="s">
        <v>265</v>
      </c>
      <c r="P775" t="s">
        <v>1135</v>
      </c>
      <c r="R775" t="s">
        <v>1127</v>
      </c>
      <c r="S775" t="s">
        <v>1128</v>
      </c>
      <c r="T775" t="s">
        <v>103</v>
      </c>
      <c r="U775" t="s">
        <v>201</v>
      </c>
      <c r="V775" t="s">
        <v>214</v>
      </c>
      <c r="Z775" t="s">
        <v>106</v>
      </c>
      <c r="AA775" t="s">
        <v>107</v>
      </c>
      <c r="AB775" t="s">
        <v>71</v>
      </c>
      <c r="AC775" t="s">
        <v>72</v>
      </c>
      <c r="AD775" t="s">
        <v>54</v>
      </c>
      <c r="AE775" t="s">
        <v>53</v>
      </c>
      <c r="AF775" t="s">
        <v>54</v>
      </c>
      <c r="AG775" t="s">
        <v>52</v>
      </c>
      <c r="AH775" t="s">
        <v>65</v>
      </c>
      <c r="AK775">
        <v>4</v>
      </c>
      <c r="AL775">
        <v>4</v>
      </c>
      <c r="AN775">
        <v>466</v>
      </c>
      <c r="AO775">
        <v>7</v>
      </c>
      <c r="AP775" t="s">
        <v>56</v>
      </c>
      <c r="AQ775" t="s">
        <v>109</v>
      </c>
      <c r="AR775">
        <v>7.99</v>
      </c>
      <c r="AS775">
        <v>0.01</v>
      </c>
      <c r="AT775" t="s">
        <v>56</v>
      </c>
      <c r="AU775">
        <v>467</v>
      </c>
      <c r="AV775">
        <v>5</v>
      </c>
      <c r="AW775" t="s">
        <v>56</v>
      </c>
      <c r="AX775">
        <v>7.99</v>
      </c>
      <c r="AY775">
        <v>0</v>
      </c>
      <c r="AZ775" t="s">
        <v>56</v>
      </c>
      <c r="BB775">
        <f>LOG(AU775)</f>
        <v>2.6693168805661123</v>
      </c>
      <c r="BC775">
        <v>28.4</v>
      </c>
      <c r="BD775">
        <v>0.1</v>
      </c>
      <c r="BE775" t="s">
        <v>56</v>
      </c>
      <c r="BF775">
        <v>31.1</v>
      </c>
      <c r="BG775">
        <v>0.2</v>
      </c>
      <c r="BH775" t="s">
        <v>56</v>
      </c>
      <c r="BI775">
        <v>1</v>
      </c>
      <c r="BJ775">
        <v>2.7</v>
      </c>
      <c r="BK775" t="s">
        <v>56</v>
      </c>
      <c r="BL775" t="s">
        <v>715</v>
      </c>
      <c r="BM775" t="s">
        <v>543</v>
      </c>
      <c r="BN775" t="s">
        <v>60</v>
      </c>
      <c r="BO775" t="s">
        <v>716</v>
      </c>
      <c r="BP775" t="s">
        <v>194</v>
      </c>
      <c r="BQ775" t="s">
        <v>194</v>
      </c>
      <c r="BR775" t="s">
        <v>714</v>
      </c>
      <c r="BT775">
        <v>8.11</v>
      </c>
      <c r="BU775">
        <v>8.1120000000000001</v>
      </c>
      <c r="BV775">
        <v>0.74</v>
      </c>
      <c r="BW775">
        <f>BV775*SQRT(AK775)</f>
        <v>1.48</v>
      </c>
      <c r="BX775">
        <v>9.6199999999999992</v>
      </c>
      <c r="BY775">
        <v>9.6159999999999997</v>
      </c>
      <c r="BZ775">
        <v>1.44</v>
      </c>
      <c r="CA775">
        <f>BZ775*SQRT(AL775)</f>
        <v>2.88</v>
      </c>
      <c r="CB775">
        <v>1</v>
      </c>
      <c r="CC775">
        <v>2</v>
      </c>
      <c r="CD775">
        <v>0.17</v>
      </c>
      <c r="CE775">
        <v>3.0700000000000002E-2</v>
      </c>
      <c r="CF775" s="8"/>
    </row>
    <row r="776" spans="1:84" hidden="1" x14ac:dyDescent="0.2">
      <c r="B776" t="str">
        <f>ROW()-1&amp;"_AltersInvert"</f>
        <v>775_AltersInvert</v>
      </c>
      <c r="C776" t="str">
        <f>D776&amp;"_"&amp;
SUBSTITUTE(TRIM(V776)," ","_")&amp;"_"&amp;
TRIM(AC776)&amp;"_"&amp;
"CO2"&amp;TEXT(AN776,"0.00")&amp;"_"&amp;
"pH"&amp;TEXT(AR776,"0.00")&amp;"_"&amp;
"T"&amp;TEXT(BC776,"0.##")</f>
        <v>84_Pocillopora_damicornis_LARVA_CO2466.00_pH7.99_T28.4</v>
      </c>
      <c r="D776">
        <v>84</v>
      </c>
      <c r="G776" t="s">
        <v>43</v>
      </c>
      <c r="H776" t="s">
        <v>711</v>
      </c>
      <c r="J776">
        <v>2018</v>
      </c>
      <c r="M776" t="s">
        <v>265</v>
      </c>
      <c r="P776" t="s">
        <v>1135</v>
      </c>
      <c r="R776" t="s">
        <v>1127</v>
      </c>
      <c r="S776" t="s">
        <v>1128</v>
      </c>
      <c r="T776" t="s">
        <v>103</v>
      </c>
      <c r="U776" t="s">
        <v>201</v>
      </c>
      <c r="V776" t="s">
        <v>214</v>
      </c>
      <c r="Z776" t="s">
        <v>106</v>
      </c>
      <c r="AA776" t="s">
        <v>107</v>
      </c>
      <c r="AB776" t="s">
        <v>71</v>
      </c>
      <c r="AC776" t="s">
        <v>72</v>
      </c>
      <c r="AD776" t="s">
        <v>54</v>
      </c>
      <c r="AE776" t="s">
        <v>53</v>
      </c>
      <c r="AF776" t="s">
        <v>52</v>
      </c>
      <c r="AG776" t="s">
        <v>52</v>
      </c>
      <c r="AH776" t="s">
        <v>64</v>
      </c>
      <c r="AK776">
        <v>4</v>
      </c>
      <c r="AL776">
        <v>4</v>
      </c>
      <c r="AN776">
        <v>466</v>
      </c>
      <c r="AO776">
        <v>7</v>
      </c>
      <c r="AP776" t="s">
        <v>56</v>
      </c>
      <c r="AQ776" t="s">
        <v>109</v>
      </c>
      <c r="AR776">
        <v>7.99</v>
      </c>
      <c r="AS776">
        <v>0.01</v>
      </c>
      <c r="AT776" t="s">
        <v>56</v>
      </c>
      <c r="AU776">
        <v>1007</v>
      </c>
      <c r="AV776">
        <v>79</v>
      </c>
      <c r="AW776" t="s">
        <v>56</v>
      </c>
      <c r="AX776">
        <v>7.71</v>
      </c>
      <c r="AY776">
        <v>0.03</v>
      </c>
      <c r="AZ776" t="s">
        <v>56</v>
      </c>
      <c r="BB776">
        <f>LOG(AU776)</f>
        <v>3.003029470553618</v>
      </c>
      <c r="BC776">
        <v>28.4</v>
      </c>
      <c r="BD776">
        <v>0.1</v>
      </c>
      <c r="BE776" t="s">
        <v>56</v>
      </c>
      <c r="BF776">
        <v>30.7</v>
      </c>
      <c r="BG776">
        <v>0.2</v>
      </c>
      <c r="BH776" t="s">
        <v>56</v>
      </c>
      <c r="BI776">
        <v>541</v>
      </c>
      <c r="BJ776">
        <v>2.2999999999999998</v>
      </c>
      <c r="BK776" t="s">
        <v>56</v>
      </c>
      <c r="BL776" t="s">
        <v>715</v>
      </c>
      <c r="BM776" t="s">
        <v>543</v>
      </c>
      <c r="BN776" t="s">
        <v>60</v>
      </c>
      <c r="BO776" t="s">
        <v>716</v>
      </c>
      <c r="BP776" t="s">
        <v>194</v>
      </c>
      <c r="BQ776" t="s">
        <v>194</v>
      </c>
      <c r="BR776" t="s">
        <v>714</v>
      </c>
      <c r="BT776">
        <v>8.11</v>
      </c>
      <c r="BU776">
        <v>8.1120000000000001</v>
      </c>
      <c r="BV776">
        <v>0.74</v>
      </c>
      <c r="BW776">
        <f>BV776*SQRT(AK776)</f>
        <v>1.48</v>
      </c>
      <c r="BX776">
        <v>8.3699999999999992</v>
      </c>
      <c r="BY776">
        <v>8.3680000000000003</v>
      </c>
      <c r="BZ776">
        <v>0.45</v>
      </c>
      <c r="CA776">
        <f>BZ776*SQRT(AL776)</f>
        <v>0.9</v>
      </c>
      <c r="CB776">
        <v>1</v>
      </c>
      <c r="CC776">
        <v>2</v>
      </c>
      <c r="CD776">
        <v>3.1E-2</v>
      </c>
      <c r="CE776">
        <v>1.11E-2</v>
      </c>
      <c r="CF776" s="8"/>
    </row>
    <row r="777" spans="1:84" hidden="1" x14ac:dyDescent="0.2">
      <c r="B777" t="str">
        <f>ROW()-1&amp;"_AltersInvert"</f>
        <v>776_AltersInvert</v>
      </c>
      <c r="C777" t="str">
        <f>D777&amp;"_"&amp;
SUBSTITUTE(TRIM(V777)," ","_")&amp;"_"&amp;
TRIM(AC777)&amp;"_"&amp;
"CO2"&amp;TEXT(AN777,"0.00")&amp;"_"&amp;
"pH"&amp;TEXT(AR777,"0.00")&amp;"_"&amp;
"T"&amp;TEXT(BC777,"0.##")</f>
        <v>232_Aurelia_coerulea_LARVA_CO2375.00_pH0.00_T24.</v>
      </c>
      <c r="D777">
        <v>232</v>
      </c>
      <c r="G777" t="s">
        <v>43</v>
      </c>
      <c r="H777" t="s">
        <v>1046</v>
      </c>
      <c r="J777">
        <v>2018</v>
      </c>
      <c r="M777" t="s">
        <v>308</v>
      </c>
      <c r="P777" t="s">
        <v>1135</v>
      </c>
      <c r="R777" t="s">
        <v>1127</v>
      </c>
      <c r="S777" t="s">
        <v>1128</v>
      </c>
      <c r="T777" t="s">
        <v>103</v>
      </c>
      <c r="U777" t="s">
        <v>1047</v>
      </c>
      <c r="V777" t="s">
        <v>1048</v>
      </c>
      <c r="AC777" t="s">
        <v>72</v>
      </c>
      <c r="AF777" t="s">
        <v>52</v>
      </c>
      <c r="AG777" t="s">
        <v>54</v>
      </c>
      <c r="AH777" t="s">
        <v>55</v>
      </c>
      <c r="AK777">
        <v>4</v>
      </c>
      <c r="AL777">
        <v>4</v>
      </c>
      <c r="AN777">
        <v>375</v>
      </c>
      <c r="AU777">
        <v>2789</v>
      </c>
      <c r="BB777">
        <f>LOG(AU777)</f>
        <v>3.44544851426605</v>
      </c>
      <c r="BC777">
        <v>24</v>
      </c>
      <c r="BF777">
        <v>24</v>
      </c>
      <c r="BI777">
        <v>2414</v>
      </c>
      <c r="BJ777">
        <v>0</v>
      </c>
      <c r="BL777" t="s">
        <v>210</v>
      </c>
      <c r="BM777" t="s">
        <v>262</v>
      </c>
      <c r="BN777" t="s">
        <v>81</v>
      </c>
      <c r="BO777" t="s">
        <v>1035</v>
      </c>
      <c r="BP777" t="s">
        <v>92</v>
      </c>
      <c r="BQ777" t="s">
        <v>92</v>
      </c>
      <c r="BR777" t="s">
        <v>63</v>
      </c>
      <c r="BT777">
        <v>2.6060934699999998</v>
      </c>
      <c r="BU777">
        <v>2.606093</v>
      </c>
      <c r="BV777">
        <v>0.75</v>
      </c>
      <c r="BW777">
        <f>BV777*SQRT(AK777)</f>
        <v>1.5</v>
      </c>
      <c r="BX777">
        <v>1.7456891269999999</v>
      </c>
      <c r="BY777">
        <v>1.7456891000000001</v>
      </c>
      <c r="BZ777">
        <v>0.53</v>
      </c>
      <c r="CA777">
        <f>BZ777*SQRT(AL777)</f>
        <v>1.06</v>
      </c>
      <c r="CB777">
        <v>7</v>
      </c>
      <c r="CD777">
        <v>-0.40100000000000002</v>
      </c>
      <c r="CE777">
        <v>0.17380000000000001</v>
      </c>
    </row>
    <row r="778" spans="1:84" hidden="1" x14ac:dyDescent="0.2">
      <c r="B778" t="str">
        <f>ROW()-1&amp;"_AltersInvert"</f>
        <v>777_AltersInvert</v>
      </c>
      <c r="C778" t="str">
        <f>D778&amp;"_"&amp;
SUBSTITUTE(TRIM(V778)," ","_")&amp;"_"&amp;
TRIM(AC778)&amp;"_"&amp;
"CO2"&amp;TEXT(AN778,"0.00")&amp;"_"&amp;
"pH"&amp;TEXT(AR778,"0.00")&amp;"_"&amp;
"T"&amp;TEXT(BC778,"0.##")</f>
        <v>232_Aurelia_coerulea_LARVA_CO2375.00_pH0.00_T24.</v>
      </c>
      <c r="D778">
        <v>232</v>
      </c>
      <c r="G778" t="s">
        <v>43</v>
      </c>
      <c r="H778" t="s">
        <v>1046</v>
      </c>
      <c r="J778">
        <v>2018</v>
      </c>
      <c r="M778" t="s">
        <v>308</v>
      </c>
      <c r="P778" t="s">
        <v>1135</v>
      </c>
      <c r="R778" t="s">
        <v>1127</v>
      </c>
      <c r="S778" t="s">
        <v>1128</v>
      </c>
      <c r="T778" t="s">
        <v>103</v>
      </c>
      <c r="U778" t="s">
        <v>1047</v>
      </c>
      <c r="V778" t="s">
        <v>1048</v>
      </c>
      <c r="AC778" t="s">
        <v>72</v>
      </c>
      <c r="AF778" t="s">
        <v>52</v>
      </c>
      <c r="AG778" t="s">
        <v>54</v>
      </c>
      <c r="AH778" t="s">
        <v>55</v>
      </c>
      <c r="AK778">
        <v>4</v>
      </c>
      <c r="AL778">
        <v>4</v>
      </c>
      <c r="AN778">
        <v>375</v>
      </c>
      <c r="AU778">
        <v>1032</v>
      </c>
      <c r="BB778">
        <f>LOG(AU778)</f>
        <v>3.0136796972911926</v>
      </c>
      <c r="BC778">
        <v>24</v>
      </c>
      <c r="BF778">
        <v>24</v>
      </c>
      <c r="BI778">
        <v>657</v>
      </c>
      <c r="BJ778">
        <v>0</v>
      </c>
      <c r="BL778" t="s">
        <v>210</v>
      </c>
      <c r="BM778" t="s">
        <v>262</v>
      </c>
      <c r="BN778" t="s">
        <v>81</v>
      </c>
      <c r="BO778" t="s">
        <v>1035</v>
      </c>
      <c r="BP778" t="s">
        <v>92</v>
      </c>
      <c r="BQ778" t="s">
        <v>92</v>
      </c>
      <c r="BR778" t="s">
        <v>63</v>
      </c>
      <c r="BT778">
        <v>2.6060934699999998</v>
      </c>
      <c r="BU778">
        <v>2.606093</v>
      </c>
      <c r="BV778">
        <v>0.75</v>
      </c>
      <c r="BW778">
        <f>BV778*SQRT(AK778)</f>
        <v>1.5</v>
      </c>
      <c r="BX778">
        <v>2.044338405</v>
      </c>
      <c r="BY778">
        <v>2.0443384</v>
      </c>
      <c r="BZ778">
        <v>0.47</v>
      </c>
      <c r="CA778">
        <f>BZ778*SQRT(AL778)</f>
        <v>0.94</v>
      </c>
      <c r="CB778">
        <v>7</v>
      </c>
      <c r="CD778">
        <v>-0.24299999999999999</v>
      </c>
      <c r="CE778">
        <v>0.1358</v>
      </c>
      <c r="CF778" s="8"/>
    </row>
    <row r="779" spans="1:84" hidden="1" x14ac:dyDescent="0.2">
      <c r="B779" t="str">
        <f>ROW()-1&amp;"_AltersInvert"</f>
        <v>778_AltersInvert</v>
      </c>
      <c r="C779" t="str">
        <f>D779&amp;"_"&amp;
SUBSTITUTE(TRIM(V779)," ","_")&amp;"_"&amp;
TRIM(AC779)&amp;"_"&amp;
"CO2"&amp;TEXT(AN779,"0.00")&amp;"_"&amp;
"pH"&amp;TEXT(AR779,"0.00")&amp;"_"&amp;
"T"&amp;TEXT(BC779,"0.##")</f>
        <v>232_Aurelia_coerulea_LARVA_CO2375.00_pH0.00_T24.</v>
      </c>
      <c r="D779">
        <v>232</v>
      </c>
      <c r="G779" t="s">
        <v>43</v>
      </c>
      <c r="H779" t="s">
        <v>1046</v>
      </c>
      <c r="J779">
        <v>2018</v>
      </c>
      <c r="M779" t="s">
        <v>308</v>
      </c>
      <c r="P779" t="s">
        <v>1135</v>
      </c>
      <c r="R779" t="s">
        <v>1127</v>
      </c>
      <c r="S779" t="s">
        <v>1128</v>
      </c>
      <c r="T779" t="s">
        <v>103</v>
      </c>
      <c r="U779" t="s">
        <v>1047</v>
      </c>
      <c r="V779" t="s">
        <v>1048</v>
      </c>
      <c r="AC779" t="s">
        <v>72</v>
      </c>
      <c r="AF779" t="s">
        <v>54</v>
      </c>
      <c r="AG779" t="s">
        <v>52</v>
      </c>
      <c r="AH779" t="s">
        <v>65</v>
      </c>
      <c r="AK779">
        <v>4</v>
      </c>
      <c r="AL779">
        <v>4</v>
      </c>
      <c r="AN779">
        <v>375</v>
      </c>
      <c r="AU779">
        <v>368</v>
      </c>
      <c r="BB779">
        <f>LOG(AU779)</f>
        <v>2.5658478186735176</v>
      </c>
      <c r="BC779">
        <v>24</v>
      </c>
      <c r="BF779">
        <v>27</v>
      </c>
      <c r="BI779">
        <v>-7</v>
      </c>
      <c r="BJ779">
        <v>3</v>
      </c>
      <c r="BL779" t="s">
        <v>210</v>
      </c>
      <c r="BM779" t="s">
        <v>262</v>
      </c>
      <c r="BN779" t="s">
        <v>81</v>
      </c>
      <c r="BO779" t="s">
        <v>1035</v>
      </c>
      <c r="BP779" t="s">
        <v>92</v>
      </c>
      <c r="BQ779" t="s">
        <v>92</v>
      </c>
      <c r="BR779" t="s">
        <v>63</v>
      </c>
      <c r="BT779">
        <v>2.6060934699999998</v>
      </c>
      <c r="BU779">
        <v>2.606093</v>
      </c>
      <c r="BV779">
        <v>0.75</v>
      </c>
      <c r="BW779">
        <f>BV779*SQRT(AK779)</f>
        <v>1.5</v>
      </c>
      <c r="BX779">
        <v>1.897518603</v>
      </c>
      <c r="BY779">
        <v>1.8975185999999999</v>
      </c>
      <c r="BZ779">
        <v>0.49</v>
      </c>
      <c r="CA779">
        <f>BZ779*SQRT(AL779)</f>
        <v>0.98</v>
      </c>
      <c r="CB779">
        <v>7</v>
      </c>
      <c r="CD779">
        <v>-0.317</v>
      </c>
      <c r="CE779">
        <v>0.14929999999999999</v>
      </c>
    </row>
    <row r="780" spans="1:84" hidden="1" x14ac:dyDescent="0.2">
      <c r="B780" t="str">
        <f>ROW()-1&amp;"_AltersInvert"</f>
        <v>779_AltersInvert</v>
      </c>
      <c r="C780" t="str">
        <f>D780&amp;"_"&amp;
SUBSTITUTE(TRIM(V780)," ","_")&amp;"_"&amp;
TRIM(AC780)&amp;"_"&amp;
"CO2"&amp;TEXT(AN780,"0.00")&amp;"_"&amp;
"pH"&amp;TEXT(AR780,"0.00")&amp;"_"&amp;
"T"&amp;TEXT(BC780,"0.##")</f>
        <v>232_Aurelia_coerulea_LARVA_CO2375.00_pH0.00_T24.</v>
      </c>
      <c r="D780">
        <v>232</v>
      </c>
      <c r="G780" t="s">
        <v>43</v>
      </c>
      <c r="H780" t="s">
        <v>1046</v>
      </c>
      <c r="J780">
        <v>2018</v>
      </c>
      <c r="M780" t="s">
        <v>308</v>
      </c>
      <c r="P780" t="s">
        <v>1135</v>
      </c>
      <c r="R780" t="s">
        <v>1127</v>
      </c>
      <c r="S780" t="s">
        <v>1128</v>
      </c>
      <c r="T780" t="s">
        <v>103</v>
      </c>
      <c r="U780" t="s">
        <v>1047</v>
      </c>
      <c r="V780" t="s">
        <v>1048</v>
      </c>
      <c r="AC780" t="s">
        <v>72</v>
      </c>
      <c r="AF780" t="s">
        <v>52</v>
      </c>
      <c r="AG780" t="s">
        <v>52</v>
      </c>
      <c r="AH780" t="s">
        <v>64</v>
      </c>
      <c r="AK780">
        <v>4</v>
      </c>
      <c r="AL780">
        <v>4</v>
      </c>
      <c r="AN780">
        <v>375</v>
      </c>
      <c r="AU780">
        <v>2980</v>
      </c>
      <c r="BB780">
        <f>LOG(AU780)</f>
        <v>3.4742162640762553</v>
      </c>
      <c r="BC780">
        <v>24</v>
      </c>
      <c r="BF780">
        <v>27</v>
      </c>
      <c r="BI780">
        <v>2605</v>
      </c>
      <c r="BJ780">
        <v>3</v>
      </c>
      <c r="BL780" t="s">
        <v>210</v>
      </c>
      <c r="BM780" t="s">
        <v>262</v>
      </c>
      <c r="BN780" t="s">
        <v>81</v>
      </c>
      <c r="BO780" t="s">
        <v>1035</v>
      </c>
      <c r="BP780" t="s">
        <v>92</v>
      </c>
      <c r="BQ780" t="s">
        <v>92</v>
      </c>
      <c r="BR780" t="s">
        <v>63</v>
      </c>
      <c r="BT780">
        <v>2.6060934699999998</v>
      </c>
      <c r="BU780">
        <v>2.606093</v>
      </c>
      <c r="BV780">
        <v>0.75</v>
      </c>
      <c r="BW780">
        <f>BV780*SQRT(AK780)</f>
        <v>1.5</v>
      </c>
      <c r="BX780">
        <v>1.6567744280000001</v>
      </c>
      <c r="BY780">
        <v>1.6567744</v>
      </c>
      <c r="BZ780">
        <v>0.94</v>
      </c>
      <c r="CA780">
        <f>BZ780*SQRT(AL780)</f>
        <v>1.88</v>
      </c>
      <c r="CB780">
        <v>7</v>
      </c>
      <c r="CD780">
        <v>-0.45300000000000001</v>
      </c>
      <c r="CE780">
        <v>0.40429999999999999</v>
      </c>
    </row>
    <row r="781" spans="1:84" hidden="1" x14ac:dyDescent="0.2">
      <c r="B781" t="str">
        <f>ROW()-1&amp;"_AltersInvert"</f>
        <v>780_AltersInvert</v>
      </c>
      <c r="C781" t="str">
        <f>D781&amp;"_"&amp;
SUBSTITUTE(TRIM(V781)," ","_")&amp;"_"&amp;
TRIM(AC781)&amp;"_"&amp;
"CO2"&amp;TEXT(AN781,"0.00")&amp;"_"&amp;
"pH"&amp;TEXT(AR781,"0.00")&amp;"_"&amp;
"T"&amp;TEXT(BC781,"0.##")</f>
        <v>232_Aurelia_coerulea_LARVA_CO2375.00_pH0.00_T24.</v>
      </c>
      <c r="D781">
        <v>232</v>
      </c>
      <c r="G781" t="s">
        <v>43</v>
      </c>
      <c r="H781" t="s">
        <v>1046</v>
      </c>
      <c r="J781">
        <v>2018</v>
      </c>
      <c r="M781" t="s">
        <v>308</v>
      </c>
      <c r="P781" t="s">
        <v>1135</v>
      </c>
      <c r="R781" t="s">
        <v>1127</v>
      </c>
      <c r="S781" t="s">
        <v>1128</v>
      </c>
      <c r="T781" t="s">
        <v>103</v>
      </c>
      <c r="U781" t="s">
        <v>1047</v>
      </c>
      <c r="V781" t="s">
        <v>1048</v>
      </c>
      <c r="AC781" t="s">
        <v>72</v>
      </c>
      <c r="AF781" t="s">
        <v>52</v>
      </c>
      <c r="AG781" t="s">
        <v>52</v>
      </c>
      <c r="AH781" t="s">
        <v>64</v>
      </c>
      <c r="AK781">
        <v>4</v>
      </c>
      <c r="AL781">
        <v>4</v>
      </c>
      <c r="AN781">
        <v>375</v>
      </c>
      <c r="AU781">
        <v>1077</v>
      </c>
      <c r="BB781">
        <f>LOG(AU781)</f>
        <v>3.0322157032979815</v>
      </c>
      <c r="BC781">
        <v>24</v>
      </c>
      <c r="BF781">
        <v>27</v>
      </c>
      <c r="BI781">
        <v>702</v>
      </c>
      <c r="BJ781">
        <v>3</v>
      </c>
      <c r="BL781" t="s">
        <v>210</v>
      </c>
      <c r="BM781" t="s">
        <v>262</v>
      </c>
      <c r="BN781" t="s">
        <v>81</v>
      </c>
      <c r="BO781" t="s">
        <v>1035</v>
      </c>
      <c r="BP781" t="s">
        <v>92</v>
      </c>
      <c r="BQ781" t="s">
        <v>92</v>
      </c>
      <c r="BR781" t="s">
        <v>63</v>
      </c>
      <c r="BT781">
        <v>2.6060934699999998</v>
      </c>
      <c r="BU781">
        <v>2.606093</v>
      </c>
      <c r="BV781">
        <v>0.75</v>
      </c>
      <c r="BW781">
        <f>BV781*SQRT(AK781)</f>
        <v>1.5</v>
      </c>
      <c r="BX781">
        <v>1.899141849</v>
      </c>
      <c r="BY781">
        <v>1.8991418</v>
      </c>
      <c r="BZ781">
        <v>0.43</v>
      </c>
      <c r="CA781">
        <f>BZ781*SQRT(AL781)</f>
        <v>0.86</v>
      </c>
      <c r="CB781">
        <v>7</v>
      </c>
      <c r="CD781">
        <v>-0.316</v>
      </c>
      <c r="CE781">
        <v>0.1348</v>
      </c>
    </row>
    <row r="782" spans="1:84" hidden="1" x14ac:dyDescent="0.2">
      <c r="B782" t="str">
        <f>ROW()-1&amp;"_AltersInvert"</f>
        <v>781_AltersInvert</v>
      </c>
      <c r="C782" t="str">
        <f>D782&amp;"_"&amp;
SUBSTITUTE(TRIM(V782)," ","_")&amp;"_"&amp;
TRIM(AC782)&amp;"_"&amp;
"CO2"&amp;TEXT(AN782,"0.00")&amp;"_"&amp;
"pH"&amp;TEXT(AR782,"0.00")&amp;"_"&amp;
"T"&amp;TEXT(BC782,"0.##")</f>
        <v>14_Homarus_americanus_LARVA_CO2454.00_pH8.08_T17.2</v>
      </c>
      <c r="D782">
        <v>14</v>
      </c>
      <c r="G782" t="s">
        <v>43</v>
      </c>
      <c r="H782" t="s">
        <v>235</v>
      </c>
      <c r="J782">
        <v>2015</v>
      </c>
      <c r="M782" t="s">
        <v>236</v>
      </c>
      <c r="P782" t="s">
        <v>1135</v>
      </c>
      <c r="R782" t="s">
        <v>1127</v>
      </c>
      <c r="S782" t="s">
        <v>1128</v>
      </c>
      <c r="T782" t="s">
        <v>131</v>
      </c>
      <c r="U782" t="s">
        <v>237</v>
      </c>
      <c r="V782" t="s">
        <v>238</v>
      </c>
      <c r="Z782" t="s">
        <v>49</v>
      </c>
      <c r="AA782" t="s">
        <v>49</v>
      </c>
      <c r="AB782" t="s">
        <v>71</v>
      </c>
      <c r="AC782" t="s">
        <v>72</v>
      </c>
      <c r="AD782" t="s">
        <v>52</v>
      </c>
      <c r="AE782" t="s">
        <v>53</v>
      </c>
      <c r="AF782" t="s">
        <v>52</v>
      </c>
      <c r="AG782" t="s">
        <v>54</v>
      </c>
      <c r="AH782" t="s">
        <v>55</v>
      </c>
      <c r="AK782">
        <v>18</v>
      </c>
      <c r="AL782">
        <v>18</v>
      </c>
      <c r="AN782">
        <v>454</v>
      </c>
      <c r="AO782">
        <v>11</v>
      </c>
      <c r="AP782" t="s">
        <v>56</v>
      </c>
      <c r="AQ782" t="s">
        <v>57</v>
      </c>
      <c r="AR782">
        <v>8.08</v>
      </c>
      <c r="AS782">
        <v>0.01</v>
      </c>
      <c r="AT782" t="s">
        <v>56</v>
      </c>
      <c r="AU782">
        <v>1154</v>
      </c>
      <c r="AV782">
        <v>17</v>
      </c>
      <c r="AW782" t="s">
        <v>56</v>
      </c>
      <c r="AX782">
        <v>7.73</v>
      </c>
      <c r="AY782">
        <v>0.01</v>
      </c>
      <c r="AZ782" t="s">
        <v>56</v>
      </c>
      <c r="BB782">
        <f>LOG(AU782)</f>
        <v>3.0622058088197126</v>
      </c>
      <c r="BC782">
        <v>17.2</v>
      </c>
      <c r="BD782">
        <v>0</v>
      </c>
      <c r="BE782" t="s">
        <v>56</v>
      </c>
      <c r="BF782">
        <v>17.2</v>
      </c>
      <c r="BG782">
        <v>0</v>
      </c>
      <c r="BH782" t="s">
        <v>56</v>
      </c>
      <c r="BI782">
        <v>700</v>
      </c>
      <c r="BJ782">
        <v>0</v>
      </c>
      <c r="BK782" t="s">
        <v>239</v>
      </c>
      <c r="BL782" t="s">
        <v>179</v>
      </c>
      <c r="BM782" t="s">
        <v>90</v>
      </c>
      <c r="BN782" t="s">
        <v>81</v>
      </c>
      <c r="BO782" t="s">
        <v>180</v>
      </c>
      <c r="BP782" t="s">
        <v>92</v>
      </c>
      <c r="BQ782" t="s">
        <v>92</v>
      </c>
      <c r="BR782" t="s">
        <v>63</v>
      </c>
      <c r="BT782">
        <v>13.31</v>
      </c>
      <c r="BU782">
        <v>13.31</v>
      </c>
      <c r="BV782">
        <v>0.36</v>
      </c>
      <c r="BW782">
        <f>BV782*SQRT(AK782)</f>
        <v>1.5273506473629426</v>
      </c>
      <c r="BX782">
        <v>13.2</v>
      </c>
      <c r="BY782">
        <v>13.2</v>
      </c>
      <c r="BZ782">
        <v>0.39</v>
      </c>
      <c r="CA782">
        <f>BZ782*SQRT(AL782)</f>
        <v>1.654629867976521</v>
      </c>
      <c r="CB782">
        <v>25</v>
      </c>
      <c r="CC782">
        <v>3</v>
      </c>
      <c r="CD782">
        <v>-8.0000000000000002E-3</v>
      </c>
      <c r="CE782">
        <v>1.6000000000000001E-3</v>
      </c>
    </row>
    <row r="783" spans="1:84" hidden="1" x14ac:dyDescent="0.2">
      <c r="B783" t="str">
        <f>ROW()-1&amp;"_AltersInvert"</f>
        <v>782_AltersInvert</v>
      </c>
      <c r="C783" t="str">
        <f>D783&amp;"_"&amp;
SUBSTITUTE(TRIM(V783)," ","_")&amp;"_"&amp;
TRIM(AC783)&amp;"_"&amp;
"CO2"&amp;TEXT(AN783,"0.00")&amp;"_"&amp;
"pH"&amp;TEXT(AR783,"0.00")&amp;"_"&amp;
"T"&amp;TEXT(BC783,"0.##")</f>
        <v>14_Homarus_americanus_LARVA_CO2454.00_pH8.08_T17.2</v>
      </c>
      <c r="D783">
        <v>14</v>
      </c>
      <c r="G783" t="s">
        <v>43</v>
      </c>
      <c r="H783" t="s">
        <v>235</v>
      </c>
      <c r="J783">
        <v>2015</v>
      </c>
      <c r="M783" t="s">
        <v>236</v>
      </c>
      <c r="P783" t="s">
        <v>1135</v>
      </c>
      <c r="R783" t="s">
        <v>1127</v>
      </c>
      <c r="S783" t="s">
        <v>1128</v>
      </c>
      <c r="T783" t="s">
        <v>131</v>
      </c>
      <c r="U783" t="s">
        <v>237</v>
      </c>
      <c r="V783" t="s">
        <v>238</v>
      </c>
      <c r="Z783" t="s">
        <v>49</v>
      </c>
      <c r="AA783" t="s">
        <v>49</v>
      </c>
      <c r="AB783" t="s">
        <v>71</v>
      </c>
      <c r="AC783" t="s">
        <v>72</v>
      </c>
      <c r="AD783" t="s">
        <v>52</v>
      </c>
      <c r="AE783" t="s">
        <v>53</v>
      </c>
      <c r="AF783" t="s">
        <v>54</v>
      </c>
      <c r="AG783" t="s">
        <v>52</v>
      </c>
      <c r="AH783" t="s">
        <v>65</v>
      </c>
      <c r="AK783">
        <v>18</v>
      </c>
      <c r="AL783">
        <v>18</v>
      </c>
      <c r="AN783">
        <v>454</v>
      </c>
      <c r="AO783">
        <v>11</v>
      </c>
      <c r="AP783" t="s">
        <v>56</v>
      </c>
      <c r="AQ783" t="s">
        <v>57</v>
      </c>
      <c r="AR783">
        <v>8.08</v>
      </c>
      <c r="AS783">
        <v>0.01</v>
      </c>
      <c r="AT783" t="s">
        <v>56</v>
      </c>
      <c r="AU783">
        <v>426</v>
      </c>
      <c r="AV783">
        <v>11</v>
      </c>
      <c r="AW783" t="s">
        <v>56</v>
      </c>
      <c r="AX783">
        <v>8.11</v>
      </c>
      <c r="AY783">
        <v>0.01</v>
      </c>
      <c r="AZ783" t="s">
        <v>56</v>
      </c>
      <c r="BB783">
        <f>LOG(AU783)</f>
        <v>2.6294095991027189</v>
      </c>
      <c r="BC783">
        <v>17.2</v>
      </c>
      <c r="BD783">
        <v>0</v>
      </c>
      <c r="BE783" t="s">
        <v>56</v>
      </c>
      <c r="BF783">
        <v>21.3</v>
      </c>
      <c r="BG783">
        <v>0</v>
      </c>
      <c r="BH783" t="s">
        <v>56</v>
      </c>
      <c r="BI783">
        <v>-28</v>
      </c>
      <c r="BJ783">
        <v>4.0999999999999996</v>
      </c>
      <c r="BK783" t="s">
        <v>239</v>
      </c>
      <c r="BL783" t="s">
        <v>179</v>
      </c>
      <c r="BM783" t="s">
        <v>90</v>
      </c>
      <c r="BN783" t="s">
        <v>81</v>
      </c>
      <c r="BO783" t="s">
        <v>180</v>
      </c>
      <c r="BP783" t="s">
        <v>92</v>
      </c>
      <c r="BQ783" t="s">
        <v>92</v>
      </c>
      <c r="BR783" t="s">
        <v>63</v>
      </c>
      <c r="BT783">
        <v>13.31</v>
      </c>
      <c r="BU783">
        <v>13.31</v>
      </c>
      <c r="BV783">
        <v>0.36</v>
      </c>
      <c r="BW783">
        <f>BV783*SQRT(AK783)</f>
        <v>1.5273506473629426</v>
      </c>
      <c r="BX783">
        <v>12.15</v>
      </c>
      <c r="BY783">
        <v>12.15</v>
      </c>
      <c r="BZ783">
        <v>0.16</v>
      </c>
      <c r="CA783">
        <f>BZ783*SQRT(AL783)</f>
        <v>0.67882250993908555</v>
      </c>
      <c r="CB783">
        <v>16</v>
      </c>
      <c r="CC783">
        <v>3</v>
      </c>
      <c r="CD783">
        <v>-9.0999999999999998E-2</v>
      </c>
      <c r="CE783">
        <v>8.9999999999999998E-4</v>
      </c>
    </row>
    <row r="784" spans="1:84" hidden="1" x14ac:dyDescent="0.2">
      <c r="B784" t="str">
        <f>ROW()-1&amp;"_AltersInvert"</f>
        <v>783_AltersInvert</v>
      </c>
      <c r="C784" t="str">
        <f>D784&amp;"_"&amp;
SUBSTITUTE(TRIM(V784)," ","_")&amp;"_"&amp;
TRIM(AC784)&amp;"_"&amp;
"CO2"&amp;TEXT(AN784,"0.00")&amp;"_"&amp;
"pH"&amp;TEXT(AR784,"0.00")&amp;"_"&amp;
"T"&amp;TEXT(BC784,"0.##")</f>
        <v>14_Homarus_americanus_LARVA_CO2454.00_pH8.08_T17.2</v>
      </c>
      <c r="D784">
        <v>14</v>
      </c>
      <c r="G784" t="s">
        <v>43</v>
      </c>
      <c r="H784" t="s">
        <v>235</v>
      </c>
      <c r="J784">
        <v>2015</v>
      </c>
      <c r="M784" t="s">
        <v>236</v>
      </c>
      <c r="P784" t="s">
        <v>1135</v>
      </c>
      <c r="R784" t="s">
        <v>1127</v>
      </c>
      <c r="S784" t="s">
        <v>1128</v>
      </c>
      <c r="T784" t="s">
        <v>131</v>
      </c>
      <c r="U784" t="s">
        <v>237</v>
      </c>
      <c r="V784" t="s">
        <v>238</v>
      </c>
      <c r="Z784" t="s">
        <v>49</v>
      </c>
      <c r="AA784" t="s">
        <v>49</v>
      </c>
      <c r="AB784" t="s">
        <v>71</v>
      </c>
      <c r="AC784" t="s">
        <v>72</v>
      </c>
      <c r="AD784" t="s">
        <v>52</v>
      </c>
      <c r="AE784" t="s">
        <v>53</v>
      </c>
      <c r="AF784" t="s">
        <v>52</v>
      </c>
      <c r="AG784" t="s">
        <v>52</v>
      </c>
      <c r="AH784" t="s">
        <v>64</v>
      </c>
      <c r="AK784">
        <v>18</v>
      </c>
      <c r="AL784">
        <v>18</v>
      </c>
      <c r="AN784">
        <v>454</v>
      </c>
      <c r="AO784">
        <v>11</v>
      </c>
      <c r="AP784" t="s">
        <v>56</v>
      </c>
      <c r="AQ784" t="s">
        <v>57</v>
      </c>
      <c r="AR784">
        <v>8.08</v>
      </c>
      <c r="AS784">
        <v>0.01</v>
      </c>
      <c r="AT784" t="s">
        <v>56</v>
      </c>
      <c r="AU784">
        <v>1181</v>
      </c>
      <c r="AV784">
        <v>36</v>
      </c>
      <c r="AW784" t="s">
        <v>56</v>
      </c>
      <c r="AX784">
        <v>7.76</v>
      </c>
      <c r="AY784">
        <v>0.01</v>
      </c>
      <c r="AZ784" t="s">
        <v>56</v>
      </c>
      <c r="BB784">
        <f>LOG(AU784)</f>
        <v>3.0722498976135149</v>
      </c>
      <c r="BC784">
        <v>17.2</v>
      </c>
      <c r="BD784">
        <v>0</v>
      </c>
      <c r="BE784" t="s">
        <v>56</v>
      </c>
      <c r="BF784">
        <v>21.3</v>
      </c>
      <c r="BG784">
        <v>0</v>
      </c>
      <c r="BH784" t="s">
        <v>56</v>
      </c>
      <c r="BI784">
        <v>727</v>
      </c>
      <c r="BJ784">
        <v>4.0999999999999996</v>
      </c>
      <c r="BK784" t="s">
        <v>239</v>
      </c>
      <c r="BL784" t="s">
        <v>179</v>
      </c>
      <c r="BM784" t="s">
        <v>90</v>
      </c>
      <c r="BN784" t="s">
        <v>81</v>
      </c>
      <c r="BO784" t="s">
        <v>180</v>
      </c>
      <c r="BP784" t="s">
        <v>92</v>
      </c>
      <c r="BQ784" t="s">
        <v>92</v>
      </c>
      <c r="BR784" t="s">
        <v>63</v>
      </c>
      <c r="BT784">
        <v>13.31</v>
      </c>
      <c r="BU784">
        <v>13.31</v>
      </c>
      <c r="BV784">
        <v>0.36</v>
      </c>
      <c r="BW784">
        <f>BV784*SQRT(AK784)</f>
        <v>1.5273506473629426</v>
      </c>
      <c r="BX784">
        <v>12.42</v>
      </c>
      <c r="BY784">
        <v>12.42</v>
      </c>
      <c r="BZ784">
        <v>0.16</v>
      </c>
      <c r="CA784">
        <f>BZ784*SQRT(AL784)</f>
        <v>0.67882250993908555</v>
      </c>
      <c r="CB784">
        <v>15</v>
      </c>
      <c r="CC784">
        <v>3</v>
      </c>
      <c r="CD784">
        <v>-6.9000000000000006E-2</v>
      </c>
      <c r="CE784">
        <v>8.9999999999999998E-4</v>
      </c>
    </row>
    <row r="785" spans="4:83" hidden="1" x14ac:dyDescent="0.2">
      <c r="D785">
        <v>53</v>
      </c>
      <c r="G785" t="s">
        <v>43</v>
      </c>
      <c r="H785" t="s">
        <v>545</v>
      </c>
      <c r="J785">
        <v>2014</v>
      </c>
      <c r="M785" t="s">
        <v>314</v>
      </c>
      <c r="T785" t="s">
        <v>46</v>
      </c>
      <c r="U785" t="s">
        <v>422</v>
      </c>
      <c r="V785" t="s">
        <v>423</v>
      </c>
      <c r="Z785" t="s">
        <v>177</v>
      </c>
      <c r="AA785" t="s">
        <v>177</v>
      </c>
      <c r="AB785" t="s">
        <v>50</v>
      </c>
      <c r="AC785" t="s">
        <v>108</v>
      </c>
      <c r="AD785" t="s">
        <v>52</v>
      </c>
      <c r="AE785" t="s">
        <v>53</v>
      </c>
      <c r="AF785" t="s">
        <v>52</v>
      </c>
      <c r="AG785" t="s">
        <v>54</v>
      </c>
      <c r="AH785" t="s">
        <v>55</v>
      </c>
      <c r="AK785">
        <v>6</v>
      </c>
      <c r="AL785">
        <v>6</v>
      </c>
      <c r="AN785">
        <v>472</v>
      </c>
      <c r="AO785">
        <v>6</v>
      </c>
      <c r="AP785" t="s">
        <v>56</v>
      </c>
      <c r="AQ785" t="s">
        <v>118</v>
      </c>
      <c r="AR785">
        <v>8.1199999999999992</v>
      </c>
      <c r="AS785">
        <v>0.01</v>
      </c>
      <c r="AT785" t="s">
        <v>56</v>
      </c>
      <c r="AU785">
        <v>1707</v>
      </c>
      <c r="AV785">
        <v>19</v>
      </c>
      <c r="AW785" t="s">
        <v>56</v>
      </c>
      <c r="AX785">
        <v>7.62</v>
      </c>
      <c r="AY785">
        <v>0.01</v>
      </c>
      <c r="AZ785" t="s">
        <v>56</v>
      </c>
      <c r="BB785">
        <f>LOG(AU785)</f>
        <v>3.2322335211147335</v>
      </c>
      <c r="BC785">
        <v>21.3</v>
      </c>
      <c r="BD785">
        <v>0.1</v>
      </c>
      <c r="BE785" t="s">
        <v>56</v>
      </c>
      <c r="BF785">
        <v>21.6</v>
      </c>
      <c r="BG785">
        <v>0.1</v>
      </c>
      <c r="BH785" t="s">
        <v>56</v>
      </c>
      <c r="BI785">
        <v>1235</v>
      </c>
      <c r="BJ785">
        <v>0.3</v>
      </c>
      <c r="BK785" t="s">
        <v>56</v>
      </c>
      <c r="BL785" t="s">
        <v>98</v>
      </c>
      <c r="BM785" t="s">
        <v>98</v>
      </c>
      <c r="BN785" t="s">
        <v>81</v>
      </c>
      <c r="BO785" t="s">
        <v>439</v>
      </c>
      <c r="BP785" t="s">
        <v>100</v>
      </c>
      <c r="BR785" t="s">
        <v>63</v>
      </c>
      <c r="BT785">
        <v>86.4</v>
      </c>
      <c r="BU785">
        <v>86.402265999999997</v>
      </c>
      <c r="BV785">
        <v>4.25</v>
      </c>
      <c r="BW785">
        <f>BV785*SQRT(AK785)</f>
        <v>10.410331406828506</v>
      </c>
      <c r="BX785">
        <v>54.89</v>
      </c>
      <c r="BY785">
        <v>54.8866856</v>
      </c>
      <c r="BZ785">
        <v>4.5999999999999996</v>
      </c>
      <c r="CA785">
        <f>BZ785*SQRT(AL785)</f>
        <v>11.267652816802617</v>
      </c>
      <c r="CB785">
        <v>146</v>
      </c>
      <c r="CC785">
        <v>7</v>
      </c>
      <c r="CD785">
        <v>-0.45400000000000001</v>
      </c>
      <c r="CE785">
        <v>9.4999999999999998E-3</v>
      </c>
    </row>
    <row r="786" spans="4:83" hidden="1" x14ac:dyDescent="0.2">
      <c r="D786">
        <v>53</v>
      </c>
      <c r="G786" t="s">
        <v>43</v>
      </c>
      <c r="H786" t="s">
        <v>545</v>
      </c>
      <c r="J786">
        <v>2014</v>
      </c>
      <c r="M786" t="s">
        <v>314</v>
      </c>
      <c r="T786" t="s">
        <v>46</v>
      </c>
      <c r="U786" t="s">
        <v>422</v>
      </c>
      <c r="V786" t="s">
        <v>423</v>
      </c>
      <c r="Z786" t="s">
        <v>177</v>
      </c>
      <c r="AA786" t="s">
        <v>177</v>
      </c>
      <c r="AB786" t="s">
        <v>50</v>
      </c>
      <c r="AC786" t="s">
        <v>108</v>
      </c>
      <c r="AD786" t="s">
        <v>52</v>
      </c>
      <c r="AE786" t="s">
        <v>53</v>
      </c>
      <c r="AF786" t="s">
        <v>52</v>
      </c>
      <c r="AG786" t="s">
        <v>54</v>
      </c>
      <c r="AH786" t="s">
        <v>55</v>
      </c>
      <c r="AK786">
        <v>6</v>
      </c>
      <c r="AL786">
        <v>6</v>
      </c>
      <c r="AN786">
        <v>472</v>
      </c>
      <c r="AO786">
        <v>6</v>
      </c>
      <c r="AP786" t="s">
        <v>56</v>
      </c>
      <c r="AQ786" t="s">
        <v>118</v>
      </c>
      <c r="AR786">
        <v>8.1199999999999992</v>
      </c>
      <c r="AS786">
        <v>0.01</v>
      </c>
      <c r="AT786" t="s">
        <v>56</v>
      </c>
      <c r="AU786">
        <v>1707</v>
      </c>
      <c r="AV786">
        <v>19</v>
      </c>
      <c r="AW786" t="s">
        <v>56</v>
      </c>
      <c r="AX786">
        <v>7.62</v>
      </c>
      <c r="AY786">
        <v>0.01</v>
      </c>
      <c r="AZ786" t="s">
        <v>56</v>
      </c>
      <c r="BB786">
        <f>LOG(AU786)</f>
        <v>3.2322335211147335</v>
      </c>
      <c r="BC786">
        <v>21.3</v>
      </c>
      <c r="BD786">
        <v>0.1</v>
      </c>
      <c r="BE786" t="s">
        <v>56</v>
      </c>
      <c r="BF786">
        <v>21.6</v>
      </c>
      <c r="BG786">
        <v>0.1</v>
      </c>
      <c r="BH786" t="s">
        <v>56</v>
      </c>
      <c r="BI786">
        <v>1235</v>
      </c>
      <c r="BJ786">
        <v>0.3</v>
      </c>
      <c r="BK786" t="s">
        <v>56</v>
      </c>
      <c r="BL786" t="s">
        <v>546</v>
      </c>
      <c r="BM786" t="s">
        <v>546</v>
      </c>
      <c r="BN786" t="s">
        <v>60</v>
      </c>
      <c r="BO786" t="s">
        <v>180</v>
      </c>
      <c r="BP786" t="s">
        <v>92</v>
      </c>
      <c r="BR786" t="s">
        <v>63</v>
      </c>
      <c r="BT786">
        <v>0.91</v>
      </c>
      <c r="BU786">
        <v>0.91489399999999999</v>
      </c>
      <c r="BV786">
        <v>0.01</v>
      </c>
      <c r="BW786">
        <f>BV786*SQRT(AK786)</f>
        <v>2.4494897427831779E-2</v>
      </c>
      <c r="BX786">
        <v>0.73</v>
      </c>
      <c r="BY786">
        <v>0.72606380000000004</v>
      </c>
      <c r="BZ786">
        <v>0.03</v>
      </c>
      <c r="CA786">
        <f>BZ786*SQRT(AL786)</f>
        <v>7.3484692283495329E-2</v>
      </c>
      <c r="CB786">
        <v>146</v>
      </c>
      <c r="CC786">
        <v>7</v>
      </c>
      <c r="CD786">
        <v>-0.23100000000000001</v>
      </c>
      <c r="CE786">
        <v>2.3E-3</v>
      </c>
    </row>
    <row r="787" spans="4:83" hidden="1" x14ac:dyDescent="0.2">
      <c r="D787">
        <v>53</v>
      </c>
      <c r="G787" t="s">
        <v>43</v>
      </c>
      <c r="H787" t="s">
        <v>545</v>
      </c>
      <c r="J787">
        <v>2014</v>
      </c>
      <c r="M787" t="s">
        <v>314</v>
      </c>
      <c r="T787" t="s">
        <v>46</v>
      </c>
      <c r="U787" t="s">
        <v>422</v>
      </c>
      <c r="V787" t="s">
        <v>423</v>
      </c>
      <c r="Z787" t="s">
        <v>177</v>
      </c>
      <c r="AA787" t="s">
        <v>177</v>
      </c>
      <c r="AB787" t="s">
        <v>50</v>
      </c>
      <c r="AC787" t="s">
        <v>108</v>
      </c>
      <c r="AD787" t="s">
        <v>52</v>
      </c>
      <c r="AE787" t="s">
        <v>53</v>
      </c>
      <c r="AF787" t="s">
        <v>52</v>
      </c>
      <c r="AG787" t="s">
        <v>52</v>
      </c>
      <c r="AH787" t="s">
        <v>64</v>
      </c>
      <c r="AK787">
        <v>6</v>
      </c>
      <c r="AL787">
        <v>6</v>
      </c>
      <c r="AN787">
        <v>472</v>
      </c>
      <c r="AO787">
        <v>6</v>
      </c>
      <c r="AP787" t="s">
        <v>56</v>
      </c>
      <c r="AQ787" t="s">
        <v>118</v>
      </c>
      <c r="AR787">
        <v>8.1199999999999992</v>
      </c>
      <c r="AS787">
        <v>0.01</v>
      </c>
      <c r="AT787" t="s">
        <v>56</v>
      </c>
      <c r="AU787">
        <v>1993</v>
      </c>
      <c r="AV787">
        <v>21</v>
      </c>
      <c r="AW787" t="s">
        <v>56</v>
      </c>
      <c r="AX787">
        <v>7.58</v>
      </c>
      <c r="AY787">
        <v>0</v>
      </c>
      <c r="AZ787" t="s">
        <v>56</v>
      </c>
      <c r="BB787">
        <f>LOG(AU787)</f>
        <v>3.2995072987004876</v>
      </c>
      <c r="BC787">
        <v>21.3</v>
      </c>
      <c r="BD787">
        <v>0.1</v>
      </c>
      <c r="BE787" t="s">
        <v>56</v>
      </c>
      <c r="BF787">
        <v>27.7</v>
      </c>
      <c r="BG787">
        <v>0.2</v>
      </c>
      <c r="BH787" t="s">
        <v>56</v>
      </c>
      <c r="BI787">
        <v>1521</v>
      </c>
      <c r="BJ787">
        <v>6.4</v>
      </c>
      <c r="BK787" t="s">
        <v>56</v>
      </c>
      <c r="BL787" t="s">
        <v>98</v>
      </c>
      <c r="BM787" t="s">
        <v>98</v>
      </c>
      <c r="BN787" t="s">
        <v>81</v>
      </c>
      <c r="BO787" t="s">
        <v>439</v>
      </c>
      <c r="BP787" t="s">
        <v>100</v>
      </c>
      <c r="BR787" t="s">
        <v>63</v>
      </c>
      <c r="BT787">
        <v>86.4</v>
      </c>
      <c r="BU787">
        <v>86.402265999999997</v>
      </c>
      <c r="BV787">
        <v>4.25</v>
      </c>
      <c r="BW787">
        <f>BV787*SQRT(AK787)</f>
        <v>10.410331406828506</v>
      </c>
      <c r="BX787">
        <v>74.72</v>
      </c>
      <c r="BY787">
        <v>74.716713900000002</v>
      </c>
      <c r="BZ787">
        <v>9.56</v>
      </c>
      <c r="CA787">
        <f>BZ787*SQRT(AL787)</f>
        <v>23.417121941007181</v>
      </c>
      <c r="CB787">
        <v>146</v>
      </c>
      <c r="CC787">
        <v>7</v>
      </c>
      <c r="CD787">
        <v>-0.14499999999999999</v>
      </c>
      <c r="CE787">
        <v>1.8800000000000001E-2</v>
      </c>
    </row>
    <row r="788" spans="4:83" hidden="1" x14ac:dyDescent="0.2">
      <c r="D788">
        <v>53</v>
      </c>
      <c r="G788" t="s">
        <v>43</v>
      </c>
      <c r="H788" t="s">
        <v>545</v>
      </c>
      <c r="J788">
        <v>2014</v>
      </c>
      <c r="M788" t="s">
        <v>314</v>
      </c>
      <c r="T788" t="s">
        <v>46</v>
      </c>
      <c r="U788" t="s">
        <v>422</v>
      </c>
      <c r="V788" t="s">
        <v>423</v>
      </c>
      <c r="Z788" t="s">
        <v>177</v>
      </c>
      <c r="AA788" t="s">
        <v>177</v>
      </c>
      <c r="AB788" t="s">
        <v>50</v>
      </c>
      <c r="AC788" t="s">
        <v>108</v>
      </c>
      <c r="AD788" t="s">
        <v>52</v>
      </c>
      <c r="AE788" t="s">
        <v>53</v>
      </c>
      <c r="AF788" t="s">
        <v>52</v>
      </c>
      <c r="AG788" t="s">
        <v>54</v>
      </c>
      <c r="AH788" t="s">
        <v>55</v>
      </c>
      <c r="AK788">
        <v>6</v>
      </c>
      <c r="AL788">
        <v>6</v>
      </c>
      <c r="AN788">
        <v>472</v>
      </c>
      <c r="AO788">
        <v>6</v>
      </c>
      <c r="AP788" t="s">
        <v>56</v>
      </c>
      <c r="AQ788" t="s">
        <v>118</v>
      </c>
      <c r="AR788">
        <v>8.1199999999999992</v>
      </c>
      <c r="AS788">
        <v>0.01</v>
      </c>
      <c r="AT788" t="s">
        <v>56</v>
      </c>
      <c r="AU788">
        <v>1056</v>
      </c>
      <c r="AV788">
        <v>12</v>
      </c>
      <c r="AW788" t="s">
        <v>56</v>
      </c>
      <c r="AX788">
        <v>7.81</v>
      </c>
      <c r="AY788">
        <v>0.01</v>
      </c>
      <c r="AZ788" t="s">
        <v>56</v>
      </c>
      <c r="BB788">
        <f>LOG(AU788)</f>
        <v>3.0236639181977933</v>
      </c>
      <c r="BC788">
        <v>21.3</v>
      </c>
      <c r="BD788">
        <v>0.1</v>
      </c>
      <c r="BE788" t="s">
        <v>56</v>
      </c>
      <c r="BF788">
        <v>21.5</v>
      </c>
      <c r="BG788">
        <v>0.1</v>
      </c>
      <c r="BH788" t="s">
        <v>56</v>
      </c>
      <c r="BI788">
        <v>584</v>
      </c>
      <c r="BJ788">
        <v>0.1</v>
      </c>
      <c r="BK788" t="s">
        <v>56</v>
      </c>
      <c r="BL788" t="s">
        <v>98</v>
      </c>
      <c r="BM788" t="s">
        <v>98</v>
      </c>
      <c r="BN788" t="s">
        <v>81</v>
      </c>
      <c r="BO788" t="s">
        <v>439</v>
      </c>
      <c r="BP788" t="s">
        <v>100</v>
      </c>
      <c r="BR788" t="s">
        <v>63</v>
      </c>
      <c r="BT788">
        <v>86.4</v>
      </c>
      <c r="BU788">
        <v>86.402265999999997</v>
      </c>
      <c r="BV788">
        <v>4.25</v>
      </c>
      <c r="BW788">
        <f>BV788*SQRT(AK788)</f>
        <v>10.410331406828506</v>
      </c>
      <c r="BX788">
        <v>75.42</v>
      </c>
      <c r="BY788">
        <v>75.424929199999994</v>
      </c>
      <c r="BZ788">
        <v>6.37</v>
      </c>
      <c r="CA788">
        <f>BZ788*SQRT(AL788)</f>
        <v>15.603249661528844</v>
      </c>
      <c r="CB788">
        <v>146</v>
      </c>
      <c r="CC788">
        <v>7</v>
      </c>
      <c r="CD788">
        <v>-0.13600000000000001</v>
      </c>
      <c r="CE788">
        <v>9.5999999999999992E-3</v>
      </c>
    </row>
    <row r="789" spans="4:83" hidden="1" x14ac:dyDescent="0.2">
      <c r="D789">
        <v>53</v>
      </c>
      <c r="G789" t="s">
        <v>43</v>
      </c>
      <c r="H789" t="s">
        <v>545</v>
      </c>
      <c r="J789">
        <v>2014</v>
      </c>
      <c r="M789" t="s">
        <v>314</v>
      </c>
      <c r="T789" t="s">
        <v>46</v>
      </c>
      <c r="U789" t="s">
        <v>422</v>
      </c>
      <c r="V789" t="s">
        <v>423</v>
      </c>
      <c r="Z789" t="s">
        <v>177</v>
      </c>
      <c r="AA789" t="s">
        <v>177</v>
      </c>
      <c r="AB789" t="s">
        <v>50</v>
      </c>
      <c r="AC789" t="s">
        <v>108</v>
      </c>
      <c r="AD789" t="s">
        <v>52</v>
      </c>
      <c r="AE789" t="s">
        <v>53</v>
      </c>
      <c r="AF789" t="s">
        <v>52</v>
      </c>
      <c r="AG789" t="s">
        <v>52</v>
      </c>
      <c r="AH789" t="s">
        <v>64</v>
      </c>
      <c r="AK789">
        <v>6</v>
      </c>
      <c r="AL789">
        <v>6</v>
      </c>
      <c r="AN789">
        <v>472</v>
      </c>
      <c r="AO789">
        <v>6</v>
      </c>
      <c r="AP789" t="s">
        <v>56</v>
      </c>
      <c r="AQ789" t="s">
        <v>118</v>
      </c>
      <c r="AR789">
        <v>8.1199999999999992</v>
      </c>
      <c r="AS789">
        <v>0.01</v>
      </c>
      <c r="AT789" t="s">
        <v>56</v>
      </c>
      <c r="AU789">
        <v>1931</v>
      </c>
      <c r="AV789">
        <v>21</v>
      </c>
      <c r="AW789" t="s">
        <v>56</v>
      </c>
      <c r="AX789">
        <v>7.58</v>
      </c>
      <c r="AY789">
        <v>0.01</v>
      </c>
      <c r="AZ789" t="s">
        <v>56</v>
      </c>
      <c r="BB789">
        <f>LOG(AU789)</f>
        <v>3.2857822737793949</v>
      </c>
      <c r="BC789">
        <v>21.3</v>
      </c>
      <c r="BD789">
        <v>0.1</v>
      </c>
      <c r="BE789" t="s">
        <v>56</v>
      </c>
      <c r="BF789">
        <v>24.9</v>
      </c>
      <c r="BG789">
        <v>0.2</v>
      </c>
      <c r="BH789" t="s">
        <v>56</v>
      </c>
      <c r="BI789">
        <v>1459</v>
      </c>
      <c r="BJ789">
        <v>3.5</v>
      </c>
      <c r="BK789" t="s">
        <v>56</v>
      </c>
      <c r="BL789" t="s">
        <v>546</v>
      </c>
      <c r="BM789" t="s">
        <v>546</v>
      </c>
      <c r="BN789" t="s">
        <v>60</v>
      </c>
      <c r="BO789" t="s">
        <v>180</v>
      </c>
      <c r="BP789" t="s">
        <v>92</v>
      </c>
      <c r="BR789" t="s">
        <v>63</v>
      </c>
      <c r="BT789">
        <v>0.91</v>
      </c>
      <c r="BU789">
        <v>0.91489399999999999</v>
      </c>
      <c r="BV789">
        <v>0.01</v>
      </c>
      <c r="BW789">
        <f>BV789*SQRT(AK789)</f>
        <v>2.4494897427831779E-2</v>
      </c>
      <c r="BX789">
        <v>0.8</v>
      </c>
      <c r="BY789">
        <v>0.80053189999999996</v>
      </c>
      <c r="BZ789">
        <v>0.03</v>
      </c>
      <c r="CA789">
        <f>BZ789*SQRT(AL789)</f>
        <v>7.3484692283495329E-2</v>
      </c>
      <c r="CB789">
        <v>146</v>
      </c>
      <c r="CC789">
        <v>7</v>
      </c>
      <c r="CD789">
        <v>-0.13400000000000001</v>
      </c>
      <c r="CE789">
        <v>1.6999999999999999E-3</v>
      </c>
    </row>
    <row r="790" spans="4:83" hidden="1" x14ac:dyDescent="0.2">
      <c r="D790">
        <v>53</v>
      </c>
      <c r="G790" t="s">
        <v>43</v>
      </c>
      <c r="H790" t="s">
        <v>545</v>
      </c>
      <c r="J790">
        <v>2014</v>
      </c>
      <c r="M790" t="s">
        <v>314</v>
      </c>
      <c r="T790" t="s">
        <v>46</v>
      </c>
      <c r="U790" t="s">
        <v>422</v>
      </c>
      <c r="V790" t="s">
        <v>423</v>
      </c>
      <c r="Z790" t="s">
        <v>177</v>
      </c>
      <c r="AA790" t="s">
        <v>177</v>
      </c>
      <c r="AB790" t="s">
        <v>50</v>
      </c>
      <c r="AC790" t="s">
        <v>108</v>
      </c>
      <c r="AD790" t="s">
        <v>52</v>
      </c>
      <c r="AE790" t="s">
        <v>53</v>
      </c>
      <c r="AF790" t="s">
        <v>52</v>
      </c>
      <c r="AG790" t="s">
        <v>54</v>
      </c>
      <c r="AH790" t="s">
        <v>55</v>
      </c>
      <c r="AK790">
        <v>6</v>
      </c>
      <c r="AL790">
        <v>6</v>
      </c>
      <c r="AN790">
        <v>472</v>
      </c>
      <c r="AO790">
        <v>6</v>
      </c>
      <c r="AP790" t="s">
        <v>56</v>
      </c>
      <c r="AQ790" t="s">
        <v>118</v>
      </c>
      <c r="AR790">
        <v>8.1199999999999992</v>
      </c>
      <c r="AS790">
        <v>0.01</v>
      </c>
      <c r="AT790" t="s">
        <v>56</v>
      </c>
      <c r="AU790">
        <v>1056</v>
      </c>
      <c r="AV790">
        <v>12</v>
      </c>
      <c r="AW790" t="s">
        <v>56</v>
      </c>
      <c r="AX790">
        <v>7.81</v>
      </c>
      <c r="AY790">
        <v>0.01</v>
      </c>
      <c r="AZ790" t="s">
        <v>56</v>
      </c>
      <c r="BB790">
        <f>LOG(AU790)</f>
        <v>3.0236639181977933</v>
      </c>
      <c r="BC790">
        <v>21.3</v>
      </c>
      <c r="BD790">
        <v>0.1</v>
      </c>
      <c r="BE790" t="s">
        <v>56</v>
      </c>
      <c r="BF790">
        <v>21.5</v>
      </c>
      <c r="BG790">
        <v>0.1</v>
      </c>
      <c r="BH790" t="s">
        <v>56</v>
      </c>
      <c r="BI790">
        <v>584</v>
      </c>
      <c r="BJ790">
        <v>0.1</v>
      </c>
      <c r="BK790" t="s">
        <v>56</v>
      </c>
      <c r="BL790" t="s">
        <v>546</v>
      </c>
      <c r="BM790" t="s">
        <v>546</v>
      </c>
      <c r="BN790" t="s">
        <v>60</v>
      </c>
      <c r="BO790" t="s">
        <v>180</v>
      </c>
      <c r="BP790" t="s">
        <v>92</v>
      </c>
      <c r="BR790" t="s">
        <v>63</v>
      </c>
      <c r="BT790">
        <v>0.91</v>
      </c>
      <c r="BU790">
        <v>0.91489399999999999</v>
      </c>
      <c r="BV790">
        <v>0.01</v>
      </c>
      <c r="BW790">
        <f>BV790*SQRT(AK790)</f>
        <v>2.4494897427831779E-2</v>
      </c>
      <c r="BX790">
        <v>0.81</v>
      </c>
      <c r="BY790">
        <v>0.80851059999999997</v>
      </c>
      <c r="BZ790">
        <v>0.03</v>
      </c>
      <c r="CA790">
        <f>BZ790*SQRT(AL790)</f>
        <v>7.3484692283495329E-2</v>
      </c>
      <c r="CB790">
        <v>146</v>
      </c>
      <c r="CC790">
        <v>7</v>
      </c>
      <c r="CD790">
        <v>-0.124</v>
      </c>
      <c r="CE790">
        <v>1.6000000000000001E-3</v>
      </c>
    </row>
    <row r="791" spans="4:83" hidden="1" x14ac:dyDescent="0.2">
      <c r="D791">
        <v>53</v>
      </c>
      <c r="G791" t="s">
        <v>43</v>
      </c>
      <c r="H791" t="s">
        <v>545</v>
      </c>
      <c r="J791">
        <v>2014</v>
      </c>
      <c r="M791" t="s">
        <v>314</v>
      </c>
      <c r="T791" t="s">
        <v>46</v>
      </c>
      <c r="U791" t="s">
        <v>422</v>
      </c>
      <c r="V791" t="s">
        <v>423</v>
      </c>
      <c r="Z791" t="s">
        <v>177</v>
      </c>
      <c r="AA791" t="s">
        <v>177</v>
      </c>
      <c r="AB791" t="s">
        <v>50</v>
      </c>
      <c r="AC791" t="s">
        <v>108</v>
      </c>
      <c r="AD791" t="s">
        <v>52</v>
      </c>
      <c r="AE791" t="s">
        <v>53</v>
      </c>
      <c r="AF791" t="s">
        <v>52</v>
      </c>
      <c r="AG791" t="s">
        <v>52</v>
      </c>
      <c r="AH791" t="s">
        <v>64</v>
      </c>
      <c r="AK791">
        <v>6</v>
      </c>
      <c r="AL791">
        <v>6</v>
      </c>
      <c r="AN791">
        <v>472</v>
      </c>
      <c r="AO791">
        <v>6</v>
      </c>
      <c r="AP791" t="s">
        <v>56</v>
      </c>
      <c r="AQ791" t="s">
        <v>118</v>
      </c>
      <c r="AR791">
        <v>8.1199999999999992</v>
      </c>
      <c r="AS791">
        <v>0.01</v>
      </c>
      <c r="AT791" t="s">
        <v>56</v>
      </c>
      <c r="AU791">
        <v>1931</v>
      </c>
      <c r="AV791">
        <v>21</v>
      </c>
      <c r="AW791" t="s">
        <v>56</v>
      </c>
      <c r="AX791">
        <v>7.58</v>
      </c>
      <c r="AY791">
        <v>0.01</v>
      </c>
      <c r="AZ791" t="s">
        <v>56</v>
      </c>
      <c r="BB791">
        <f>LOG(AU791)</f>
        <v>3.2857822737793949</v>
      </c>
      <c r="BC791">
        <v>21.3</v>
      </c>
      <c r="BD791">
        <v>0.1</v>
      </c>
      <c r="BE791" t="s">
        <v>56</v>
      </c>
      <c r="BF791">
        <v>24.9</v>
      </c>
      <c r="BG791">
        <v>0.2</v>
      </c>
      <c r="BH791" t="s">
        <v>56</v>
      </c>
      <c r="BI791">
        <v>1459</v>
      </c>
      <c r="BJ791">
        <v>3.5</v>
      </c>
      <c r="BK791" t="s">
        <v>56</v>
      </c>
      <c r="BL791" t="s">
        <v>98</v>
      </c>
      <c r="BM791" t="s">
        <v>98</v>
      </c>
      <c r="BN791" t="s">
        <v>81</v>
      </c>
      <c r="BO791" t="s">
        <v>439</v>
      </c>
      <c r="BP791" t="s">
        <v>100</v>
      </c>
      <c r="BR791" t="s">
        <v>63</v>
      </c>
      <c r="BT791">
        <v>86.4</v>
      </c>
      <c r="BU791">
        <v>86.402265999999997</v>
      </c>
      <c r="BV791">
        <v>4.25</v>
      </c>
      <c r="BW791">
        <f>BV791*SQRT(AK791)</f>
        <v>10.410331406828506</v>
      </c>
      <c r="BX791">
        <v>81.44</v>
      </c>
      <c r="BY791">
        <v>81.444759199999993</v>
      </c>
      <c r="BZ791">
        <v>15.58</v>
      </c>
      <c r="CA791">
        <f>BZ791*SQRT(AL791)</f>
        <v>38.163050192561911</v>
      </c>
      <c r="CB791">
        <v>146</v>
      </c>
      <c r="CC791">
        <v>7</v>
      </c>
      <c r="CD791">
        <v>-5.8999999999999997E-2</v>
      </c>
      <c r="CE791">
        <v>3.9E-2</v>
      </c>
    </row>
    <row r="792" spans="4:83" hidden="1" x14ac:dyDescent="0.2">
      <c r="D792">
        <v>53</v>
      </c>
      <c r="G792" t="s">
        <v>43</v>
      </c>
      <c r="H792" t="s">
        <v>545</v>
      </c>
      <c r="J792">
        <v>2014</v>
      </c>
      <c r="M792" t="s">
        <v>314</v>
      </c>
      <c r="T792" t="s">
        <v>46</v>
      </c>
      <c r="U792" t="s">
        <v>422</v>
      </c>
      <c r="V792" t="s">
        <v>423</v>
      </c>
      <c r="Z792" t="s">
        <v>177</v>
      </c>
      <c r="AA792" t="s">
        <v>177</v>
      </c>
      <c r="AB792" t="s">
        <v>50</v>
      </c>
      <c r="AC792" t="s">
        <v>108</v>
      </c>
      <c r="AD792" t="s">
        <v>52</v>
      </c>
      <c r="AE792" t="s">
        <v>53</v>
      </c>
      <c r="AF792" t="s">
        <v>52</v>
      </c>
      <c r="AG792" t="s">
        <v>52</v>
      </c>
      <c r="AH792" t="s">
        <v>64</v>
      </c>
      <c r="AK792">
        <v>6</v>
      </c>
      <c r="AL792">
        <v>6</v>
      </c>
      <c r="AN792">
        <v>472</v>
      </c>
      <c r="AO792">
        <v>6</v>
      </c>
      <c r="AP792" t="s">
        <v>56</v>
      </c>
      <c r="AQ792" t="s">
        <v>118</v>
      </c>
      <c r="AR792">
        <v>8.1199999999999992</v>
      </c>
      <c r="AS792">
        <v>0.01</v>
      </c>
      <c r="AT792" t="s">
        <v>56</v>
      </c>
      <c r="AU792">
        <v>1993</v>
      </c>
      <c r="AV792">
        <v>21</v>
      </c>
      <c r="AW792" t="s">
        <v>56</v>
      </c>
      <c r="AX792">
        <v>7.58</v>
      </c>
      <c r="AY792">
        <v>0</v>
      </c>
      <c r="AZ792" t="s">
        <v>56</v>
      </c>
      <c r="BB792">
        <f>LOG(AU792)</f>
        <v>3.2995072987004876</v>
      </c>
      <c r="BC792">
        <v>21.3</v>
      </c>
      <c r="BD792">
        <v>0.1</v>
      </c>
      <c r="BE792" t="s">
        <v>56</v>
      </c>
      <c r="BF792">
        <v>27.7</v>
      </c>
      <c r="BG792">
        <v>0.2</v>
      </c>
      <c r="BH792" t="s">
        <v>56</v>
      </c>
      <c r="BI792">
        <v>1521</v>
      </c>
      <c r="BJ792">
        <v>6.4</v>
      </c>
      <c r="BK792" t="s">
        <v>56</v>
      </c>
      <c r="BL792" t="s">
        <v>546</v>
      </c>
      <c r="BM792" t="s">
        <v>546</v>
      </c>
      <c r="BN792" t="s">
        <v>60</v>
      </c>
      <c r="BO792" t="s">
        <v>180</v>
      </c>
      <c r="BP792" t="s">
        <v>92</v>
      </c>
      <c r="BR792" t="s">
        <v>63</v>
      </c>
      <c r="BT792">
        <v>0.91</v>
      </c>
      <c r="BU792">
        <v>0.91489399999999999</v>
      </c>
      <c r="BV792">
        <v>0.01</v>
      </c>
      <c r="BW792">
        <f>BV792*SQRT(AK792)</f>
        <v>2.4494897427831779E-2</v>
      </c>
      <c r="BX792">
        <v>0.88</v>
      </c>
      <c r="BY792">
        <v>0.88164889999999996</v>
      </c>
      <c r="BZ792">
        <v>0.04</v>
      </c>
      <c r="CA792">
        <f>BZ792*SQRT(AL792)</f>
        <v>9.7979589711327114E-2</v>
      </c>
      <c r="CB792">
        <v>146</v>
      </c>
      <c r="CC792">
        <v>7</v>
      </c>
      <c r="CD792">
        <v>-3.6999999999999998E-2</v>
      </c>
      <c r="CE792">
        <v>1.9E-3</v>
      </c>
    </row>
    <row r="793" spans="4:83" hidden="1" x14ac:dyDescent="0.2">
      <c r="D793">
        <v>53</v>
      </c>
      <c r="G793" t="s">
        <v>43</v>
      </c>
      <c r="H793" t="s">
        <v>545</v>
      </c>
      <c r="J793">
        <v>2014</v>
      </c>
      <c r="M793" t="s">
        <v>314</v>
      </c>
      <c r="T793" t="s">
        <v>46</v>
      </c>
      <c r="U793" t="s">
        <v>422</v>
      </c>
      <c r="V793" t="s">
        <v>423</v>
      </c>
      <c r="Z793" t="s">
        <v>177</v>
      </c>
      <c r="AA793" t="s">
        <v>177</v>
      </c>
      <c r="AB793" t="s">
        <v>50</v>
      </c>
      <c r="AC793" t="s">
        <v>108</v>
      </c>
      <c r="AD793" t="s">
        <v>52</v>
      </c>
      <c r="AE793" t="s">
        <v>53</v>
      </c>
      <c r="AF793" t="s">
        <v>52</v>
      </c>
      <c r="AG793" t="s">
        <v>52</v>
      </c>
      <c r="AH793" t="s">
        <v>64</v>
      </c>
      <c r="AK793">
        <v>6</v>
      </c>
      <c r="AL793">
        <v>6</v>
      </c>
      <c r="AN793">
        <v>472</v>
      </c>
      <c r="AO793">
        <v>6</v>
      </c>
      <c r="AP793" t="s">
        <v>56</v>
      </c>
      <c r="AQ793" t="s">
        <v>118</v>
      </c>
      <c r="AR793">
        <v>8.1199999999999992</v>
      </c>
      <c r="AS793">
        <v>0.01</v>
      </c>
      <c r="AT793" t="s">
        <v>56</v>
      </c>
      <c r="AU793">
        <v>1202</v>
      </c>
      <c r="AV793">
        <v>12</v>
      </c>
      <c r="AW793" t="s">
        <v>56</v>
      </c>
      <c r="AX793">
        <v>7.77</v>
      </c>
      <c r="AY793">
        <v>0</v>
      </c>
      <c r="AZ793" t="s">
        <v>56</v>
      </c>
      <c r="BB793">
        <f>LOG(AU793)</f>
        <v>3.0799044676667209</v>
      </c>
      <c r="BC793">
        <v>21.3</v>
      </c>
      <c r="BD793">
        <v>0.1</v>
      </c>
      <c r="BE793" t="s">
        <v>56</v>
      </c>
      <c r="BF793">
        <v>25</v>
      </c>
      <c r="BG793">
        <v>0.1</v>
      </c>
      <c r="BH793" t="s">
        <v>56</v>
      </c>
      <c r="BI793">
        <v>730</v>
      </c>
      <c r="BJ793">
        <v>3.7</v>
      </c>
      <c r="BK793" t="s">
        <v>56</v>
      </c>
      <c r="BL793" t="s">
        <v>546</v>
      </c>
      <c r="BM793" t="s">
        <v>546</v>
      </c>
      <c r="BN793" t="s">
        <v>60</v>
      </c>
      <c r="BO793" t="s">
        <v>180</v>
      </c>
      <c r="BP793" t="s">
        <v>92</v>
      </c>
      <c r="BR793" t="s">
        <v>63</v>
      </c>
      <c r="BT793">
        <v>0.91</v>
      </c>
      <c r="BU793">
        <v>0.91489399999999999</v>
      </c>
      <c r="BV793">
        <v>0.01</v>
      </c>
      <c r="BW793">
        <f>BV793*SQRT(AK793)</f>
        <v>2.4494897427831779E-2</v>
      </c>
      <c r="BX793">
        <v>0.9</v>
      </c>
      <c r="BY793">
        <v>0.9015957</v>
      </c>
      <c r="BZ793">
        <v>0.03</v>
      </c>
      <c r="CA793">
        <f>BZ793*SQRT(AL793)</f>
        <v>7.3484692283495329E-2</v>
      </c>
      <c r="CB793">
        <v>146</v>
      </c>
      <c r="CC793">
        <v>7</v>
      </c>
      <c r="CD793">
        <v>-1.4999999999999999E-2</v>
      </c>
      <c r="CE793">
        <v>1.1000000000000001E-3</v>
      </c>
    </row>
    <row r="794" spans="4:83" hidden="1" x14ac:dyDescent="0.2">
      <c r="D794">
        <v>53</v>
      </c>
      <c r="G794" t="s">
        <v>43</v>
      </c>
      <c r="H794" t="s">
        <v>545</v>
      </c>
      <c r="J794">
        <v>2014</v>
      </c>
      <c r="M794" t="s">
        <v>314</v>
      </c>
      <c r="T794" t="s">
        <v>46</v>
      </c>
      <c r="U794" t="s">
        <v>422</v>
      </c>
      <c r="V794" t="s">
        <v>423</v>
      </c>
      <c r="Z794" t="s">
        <v>177</v>
      </c>
      <c r="AA794" t="s">
        <v>177</v>
      </c>
      <c r="AB794" t="s">
        <v>50</v>
      </c>
      <c r="AC794" t="s">
        <v>108</v>
      </c>
      <c r="AD794" t="s">
        <v>52</v>
      </c>
      <c r="AE794" t="s">
        <v>53</v>
      </c>
      <c r="AF794" t="s">
        <v>54</v>
      </c>
      <c r="AG794" t="s">
        <v>52</v>
      </c>
      <c r="AH794" t="s">
        <v>65</v>
      </c>
      <c r="AK794">
        <v>6</v>
      </c>
      <c r="AL794">
        <v>6</v>
      </c>
      <c r="AN794">
        <v>472</v>
      </c>
      <c r="AO794">
        <v>6</v>
      </c>
      <c r="AP794" t="s">
        <v>56</v>
      </c>
      <c r="AQ794" t="s">
        <v>118</v>
      </c>
      <c r="AR794">
        <v>8.1199999999999992</v>
      </c>
      <c r="AS794">
        <v>0.01</v>
      </c>
      <c r="AT794" t="s">
        <v>56</v>
      </c>
      <c r="AU794">
        <v>541</v>
      </c>
      <c r="AV794">
        <v>8</v>
      </c>
      <c r="AW794" t="s">
        <v>56</v>
      </c>
      <c r="AX794">
        <v>8.08</v>
      </c>
      <c r="AY794">
        <v>0.01</v>
      </c>
      <c r="AZ794" t="s">
        <v>56</v>
      </c>
      <c r="BB794">
        <f>LOG(AU794)</f>
        <v>2.7331972651065692</v>
      </c>
      <c r="BC794">
        <v>21.3</v>
      </c>
      <c r="BD794">
        <v>0.1</v>
      </c>
      <c r="BE794" t="s">
        <v>56</v>
      </c>
      <c r="BF794">
        <v>24.6</v>
      </c>
      <c r="BG794">
        <v>0.1</v>
      </c>
      <c r="BH794" t="s">
        <v>56</v>
      </c>
      <c r="BI794">
        <v>68</v>
      </c>
      <c r="BJ794">
        <v>3.3</v>
      </c>
      <c r="BK794" t="s">
        <v>56</v>
      </c>
      <c r="BL794" t="s">
        <v>546</v>
      </c>
      <c r="BM794" t="s">
        <v>546</v>
      </c>
      <c r="BN794" t="s">
        <v>60</v>
      </c>
      <c r="BO794" t="s">
        <v>180</v>
      </c>
      <c r="BP794" t="s">
        <v>92</v>
      </c>
      <c r="BR794" t="s">
        <v>63</v>
      </c>
      <c r="BT794">
        <v>0.91</v>
      </c>
      <c r="BU794">
        <v>0.91489399999999999</v>
      </c>
      <c r="BV794">
        <v>0.01</v>
      </c>
      <c r="BW794">
        <f>BV794*SQRT(AK794)</f>
        <v>2.4494897427831779E-2</v>
      </c>
      <c r="BX794">
        <v>0.92</v>
      </c>
      <c r="BY794">
        <v>0.92021280000000005</v>
      </c>
      <c r="BZ794">
        <v>0.03</v>
      </c>
      <c r="CA794">
        <f>BZ794*SQRT(AL794)</f>
        <v>7.3484692283495329E-2</v>
      </c>
      <c r="CB794">
        <v>146</v>
      </c>
      <c r="CC794">
        <v>7</v>
      </c>
      <c r="CD794">
        <v>6.0000000000000001E-3</v>
      </c>
      <c r="CE794">
        <v>1.1000000000000001E-3</v>
      </c>
    </row>
    <row r="795" spans="4:83" hidden="1" x14ac:dyDescent="0.2">
      <c r="D795">
        <v>53</v>
      </c>
      <c r="G795" t="s">
        <v>43</v>
      </c>
      <c r="H795" t="s">
        <v>545</v>
      </c>
      <c r="J795">
        <v>2014</v>
      </c>
      <c r="M795" t="s">
        <v>314</v>
      </c>
      <c r="T795" t="s">
        <v>46</v>
      </c>
      <c r="U795" t="s">
        <v>422</v>
      </c>
      <c r="V795" t="s">
        <v>423</v>
      </c>
      <c r="Z795" t="s">
        <v>177</v>
      </c>
      <c r="AA795" t="s">
        <v>177</v>
      </c>
      <c r="AB795" t="s">
        <v>50</v>
      </c>
      <c r="AC795" t="s">
        <v>108</v>
      </c>
      <c r="AD795" t="s">
        <v>52</v>
      </c>
      <c r="AE795" t="s">
        <v>53</v>
      </c>
      <c r="AF795" t="s">
        <v>54</v>
      </c>
      <c r="AG795" t="s">
        <v>52</v>
      </c>
      <c r="AH795" t="s">
        <v>65</v>
      </c>
      <c r="AK795">
        <v>6</v>
      </c>
      <c r="AL795">
        <v>6</v>
      </c>
      <c r="AN795">
        <v>472</v>
      </c>
      <c r="AO795">
        <v>6</v>
      </c>
      <c r="AP795" t="s">
        <v>56</v>
      </c>
      <c r="AQ795" t="s">
        <v>118</v>
      </c>
      <c r="AR795">
        <v>8.1199999999999992</v>
      </c>
      <c r="AS795">
        <v>0.01</v>
      </c>
      <c r="AT795" t="s">
        <v>56</v>
      </c>
      <c r="AU795">
        <v>573</v>
      </c>
      <c r="AV795">
        <v>9</v>
      </c>
      <c r="AW795" t="s">
        <v>56</v>
      </c>
      <c r="AX795">
        <v>8.0500000000000007</v>
      </c>
      <c r="AY795">
        <v>0.01</v>
      </c>
      <c r="AZ795" t="s">
        <v>56</v>
      </c>
      <c r="BB795">
        <f>LOG(AU795)</f>
        <v>2.7581546219673898</v>
      </c>
      <c r="BC795">
        <v>21.3</v>
      </c>
      <c r="BD795">
        <v>0.1</v>
      </c>
      <c r="BE795" t="s">
        <v>56</v>
      </c>
      <c r="BF795">
        <v>27.6</v>
      </c>
      <c r="BG795">
        <v>0.2</v>
      </c>
      <c r="BH795" t="s">
        <v>56</v>
      </c>
      <c r="BI795">
        <v>101</v>
      </c>
      <c r="BJ795">
        <v>6.2</v>
      </c>
      <c r="BK795" t="s">
        <v>56</v>
      </c>
      <c r="BL795" t="s">
        <v>546</v>
      </c>
      <c r="BM795" t="s">
        <v>546</v>
      </c>
      <c r="BN795" t="s">
        <v>60</v>
      </c>
      <c r="BO795" t="s">
        <v>180</v>
      </c>
      <c r="BP795" t="s">
        <v>92</v>
      </c>
      <c r="BR795" t="s">
        <v>63</v>
      </c>
      <c r="BT795">
        <v>0.91</v>
      </c>
      <c r="BU795">
        <v>0.91489399999999999</v>
      </c>
      <c r="BV795">
        <v>0.01</v>
      </c>
      <c r="BW795">
        <f>BV795*SQRT(AK795)</f>
        <v>2.4494897427831779E-2</v>
      </c>
      <c r="BX795">
        <v>0.94</v>
      </c>
      <c r="BY795">
        <v>0.93617019999999995</v>
      </c>
      <c r="BZ795">
        <v>0.05</v>
      </c>
      <c r="CA795">
        <f>BZ795*SQRT(AL795)</f>
        <v>0.1224744871391589</v>
      </c>
      <c r="CB795">
        <v>146</v>
      </c>
      <c r="CC795">
        <v>7</v>
      </c>
      <c r="CD795">
        <v>2.3E-2</v>
      </c>
      <c r="CE795">
        <v>2.3999999999999998E-3</v>
      </c>
    </row>
    <row r="796" spans="4:83" hidden="1" x14ac:dyDescent="0.2">
      <c r="D796">
        <v>53</v>
      </c>
      <c r="G796" t="s">
        <v>43</v>
      </c>
      <c r="H796" t="s">
        <v>545</v>
      </c>
      <c r="J796">
        <v>2014</v>
      </c>
      <c r="M796" t="s">
        <v>314</v>
      </c>
      <c r="T796" t="s">
        <v>46</v>
      </c>
      <c r="U796" t="s">
        <v>422</v>
      </c>
      <c r="V796" t="s">
        <v>423</v>
      </c>
      <c r="Z796" t="s">
        <v>177</v>
      </c>
      <c r="AA796" t="s">
        <v>177</v>
      </c>
      <c r="AB796" t="s">
        <v>50</v>
      </c>
      <c r="AC796" t="s">
        <v>108</v>
      </c>
      <c r="AD796" t="s">
        <v>52</v>
      </c>
      <c r="AE796" t="s">
        <v>53</v>
      </c>
      <c r="AF796" t="s">
        <v>52</v>
      </c>
      <c r="AG796" t="s">
        <v>52</v>
      </c>
      <c r="AH796" t="s">
        <v>64</v>
      </c>
      <c r="AK796">
        <v>6</v>
      </c>
      <c r="AL796">
        <v>6</v>
      </c>
      <c r="AN796">
        <v>472</v>
      </c>
      <c r="AO796">
        <v>6</v>
      </c>
      <c r="AP796" t="s">
        <v>56</v>
      </c>
      <c r="AQ796" t="s">
        <v>118</v>
      </c>
      <c r="AR796">
        <v>8.1199999999999992</v>
      </c>
      <c r="AS796">
        <v>0.01</v>
      </c>
      <c r="AT796" t="s">
        <v>56</v>
      </c>
      <c r="AU796">
        <v>1249</v>
      </c>
      <c r="AV796">
        <v>13</v>
      </c>
      <c r="AW796" t="s">
        <v>56</v>
      </c>
      <c r="AX796">
        <v>7.76</v>
      </c>
      <c r="AY796">
        <v>0</v>
      </c>
      <c r="AZ796" t="s">
        <v>56</v>
      </c>
      <c r="BB796">
        <f>LOG(AU796)</f>
        <v>3.0965624383741357</v>
      </c>
      <c r="BC796">
        <v>21.3</v>
      </c>
      <c r="BD796">
        <v>0.1</v>
      </c>
      <c r="BE796" t="s">
        <v>56</v>
      </c>
      <c r="BF796">
        <v>27.6</v>
      </c>
      <c r="BG796">
        <v>0.2</v>
      </c>
      <c r="BH796" t="s">
        <v>56</v>
      </c>
      <c r="BI796">
        <v>777</v>
      </c>
      <c r="BJ796">
        <v>6.3</v>
      </c>
      <c r="BK796" t="s">
        <v>56</v>
      </c>
      <c r="BL796" t="s">
        <v>546</v>
      </c>
      <c r="BM796" t="s">
        <v>546</v>
      </c>
      <c r="BN796" t="s">
        <v>60</v>
      </c>
      <c r="BO796" t="s">
        <v>180</v>
      </c>
      <c r="BP796" t="s">
        <v>92</v>
      </c>
      <c r="BR796" t="s">
        <v>63</v>
      </c>
      <c r="BT796">
        <v>0.91</v>
      </c>
      <c r="BU796">
        <v>0.91489399999999999</v>
      </c>
      <c r="BV796">
        <v>0.01</v>
      </c>
      <c r="BW796">
        <f>BV796*SQRT(AK796)</f>
        <v>2.4494897427831779E-2</v>
      </c>
      <c r="BX796">
        <v>0.98</v>
      </c>
      <c r="BY796">
        <v>0.98271280000000005</v>
      </c>
      <c r="BZ796">
        <v>0.04</v>
      </c>
      <c r="CA796">
        <f>BZ796*SQRT(AL796)</f>
        <v>9.7979589711327114E-2</v>
      </c>
      <c r="CB796">
        <v>146</v>
      </c>
      <c r="CC796">
        <v>7</v>
      </c>
      <c r="CD796">
        <v>7.1999999999999995E-2</v>
      </c>
      <c r="CE796">
        <v>1.4E-3</v>
      </c>
    </row>
    <row r="797" spans="4:83" hidden="1" x14ac:dyDescent="0.2">
      <c r="D797">
        <v>53</v>
      </c>
      <c r="G797" t="s">
        <v>43</v>
      </c>
      <c r="H797" t="s">
        <v>545</v>
      </c>
      <c r="J797">
        <v>2014</v>
      </c>
      <c r="M797" t="s">
        <v>314</v>
      </c>
      <c r="T797" t="s">
        <v>46</v>
      </c>
      <c r="U797" t="s">
        <v>422</v>
      </c>
      <c r="V797" t="s">
        <v>423</v>
      </c>
      <c r="Z797" t="s">
        <v>177</v>
      </c>
      <c r="AA797" t="s">
        <v>177</v>
      </c>
      <c r="AB797" t="s">
        <v>50</v>
      </c>
      <c r="AC797" t="s">
        <v>108</v>
      </c>
      <c r="AD797" t="s">
        <v>52</v>
      </c>
      <c r="AE797" t="s">
        <v>53</v>
      </c>
      <c r="AF797" t="s">
        <v>52</v>
      </c>
      <c r="AG797" t="s">
        <v>52</v>
      </c>
      <c r="AH797" t="s">
        <v>64</v>
      </c>
      <c r="AK797">
        <v>6</v>
      </c>
      <c r="AL797">
        <v>6</v>
      </c>
      <c r="AN797">
        <v>472</v>
      </c>
      <c r="AO797">
        <v>6</v>
      </c>
      <c r="AP797" t="s">
        <v>56</v>
      </c>
      <c r="AQ797" t="s">
        <v>118</v>
      </c>
      <c r="AR797">
        <v>8.1199999999999992</v>
      </c>
      <c r="AS797">
        <v>0.01</v>
      </c>
      <c r="AT797" t="s">
        <v>56</v>
      </c>
      <c r="AU797">
        <v>1202</v>
      </c>
      <c r="AV797">
        <v>12</v>
      </c>
      <c r="AW797" t="s">
        <v>56</v>
      </c>
      <c r="AX797">
        <v>7.77</v>
      </c>
      <c r="AY797">
        <v>0</v>
      </c>
      <c r="AZ797" t="s">
        <v>56</v>
      </c>
      <c r="BB797">
        <f>LOG(AU797)</f>
        <v>3.0799044676667209</v>
      </c>
      <c r="BC797">
        <v>21.3</v>
      </c>
      <c r="BD797">
        <v>0.1</v>
      </c>
      <c r="BE797" t="s">
        <v>56</v>
      </c>
      <c r="BF797">
        <v>25</v>
      </c>
      <c r="BG797">
        <v>0.1</v>
      </c>
      <c r="BH797" t="s">
        <v>56</v>
      </c>
      <c r="BI797">
        <v>730</v>
      </c>
      <c r="BJ797">
        <v>3.7</v>
      </c>
      <c r="BK797" t="s">
        <v>56</v>
      </c>
      <c r="BL797" t="s">
        <v>98</v>
      </c>
      <c r="BM797" t="s">
        <v>98</v>
      </c>
      <c r="BN797" t="s">
        <v>81</v>
      </c>
      <c r="BO797" t="s">
        <v>439</v>
      </c>
      <c r="BP797" t="s">
        <v>100</v>
      </c>
      <c r="BR797" t="s">
        <v>63</v>
      </c>
      <c r="BT797">
        <v>86.4</v>
      </c>
      <c r="BU797">
        <v>86.402265999999997</v>
      </c>
      <c r="BV797">
        <v>4.25</v>
      </c>
      <c r="BW797">
        <f>BV797*SQRT(AK797)</f>
        <v>10.410331406828506</v>
      </c>
      <c r="BX797">
        <v>125.35</v>
      </c>
      <c r="BY797">
        <v>125.35410760000001</v>
      </c>
      <c r="BZ797">
        <v>7.08</v>
      </c>
      <c r="CA797">
        <f>BZ797*SQRT(AL797)</f>
        <v>17.342387378904899</v>
      </c>
      <c r="CB797">
        <v>146</v>
      </c>
      <c r="CC797">
        <v>7</v>
      </c>
      <c r="CD797">
        <v>0.372</v>
      </c>
      <c r="CE797">
        <v>5.5999999999999999E-3</v>
      </c>
    </row>
    <row r="798" spans="4:83" hidden="1" x14ac:dyDescent="0.2">
      <c r="D798">
        <v>53</v>
      </c>
      <c r="G798" t="s">
        <v>43</v>
      </c>
      <c r="H798" t="s">
        <v>545</v>
      </c>
      <c r="J798">
        <v>2014</v>
      </c>
      <c r="M798" t="s">
        <v>314</v>
      </c>
      <c r="T798" t="s">
        <v>46</v>
      </c>
      <c r="U798" t="s">
        <v>422</v>
      </c>
      <c r="V798" t="s">
        <v>423</v>
      </c>
      <c r="Z798" t="s">
        <v>177</v>
      </c>
      <c r="AA798" t="s">
        <v>177</v>
      </c>
      <c r="AB798" t="s">
        <v>50</v>
      </c>
      <c r="AC798" t="s">
        <v>108</v>
      </c>
      <c r="AD798" t="s">
        <v>52</v>
      </c>
      <c r="AE798" t="s">
        <v>53</v>
      </c>
      <c r="AF798" t="s">
        <v>54</v>
      </c>
      <c r="AG798" t="s">
        <v>52</v>
      </c>
      <c r="AH798" t="s">
        <v>65</v>
      </c>
      <c r="AK798">
        <v>6</v>
      </c>
      <c r="AL798">
        <v>6</v>
      </c>
      <c r="AN798">
        <v>472</v>
      </c>
      <c r="AO798">
        <v>6</v>
      </c>
      <c r="AP798" t="s">
        <v>56</v>
      </c>
      <c r="AQ798" t="s">
        <v>118</v>
      </c>
      <c r="AR798">
        <v>8.1199999999999992</v>
      </c>
      <c r="AS798">
        <v>0.01</v>
      </c>
      <c r="AT798" t="s">
        <v>56</v>
      </c>
      <c r="AU798">
        <v>573</v>
      </c>
      <c r="AV798">
        <v>9</v>
      </c>
      <c r="AW798" t="s">
        <v>56</v>
      </c>
      <c r="AX798">
        <v>8.0500000000000007</v>
      </c>
      <c r="AY798">
        <v>0.01</v>
      </c>
      <c r="AZ798" t="s">
        <v>56</v>
      </c>
      <c r="BB798">
        <f>LOG(AU798)</f>
        <v>2.7581546219673898</v>
      </c>
      <c r="BC798">
        <v>21.3</v>
      </c>
      <c r="BD798">
        <v>0.1</v>
      </c>
      <c r="BE798" t="s">
        <v>56</v>
      </c>
      <c r="BF798">
        <v>27.6</v>
      </c>
      <c r="BG798">
        <v>0.2</v>
      </c>
      <c r="BH798" t="s">
        <v>56</v>
      </c>
      <c r="BI798">
        <v>101</v>
      </c>
      <c r="BJ798">
        <v>6.2</v>
      </c>
      <c r="BK798" t="s">
        <v>56</v>
      </c>
      <c r="BL798" t="s">
        <v>98</v>
      </c>
      <c r="BM798" t="s">
        <v>98</v>
      </c>
      <c r="BN798" t="s">
        <v>81</v>
      </c>
      <c r="BO798" t="s">
        <v>439</v>
      </c>
      <c r="BP798" t="s">
        <v>100</v>
      </c>
      <c r="BR798" t="s">
        <v>63</v>
      </c>
      <c r="BT798">
        <v>86.4</v>
      </c>
      <c r="BU798">
        <v>86.402265999999997</v>
      </c>
      <c r="BV798">
        <v>4.25</v>
      </c>
      <c r="BW798">
        <f>BV798*SQRT(AK798)</f>
        <v>10.410331406828506</v>
      </c>
      <c r="BX798">
        <v>125.35</v>
      </c>
      <c r="BY798">
        <v>125.35410760000001</v>
      </c>
      <c r="BZ798">
        <v>10.62</v>
      </c>
      <c r="CA798">
        <f>BZ798*SQRT(AL798)</f>
        <v>26.013581068357347</v>
      </c>
      <c r="CB798">
        <v>146</v>
      </c>
      <c r="CC798">
        <v>7</v>
      </c>
      <c r="CD798">
        <v>0.372</v>
      </c>
      <c r="CE798">
        <v>9.5999999999999992E-3</v>
      </c>
    </row>
    <row r="799" spans="4:83" hidden="1" x14ac:dyDescent="0.2">
      <c r="D799">
        <v>53</v>
      </c>
      <c r="G799" t="s">
        <v>43</v>
      </c>
      <c r="H799" t="s">
        <v>545</v>
      </c>
      <c r="J799">
        <v>2014</v>
      </c>
      <c r="M799" t="s">
        <v>314</v>
      </c>
      <c r="T799" t="s">
        <v>46</v>
      </c>
      <c r="U799" t="s">
        <v>422</v>
      </c>
      <c r="V799" t="s">
        <v>423</v>
      </c>
      <c r="Z799" t="s">
        <v>177</v>
      </c>
      <c r="AA799" t="s">
        <v>177</v>
      </c>
      <c r="AB799" t="s">
        <v>50</v>
      </c>
      <c r="AC799" t="s">
        <v>108</v>
      </c>
      <c r="AD799" t="s">
        <v>52</v>
      </c>
      <c r="AE799" t="s">
        <v>53</v>
      </c>
      <c r="AF799" t="s">
        <v>54</v>
      </c>
      <c r="AG799" t="s">
        <v>52</v>
      </c>
      <c r="AH799" t="s">
        <v>65</v>
      </c>
      <c r="AK799">
        <v>6</v>
      </c>
      <c r="AL799">
        <v>6</v>
      </c>
      <c r="AN799">
        <v>472</v>
      </c>
      <c r="AO799">
        <v>6</v>
      </c>
      <c r="AP799" t="s">
        <v>56</v>
      </c>
      <c r="AQ799" t="s">
        <v>118</v>
      </c>
      <c r="AR799">
        <v>8.1199999999999992</v>
      </c>
      <c r="AS799">
        <v>0.01</v>
      </c>
      <c r="AT799" t="s">
        <v>56</v>
      </c>
      <c r="AU799">
        <v>541</v>
      </c>
      <c r="AV799">
        <v>8</v>
      </c>
      <c r="AW799" t="s">
        <v>56</v>
      </c>
      <c r="AX799">
        <v>8.08</v>
      </c>
      <c r="AY799">
        <v>0.01</v>
      </c>
      <c r="AZ799" t="s">
        <v>56</v>
      </c>
      <c r="BB799">
        <f>LOG(AU799)</f>
        <v>2.7331972651065692</v>
      </c>
      <c r="BC799">
        <v>21.3</v>
      </c>
      <c r="BD799">
        <v>0.1</v>
      </c>
      <c r="BE799" t="s">
        <v>56</v>
      </c>
      <c r="BF799">
        <v>24.6</v>
      </c>
      <c r="BG799">
        <v>0.1</v>
      </c>
      <c r="BH799" t="s">
        <v>56</v>
      </c>
      <c r="BI799">
        <v>68</v>
      </c>
      <c r="BJ799">
        <v>3.3</v>
      </c>
      <c r="BK799" t="s">
        <v>56</v>
      </c>
      <c r="BL799" t="s">
        <v>98</v>
      </c>
      <c r="BM799" t="s">
        <v>98</v>
      </c>
      <c r="BN799" t="s">
        <v>81</v>
      </c>
      <c r="BO799" t="s">
        <v>439</v>
      </c>
      <c r="BP799" t="s">
        <v>100</v>
      </c>
      <c r="BR799" t="s">
        <v>63</v>
      </c>
      <c r="BT799">
        <v>86.4</v>
      </c>
      <c r="BU799">
        <v>86.402265999999997</v>
      </c>
      <c r="BV799">
        <v>4.25</v>
      </c>
      <c r="BW799">
        <f>BV799*SQRT(AK799)</f>
        <v>10.410331406828506</v>
      </c>
      <c r="BX799">
        <v>133.5</v>
      </c>
      <c r="BY799">
        <v>133.49858359999999</v>
      </c>
      <c r="BZ799">
        <v>8.5</v>
      </c>
      <c r="CA799">
        <f>BZ799*SQRT(AL799)</f>
        <v>20.820662813657012</v>
      </c>
      <c r="CB799">
        <v>146</v>
      </c>
      <c r="CC799">
        <v>7</v>
      </c>
      <c r="CD799">
        <v>0.435</v>
      </c>
      <c r="CE799">
        <v>6.4999999999999997E-3</v>
      </c>
    </row>
    <row r="800" spans="4:83" hidden="1" x14ac:dyDescent="0.2">
      <c r="D800">
        <v>53</v>
      </c>
      <c r="G800" t="s">
        <v>43</v>
      </c>
      <c r="H800" t="s">
        <v>545</v>
      </c>
      <c r="J800">
        <v>2014</v>
      </c>
      <c r="M800" t="s">
        <v>314</v>
      </c>
      <c r="T800" t="s">
        <v>46</v>
      </c>
      <c r="U800" t="s">
        <v>422</v>
      </c>
      <c r="V800" t="s">
        <v>423</v>
      </c>
      <c r="Z800" t="s">
        <v>177</v>
      </c>
      <c r="AA800" t="s">
        <v>177</v>
      </c>
      <c r="AB800" t="s">
        <v>50</v>
      </c>
      <c r="AC800" t="s">
        <v>108</v>
      </c>
      <c r="AD800" t="s">
        <v>52</v>
      </c>
      <c r="AE800" t="s">
        <v>53</v>
      </c>
      <c r="AF800" t="s">
        <v>52</v>
      </c>
      <c r="AG800" t="s">
        <v>52</v>
      </c>
      <c r="AH800" t="s">
        <v>64</v>
      </c>
      <c r="AK800">
        <v>6</v>
      </c>
      <c r="AL800">
        <v>6</v>
      </c>
      <c r="AN800">
        <v>472</v>
      </c>
      <c r="AO800">
        <v>6</v>
      </c>
      <c r="AP800" t="s">
        <v>56</v>
      </c>
      <c r="AQ800" t="s">
        <v>118</v>
      </c>
      <c r="AR800">
        <v>8.1199999999999992</v>
      </c>
      <c r="AS800">
        <v>0.01</v>
      </c>
      <c r="AT800" t="s">
        <v>56</v>
      </c>
      <c r="AU800">
        <v>1249</v>
      </c>
      <c r="AV800">
        <v>13</v>
      </c>
      <c r="AW800" t="s">
        <v>56</v>
      </c>
      <c r="AX800">
        <v>7.76</v>
      </c>
      <c r="AY800">
        <v>0</v>
      </c>
      <c r="AZ800" t="s">
        <v>56</v>
      </c>
      <c r="BB800">
        <f>LOG(AU800)</f>
        <v>3.0965624383741357</v>
      </c>
      <c r="BC800">
        <v>21.3</v>
      </c>
      <c r="BD800">
        <v>0.1</v>
      </c>
      <c r="BE800" t="s">
        <v>56</v>
      </c>
      <c r="BF800">
        <v>27.6</v>
      </c>
      <c r="BG800">
        <v>0.2</v>
      </c>
      <c r="BH800" t="s">
        <v>56</v>
      </c>
      <c r="BI800">
        <v>777</v>
      </c>
      <c r="BJ800">
        <v>6.3</v>
      </c>
      <c r="BK800" t="s">
        <v>56</v>
      </c>
      <c r="BL800" t="s">
        <v>98</v>
      </c>
      <c r="BM800" t="s">
        <v>98</v>
      </c>
      <c r="BN800" t="s">
        <v>81</v>
      </c>
      <c r="BO800" t="s">
        <v>439</v>
      </c>
      <c r="BP800" t="s">
        <v>100</v>
      </c>
      <c r="BR800" t="s">
        <v>63</v>
      </c>
      <c r="BT800">
        <v>86.4</v>
      </c>
      <c r="BU800">
        <v>86.402265999999997</v>
      </c>
      <c r="BV800">
        <v>4.25</v>
      </c>
      <c r="BW800">
        <f>BV800*SQRT(AK800)</f>
        <v>10.410331406828506</v>
      </c>
      <c r="BX800">
        <v>162.18</v>
      </c>
      <c r="BY800">
        <v>162.18130310000001</v>
      </c>
      <c r="BZ800">
        <v>38.24</v>
      </c>
      <c r="CA800">
        <f>BZ800*SQRT(AL800)</f>
        <v>93.668487764028725</v>
      </c>
      <c r="CB800">
        <v>146</v>
      </c>
      <c r="CC800">
        <v>7</v>
      </c>
      <c r="CD800">
        <v>0.63</v>
      </c>
      <c r="CE800">
        <v>5.8000000000000003E-2</v>
      </c>
    </row>
    <row r="801" spans="4:83" hidden="1" x14ac:dyDescent="0.2">
      <c r="D801">
        <v>54</v>
      </c>
      <c r="G801" t="s">
        <v>43</v>
      </c>
      <c r="H801" t="s">
        <v>547</v>
      </c>
      <c r="J801">
        <v>2014</v>
      </c>
      <c r="M801" t="s">
        <v>45</v>
      </c>
      <c r="T801" t="s">
        <v>68</v>
      </c>
      <c r="U801" t="s">
        <v>548</v>
      </c>
      <c r="V801" t="s">
        <v>549</v>
      </c>
      <c r="Z801" t="s">
        <v>475</v>
      </c>
      <c r="AA801" t="s">
        <v>475</v>
      </c>
      <c r="AB801" t="s">
        <v>50</v>
      </c>
      <c r="AC801" t="s">
        <v>51</v>
      </c>
      <c r="AD801" t="s">
        <v>52</v>
      </c>
      <c r="AE801" t="s">
        <v>53</v>
      </c>
      <c r="AF801" t="s">
        <v>52</v>
      </c>
      <c r="AG801" t="s">
        <v>54</v>
      </c>
      <c r="AH801" t="s">
        <v>55</v>
      </c>
      <c r="AK801">
        <v>18</v>
      </c>
      <c r="AL801">
        <v>18</v>
      </c>
      <c r="AM801" t="s">
        <v>342</v>
      </c>
      <c r="AN801">
        <v>371</v>
      </c>
      <c r="AO801">
        <v>13</v>
      </c>
      <c r="AP801" t="s">
        <v>56</v>
      </c>
      <c r="AQ801" t="s">
        <v>56</v>
      </c>
      <c r="AR801">
        <v>8.11</v>
      </c>
      <c r="AS801">
        <v>0.01</v>
      </c>
      <c r="AT801" t="s">
        <v>56</v>
      </c>
      <c r="AU801">
        <v>994</v>
      </c>
      <c r="AV801">
        <v>70</v>
      </c>
      <c r="AW801" t="s">
        <v>56</v>
      </c>
      <c r="AX801">
        <v>7.81</v>
      </c>
      <c r="AY801">
        <v>0.02</v>
      </c>
      <c r="AZ801" t="s">
        <v>56</v>
      </c>
      <c r="BB801">
        <f>LOG(AU801)</f>
        <v>2.9973863843973132</v>
      </c>
      <c r="BC801">
        <v>1.4</v>
      </c>
      <c r="BD801">
        <v>0</v>
      </c>
      <c r="BE801" t="s">
        <v>56</v>
      </c>
      <c r="BF801">
        <v>1.3</v>
      </c>
      <c r="BG801">
        <v>0</v>
      </c>
      <c r="BH801" t="s">
        <v>56</v>
      </c>
      <c r="BI801">
        <v>623</v>
      </c>
      <c r="BJ801">
        <v>0</v>
      </c>
      <c r="BK801" t="s">
        <v>56</v>
      </c>
      <c r="BL801" t="s">
        <v>478</v>
      </c>
      <c r="BM801" t="s">
        <v>478</v>
      </c>
      <c r="BN801" t="s">
        <v>340</v>
      </c>
      <c r="BO801" t="s">
        <v>550</v>
      </c>
      <c r="BP801" t="s">
        <v>77</v>
      </c>
      <c r="BR801" t="s">
        <v>63</v>
      </c>
      <c r="BT801">
        <v>26</v>
      </c>
      <c r="BU801">
        <v>26</v>
      </c>
      <c r="BV801">
        <v>3</v>
      </c>
      <c r="BW801">
        <f>BV801*SQRT(AK801)</f>
        <v>12.727922061357855</v>
      </c>
      <c r="BX801">
        <v>334.5</v>
      </c>
      <c r="BY801">
        <v>334.5</v>
      </c>
      <c r="BZ801">
        <v>91.5</v>
      </c>
      <c r="CA801">
        <f>BZ801*SQRT(AL801)</f>
        <v>388.20162287141454</v>
      </c>
      <c r="CB801">
        <v>42</v>
      </c>
      <c r="CC801">
        <v>18</v>
      </c>
      <c r="CD801">
        <v>-2.5550000000000002</v>
      </c>
      <c r="CE801">
        <v>8.8099999999999998E-2</v>
      </c>
    </row>
    <row r="802" spans="4:83" hidden="1" x14ac:dyDescent="0.2">
      <c r="D802">
        <v>54</v>
      </c>
      <c r="G802" t="s">
        <v>43</v>
      </c>
      <c r="H802" t="s">
        <v>547</v>
      </c>
      <c r="J802">
        <v>2014</v>
      </c>
      <c r="M802" t="s">
        <v>45</v>
      </c>
      <c r="T802" t="s">
        <v>68</v>
      </c>
      <c r="U802" t="s">
        <v>548</v>
      </c>
      <c r="V802" t="s">
        <v>549</v>
      </c>
      <c r="Z802" t="s">
        <v>475</v>
      </c>
      <c r="AA802" t="s">
        <v>475</v>
      </c>
      <c r="AB802" t="s">
        <v>50</v>
      </c>
      <c r="AC802" t="s">
        <v>51</v>
      </c>
      <c r="AD802" t="s">
        <v>52</v>
      </c>
      <c r="AE802" t="s">
        <v>53</v>
      </c>
      <c r="AF802" t="s">
        <v>54</v>
      </c>
      <c r="AG802" t="s">
        <v>52</v>
      </c>
      <c r="AH802" t="s">
        <v>65</v>
      </c>
      <c r="AK802">
        <v>18</v>
      </c>
      <c r="AL802">
        <v>18</v>
      </c>
      <c r="AM802" t="s">
        <v>342</v>
      </c>
      <c r="AN802">
        <v>371</v>
      </c>
      <c r="AO802">
        <v>13</v>
      </c>
      <c r="AP802" t="s">
        <v>56</v>
      </c>
      <c r="AQ802" t="s">
        <v>56</v>
      </c>
      <c r="AR802">
        <v>8.11</v>
      </c>
      <c r="AS802">
        <v>0.01</v>
      </c>
      <c r="AT802" t="s">
        <v>56</v>
      </c>
      <c r="AU802">
        <v>455</v>
      </c>
      <c r="AV802">
        <v>16</v>
      </c>
      <c r="AW802" t="s">
        <v>56</v>
      </c>
      <c r="AX802">
        <v>8.0299999999999994</v>
      </c>
      <c r="AY802">
        <v>0.01</v>
      </c>
      <c r="AZ802" t="s">
        <v>56</v>
      </c>
      <c r="BB802">
        <f>LOG(AU802)</f>
        <v>2.6580113966571126</v>
      </c>
      <c r="BC802">
        <v>1.4</v>
      </c>
      <c r="BD802">
        <v>0</v>
      </c>
      <c r="BE802" t="s">
        <v>56</v>
      </c>
      <c r="BF802">
        <v>3.4</v>
      </c>
      <c r="BG802">
        <v>0</v>
      </c>
      <c r="BH802" t="s">
        <v>56</v>
      </c>
      <c r="BI802">
        <v>84</v>
      </c>
      <c r="BJ802">
        <v>2.1</v>
      </c>
      <c r="BK802" t="s">
        <v>56</v>
      </c>
      <c r="BL802" t="s">
        <v>478</v>
      </c>
      <c r="BM802" t="s">
        <v>478</v>
      </c>
      <c r="BN802" t="s">
        <v>340</v>
      </c>
      <c r="BO802" t="s">
        <v>550</v>
      </c>
      <c r="BP802" t="s">
        <v>77</v>
      </c>
      <c r="BR802" t="s">
        <v>63</v>
      </c>
      <c r="BT802">
        <v>26</v>
      </c>
      <c r="BU802">
        <v>26</v>
      </c>
      <c r="BV802">
        <v>3</v>
      </c>
      <c r="BW802">
        <f>BV802*SQRT(AK802)</f>
        <v>12.727922061357855</v>
      </c>
      <c r="BX802">
        <v>143</v>
      </c>
      <c r="BY802">
        <v>143</v>
      </c>
      <c r="BZ802">
        <v>37</v>
      </c>
      <c r="CA802">
        <f>BZ802*SQRT(AL802)</f>
        <v>156.97770542341354</v>
      </c>
      <c r="CB802">
        <v>42</v>
      </c>
      <c r="CC802">
        <v>18</v>
      </c>
      <c r="CD802">
        <v>-1.7050000000000001</v>
      </c>
      <c r="CE802">
        <v>8.0299999999999996E-2</v>
      </c>
    </row>
    <row r="803" spans="4:83" hidden="1" x14ac:dyDescent="0.2">
      <c r="D803">
        <v>54</v>
      </c>
      <c r="G803" t="s">
        <v>43</v>
      </c>
      <c r="H803" t="s">
        <v>547</v>
      </c>
      <c r="J803">
        <v>2014</v>
      </c>
      <c r="M803" t="s">
        <v>45</v>
      </c>
      <c r="T803" t="s">
        <v>68</v>
      </c>
      <c r="U803" t="s">
        <v>548</v>
      </c>
      <c r="V803" t="s">
        <v>549</v>
      </c>
      <c r="Z803" t="s">
        <v>475</v>
      </c>
      <c r="AA803" t="s">
        <v>475</v>
      </c>
      <c r="AB803" t="s">
        <v>50</v>
      </c>
      <c r="AC803" t="s">
        <v>51</v>
      </c>
      <c r="AD803" t="s">
        <v>52</v>
      </c>
      <c r="AE803" t="s">
        <v>53</v>
      </c>
      <c r="AF803" t="s">
        <v>52</v>
      </c>
      <c r="AG803" t="s">
        <v>52</v>
      </c>
      <c r="AH803" t="s">
        <v>64</v>
      </c>
      <c r="AK803">
        <v>18</v>
      </c>
      <c r="AL803">
        <v>18</v>
      </c>
      <c r="AM803" t="s">
        <v>342</v>
      </c>
      <c r="AN803">
        <v>371</v>
      </c>
      <c r="AO803">
        <v>13</v>
      </c>
      <c r="AP803" t="s">
        <v>56</v>
      </c>
      <c r="AQ803" t="s">
        <v>56</v>
      </c>
      <c r="AR803">
        <v>8.11</v>
      </c>
      <c r="AS803">
        <v>0.01</v>
      </c>
      <c r="AT803" t="s">
        <v>56</v>
      </c>
      <c r="AU803">
        <v>922</v>
      </c>
      <c r="AV803">
        <v>64</v>
      </c>
      <c r="AW803" t="s">
        <v>56</v>
      </c>
      <c r="AX803">
        <v>7.79</v>
      </c>
      <c r="AY803">
        <v>0.02</v>
      </c>
      <c r="AZ803" t="s">
        <v>56</v>
      </c>
      <c r="BB803">
        <f>LOG(AU803)</f>
        <v>2.9647309210536292</v>
      </c>
      <c r="BC803">
        <v>1.4</v>
      </c>
      <c r="BD803">
        <v>0</v>
      </c>
      <c r="BE803" t="s">
        <v>56</v>
      </c>
      <c r="BF803">
        <v>3.4</v>
      </c>
      <c r="BG803">
        <v>0</v>
      </c>
      <c r="BH803" t="s">
        <v>56</v>
      </c>
      <c r="BI803">
        <v>551</v>
      </c>
      <c r="BJ803">
        <v>2.1</v>
      </c>
      <c r="BK803" t="s">
        <v>56</v>
      </c>
      <c r="BL803" t="s">
        <v>478</v>
      </c>
      <c r="BM803" t="s">
        <v>478</v>
      </c>
      <c r="BN803" t="s">
        <v>340</v>
      </c>
      <c r="BO803" t="s">
        <v>550</v>
      </c>
      <c r="BP803" t="s">
        <v>77</v>
      </c>
      <c r="BR803" t="s">
        <v>63</v>
      </c>
      <c r="BT803">
        <v>26</v>
      </c>
      <c r="BU803">
        <v>26</v>
      </c>
      <c r="BV803">
        <v>3</v>
      </c>
      <c r="BW803">
        <f>BV803*SQRT(AK803)</f>
        <v>12.727922061357855</v>
      </c>
      <c r="BX803">
        <v>50</v>
      </c>
      <c r="BY803">
        <v>50</v>
      </c>
      <c r="BZ803">
        <v>12</v>
      </c>
      <c r="CA803">
        <f>BZ803*SQRT(AL803)</f>
        <v>50.911688245431421</v>
      </c>
      <c r="CB803">
        <v>42</v>
      </c>
      <c r="CC803">
        <v>18</v>
      </c>
      <c r="CD803">
        <v>-0.65400000000000003</v>
      </c>
      <c r="CE803">
        <v>7.0900000000000005E-2</v>
      </c>
    </row>
    <row r="804" spans="4:83" hidden="1" x14ac:dyDescent="0.2">
      <c r="D804">
        <v>54</v>
      </c>
      <c r="G804" t="s">
        <v>43</v>
      </c>
      <c r="H804" t="s">
        <v>547</v>
      </c>
      <c r="J804">
        <v>2014</v>
      </c>
      <c r="M804" t="s">
        <v>45</v>
      </c>
      <c r="T804" t="s">
        <v>68</v>
      </c>
      <c r="U804" t="s">
        <v>548</v>
      </c>
      <c r="V804" t="s">
        <v>549</v>
      </c>
      <c r="Z804" t="s">
        <v>475</v>
      </c>
      <c r="AA804" t="s">
        <v>475</v>
      </c>
      <c r="AB804" t="s">
        <v>50</v>
      </c>
      <c r="AC804" t="s">
        <v>51</v>
      </c>
      <c r="AD804" t="s">
        <v>52</v>
      </c>
      <c r="AE804" t="s">
        <v>53</v>
      </c>
      <c r="AF804" t="s">
        <v>52</v>
      </c>
      <c r="AG804" t="s">
        <v>54</v>
      </c>
      <c r="AH804" t="s">
        <v>55</v>
      </c>
      <c r="AK804">
        <v>18</v>
      </c>
      <c r="AL804">
        <v>15</v>
      </c>
      <c r="AN804">
        <v>371</v>
      </c>
      <c r="AO804">
        <v>13</v>
      </c>
      <c r="AP804" t="s">
        <v>56</v>
      </c>
      <c r="AQ804" t="s">
        <v>56</v>
      </c>
      <c r="AR804">
        <v>8.11</v>
      </c>
      <c r="AS804">
        <v>0.01</v>
      </c>
      <c r="AT804" t="s">
        <v>56</v>
      </c>
      <c r="AU804">
        <v>994</v>
      </c>
      <c r="AV804">
        <v>70</v>
      </c>
      <c r="AW804" t="s">
        <v>56</v>
      </c>
      <c r="AX804">
        <v>7.81</v>
      </c>
      <c r="AY804">
        <v>0.02</v>
      </c>
      <c r="AZ804" t="s">
        <v>56</v>
      </c>
      <c r="BB804">
        <f>LOG(AU804)</f>
        <v>2.9973863843973132</v>
      </c>
      <c r="BC804">
        <v>1.4</v>
      </c>
      <c r="BD804">
        <v>0</v>
      </c>
      <c r="BE804" t="s">
        <v>56</v>
      </c>
      <c r="BF804">
        <v>1.3</v>
      </c>
      <c r="BG804">
        <v>0</v>
      </c>
      <c r="BH804" t="s">
        <v>56</v>
      </c>
      <c r="BI804">
        <v>623</v>
      </c>
      <c r="BJ804">
        <v>0</v>
      </c>
      <c r="BK804" t="s">
        <v>56</v>
      </c>
      <c r="BL804" t="s">
        <v>551</v>
      </c>
      <c r="BM804" t="s">
        <v>502</v>
      </c>
      <c r="BN804" t="s">
        <v>81</v>
      </c>
      <c r="BO804" t="s">
        <v>552</v>
      </c>
      <c r="BP804" t="s">
        <v>77</v>
      </c>
      <c r="BR804" t="s">
        <v>63</v>
      </c>
      <c r="BT804">
        <v>3.07</v>
      </c>
      <c r="BU804">
        <v>3.0681319999999999</v>
      </c>
      <c r="BV804">
        <v>0.52</v>
      </c>
      <c r="BW804">
        <f>BV804*SQRT(AK804)</f>
        <v>2.206173157302028</v>
      </c>
      <c r="BX804">
        <v>2.12</v>
      </c>
      <c r="BY804">
        <v>2.1186813</v>
      </c>
      <c r="BZ804">
        <v>0.33</v>
      </c>
      <c r="CA804">
        <f>BZ804*SQRT(AL804)</f>
        <v>1.2780845042484477</v>
      </c>
      <c r="CB804">
        <v>42</v>
      </c>
      <c r="CC804">
        <v>18</v>
      </c>
      <c r="CD804">
        <v>-0.37</v>
      </c>
      <c r="CE804">
        <v>5.3400000000000003E-2</v>
      </c>
    </row>
    <row r="805" spans="4:83" hidden="1" x14ac:dyDescent="0.2">
      <c r="D805">
        <v>54</v>
      </c>
      <c r="G805" t="s">
        <v>43</v>
      </c>
      <c r="H805" t="s">
        <v>547</v>
      </c>
      <c r="J805">
        <v>2014</v>
      </c>
      <c r="M805" t="s">
        <v>45</v>
      </c>
      <c r="T805" t="s">
        <v>68</v>
      </c>
      <c r="U805" t="s">
        <v>548</v>
      </c>
      <c r="V805" t="s">
        <v>549</v>
      </c>
      <c r="Z805" t="s">
        <v>475</v>
      </c>
      <c r="AA805" t="s">
        <v>475</v>
      </c>
      <c r="AB805" t="s">
        <v>50</v>
      </c>
      <c r="AC805" t="s">
        <v>51</v>
      </c>
      <c r="AD805" t="s">
        <v>52</v>
      </c>
      <c r="AE805" t="s">
        <v>53</v>
      </c>
      <c r="AF805" t="s">
        <v>54</v>
      </c>
      <c r="AG805" t="s">
        <v>52</v>
      </c>
      <c r="AH805" t="s">
        <v>65</v>
      </c>
      <c r="AK805">
        <v>18</v>
      </c>
      <c r="AL805">
        <v>16</v>
      </c>
      <c r="AN805">
        <v>371</v>
      </c>
      <c r="AO805">
        <v>13</v>
      </c>
      <c r="AP805" t="s">
        <v>56</v>
      </c>
      <c r="AQ805" t="s">
        <v>56</v>
      </c>
      <c r="AR805">
        <v>8.11</v>
      </c>
      <c r="AS805">
        <v>0.01</v>
      </c>
      <c r="AT805" t="s">
        <v>56</v>
      </c>
      <c r="AU805">
        <v>455</v>
      </c>
      <c r="AV805">
        <v>16</v>
      </c>
      <c r="AW805" t="s">
        <v>56</v>
      </c>
      <c r="AX805">
        <v>8.0299999999999994</v>
      </c>
      <c r="AY805">
        <v>0.01</v>
      </c>
      <c r="AZ805" t="s">
        <v>56</v>
      </c>
      <c r="BB805">
        <f>LOG(AU805)</f>
        <v>2.6580113966571126</v>
      </c>
      <c r="BC805">
        <v>1.4</v>
      </c>
      <c r="BD805">
        <v>0</v>
      </c>
      <c r="BE805" t="s">
        <v>56</v>
      </c>
      <c r="BF805">
        <v>3.4</v>
      </c>
      <c r="BG805">
        <v>0</v>
      </c>
      <c r="BH805" t="s">
        <v>56</v>
      </c>
      <c r="BI805">
        <v>84</v>
      </c>
      <c r="BJ805">
        <v>2.1</v>
      </c>
      <c r="BK805" t="s">
        <v>56</v>
      </c>
      <c r="BL805" t="s">
        <v>551</v>
      </c>
      <c r="BM805" t="s">
        <v>502</v>
      </c>
      <c r="BN805" t="s">
        <v>81</v>
      </c>
      <c r="BO805" t="s">
        <v>552</v>
      </c>
      <c r="BP805" t="s">
        <v>77</v>
      </c>
      <c r="BR805" t="s">
        <v>63</v>
      </c>
      <c r="BT805">
        <v>3.07</v>
      </c>
      <c r="BU805">
        <v>3.0681319999999999</v>
      </c>
      <c r="BV805">
        <v>0.52</v>
      </c>
      <c r="BW805">
        <f>BV805*SQRT(AK805)</f>
        <v>2.206173157302028</v>
      </c>
      <c r="BX805">
        <v>2.37</v>
      </c>
      <c r="BY805">
        <v>2.3736264</v>
      </c>
      <c r="BZ805">
        <v>0.62</v>
      </c>
      <c r="CA805">
        <f>BZ805*SQRT(AL805)</f>
        <v>2.48</v>
      </c>
      <c r="CB805">
        <v>42</v>
      </c>
      <c r="CC805">
        <v>18</v>
      </c>
      <c r="CD805">
        <v>-0.25700000000000001</v>
      </c>
      <c r="CE805">
        <v>9.5799999999999996E-2</v>
      </c>
    </row>
    <row r="806" spans="4:83" hidden="1" x14ac:dyDescent="0.2">
      <c r="D806">
        <v>54</v>
      </c>
      <c r="G806" t="s">
        <v>43</v>
      </c>
      <c r="H806" t="s">
        <v>547</v>
      </c>
      <c r="J806">
        <v>2014</v>
      </c>
      <c r="M806" t="s">
        <v>45</v>
      </c>
      <c r="T806" t="s">
        <v>68</v>
      </c>
      <c r="U806" t="s">
        <v>553</v>
      </c>
      <c r="V806" t="s">
        <v>554</v>
      </c>
      <c r="Z806" t="s">
        <v>475</v>
      </c>
      <c r="AA806" t="s">
        <v>475</v>
      </c>
      <c r="AB806" t="s">
        <v>50</v>
      </c>
      <c r="AC806" t="s">
        <v>51</v>
      </c>
      <c r="AD806" t="s">
        <v>52</v>
      </c>
      <c r="AE806" t="s">
        <v>53</v>
      </c>
      <c r="AF806" t="s">
        <v>54</v>
      </c>
      <c r="AG806" t="s">
        <v>52</v>
      </c>
      <c r="AH806" t="s">
        <v>65</v>
      </c>
      <c r="AK806">
        <v>5</v>
      </c>
      <c r="AL806">
        <v>18</v>
      </c>
      <c r="AN806">
        <v>371</v>
      </c>
      <c r="AO806">
        <v>13</v>
      </c>
      <c r="AP806" t="s">
        <v>56</v>
      </c>
      <c r="AQ806" t="s">
        <v>56</v>
      </c>
      <c r="AR806">
        <v>8.11</v>
      </c>
      <c r="AS806">
        <v>0.01</v>
      </c>
      <c r="AT806" t="s">
        <v>56</v>
      </c>
      <c r="AU806">
        <v>455</v>
      </c>
      <c r="AV806">
        <v>16</v>
      </c>
      <c r="AW806" t="s">
        <v>56</v>
      </c>
      <c r="AX806">
        <v>8.0299999999999994</v>
      </c>
      <c r="AY806">
        <v>0.01</v>
      </c>
      <c r="AZ806" t="s">
        <v>56</v>
      </c>
      <c r="BB806">
        <f>LOG(AU806)</f>
        <v>2.6580113966571126</v>
      </c>
      <c r="BC806">
        <v>1.4</v>
      </c>
      <c r="BD806">
        <v>0</v>
      </c>
      <c r="BE806" t="s">
        <v>56</v>
      </c>
      <c r="BF806">
        <v>3.4</v>
      </c>
      <c r="BG806">
        <v>0</v>
      </c>
      <c r="BH806" t="s">
        <v>56</v>
      </c>
      <c r="BI806">
        <v>84</v>
      </c>
      <c r="BJ806">
        <v>2.1</v>
      </c>
      <c r="BK806" t="s">
        <v>56</v>
      </c>
      <c r="BL806" t="s">
        <v>551</v>
      </c>
      <c r="BM806" t="s">
        <v>502</v>
      </c>
      <c r="BN806" t="s">
        <v>81</v>
      </c>
      <c r="BO806" t="s">
        <v>552</v>
      </c>
      <c r="BP806" t="s">
        <v>77</v>
      </c>
      <c r="BR806" t="s">
        <v>63</v>
      </c>
      <c r="BT806">
        <v>0.32</v>
      </c>
      <c r="BU806">
        <v>0.31608399999999998</v>
      </c>
      <c r="BV806">
        <v>0.04</v>
      </c>
      <c r="BW806">
        <f>BV806*SQRT(AK806)</f>
        <v>8.9442719099991588E-2</v>
      </c>
      <c r="BX806">
        <v>0.27</v>
      </c>
      <c r="BY806">
        <v>0.26993010000000001</v>
      </c>
      <c r="BZ806">
        <v>0.03</v>
      </c>
      <c r="CA806">
        <f>BZ806*SQRT(AL806)</f>
        <v>0.12727922061357855</v>
      </c>
      <c r="CB806">
        <v>42</v>
      </c>
      <c r="CC806">
        <v>18</v>
      </c>
      <c r="CD806">
        <v>-0.158</v>
      </c>
      <c r="CE806">
        <v>3.5499999999999997E-2</v>
      </c>
    </row>
    <row r="807" spans="4:83" hidden="1" x14ac:dyDescent="0.2">
      <c r="D807">
        <v>54</v>
      </c>
      <c r="G807" t="s">
        <v>43</v>
      </c>
      <c r="H807" t="s">
        <v>547</v>
      </c>
      <c r="J807">
        <v>2014</v>
      </c>
      <c r="M807" t="s">
        <v>45</v>
      </c>
      <c r="T807" t="s">
        <v>68</v>
      </c>
      <c r="U807" t="s">
        <v>548</v>
      </c>
      <c r="V807" t="s">
        <v>549</v>
      </c>
      <c r="Z807" t="s">
        <v>475</v>
      </c>
      <c r="AA807" t="s">
        <v>475</v>
      </c>
      <c r="AB807" t="s">
        <v>50</v>
      </c>
      <c r="AC807" t="s">
        <v>51</v>
      </c>
      <c r="AD807" t="s">
        <v>52</v>
      </c>
      <c r="AE807" t="s">
        <v>53</v>
      </c>
      <c r="AF807" t="s">
        <v>52</v>
      </c>
      <c r="AG807" t="s">
        <v>52</v>
      </c>
      <c r="AH807" t="s">
        <v>64</v>
      </c>
      <c r="AK807">
        <v>18</v>
      </c>
      <c r="AL807">
        <v>14</v>
      </c>
      <c r="AN807">
        <v>371</v>
      </c>
      <c r="AO807">
        <v>13</v>
      </c>
      <c r="AP807" t="s">
        <v>56</v>
      </c>
      <c r="AQ807" t="s">
        <v>56</v>
      </c>
      <c r="AR807">
        <v>8.11</v>
      </c>
      <c r="AS807">
        <v>0.01</v>
      </c>
      <c r="AT807" t="s">
        <v>56</v>
      </c>
      <c r="AU807">
        <v>922</v>
      </c>
      <c r="AV807">
        <v>64</v>
      </c>
      <c r="AW807" t="s">
        <v>56</v>
      </c>
      <c r="AX807">
        <v>7.79</v>
      </c>
      <c r="AY807">
        <v>0.02</v>
      </c>
      <c r="AZ807" t="s">
        <v>56</v>
      </c>
      <c r="BB807">
        <f>LOG(AU807)</f>
        <v>2.9647309210536292</v>
      </c>
      <c r="BC807">
        <v>1.4</v>
      </c>
      <c r="BD807">
        <v>0</v>
      </c>
      <c r="BE807" t="s">
        <v>56</v>
      </c>
      <c r="BF807">
        <v>3.4</v>
      </c>
      <c r="BG807">
        <v>0</v>
      </c>
      <c r="BH807" t="s">
        <v>56</v>
      </c>
      <c r="BI807">
        <v>551</v>
      </c>
      <c r="BJ807">
        <v>2.1</v>
      </c>
      <c r="BK807" t="s">
        <v>56</v>
      </c>
      <c r="BL807" t="s">
        <v>551</v>
      </c>
      <c r="BM807" t="s">
        <v>502</v>
      </c>
      <c r="BN807" t="s">
        <v>81</v>
      </c>
      <c r="BO807" t="s">
        <v>552</v>
      </c>
      <c r="BP807" t="s">
        <v>77</v>
      </c>
      <c r="BR807" t="s">
        <v>63</v>
      </c>
      <c r="BT807">
        <v>3.07</v>
      </c>
      <c r="BU807">
        <v>3.0681319999999999</v>
      </c>
      <c r="BV807">
        <v>0.52</v>
      </c>
      <c r="BW807">
        <f>BV807*SQRT(AK807)</f>
        <v>2.206173157302028</v>
      </c>
      <c r="BX807">
        <v>3.37</v>
      </c>
      <c r="BY807">
        <v>3.3670330000000002</v>
      </c>
      <c r="BZ807">
        <v>0.64</v>
      </c>
      <c r="CA807">
        <f>BZ807*SQRT(AL807)</f>
        <v>2.3946607275353227</v>
      </c>
      <c r="CB807">
        <v>42</v>
      </c>
      <c r="CC807">
        <v>18</v>
      </c>
      <c r="CD807">
        <v>9.2999999999999999E-2</v>
      </c>
      <c r="CE807">
        <v>6.4899999999999999E-2</v>
      </c>
    </row>
    <row r="808" spans="4:83" hidden="1" x14ac:dyDescent="0.2">
      <c r="D808">
        <v>54</v>
      </c>
      <c r="G808" t="s">
        <v>43</v>
      </c>
      <c r="H808" t="s">
        <v>547</v>
      </c>
      <c r="J808">
        <v>2014</v>
      </c>
      <c r="M808" t="s">
        <v>45</v>
      </c>
      <c r="T808" t="s">
        <v>68</v>
      </c>
      <c r="U808" t="s">
        <v>553</v>
      </c>
      <c r="V808" t="s">
        <v>554</v>
      </c>
      <c r="Z808" t="s">
        <v>475</v>
      </c>
      <c r="AA808" t="s">
        <v>475</v>
      </c>
      <c r="AB808" t="s">
        <v>50</v>
      </c>
      <c r="AC808" t="s">
        <v>51</v>
      </c>
      <c r="AD808" t="s">
        <v>52</v>
      </c>
      <c r="AE808" t="s">
        <v>53</v>
      </c>
      <c r="AF808" t="s">
        <v>52</v>
      </c>
      <c r="AG808" t="s">
        <v>52</v>
      </c>
      <c r="AH808" t="s">
        <v>64</v>
      </c>
      <c r="AK808">
        <v>5</v>
      </c>
      <c r="AL808">
        <v>18</v>
      </c>
      <c r="AN808">
        <v>371</v>
      </c>
      <c r="AO808">
        <v>13</v>
      </c>
      <c r="AP808" t="s">
        <v>56</v>
      </c>
      <c r="AQ808" t="s">
        <v>56</v>
      </c>
      <c r="AR808">
        <v>8.11</v>
      </c>
      <c r="AS808">
        <v>0.01</v>
      </c>
      <c r="AT808" t="s">
        <v>56</v>
      </c>
      <c r="AU808">
        <v>922</v>
      </c>
      <c r="AV808">
        <v>64</v>
      </c>
      <c r="AW808" t="s">
        <v>56</v>
      </c>
      <c r="AX808">
        <v>7.79</v>
      </c>
      <c r="AY808">
        <v>0.02</v>
      </c>
      <c r="AZ808" t="s">
        <v>56</v>
      </c>
      <c r="BB808">
        <f>LOG(AU808)</f>
        <v>2.9647309210536292</v>
      </c>
      <c r="BC808">
        <v>1.4</v>
      </c>
      <c r="BD808">
        <v>0</v>
      </c>
      <c r="BE808" t="s">
        <v>56</v>
      </c>
      <c r="BF808">
        <v>3.4</v>
      </c>
      <c r="BG808">
        <v>0</v>
      </c>
      <c r="BH808" t="s">
        <v>56</v>
      </c>
      <c r="BI808">
        <v>551</v>
      </c>
      <c r="BJ808">
        <v>2.1</v>
      </c>
      <c r="BK808" t="s">
        <v>56</v>
      </c>
      <c r="BL808" t="s">
        <v>551</v>
      </c>
      <c r="BM808" t="s">
        <v>502</v>
      </c>
      <c r="BN808" t="s">
        <v>81</v>
      </c>
      <c r="BO808" t="s">
        <v>552</v>
      </c>
      <c r="BP808" t="s">
        <v>77</v>
      </c>
      <c r="BR808" t="s">
        <v>63</v>
      </c>
      <c r="BT808">
        <v>0.32</v>
      </c>
      <c r="BU808">
        <v>0.31608399999999998</v>
      </c>
      <c r="BV808">
        <v>0.04</v>
      </c>
      <c r="BW808">
        <f>BV808*SQRT(AK808)</f>
        <v>8.9442719099991588E-2</v>
      </c>
      <c r="BX808">
        <v>0.36</v>
      </c>
      <c r="BY808">
        <v>0.3566434</v>
      </c>
      <c r="BZ808">
        <v>0.04</v>
      </c>
      <c r="CA808">
        <f>BZ808*SQRT(AL808)</f>
        <v>0.16970562748477139</v>
      </c>
      <c r="CB808">
        <v>42</v>
      </c>
      <c r="CC808">
        <v>18</v>
      </c>
      <c r="CD808">
        <v>0.121</v>
      </c>
      <c r="CE808">
        <v>3.39E-2</v>
      </c>
    </row>
    <row r="809" spans="4:83" hidden="1" x14ac:dyDescent="0.2">
      <c r="D809">
        <v>54</v>
      </c>
      <c r="G809" t="s">
        <v>43</v>
      </c>
      <c r="H809" t="s">
        <v>547</v>
      </c>
      <c r="J809">
        <v>2014</v>
      </c>
      <c r="M809" t="s">
        <v>45</v>
      </c>
      <c r="T809" t="s">
        <v>68</v>
      </c>
      <c r="U809" t="s">
        <v>553</v>
      </c>
      <c r="V809" t="s">
        <v>554</v>
      </c>
      <c r="Z809" t="s">
        <v>475</v>
      </c>
      <c r="AA809" t="s">
        <v>475</v>
      </c>
      <c r="AB809" t="s">
        <v>50</v>
      </c>
      <c r="AC809" t="s">
        <v>51</v>
      </c>
      <c r="AD809" t="s">
        <v>52</v>
      </c>
      <c r="AE809" t="s">
        <v>53</v>
      </c>
      <c r="AF809" t="s">
        <v>52</v>
      </c>
      <c r="AG809" t="s">
        <v>54</v>
      </c>
      <c r="AH809" t="s">
        <v>55</v>
      </c>
      <c r="AK809">
        <v>5</v>
      </c>
      <c r="AL809">
        <v>16</v>
      </c>
      <c r="AN809">
        <v>371</v>
      </c>
      <c r="AO809">
        <v>13</v>
      </c>
      <c r="AP809" t="s">
        <v>56</v>
      </c>
      <c r="AQ809" t="s">
        <v>56</v>
      </c>
      <c r="AR809">
        <v>8.11</v>
      </c>
      <c r="AS809">
        <v>0.01</v>
      </c>
      <c r="AT809" t="s">
        <v>56</v>
      </c>
      <c r="AU809">
        <v>994</v>
      </c>
      <c r="AV809">
        <v>70</v>
      </c>
      <c r="AW809" t="s">
        <v>56</v>
      </c>
      <c r="AX809">
        <v>7.81</v>
      </c>
      <c r="AY809">
        <v>0.02</v>
      </c>
      <c r="AZ809" t="s">
        <v>56</v>
      </c>
      <c r="BB809">
        <f>LOG(AU809)</f>
        <v>2.9973863843973132</v>
      </c>
      <c r="BC809">
        <v>1.4</v>
      </c>
      <c r="BD809">
        <v>0</v>
      </c>
      <c r="BE809" t="s">
        <v>56</v>
      </c>
      <c r="BF809">
        <v>1.3</v>
      </c>
      <c r="BG809">
        <v>0</v>
      </c>
      <c r="BH809" t="s">
        <v>56</v>
      </c>
      <c r="BI809">
        <v>623</v>
      </c>
      <c r="BJ809">
        <v>0</v>
      </c>
      <c r="BK809" t="s">
        <v>56</v>
      </c>
      <c r="BL809" t="s">
        <v>551</v>
      </c>
      <c r="BM809" t="s">
        <v>502</v>
      </c>
      <c r="BN809" t="s">
        <v>81</v>
      </c>
      <c r="BO809" t="s">
        <v>552</v>
      </c>
      <c r="BP809" t="s">
        <v>77</v>
      </c>
      <c r="BR809" t="s">
        <v>63</v>
      </c>
      <c r="BT809">
        <v>0.32</v>
      </c>
      <c r="BU809">
        <v>0.31608399999999998</v>
      </c>
      <c r="BV809">
        <v>0.04</v>
      </c>
      <c r="BW809">
        <f>BV809*SQRT(AK809)</f>
        <v>8.9442719099991588E-2</v>
      </c>
      <c r="BX809">
        <v>0.39</v>
      </c>
      <c r="BY809">
        <v>0.3902098</v>
      </c>
      <c r="BZ809">
        <v>0.04</v>
      </c>
      <c r="CA809">
        <f>BZ809*SQRT(AL809)</f>
        <v>0.16</v>
      </c>
      <c r="CB809">
        <v>42</v>
      </c>
      <c r="CC809">
        <v>18</v>
      </c>
      <c r="CD809">
        <v>0.21099999999999999</v>
      </c>
      <c r="CE809">
        <v>3.1600000000000003E-2</v>
      </c>
    </row>
    <row r="810" spans="4:83" hidden="1" x14ac:dyDescent="0.2">
      <c r="D810">
        <v>55</v>
      </c>
      <c r="G810" t="s">
        <v>43</v>
      </c>
      <c r="H810" t="s">
        <v>555</v>
      </c>
      <c r="J810">
        <v>2014</v>
      </c>
      <c r="M810" t="s">
        <v>67</v>
      </c>
      <c r="T810" t="s">
        <v>68</v>
      </c>
      <c r="U810" t="s">
        <v>428</v>
      </c>
      <c r="V810" t="s">
        <v>556</v>
      </c>
      <c r="Z810" t="s">
        <v>49</v>
      </c>
      <c r="AA810" t="s">
        <v>49</v>
      </c>
      <c r="AB810" t="s">
        <v>50</v>
      </c>
      <c r="AC810" t="s">
        <v>51</v>
      </c>
      <c r="AD810" t="s">
        <v>52</v>
      </c>
      <c r="AE810" t="s">
        <v>53</v>
      </c>
      <c r="AF810" t="s">
        <v>52</v>
      </c>
      <c r="AG810" t="s">
        <v>52</v>
      </c>
      <c r="AH810" t="s">
        <v>64</v>
      </c>
      <c r="AK810">
        <v>9</v>
      </c>
      <c r="AL810">
        <v>9</v>
      </c>
      <c r="AM810" t="s">
        <v>557</v>
      </c>
      <c r="AN810">
        <v>365</v>
      </c>
      <c r="AO810" t="s">
        <v>56</v>
      </c>
      <c r="AP810">
        <v>69</v>
      </c>
      <c r="AQ810" t="s">
        <v>57</v>
      </c>
      <c r="AR810">
        <v>8.19</v>
      </c>
      <c r="AS810" t="s">
        <v>56</v>
      </c>
      <c r="AT810">
        <v>7.0000000000000007E-2</v>
      </c>
      <c r="AU810">
        <v>1155</v>
      </c>
      <c r="AV810" t="s">
        <v>56</v>
      </c>
      <c r="AW810">
        <v>247</v>
      </c>
      <c r="AX810">
        <v>7.87</v>
      </c>
      <c r="AY810" t="s">
        <v>56</v>
      </c>
      <c r="AZ810">
        <v>7.0000000000000007E-2</v>
      </c>
      <c r="BB810">
        <f>LOG(AU810)</f>
        <v>3.0625819842281632</v>
      </c>
      <c r="BC810">
        <v>9.6999999999999993</v>
      </c>
      <c r="BD810" t="s">
        <v>56</v>
      </c>
      <c r="BE810">
        <v>0.4</v>
      </c>
      <c r="BF810">
        <v>19.8</v>
      </c>
      <c r="BG810" t="s">
        <v>56</v>
      </c>
      <c r="BH810">
        <v>0.2</v>
      </c>
      <c r="BI810">
        <v>790</v>
      </c>
      <c r="BJ810">
        <v>10.1</v>
      </c>
      <c r="BK810" t="s">
        <v>56</v>
      </c>
      <c r="BL810" t="s">
        <v>365</v>
      </c>
      <c r="BM810" t="s">
        <v>365</v>
      </c>
      <c r="BN810" t="s">
        <v>81</v>
      </c>
      <c r="BO810" t="s">
        <v>56</v>
      </c>
      <c r="BP810" t="s">
        <v>92</v>
      </c>
      <c r="BR810" t="s">
        <v>63</v>
      </c>
      <c r="BT810">
        <v>13.6</v>
      </c>
      <c r="BU810">
        <v>13.6</v>
      </c>
      <c r="BV810">
        <v>0.53</v>
      </c>
      <c r="BW810">
        <f>BV810*SQRT(AK810)</f>
        <v>1.59</v>
      </c>
      <c r="BX810">
        <v>11.7</v>
      </c>
      <c r="BY810">
        <v>11.7</v>
      </c>
      <c r="BZ810">
        <v>0.5</v>
      </c>
      <c r="CA810">
        <f>BZ810*SQRT(AL810)</f>
        <v>1.5</v>
      </c>
      <c r="CB810">
        <v>50</v>
      </c>
      <c r="CC810">
        <v>2</v>
      </c>
      <c r="CD810">
        <v>-0.15</v>
      </c>
      <c r="CE810">
        <v>3.3999999999999998E-3</v>
      </c>
    </row>
    <row r="811" spans="4:83" hidden="1" x14ac:dyDescent="0.2">
      <c r="D811">
        <v>55</v>
      </c>
      <c r="G811" t="s">
        <v>43</v>
      </c>
      <c r="H811" t="s">
        <v>555</v>
      </c>
      <c r="J811">
        <v>2014</v>
      </c>
      <c r="M811" t="s">
        <v>67</v>
      </c>
      <c r="T811" t="s">
        <v>68</v>
      </c>
      <c r="U811" t="s">
        <v>428</v>
      </c>
      <c r="V811" t="s">
        <v>556</v>
      </c>
      <c r="Z811" t="s">
        <v>49</v>
      </c>
      <c r="AA811" t="s">
        <v>49</v>
      </c>
      <c r="AB811" t="s">
        <v>50</v>
      </c>
      <c r="AC811" t="s">
        <v>51</v>
      </c>
      <c r="AD811" t="s">
        <v>52</v>
      </c>
      <c r="AE811" t="s">
        <v>53</v>
      </c>
      <c r="AF811" t="s">
        <v>54</v>
      </c>
      <c r="AG811" t="s">
        <v>52</v>
      </c>
      <c r="AH811" t="s">
        <v>65</v>
      </c>
      <c r="AK811">
        <v>9</v>
      </c>
      <c r="AL811">
        <v>9</v>
      </c>
      <c r="AM811" t="s">
        <v>557</v>
      </c>
      <c r="AN811">
        <v>365</v>
      </c>
      <c r="AO811" t="s">
        <v>56</v>
      </c>
      <c r="AP811">
        <v>69</v>
      </c>
      <c r="AQ811" t="s">
        <v>57</v>
      </c>
      <c r="AR811">
        <v>8.19</v>
      </c>
      <c r="AS811" t="s">
        <v>56</v>
      </c>
      <c r="AT811">
        <v>7.0000000000000007E-2</v>
      </c>
      <c r="AU811">
        <v>444</v>
      </c>
      <c r="AV811" t="s">
        <v>56</v>
      </c>
      <c r="AW811">
        <v>39</v>
      </c>
      <c r="AX811">
        <v>8.15</v>
      </c>
      <c r="AY811" t="s">
        <v>56</v>
      </c>
      <c r="AZ811">
        <v>0.03</v>
      </c>
      <c r="BB811">
        <f>LOG(AU811)</f>
        <v>2.6473829701146196</v>
      </c>
      <c r="BC811">
        <v>9.6999999999999993</v>
      </c>
      <c r="BD811" t="s">
        <v>56</v>
      </c>
      <c r="BE811">
        <v>0.4</v>
      </c>
      <c r="BF811">
        <v>19.5</v>
      </c>
      <c r="BG811" t="s">
        <v>56</v>
      </c>
      <c r="BH811">
        <v>0.3</v>
      </c>
      <c r="BI811">
        <v>79</v>
      </c>
      <c r="BJ811">
        <v>9.8000000000000007</v>
      </c>
      <c r="BK811" t="s">
        <v>56</v>
      </c>
      <c r="BL811" t="s">
        <v>365</v>
      </c>
      <c r="BM811" t="s">
        <v>365</v>
      </c>
      <c r="BN811" t="s">
        <v>81</v>
      </c>
      <c r="BO811" t="s">
        <v>56</v>
      </c>
      <c r="BP811" t="s">
        <v>92</v>
      </c>
      <c r="BR811" t="s">
        <v>63</v>
      </c>
      <c r="BT811">
        <v>13.6</v>
      </c>
      <c r="BU811">
        <v>13.6</v>
      </c>
      <c r="BV811">
        <v>0.53</v>
      </c>
      <c r="BW811">
        <f>BV811*SQRT(AK811)</f>
        <v>1.59</v>
      </c>
      <c r="BX811">
        <v>13</v>
      </c>
      <c r="BY811">
        <v>13</v>
      </c>
      <c r="BZ811">
        <v>0.33</v>
      </c>
      <c r="CA811">
        <f>BZ811*SQRT(AL811)</f>
        <v>0.99</v>
      </c>
      <c r="CB811">
        <v>50</v>
      </c>
      <c r="CC811">
        <v>2</v>
      </c>
      <c r="CD811">
        <v>-4.4999999999999998E-2</v>
      </c>
      <c r="CE811">
        <v>2.2000000000000001E-3</v>
      </c>
    </row>
    <row r="812" spans="4:83" hidden="1" x14ac:dyDescent="0.2">
      <c r="D812">
        <v>55</v>
      </c>
      <c r="G812" t="s">
        <v>43</v>
      </c>
      <c r="H812" t="s">
        <v>555</v>
      </c>
      <c r="J812">
        <v>2014</v>
      </c>
      <c r="M812" t="s">
        <v>67</v>
      </c>
      <c r="T812" t="s">
        <v>68</v>
      </c>
      <c r="U812" t="s">
        <v>428</v>
      </c>
      <c r="V812" t="s">
        <v>556</v>
      </c>
      <c r="Z812" t="s">
        <v>49</v>
      </c>
      <c r="AA812" t="s">
        <v>49</v>
      </c>
      <c r="AB812" t="s">
        <v>50</v>
      </c>
      <c r="AC812" t="s">
        <v>51</v>
      </c>
      <c r="AD812" t="s">
        <v>52</v>
      </c>
      <c r="AE812" t="s">
        <v>53</v>
      </c>
      <c r="AF812" t="s">
        <v>52</v>
      </c>
      <c r="AG812" t="s">
        <v>54</v>
      </c>
      <c r="AH812" t="s">
        <v>55</v>
      </c>
      <c r="AK812">
        <v>8</v>
      </c>
      <c r="AL812">
        <v>5</v>
      </c>
      <c r="AM812" t="s">
        <v>557</v>
      </c>
      <c r="AN812">
        <v>365</v>
      </c>
      <c r="AO812" t="s">
        <v>56</v>
      </c>
      <c r="AP812">
        <v>69</v>
      </c>
      <c r="AQ812" t="s">
        <v>57</v>
      </c>
      <c r="AR812">
        <v>8.19</v>
      </c>
      <c r="AS812" t="s">
        <v>56</v>
      </c>
      <c r="AT812">
        <v>7.0000000000000007E-2</v>
      </c>
      <c r="AU812">
        <v>1046</v>
      </c>
      <c r="AV812" t="s">
        <v>56</v>
      </c>
      <c r="AW812">
        <v>227</v>
      </c>
      <c r="AX812">
        <v>7.8</v>
      </c>
      <c r="AY812" t="s">
        <v>56</v>
      </c>
      <c r="AZ812">
        <v>0.1</v>
      </c>
      <c r="BB812">
        <f>LOG(AU812)</f>
        <v>3.0195316845312554</v>
      </c>
      <c r="BC812">
        <v>9.6999999999999993</v>
      </c>
      <c r="BD812" t="s">
        <v>56</v>
      </c>
      <c r="BE812">
        <v>0.4</v>
      </c>
      <c r="BF812">
        <v>9.6</v>
      </c>
      <c r="BG812" t="s">
        <v>56</v>
      </c>
      <c r="BH812">
        <v>0.5</v>
      </c>
      <c r="BI812">
        <v>681</v>
      </c>
      <c r="BJ812">
        <v>-0.1</v>
      </c>
      <c r="BK812" t="s">
        <v>56</v>
      </c>
      <c r="BL812" t="s">
        <v>558</v>
      </c>
      <c r="BM812" t="s">
        <v>454</v>
      </c>
      <c r="BN812" t="s">
        <v>60</v>
      </c>
      <c r="BO812" t="s">
        <v>56</v>
      </c>
      <c r="BP812" t="s">
        <v>194</v>
      </c>
      <c r="BR812" t="s">
        <v>63</v>
      </c>
      <c r="BT812">
        <v>7.52</v>
      </c>
      <c r="BU812">
        <v>7.52</v>
      </c>
      <c r="BV812">
        <v>0.03</v>
      </c>
      <c r="BW812">
        <f>BV812*SQRT(AK812)</f>
        <v>8.4852813742385708E-2</v>
      </c>
      <c r="BX812">
        <v>7.31</v>
      </c>
      <c r="BY812">
        <v>7.31</v>
      </c>
      <c r="BZ812">
        <v>0.03</v>
      </c>
      <c r="CA812">
        <f>BZ812*SQRT(AL812)</f>
        <v>6.7082039324993695E-2</v>
      </c>
      <c r="CB812">
        <v>50</v>
      </c>
      <c r="CC812">
        <v>2</v>
      </c>
      <c r="CD812">
        <v>-2.8000000000000001E-2</v>
      </c>
      <c r="CE812">
        <v>1E-4</v>
      </c>
    </row>
    <row r="813" spans="4:83" hidden="1" x14ac:dyDescent="0.2">
      <c r="D813">
        <v>55</v>
      </c>
      <c r="G813" t="s">
        <v>43</v>
      </c>
      <c r="H813" t="s">
        <v>555</v>
      </c>
      <c r="J813">
        <v>2014</v>
      </c>
      <c r="M813" t="s">
        <v>67</v>
      </c>
      <c r="T813" t="s">
        <v>68</v>
      </c>
      <c r="U813" t="s">
        <v>428</v>
      </c>
      <c r="V813" t="s">
        <v>556</v>
      </c>
      <c r="Z813" t="s">
        <v>49</v>
      </c>
      <c r="AA813" t="s">
        <v>49</v>
      </c>
      <c r="AB813" t="s">
        <v>50</v>
      </c>
      <c r="AC813" t="s">
        <v>51</v>
      </c>
      <c r="AD813" t="s">
        <v>52</v>
      </c>
      <c r="AE813" t="s">
        <v>53</v>
      </c>
      <c r="AF813" t="s">
        <v>52</v>
      </c>
      <c r="AG813" t="s">
        <v>52</v>
      </c>
      <c r="AH813" t="s">
        <v>64</v>
      </c>
      <c r="AK813">
        <v>8</v>
      </c>
      <c r="AL813">
        <v>9</v>
      </c>
      <c r="AM813" t="s">
        <v>557</v>
      </c>
      <c r="AN813">
        <v>365</v>
      </c>
      <c r="AO813" t="s">
        <v>56</v>
      </c>
      <c r="AP813">
        <v>69</v>
      </c>
      <c r="AQ813" t="s">
        <v>57</v>
      </c>
      <c r="AR813">
        <v>8.19</v>
      </c>
      <c r="AS813" t="s">
        <v>56</v>
      </c>
      <c r="AT813">
        <v>7.0000000000000007E-2</v>
      </c>
      <c r="AU813">
        <v>1155</v>
      </c>
      <c r="AV813" t="s">
        <v>56</v>
      </c>
      <c r="AW813">
        <v>247</v>
      </c>
      <c r="AX813">
        <v>7.87</v>
      </c>
      <c r="AY813" t="s">
        <v>56</v>
      </c>
      <c r="AZ813">
        <v>7.0000000000000007E-2</v>
      </c>
      <c r="BB813">
        <f>LOG(AU813)</f>
        <v>3.0625819842281632</v>
      </c>
      <c r="BC813">
        <v>9.6999999999999993</v>
      </c>
      <c r="BD813" t="s">
        <v>56</v>
      </c>
      <c r="BE813">
        <v>0.4</v>
      </c>
      <c r="BF813">
        <v>19.8</v>
      </c>
      <c r="BG813" t="s">
        <v>56</v>
      </c>
      <c r="BH813">
        <v>0.2</v>
      </c>
      <c r="BI813">
        <v>790</v>
      </c>
      <c r="BJ813">
        <v>10.1</v>
      </c>
      <c r="BK813" t="s">
        <v>56</v>
      </c>
      <c r="BL813" t="s">
        <v>558</v>
      </c>
      <c r="BM813" t="s">
        <v>454</v>
      </c>
      <c r="BN813" t="s">
        <v>60</v>
      </c>
      <c r="BO813" t="s">
        <v>56</v>
      </c>
      <c r="BP813" t="s">
        <v>194</v>
      </c>
      <c r="BR813" t="s">
        <v>63</v>
      </c>
      <c r="BT813">
        <v>7.52</v>
      </c>
      <c r="BU813">
        <v>7.52</v>
      </c>
      <c r="BV813">
        <v>0.03</v>
      </c>
      <c r="BW813">
        <f>BV813*SQRT(AK813)</f>
        <v>8.4852813742385708E-2</v>
      </c>
      <c r="BX813">
        <v>7.34</v>
      </c>
      <c r="BY813">
        <v>7.34</v>
      </c>
      <c r="BZ813">
        <v>0.04</v>
      </c>
      <c r="CA813">
        <f>BZ813*SQRT(AL813)</f>
        <v>0.12</v>
      </c>
      <c r="CB813">
        <v>50</v>
      </c>
      <c r="CC813">
        <v>2</v>
      </c>
      <c r="CD813">
        <v>-2.4E-2</v>
      </c>
      <c r="CE813">
        <v>1E-4</v>
      </c>
    </row>
    <row r="814" spans="4:83" hidden="1" x14ac:dyDescent="0.2">
      <c r="D814">
        <v>55</v>
      </c>
      <c r="G814" t="s">
        <v>43</v>
      </c>
      <c r="H814" t="s">
        <v>555</v>
      </c>
      <c r="J814">
        <v>2014</v>
      </c>
      <c r="M814" t="s">
        <v>67</v>
      </c>
      <c r="T814" t="s">
        <v>68</v>
      </c>
      <c r="U814" t="s">
        <v>428</v>
      </c>
      <c r="V814" t="s">
        <v>556</v>
      </c>
      <c r="Z814" t="s">
        <v>49</v>
      </c>
      <c r="AA814" t="s">
        <v>49</v>
      </c>
      <c r="AB814" t="s">
        <v>50</v>
      </c>
      <c r="AC814" t="s">
        <v>51</v>
      </c>
      <c r="AD814" t="s">
        <v>52</v>
      </c>
      <c r="AE814" t="s">
        <v>53</v>
      </c>
      <c r="AF814" t="s">
        <v>52</v>
      </c>
      <c r="AG814" t="s">
        <v>54</v>
      </c>
      <c r="AH814" t="s">
        <v>55</v>
      </c>
      <c r="AK814">
        <v>9</v>
      </c>
      <c r="AL814">
        <v>6</v>
      </c>
      <c r="AM814" t="s">
        <v>557</v>
      </c>
      <c r="AN814">
        <v>365</v>
      </c>
      <c r="AO814" t="s">
        <v>56</v>
      </c>
      <c r="AP814">
        <v>69</v>
      </c>
      <c r="AQ814" t="s">
        <v>57</v>
      </c>
      <c r="AR814">
        <v>8.19</v>
      </c>
      <c r="AS814" t="s">
        <v>56</v>
      </c>
      <c r="AT814">
        <v>7.0000000000000007E-2</v>
      </c>
      <c r="AU814">
        <v>1046</v>
      </c>
      <c r="AV814" t="s">
        <v>56</v>
      </c>
      <c r="AW814">
        <v>227</v>
      </c>
      <c r="AX814">
        <v>7.8</v>
      </c>
      <c r="AY814" t="s">
        <v>56</v>
      </c>
      <c r="AZ814">
        <v>0.1</v>
      </c>
      <c r="BB814">
        <f>LOG(AU814)</f>
        <v>3.0195316845312554</v>
      </c>
      <c r="BC814">
        <v>9.6999999999999993</v>
      </c>
      <c r="BD814" t="s">
        <v>56</v>
      </c>
      <c r="BE814">
        <v>0.4</v>
      </c>
      <c r="BF814">
        <v>9.6</v>
      </c>
      <c r="BG814" t="s">
        <v>56</v>
      </c>
      <c r="BH814">
        <v>0.5</v>
      </c>
      <c r="BI814">
        <v>681</v>
      </c>
      <c r="BJ814">
        <v>-0.1</v>
      </c>
      <c r="BK814" t="s">
        <v>56</v>
      </c>
      <c r="BL814" t="s">
        <v>365</v>
      </c>
      <c r="BM814" t="s">
        <v>365</v>
      </c>
      <c r="BN814" t="s">
        <v>81</v>
      </c>
      <c r="BO814" t="s">
        <v>56</v>
      </c>
      <c r="BP814" t="s">
        <v>92</v>
      </c>
      <c r="BR814" t="s">
        <v>63</v>
      </c>
      <c r="BT814">
        <v>13.6</v>
      </c>
      <c r="BU814">
        <v>13.6</v>
      </c>
      <c r="BV814">
        <v>0.53</v>
      </c>
      <c r="BW814">
        <f>BV814*SQRT(AK814)</f>
        <v>1.59</v>
      </c>
      <c r="BX814">
        <v>13.4</v>
      </c>
      <c r="BY814">
        <v>13.4</v>
      </c>
      <c r="BZ814">
        <v>0.61</v>
      </c>
      <c r="CA814">
        <f>BZ814*SQRT(AL814)</f>
        <v>1.4941887430977385</v>
      </c>
      <c r="CB814">
        <v>50</v>
      </c>
      <c r="CC814">
        <v>2</v>
      </c>
      <c r="CD814">
        <v>-1.4999999999999999E-2</v>
      </c>
      <c r="CE814">
        <v>3.5999999999999999E-3</v>
      </c>
    </row>
    <row r="815" spans="4:83" hidden="1" x14ac:dyDescent="0.2">
      <c r="D815">
        <v>55</v>
      </c>
      <c r="G815" t="s">
        <v>43</v>
      </c>
      <c r="H815" t="s">
        <v>555</v>
      </c>
      <c r="J815">
        <v>2014</v>
      </c>
      <c r="M815" t="s">
        <v>67</v>
      </c>
      <c r="T815" t="s">
        <v>68</v>
      </c>
      <c r="U815" t="s">
        <v>428</v>
      </c>
      <c r="V815" t="s">
        <v>556</v>
      </c>
      <c r="Z815" t="s">
        <v>49</v>
      </c>
      <c r="AA815" t="s">
        <v>49</v>
      </c>
      <c r="AB815" t="s">
        <v>50</v>
      </c>
      <c r="AC815" t="s">
        <v>51</v>
      </c>
      <c r="AD815" t="s">
        <v>52</v>
      </c>
      <c r="AE815" t="s">
        <v>53</v>
      </c>
      <c r="AF815" t="s">
        <v>54</v>
      </c>
      <c r="AG815" t="s">
        <v>52</v>
      </c>
      <c r="AH815" t="s">
        <v>65</v>
      </c>
      <c r="AK815">
        <v>8</v>
      </c>
      <c r="AL815">
        <v>9</v>
      </c>
      <c r="AM815" t="s">
        <v>557</v>
      </c>
      <c r="AN815">
        <v>365</v>
      </c>
      <c r="AO815" t="s">
        <v>56</v>
      </c>
      <c r="AP815">
        <v>69</v>
      </c>
      <c r="AQ815" t="s">
        <v>57</v>
      </c>
      <c r="AR815">
        <v>8.19</v>
      </c>
      <c r="AS815" t="s">
        <v>56</v>
      </c>
      <c r="AT815">
        <v>7.0000000000000007E-2</v>
      </c>
      <c r="AU815">
        <v>444</v>
      </c>
      <c r="AV815" t="s">
        <v>56</v>
      </c>
      <c r="AW815">
        <v>39</v>
      </c>
      <c r="AX815">
        <v>8.15</v>
      </c>
      <c r="AY815" t="s">
        <v>56</v>
      </c>
      <c r="AZ815">
        <v>0.03</v>
      </c>
      <c r="BB815">
        <f>LOG(AU815)</f>
        <v>2.6473829701146196</v>
      </c>
      <c r="BC815">
        <v>9.6999999999999993</v>
      </c>
      <c r="BD815" t="s">
        <v>56</v>
      </c>
      <c r="BE815">
        <v>0.4</v>
      </c>
      <c r="BF815">
        <v>19.5</v>
      </c>
      <c r="BG815" t="s">
        <v>56</v>
      </c>
      <c r="BH815">
        <v>0.3</v>
      </c>
      <c r="BI815">
        <v>79</v>
      </c>
      <c r="BJ815">
        <v>9.8000000000000007</v>
      </c>
      <c r="BK815" t="s">
        <v>56</v>
      </c>
      <c r="BL815" t="s">
        <v>558</v>
      </c>
      <c r="BM815" t="s">
        <v>454</v>
      </c>
      <c r="BN815" t="s">
        <v>60</v>
      </c>
      <c r="BO815" t="s">
        <v>56</v>
      </c>
      <c r="BP815" t="s">
        <v>194</v>
      </c>
      <c r="BR815" t="s">
        <v>63</v>
      </c>
      <c r="BT815">
        <v>7.52</v>
      </c>
      <c r="BU815">
        <v>7.52</v>
      </c>
      <c r="BV815">
        <v>0.03</v>
      </c>
      <c r="BW815">
        <f>BV815*SQRT(AK815)</f>
        <v>8.4852813742385708E-2</v>
      </c>
      <c r="BX815">
        <v>7.49</v>
      </c>
      <c r="BY815">
        <v>7.49</v>
      </c>
      <c r="BZ815">
        <v>0.03</v>
      </c>
      <c r="CA815">
        <f>BZ815*SQRT(AL815)</f>
        <v>0.09</v>
      </c>
      <c r="CB815">
        <v>50</v>
      </c>
      <c r="CC815">
        <v>2</v>
      </c>
      <c r="CD815">
        <v>-4.0000000000000001E-3</v>
      </c>
      <c r="CE815">
        <v>1E-4</v>
      </c>
    </row>
    <row r="816" spans="4:83" hidden="1" x14ac:dyDescent="0.2">
      <c r="D816">
        <v>56</v>
      </c>
      <c r="G816" t="s">
        <v>43</v>
      </c>
      <c r="H816" t="s">
        <v>559</v>
      </c>
      <c r="J816">
        <v>2013</v>
      </c>
      <c r="M816" t="s">
        <v>560</v>
      </c>
      <c r="T816" t="s">
        <v>68</v>
      </c>
      <c r="U816" t="s">
        <v>258</v>
      </c>
      <c r="V816" t="s">
        <v>259</v>
      </c>
      <c r="Z816" t="s">
        <v>49</v>
      </c>
      <c r="AA816" t="s">
        <v>49</v>
      </c>
      <c r="AB816" t="s">
        <v>50</v>
      </c>
      <c r="AC816" t="s">
        <v>51</v>
      </c>
      <c r="AD816" t="s">
        <v>52</v>
      </c>
      <c r="AE816" t="s">
        <v>53</v>
      </c>
      <c r="AF816" t="s">
        <v>52</v>
      </c>
      <c r="AG816" t="s">
        <v>54</v>
      </c>
      <c r="AH816" t="s">
        <v>55</v>
      </c>
      <c r="AK816">
        <v>4</v>
      </c>
      <c r="AL816">
        <v>4</v>
      </c>
      <c r="AN816">
        <v>333</v>
      </c>
      <c r="AO816" t="s">
        <v>56</v>
      </c>
      <c r="AP816">
        <v>32</v>
      </c>
      <c r="AQ816" t="s">
        <v>57</v>
      </c>
      <c r="AR816">
        <v>8.25</v>
      </c>
      <c r="AS816" t="s">
        <v>56</v>
      </c>
      <c r="AT816">
        <v>0.04</v>
      </c>
      <c r="AU816">
        <v>663</v>
      </c>
      <c r="AV816" t="s">
        <v>56</v>
      </c>
      <c r="AW816">
        <v>141</v>
      </c>
      <c r="AX816">
        <v>7.97</v>
      </c>
      <c r="AY816" t="s">
        <v>56</v>
      </c>
      <c r="AZ816">
        <v>0.08</v>
      </c>
      <c r="BB816">
        <f>LOG(AU816)</f>
        <v>2.8215135284047732</v>
      </c>
      <c r="BC816">
        <v>14.4</v>
      </c>
      <c r="BD816" t="s">
        <v>56</v>
      </c>
      <c r="BE816">
        <v>1.1000000000000001</v>
      </c>
      <c r="BF816">
        <v>14.5</v>
      </c>
      <c r="BG816" t="s">
        <v>56</v>
      </c>
      <c r="BH816">
        <v>1</v>
      </c>
      <c r="BI816">
        <v>330</v>
      </c>
      <c r="BJ816">
        <v>0.1</v>
      </c>
      <c r="BK816" t="s">
        <v>56</v>
      </c>
      <c r="BL816" t="s">
        <v>561</v>
      </c>
      <c r="BM816" t="s">
        <v>75</v>
      </c>
      <c r="BN816" t="s">
        <v>60</v>
      </c>
      <c r="BO816" t="s">
        <v>82</v>
      </c>
      <c r="BP816" t="s">
        <v>77</v>
      </c>
      <c r="BR816" t="s">
        <v>63</v>
      </c>
      <c r="BT816">
        <v>19.52</v>
      </c>
      <c r="BU816">
        <v>19.523810000000001</v>
      </c>
      <c r="BV816">
        <v>2.02</v>
      </c>
      <c r="BW816">
        <f>BV816*SQRT(AK816)</f>
        <v>4.04</v>
      </c>
      <c r="BX816">
        <v>7.14</v>
      </c>
      <c r="BY816">
        <v>7.1428570999999996</v>
      </c>
      <c r="BZ816">
        <v>5.6</v>
      </c>
      <c r="CA816">
        <f>BZ816*SQRT(AL816)</f>
        <v>11.2</v>
      </c>
      <c r="CB816">
        <v>14</v>
      </c>
      <c r="CC816">
        <v>4</v>
      </c>
      <c r="CD816">
        <v>-1.006</v>
      </c>
      <c r="CE816">
        <v>0.62439999999999996</v>
      </c>
    </row>
    <row r="817" spans="4:83" hidden="1" x14ac:dyDescent="0.2">
      <c r="D817">
        <v>56</v>
      </c>
      <c r="G817" t="s">
        <v>43</v>
      </c>
      <c r="H817" t="s">
        <v>559</v>
      </c>
      <c r="J817">
        <v>2013</v>
      </c>
      <c r="M817" t="s">
        <v>560</v>
      </c>
      <c r="T817" t="s">
        <v>68</v>
      </c>
      <c r="U817" t="s">
        <v>258</v>
      </c>
      <c r="V817" t="s">
        <v>259</v>
      </c>
      <c r="Z817" t="s">
        <v>49</v>
      </c>
      <c r="AA817" t="s">
        <v>49</v>
      </c>
      <c r="AB817" t="s">
        <v>50</v>
      </c>
      <c r="AC817" t="s">
        <v>51</v>
      </c>
      <c r="AD817" t="s">
        <v>52</v>
      </c>
      <c r="AE817" t="s">
        <v>53</v>
      </c>
      <c r="AF817" t="s">
        <v>52</v>
      </c>
      <c r="AG817" t="s">
        <v>52</v>
      </c>
      <c r="AH817" t="s">
        <v>64</v>
      </c>
      <c r="AK817">
        <v>4</v>
      </c>
      <c r="AL817">
        <v>4</v>
      </c>
      <c r="AN817">
        <v>333</v>
      </c>
      <c r="AO817" t="s">
        <v>56</v>
      </c>
      <c r="AP817">
        <v>32</v>
      </c>
      <c r="AQ817" t="s">
        <v>57</v>
      </c>
      <c r="AR817">
        <v>8.25</v>
      </c>
      <c r="AS817" t="s">
        <v>56</v>
      </c>
      <c r="AT817">
        <v>0.04</v>
      </c>
      <c r="AU817">
        <v>602</v>
      </c>
      <c r="AV817" t="s">
        <v>56</v>
      </c>
      <c r="AW817">
        <v>104</v>
      </c>
      <c r="AX817">
        <v>7.98</v>
      </c>
      <c r="AY817" t="s">
        <v>56</v>
      </c>
      <c r="AZ817">
        <v>0.09</v>
      </c>
      <c r="BB817">
        <f>LOG(AU817)</f>
        <v>2.7795964912578244</v>
      </c>
      <c r="BC817">
        <v>14.4</v>
      </c>
      <c r="BD817" t="s">
        <v>56</v>
      </c>
      <c r="BE817">
        <v>1.1000000000000001</v>
      </c>
      <c r="BF817">
        <v>18.600000000000001</v>
      </c>
      <c r="BG817" t="s">
        <v>56</v>
      </c>
      <c r="BH817">
        <v>1.2</v>
      </c>
      <c r="BI817">
        <v>269</v>
      </c>
      <c r="BJ817">
        <v>4.2</v>
      </c>
      <c r="BK817" t="s">
        <v>56</v>
      </c>
      <c r="BL817" t="s">
        <v>561</v>
      </c>
      <c r="BM817" t="s">
        <v>75</v>
      </c>
      <c r="BN817" t="s">
        <v>60</v>
      </c>
      <c r="BO817" t="s">
        <v>82</v>
      </c>
      <c r="BP817" t="s">
        <v>77</v>
      </c>
      <c r="BR817" t="s">
        <v>63</v>
      </c>
      <c r="BT817">
        <v>19.52</v>
      </c>
      <c r="BU817">
        <v>19.523810000000001</v>
      </c>
      <c r="BV817">
        <v>2.02</v>
      </c>
      <c r="BW817">
        <f>BV817*SQRT(AK817)</f>
        <v>4.04</v>
      </c>
      <c r="BX817">
        <v>9.2899999999999991</v>
      </c>
      <c r="BY817">
        <v>9.2857143000000004</v>
      </c>
      <c r="BZ817">
        <v>10.83</v>
      </c>
      <c r="CA817">
        <f>BZ817*SQRT(AL817)</f>
        <v>21.66</v>
      </c>
      <c r="CB817">
        <v>14</v>
      </c>
      <c r="CC817">
        <v>4</v>
      </c>
      <c r="CD817">
        <v>-0.74299999999999999</v>
      </c>
      <c r="CE817">
        <v>1.3718999999999999</v>
      </c>
    </row>
    <row r="818" spans="4:83" hidden="1" x14ac:dyDescent="0.2">
      <c r="D818">
        <v>56</v>
      </c>
      <c r="G818" t="s">
        <v>43</v>
      </c>
      <c r="H818" t="s">
        <v>559</v>
      </c>
      <c r="J818">
        <v>2013</v>
      </c>
      <c r="M818" t="s">
        <v>560</v>
      </c>
      <c r="T818" t="s">
        <v>68</v>
      </c>
      <c r="U818" t="s">
        <v>258</v>
      </c>
      <c r="V818" t="s">
        <v>259</v>
      </c>
      <c r="Z818" t="s">
        <v>49</v>
      </c>
      <c r="AA818" t="s">
        <v>49</v>
      </c>
      <c r="AB818" t="s">
        <v>50</v>
      </c>
      <c r="AC818" t="s">
        <v>51</v>
      </c>
      <c r="AD818" t="s">
        <v>52</v>
      </c>
      <c r="AE818" t="s">
        <v>53</v>
      </c>
      <c r="AF818" t="s">
        <v>52</v>
      </c>
      <c r="AG818" t="s">
        <v>54</v>
      </c>
      <c r="AH818" t="s">
        <v>55</v>
      </c>
      <c r="AK818">
        <v>4</v>
      </c>
      <c r="AL818">
        <v>4</v>
      </c>
      <c r="AN818">
        <v>333</v>
      </c>
      <c r="AO818" t="s">
        <v>56</v>
      </c>
      <c r="AP818">
        <v>32</v>
      </c>
      <c r="AQ818" t="s">
        <v>57</v>
      </c>
      <c r="AR818">
        <v>8.25</v>
      </c>
      <c r="AS818" t="s">
        <v>56</v>
      </c>
      <c r="AT818">
        <v>0.04</v>
      </c>
      <c r="AU818">
        <v>663</v>
      </c>
      <c r="AV818" t="s">
        <v>56</v>
      </c>
      <c r="AW818">
        <v>141</v>
      </c>
      <c r="AX818">
        <v>7.97</v>
      </c>
      <c r="AY818" t="s">
        <v>56</v>
      </c>
      <c r="AZ818">
        <v>0.08</v>
      </c>
      <c r="BB818">
        <f>LOG(AU818)</f>
        <v>2.8215135284047732</v>
      </c>
      <c r="BC818">
        <v>14.4</v>
      </c>
      <c r="BD818" t="s">
        <v>56</v>
      </c>
      <c r="BE818">
        <v>1.1000000000000001</v>
      </c>
      <c r="BF818">
        <v>14.5</v>
      </c>
      <c r="BG818" t="s">
        <v>56</v>
      </c>
      <c r="BH818">
        <v>1</v>
      </c>
      <c r="BI818">
        <v>330</v>
      </c>
      <c r="BJ818">
        <v>0.1</v>
      </c>
      <c r="BK818" t="s">
        <v>56</v>
      </c>
      <c r="BL818" t="s">
        <v>561</v>
      </c>
      <c r="BM818" t="s">
        <v>75</v>
      </c>
      <c r="BN818" t="s">
        <v>60</v>
      </c>
      <c r="BO818" t="s">
        <v>82</v>
      </c>
      <c r="BP818" t="s">
        <v>77</v>
      </c>
      <c r="BR818" t="s">
        <v>63</v>
      </c>
      <c r="BT818">
        <v>35.71</v>
      </c>
      <c r="BU818">
        <v>35.714286000000001</v>
      </c>
      <c r="BV818">
        <v>3.57</v>
      </c>
      <c r="BW818">
        <f>BV818*SQRT(AK818)</f>
        <v>7.14</v>
      </c>
      <c r="BX818">
        <v>17.86</v>
      </c>
      <c r="BY818">
        <v>17.857142899999999</v>
      </c>
      <c r="BZ818">
        <v>7.98</v>
      </c>
      <c r="CA818">
        <f>BZ818*SQRT(AL818)</f>
        <v>15.96</v>
      </c>
      <c r="CB818">
        <v>140</v>
      </c>
      <c r="CC818">
        <v>4</v>
      </c>
      <c r="CD818">
        <v>-0.69299999999999995</v>
      </c>
      <c r="CE818">
        <v>0.20949999999999999</v>
      </c>
    </row>
    <row r="819" spans="4:83" hidden="1" x14ac:dyDescent="0.2">
      <c r="D819">
        <v>56</v>
      </c>
      <c r="G819" t="s">
        <v>43</v>
      </c>
      <c r="H819" t="s">
        <v>559</v>
      </c>
      <c r="J819">
        <v>2013</v>
      </c>
      <c r="M819" t="s">
        <v>560</v>
      </c>
      <c r="T819" t="s">
        <v>68</v>
      </c>
      <c r="U819" t="s">
        <v>258</v>
      </c>
      <c r="V819" t="s">
        <v>259</v>
      </c>
      <c r="Z819" t="s">
        <v>49</v>
      </c>
      <c r="AA819" t="s">
        <v>49</v>
      </c>
      <c r="AB819" t="s">
        <v>50</v>
      </c>
      <c r="AC819" t="s">
        <v>51</v>
      </c>
      <c r="AD819" t="s">
        <v>52</v>
      </c>
      <c r="AE819" t="s">
        <v>53</v>
      </c>
      <c r="AF819" t="s">
        <v>52</v>
      </c>
      <c r="AG819" t="s">
        <v>52</v>
      </c>
      <c r="AH819" t="s">
        <v>64</v>
      </c>
      <c r="AK819">
        <v>4</v>
      </c>
      <c r="AL819">
        <v>4</v>
      </c>
      <c r="AN819">
        <v>333</v>
      </c>
      <c r="AO819" t="s">
        <v>56</v>
      </c>
      <c r="AP819">
        <v>32</v>
      </c>
      <c r="AQ819" t="s">
        <v>57</v>
      </c>
      <c r="AR819">
        <v>8.25</v>
      </c>
      <c r="AS819" t="s">
        <v>56</v>
      </c>
      <c r="AT819">
        <v>0.04</v>
      </c>
      <c r="AU819">
        <v>867</v>
      </c>
      <c r="AV819" t="s">
        <v>56</v>
      </c>
      <c r="AW819">
        <v>141</v>
      </c>
      <c r="AX819">
        <v>7.86</v>
      </c>
      <c r="AY819" t="s">
        <v>56</v>
      </c>
      <c r="AZ819">
        <v>7.0000000000000007E-2</v>
      </c>
      <c r="BB819">
        <f>LOG(AU819)</f>
        <v>2.9380190974762104</v>
      </c>
      <c r="BC819">
        <v>14.4</v>
      </c>
      <c r="BD819" t="s">
        <v>56</v>
      </c>
      <c r="BE819">
        <v>1.1000000000000001</v>
      </c>
      <c r="BF819">
        <v>18.2</v>
      </c>
      <c r="BG819" t="s">
        <v>56</v>
      </c>
      <c r="BH819">
        <v>0.9</v>
      </c>
      <c r="BI819">
        <v>534</v>
      </c>
      <c r="BJ819">
        <v>3.8</v>
      </c>
      <c r="BK819" t="s">
        <v>56</v>
      </c>
      <c r="BL819" t="s">
        <v>561</v>
      </c>
      <c r="BM819" t="s">
        <v>75</v>
      </c>
      <c r="BN819" t="s">
        <v>60</v>
      </c>
      <c r="BO819" t="s">
        <v>82</v>
      </c>
      <c r="BP819" t="s">
        <v>77</v>
      </c>
      <c r="BR819" t="s">
        <v>63</v>
      </c>
      <c r="BT819">
        <v>19.52</v>
      </c>
      <c r="BU819">
        <v>19.523810000000001</v>
      </c>
      <c r="BV819">
        <v>2.02</v>
      </c>
      <c r="BW819">
        <f>BV819*SQRT(AK819)</f>
        <v>4.04</v>
      </c>
      <c r="BX819">
        <v>10.71</v>
      </c>
      <c r="BY819">
        <v>10.7142857</v>
      </c>
      <c r="BZ819">
        <v>4.17</v>
      </c>
      <c r="CA819">
        <f>BZ819*SQRT(AL819)</f>
        <v>8.34</v>
      </c>
      <c r="CB819">
        <v>14</v>
      </c>
      <c r="CC819">
        <v>4</v>
      </c>
      <c r="CD819">
        <v>-0.6</v>
      </c>
      <c r="CE819">
        <v>0.16200000000000001</v>
      </c>
    </row>
    <row r="820" spans="4:83" hidden="1" x14ac:dyDescent="0.2">
      <c r="D820">
        <v>56</v>
      </c>
      <c r="G820" t="s">
        <v>43</v>
      </c>
      <c r="H820" t="s">
        <v>559</v>
      </c>
      <c r="J820">
        <v>2013</v>
      </c>
      <c r="M820" t="s">
        <v>560</v>
      </c>
      <c r="T820" t="s">
        <v>68</v>
      </c>
      <c r="U820" t="s">
        <v>258</v>
      </c>
      <c r="V820" t="s">
        <v>259</v>
      </c>
      <c r="Z820" t="s">
        <v>49</v>
      </c>
      <c r="AA820" t="s">
        <v>49</v>
      </c>
      <c r="AB820" t="s">
        <v>50</v>
      </c>
      <c r="AC820" t="s">
        <v>51</v>
      </c>
      <c r="AD820" t="s">
        <v>52</v>
      </c>
      <c r="AE820" t="s">
        <v>53</v>
      </c>
      <c r="AF820" t="s">
        <v>52</v>
      </c>
      <c r="AG820" t="s">
        <v>54</v>
      </c>
      <c r="AH820" t="s">
        <v>55</v>
      </c>
      <c r="AK820">
        <v>4</v>
      </c>
      <c r="AL820">
        <v>4</v>
      </c>
      <c r="AN820">
        <v>333</v>
      </c>
      <c r="AO820" t="s">
        <v>56</v>
      </c>
      <c r="AP820">
        <v>32</v>
      </c>
      <c r="AQ820" t="s">
        <v>57</v>
      </c>
      <c r="AR820">
        <v>8.25</v>
      </c>
      <c r="AS820" t="s">
        <v>56</v>
      </c>
      <c r="AT820">
        <v>0.04</v>
      </c>
      <c r="AU820">
        <v>969</v>
      </c>
      <c r="AV820" t="s">
        <v>56</v>
      </c>
      <c r="AW820">
        <v>82</v>
      </c>
      <c r="AX820">
        <v>7.79</v>
      </c>
      <c r="AY820" t="s">
        <v>56</v>
      </c>
      <c r="AZ820">
        <v>0.06</v>
      </c>
      <c r="BB820">
        <f>LOG(AU820)</f>
        <v>2.9863237770507651</v>
      </c>
      <c r="BC820">
        <v>14.4</v>
      </c>
      <c r="BD820" t="s">
        <v>56</v>
      </c>
      <c r="BE820">
        <v>1.1000000000000001</v>
      </c>
      <c r="BF820">
        <v>14</v>
      </c>
      <c r="BG820" t="s">
        <v>56</v>
      </c>
      <c r="BH820">
        <v>0.9</v>
      </c>
      <c r="BI820">
        <v>636</v>
      </c>
      <c r="BJ820">
        <v>-0.3</v>
      </c>
      <c r="BK820" t="s">
        <v>56</v>
      </c>
      <c r="BL820" t="s">
        <v>561</v>
      </c>
      <c r="BM820" t="s">
        <v>75</v>
      </c>
      <c r="BN820" t="s">
        <v>60</v>
      </c>
      <c r="BO820" t="s">
        <v>82</v>
      </c>
      <c r="BP820" t="s">
        <v>77</v>
      </c>
      <c r="BR820" t="s">
        <v>63</v>
      </c>
      <c r="BT820">
        <v>19.52</v>
      </c>
      <c r="BU820">
        <v>19.523810000000001</v>
      </c>
      <c r="BV820">
        <v>2.02</v>
      </c>
      <c r="BW820">
        <f>BV820*SQRT(AK820)</f>
        <v>4.04</v>
      </c>
      <c r="BX820">
        <v>13.69</v>
      </c>
      <c r="BY820">
        <v>13.690476200000001</v>
      </c>
      <c r="BZ820">
        <v>7.86</v>
      </c>
      <c r="CA820">
        <f>BZ820*SQRT(AL820)</f>
        <v>15.72</v>
      </c>
      <c r="CB820">
        <v>14</v>
      </c>
      <c r="CC820">
        <v>4</v>
      </c>
      <c r="CD820">
        <v>-0.35499999999999998</v>
      </c>
      <c r="CE820">
        <v>0.34010000000000001</v>
      </c>
    </row>
    <row r="821" spans="4:83" hidden="1" x14ac:dyDescent="0.2">
      <c r="D821">
        <v>56</v>
      </c>
      <c r="G821" t="s">
        <v>43</v>
      </c>
      <c r="H821" t="s">
        <v>559</v>
      </c>
      <c r="J821">
        <v>2013</v>
      </c>
      <c r="M821" t="s">
        <v>560</v>
      </c>
      <c r="T821" t="s">
        <v>68</v>
      </c>
      <c r="U821" t="s">
        <v>258</v>
      </c>
      <c r="V821" t="s">
        <v>259</v>
      </c>
      <c r="Z821" t="s">
        <v>49</v>
      </c>
      <c r="AA821" t="s">
        <v>49</v>
      </c>
      <c r="AB821" t="s">
        <v>50</v>
      </c>
      <c r="AC821" t="s">
        <v>51</v>
      </c>
      <c r="AD821" t="s">
        <v>52</v>
      </c>
      <c r="AE821" t="s">
        <v>53</v>
      </c>
      <c r="AF821" t="s">
        <v>52</v>
      </c>
      <c r="AG821" t="s">
        <v>54</v>
      </c>
      <c r="AH821" t="s">
        <v>55</v>
      </c>
      <c r="AK821">
        <v>4</v>
      </c>
      <c r="AL821">
        <v>4</v>
      </c>
      <c r="AN821">
        <v>333</v>
      </c>
      <c r="AO821" t="s">
        <v>56</v>
      </c>
      <c r="AP821">
        <v>32</v>
      </c>
      <c r="AQ821" t="s">
        <v>57</v>
      </c>
      <c r="AR821">
        <v>8.25</v>
      </c>
      <c r="AS821" t="s">
        <v>56</v>
      </c>
      <c r="AT821">
        <v>0.04</v>
      </c>
      <c r="AU821">
        <v>969</v>
      </c>
      <c r="AV821" t="s">
        <v>56</v>
      </c>
      <c r="AW821">
        <v>82</v>
      </c>
      <c r="AX821">
        <v>7.79</v>
      </c>
      <c r="AY821" t="s">
        <v>56</v>
      </c>
      <c r="AZ821">
        <v>0.06</v>
      </c>
      <c r="BB821">
        <f>LOG(AU821)</f>
        <v>2.9863237770507651</v>
      </c>
      <c r="BC821">
        <v>14.4</v>
      </c>
      <c r="BD821" t="s">
        <v>56</v>
      </c>
      <c r="BE821">
        <v>1.1000000000000001</v>
      </c>
      <c r="BF821">
        <v>14</v>
      </c>
      <c r="BG821" t="s">
        <v>56</v>
      </c>
      <c r="BH821">
        <v>0.9</v>
      </c>
      <c r="BI821">
        <v>636</v>
      </c>
      <c r="BJ821">
        <v>-0.3</v>
      </c>
      <c r="BK821" t="s">
        <v>56</v>
      </c>
      <c r="BL821" t="s">
        <v>561</v>
      </c>
      <c r="BM821" t="s">
        <v>75</v>
      </c>
      <c r="BN821" t="s">
        <v>60</v>
      </c>
      <c r="BO821" t="s">
        <v>82</v>
      </c>
      <c r="BP821" t="s">
        <v>77</v>
      </c>
      <c r="BR821" t="s">
        <v>63</v>
      </c>
      <c r="BT821">
        <v>35.71</v>
      </c>
      <c r="BU821">
        <v>35.714286000000001</v>
      </c>
      <c r="BV821">
        <v>3.57</v>
      </c>
      <c r="BW821">
        <f>BV821*SQRT(AK821)</f>
        <v>7.14</v>
      </c>
      <c r="BX821">
        <v>26.67</v>
      </c>
      <c r="BY821">
        <v>26.6666667</v>
      </c>
      <c r="BZ821">
        <v>7.14</v>
      </c>
      <c r="CA821">
        <f>BZ821*SQRT(AL821)</f>
        <v>14.28</v>
      </c>
      <c r="CB821">
        <v>140</v>
      </c>
      <c r="CC821">
        <v>4</v>
      </c>
      <c r="CD821">
        <v>-0.29199999999999998</v>
      </c>
      <c r="CE821">
        <v>8.1699999999999995E-2</v>
      </c>
    </row>
    <row r="822" spans="4:83" hidden="1" x14ac:dyDescent="0.2">
      <c r="D822">
        <v>56</v>
      </c>
      <c r="G822" t="s">
        <v>43</v>
      </c>
      <c r="H822" t="s">
        <v>559</v>
      </c>
      <c r="J822">
        <v>2013</v>
      </c>
      <c r="M822" t="s">
        <v>560</v>
      </c>
      <c r="T822" t="s">
        <v>68</v>
      </c>
      <c r="U822" t="s">
        <v>258</v>
      </c>
      <c r="V822" t="s">
        <v>259</v>
      </c>
      <c r="Z822" t="s">
        <v>49</v>
      </c>
      <c r="AA822" t="s">
        <v>49</v>
      </c>
      <c r="AB822" t="s">
        <v>50</v>
      </c>
      <c r="AC822" t="s">
        <v>51</v>
      </c>
      <c r="AD822" t="s">
        <v>52</v>
      </c>
      <c r="AE822" t="s">
        <v>53</v>
      </c>
      <c r="AF822" t="s">
        <v>52</v>
      </c>
      <c r="AG822" t="s">
        <v>52</v>
      </c>
      <c r="AH822" t="s">
        <v>64</v>
      </c>
      <c r="AK822">
        <v>4</v>
      </c>
      <c r="AL822">
        <v>4</v>
      </c>
      <c r="AN822">
        <v>333</v>
      </c>
      <c r="AO822" t="s">
        <v>56</v>
      </c>
      <c r="AP822">
        <v>32</v>
      </c>
      <c r="AQ822" t="s">
        <v>57</v>
      </c>
      <c r="AR822">
        <v>8.25</v>
      </c>
      <c r="AS822" t="s">
        <v>56</v>
      </c>
      <c r="AT822">
        <v>0.04</v>
      </c>
      <c r="AU822">
        <v>602</v>
      </c>
      <c r="AV822" t="s">
        <v>56</v>
      </c>
      <c r="AW822">
        <v>104</v>
      </c>
      <c r="AX822">
        <v>7.98</v>
      </c>
      <c r="AY822" t="s">
        <v>56</v>
      </c>
      <c r="AZ822">
        <v>0.09</v>
      </c>
      <c r="BB822">
        <f>LOG(AU822)</f>
        <v>2.7795964912578244</v>
      </c>
      <c r="BC822">
        <v>14.4</v>
      </c>
      <c r="BD822" t="s">
        <v>56</v>
      </c>
      <c r="BE822">
        <v>1.1000000000000001</v>
      </c>
      <c r="BF822">
        <v>18.600000000000001</v>
      </c>
      <c r="BG822" t="s">
        <v>56</v>
      </c>
      <c r="BH822">
        <v>1.2</v>
      </c>
      <c r="BI822">
        <v>269</v>
      </c>
      <c r="BJ822">
        <v>4.2</v>
      </c>
      <c r="BK822" t="s">
        <v>56</v>
      </c>
      <c r="BL822" t="s">
        <v>561</v>
      </c>
      <c r="BM822" t="s">
        <v>75</v>
      </c>
      <c r="BN822" t="s">
        <v>60</v>
      </c>
      <c r="BO822" t="s">
        <v>82</v>
      </c>
      <c r="BP822" t="s">
        <v>77</v>
      </c>
      <c r="BR822" t="s">
        <v>63</v>
      </c>
      <c r="BT822">
        <v>35.71</v>
      </c>
      <c r="BU822">
        <v>35.714286000000001</v>
      </c>
      <c r="BV822">
        <v>3.57</v>
      </c>
      <c r="BW822">
        <f>BV822*SQRT(AK822)</f>
        <v>7.14</v>
      </c>
      <c r="BX822">
        <v>26.9</v>
      </c>
      <c r="BY822">
        <v>26.9047619</v>
      </c>
      <c r="BZ822">
        <v>10</v>
      </c>
      <c r="CA822">
        <f>BZ822*SQRT(AL822)</f>
        <v>20</v>
      </c>
      <c r="CB822">
        <v>140</v>
      </c>
      <c r="CC822">
        <v>4</v>
      </c>
      <c r="CD822">
        <v>-0.28299999999999997</v>
      </c>
      <c r="CE822">
        <v>0.14810000000000001</v>
      </c>
    </row>
    <row r="823" spans="4:83" hidden="1" x14ac:dyDescent="0.2">
      <c r="D823">
        <v>56</v>
      </c>
      <c r="G823" t="s">
        <v>43</v>
      </c>
      <c r="H823" t="s">
        <v>559</v>
      </c>
      <c r="J823">
        <v>2013</v>
      </c>
      <c r="M823" t="s">
        <v>560</v>
      </c>
      <c r="T823" t="s">
        <v>68</v>
      </c>
      <c r="U823" t="s">
        <v>258</v>
      </c>
      <c r="V823" t="s">
        <v>259</v>
      </c>
      <c r="Z823" t="s">
        <v>49</v>
      </c>
      <c r="AA823" t="s">
        <v>49</v>
      </c>
      <c r="AB823" t="s">
        <v>50</v>
      </c>
      <c r="AC823" t="s">
        <v>51</v>
      </c>
      <c r="AD823" t="s">
        <v>52</v>
      </c>
      <c r="AE823" t="s">
        <v>53</v>
      </c>
      <c r="AF823" t="s">
        <v>52</v>
      </c>
      <c r="AG823" t="s">
        <v>54</v>
      </c>
      <c r="AH823" t="s">
        <v>55</v>
      </c>
      <c r="AK823">
        <v>4</v>
      </c>
      <c r="AL823">
        <v>4</v>
      </c>
      <c r="AN823">
        <v>333</v>
      </c>
      <c r="AO823" t="s">
        <v>56</v>
      </c>
      <c r="AP823">
        <v>32</v>
      </c>
      <c r="AQ823" t="s">
        <v>57</v>
      </c>
      <c r="AR823">
        <v>8.25</v>
      </c>
      <c r="AS823" t="s">
        <v>56</v>
      </c>
      <c r="AT823">
        <v>0.04</v>
      </c>
      <c r="AU823">
        <v>969</v>
      </c>
      <c r="AV823" t="s">
        <v>56</v>
      </c>
      <c r="AW823">
        <v>82</v>
      </c>
      <c r="AX823">
        <v>7.79</v>
      </c>
      <c r="AY823" t="s">
        <v>56</v>
      </c>
      <c r="AZ823">
        <v>0.06</v>
      </c>
      <c r="BB823">
        <f>LOG(AU823)</f>
        <v>2.9863237770507651</v>
      </c>
      <c r="BC823">
        <v>14.4</v>
      </c>
      <c r="BD823" t="s">
        <v>56</v>
      </c>
      <c r="BE823">
        <v>1.1000000000000001</v>
      </c>
      <c r="BF823">
        <v>14</v>
      </c>
      <c r="BG823" t="s">
        <v>56</v>
      </c>
      <c r="BH823">
        <v>0.9</v>
      </c>
      <c r="BI823">
        <v>636</v>
      </c>
      <c r="BJ823">
        <v>-0.3</v>
      </c>
      <c r="BK823" t="s">
        <v>56</v>
      </c>
      <c r="BL823" t="s">
        <v>562</v>
      </c>
      <c r="BM823" t="s">
        <v>59</v>
      </c>
      <c r="BN823" t="s">
        <v>60</v>
      </c>
      <c r="BO823" t="s">
        <v>563</v>
      </c>
      <c r="BP823" t="s">
        <v>62</v>
      </c>
      <c r="BR823" t="s">
        <v>63</v>
      </c>
      <c r="BT823">
        <v>10.28</v>
      </c>
      <c r="BU823">
        <v>10.277778</v>
      </c>
      <c r="BV823">
        <v>0.74</v>
      </c>
      <c r="BW823">
        <f>BV823*SQRT(AK823)</f>
        <v>1.48</v>
      </c>
      <c r="BX823">
        <v>9.44</v>
      </c>
      <c r="BY823">
        <v>9.4444444000000001</v>
      </c>
      <c r="BZ823">
        <v>1.48</v>
      </c>
      <c r="CA823">
        <f>BZ823*SQRT(AL823)</f>
        <v>2.96</v>
      </c>
      <c r="CB823">
        <v>140</v>
      </c>
      <c r="CC823">
        <v>4</v>
      </c>
      <c r="CD823">
        <v>-8.5000000000000006E-2</v>
      </c>
      <c r="CE823">
        <v>2.98E-2</v>
      </c>
    </row>
    <row r="824" spans="4:83" hidden="1" x14ac:dyDescent="0.2">
      <c r="D824">
        <v>56</v>
      </c>
      <c r="G824" t="s">
        <v>43</v>
      </c>
      <c r="H824" t="s">
        <v>559</v>
      </c>
      <c r="J824">
        <v>2013</v>
      </c>
      <c r="M824" t="s">
        <v>560</v>
      </c>
      <c r="T824" t="s">
        <v>68</v>
      </c>
      <c r="U824" t="s">
        <v>258</v>
      </c>
      <c r="V824" t="s">
        <v>259</v>
      </c>
      <c r="Z824" t="s">
        <v>49</v>
      </c>
      <c r="AA824" t="s">
        <v>49</v>
      </c>
      <c r="AB824" t="s">
        <v>50</v>
      </c>
      <c r="AC824" t="s">
        <v>51</v>
      </c>
      <c r="AD824" t="s">
        <v>52</v>
      </c>
      <c r="AE824" t="s">
        <v>53</v>
      </c>
      <c r="AF824" t="s">
        <v>52</v>
      </c>
      <c r="AG824" t="s">
        <v>52</v>
      </c>
      <c r="AH824" t="s">
        <v>64</v>
      </c>
      <c r="AK824">
        <v>4</v>
      </c>
      <c r="AL824">
        <v>4</v>
      </c>
      <c r="AN824">
        <v>333</v>
      </c>
      <c r="AO824" t="s">
        <v>56</v>
      </c>
      <c r="AP824">
        <v>32</v>
      </c>
      <c r="AQ824" t="s">
        <v>57</v>
      </c>
      <c r="AR824">
        <v>8.25</v>
      </c>
      <c r="AS824" t="s">
        <v>56</v>
      </c>
      <c r="AT824">
        <v>0.04</v>
      </c>
      <c r="AU824">
        <v>867</v>
      </c>
      <c r="AV824" t="s">
        <v>56</v>
      </c>
      <c r="AW824">
        <v>141</v>
      </c>
      <c r="AX824">
        <v>7.86</v>
      </c>
      <c r="AY824" t="s">
        <v>56</v>
      </c>
      <c r="AZ824">
        <v>7.0000000000000007E-2</v>
      </c>
      <c r="BB824">
        <f>LOG(AU824)</f>
        <v>2.9380190974762104</v>
      </c>
      <c r="BC824">
        <v>14.4</v>
      </c>
      <c r="BD824" t="s">
        <v>56</v>
      </c>
      <c r="BE824">
        <v>1.1000000000000001</v>
      </c>
      <c r="BF824">
        <v>18.2</v>
      </c>
      <c r="BG824" t="s">
        <v>56</v>
      </c>
      <c r="BH824">
        <v>0.9</v>
      </c>
      <c r="BI824">
        <v>534</v>
      </c>
      <c r="BJ824">
        <v>3.8</v>
      </c>
      <c r="BK824" t="s">
        <v>56</v>
      </c>
      <c r="BL824" t="s">
        <v>561</v>
      </c>
      <c r="BM824" t="s">
        <v>75</v>
      </c>
      <c r="BN824" t="s">
        <v>60</v>
      </c>
      <c r="BO824" t="s">
        <v>82</v>
      </c>
      <c r="BP824" t="s">
        <v>77</v>
      </c>
      <c r="BR824" t="s">
        <v>63</v>
      </c>
      <c r="BT824">
        <v>35.71</v>
      </c>
      <c r="BU824">
        <v>35.714286000000001</v>
      </c>
      <c r="BV824">
        <v>3.57</v>
      </c>
      <c r="BW824">
        <f>BV824*SQRT(AK824)</f>
        <v>7.14</v>
      </c>
      <c r="BX824">
        <v>33.1</v>
      </c>
      <c r="BY824">
        <v>33.095238100000003</v>
      </c>
      <c r="BZ824">
        <v>6.07</v>
      </c>
      <c r="CA824">
        <f>BZ824*SQRT(AL824)</f>
        <v>12.14</v>
      </c>
      <c r="CB824">
        <v>140</v>
      </c>
      <c r="CC824">
        <v>4</v>
      </c>
      <c r="CD824">
        <v>-7.5999999999999998E-2</v>
      </c>
      <c r="CE824">
        <v>4.3700000000000003E-2</v>
      </c>
    </row>
    <row r="825" spans="4:83" hidden="1" x14ac:dyDescent="0.2">
      <c r="D825">
        <v>56</v>
      </c>
      <c r="G825" t="s">
        <v>43</v>
      </c>
      <c r="H825" t="s">
        <v>559</v>
      </c>
      <c r="J825">
        <v>2013</v>
      </c>
      <c r="M825" t="s">
        <v>560</v>
      </c>
      <c r="T825" t="s">
        <v>68</v>
      </c>
      <c r="U825" t="s">
        <v>258</v>
      </c>
      <c r="V825" t="s">
        <v>259</v>
      </c>
      <c r="Z825" t="s">
        <v>49</v>
      </c>
      <c r="AA825" t="s">
        <v>49</v>
      </c>
      <c r="AB825" t="s">
        <v>50</v>
      </c>
      <c r="AC825" t="s">
        <v>51</v>
      </c>
      <c r="AD825" t="s">
        <v>52</v>
      </c>
      <c r="AE825" t="s">
        <v>53</v>
      </c>
      <c r="AF825" t="s">
        <v>54</v>
      </c>
      <c r="AG825" t="s">
        <v>52</v>
      </c>
      <c r="AH825" t="s">
        <v>65</v>
      </c>
      <c r="AK825">
        <v>4</v>
      </c>
      <c r="AL825">
        <v>4</v>
      </c>
      <c r="AN825">
        <v>333</v>
      </c>
      <c r="AO825" t="s">
        <v>56</v>
      </c>
      <c r="AP825">
        <v>32</v>
      </c>
      <c r="AQ825" t="s">
        <v>57</v>
      </c>
      <c r="AR825">
        <v>8.25</v>
      </c>
      <c r="AS825" t="s">
        <v>56</v>
      </c>
      <c r="AT825">
        <v>0.04</v>
      </c>
      <c r="AU825">
        <v>296</v>
      </c>
      <c r="AV825" t="s">
        <v>56</v>
      </c>
      <c r="AW825">
        <v>24</v>
      </c>
      <c r="AX825">
        <v>8.2799999999999994</v>
      </c>
      <c r="AY825" t="s">
        <v>56</v>
      </c>
      <c r="AZ825">
        <v>0.06</v>
      </c>
      <c r="BB825">
        <f>LOG(AU825)</f>
        <v>2.4712917110589387</v>
      </c>
      <c r="BC825">
        <v>14.4</v>
      </c>
      <c r="BD825" t="s">
        <v>56</v>
      </c>
      <c r="BE825">
        <v>1.1000000000000001</v>
      </c>
      <c r="BF825">
        <v>19.100000000000001</v>
      </c>
      <c r="BG825" t="s">
        <v>56</v>
      </c>
      <c r="BH825">
        <v>0.9</v>
      </c>
      <c r="BI825">
        <v>-37</v>
      </c>
      <c r="BJ825">
        <v>4.7</v>
      </c>
      <c r="BK825" t="s">
        <v>56</v>
      </c>
      <c r="BL825" t="s">
        <v>561</v>
      </c>
      <c r="BM825" t="s">
        <v>75</v>
      </c>
      <c r="BN825" t="s">
        <v>60</v>
      </c>
      <c r="BO825" t="s">
        <v>82</v>
      </c>
      <c r="BP825" t="s">
        <v>77</v>
      </c>
      <c r="BR825" t="s">
        <v>63</v>
      </c>
      <c r="BT825">
        <v>19.52</v>
      </c>
      <c r="BU825">
        <v>19.523810000000001</v>
      </c>
      <c r="BV825">
        <v>2.02</v>
      </c>
      <c r="BW825">
        <f>BV825*SQRT(AK825)</f>
        <v>4.04</v>
      </c>
      <c r="BX825">
        <v>20.48</v>
      </c>
      <c r="BY825">
        <v>20.476190500000001</v>
      </c>
      <c r="BZ825">
        <v>8.93</v>
      </c>
      <c r="CA825">
        <f>BZ825*SQRT(AL825)</f>
        <v>17.86</v>
      </c>
      <c r="CB825">
        <v>14</v>
      </c>
      <c r="CC825">
        <v>4</v>
      </c>
      <c r="CD825">
        <v>4.8000000000000001E-2</v>
      </c>
      <c r="CE825">
        <v>0.2009</v>
      </c>
    </row>
    <row r="826" spans="4:83" hidden="1" x14ac:dyDescent="0.2">
      <c r="D826">
        <v>56</v>
      </c>
      <c r="G826" t="s">
        <v>43</v>
      </c>
      <c r="H826" t="s">
        <v>559</v>
      </c>
      <c r="J826">
        <v>2013</v>
      </c>
      <c r="M826" t="s">
        <v>560</v>
      </c>
      <c r="T826" t="s">
        <v>68</v>
      </c>
      <c r="U826" t="s">
        <v>258</v>
      </c>
      <c r="V826" t="s">
        <v>259</v>
      </c>
      <c r="Z826" t="s">
        <v>49</v>
      </c>
      <c r="AA826" t="s">
        <v>49</v>
      </c>
      <c r="AB826" t="s">
        <v>50</v>
      </c>
      <c r="AC826" t="s">
        <v>51</v>
      </c>
      <c r="AD826" t="s">
        <v>52</v>
      </c>
      <c r="AE826" t="s">
        <v>53</v>
      </c>
      <c r="AF826" t="s">
        <v>52</v>
      </c>
      <c r="AG826" t="s">
        <v>52</v>
      </c>
      <c r="AH826" t="s">
        <v>64</v>
      </c>
      <c r="AK826">
        <v>4</v>
      </c>
      <c r="AL826">
        <v>4</v>
      </c>
      <c r="AN826">
        <v>333</v>
      </c>
      <c r="AO826" t="s">
        <v>56</v>
      </c>
      <c r="AP826">
        <v>32</v>
      </c>
      <c r="AQ826" t="s">
        <v>57</v>
      </c>
      <c r="AR826">
        <v>8.25</v>
      </c>
      <c r="AS826" t="s">
        <v>56</v>
      </c>
      <c r="AT826">
        <v>0.04</v>
      </c>
      <c r="AU826">
        <v>867</v>
      </c>
      <c r="AV826" t="s">
        <v>56</v>
      </c>
      <c r="AW826">
        <v>141</v>
      </c>
      <c r="AX826">
        <v>7.86</v>
      </c>
      <c r="AY826" t="s">
        <v>56</v>
      </c>
      <c r="AZ826">
        <v>7.0000000000000007E-2</v>
      </c>
      <c r="BB826">
        <f>LOG(AU826)</f>
        <v>2.9380190974762104</v>
      </c>
      <c r="BC826">
        <v>14.4</v>
      </c>
      <c r="BD826" t="s">
        <v>56</v>
      </c>
      <c r="BE826">
        <v>1.1000000000000001</v>
      </c>
      <c r="BF826">
        <v>18.2</v>
      </c>
      <c r="BG826" t="s">
        <v>56</v>
      </c>
      <c r="BH826">
        <v>0.9</v>
      </c>
      <c r="BI826">
        <v>534</v>
      </c>
      <c r="BJ826">
        <v>3.8</v>
      </c>
      <c r="BK826" t="s">
        <v>56</v>
      </c>
      <c r="BL826" t="s">
        <v>562</v>
      </c>
      <c r="BM826" t="s">
        <v>59</v>
      </c>
      <c r="BN826" t="s">
        <v>60</v>
      </c>
      <c r="BO826" t="s">
        <v>563</v>
      </c>
      <c r="BP826" t="s">
        <v>62</v>
      </c>
      <c r="BR826" t="s">
        <v>63</v>
      </c>
      <c r="BT826">
        <v>10.28</v>
      </c>
      <c r="BU826">
        <v>10.277778</v>
      </c>
      <c r="BV826">
        <v>0.74</v>
      </c>
      <c r="BW826">
        <f>BV826*SQRT(AK826)</f>
        <v>1.48</v>
      </c>
      <c r="BX826">
        <v>11.76</v>
      </c>
      <c r="BY826">
        <v>11.7592593</v>
      </c>
      <c r="BZ826">
        <v>0.86</v>
      </c>
      <c r="CA826">
        <f>BZ826*SQRT(AL826)</f>
        <v>1.72</v>
      </c>
      <c r="CB826">
        <v>140</v>
      </c>
      <c r="CC826">
        <v>4</v>
      </c>
      <c r="CD826">
        <v>0.13500000000000001</v>
      </c>
      <c r="CE826">
        <v>1.0500000000000001E-2</v>
      </c>
    </row>
    <row r="827" spans="4:83" hidden="1" x14ac:dyDescent="0.2">
      <c r="D827">
        <v>56</v>
      </c>
      <c r="G827" t="s">
        <v>43</v>
      </c>
      <c r="H827" t="s">
        <v>559</v>
      </c>
      <c r="J827">
        <v>2013</v>
      </c>
      <c r="M827" t="s">
        <v>560</v>
      </c>
      <c r="T827" t="s">
        <v>68</v>
      </c>
      <c r="U827" t="s">
        <v>258</v>
      </c>
      <c r="V827" t="s">
        <v>259</v>
      </c>
      <c r="Z827" t="s">
        <v>49</v>
      </c>
      <c r="AA827" t="s">
        <v>49</v>
      </c>
      <c r="AB827" t="s">
        <v>50</v>
      </c>
      <c r="AC827" t="s">
        <v>51</v>
      </c>
      <c r="AD827" t="s">
        <v>52</v>
      </c>
      <c r="AE827" t="s">
        <v>53</v>
      </c>
      <c r="AF827" t="s">
        <v>52</v>
      </c>
      <c r="AG827" t="s">
        <v>54</v>
      </c>
      <c r="AH827" t="s">
        <v>55</v>
      </c>
      <c r="AK827">
        <v>4</v>
      </c>
      <c r="AL827">
        <v>4</v>
      </c>
      <c r="AN827">
        <v>333</v>
      </c>
      <c r="AO827" t="s">
        <v>56</v>
      </c>
      <c r="AP827">
        <v>32</v>
      </c>
      <c r="AQ827" t="s">
        <v>57</v>
      </c>
      <c r="AR827">
        <v>8.25</v>
      </c>
      <c r="AS827" t="s">
        <v>56</v>
      </c>
      <c r="AT827">
        <v>0.04</v>
      </c>
      <c r="AU827">
        <v>969</v>
      </c>
      <c r="AV827" t="s">
        <v>56</v>
      </c>
      <c r="AW827">
        <v>82</v>
      </c>
      <c r="AX827">
        <v>7.79</v>
      </c>
      <c r="AY827" t="s">
        <v>56</v>
      </c>
      <c r="AZ827">
        <v>0.06</v>
      </c>
      <c r="BB827">
        <f>LOG(AU827)</f>
        <v>2.9863237770507651</v>
      </c>
      <c r="BC827">
        <v>14.4</v>
      </c>
      <c r="BD827" t="s">
        <v>56</v>
      </c>
      <c r="BE827">
        <v>1.1000000000000001</v>
      </c>
      <c r="BF827">
        <v>14</v>
      </c>
      <c r="BG827" t="s">
        <v>56</v>
      </c>
      <c r="BH827">
        <v>0.9</v>
      </c>
      <c r="BI827">
        <v>636</v>
      </c>
      <c r="BJ827">
        <v>-0.3</v>
      </c>
      <c r="BK827" t="s">
        <v>56</v>
      </c>
      <c r="BL827" t="s">
        <v>562</v>
      </c>
      <c r="BM827" t="s">
        <v>59</v>
      </c>
      <c r="BN827" t="s">
        <v>60</v>
      </c>
      <c r="BO827" t="s">
        <v>563</v>
      </c>
      <c r="BP827" t="s">
        <v>62</v>
      </c>
      <c r="BR827" t="s">
        <v>63</v>
      </c>
      <c r="BT827">
        <v>10</v>
      </c>
      <c r="BU827">
        <v>10</v>
      </c>
      <c r="BV827">
        <v>1.1599999999999999</v>
      </c>
      <c r="BW827">
        <f>BV827*SQRT(AK827)</f>
        <v>2.3199999999999998</v>
      </c>
      <c r="BX827">
        <v>11.62</v>
      </c>
      <c r="BY827">
        <v>11.620370400000001</v>
      </c>
      <c r="BZ827">
        <v>2.13</v>
      </c>
      <c r="CA827">
        <f>BZ827*SQRT(AL827)</f>
        <v>4.26</v>
      </c>
      <c r="CB827">
        <v>14</v>
      </c>
      <c r="CC827">
        <v>4</v>
      </c>
      <c r="CD827">
        <v>0.15</v>
      </c>
      <c r="CE827">
        <v>4.7E-2</v>
      </c>
    </row>
    <row r="828" spans="4:83" hidden="1" x14ac:dyDescent="0.2">
      <c r="D828">
        <v>56</v>
      </c>
      <c r="G828" t="s">
        <v>43</v>
      </c>
      <c r="H828" t="s">
        <v>559</v>
      </c>
      <c r="J828">
        <v>2013</v>
      </c>
      <c r="M828" t="s">
        <v>560</v>
      </c>
      <c r="T828" t="s">
        <v>68</v>
      </c>
      <c r="U828" t="s">
        <v>258</v>
      </c>
      <c r="V828" t="s">
        <v>259</v>
      </c>
      <c r="Z828" t="s">
        <v>49</v>
      </c>
      <c r="AA828" t="s">
        <v>49</v>
      </c>
      <c r="AB828" t="s">
        <v>50</v>
      </c>
      <c r="AC828" t="s">
        <v>51</v>
      </c>
      <c r="AD828" t="s">
        <v>52</v>
      </c>
      <c r="AE828" t="s">
        <v>53</v>
      </c>
      <c r="AF828" t="s">
        <v>52</v>
      </c>
      <c r="AG828" t="s">
        <v>52</v>
      </c>
      <c r="AH828" t="s">
        <v>64</v>
      </c>
      <c r="AK828">
        <v>4</v>
      </c>
      <c r="AL828">
        <v>4</v>
      </c>
      <c r="AN828">
        <v>333</v>
      </c>
      <c r="AO828" t="s">
        <v>56</v>
      </c>
      <c r="AP828">
        <v>32</v>
      </c>
      <c r="AQ828" t="s">
        <v>57</v>
      </c>
      <c r="AR828">
        <v>8.25</v>
      </c>
      <c r="AS828" t="s">
        <v>56</v>
      </c>
      <c r="AT828">
        <v>0.04</v>
      </c>
      <c r="AU828">
        <v>602</v>
      </c>
      <c r="AV828" t="s">
        <v>56</v>
      </c>
      <c r="AW828">
        <v>104</v>
      </c>
      <c r="AX828">
        <v>7.98</v>
      </c>
      <c r="AY828" t="s">
        <v>56</v>
      </c>
      <c r="AZ828">
        <v>0.09</v>
      </c>
      <c r="BB828">
        <f>LOG(AU828)</f>
        <v>2.7795964912578244</v>
      </c>
      <c r="BC828">
        <v>14.4</v>
      </c>
      <c r="BD828" t="s">
        <v>56</v>
      </c>
      <c r="BE828">
        <v>1.1000000000000001</v>
      </c>
      <c r="BF828">
        <v>18.600000000000001</v>
      </c>
      <c r="BG828" t="s">
        <v>56</v>
      </c>
      <c r="BH828">
        <v>1.2</v>
      </c>
      <c r="BI828">
        <v>269</v>
      </c>
      <c r="BJ828">
        <v>4.2</v>
      </c>
      <c r="BK828" t="s">
        <v>56</v>
      </c>
      <c r="BL828" t="s">
        <v>562</v>
      </c>
      <c r="BM828" t="s">
        <v>59</v>
      </c>
      <c r="BN828" t="s">
        <v>60</v>
      </c>
      <c r="BO828" t="s">
        <v>563</v>
      </c>
      <c r="BP828" t="s">
        <v>62</v>
      </c>
      <c r="BR828" t="s">
        <v>63</v>
      </c>
      <c r="BT828">
        <v>10</v>
      </c>
      <c r="BU828">
        <v>10</v>
      </c>
      <c r="BV828">
        <v>1.1599999999999999</v>
      </c>
      <c r="BW828">
        <f>BV828*SQRT(AK828)</f>
        <v>2.3199999999999998</v>
      </c>
      <c r="BX828">
        <v>11.62</v>
      </c>
      <c r="BY828">
        <v>11.620370400000001</v>
      </c>
      <c r="BZ828">
        <v>1.27</v>
      </c>
      <c r="CA828">
        <f>BZ828*SQRT(AL828)</f>
        <v>2.54</v>
      </c>
      <c r="CB828">
        <v>14</v>
      </c>
      <c r="CC828">
        <v>4</v>
      </c>
      <c r="CD828">
        <v>0.15</v>
      </c>
      <c r="CE828">
        <v>2.5399999999999999E-2</v>
      </c>
    </row>
    <row r="829" spans="4:83" hidden="1" x14ac:dyDescent="0.2">
      <c r="D829">
        <v>56</v>
      </c>
      <c r="G829" t="s">
        <v>43</v>
      </c>
      <c r="H829" t="s">
        <v>559</v>
      </c>
      <c r="J829">
        <v>2013</v>
      </c>
      <c r="M829" t="s">
        <v>560</v>
      </c>
      <c r="T829" t="s">
        <v>68</v>
      </c>
      <c r="U829" t="s">
        <v>258</v>
      </c>
      <c r="V829" t="s">
        <v>259</v>
      </c>
      <c r="Z829" t="s">
        <v>49</v>
      </c>
      <c r="AA829" t="s">
        <v>49</v>
      </c>
      <c r="AB829" t="s">
        <v>50</v>
      </c>
      <c r="AC829" t="s">
        <v>51</v>
      </c>
      <c r="AD829" t="s">
        <v>52</v>
      </c>
      <c r="AE829" t="s">
        <v>53</v>
      </c>
      <c r="AF829" t="s">
        <v>52</v>
      </c>
      <c r="AG829" t="s">
        <v>52</v>
      </c>
      <c r="AH829" t="s">
        <v>64</v>
      </c>
      <c r="AK829">
        <v>4</v>
      </c>
      <c r="AL829">
        <v>4</v>
      </c>
      <c r="AN829">
        <v>333</v>
      </c>
      <c r="AO829" t="s">
        <v>56</v>
      </c>
      <c r="AP829">
        <v>32</v>
      </c>
      <c r="AQ829" t="s">
        <v>57</v>
      </c>
      <c r="AR829">
        <v>8.25</v>
      </c>
      <c r="AS829" t="s">
        <v>56</v>
      </c>
      <c r="AT829">
        <v>0.04</v>
      </c>
      <c r="AU829">
        <v>602</v>
      </c>
      <c r="AV829" t="s">
        <v>56</v>
      </c>
      <c r="AW829">
        <v>104</v>
      </c>
      <c r="AX829">
        <v>7.98</v>
      </c>
      <c r="AY829" t="s">
        <v>56</v>
      </c>
      <c r="AZ829">
        <v>0.09</v>
      </c>
      <c r="BB829">
        <f>LOG(AU829)</f>
        <v>2.7795964912578244</v>
      </c>
      <c r="BC829">
        <v>14.4</v>
      </c>
      <c r="BD829" t="s">
        <v>56</v>
      </c>
      <c r="BE829">
        <v>1.1000000000000001</v>
      </c>
      <c r="BF829">
        <v>18.600000000000001</v>
      </c>
      <c r="BG829" t="s">
        <v>56</v>
      </c>
      <c r="BH829">
        <v>1.2</v>
      </c>
      <c r="BI829">
        <v>269</v>
      </c>
      <c r="BJ829">
        <v>4.2</v>
      </c>
      <c r="BK829" t="s">
        <v>56</v>
      </c>
      <c r="BL829" t="s">
        <v>562</v>
      </c>
      <c r="BM829" t="s">
        <v>59</v>
      </c>
      <c r="BN829" t="s">
        <v>60</v>
      </c>
      <c r="BO829" t="s">
        <v>563</v>
      </c>
      <c r="BP829" t="s">
        <v>62</v>
      </c>
      <c r="BR829" t="s">
        <v>63</v>
      </c>
      <c r="BT829">
        <v>10.28</v>
      </c>
      <c r="BU829">
        <v>10.277778</v>
      </c>
      <c r="BV829">
        <v>0.74</v>
      </c>
      <c r="BW829">
        <f>BV829*SQRT(AK829)</f>
        <v>1.48</v>
      </c>
      <c r="BX829">
        <v>12.36</v>
      </c>
      <c r="BY829">
        <v>12.3611111</v>
      </c>
      <c r="BZ829">
        <v>0.67</v>
      </c>
      <c r="CA829">
        <f>BZ829*SQRT(AL829)</f>
        <v>1.34</v>
      </c>
      <c r="CB829">
        <v>140</v>
      </c>
      <c r="CC829">
        <v>4</v>
      </c>
      <c r="CD829">
        <v>0.185</v>
      </c>
      <c r="CE829">
        <v>8.0999999999999996E-3</v>
      </c>
    </row>
    <row r="830" spans="4:83" hidden="1" x14ac:dyDescent="0.2">
      <c r="D830">
        <v>56</v>
      </c>
      <c r="G830" t="s">
        <v>43</v>
      </c>
      <c r="H830" t="s">
        <v>559</v>
      </c>
      <c r="J830">
        <v>2013</v>
      </c>
      <c r="M830" t="s">
        <v>560</v>
      </c>
      <c r="T830" t="s">
        <v>68</v>
      </c>
      <c r="U830" t="s">
        <v>258</v>
      </c>
      <c r="V830" t="s">
        <v>259</v>
      </c>
      <c r="Z830" t="s">
        <v>49</v>
      </c>
      <c r="AA830" t="s">
        <v>49</v>
      </c>
      <c r="AB830" t="s">
        <v>50</v>
      </c>
      <c r="AC830" t="s">
        <v>51</v>
      </c>
      <c r="AD830" t="s">
        <v>52</v>
      </c>
      <c r="AE830" t="s">
        <v>53</v>
      </c>
      <c r="AF830" t="s">
        <v>52</v>
      </c>
      <c r="AG830" t="s">
        <v>54</v>
      </c>
      <c r="AH830" t="s">
        <v>55</v>
      </c>
      <c r="AK830">
        <v>4</v>
      </c>
      <c r="AL830">
        <v>4</v>
      </c>
      <c r="AN830">
        <v>333</v>
      </c>
      <c r="AO830" t="s">
        <v>56</v>
      </c>
      <c r="AP830">
        <v>32</v>
      </c>
      <c r="AQ830" t="s">
        <v>57</v>
      </c>
      <c r="AR830">
        <v>8.25</v>
      </c>
      <c r="AS830" t="s">
        <v>56</v>
      </c>
      <c r="AT830">
        <v>0.04</v>
      </c>
      <c r="AU830">
        <v>663</v>
      </c>
      <c r="AV830" t="s">
        <v>56</v>
      </c>
      <c r="AW830">
        <v>141</v>
      </c>
      <c r="AX830">
        <v>7.97</v>
      </c>
      <c r="AY830" t="s">
        <v>56</v>
      </c>
      <c r="AZ830">
        <v>0.08</v>
      </c>
      <c r="BB830">
        <f>LOG(AU830)</f>
        <v>2.8215135284047732</v>
      </c>
      <c r="BC830">
        <v>14.4</v>
      </c>
      <c r="BD830" t="s">
        <v>56</v>
      </c>
      <c r="BE830">
        <v>1.1000000000000001</v>
      </c>
      <c r="BF830">
        <v>14.5</v>
      </c>
      <c r="BG830" t="s">
        <v>56</v>
      </c>
      <c r="BH830">
        <v>1</v>
      </c>
      <c r="BI830">
        <v>330</v>
      </c>
      <c r="BJ830">
        <v>0.1</v>
      </c>
      <c r="BK830" t="s">
        <v>56</v>
      </c>
      <c r="BL830" t="s">
        <v>562</v>
      </c>
      <c r="BM830" t="s">
        <v>59</v>
      </c>
      <c r="BN830" t="s">
        <v>60</v>
      </c>
      <c r="BO830" t="s">
        <v>563</v>
      </c>
      <c r="BP830" t="s">
        <v>62</v>
      </c>
      <c r="BR830" t="s">
        <v>63</v>
      </c>
      <c r="BT830">
        <v>10</v>
      </c>
      <c r="BU830">
        <v>10</v>
      </c>
      <c r="BV830">
        <v>1.1599999999999999</v>
      </c>
      <c r="BW830">
        <f>BV830*SQRT(AK830)</f>
        <v>2.3199999999999998</v>
      </c>
      <c r="BX830">
        <v>12.29</v>
      </c>
      <c r="BY830">
        <v>12.2916667</v>
      </c>
      <c r="BZ830">
        <v>0.95</v>
      </c>
      <c r="CA830">
        <f>BZ830*SQRT(AL830)</f>
        <v>1.9</v>
      </c>
      <c r="CB830">
        <v>14</v>
      </c>
      <c r="CC830">
        <v>4</v>
      </c>
      <c r="CD830">
        <v>0.20599999999999999</v>
      </c>
      <c r="CE830">
        <v>1.9400000000000001E-2</v>
      </c>
    </row>
    <row r="831" spans="4:83" hidden="1" x14ac:dyDescent="0.2">
      <c r="D831">
        <v>56</v>
      </c>
      <c r="G831" t="s">
        <v>43</v>
      </c>
      <c r="H831" t="s">
        <v>559</v>
      </c>
      <c r="J831">
        <v>2013</v>
      </c>
      <c r="M831" t="s">
        <v>560</v>
      </c>
      <c r="T831" t="s">
        <v>68</v>
      </c>
      <c r="U831" t="s">
        <v>258</v>
      </c>
      <c r="V831" t="s">
        <v>259</v>
      </c>
      <c r="Z831" t="s">
        <v>49</v>
      </c>
      <c r="AA831" t="s">
        <v>49</v>
      </c>
      <c r="AB831" t="s">
        <v>50</v>
      </c>
      <c r="AC831" t="s">
        <v>51</v>
      </c>
      <c r="AD831" t="s">
        <v>52</v>
      </c>
      <c r="AE831" t="s">
        <v>53</v>
      </c>
      <c r="AF831" t="s">
        <v>52</v>
      </c>
      <c r="AG831" t="s">
        <v>54</v>
      </c>
      <c r="AH831" t="s">
        <v>55</v>
      </c>
      <c r="AK831">
        <v>4</v>
      </c>
      <c r="AL831">
        <v>4</v>
      </c>
      <c r="AN831">
        <v>333</v>
      </c>
      <c r="AO831" t="s">
        <v>56</v>
      </c>
      <c r="AP831">
        <v>32</v>
      </c>
      <c r="AQ831" t="s">
        <v>57</v>
      </c>
      <c r="AR831">
        <v>8.25</v>
      </c>
      <c r="AS831" t="s">
        <v>56</v>
      </c>
      <c r="AT831">
        <v>0.04</v>
      </c>
      <c r="AU831">
        <v>663</v>
      </c>
      <c r="AV831" t="s">
        <v>56</v>
      </c>
      <c r="AW831">
        <v>141</v>
      </c>
      <c r="AX831">
        <v>7.97</v>
      </c>
      <c r="AY831" t="s">
        <v>56</v>
      </c>
      <c r="AZ831">
        <v>0.08</v>
      </c>
      <c r="BB831">
        <f>LOG(AU831)</f>
        <v>2.8215135284047732</v>
      </c>
      <c r="BC831">
        <v>14.4</v>
      </c>
      <c r="BD831" t="s">
        <v>56</v>
      </c>
      <c r="BE831">
        <v>1.1000000000000001</v>
      </c>
      <c r="BF831">
        <v>14.5</v>
      </c>
      <c r="BG831" t="s">
        <v>56</v>
      </c>
      <c r="BH831">
        <v>1</v>
      </c>
      <c r="BI831">
        <v>330</v>
      </c>
      <c r="BJ831">
        <v>0.1</v>
      </c>
      <c r="BK831" t="s">
        <v>56</v>
      </c>
      <c r="BL831" t="s">
        <v>562</v>
      </c>
      <c r="BM831" t="s">
        <v>59</v>
      </c>
      <c r="BN831" t="s">
        <v>60</v>
      </c>
      <c r="BO831" t="s">
        <v>563</v>
      </c>
      <c r="BP831" t="s">
        <v>62</v>
      </c>
      <c r="BR831" t="s">
        <v>63</v>
      </c>
      <c r="BT831">
        <v>10.28</v>
      </c>
      <c r="BU831">
        <v>10.277778</v>
      </c>
      <c r="BV831">
        <v>0.74</v>
      </c>
      <c r="BW831">
        <f>BV831*SQRT(AK831)</f>
        <v>1.48</v>
      </c>
      <c r="BX831">
        <v>12.92</v>
      </c>
      <c r="BY831">
        <v>12.9166667</v>
      </c>
      <c r="BZ831">
        <v>2.59</v>
      </c>
      <c r="CA831">
        <f>BZ831*SQRT(AL831)</f>
        <v>5.18</v>
      </c>
      <c r="CB831">
        <v>140</v>
      </c>
      <c r="CC831">
        <v>4</v>
      </c>
      <c r="CD831">
        <v>0.22900000000000001</v>
      </c>
      <c r="CE831">
        <v>4.5499999999999999E-2</v>
      </c>
    </row>
    <row r="832" spans="4:83" hidden="1" x14ac:dyDescent="0.2">
      <c r="D832">
        <v>56</v>
      </c>
      <c r="G832" t="s">
        <v>43</v>
      </c>
      <c r="H832" t="s">
        <v>559</v>
      </c>
      <c r="J832">
        <v>2013</v>
      </c>
      <c r="M832" t="s">
        <v>560</v>
      </c>
      <c r="T832" t="s">
        <v>68</v>
      </c>
      <c r="U832" t="s">
        <v>258</v>
      </c>
      <c r="V832" t="s">
        <v>259</v>
      </c>
      <c r="Z832" t="s">
        <v>49</v>
      </c>
      <c r="AA832" t="s">
        <v>49</v>
      </c>
      <c r="AB832" t="s">
        <v>50</v>
      </c>
      <c r="AC832" t="s">
        <v>51</v>
      </c>
      <c r="AD832" t="s">
        <v>52</v>
      </c>
      <c r="AE832" t="s">
        <v>53</v>
      </c>
      <c r="AF832" t="s">
        <v>54</v>
      </c>
      <c r="AG832" t="s">
        <v>52</v>
      </c>
      <c r="AH832" t="s">
        <v>65</v>
      </c>
      <c r="AK832">
        <v>4</v>
      </c>
      <c r="AL832">
        <v>4</v>
      </c>
      <c r="AN832">
        <v>333</v>
      </c>
      <c r="AO832" t="s">
        <v>56</v>
      </c>
      <c r="AP832">
        <v>32</v>
      </c>
      <c r="AQ832" t="s">
        <v>57</v>
      </c>
      <c r="AR832">
        <v>8.25</v>
      </c>
      <c r="AS832" t="s">
        <v>56</v>
      </c>
      <c r="AT832">
        <v>0.04</v>
      </c>
      <c r="AU832">
        <v>296</v>
      </c>
      <c r="AV832" t="s">
        <v>56</v>
      </c>
      <c r="AW832">
        <v>24</v>
      </c>
      <c r="AX832">
        <v>8.2799999999999994</v>
      </c>
      <c r="AY832" t="s">
        <v>56</v>
      </c>
      <c r="AZ832">
        <v>0.06</v>
      </c>
      <c r="BB832">
        <f>LOG(AU832)</f>
        <v>2.4712917110589387</v>
      </c>
      <c r="BC832">
        <v>14.4</v>
      </c>
      <c r="BD832" t="s">
        <v>56</v>
      </c>
      <c r="BE832">
        <v>1.1000000000000001</v>
      </c>
      <c r="BF832">
        <v>19.100000000000001</v>
      </c>
      <c r="BG832" t="s">
        <v>56</v>
      </c>
      <c r="BH832">
        <v>0.9</v>
      </c>
      <c r="BI832">
        <v>-37</v>
      </c>
      <c r="BJ832">
        <v>4.7</v>
      </c>
      <c r="BK832" t="s">
        <v>56</v>
      </c>
      <c r="BL832" t="s">
        <v>562</v>
      </c>
      <c r="BM832" t="s">
        <v>59</v>
      </c>
      <c r="BN832" t="s">
        <v>60</v>
      </c>
      <c r="BO832" t="s">
        <v>563</v>
      </c>
      <c r="BP832" t="s">
        <v>62</v>
      </c>
      <c r="BR832" t="s">
        <v>63</v>
      </c>
      <c r="BT832">
        <v>10</v>
      </c>
      <c r="BU832">
        <v>10</v>
      </c>
      <c r="BV832">
        <v>1.1599999999999999</v>
      </c>
      <c r="BW832">
        <f>BV832*SQRT(AK832)</f>
        <v>2.3199999999999998</v>
      </c>
      <c r="BX832">
        <v>12.59</v>
      </c>
      <c r="BY832">
        <v>12.5925926</v>
      </c>
      <c r="BZ832">
        <v>0.88</v>
      </c>
      <c r="CA832">
        <f>BZ832*SQRT(AL832)</f>
        <v>1.76</v>
      </c>
      <c r="CB832">
        <v>14</v>
      </c>
      <c r="CC832">
        <v>4</v>
      </c>
      <c r="CD832">
        <v>0.23100000000000001</v>
      </c>
      <c r="CE832">
        <v>1.83E-2</v>
      </c>
    </row>
    <row r="833" spans="1:84" hidden="1" x14ac:dyDescent="0.2">
      <c r="D833">
        <v>56</v>
      </c>
      <c r="G833" t="s">
        <v>43</v>
      </c>
      <c r="H833" t="s">
        <v>559</v>
      </c>
      <c r="J833">
        <v>2013</v>
      </c>
      <c r="M833" t="s">
        <v>560</v>
      </c>
      <c r="T833" t="s">
        <v>68</v>
      </c>
      <c r="U833" t="s">
        <v>258</v>
      </c>
      <c r="V833" t="s">
        <v>259</v>
      </c>
      <c r="Z833" t="s">
        <v>49</v>
      </c>
      <c r="AA833" t="s">
        <v>49</v>
      </c>
      <c r="AB833" t="s">
        <v>50</v>
      </c>
      <c r="AC833" t="s">
        <v>51</v>
      </c>
      <c r="AD833" t="s">
        <v>52</v>
      </c>
      <c r="AE833" t="s">
        <v>53</v>
      </c>
      <c r="AF833" t="s">
        <v>52</v>
      </c>
      <c r="AG833" t="s">
        <v>52</v>
      </c>
      <c r="AH833" t="s">
        <v>64</v>
      </c>
      <c r="AK833">
        <v>4</v>
      </c>
      <c r="AL833">
        <v>4</v>
      </c>
      <c r="AN833">
        <v>333</v>
      </c>
      <c r="AO833" t="s">
        <v>56</v>
      </c>
      <c r="AP833">
        <v>32</v>
      </c>
      <c r="AQ833" t="s">
        <v>57</v>
      </c>
      <c r="AR833">
        <v>8.25</v>
      </c>
      <c r="AS833" t="s">
        <v>56</v>
      </c>
      <c r="AT833">
        <v>0.04</v>
      </c>
      <c r="AU833">
        <v>867</v>
      </c>
      <c r="AV833" t="s">
        <v>56</v>
      </c>
      <c r="AW833">
        <v>141</v>
      </c>
      <c r="AX833">
        <v>7.86</v>
      </c>
      <c r="AY833" t="s">
        <v>56</v>
      </c>
      <c r="AZ833">
        <v>7.0000000000000007E-2</v>
      </c>
      <c r="BB833">
        <f>LOG(AU833)</f>
        <v>2.9380190974762104</v>
      </c>
      <c r="BC833">
        <v>14.4</v>
      </c>
      <c r="BD833" t="s">
        <v>56</v>
      </c>
      <c r="BE833">
        <v>1.1000000000000001</v>
      </c>
      <c r="BF833">
        <v>18.2</v>
      </c>
      <c r="BG833" t="s">
        <v>56</v>
      </c>
      <c r="BH833">
        <v>0.9</v>
      </c>
      <c r="BI833">
        <v>534</v>
      </c>
      <c r="BJ833">
        <v>3.8</v>
      </c>
      <c r="BK833" t="s">
        <v>56</v>
      </c>
      <c r="BL833" t="s">
        <v>562</v>
      </c>
      <c r="BM833" t="s">
        <v>59</v>
      </c>
      <c r="BN833" t="s">
        <v>60</v>
      </c>
      <c r="BO833" t="s">
        <v>563</v>
      </c>
      <c r="BP833" t="s">
        <v>62</v>
      </c>
      <c r="BR833" t="s">
        <v>63</v>
      </c>
      <c r="BT833">
        <v>10</v>
      </c>
      <c r="BU833">
        <v>10</v>
      </c>
      <c r="BV833">
        <v>1.1599999999999999</v>
      </c>
      <c r="BW833">
        <f>BV833*SQRT(AK833)</f>
        <v>2.3199999999999998</v>
      </c>
      <c r="BX833">
        <v>13.19</v>
      </c>
      <c r="BY833">
        <v>13.1944444</v>
      </c>
      <c r="BZ833">
        <v>1.57</v>
      </c>
      <c r="CA833">
        <f>BZ833*SQRT(AL833)</f>
        <v>3.14</v>
      </c>
      <c r="CB833">
        <v>14</v>
      </c>
      <c r="CC833">
        <v>4</v>
      </c>
      <c r="CD833">
        <v>0.27700000000000002</v>
      </c>
      <c r="CE833">
        <v>2.76E-2</v>
      </c>
    </row>
    <row r="834" spans="1:84" hidden="1" x14ac:dyDescent="0.2">
      <c r="D834">
        <v>56</v>
      </c>
      <c r="G834" t="s">
        <v>43</v>
      </c>
      <c r="H834" t="s">
        <v>559</v>
      </c>
      <c r="J834">
        <v>2013</v>
      </c>
      <c r="M834" t="s">
        <v>560</v>
      </c>
      <c r="T834" t="s">
        <v>68</v>
      </c>
      <c r="U834" t="s">
        <v>258</v>
      </c>
      <c r="V834" t="s">
        <v>259</v>
      </c>
      <c r="Z834" t="s">
        <v>49</v>
      </c>
      <c r="AA834" t="s">
        <v>49</v>
      </c>
      <c r="AB834" t="s">
        <v>50</v>
      </c>
      <c r="AC834" t="s">
        <v>51</v>
      </c>
      <c r="AD834" t="s">
        <v>52</v>
      </c>
      <c r="AE834" t="s">
        <v>53</v>
      </c>
      <c r="AF834" t="s">
        <v>54</v>
      </c>
      <c r="AG834" t="s">
        <v>52</v>
      </c>
      <c r="AH834" t="s">
        <v>65</v>
      </c>
      <c r="AK834">
        <v>4</v>
      </c>
      <c r="AL834">
        <v>4</v>
      </c>
      <c r="AN834">
        <v>333</v>
      </c>
      <c r="AO834" t="s">
        <v>56</v>
      </c>
      <c r="AP834">
        <v>32</v>
      </c>
      <c r="AQ834" t="s">
        <v>57</v>
      </c>
      <c r="AR834">
        <v>8.25</v>
      </c>
      <c r="AS834" t="s">
        <v>56</v>
      </c>
      <c r="AT834">
        <v>0.04</v>
      </c>
      <c r="AU834">
        <v>296</v>
      </c>
      <c r="AV834" t="s">
        <v>56</v>
      </c>
      <c r="AW834">
        <v>24</v>
      </c>
      <c r="AX834">
        <v>8.2799999999999994</v>
      </c>
      <c r="AY834" t="s">
        <v>56</v>
      </c>
      <c r="AZ834">
        <v>0.06</v>
      </c>
      <c r="BB834">
        <f>LOG(AU834)</f>
        <v>2.4712917110589387</v>
      </c>
      <c r="BC834">
        <v>14.4</v>
      </c>
      <c r="BD834" t="s">
        <v>56</v>
      </c>
      <c r="BE834">
        <v>1.1000000000000001</v>
      </c>
      <c r="BF834">
        <v>19.100000000000001</v>
      </c>
      <c r="BG834" t="s">
        <v>56</v>
      </c>
      <c r="BH834">
        <v>0.9</v>
      </c>
      <c r="BI834">
        <v>-37</v>
      </c>
      <c r="BJ834">
        <v>4.7</v>
      </c>
      <c r="BK834" t="s">
        <v>56</v>
      </c>
      <c r="BL834" t="s">
        <v>562</v>
      </c>
      <c r="BM834" t="s">
        <v>59</v>
      </c>
      <c r="BN834" t="s">
        <v>60</v>
      </c>
      <c r="BO834" t="s">
        <v>563</v>
      </c>
      <c r="BP834" t="s">
        <v>62</v>
      </c>
      <c r="BR834" t="s">
        <v>63</v>
      </c>
      <c r="BT834">
        <v>10.28</v>
      </c>
      <c r="BU834">
        <v>10.277778</v>
      </c>
      <c r="BV834">
        <v>0.74</v>
      </c>
      <c r="BW834">
        <f>BV834*SQRT(AK834)</f>
        <v>1.48</v>
      </c>
      <c r="BX834">
        <v>14.51</v>
      </c>
      <c r="BY834">
        <v>14.5138889</v>
      </c>
      <c r="BZ834">
        <v>1.32</v>
      </c>
      <c r="CA834">
        <f>BZ834*SQRT(AL834)</f>
        <v>2.64</v>
      </c>
      <c r="CB834">
        <v>140</v>
      </c>
      <c r="CC834">
        <v>4</v>
      </c>
      <c r="CD834">
        <v>0.34499999999999997</v>
      </c>
      <c r="CE834">
        <v>1.35E-2</v>
      </c>
    </row>
    <row r="835" spans="1:84" hidden="1" x14ac:dyDescent="0.2">
      <c r="D835">
        <v>56</v>
      </c>
      <c r="G835" t="s">
        <v>43</v>
      </c>
      <c r="H835" t="s">
        <v>559</v>
      </c>
      <c r="J835">
        <v>2013</v>
      </c>
      <c r="M835" t="s">
        <v>560</v>
      </c>
      <c r="T835" t="s">
        <v>68</v>
      </c>
      <c r="U835" t="s">
        <v>258</v>
      </c>
      <c r="V835" t="s">
        <v>259</v>
      </c>
      <c r="Z835" t="s">
        <v>49</v>
      </c>
      <c r="AA835" t="s">
        <v>49</v>
      </c>
      <c r="AB835" t="s">
        <v>50</v>
      </c>
      <c r="AC835" t="s">
        <v>51</v>
      </c>
      <c r="AD835" t="s">
        <v>52</v>
      </c>
      <c r="AE835" t="s">
        <v>53</v>
      </c>
      <c r="AF835" t="s">
        <v>54</v>
      </c>
      <c r="AG835" t="s">
        <v>52</v>
      </c>
      <c r="AH835" t="s">
        <v>65</v>
      </c>
      <c r="AK835">
        <v>4</v>
      </c>
      <c r="AL835">
        <v>4</v>
      </c>
      <c r="AN835">
        <v>333</v>
      </c>
      <c r="AO835" t="s">
        <v>56</v>
      </c>
      <c r="AP835">
        <v>32</v>
      </c>
      <c r="AQ835" t="s">
        <v>57</v>
      </c>
      <c r="AR835">
        <v>8.25</v>
      </c>
      <c r="AS835" t="s">
        <v>56</v>
      </c>
      <c r="AT835">
        <v>0.04</v>
      </c>
      <c r="AU835">
        <v>296</v>
      </c>
      <c r="AV835" t="s">
        <v>56</v>
      </c>
      <c r="AW835">
        <v>24</v>
      </c>
      <c r="AX835">
        <v>8.2799999999999994</v>
      </c>
      <c r="AY835" t="s">
        <v>56</v>
      </c>
      <c r="AZ835">
        <v>0.06</v>
      </c>
      <c r="BB835">
        <f>LOG(AU835)</f>
        <v>2.4712917110589387</v>
      </c>
      <c r="BC835">
        <v>14.4</v>
      </c>
      <c r="BD835" t="s">
        <v>56</v>
      </c>
      <c r="BE835">
        <v>1.1000000000000001</v>
      </c>
      <c r="BF835">
        <v>19.100000000000001</v>
      </c>
      <c r="BG835" t="s">
        <v>56</v>
      </c>
      <c r="BH835">
        <v>0.9</v>
      </c>
      <c r="BI835">
        <v>-37</v>
      </c>
      <c r="BJ835">
        <v>4.7</v>
      </c>
      <c r="BK835" t="s">
        <v>56</v>
      </c>
      <c r="BL835" t="s">
        <v>561</v>
      </c>
      <c r="BM835" t="s">
        <v>75</v>
      </c>
      <c r="BN835" t="s">
        <v>60</v>
      </c>
      <c r="BO835" t="s">
        <v>82</v>
      </c>
      <c r="BP835" t="s">
        <v>77</v>
      </c>
      <c r="BR835" t="s">
        <v>63</v>
      </c>
      <c r="BT835">
        <v>35.71</v>
      </c>
      <c r="BU835">
        <v>35.714286000000001</v>
      </c>
      <c r="BV835">
        <v>3.57</v>
      </c>
      <c r="BW835">
        <f>BV835*SQRT(AK835)</f>
        <v>7.14</v>
      </c>
      <c r="BX835">
        <v>64.05</v>
      </c>
      <c r="BY835">
        <v>64.047618999999997</v>
      </c>
      <c r="BZ835">
        <v>11.55</v>
      </c>
      <c r="CA835">
        <f>BZ835*SQRT(AL835)</f>
        <v>23.1</v>
      </c>
      <c r="CB835">
        <v>140</v>
      </c>
      <c r="CC835">
        <v>4</v>
      </c>
      <c r="CD835">
        <v>0.58399999999999996</v>
      </c>
      <c r="CE835">
        <v>4.2500000000000003E-2</v>
      </c>
    </row>
    <row r="836" spans="1:84" hidden="1" x14ac:dyDescent="0.2">
      <c r="D836">
        <v>57</v>
      </c>
      <c r="G836" t="s">
        <v>43</v>
      </c>
      <c r="H836" t="s">
        <v>564</v>
      </c>
      <c r="J836">
        <v>2013</v>
      </c>
      <c r="M836" t="s">
        <v>565</v>
      </c>
      <c r="T836" t="s">
        <v>131</v>
      </c>
      <c r="U836" t="s">
        <v>566</v>
      </c>
      <c r="V836" t="s">
        <v>567</v>
      </c>
      <c r="Z836" t="s">
        <v>177</v>
      </c>
      <c r="AA836" t="s">
        <v>177</v>
      </c>
      <c r="AB836" t="s">
        <v>50</v>
      </c>
      <c r="AC836" t="s">
        <v>51</v>
      </c>
      <c r="AD836" t="s">
        <v>52</v>
      </c>
      <c r="AE836" t="s">
        <v>134</v>
      </c>
      <c r="AF836" t="s">
        <v>52</v>
      </c>
      <c r="AG836" t="s">
        <v>52</v>
      </c>
      <c r="AH836" t="s">
        <v>64</v>
      </c>
      <c r="AK836">
        <v>5</v>
      </c>
      <c r="AL836">
        <v>7</v>
      </c>
      <c r="AN836">
        <v>402</v>
      </c>
      <c r="AO836">
        <v>4</v>
      </c>
      <c r="AP836" t="s">
        <v>56</v>
      </c>
      <c r="AQ836" t="s">
        <v>109</v>
      </c>
      <c r="AR836">
        <v>8.17</v>
      </c>
      <c r="AS836">
        <v>0</v>
      </c>
      <c r="AT836" t="s">
        <v>56</v>
      </c>
      <c r="AU836">
        <v>1002</v>
      </c>
      <c r="AV836">
        <v>11</v>
      </c>
      <c r="AW836" t="s">
        <v>56</v>
      </c>
      <c r="AX836">
        <v>7.83</v>
      </c>
      <c r="AY836">
        <v>0.01</v>
      </c>
      <c r="AZ836" t="s">
        <v>56</v>
      </c>
      <c r="BB836">
        <f>LOG(AU836)</f>
        <v>3.0008677215312267</v>
      </c>
      <c r="BC836">
        <v>24.3</v>
      </c>
      <c r="BD836">
        <v>0.1</v>
      </c>
      <c r="BE836" t="s">
        <v>56</v>
      </c>
      <c r="BF836">
        <v>27.3</v>
      </c>
      <c r="BG836">
        <v>0.1</v>
      </c>
      <c r="BH836" t="s">
        <v>56</v>
      </c>
      <c r="BI836">
        <v>601</v>
      </c>
      <c r="BJ836">
        <v>3</v>
      </c>
      <c r="BK836" t="s">
        <v>56</v>
      </c>
      <c r="BL836" t="s">
        <v>83</v>
      </c>
      <c r="BM836" t="s">
        <v>83</v>
      </c>
      <c r="BN836" t="s">
        <v>81</v>
      </c>
      <c r="BO836" t="s">
        <v>121</v>
      </c>
      <c r="BP836" t="s">
        <v>83</v>
      </c>
      <c r="BR836" t="s">
        <v>84</v>
      </c>
      <c r="BT836">
        <v>14.21</v>
      </c>
      <c r="BU836">
        <v>14.207649999999999</v>
      </c>
      <c r="BV836">
        <v>1.93</v>
      </c>
      <c r="BW836">
        <f>BV836*SQRT(AK836)</f>
        <v>4.3156111965745945</v>
      </c>
      <c r="BX836">
        <v>0.69</v>
      </c>
      <c r="BY836">
        <v>0.69216759999999999</v>
      </c>
      <c r="BZ836">
        <v>0.8</v>
      </c>
      <c r="CA836">
        <f>BZ836*SQRT(AL836)</f>
        <v>2.1166010488516727</v>
      </c>
      <c r="CB836">
        <v>14</v>
      </c>
      <c r="CC836">
        <v>6</v>
      </c>
      <c r="CD836">
        <v>-3.0219999999999998</v>
      </c>
      <c r="CE836">
        <v>1.3592</v>
      </c>
    </row>
    <row r="837" spans="1:84" hidden="1" x14ac:dyDescent="0.2">
      <c r="D837">
        <v>57</v>
      </c>
      <c r="G837" t="s">
        <v>43</v>
      </c>
      <c r="H837" t="s">
        <v>564</v>
      </c>
      <c r="J837">
        <v>2013</v>
      </c>
      <c r="M837" t="s">
        <v>565</v>
      </c>
      <c r="T837" t="s">
        <v>131</v>
      </c>
      <c r="U837" t="s">
        <v>566</v>
      </c>
      <c r="V837" t="s">
        <v>567</v>
      </c>
      <c r="Z837" t="s">
        <v>177</v>
      </c>
      <c r="AA837" t="s">
        <v>177</v>
      </c>
      <c r="AB837" t="s">
        <v>50</v>
      </c>
      <c r="AC837" t="s">
        <v>51</v>
      </c>
      <c r="AD837" t="s">
        <v>52</v>
      </c>
      <c r="AE837" t="s">
        <v>134</v>
      </c>
      <c r="AF837" t="s">
        <v>52</v>
      </c>
      <c r="AG837" t="s">
        <v>52</v>
      </c>
      <c r="AH837" t="s">
        <v>64</v>
      </c>
      <c r="AK837">
        <v>5</v>
      </c>
      <c r="AL837">
        <v>7</v>
      </c>
      <c r="AN837">
        <v>402</v>
      </c>
      <c r="AO837">
        <v>4</v>
      </c>
      <c r="AP837" t="s">
        <v>56</v>
      </c>
      <c r="AQ837" t="s">
        <v>109</v>
      </c>
      <c r="AR837">
        <v>8.17</v>
      </c>
      <c r="AS837">
        <v>0</v>
      </c>
      <c r="AT837" t="s">
        <v>56</v>
      </c>
      <c r="AU837">
        <v>1692</v>
      </c>
      <c r="AV837">
        <v>17</v>
      </c>
      <c r="AW837" t="s">
        <v>56</v>
      </c>
      <c r="AX837">
        <v>7.63</v>
      </c>
      <c r="AY837">
        <v>0</v>
      </c>
      <c r="AZ837" t="s">
        <v>56</v>
      </c>
      <c r="BB837">
        <f>LOG(AU837)</f>
        <v>3.2284003587030048</v>
      </c>
      <c r="BC837">
        <v>24.3</v>
      </c>
      <c r="BD837">
        <v>0.1</v>
      </c>
      <c r="BE837" t="s">
        <v>56</v>
      </c>
      <c r="BF837">
        <v>27.3</v>
      </c>
      <c r="BG837">
        <v>0.1</v>
      </c>
      <c r="BH837" t="s">
        <v>56</v>
      </c>
      <c r="BI837">
        <v>1290</v>
      </c>
      <c r="BJ837">
        <v>3</v>
      </c>
      <c r="BK837" t="s">
        <v>56</v>
      </c>
      <c r="BL837" t="s">
        <v>83</v>
      </c>
      <c r="BM837" t="s">
        <v>83</v>
      </c>
      <c r="BN837" t="s">
        <v>81</v>
      </c>
      <c r="BO837" t="s">
        <v>121</v>
      </c>
      <c r="BP837" t="s">
        <v>83</v>
      </c>
      <c r="BR837" t="s">
        <v>84</v>
      </c>
      <c r="BT837">
        <v>14.21</v>
      </c>
      <c r="BU837">
        <v>14.207649999999999</v>
      </c>
      <c r="BV837">
        <v>1.93</v>
      </c>
      <c r="BW837">
        <f>BV837*SQRT(AK837)</f>
        <v>4.3156111965745945</v>
      </c>
      <c r="BX837">
        <v>3.3</v>
      </c>
      <c r="BY837">
        <v>3.2969035</v>
      </c>
      <c r="BZ837">
        <v>1.37</v>
      </c>
      <c r="CA837">
        <f>BZ837*SQRT(AL837)</f>
        <v>3.6246792961584897</v>
      </c>
      <c r="CB837">
        <v>14</v>
      </c>
      <c r="CC837">
        <v>6</v>
      </c>
      <c r="CD837">
        <v>-1.4610000000000001</v>
      </c>
      <c r="CE837">
        <v>0.19020000000000001</v>
      </c>
    </row>
    <row r="838" spans="1:84" hidden="1" x14ac:dyDescent="0.2">
      <c r="D838">
        <v>57</v>
      </c>
      <c r="G838" t="s">
        <v>43</v>
      </c>
      <c r="H838" t="s">
        <v>564</v>
      </c>
      <c r="J838">
        <v>2013</v>
      </c>
      <c r="M838" t="s">
        <v>565</v>
      </c>
      <c r="T838" t="s">
        <v>131</v>
      </c>
      <c r="U838" t="s">
        <v>566</v>
      </c>
      <c r="V838" t="s">
        <v>567</v>
      </c>
      <c r="Z838" t="s">
        <v>177</v>
      </c>
      <c r="AA838" t="s">
        <v>177</v>
      </c>
      <c r="AB838" t="s">
        <v>50</v>
      </c>
      <c r="AC838" t="s">
        <v>51</v>
      </c>
      <c r="AD838" t="s">
        <v>52</v>
      </c>
      <c r="AE838" t="s">
        <v>134</v>
      </c>
      <c r="AF838" t="s">
        <v>54</v>
      </c>
      <c r="AG838" t="s">
        <v>52</v>
      </c>
      <c r="AH838" t="s">
        <v>65</v>
      </c>
      <c r="AK838">
        <v>5</v>
      </c>
      <c r="AL838">
        <v>7</v>
      </c>
      <c r="AN838">
        <v>402</v>
      </c>
      <c r="AO838">
        <v>4</v>
      </c>
      <c r="AP838" t="s">
        <v>56</v>
      </c>
      <c r="AQ838" t="s">
        <v>109</v>
      </c>
      <c r="AR838">
        <v>8.17</v>
      </c>
      <c r="AS838">
        <v>0</v>
      </c>
      <c r="AT838" t="s">
        <v>56</v>
      </c>
      <c r="AU838">
        <v>391</v>
      </c>
      <c r="AV838">
        <v>4</v>
      </c>
      <c r="AW838" t="s">
        <v>56</v>
      </c>
      <c r="AX838">
        <v>8.18</v>
      </c>
      <c r="AY838">
        <v>0</v>
      </c>
      <c r="AZ838" t="s">
        <v>56</v>
      </c>
      <c r="BB838">
        <f>LOG(AU838)</f>
        <v>2.5921767573958667</v>
      </c>
      <c r="BC838">
        <v>24.3</v>
      </c>
      <c r="BD838">
        <v>0.1</v>
      </c>
      <c r="BE838" t="s">
        <v>56</v>
      </c>
      <c r="BF838">
        <v>27.3</v>
      </c>
      <c r="BG838">
        <v>0.1</v>
      </c>
      <c r="BH838" t="s">
        <v>56</v>
      </c>
      <c r="BI838">
        <v>-10</v>
      </c>
      <c r="BJ838">
        <v>3</v>
      </c>
      <c r="BK838" t="s">
        <v>56</v>
      </c>
      <c r="BL838" t="s">
        <v>83</v>
      </c>
      <c r="BM838" t="s">
        <v>83</v>
      </c>
      <c r="BN838" t="s">
        <v>81</v>
      </c>
      <c r="BO838" t="s">
        <v>121</v>
      </c>
      <c r="BP838" t="s">
        <v>83</v>
      </c>
      <c r="BR838" t="s">
        <v>84</v>
      </c>
      <c r="BT838">
        <v>14.21</v>
      </c>
      <c r="BU838">
        <v>14.207649999999999</v>
      </c>
      <c r="BV838">
        <v>1.93</v>
      </c>
      <c r="BW838">
        <f>BV838*SQRT(AK838)</f>
        <v>4.3156111965745945</v>
      </c>
      <c r="BX838">
        <v>4.3</v>
      </c>
      <c r="BY838">
        <v>4.2987250000000001</v>
      </c>
      <c r="BZ838">
        <v>1.97</v>
      </c>
      <c r="CA838">
        <f>BZ838*SQRT(AL838)</f>
        <v>5.2121300827972439</v>
      </c>
      <c r="CB838">
        <v>14</v>
      </c>
      <c r="CC838">
        <v>6</v>
      </c>
      <c r="CD838">
        <v>-1.1950000000000001</v>
      </c>
      <c r="CE838">
        <v>0.22789999999999999</v>
      </c>
    </row>
    <row r="839" spans="1:84" hidden="1" x14ac:dyDescent="0.2">
      <c r="D839">
        <v>57</v>
      </c>
      <c r="G839" t="s">
        <v>43</v>
      </c>
      <c r="H839" t="s">
        <v>564</v>
      </c>
      <c r="J839">
        <v>2013</v>
      </c>
      <c r="M839" t="s">
        <v>565</v>
      </c>
      <c r="T839" t="s">
        <v>131</v>
      </c>
      <c r="U839" t="s">
        <v>566</v>
      </c>
      <c r="V839" t="s">
        <v>567</v>
      </c>
      <c r="Z839" t="s">
        <v>177</v>
      </c>
      <c r="AA839" t="s">
        <v>177</v>
      </c>
      <c r="AB839" t="s">
        <v>50</v>
      </c>
      <c r="AC839" t="s">
        <v>51</v>
      </c>
      <c r="AD839" t="s">
        <v>52</v>
      </c>
      <c r="AE839" t="s">
        <v>134</v>
      </c>
      <c r="AF839" t="s">
        <v>52</v>
      </c>
      <c r="AG839" t="s">
        <v>54</v>
      </c>
      <c r="AH839" t="s">
        <v>55</v>
      </c>
      <c r="AK839">
        <v>5</v>
      </c>
      <c r="AL839">
        <v>6</v>
      </c>
      <c r="AN839">
        <v>402</v>
      </c>
      <c r="AO839">
        <v>4</v>
      </c>
      <c r="AP839" t="s">
        <v>56</v>
      </c>
      <c r="AQ839" t="s">
        <v>109</v>
      </c>
      <c r="AR839">
        <v>8.17</v>
      </c>
      <c r="AS839">
        <v>0</v>
      </c>
      <c r="AT839" t="s">
        <v>56</v>
      </c>
      <c r="AU839">
        <v>1055</v>
      </c>
      <c r="AV839">
        <v>12</v>
      </c>
      <c r="AW839" t="s">
        <v>56</v>
      </c>
      <c r="AX839">
        <v>7.8</v>
      </c>
      <c r="AY839">
        <v>0.01</v>
      </c>
      <c r="AZ839" t="s">
        <v>56</v>
      </c>
      <c r="BB839">
        <f>LOG(AU839)</f>
        <v>3.0232524596337114</v>
      </c>
      <c r="BC839">
        <v>24.3</v>
      </c>
      <c r="BD839">
        <v>0.1</v>
      </c>
      <c r="BE839" t="s">
        <v>56</v>
      </c>
      <c r="BF839">
        <v>24.3</v>
      </c>
      <c r="BG839">
        <v>0.1</v>
      </c>
      <c r="BH839" t="s">
        <v>56</v>
      </c>
      <c r="BI839">
        <v>653</v>
      </c>
      <c r="BJ839">
        <v>0</v>
      </c>
      <c r="BK839" t="s">
        <v>56</v>
      </c>
      <c r="BL839" t="s">
        <v>83</v>
      </c>
      <c r="BM839" t="s">
        <v>83</v>
      </c>
      <c r="BN839" t="s">
        <v>81</v>
      </c>
      <c r="BO839" t="s">
        <v>121</v>
      </c>
      <c r="BP839" t="s">
        <v>83</v>
      </c>
      <c r="BR839" t="s">
        <v>84</v>
      </c>
      <c r="BT839">
        <v>14.21</v>
      </c>
      <c r="BU839">
        <v>14.207649999999999</v>
      </c>
      <c r="BV839">
        <v>1.93</v>
      </c>
      <c r="BW839">
        <f>BV839*SQRT(AK839)</f>
        <v>4.3156111965745945</v>
      </c>
      <c r="BX839">
        <v>9.18</v>
      </c>
      <c r="BY839">
        <v>9.1803279</v>
      </c>
      <c r="BZ839">
        <v>0.93</v>
      </c>
      <c r="CA839">
        <f>BZ839*SQRT(AL839)</f>
        <v>2.2780254607883554</v>
      </c>
      <c r="CB839">
        <v>14</v>
      </c>
      <c r="CC839">
        <v>6</v>
      </c>
      <c r="CD839">
        <v>-0.437</v>
      </c>
      <c r="CE839">
        <v>2.87E-2</v>
      </c>
    </row>
    <row r="840" spans="1:84" hidden="1" x14ac:dyDescent="0.2">
      <c r="D840">
        <v>57</v>
      </c>
      <c r="G840" t="s">
        <v>43</v>
      </c>
      <c r="H840" t="s">
        <v>564</v>
      </c>
      <c r="J840">
        <v>2013</v>
      </c>
      <c r="M840" t="s">
        <v>565</v>
      </c>
      <c r="T840" t="s">
        <v>131</v>
      </c>
      <c r="U840" t="s">
        <v>566</v>
      </c>
      <c r="V840" t="s">
        <v>567</v>
      </c>
      <c r="Z840" t="s">
        <v>177</v>
      </c>
      <c r="AA840" t="s">
        <v>177</v>
      </c>
      <c r="AB840" t="s">
        <v>50</v>
      </c>
      <c r="AC840" t="s">
        <v>51</v>
      </c>
      <c r="AD840" t="s">
        <v>52</v>
      </c>
      <c r="AE840" t="s">
        <v>134</v>
      </c>
      <c r="AF840" t="s">
        <v>52</v>
      </c>
      <c r="AG840" t="s">
        <v>54</v>
      </c>
      <c r="AH840" t="s">
        <v>55</v>
      </c>
      <c r="AK840">
        <v>5</v>
      </c>
      <c r="AL840">
        <v>7</v>
      </c>
      <c r="AN840">
        <v>402</v>
      </c>
      <c r="AO840">
        <v>4</v>
      </c>
      <c r="AP840" t="s">
        <v>56</v>
      </c>
      <c r="AQ840" t="s">
        <v>109</v>
      </c>
      <c r="AR840">
        <v>8.17</v>
      </c>
      <c r="AS840">
        <v>0</v>
      </c>
      <c r="AT840" t="s">
        <v>56</v>
      </c>
      <c r="AU840">
        <v>1705</v>
      </c>
      <c r="AV840">
        <v>16</v>
      </c>
      <c r="AW840" t="s">
        <v>56</v>
      </c>
      <c r="AX840">
        <v>7.61</v>
      </c>
      <c r="AY840">
        <v>0</v>
      </c>
      <c r="AZ840" t="s">
        <v>56</v>
      </c>
      <c r="BB840">
        <f>LOG(AU840)</f>
        <v>3.2317243833285163</v>
      </c>
      <c r="BC840">
        <v>24.3</v>
      </c>
      <c r="BD840">
        <v>0.1</v>
      </c>
      <c r="BE840" t="s">
        <v>56</v>
      </c>
      <c r="BF840">
        <v>24.3</v>
      </c>
      <c r="BG840">
        <v>0.1</v>
      </c>
      <c r="BH840" t="s">
        <v>56</v>
      </c>
      <c r="BI840">
        <v>1303</v>
      </c>
      <c r="BJ840">
        <v>0</v>
      </c>
      <c r="BK840" t="s">
        <v>56</v>
      </c>
      <c r="BL840" t="s">
        <v>83</v>
      </c>
      <c r="BM840" t="s">
        <v>83</v>
      </c>
      <c r="BN840" t="s">
        <v>81</v>
      </c>
      <c r="BO840" t="s">
        <v>121</v>
      </c>
      <c r="BP840" t="s">
        <v>83</v>
      </c>
      <c r="BR840" t="s">
        <v>84</v>
      </c>
      <c r="BT840">
        <v>14.21</v>
      </c>
      <c r="BU840">
        <v>14.207649999999999</v>
      </c>
      <c r="BV840">
        <v>1.93</v>
      </c>
      <c r="BW840">
        <f>BV840*SQRT(AK840)</f>
        <v>4.3156111965745945</v>
      </c>
      <c r="BX840">
        <v>10.71</v>
      </c>
      <c r="BY840">
        <v>10.7103825</v>
      </c>
      <c r="BZ840">
        <v>1.75</v>
      </c>
      <c r="CA840">
        <f>BZ840*SQRT(AL840)</f>
        <v>4.630064794363034</v>
      </c>
      <c r="CB840">
        <v>14</v>
      </c>
      <c r="CC840">
        <v>6</v>
      </c>
      <c r="CD840">
        <v>-0.28299999999999997</v>
      </c>
      <c r="CE840">
        <v>4.5100000000000001E-2</v>
      </c>
    </row>
    <row r="841" spans="1:84" hidden="1" x14ac:dyDescent="0.2">
      <c r="D841">
        <v>57</v>
      </c>
      <c r="G841" t="s">
        <v>43</v>
      </c>
      <c r="H841" t="s">
        <v>564</v>
      </c>
      <c r="J841">
        <v>2013</v>
      </c>
      <c r="M841" t="s">
        <v>565</v>
      </c>
      <c r="T841" t="s">
        <v>131</v>
      </c>
      <c r="U841" t="s">
        <v>566</v>
      </c>
      <c r="V841" t="s">
        <v>567</v>
      </c>
      <c r="Z841" t="s">
        <v>177</v>
      </c>
      <c r="AA841" t="s">
        <v>177</v>
      </c>
      <c r="AB841" t="s">
        <v>50</v>
      </c>
      <c r="AC841" t="s">
        <v>51</v>
      </c>
      <c r="AD841" t="s">
        <v>52</v>
      </c>
      <c r="AE841" t="s">
        <v>134</v>
      </c>
      <c r="AF841" t="s">
        <v>52</v>
      </c>
      <c r="AG841" t="s">
        <v>52</v>
      </c>
      <c r="AH841" t="s">
        <v>64</v>
      </c>
      <c r="AK841">
        <v>5</v>
      </c>
      <c r="AL841">
        <v>7</v>
      </c>
      <c r="AN841">
        <v>402</v>
      </c>
      <c r="AO841">
        <v>4</v>
      </c>
      <c r="AP841" t="s">
        <v>56</v>
      </c>
      <c r="AQ841" t="s">
        <v>109</v>
      </c>
      <c r="AR841">
        <v>8.17</v>
      </c>
      <c r="AS841">
        <v>0</v>
      </c>
      <c r="AT841" t="s">
        <v>56</v>
      </c>
      <c r="AU841">
        <v>1692</v>
      </c>
      <c r="AV841">
        <v>17</v>
      </c>
      <c r="AW841" t="s">
        <v>56</v>
      </c>
      <c r="AX841">
        <v>7.63</v>
      </c>
      <c r="AY841">
        <v>0</v>
      </c>
      <c r="AZ841" t="s">
        <v>56</v>
      </c>
      <c r="BB841">
        <f>LOG(AU841)</f>
        <v>3.2284003587030048</v>
      </c>
      <c r="BC841">
        <v>24.3</v>
      </c>
      <c r="BD841">
        <v>0.1</v>
      </c>
      <c r="BE841" t="s">
        <v>56</v>
      </c>
      <c r="BF841">
        <v>27.3</v>
      </c>
      <c r="BG841">
        <v>0.1</v>
      </c>
      <c r="BH841" t="s">
        <v>56</v>
      </c>
      <c r="BI841">
        <v>1290</v>
      </c>
      <c r="BJ841">
        <v>3</v>
      </c>
      <c r="BK841" t="s">
        <v>568</v>
      </c>
      <c r="BL841" t="s">
        <v>179</v>
      </c>
      <c r="BM841" t="s">
        <v>90</v>
      </c>
      <c r="BN841" t="s">
        <v>81</v>
      </c>
      <c r="BO841" t="s">
        <v>180</v>
      </c>
      <c r="BP841" t="s">
        <v>450</v>
      </c>
      <c r="BR841" t="s">
        <v>63</v>
      </c>
      <c r="BT841">
        <v>4.66</v>
      </c>
      <c r="BU841">
        <v>4.6588919999999998</v>
      </c>
      <c r="BV841">
        <v>0.21</v>
      </c>
      <c r="BW841">
        <f>BV841*SQRT(AK841)</f>
        <v>0.46957427527495582</v>
      </c>
      <c r="BX841">
        <v>3.57</v>
      </c>
      <c r="BY841">
        <v>3.574344</v>
      </c>
      <c r="BZ841">
        <v>0.34</v>
      </c>
      <c r="CA841">
        <f>BZ841*SQRT(AL841)</f>
        <v>0.89955544576196089</v>
      </c>
      <c r="CB841">
        <v>14</v>
      </c>
      <c r="CC841">
        <v>6</v>
      </c>
      <c r="CD841">
        <v>-0.26500000000000001</v>
      </c>
      <c r="CE841">
        <v>1.0999999999999999E-2</v>
      </c>
    </row>
    <row r="842" spans="1:84" hidden="1" x14ac:dyDescent="0.2">
      <c r="D842">
        <v>57</v>
      </c>
      <c r="G842" t="s">
        <v>43</v>
      </c>
      <c r="H842" t="s">
        <v>564</v>
      </c>
      <c r="J842">
        <v>2013</v>
      </c>
      <c r="M842" t="s">
        <v>565</v>
      </c>
      <c r="T842" t="s">
        <v>131</v>
      </c>
      <c r="U842" t="s">
        <v>566</v>
      </c>
      <c r="V842" t="s">
        <v>567</v>
      </c>
      <c r="Z842" t="s">
        <v>177</v>
      </c>
      <c r="AA842" t="s">
        <v>177</v>
      </c>
      <c r="AB842" t="s">
        <v>50</v>
      </c>
      <c r="AC842" t="s">
        <v>51</v>
      </c>
      <c r="AD842" t="s">
        <v>52</v>
      </c>
      <c r="AE842" t="s">
        <v>134</v>
      </c>
      <c r="AF842" t="s">
        <v>52</v>
      </c>
      <c r="AG842" t="s">
        <v>52</v>
      </c>
      <c r="AH842" t="s">
        <v>64</v>
      </c>
      <c r="AK842">
        <v>5</v>
      </c>
      <c r="AL842">
        <v>7</v>
      </c>
      <c r="AN842">
        <v>402</v>
      </c>
      <c r="AO842">
        <v>4</v>
      </c>
      <c r="AP842" t="s">
        <v>56</v>
      </c>
      <c r="AQ842" t="s">
        <v>109</v>
      </c>
      <c r="AR842">
        <v>8.17</v>
      </c>
      <c r="AS842">
        <v>0</v>
      </c>
      <c r="AT842" t="s">
        <v>56</v>
      </c>
      <c r="AU842">
        <v>1002</v>
      </c>
      <c r="AV842">
        <v>11</v>
      </c>
      <c r="AW842" t="s">
        <v>56</v>
      </c>
      <c r="AX842">
        <v>7.83</v>
      </c>
      <c r="AY842">
        <v>0.01</v>
      </c>
      <c r="AZ842" t="s">
        <v>56</v>
      </c>
      <c r="BB842">
        <f>LOG(AU842)</f>
        <v>3.0008677215312267</v>
      </c>
      <c r="BC842">
        <v>24.3</v>
      </c>
      <c r="BD842">
        <v>0.1</v>
      </c>
      <c r="BE842" t="s">
        <v>56</v>
      </c>
      <c r="BF842">
        <v>27.3</v>
      </c>
      <c r="BG842">
        <v>0.1</v>
      </c>
      <c r="BH842" t="s">
        <v>56</v>
      </c>
      <c r="BI842">
        <v>601</v>
      </c>
      <c r="BJ842">
        <v>3</v>
      </c>
      <c r="BK842" t="s">
        <v>568</v>
      </c>
      <c r="BL842" t="s">
        <v>179</v>
      </c>
      <c r="BM842" t="s">
        <v>90</v>
      </c>
      <c r="BN842" t="s">
        <v>81</v>
      </c>
      <c r="BO842" t="s">
        <v>180</v>
      </c>
      <c r="BP842" t="s">
        <v>450</v>
      </c>
      <c r="BR842" t="s">
        <v>63</v>
      </c>
      <c r="BT842">
        <v>4.66</v>
      </c>
      <c r="BU842">
        <v>4.6588919999999998</v>
      </c>
      <c r="BV842">
        <v>0.21</v>
      </c>
      <c r="BW842">
        <f>BV842*SQRT(AK842)</f>
        <v>0.46957427527495582</v>
      </c>
      <c r="BX842">
        <v>3.68</v>
      </c>
      <c r="BY842">
        <v>3.6793003</v>
      </c>
      <c r="BZ842">
        <v>0.02</v>
      </c>
      <c r="CA842">
        <f>BZ842*SQRT(AL842)</f>
        <v>5.2915026221291815E-2</v>
      </c>
      <c r="CB842">
        <v>14</v>
      </c>
      <c r="CC842">
        <v>6</v>
      </c>
      <c r="CD842">
        <v>-0.23599999999999999</v>
      </c>
      <c r="CE842">
        <v>2.0999999999999999E-3</v>
      </c>
    </row>
    <row r="843" spans="1:84" hidden="1" x14ac:dyDescent="0.2">
      <c r="D843">
        <v>57</v>
      </c>
      <c r="G843" t="s">
        <v>43</v>
      </c>
      <c r="H843" t="s">
        <v>564</v>
      </c>
      <c r="J843">
        <v>2013</v>
      </c>
      <c r="M843" t="s">
        <v>565</v>
      </c>
      <c r="T843" t="s">
        <v>131</v>
      </c>
      <c r="U843" t="s">
        <v>566</v>
      </c>
      <c r="V843" t="s">
        <v>567</v>
      </c>
      <c r="Z843" t="s">
        <v>177</v>
      </c>
      <c r="AA843" t="s">
        <v>177</v>
      </c>
      <c r="AB843" t="s">
        <v>50</v>
      </c>
      <c r="AC843" t="s">
        <v>51</v>
      </c>
      <c r="AD843" t="s">
        <v>52</v>
      </c>
      <c r="AE843" t="s">
        <v>134</v>
      </c>
      <c r="AF843" t="s">
        <v>54</v>
      </c>
      <c r="AG843" t="s">
        <v>52</v>
      </c>
      <c r="AH843" t="s">
        <v>65</v>
      </c>
      <c r="AK843">
        <v>5</v>
      </c>
      <c r="AL843">
        <v>7</v>
      </c>
      <c r="AN843">
        <v>402</v>
      </c>
      <c r="AO843">
        <v>4</v>
      </c>
      <c r="AP843" t="s">
        <v>56</v>
      </c>
      <c r="AQ843" t="s">
        <v>109</v>
      </c>
      <c r="AR843">
        <v>8.17</v>
      </c>
      <c r="AS843">
        <v>0</v>
      </c>
      <c r="AT843" t="s">
        <v>56</v>
      </c>
      <c r="AU843">
        <v>391</v>
      </c>
      <c r="AV843">
        <v>4</v>
      </c>
      <c r="AW843" t="s">
        <v>56</v>
      </c>
      <c r="AX843">
        <v>8.18</v>
      </c>
      <c r="AY843">
        <v>0</v>
      </c>
      <c r="AZ843" t="s">
        <v>56</v>
      </c>
      <c r="BB843">
        <f>LOG(AU843)</f>
        <v>2.5921767573958667</v>
      </c>
      <c r="BC843">
        <v>24.3</v>
      </c>
      <c r="BD843">
        <v>0.1</v>
      </c>
      <c r="BE843" t="s">
        <v>56</v>
      </c>
      <c r="BF843">
        <v>27.3</v>
      </c>
      <c r="BG843">
        <v>0.1</v>
      </c>
      <c r="BH843" t="s">
        <v>56</v>
      </c>
      <c r="BI843">
        <v>-10</v>
      </c>
      <c r="BJ843">
        <v>3</v>
      </c>
      <c r="BK843" t="s">
        <v>568</v>
      </c>
      <c r="BL843" t="s">
        <v>179</v>
      </c>
      <c r="BM843" t="s">
        <v>90</v>
      </c>
      <c r="BN843" t="s">
        <v>81</v>
      </c>
      <c r="BO843" t="s">
        <v>180</v>
      </c>
      <c r="BP843" t="s">
        <v>450</v>
      </c>
      <c r="BR843" t="s">
        <v>63</v>
      </c>
      <c r="BT843">
        <v>4.66</v>
      </c>
      <c r="BU843">
        <v>4.6588919999999998</v>
      </c>
      <c r="BV843">
        <v>0.21</v>
      </c>
      <c r="BW843">
        <f>BV843*SQRT(AK843)</f>
        <v>0.46957427527495582</v>
      </c>
      <c r="BX843">
        <v>4.1500000000000004</v>
      </c>
      <c r="BY843">
        <v>4.1457725999999999</v>
      </c>
      <c r="BZ843">
        <v>0.27</v>
      </c>
      <c r="CA843">
        <f>BZ843*SQRT(AL843)</f>
        <v>0.71435285398743953</v>
      </c>
      <c r="CB843">
        <v>14</v>
      </c>
      <c r="CC843">
        <v>6</v>
      </c>
      <c r="CD843">
        <v>-0.11700000000000001</v>
      </c>
      <c r="CE843">
        <v>6.1999999999999998E-3</v>
      </c>
    </row>
    <row r="844" spans="1:84" hidden="1" x14ac:dyDescent="0.2">
      <c r="D844">
        <v>57</v>
      </c>
      <c r="G844" t="s">
        <v>43</v>
      </c>
      <c r="H844" t="s">
        <v>564</v>
      </c>
      <c r="J844">
        <v>2013</v>
      </c>
      <c r="M844" t="s">
        <v>565</v>
      </c>
      <c r="T844" t="s">
        <v>131</v>
      </c>
      <c r="U844" t="s">
        <v>566</v>
      </c>
      <c r="V844" t="s">
        <v>567</v>
      </c>
      <c r="Z844" t="s">
        <v>177</v>
      </c>
      <c r="AA844" t="s">
        <v>177</v>
      </c>
      <c r="AB844" t="s">
        <v>50</v>
      </c>
      <c r="AC844" t="s">
        <v>51</v>
      </c>
      <c r="AD844" t="s">
        <v>52</v>
      </c>
      <c r="AE844" t="s">
        <v>134</v>
      </c>
      <c r="AF844" t="s">
        <v>52</v>
      </c>
      <c r="AG844" t="s">
        <v>54</v>
      </c>
      <c r="AH844" t="s">
        <v>55</v>
      </c>
      <c r="AK844">
        <v>5</v>
      </c>
      <c r="AL844">
        <v>6</v>
      </c>
      <c r="AN844">
        <v>402</v>
      </c>
      <c r="AO844">
        <v>4</v>
      </c>
      <c r="AP844" t="s">
        <v>56</v>
      </c>
      <c r="AQ844" t="s">
        <v>109</v>
      </c>
      <c r="AR844">
        <v>8.17</v>
      </c>
      <c r="AS844">
        <v>0</v>
      </c>
      <c r="AT844" t="s">
        <v>56</v>
      </c>
      <c r="AU844">
        <v>1055</v>
      </c>
      <c r="AV844">
        <v>12</v>
      </c>
      <c r="AW844" t="s">
        <v>56</v>
      </c>
      <c r="AX844">
        <v>7.8</v>
      </c>
      <c r="AY844">
        <v>0.01</v>
      </c>
      <c r="AZ844" t="s">
        <v>56</v>
      </c>
      <c r="BB844">
        <f>LOG(AU844)</f>
        <v>3.0232524596337114</v>
      </c>
      <c r="BC844">
        <v>24.3</v>
      </c>
      <c r="BD844">
        <v>0.1</v>
      </c>
      <c r="BE844" t="s">
        <v>56</v>
      </c>
      <c r="BF844">
        <v>24.3</v>
      </c>
      <c r="BG844">
        <v>0.1</v>
      </c>
      <c r="BH844" t="s">
        <v>56</v>
      </c>
      <c r="BI844">
        <v>653</v>
      </c>
      <c r="BJ844">
        <v>0</v>
      </c>
      <c r="BK844" t="s">
        <v>568</v>
      </c>
      <c r="BL844" t="s">
        <v>179</v>
      </c>
      <c r="BM844" t="s">
        <v>90</v>
      </c>
      <c r="BN844" t="s">
        <v>81</v>
      </c>
      <c r="BO844" t="s">
        <v>180</v>
      </c>
      <c r="BP844" t="s">
        <v>450</v>
      </c>
      <c r="BR844" t="s">
        <v>63</v>
      </c>
      <c r="BT844">
        <v>4.66</v>
      </c>
      <c r="BU844">
        <v>4.6588919999999998</v>
      </c>
      <c r="BV844">
        <v>0.21</v>
      </c>
      <c r="BW844">
        <f>BV844*SQRT(AK844)</f>
        <v>0.46957427527495582</v>
      </c>
      <c r="BX844">
        <v>4.66</v>
      </c>
      <c r="BY844">
        <v>4.6647230000000004</v>
      </c>
      <c r="BZ844">
        <v>0.27</v>
      </c>
      <c r="CA844">
        <f>BZ844*SQRT(AL844)</f>
        <v>0.66136223055145804</v>
      </c>
      <c r="CB844">
        <v>14</v>
      </c>
      <c r="CC844">
        <v>6</v>
      </c>
      <c r="CD844">
        <v>1E-3</v>
      </c>
      <c r="CE844">
        <v>5.4999999999999997E-3</v>
      </c>
    </row>
    <row r="845" spans="1:84" hidden="1" x14ac:dyDescent="0.2">
      <c r="D845">
        <v>57</v>
      </c>
      <c r="G845" t="s">
        <v>43</v>
      </c>
      <c r="H845" t="s">
        <v>564</v>
      </c>
      <c r="J845">
        <v>2013</v>
      </c>
      <c r="M845" t="s">
        <v>565</v>
      </c>
      <c r="T845" t="s">
        <v>131</v>
      </c>
      <c r="U845" t="s">
        <v>566</v>
      </c>
      <c r="V845" t="s">
        <v>567</v>
      </c>
      <c r="Z845" t="s">
        <v>177</v>
      </c>
      <c r="AA845" t="s">
        <v>177</v>
      </c>
      <c r="AB845" t="s">
        <v>50</v>
      </c>
      <c r="AC845" t="s">
        <v>51</v>
      </c>
      <c r="AD845" t="s">
        <v>52</v>
      </c>
      <c r="AE845" t="s">
        <v>134</v>
      </c>
      <c r="AF845" t="s">
        <v>52</v>
      </c>
      <c r="AG845" t="s">
        <v>54</v>
      </c>
      <c r="AH845" t="s">
        <v>55</v>
      </c>
      <c r="AK845">
        <v>5</v>
      </c>
      <c r="AL845">
        <v>7</v>
      </c>
      <c r="AN845">
        <v>402</v>
      </c>
      <c r="AO845">
        <v>4</v>
      </c>
      <c r="AP845" t="s">
        <v>56</v>
      </c>
      <c r="AQ845" t="s">
        <v>109</v>
      </c>
      <c r="AR845">
        <v>8.17</v>
      </c>
      <c r="AS845">
        <v>0</v>
      </c>
      <c r="AT845" t="s">
        <v>56</v>
      </c>
      <c r="AU845">
        <v>1705</v>
      </c>
      <c r="AV845">
        <v>16</v>
      </c>
      <c r="AW845" t="s">
        <v>56</v>
      </c>
      <c r="AX845">
        <v>7.61</v>
      </c>
      <c r="AY845">
        <v>0</v>
      </c>
      <c r="AZ845" t="s">
        <v>56</v>
      </c>
      <c r="BB845">
        <f>LOG(AU845)</f>
        <v>3.2317243833285163</v>
      </c>
      <c r="BC845">
        <v>24.3</v>
      </c>
      <c r="BD845">
        <v>0.1</v>
      </c>
      <c r="BE845" t="s">
        <v>56</v>
      </c>
      <c r="BF845">
        <v>24.3</v>
      </c>
      <c r="BG845">
        <v>0.1</v>
      </c>
      <c r="BH845" t="s">
        <v>56</v>
      </c>
      <c r="BI845">
        <v>1303</v>
      </c>
      <c r="BJ845">
        <v>0</v>
      </c>
      <c r="BK845" t="s">
        <v>568</v>
      </c>
      <c r="BL845" t="s">
        <v>179</v>
      </c>
      <c r="BM845" t="s">
        <v>90</v>
      </c>
      <c r="BN845" t="s">
        <v>81</v>
      </c>
      <c r="BO845" t="s">
        <v>180</v>
      </c>
      <c r="BP845" t="s">
        <v>450</v>
      </c>
      <c r="BR845" t="s">
        <v>63</v>
      </c>
      <c r="BT845">
        <v>4.66</v>
      </c>
      <c r="BU845">
        <v>4.6588919999999998</v>
      </c>
      <c r="BV845">
        <v>0.21</v>
      </c>
      <c r="BW845">
        <f>BV845*SQRT(AK845)</f>
        <v>0.46957427527495582</v>
      </c>
      <c r="BX845">
        <v>4.76</v>
      </c>
      <c r="BY845">
        <v>4.7580175000000002</v>
      </c>
      <c r="BZ845">
        <v>0.18</v>
      </c>
      <c r="CA845">
        <f>BZ845*SQRT(AL845)</f>
        <v>0.47623523599162632</v>
      </c>
      <c r="CB845">
        <v>14</v>
      </c>
      <c r="CC845">
        <v>6</v>
      </c>
      <c r="CD845">
        <v>2.1000000000000001E-2</v>
      </c>
      <c r="CE845">
        <v>3.5000000000000001E-3</v>
      </c>
    </row>
    <row r="846" spans="1:84" s="8" customFormat="1" hidden="1" x14ac:dyDescent="0.2">
      <c r="A846"/>
      <c r="B846" t="str">
        <f>ROW()-1&amp;"_AltersInvert"</f>
        <v>845_AltersInvert</v>
      </c>
      <c r="C846" t="str">
        <f>D846&amp;"_"&amp;
SUBSTITUTE(TRIM(V846)," ","_")&amp;"_"&amp;
TRIM(AC846)&amp;"_"&amp;
"CO2"&amp;TEXT(AN846,"0.00")&amp;"_"&amp;
"pH"&amp;TEXT(AR846,"0.00")&amp;"_"&amp;
"T"&amp;TEXT(BC846,"0.##")</f>
        <v>16_Hyas_araneus_LARVA_CO2354.00_pH8.11_T3.</v>
      </c>
      <c r="D846">
        <v>16</v>
      </c>
      <c r="E846"/>
      <c r="F846"/>
      <c r="G846" t="s">
        <v>43</v>
      </c>
      <c r="H846" t="s">
        <v>243</v>
      </c>
      <c r="I846"/>
      <c r="J846">
        <v>2010</v>
      </c>
      <c r="K846"/>
      <c r="L846"/>
      <c r="M846" t="s">
        <v>244</v>
      </c>
      <c r="N846"/>
      <c r="O846"/>
      <c r="P846" t="s">
        <v>1135</v>
      </c>
      <c r="Q846"/>
      <c r="R846" t="s">
        <v>1127</v>
      </c>
      <c r="S846" t="s">
        <v>1128</v>
      </c>
      <c r="T846" t="s">
        <v>131</v>
      </c>
      <c r="U846" t="s">
        <v>245</v>
      </c>
      <c r="V846" t="s">
        <v>246</v>
      </c>
      <c r="W846"/>
      <c r="X846"/>
      <c r="Y846"/>
      <c r="Z846" t="s">
        <v>49</v>
      </c>
      <c r="AA846" t="s">
        <v>49</v>
      </c>
      <c r="AB846" t="s">
        <v>71</v>
      </c>
      <c r="AC846" t="s">
        <v>72</v>
      </c>
      <c r="AD846" t="s">
        <v>52</v>
      </c>
      <c r="AE846" t="s">
        <v>53</v>
      </c>
      <c r="AF846" t="s">
        <v>52</v>
      </c>
      <c r="AG846" t="s">
        <v>54</v>
      </c>
      <c r="AH846" t="s">
        <v>55</v>
      </c>
      <c r="AI846"/>
      <c r="AJ846"/>
      <c r="AK846">
        <v>10</v>
      </c>
      <c r="AL846">
        <v>10</v>
      </c>
      <c r="AM846"/>
      <c r="AN846">
        <v>354</v>
      </c>
      <c r="AO846" t="s">
        <v>56</v>
      </c>
      <c r="AP846">
        <v>65</v>
      </c>
      <c r="AQ846" t="s">
        <v>56</v>
      </c>
      <c r="AR846">
        <v>8.11</v>
      </c>
      <c r="AS846" t="s">
        <v>56</v>
      </c>
      <c r="AT846">
        <v>0.05</v>
      </c>
      <c r="AU846">
        <v>2378</v>
      </c>
      <c r="AV846" t="s">
        <v>56</v>
      </c>
      <c r="AW846">
        <v>164</v>
      </c>
      <c r="AX846">
        <v>7.33</v>
      </c>
      <c r="AY846" t="s">
        <v>56</v>
      </c>
      <c r="AZ846" t="s">
        <v>56</v>
      </c>
      <c r="BA846"/>
      <c r="BB846">
        <f>LOG(AU846)</f>
        <v>3.3762118502826728</v>
      </c>
      <c r="BC846">
        <v>3</v>
      </c>
      <c r="BD846" t="s">
        <v>56</v>
      </c>
      <c r="BE846" t="s">
        <v>56</v>
      </c>
      <c r="BF846">
        <v>3</v>
      </c>
      <c r="BG846" t="s">
        <v>56</v>
      </c>
      <c r="BH846" t="s">
        <v>56</v>
      </c>
      <c r="BI846">
        <v>2024</v>
      </c>
      <c r="BJ846">
        <v>0</v>
      </c>
      <c r="BK846" t="s">
        <v>247</v>
      </c>
      <c r="BL846" t="s">
        <v>255</v>
      </c>
      <c r="BM846" t="s">
        <v>255</v>
      </c>
      <c r="BN846" t="s">
        <v>60</v>
      </c>
      <c r="BO846" t="s">
        <v>56</v>
      </c>
      <c r="BP846" t="s">
        <v>194</v>
      </c>
      <c r="BQ846" t="s">
        <v>194</v>
      </c>
      <c r="BR846" t="s">
        <v>63</v>
      </c>
      <c r="BS846"/>
      <c r="BT846">
        <v>4.29</v>
      </c>
      <c r="BU846">
        <v>4.29</v>
      </c>
      <c r="BV846">
        <v>0.49</v>
      </c>
      <c r="BW846">
        <f>BV846*SQRT(AK846)</f>
        <v>1.5495160534825059</v>
      </c>
      <c r="BX846">
        <v>4.38</v>
      </c>
      <c r="BY846">
        <v>4.38</v>
      </c>
      <c r="BZ846">
        <v>0.3</v>
      </c>
      <c r="CA846">
        <f>BZ846*SQRT(AL846)</f>
        <v>0.94868329805051377</v>
      </c>
      <c r="CB846">
        <v>120</v>
      </c>
      <c r="CC846">
        <v>7</v>
      </c>
      <c r="CD846">
        <v>2.1000000000000001E-2</v>
      </c>
      <c r="CE846">
        <v>1.7600000000000001E-2</v>
      </c>
      <c r="CF846"/>
    </row>
    <row r="847" spans="1:84" s="8" customFormat="1" hidden="1" x14ac:dyDescent="0.2">
      <c r="A847"/>
      <c r="B847" t="str">
        <f>ROW()-1&amp;"_AltersInvert"</f>
        <v>846_AltersInvert</v>
      </c>
      <c r="C847" t="str">
        <f>D847&amp;"_"&amp;
SUBSTITUTE(TRIM(V847)," ","_")&amp;"_"&amp;
TRIM(AC847)&amp;"_"&amp;
"CO2"&amp;TEXT(AN847,"0.00")&amp;"_"&amp;
"pH"&amp;TEXT(AR847,"0.00")&amp;"_"&amp;
"T"&amp;TEXT(BC847,"0.##")</f>
        <v>16_Hyas_araneus_LARVA_CO2354.00_pH8.11_T3.</v>
      </c>
      <c r="D847">
        <v>16</v>
      </c>
      <c r="E847"/>
      <c r="F847"/>
      <c r="G847" t="s">
        <v>43</v>
      </c>
      <c r="H847" t="s">
        <v>243</v>
      </c>
      <c r="I847"/>
      <c r="J847">
        <v>2010</v>
      </c>
      <c r="K847"/>
      <c r="L847"/>
      <c r="M847" t="s">
        <v>244</v>
      </c>
      <c r="N847"/>
      <c r="O847"/>
      <c r="P847" t="s">
        <v>1135</v>
      </c>
      <c r="Q847"/>
      <c r="R847" t="s">
        <v>1127</v>
      </c>
      <c r="S847" t="s">
        <v>1128</v>
      </c>
      <c r="T847" t="s">
        <v>131</v>
      </c>
      <c r="U847" t="s">
        <v>245</v>
      </c>
      <c r="V847" t="s">
        <v>246</v>
      </c>
      <c r="W847"/>
      <c r="X847"/>
      <c r="Y847"/>
      <c r="Z847" t="s">
        <v>49</v>
      </c>
      <c r="AA847" t="s">
        <v>49</v>
      </c>
      <c r="AB847" t="s">
        <v>71</v>
      </c>
      <c r="AC847" t="s">
        <v>72</v>
      </c>
      <c r="AD847" t="s">
        <v>52</v>
      </c>
      <c r="AE847" t="s">
        <v>53</v>
      </c>
      <c r="AF847" t="s">
        <v>52</v>
      </c>
      <c r="AG847" t="s">
        <v>54</v>
      </c>
      <c r="AH847" t="s">
        <v>55</v>
      </c>
      <c r="AI847"/>
      <c r="AJ847"/>
      <c r="AK847">
        <v>10</v>
      </c>
      <c r="AL847">
        <v>10</v>
      </c>
      <c r="AM847"/>
      <c r="AN847">
        <v>354</v>
      </c>
      <c r="AO847" t="s">
        <v>56</v>
      </c>
      <c r="AP847">
        <v>65</v>
      </c>
      <c r="AQ847" t="s">
        <v>56</v>
      </c>
      <c r="AR847">
        <v>8.11</v>
      </c>
      <c r="AS847" t="s">
        <v>56</v>
      </c>
      <c r="AT847">
        <v>0.05</v>
      </c>
      <c r="AU847">
        <v>754</v>
      </c>
      <c r="AV847" t="s">
        <v>56</v>
      </c>
      <c r="AW847">
        <v>37</v>
      </c>
      <c r="AX847">
        <v>7.81</v>
      </c>
      <c r="AY847" t="s">
        <v>56</v>
      </c>
      <c r="AZ847" t="s">
        <v>56</v>
      </c>
      <c r="BA847"/>
      <c r="BB847">
        <f>LOG(AU847)</f>
        <v>2.8773713458697738</v>
      </c>
      <c r="BC847">
        <v>3</v>
      </c>
      <c r="BD847" t="s">
        <v>56</v>
      </c>
      <c r="BE847" t="s">
        <v>56</v>
      </c>
      <c r="BF847">
        <v>3</v>
      </c>
      <c r="BG847" t="s">
        <v>56</v>
      </c>
      <c r="BH847" t="s">
        <v>56</v>
      </c>
      <c r="BI847">
        <v>400</v>
      </c>
      <c r="BJ847">
        <v>0</v>
      </c>
      <c r="BK847" t="s">
        <v>247</v>
      </c>
      <c r="BL847" t="s">
        <v>255</v>
      </c>
      <c r="BM847" t="s">
        <v>255</v>
      </c>
      <c r="BN847" t="s">
        <v>60</v>
      </c>
      <c r="BO847" t="s">
        <v>56</v>
      </c>
      <c r="BP847" t="s">
        <v>194</v>
      </c>
      <c r="BQ847" t="s">
        <v>194</v>
      </c>
      <c r="BR847" t="s">
        <v>63</v>
      </c>
      <c r="BS847"/>
      <c r="BT847">
        <v>4.29</v>
      </c>
      <c r="BU847">
        <v>4.29</v>
      </c>
      <c r="BV847">
        <v>0.49</v>
      </c>
      <c r="BW847">
        <f>BV847*SQRT(AK847)</f>
        <v>1.5495160534825059</v>
      </c>
      <c r="BX847">
        <v>4.42</v>
      </c>
      <c r="BY847">
        <v>4.42</v>
      </c>
      <c r="BZ847">
        <v>0.55000000000000004</v>
      </c>
      <c r="CA847">
        <f>BZ847*SQRT(AL847)</f>
        <v>1.739252713092609</v>
      </c>
      <c r="CB847">
        <v>120</v>
      </c>
      <c r="CC847">
        <v>7</v>
      </c>
      <c r="CD847">
        <v>0.03</v>
      </c>
      <c r="CE847">
        <v>2.8500000000000001E-2</v>
      </c>
      <c r="CF847"/>
    </row>
    <row r="848" spans="1:84" s="8" customFormat="1" hidden="1" x14ac:dyDescent="0.2">
      <c r="A848"/>
      <c r="B848" t="str">
        <f>ROW()-1&amp;"_AltersInvert"</f>
        <v>847_AltersInvert</v>
      </c>
      <c r="C848" t="str">
        <f>D848&amp;"_"&amp;
SUBSTITUTE(TRIM(V848)," ","_")&amp;"_"&amp;
TRIM(AC848)&amp;"_"&amp;
"CO2"&amp;TEXT(AN848,"0.00")&amp;"_"&amp;
"pH"&amp;TEXT(AR848,"0.00")&amp;"_"&amp;
"T"&amp;TEXT(BC848,"0.##")</f>
        <v>16_Hyas_araneus_LARVA_CO2354.00_pH8.11_T3.</v>
      </c>
      <c r="D848">
        <v>16</v>
      </c>
      <c r="E848"/>
      <c r="F848"/>
      <c r="G848" t="s">
        <v>43</v>
      </c>
      <c r="H848" t="s">
        <v>243</v>
      </c>
      <c r="I848"/>
      <c r="J848">
        <v>2010</v>
      </c>
      <c r="K848"/>
      <c r="L848"/>
      <c r="M848" t="s">
        <v>244</v>
      </c>
      <c r="N848"/>
      <c r="O848"/>
      <c r="P848" t="s">
        <v>1135</v>
      </c>
      <c r="Q848"/>
      <c r="R848" t="s">
        <v>1127</v>
      </c>
      <c r="S848" t="s">
        <v>1128</v>
      </c>
      <c r="T848" t="s">
        <v>131</v>
      </c>
      <c r="U848" t="s">
        <v>245</v>
      </c>
      <c r="V848" t="s">
        <v>246</v>
      </c>
      <c r="W848"/>
      <c r="X848"/>
      <c r="Y848"/>
      <c r="Z848" t="s">
        <v>49</v>
      </c>
      <c r="AA848" t="s">
        <v>49</v>
      </c>
      <c r="AB848" t="s">
        <v>71</v>
      </c>
      <c r="AC848" t="s">
        <v>72</v>
      </c>
      <c r="AD848" t="s">
        <v>52</v>
      </c>
      <c r="AE848" t="s">
        <v>53</v>
      </c>
      <c r="AF848" t="s">
        <v>54</v>
      </c>
      <c r="AG848" t="s">
        <v>52</v>
      </c>
      <c r="AH848" t="s">
        <v>65</v>
      </c>
      <c r="AI848"/>
      <c r="AJ848"/>
      <c r="AK848">
        <v>10</v>
      </c>
      <c r="AL848">
        <v>10</v>
      </c>
      <c r="AM848"/>
      <c r="AN848">
        <v>354</v>
      </c>
      <c r="AO848" t="s">
        <v>56</v>
      </c>
      <c r="AP848">
        <v>65</v>
      </c>
      <c r="AQ848" t="s">
        <v>56</v>
      </c>
      <c r="AR848">
        <v>8.11</v>
      </c>
      <c r="AS848" t="s">
        <v>56</v>
      </c>
      <c r="AT848">
        <v>0.05</v>
      </c>
      <c r="AU848">
        <v>401</v>
      </c>
      <c r="AV848" t="s">
        <v>56</v>
      </c>
      <c r="AW848">
        <v>30</v>
      </c>
      <c r="AX848">
        <v>8.0500000000000007</v>
      </c>
      <c r="AY848" t="s">
        <v>56</v>
      </c>
      <c r="AZ848" t="s">
        <v>56</v>
      </c>
      <c r="BA848"/>
      <c r="BB848">
        <f>LOG(AU848)</f>
        <v>2.6031443726201822</v>
      </c>
      <c r="BC848">
        <v>3</v>
      </c>
      <c r="BD848" t="s">
        <v>56</v>
      </c>
      <c r="BE848" t="s">
        <v>56</v>
      </c>
      <c r="BF848">
        <v>15</v>
      </c>
      <c r="BG848" t="s">
        <v>56</v>
      </c>
      <c r="BH848" t="s">
        <v>56</v>
      </c>
      <c r="BI848">
        <v>47</v>
      </c>
      <c r="BJ848">
        <v>12</v>
      </c>
      <c r="BK848" t="s">
        <v>247</v>
      </c>
      <c r="BL848" t="s">
        <v>255</v>
      </c>
      <c r="BM848" t="s">
        <v>255</v>
      </c>
      <c r="BN848" t="s">
        <v>60</v>
      </c>
      <c r="BO848" t="s">
        <v>56</v>
      </c>
      <c r="BP848" t="s">
        <v>194</v>
      </c>
      <c r="BQ848" t="s">
        <v>194</v>
      </c>
      <c r="BR848" t="s">
        <v>63</v>
      </c>
      <c r="BS848"/>
      <c r="BT848">
        <v>4.29</v>
      </c>
      <c r="BU848">
        <v>4.29</v>
      </c>
      <c r="BV848">
        <v>0.49</v>
      </c>
      <c r="BW848">
        <f>BV848*SQRT(AK848)</f>
        <v>1.5495160534825059</v>
      </c>
      <c r="BX848">
        <v>4.8</v>
      </c>
      <c r="BY848">
        <v>4.8</v>
      </c>
      <c r="BZ848">
        <v>0.26</v>
      </c>
      <c r="CA848">
        <f>BZ848*SQRT(AL848)</f>
        <v>0.82219219164377866</v>
      </c>
      <c r="CB848">
        <v>20</v>
      </c>
      <c r="CC848">
        <v>7</v>
      </c>
      <c r="CD848">
        <v>0.112</v>
      </c>
      <c r="CE848">
        <v>1.6E-2</v>
      </c>
      <c r="CF848"/>
    </row>
    <row r="849" spans="1:84" s="8" customFormat="1" hidden="1" x14ac:dyDescent="0.2">
      <c r="A849"/>
      <c r="B849" t="str">
        <f>ROW()-1&amp;"_AltersInvert"</f>
        <v>848_AltersInvert</v>
      </c>
      <c r="C849" t="str">
        <f>D849&amp;"_"&amp;
SUBSTITUTE(TRIM(V849)," ","_")&amp;"_"&amp;
TRIM(AC849)&amp;"_"&amp;
"CO2"&amp;TEXT(AN849,"0.00")&amp;"_"&amp;
"pH"&amp;TEXT(AR849,"0.00")&amp;"_"&amp;
"T"&amp;TEXT(BC849,"0.##")</f>
        <v>16_Hyas_araneus_LARVA_CO2354.00_pH8.11_T3.</v>
      </c>
      <c r="D849">
        <v>16</v>
      </c>
      <c r="E849"/>
      <c r="F849"/>
      <c r="G849" t="s">
        <v>43</v>
      </c>
      <c r="H849" t="s">
        <v>243</v>
      </c>
      <c r="I849"/>
      <c r="J849">
        <v>2010</v>
      </c>
      <c r="K849"/>
      <c r="L849"/>
      <c r="M849" t="s">
        <v>244</v>
      </c>
      <c r="N849"/>
      <c r="O849"/>
      <c r="P849" t="s">
        <v>1135</v>
      </c>
      <c r="Q849"/>
      <c r="R849" t="s">
        <v>1127</v>
      </c>
      <c r="S849" t="s">
        <v>1128</v>
      </c>
      <c r="T849" t="s">
        <v>131</v>
      </c>
      <c r="U849" t="s">
        <v>245</v>
      </c>
      <c r="V849" t="s">
        <v>246</v>
      </c>
      <c r="W849"/>
      <c r="X849"/>
      <c r="Y849"/>
      <c r="Z849" t="s">
        <v>49</v>
      </c>
      <c r="AA849" t="s">
        <v>49</v>
      </c>
      <c r="AB849" t="s">
        <v>71</v>
      </c>
      <c r="AC849" t="s">
        <v>72</v>
      </c>
      <c r="AD849" t="s">
        <v>52</v>
      </c>
      <c r="AE849" t="s">
        <v>53</v>
      </c>
      <c r="AF849" t="s">
        <v>54</v>
      </c>
      <c r="AG849" t="s">
        <v>52</v>
      </c>
      <c r="AH849" t="s">
        <v>65</v>
      </c>
      <c r="AI849"/>
      <c r="AJ849"/>
      <c r="AK849">
        <v>10</v>
      </c>
      <c r="AL849">
        <v>10</v>
      </c>
      <c r="AM849"/>
      <c r="AN849">
        <v>354</v>
      </c>
      <c r="AO849" t="s">
        <v>56</v>
      </c>
      <c r="AP849">
        <v>65</v>
      </c>
      <c r="AQ849" t="s">
        <v>56</v>
      </c>
      <c r="AR849">
        <v>8.11</v>
      </c>
      <c r="AS849" t="s">
        <v>56</v>
      </c>
      <c r="AT849">
        <v>0.05</v>
      </c>
      <c r="AU849">
        <v>346</v>
      </c>
      <c r="AV849" t="s">
        <v>56</v>
      </c>
      <c r="AW849">
        <v>80</v>
      </c>
      <c r="AX849">
        <v>8.1199999999999992</v>
      </c>
      <c r="AY849" t="s">
        <v>56</v>
      </c>
      <c r="AZ849" t="s">
        <v>56</v>
      </c>
      <c r="BA849"/>
      <c r="BB849">
        <f>LOG(AU849)</f>
        <v>2.5390760987927767</v>
      </c>
      <c r="BC849">
        <v>3</v>
      </c>
      <c r="BD849" t="s">
        <v>56</v>
      </c>
      <c r="BE849" t="s">
        <v>56</v>
      </c>
      <c r="BF849">
        <v>9</v>
      </c>
      <c r="BG849" t="s">
        <v>56</v>
      </c>
      <c r="BH849" t="s">
        <v>56</v>
      </c>
      <c r="BI849">
        <v>-8</v>
      </c>
      <c r="BJ849">
        <v>6</v>
      </c>
      <c r="BK849" t="s">
        <v>247</v>
      </c>
      <c r="BL849" t="s">
        <v>255</v>
      </c>
      <c r="BM849" t="s">
        <v>255</v>
      </c>
      <c r="BN849" t="s">
        <v>60</v>
      </c>
      <c r="BO849" t="s">
        <v>56</v>
      </c>
      <c r="BP849" t="s">
        <v>194</v>
      </c>
      <c r="BQ849" t="s">
        <v>194</v>
      </c>
      <c r="BR849" t="s">
        <v>63</v>
      </c>
      <c r="BS849"/>
      <c r="BT849">
        <v>4.29</v>
      </c>
      <c r="BU849">
        <v>4.29</v>
      </c>
      <c r="BV849">
        <v>0.49</v>
      </c>
      <c r="BW849">
        <f>BV849*SQRT(AK849)</f>
        <v>1.5495160534825059</v>
      </c>
      <c r="BX849">
        <v>5.42</v>
      </c>
      <c r="BY849">
        <v>5.42</v>
      </c>
      <c r="BZ849">
        <v>0.25</v>
      </c>
      <c r="CA849">
        <f>BZ849*SQRT(AL849)</f>
        <v>0.79056941504209488</v>
      </c>
      <c r="CB849">
        <v>40</v>
      </c>
      <c r="CC849">
        <v>7</v>
      </c>
      <c r="CD849">
        <v>0.23400000000000001</v>
      </c>
      <c r="CE849">
        <v>1.52E-2</v>
      </c>
      <c r="CF849"/>
    </row>
    <row r="850" spans="1:84" s="8" customFormat="1" hidden="1" x14ac:dyDescent="0.2">
      <c r="A850"/>
      <c r="B850" t="str">
        <f>ROW()-1&amp;"_AltersInvert"</f>
        <v>849_AltersInvert</v>
      </c>
      <c r="C850" t="str">
        <f>D850&amp;"_"&amp;
SUBSTITUTE(TRIM(V850)," ","_")&amp;"_"&amp;
TRIM(AC850)&amp;"_"&amp;
"CO2"&amp;TEXT(AN850,"0.00")&amp;"_"&amp;
"pH"&amp;TEXT(AR850,"0.00")&amp;"_"&amp;
"T"&amp;TEXT(BC850,"0.##")</f>
        <v>16_Hyas_araneus_LARVA_CO2354.00_pH8.11_T3.</v>
      </c>
      <c r="D850">
        <v>16</v>
      </c>
      <c r="E850"/>
      <c r="F850"/>
      <c r="G850" t="s">
        <v>43</v>
      </c>
      <c r="H850" t="s">
        <v>243</v>
      </c>
      <c r="I850"/>
      <c r="J850">
        <v>2010</v>
      </c>
      <c r="K850"/>
      <c r="L850"/>
      <c r="M850" t="s">
        <v>244</v>
      </c>
      <c r="N850"/>
      <c r="O850"/>
      <c r="P850" t="s">
        <v>1135</v>
      </c>
      <c r="Q850"/>
      <c r="R850" t="s">
        <v>1127</v>
      </c>
      <c r="S850" t="s">
        <v>1128</v>
      </c>
      <c r="T850" t="s">
        <v>131</v>
      </c>
      <c r="U850" t="s">
        <v>245</v>
      </c>
      <c r="V850" t="s">
        <v>246</v>
      </c>
      <c r="W850"/>
      <c r="X850"/>
      <c r="Y850"/>
      <c r="Z850" t="s">
        <v>49</v>
      </c>
      <c r="AA850" t="s">
        <v>49</v>
      </c>
      <c r="AB850" t="s">
        <v>71</v>
      </c>
      <c r="AC850" t="s">
        <v>72</v>
      </c>
      <c r="AD850" t="s">
        <v>52</v>
      </c>
      <c r="AE850" t="s">
        <v>53</v>
      </c>
      <c r="AF850" t="s">
        <v>52</v>
      </c>
      <c r="AG850" t="s">
        <v>52</v>
      </c>
      <c r="AH850" t="s">
        <v>64</v>
      </c>
      <c r="AI850"/>
      <c r="AJ850"/>
      <c r="AK850">
        <v>10</v>
      </c>
      <c r="AL850">
        <v>10</v>
      </c>
      <c r="AM850"/>
      <c r="AN850">
        <v>354</v>
      </c>
      <c r="AO850" t="s">
        <v>56</v>
      </c>
      <c r="AP850">
        <v>65</v>
      </c>
      <c r="AQ850" t="s">
        <v>56</v>
      </c>
      <c r="AR850">
        <v>8.11</v>
      </c>
      <c r="AS850" t="s">
        <v>56</v>
      </c>
      <c r="AT850">
        <v>0.05</v>
      </c>
      <c r="AU850">
        <v>2443</v>
      </c>
      <c r="AV850" t="s">
        <v>56</v>
      </c>
      <c r="AW850">
        <v>238</v>
      </c>
      <c r="AX850">
        <v>7.35</v>
      </c>
      <c r="AY850" t="s">
        <v>56</v>
      </c>
      <c r="AZ850" t="s">
        <v>56</v>
      </c>
      <c r="BA850"/>
      <c r="BB850">
        <f>LOG(AU850)</f>
        <v>3.3879234669734366</v>
      </c>
      <c r="BC850">
        <v>3</v>
      </c>
      <c r="BD850" t="s">
        <v>56</v>
      </c>
      <c r="BE850" t="s">
        <v>56</v>
      </c>
      <c r="BF850">
        <v>9</v>
      </c>
      <c r="BG850" t="s">
        <v>56</v>
      </c>
      <c r="BH850" t="s">
        <v>56</v>
      </c>
      <c r="BI850">
        <v>2089</v>
      </c>
      <c r="BJ850">
        <v>6</v>
      </c>
      <c r="BK850" t="s">
        <v>247</v>
      </c>
      <c r="BL850" t="s">
        <v>255</v>
      </c>
      <c r="BM850" t="s">
        <v>255</v>
      </c>
      <c r="BN850" t="s">
        <v>60</v>
      </c>
      <c r="BO850" t="s">
        <v>56</v>
      </c>
      <c r="BP850" t="s">
        <v>194</v>
      </c>
      <c r="BQ850" t="s">
        <v>194</v>
      </c>
      <c r="BR850" t="s">
        <v>63</v>
      </c>
      <c r="BS850"/>
      <c r="BT850">
        <v>4.29</v>
      </c>
      <c r="BU850">
        <v>4.29</v>
      </c>
      <c r="BV850">
        <v>0.49</v>
      </c>
      <c r="BW850">
        <f>BV850*SQRT(AK850)</f>
        <v>1.5495160534825059</v>
      </c>
      <c r="BX850">
        <v>4.5599999999999996</v>
      </c>
      <c r="BY850">
        <v>4.5599999999999996</v>
      </c>
      <c r="BZ850">
        <v>0.4</v>
      </c>
      <c r="CA850">
        <f>BZ850*SQRT(AL850)</f>
        <v>1.264911064067352</v>
      </c>
      <c r="CB850">
        <v>40</v>
      </c>
      <c r="CC850">
        <v>7</v>
      </c>
      <c r="CD850">
        <v>6.0999999999999999E-2</v>
      </c>
      <c r="CE850">
        <v>2.07E-2</v>
      </c>
      <c r="CF850"/>
    </row>
    <row r="851" spans="1:84" s="8" customFormat="1" hidden="1" x14ac:dyDescent="0.2">
      <c r="A851"/>
      <c r="B851" t="str">
        <f>ROW()-1&amp;"_AltersInvert"</f>
        <v>850_AltersInvert</v>
      </c>
      <c r="C851" t="str">
        <f>D851&amp;"_"&amp;
SUBSTITUTE(TRIM(V851)," ","_")&amp;"_"&amp;
TRIM(AC851)&amp;"_"&amp;
"CO2"&amp;TEXT(AN851,"0.00")&amp;"_"&amp;
"pH"&amp;TEXT(AR851,"0.00")&amp;"_"&amp;
"T"&amp;TEXT(BC851,"0.##")</f>
        <v>16_Hyas_araneus_LARVA_CO2354.00_pH8.11_T3.</v>
      </c>
      <c r="D851">
        <v>16</v>
      </c>
      <c r="E851"/>
      <c r="F851"/>
      <c r="G851" t="s">
        <v>43</v>
      </c>
      <c r="H851" t="s">
        <v>243</v>
      </c>
      <c r="I851"/>
      <c r="J851">
        <v>2010</v>
      </c>
      <c r="K851"/>
      <c r="L851"/>
      <c r="M851" t="s">
        <v>244</v>
      </c>
      <c r="N851"/>
      <c r="O851"/>
      <c r="P851" t="s">
        <v>1135</v>
      </c>
      <c r="Q851"/>
      <c r="R851" t="s">
        <v>1127</v>
      </c>
      <c r="S851" t="s">
        <v>1128</v>
      </c>
      <c r="T851" t="s">
        <v>131</v>
      </c>
      <c r="U851" t="s">
        <v>245</v>
      </c>
      <c r="V851" t="s">
        <v>246</v>
      </c>
      <c r="W851"/>
      <c r="X851"/>
      <c r="Y851"/>
      <c r="Z851" t="s">
        <v>49</v>
      </c>
      <c r="AA851" t="s">
        <v>49</v>
      </c>
      <c r="AB851" t="s">
        <v>71</v>
      </c>
      <c r="AC851" t="s">
        <v>72</v>
      </c>
      <c r="AD851" t="s">
        <v>52</v>
      </c>
      <c r="AE851" t="s">
        <v>53</v>
      </c>
      <c r="AF851" t="s">
        <v>52</v>
      </c>
      <c r="AG851" t="s">
        <v>52</v>
      </c>
      <c r="AH851" t="s">
        <v>64</v>
      </c>
      <c r="AI851"/>
      <c r="AJ851"/>
      <c r="AK851">
        <v>10</v>
      </c>
      <c r="AL851">
        <v>10</v>
      </c>
      <c r="AM851"/>
      <c r="AN851">
        <v>354</v>
      </c>
      <c r="AO851" t="s">
        <v>56</v>
      </c>
      <c r="AP851">
        <v>65</v>
      </c>
      <c r="AQ851" t="s">
        <v>56</v>
      </c>
      <c r="AR851">
        <v>8.11</v>
      </c>
      <c r="AS851" t="s">
        <v>56</v>
      </c>
      <c r="AT851">
        <v>0.05</v>
      </c>
      <c r="AU851">
        <v>2637</v>
      </c>
      <c r="AV851" t="s">
        <v>56</v>
      </c>
      <c r="AW851">
        <v>160</v>
      </c>
      <c r="AX851">
        <v>7.34</v>
      </c>
      <c r="AY851" t="s">
        <v>56</v>
      </c>
      <c r="AZ851" t="s">
        <v>56</v>
      </c>
      <c r="BA851"/>
      <c r="BB851">
        <f>LOG(AU851)</f>
        <v>3.4211101297934343</v>
      </c>
      <c r="BC851">
        <v>3</v>
      </c>
      <c r="BD851" t="s">
        <v>56</v>
      </c>
      <c r="BE851" t="s">
        <v>56</v>
      </c>
      <c r="BF851">
        <v>15</v>
      </c>
      <c r="BG851" t="s">
        <v>56</v>
      </c>
      <c r="BH851" t="s">
        <v>56</v>
      </c>
      <c r="BI851">
        <v>2283</v>
      </c>
      <c r="BJ851">
        <v>12</v>
      </c>
      <c r="BK851" t="s">
        <v>247</v>
      </c>
      <c r="BL851" t="s">
        <v>255</v>
      </c>
      <c r="BM851" t="s">
        <v>255</v>
      </c>
      <c r="BN851" t="s">
        <v>60</v>
      </c>
      <c r="BO851" t="s">
        <v>56</v>
      </c>
      <c r="BP851" t="s">
        <v>194</v>
      </c>
      <c r="BQ851" t="s">
        <v>194</v>
      </c>
      <c r="BR851" t="s">
        <v>63</v>
      </c>
      <c r="BS851"/>
      <c r="BT851">
        <v>4.29</v>
      </c>
      <c r="BU851">
        <v>4.29</v>
      </c>
      <c r="BV851">
        <v>0.49</v>
      </c>
      <c r="BW851">
        <f>BV851*SQRT(AK851)</f>
        <v>1.5495160534825059</v>
      </c>
      <c r="BX851">
        <v>4.76</v>
      </c>
      <c r="BY851">
        <v>4.76</v>
      </c>
      <c r="BZ851">
        <v>0.34</v>
      </c>
      <c r="CA851">
        <f>BZ851*SQRT(AL851)</f>
        <v>1.0751744044572491</v>
      </c>
      <c r="CB851">
        <v>20</v>
      </c>
      <c r="CC851">
        <v>7</v>
      </c>
      <c r="CD851">
        <v>0.104</v>
      </c>
      <c r="CE851">
        <v>1.8100000000000002E-2</v>
      </c>
      <c r="CF851"/>
    </row>
    <row r="852" spans="1:84" s="8" customFormat="1" hidden="1" x14ac:dyDescent="0.2">
      <c r="A852"/>
      <c r="B852" t="str">
        <f>ROW()-1&amp;"_AltersInvert"</f>
        <v>851_AltersInvert</v>
      </c>
      <c r="C852" t="str">
        <f>D852&amp;"_"&amp;
SUBSTITUTE(TRIM(V852)," ","_")&amp;"_"&amp;
TRIM(AC852)&amp;"_"&amp;
"CO2"&amp;TEXT(AN852,"0.00")&amp;"_"&amp;
"pH"&amp;TEXT(AR852,"0.00")&amp;"_"&amp;
"T"&amp;TEXT(BC852,"0.##")</f>
        <v>16_Hyas_araneus_LARVA_CO2354.00_pH8.11_T3.</v>
      </c>
      <c r="D852">
        <v>16</v>
      </c>
      <c r="E852"/>
      <c r="F852"/>
      <c r="G852" t="s">
        <v>43</v>
      </c>
      <c r="H852" t="s">
        <v>243</v>
      </c>
      <c r="I852"/>
      <c r="J852">
        <v>2010</v>
      </c>
      <c r="K852"/>
      <c r="L852"/>
      <c r="M852" t="s">
        <v>244</v>
      </c>
      <c r="N852"/>
      <c r="O852"/>
      <c r="P852" t="s">
        <v>1135</v>
      </c>
      <c r="Q852"/>
      <c r="R852" t="s">
        <v>1127</v>
      </c>
      <c r="S852" t="s">
        <v>1128</v>
      </c>
      <c r="T852" t="s">
        <v>131</v>
      </c>
      <c r="U852" t="s">
        <v>245</v>
      </c>
      <c r="V852" t="s">
        <v>246</v>
      </c>
      <c r="W852"/>
      <c r="X852"/>
      <c r="Y852"/>
      <c r="Z852" t="s">
        <v>49</v>
      </c>
      <c r="AA852" t="s">
        <v>49</v>
      </c>
      <c r="AB852" t="s">
        <v>71</v>
      </c>
      <c r="AC852" t="s">
        <v>72</v>
      </c>
      <c r="AD852" t="s">
        <v>52</v>
      </c>
      <c r="AE852" t="s">
        <v>53</v>
      </c>
      <c r="AF852" t="s">
        <v>52</v>
      </c>
      <c r="AG852" t="s">
        <v>52</v>
      </c>
      <c r="AH852" t="s">
        <v>64</v>
      </c>
      <c r="AI852"/>
      <c r="AJ852"/>
      <c r="AK852">
        <v>10</v>
      </c>
      <c r="AL852">
        <v>10</v>
      </c>
      <c r="AM852"/>
      <c r="AN852">
        <v>354</v>
      </c>
      <c r="AO852" t="s">
        <v>56</v>
      </c>
      <c r="AP852">
        <v>65</v>
      </c>
      <c r="AQ852" t="s">
        <v>56</v>
      </c>
      <c r="AR852">
        <v>8.11</v>
      </c>
      <c r="AS852" t="s">
        <v>56</v>
      </c>
      <c r="AT852">
        <v>0.05</v>
      </c>
      <c r="AU852">
        <v>846</v>
      </c>
      <c r="AV852" t="s">
        <v>56</v>
      </c>
      <c r="AW852">
        <v>42</v>
      </c>
      <c r="AX852">
        <v>7.79</v>
      </c>
      <c r="AY852" t="s">
        <v>56</v>
      </c>
      <c r="AZ852" t="s">
        <v>56</v>
      </c>
      <c r="BA852"/>
      <c r="BB852">
        <f>LOG(AU852)</f>
        <v>2.9273703630390235</v>
      </c>
      <c r="BC852">
        <v>3</v>
      </c>
      <c r="BD852" t="s">
        <v>56</v>
      </c>
      <c r="BE852" t="s">
        <v>56</v>
      </c>
      <c r="BF852">
        <v>15</v>
      </c>
      <c r="BG852" t="s">
        <v>56</v>
      </c>
      <c r="BH852" t="s">
        <v>56</v>
      </c>
      <c r="BI852">
        <v>492</v>
      </c>
      <c r="BJ852">
        <v>12</v>
      </c>
      <c r="BK852" t="s">
        <v>247</v>
      </c>
      <c r="BL852" t="s">
        <v>255</v>
      </c>
      <c r="BM852" t="s">
        <v>255</v>
      </c>
      <c r="BN852" t="s">
        <v>60</v>
      </c>
      <c r="BO852" t="s">
        <v>56</v>
      </c>
      <c r="BP852" t="s">
        <v>194</v>
      </c>
      <c r="BQ852" t="s">
        <v>194</v>
      </c>
      <c r="BR852" t="s">
        <v>63</v>
      </c>
      <c r="BS852"/>
      <c r="BT852">
        <v>4.29</v>
      </c>
      <c r="BU852">
        <v>4.29</v>
      </c>
      <c r="BV852">
        <v>0.49</v>
      </c>
      <c r="BW852">
        <f>BV852*SQRT(AK852)</f>
        <v>1.5495160534825059</v>
      </c>
      <c r="BX852">
        <v>4.84</v>
      </c>
      <c r="BY852">
        <v>4.84</v>
      </c>
      <c r="BZ852">
        <v>0.24</v>
      </c>
      <c r="CA852">
        <f>BZ852*SQRT(AL852)</f>
        <v>0.7589466384404111</v>
      </c>
      <c r="CB852">
        <v>20</v>
      </c>
      <c r="CC852">
        <v>7</v>
      </c>
      <c r="CD852">
        <v>0.121</v>
      </c>
      <c r="CE852">
        <v>1.55E-2</v>
      </c>
      <c r="CF852"/>
    </row>
    <row r="853" spans="1:84" s="8" customFormat="1" hidden="1" x14ac:dyDescent="0.2">
      <c r="A853"/>
      <c r="B853" t="str">
        <f>ROW()-1&amp;"_AltersInvert"</f>
        <v>852_AltersInvert</v>
      </c>
      <c r="C853" t="str">
        <f>D853&amp;"_"&amp;
SUBSTITUTE(TRIM(V853)," ","_")&amp;"_"&amp;
TRIM(AC853)&amp;"_"&amp;
"CO2"&amp;TEXT(AN853,"0.00")&amp;"_"&amp;
"pH"&amp;TEXT(AR853,"0.00")&amp;"_"&amp;
"T"&amp;TEXT(BC853,"0.##")</f>
        <v>16_Hyas_araneus_LARVA_CO2354.00_pH8.11_T3.</v>
      </c>
      <c r="D853">
        <v>16</v>
      </c>
      <c r="E853"/>
      <c r="F853"/>
      <c r="G853" t="s">
        <v>43</v>
      </c>
      <c r="H853" t="s">
        <v>243</v>
      </c>
      <c r="I853"/>
      <c r="J853">
        <v>2010</v>
      </c>
      <c r="K853"/>
      <c r="L853"/>
      <c r="M853" t="s">
        <v>244</v>
      </c>
      <c r="N853"/>
      <c r="O853"/>
      <c r="P853" t="s">
        <v>1135</v>
      </c>
      <c r="Q853"/>
      <c r="R853" t="s">
        <v>1127</v>
      </c>
      <c r="S853" t="s">
        <v>1128</v>
      </c>
      <c r="T853" t="s">
        <v>131</v>
      </c>
      <c r="U853" t="s">
        <v>245</v>
      </c>
      <c r="V853" t="s">
        <v>246</v>
      </c>
      <c r="W853"/>
      <c r="X853"/>
      <c r="Y853"/>
      <c r="Z853" t="s">
        <v>49</v>
      </c>
      <c r="AA853" t="s">
        <v>49</v>
      </c>
      <c r="AB853" t="s">
        <v>71</v>
      </c>
      <c r="AC853" t="s">
        <v>72</v>
      </c>
      <c r="AD853" t="s">
        <v>52</v>
      </c>
      <c r="AE853" t="s">
        <v>53</v>
      </c>
      <c r="AF853" t="s">
        <v>52</v>
      </c>
      <c r="AG853" t="s">
        <v>52</v>
      </c>
      <c r="AH853" t="s">
        <v>64</v>
      </c>
      <c r="AI853"/>
      <c r="AJ853"/>
      <c r="AK853">
        <v>10</v>
      </c>
      <c r="AL853">
        <v>10</v>
      </c>
      <c r="AM853"/>
      <c r="AN853">
        <v>354</v>
      </c>
      <c r="AO853" t="s">
        <v>56</v>
      </c>
      <c r="AP853">
        <v>65</v>
      </c>
      <c r="AQ853" t="s">
        <v>56</v>
      </c>
      <c r="AR853">
        <v>8.11</v>
      </c>
      <c r="AS853" t="s">
        <v>56</v>
      </c>
      <c r="AT853">
        <v>0.05</v>
      </c>
      <c r="AU853">
        <v>786</v>
      </c>
      <c r="AV853" t="s">
        <v>56</v>
      </c>
      <c r="AW853">
        <v>54</v>
      </c>
      <c r="AX853">
        <v>7.81</v>
      </c>
      <c r="AY853" t="s">
        <v>56</v>
      </c>
      <c r="AZ853" t="s">
        <v>56</v>
      </c>
      <c r="BA853"/>
      <c r="BB853">
        <f>LOG(AU853)</f>
        <v>2.8954225460394079</v>
      </c>
      <c r="BC853">
        <v>3</v>
      </c>
      <c r="BD853" t="s">
        <v>56</v>
      </c>
      <c r="BE853" t="s">
        <v>56</v>
      </c>
      <c r="BF853">
        <v>9</v>
      </c>
      <c r="BG853" t="s">
        <v>56</v>
      </c>
      <c r="BH853" t="s">
        <v>56</v>
      </c>
      <c r="BI853">
        <v>432</v>
      </c>
      <c r="BJ853">
        <v>6</v>
      </c>
      <c r="BK853" t="s">
        <v>247</v>
      </c>
      <c r="BL853" t="s">
        <v>255</v>
      </c>
      <c r="BM853" t="s">
        <v>255</v>
      </c>
      <c r="BN853" t="s">
        <v>60</v>
      </c>
      <c r="BO853" t="s">
        <v>56</v>
      </c>
      <c r="BP853" t="s">
        <v>194</v>
      </c>
      <c r="BQ853" t="s">
        <v>194</v>
      </c>
      <c r="BR853" t="s">
        <v>63</v>
      </c>
      <c r="BS853"/>
      <c r="BT853">
        <v>4.29</v>
      </c>
      <c r="BU853">
        <v>4.29</v>
      </c>
      <c r="BV853">
        <v>0.49</v>
      </c>
      <c r="BW853">
        <f>BV853*SQRT(AK853)</f>
        <v>1.5495160534825059</v>
      </c>
      <c r="BX853">
        <v>4.95</v>
      </c>
      <c r="BY853">
        <v>4.9454200000000004</v>
      </c>
      <c r="BZ853">
        <v>0.99</v>
      </c>
      <c r="CA853">
        <f>BZ853*SQRT(AL853)</f>
        <v>3.1306548835666956</v>
      </c>
      <c r="CB853">
        <v>40</v>
      </c>
      <c r="CC853">
        <v>7</v>
      </c>
      <c r="CD853">
        <v>0.14199999999999999</v>
      </c>
      <c r="CE853">
        <v>5.2999999999999999E-2</v>
      </c>
      <c r="CF853"/>
    </row>
    <row r="854" spans="1:84" s="8" customFormat="1" hidden="1" x14ac:dyDescent="0.2">
      <c r="A854"/>
      <c r="B854" t="str">
        <f>ROW()-1&amp;"_AltersInvert"</f>
        <v>853_AltersInvert</v>
      </c>
      <c r="C854" t="str">
        <f>D854&amp;"_"&amp;
SUBSTITUTE(TRIM(V854)," ","_")&amp;"_"&amp;
TRIM(AC854)&amp;"_"&amp;
"CO2"&amp;TEXT(AN854,"0.00")&amp;"_"&amp;
"pH"&amp;TEXT(AR854,"0.00")&amp;"_"&amp;
"T"&amp;TEXT(BC854,"0.##")</f>
        <v>67_Elminius_modestus_LARVA_CO2413.00_pH7.96_T14.7</v>
      </c>
      <c r="D854">
        <v>67</v>
      </c>
      <c r="E854"/>
      <c r="F854"/>
      <c r="G854" t="s">
        <v>43</v>
      </c>
      <c r="H854" t="s">
        <v>622</v>
      </c>
      <c r="I854"/>
      <c r="J854">
        <v>2009</v>
      </c>
      <c r="K854"/>
      <c r="L854"/>
      <c r="M854" t="s">
        <v>67</v>
      </c>
      <c r="N854"/>
      <c r="O854"/>
      <c r="P854" t="s">
        <v>1135</v>
      </c>
      <c r="Q854"/>
      <c r="R854" t="s">
        <v>1127</v>
      </c>
      <c r="S854" t="s">
        <v>1128</v>
      </c>
      <c r="T854" t="s">
        <v>131</v>
      </c>
      <c r="U854" t="s">
        <v>623</v>
      </c>
      <c r="V854" t="s">
        <v>627</v>
      </c>
      <c r="W854"/>
      <c r="X854"/>
      <c r="Y854"/>
      <c r="Z854" t="s">
        <v>49</v>
      </c>
      <c r="AA854" t="s">
        <v>49</v>
      </c>
      <c r="AB854" t="s">
        <v>71</v>
      </c>
      <c r="AC854" t="s">
        <v>72</v>
      </c>
      <c r="AD854" t="s">
        <v>52</v>
      </c>
      <c r="AE854" t="s">
        <v>53</v>
      </c>
      <c r="AF854" t="s">
        <v>52</v>
      </c>
      <c r="AG854" t="s">
        <v>54</v>
      </c>
      <c r="AH854" t="s">
        <v>55</v>
      </c>
      <c r="AI854"/>
      <c r="AJ854"/>
      <c r="AK854">
        <v>5</v>
      </c>
      <c r="AL854">
        <v>5</v>
      </c>
      <c r="AM854"/>
      <c r="AN854">
        <v>413</v>
      </c>
      <c r="AO854" t="s">
        <v>56</v>
      </c>
      <c r="AP854" t="s">
        <v>56</v>
      </c>
      <c r="AQ854" t="s">
        <v>57</v>
      </c>
      <c r="AR854">
        <v>7.96</v>
      </c>
      <c r="AS854" t="s">
        <v>56</v>
      </c>
      <c r="AT854" t="s">
        <v>56</v>
      </c>
      <c r="AU854">
        <v>1076</v>
      </c>
      <c r="AV854" t="s">
        <v>56</v>
      </c>
      <c r="AW854" t="s">
        <v>56</v>
      </c>
      <c r="AX854">
        <v>7.73</v>
      </c>
      <c r="AY854" t="s">
        <v>56</v>
      </c>
      <c r="AZ854" t="s">
        <v>56</v>
      </c>
      <c r="BA854"/>
      <c r="BB854">
        <f>LOG(AU854)</f>
        <v>3.0318122713303706</v>
      </c>
      <c r="BC854">
        <v>14.7</v>
      </c>
      <c r="BD854" t="s">
        <v>56</v>
      </c>
      <c r="BE854" t="s">
        <v>56</v>
      </c>
      <c r="BF854">
        <v>15</v>
      </c>
      <c r="BG854" t="s">
        <v>56</v>
      </c>
      <c r="BH854" t="s">
        <v>56</v>
      </c>
      <c r="BI854">
        <v>663</v>
      </c>
      <c r="BJ854">
        <v>0.3</v>
      </c>
      <c r="BK854" t="s">
        <v>56</v>
      </c>
      <c r="BL854" t="s">
        <v>625</v>
      </c>
      <c r="BM854" t="s">
        <v>262</v>
      </c>
      <c r="BN854" t="s">
        <v>81</v>
      </c>
      <c r="BO854" t="s">
        <v>626</v>
      </c>
      <c r="BP854" t="s">
        <v>92</v>
      </c>
      <c r="BQ854" t="s">
        <v>92</v>
      </c>
      <c r="BR854" t="s">
        <v>63</v>
      </c>
      <c r="BS854"/>
      <c r="BT854">
        <v>6.14</v>
      </c>
      <c r="BU854">
        <v>6.14</v>
      </c>
      <c r="BV854">
        <v>0.72</v>
      </c>
      <c r="BW854">
        <f>BV854*SQRT(AK854)</f>
        <v>1.6099689437998486</v>
      </c>
      <c r="BX854">
        <v>4.92</v>
      </c>
      <c r="BY854">
        <v>4.92</v>
      </c>
      <c r="BZ854">
        <v>0.48</v>
      </c>
      <c r="CA854">
        <f>BZ854*SQRT(AL854)</f>
        <v>1.0733126291998991</v>
      </c>
      <c r="CB854">
        <v>30</v>
      </c>
      <c r="CC854">
        <v>2</v>
      </c>
      <c r="CD854">
        <v>-0.222</v>
      </c>
      <c r="CE854">
        <v>2.3400000000000001E-2</v>
      </c>
    </row>
    <row r="855" spans="1:84" s="8" customFormat="1" hidden="1" x14ac:dyDescent="0.2">
      <c r="A855"/>
      <c r="B855" t="str">
        <f>ROW()-1&amp;"_AltersInvert"</f>
        <v>854_AltersInvert</v>
      </c>
      <c r="C855" t="str">
        <f>D855&amp;"_"&amp;
SUBSTITUTE(TRIM(V855)," ","_")&amp;"_"&amp;
TRIM(AC855)&amp;"_"&amp;
"CO2"&amp;TEXT(AN855,"0.00")&amp;"_"&amp;
"pH"&amp;TEXT(AR855,"0.00")&amp;"_"&amp;
"T"&amp;TEXT(BC855,"0.##")</f>
        <v>67_Elminius_modestus_LARVA_CO2413.00_pH7.96_T14.7</v>
      </c>
      <c r="D855">
        <v>67</v>
      </c>
      <c r="E855"/>
      <c r="F855"/>
      <c r="G855" t="s">
        <v>43</v>
      </c>
      <c r="H855" t="s">
        <v>622</v>
      </c>
      <c r="I855"/>
      <c r="J855">
        <v>2009</v>
      </c>
      <c r="K855"/>
      <c r="L855"/>
      <c r="M855" t="s">
        <v>67</v>
      </c>
      <c r="N855"/>
      <c r="O855"/>
      <c r="P855" t="s">
        <v>1135</v>
      </c>
      <c r="Q855"/>
      <c r="R855" t="s">
        <v>1127</v>
      </c>
      <c r="S855" t="s">
        <v>1128</v>
      </c>
      <c r="T855" t="s">
        <v>131</v>
      </c>
      <c r="U855" t="s">
        <v>623</v>
      </c>
      <c r="V855" t="s">
        <v>627</v>
      </c>
      <c r="W855"/>
      <c r="X855"/>
      <c r="Y855"/>
      <c r="Z855" t="s">
        <v>49</v>
      </c>
      <c r="AA855" t="s">
        <v>49</v>
      </c>
      <c r="AB855" t="s">
        <v>71</v>
      </c>
      <c r="AC855" t="s">
        <v>72</v>
      </c>
      <c r="AD855" t="s">
        <v>52</v>
      </c>
      <c r="AE855" t="s">
        <v>53</v>
      </c>
      <c r="AF855" t="s">
        <v>54</v>
      </c>
      <c r="AG855" t="s">
        <v>52</v>
      </c>
      <c r="AH855" t="s">
        <v>65</v>
      </c>
      <c r="AI855"/>
      <c r="AJ855"/>
      <c r="AK855">
        <v>5</v>
      </c>
      <c r="AL855">
        <v>5</v>
      </c>
      <c r="AM855"/>
      <c r="AN855">
        <v>413</v>
      </c>
      <c r="AO855" t="s">
        <v>56</v>
      </c>
      <c r="AP855" t="s">
        <v>56</v>
      </c>
      <c r="AQ855" t="s">
        <v>57</v>
      </c>
      <c r="AR855">
        <v>7.96</v>
      </c>
      <c r="AS855" t="s">
        <v>56</v>
      </c>
      <c r="AT855" t="s">
        <v>56</v>
      </c>
      <c r="AU855">
        <v>412</v>
      </c>
      <c r="AV855" t="s">
        <v>56</v>
      </c>
      <c r="AW855" t="s">
        <v>56</v>
      </c>
      <c r="AX855">
        <v>7.98</v>
      </c>
      <c r="AY855" t="s">
        <v>56</v>
      </c>
      <c r="AZ855" t="s">
        <v>56</v>
      </c>
      <c r="BA855"/>
      <c r="BB855">
        <f>LOG(AU855)</f>
        <v>2.6148972160331345</v>
      </c>
      <c r="BC855">
        <v>14.7</v>
      </c>
      <c r="BD855" t="s">
        <v>56</v>
      </c>
      <c r="BE855" t="s">
        <v>56</v>
      </c>
      <c r="BF855">
        <v>19.7</v>
      </c>
      <c r="BG855" t="s">
        <v>56</v>
      </c>
      <c r="BH855" t="s">
        <v>56</v>
      </c>
      <c r="BI855">
        <v>-1</v>
      </c>
      <c r="BJ855">
        <v>5</v>
      </c>
      <c r="BK855" t="s">
        <v>56</v>
      </c>
      <c r="BL855" t="s">
        <v>625</v>
      </c>
      <c r="BM855" t="s">
        <v>262</v>
      </c>
      <c r="BN855" t="s">
        <v>81</v>
      </c>
      <c r="BO855" t="s">
        <v>626</v>
      </c>
      <c r="BP855" t="s">
        <v>92</v>
      </c>
      <c r="BQ855" t="s">
        <v>92</v>
      </c>
      <c r="BR855" t="s">
        <v>63</v>
      </c>
      <c r="BS855"/>
      <c r="BT855">
        <v>6.14</v>
      </c>
      <c r="BU855">
        <v>6.14</v>
      </c>
      <c r="BV855">
        <v>0.72</v>
      </c>
      <c r="BW855">
        <f>BV855*SQRT(AK855)</f>
        <v>1.6099689437998486</v>
      </c>
      <c r="BX855">
        <v>6.68</v>
      </c>
      <c r="BY855">
        <v>6.68</v>
      </c>
      <c r="BZ855">
        <v>0.45</v>
      </c>
      <c r="CA855">
        <f>BZ855*SQRT(AL855)</f>
        <v>1.0062305898749055</v>
      </c>
      <c r="CB855">
        <v>30</v>
      </c>
      <c r="CC855">
        <v>2</v>
      </c>
      <c r="CD855">
        <v>8.4000000000000005E-2</v>
      </c>
      <c r="CE855">
        <v>1.8499999999999999E-2</v>
      </c>
    </row>
    <row r="856" spans="1:84" s="8" customFormat="1" hidden="1" x14ac:dyDescent="0.2">
      <c r="A856"/>
      <c r="B856" t="str">
        <f>ROW()-1&amp;"_AltersInvert"</f>
        <v>855_AltersInvert</v>
      </c>
      <c r="C856" t="str">
        <f>D856&amp;"_"&amp;
SUBSTITUTE(TRIM(V856)," ","_")&amp;"_"&amp;
TRIM(AC856)&amp;"_"&amp;
"CO2"&amp;TEXT(AN856,"0.00")&amp;"_"&amp;
"pH"&amp;TEXT(AR856,"0.00")&amp;"_"&amp;
"T"&amp;TEXT(BC856,"0.##")</f>
        <v>67_Elminius_modestus_LARVA_CO2413.00_pH7.96_T14.7</v>
      </c>
      <c r="D856">
        <v>67</v>
      </c>
      <c r="E856"/>
      <c r="F856"/>
      <c r="G856" t="s">
        <v>43</v>
      </c>
      <c r="H856" t="s">
        <v>622</v>
      </c>
      <c r="I856"/>
      <c r="J856">
        <v>2009</v>
      </c>
      <c r="K856"/>
      <c r="L856"/>
      <c r="M856" t="s">
        <v>67</v>
      </c>
      <c r="N856"/>
      <c r="O856"/>
      <c r="P856" t="s">
        <v>1135</v>
      </c>
      <c r="Q856"/>
      <c r="R856" t="s">
        <v>1127</v>
      </c>
      <c r="S856" t="s">
        <v>1128</v>
      </c>
      <c r="T856" t="s">
        <v>131</v>
      </c>
      <c r="U856" t="s">
        <v>623</v>
      </c>
      <c r="V856" t="s">
        <v>627</v>
      </c>
      <c r="W856"/>
      <c r="X856"/>
      <c r="Y856"/>
      <c r="Z856" t="s">
        <v>49</v>
      </c>
      <c r="AA856" t="s">
        <v>49</v>
      </c>
      <c r="AB856" t="s">
        <v>71</v>
      </c>
      <c r="AC856" t="s">
        <v>72</v>
      </c>
      <c r="AD856" t="s">
        <v>52</v>
      </c>
      <c r="AE856" t="s">
        <v>53</v>
      </c>
      <c r="AF856" t="s">
        <v>52</v>
      </c>
      <c r="AG856" t="s">
        <v>52</v>
      </c>
      <c r="AH856" t="s">
        <v>64</v>
      </c>
      <c r="AI856"/>
      <c r="AJ856"/>
      <c r="AK856">
        <v>5</v>
      </c>
      <c r="AL856">
        <v>5</v>
      </c>
      <c r="AM856"/>
      <c r="AN856">
        <v>413</v>
      </c>
      <c r="AO856" t="s">
        <v>56</v>
      </c>
      <c r="AP856" t="s">
        <v>56</v>
      </c>
      <c r="AQ856" t="s">
        <v>57</v>
      </c>
      <c r="AR856">
        <v>7.96</v>
      </c>
      <c r="AS856" t="s">
        <v>56</v>
      </c>
      <c r="AT856" t="s">
        <v>56</v>
      </c>
      <c r="AU856">
        <v>1075</v>
      </c>
      <c r="AV856" t="s">
        <v>56</v>
      </c>
      <c r="AW856" t="s">
        <v>56</v>
      </c>
      <c r="AX856">
        <v>7.73</v>
      </c>
      <c r="AY856" t="s">
        <v>56</v>
      </c>
      <c r="AZ856" t="s">
        <v>56</v>
      </c>
      <c r="BA856"/>
      <c r="BB856">
        <f>LOG(AU856)</f>
        <v>3.0314084642516241</v>
      </c>
      <c r="BC856">
        <v>14.7</v>
      </c>
      <c r="BD856" t="s">
        <v>56</v>
      </c>
      <c r="BE856" t="s">
        <v>56</v>
      </c>
      <c r="BF856">
        <v>20</v>
      </c>
      <c r="BG856" t="s">
        <v>56</v>
      </c>
      <c r="BH856" t="s">
        <v>56</v>
      </c>
      <c r="BI856">
        <v>662</v>
      </c>
      <c r="BJ856">
        <v>5.4</v>
      </c>
      <c r="BK856" t="s">
        <v>56</v>
      </c>
      <c r="BL856" t="s">
        <v>625</v>
      </c>
      <c r="BM856" t="s">
        <v>262</v>
      </c>
      <c r="BN856" t="s">
        <v>81</v>
      </c>
      <c r="BO856" t="s">
        <v>626</v>
      </c>
      <c r="BP856" t="s">
        <v>92</v>
      </c>
      <c r="BQ856" t="s">
        <v>92</v>
      </c>
      <c r="BR856" t="s">
        <v>63</v>
      </c>
      <c r="BS856"/>
      <c r="BT856">
        <v>6.14</v>
      </c>
      <c r="BU856">
        <v>6.14</v>
      </c>
      <c r="BV856">
        <v>0.72</v>
      </c>
      <c r="BW856">
        <f>BV856*SQRT(AK856)</f>
        <v>1.6099689437998486</v>
      </c>
      <c r="BX856">
        <v>3.64</v>
      </c>
      <c r="BY856">
        <v>3.64</v>
      </c>
      <c r="BZ856">
        <v>0.18</v>
      </c>
      <c r="CA856">
        <f>BZ856*SQRT(AL856)</f>
        <v>0.40249223594996214</v>
      </c>
      <c r="CB856">
        <v>30</v>
      </c>
      <c r="CC856">
        <v>2</v>
      </c>
      <c r="CD856">
        <v>-0.52300000000000002</v>
      </c>
      <c r="CE856">
        <v>1.6500000000000001E-2</v>
      </c>
    </row>
    <row r="857" spans="1:84" s="8" customFormat="1" hidden="1" x14ac:dyDescent="0.2">
      <c r="A857"/>
      <c r="B857"/>
      <c r="C857"/>
      <c r="D857">
        <v>52</v>
      </c>
      <c r="E857"/>
      <c r="F857"/>
      <c r="G857" t="s">
        <v>43</v>
      </c>
      <c r="H857" t="s">
        <v>536</v>
      </c>
      <c r="I857"/>
      <c r="J857">
        <v>2017</v>
      </c>
      <c r="K857"/>
      <c r="L857"/>
      <c r="M857" t="s">
        <v>174</v>
      </c>
      <c r="N857"/>
      <c r="O857"/>
      <c r="P857" t="s">
        <v>1135</v>
      </c>
      <c r="Q857"/>
      <c r="R857" t="s">
        <v>1127</v>
      </c>
      <c r="S857" t="s">
        <v>1128</v>
      </c>
      <c r="T857" t="s">
        <v>103</v>
      </c>
      <c r="U857" t="s">
        <v>201</v>
      </c>
      <c r="V857" t="s">
        <v>214</v>
      </c>
      <c r="W857"/>
      <c r="X857"/>
      <c r="Y857"/>
      <c r="Z857" t="s">
        <v>106</v>
      </c>
      <c r="AA857" t="s">
        <v>107</v>
      </c>
      <c r="AB857" t="s">
        <v>71</v>
      </c>
      <c r="AC857" t="s">
        <v>72</v>
      </c>
      <c r="AD857" t="s">
        <v>52</v>
      </c>
      <c r="AE857" t="s">
        <v>53</v>
      </c>
      <c r="AF857" t="s">
        <v>52</v>
      </c>
      <c r="AG857" t="s">
        <v>54</v>
      </c>
      <c r="AH857" t="s">
        <v>55</v>
      </c>
      <c r="AI857"/>
      <c r="AJ857"/>
      <c r="AK857">
        <v>4</v>
      </c>
      <c r="AL857">
        <v>4</v>
      </c>
      <c r="AM857" t="s">
        <v>263</v>
      </c>
      <c r="AN857">
        <v>459</v>
      </c>
      <c r="AO857">
        <v>4</v>
      </c>
      <c r="AP857" t="s">
        <v>56</v>
      </c>
      <c r="AQ857" t="s">
        <v>109</v>
      </c>
      <c r="AR857">
        <v>8</v>
      </c>
      <c r="AS857">
        <v>0</v>
      </c>
      <c r="AT857" t="s">
        <v>56</v>
      </c>
      <c r="AU857">
        <v>1002</v>
      </c>
      <c r="AV857">
        <v>22</v>
      </c>
      <c r="AW857" t="s">
        <v>56</v>
      </c>
      <c r="AX857">
        <v>7.72</v>
      </c>
      <c r="AY857">
        <v>0.01</v>
      </c>
      <c r="AZ857" t="s">
        <v>56</v>
      </c>
      <c r="BA857"/>
      <c r="BB857">
        <f>LOG(AU857)</f>
        <v>3.0008677215312267</v>
      </c>
      <c r="BC857">
        <v>28</v>
      </c>
      <c r="BD857">
        <v>0.1</v>
      </c>
      <c r="BE857" t="s">
        <v>56</v>
      </c>
      <c r="BF857">
        <v>28.1</v>
      </c>
      <c r="BG857">
        <v>0.2</v>
      </c>
      <c r="BH857" t="s">
        <v>56</v>
      </c>
      <c r="BI857">
        <v>543</v>
      </c>
      <c r="BJ857">
        <v>0</v>
      </c>
      <c r="BK857" t="s">
        <v>537</v>
      </c>
      <c r="BL857" t="s">
        <v>542</v>
      </c>
      <c r="BM857" t="s">
        <v>543</v>
      </c>
      <c r="BN857" t="s">
        <v>60</v>
      </c>
      <c r="BO857" t="s">
        <v>544</v>
      </c>
      <c r="BP857" t="s">
        <v>194</v>
      </c>
      <c r="BQ857" s="8" t="s">
        <v>190</v>
      </c>
      <c r="BR857" t="s">
        <v>63</v>
      </c>
      <c r="BS857"/>
      <c r="BT857">
        <v>0.02</v>
      </c>
      <c r="BU857">
        <v>3.25</v>
      </c>
      <c r="BV857">
        <v>0.86</v>
      </c>
      <c r="BW857">
        <f>BV857*SQRT(AK857)</f>
        <v>1.72</v>
      </c>
      <c r="BX857">
        <v>-1.62</v>
      </c>
      <c r="BY857">
        <v>1.6160714</v>
      </c>
      <c r="BZ857">
        <v>0.72</v>
      </c>
      <c r="CA857">
        <f>BZ857*SQRT(AL857)</f>
        <v>1.44</v>
      </c>
      <c r="CB857">
        <v>1</v>
      </c>
      <c r="CC857">
        <v>2</v>
      </c>
      <c r="CD857"/>
      <c r="CE857">
        <v>0.26979999999999998</v>
      </c>
      <c r="CF857"/>
    </row>
    <row r="858" spans="1:84" s="8" customFormat="1" hidden="1" x14ac:dyDescent="0.2">
      <c r="A858"/>
      <c r="B858"/>
      <c r="C858"/>
      <c r="D858">
        <v>52</v>
      </c>
      <c r="E858"/>
      <c r="F858"/>
      <c r="G858" t="s">
        <v>43</v>
      </c>
      <c r="H858" t="s">
        <v>536</v>
      </c>
      <c r="I858"/>
      <c r="J858">
        <v>2017</v>
      </c>
      <c r="K858"/>
      <c r="L858"/>
      <c r="M858" t="s">
        <v>174</v>
      </c>
      <c r="N858"/>
      <c r="O858"/>
      <c r="P858" t="s">
        <v>1135</v>
      </c>
      <c r="Q858"/>
      <c r="R858" t="s">
        <v>1127</v>
      </c>
      <c r="S858" t="s">
        <v>1128</v>
      </c>
      <c r="T858" t="s">
        <v>103</v>
      </c>
      <c r="U858" t="s">
        <v>201</v>
      </c>
      <c r="V858" t="s">
        <v>214</v>
      </c>
      <c r="W858"/>
      <c r="X858"/>
      <c r="Y858"/>
      <c r="Z858" t="s">
        <v>106</v>
      </c>
      <c r="AA858" t="s">
        <v>107</v>
      </c>
      <c r="AB858" t="s">
        <v>71</v>
      </c>
      <c r="AC858" t="s">
        <v>72</v>
      </c>
      <c r="AD858" t="s">
        <v>52</v>
      </c>
      <c r="AE858" t="s">
        <v>53</v>
      </c>
      <c r="AF858" t="s">
        <v>54</v>
      </c>
      <c r="AG858" t="s">
        <v>52</v>
      </c>
      <c r="AH858" t="s">
        <v>65</v>
      </c>
      <c r="AI858"/>
      <c r="AJ858"/>
      <c r="AK858">
        <v>4</v>
      </c>
      <c r="AL858">
        <v>4</v>
      </c>
      <c r="AM858" t="s">
        <v>263</v>
      </c>
      <c r="AN858">
        <v>459</v>
      </c>
      <c r="AO858">
        <v>4</v>
      </c>
      <c r="AP858" t="s">
        <v>56</v>
      </c>
      <c r="AQ858" t="s">
        <v>109</v>
      </c>
      <c r="AR858">
        <v>8</v>
      </c>
      <c r="AS858">
        <v>0</v>
      </c>
      <c r="AT858" t="s">
        <v>56</v>
      </c>
      <c r="AU858">
        <v>496</v>
      </c>
      <c r="AV858">
        <v>9</v>
      </c>
      <c r="AW858" t="s">
        <v>56</v>
      </c>
      <c r="AX858">
        <v>7.97</v>
      </c>
      <c r="AY858">
        <v>0.01</v>
      </c>
      <c r="AZ858" t="s">
        <v>56</v>
      </c>
      <c r="BA858"/>
      <c r="BB858">
        <f>LOG(AU858)</f>
        <v>2.6954816764901977</v>
      </c>
      <c r="BC858">
        <v>28</v>
      </c>
      <c r="BD858">
        <v>0.1</v>
      </c>
      <c r="BE858" t="s">
        <v>56</v>
      </c>
      <c r="BF858">
        <v>30.6</v>
      </c>
      <c r="BG858">
        <v>0.1</v>
      </c>
      <c r="BH858" t="s">
        <v>56</v>
      </c>
      <c r="BI858">
        <v>37</v>
      </c>
      <c r="BJ858">
        <v>3</v>
      </c>
      <c r="BK858" t="s">
        <v>537</v>
      </c>
      <c r="BL858" t="s">
        <v>542</v>
      </c>
      <c r="BM858" t="s">
        <v>543</v>
      </c>
      <c r="BN858" t="s">
        <v>60</v>
      </c>
      <c r="BO858" t="s">
        <v>544</v>
      </c>
      <c r="BP858" t="s">
        <v>194</v>
      </c>
      <c r="BQ858" s="8" t="s">
        <v>190</v>
      </c>
      <c r="BR858" t="s">
        <v>63</v>
      </c>
      <c r="BS858"/>
      <c r="BT858">
        <v>0.02</v>
      </c>
      <c r="BU858">
        <v>2.660714</v>
      </c>
      <c r="BV858">
        <v>0.86</v>
      </c>
      <c r="BW858">
        <f>BV858*SQRT(AK858)</f>
        <v>1.72</v>
      </c>
      <c r="BX858">
        <v>-1.32</v>
      </c>
      <c r="BY858">
        <v>1.3214286</v>
      </c>
      <c r="BZ858">
        <v>1.04</v>
      </c>
      <c r="CA858">
        <f>BZ858*SQRT(AL858)</f>
        <v>2.08</v>
      </c>
      <c r="CB858">
        <v>1</v>
      </c>
      <c r="CC858">
        <v>2</v>
      </c>
      <c r="CD858"/>
      <c r="CE858">
        <v>0.72870000000000001</v>
      </c>
    </row>
    <row r="859" spans="1:84" s="8" customFormat="1" hidden="1" x14ac:dyDescent="0.2">
      <c r="A859"/>
      <c r="B859"/>
      <c r="C859"/>
      <c r="D859">
        <v>52</v>
      </c>
      <c r="E859"/>
      <c r="F859"/>
      <c r="G859" t="s">
        <v>43</v>
      </c>
      <c r="H859" t="s">
        <v>536</v>
      </c>
      <c r="I859"/>
      <c r="J859">
        <v>2017</v>
      </c>
      <c r="K859"/>
      <c r="L859"/>
      <c r="M859" t="s">
        <v>174</v>
      </c>
      <c r="N859"/>
      <c r="O859"/>
      <c r="P859" t="s">
        <v>1135</v>
      </c>
      <c r="Q859"/>
      <c r="R859" t="s">
        <v>1127</v>
      </c>
      <c r="S859" t="s">
        <v>1128</v>
      </c>
      <c r="T859" t="s">
        <v>103</v>
      </c>
      <c r="U859" t="s">
        <v>201</v>
      </c>
      <c r="V859" t="s">
        <v>214</v>
      </c>
      <c r="W859"/>
      <c r="X859"/>
      <c r="Y859"/>
      <c r="Z859" t="s">
        <v>106</v>
      </c>
      <c r="AA859" t="s">
        <v>107</v>
      </c>
      <c r="AB859" t="s">
        <v>71</v>
      </c>
      <c r="AC859" t="s">
        <v>72</v>
      </c>
      <c r="AD859" t="s">
        <v>52</v>
      </c>
      <c r="AE859" t="s">
        <v>53</v>
      </c>
      <c r="AF859" t="s">
        <v>52</v>
      </c>
      <c r="AG859" t="s">
        <v>52</v>
      </c>
      <c r="AH859" t="s">
        <v>64</v>
      </c>
      <c r="AI859"/>
      <c r="AJ859"/>
      <c r="AK859">
        <v>4</v>
      </c>
      <c r="AL859">
        <v>4</v>
      </c>
      <c r="AM859" t="s">
        <v>263</v>
      </c>
      <c r="AN859">
        <v>459</v>
      </c>
      <c r="AO859">
        <v>4</v>
      </c>
      <c r="AP859" t="s">
        <v>56</v>
      </c>
      <c r="AQ859" t="s">
        <v>109</v>
      </c>
      <c r="AR859">
        <v>8</v>
      </c>
      <c r="AS859">
        <v>0</v>
      </c>
      <c r="AT859" t="s">
        <v>56</v>
      </c>
      <c r="AU859">
        <v>1068</v>
      </c>
      <c r="AV859">
        <v>33</v>
      </c>
      <c r="AW859" t="s">
        <v>56</v>
      </c>
      <c r="AX859">
        <v>7.69</v>
      </c>
      <c r="AY859">
        <v>0.01</v>
      </c>
      <c r="AZ859" t="s">
        <v>56</v>
      </c>
      <c r="BA859"/>
      <c r="BB859">
        <f>LOG(AU859)</f>
        <v>3.0285712526925375</v>
      </c>
      <c r="BC859">
        <v>28</v>
      </c>
      <c r="BD859">
        <v>0.1</v>
      </c>
      <c r="BE859" t="s">
        <v>56</v>
      </c>
      <c r="BF859">
        <v>30.8</v>
      </c>
      <c r="BG859">
        <v>0.2</v>
      </c>
      <c r="BH859" t="s">
        <v>56</v>
      </c>
      <c r="BI859">
        <v>609</v>
      </c>
      <c r="BJ859">
        <v>3</v>
      </c>
      <c r="BK859" t="s">
        <v>537</v>
      </c>
      <c r="BL859" t="s">
        <v>542</v>
      </c>
      <c r="BM859" t="s">
        <v>543</v>
      </c>
      <c r="BN859" t="s">
        <v>60</v>
      </c>
      <c r="BO859" t="s">
        <v>544</v>
      </c>
      <c r="BP859" t="s">
        <v>194</v>
      </c>
      <c r="BQ859" s="8" t="s">
        <v>190</v>
      </c>
      <c r="BR859" t="s">
        <v>63</v>
      </c>
      <c r="BS859"/>
      <c r="BT859">
        <v>0.02</v>
      </c>
      <c r="BU859">
        <v>4.6428570000000002</v>
      </c>
      <c r="BV859">
        <v>0.86</v>
      </c>
      <c r="BW859">
        <f>BV859*SQRT(AK859)</f>
        <v>1.72</v>
      </c>
      <c r="BX859">
        <v>-2.31</v>
      </c>
      <c r="BY859">
        <v>2.3125</v>
      </c>
      <c r="BZ859">
        <v>0.7</v>
      </c>
      <c r="CA859">
        <f>BZ859*SQRT(AL859)</f>
        <v>1.4</v>
      </c>
      <c r="CB859">
        <v>1</v>
      </c>
      <c r="CC859">
        <v>2</v>
      </c>
      <c r="CD859"/>
      <c r="CE859">
        <v>0.12479999999999999</v>
      </c>
    </row>
    <row r="860" spans="1:84" s="8" customFormat="1" hidden="1" x14ac:dyDescent="0.2">
      <c r="A860"/>
      <c r="B860" t="str">
        <f>ROW()-1&amp;"_AltersInvert"</f>
        <v>859_AltersInvert</v>
      </c>
      <c r="C860" t="str">
        <f>D860&amp;"_"&amp;
SUBSTITUTE(TRIM(V860)," ","_")&amp;"_"&amp;
TRIM(AC860)&amp;"_"&amp;
"CO2"&amp;TEXT(AN860,"0.00")&amp;"_"&amp;
"pH"&amp;TEXT(AR860,"0.00")&amp;"_"&amp;
"T"&amp;TEXT(BC860,"0.##")</f>
        <v>191_Pandalus_Borealis_LARVA_CO2406.00_pH8.11_T6.7</v>
      </c>
      <c r="D860">
        <v>191</v>
      </c>
      <c r="E860"/>
      <c r="F860"/>
      <c r="G860" t="s">
        <v>43</v>
      </c>
      <c r="H860" t="s">
        <v>901</v>
      </c>
      <c r="I860"/>
      <c r="J860">
        <v>2013</v>
      </c>
      <c r="K860"/>
      <c r="L860"/>
      <c r="M860" t="s">
        <v>67</v>
      </c>
      <c r="N860"/>
      <c r="O860"/>
      <c r="P860" t="s">
        <v>1135</v>
      </c>
      <c r="Q860"/>
      <c r="R860" t="s">
        <v>1127</v>
      </c>
      <c r="S860" t="s">
        <v>1128</v>
      </c>
      <c r="T860" t="s">
        <v>131</v>
      </c>
      <c r="U860" t="s">
        <v>902</v>
      </c>
      <c r="V860" t="s">
        <v>903</v>
      </c>
      <c r="W860"/>
      <c r="X860"/>
      <c r="Y860"/>
      <c r="Z860" t="s">
        <v>475</v>
      </c>
      <c r="AA860" t="s">
        <v>475</v>
      </c>
      <c r="AB860" t="s">
        <v>71</v>
      </c>
      <c r="AC860" t="s">
        <v>72</v>
      </c>
      <c r="AD860" t="s">
        <v>52</v>
      </c>
      <c r="AE860" t="s">
        <v>53</v>
      </c>
      <c r="AF860" t="s">
        <v>52</v>
      </c>
      <c r="AG860" t="s">
        <v>54</v>
      </c>
      <c r="AH860" t="s">
        <v>55</v>
      </c>
      <c r="AI860"/>
      <c r="AJ860"/>
      <c r="AK860">
        <v>33</v>
      </c>
      <c r="AL860">
        <v>21</v>
      </c>
      <c r="AM860"/>
      <c r="AN860">
        <v>406</v>
      </c>
      <c r="AO860" t="s">
        <v>56</v>
      </c>
      <c r="AP860" t="s">
        <v>56</v>
      </c>
      <c r="AQ860" t="s">
        <v>57</v>
      </c>
      <c r="AR860">
        <v>8.11</v>
      </c>
      <c r="AS860" t="s">
        <v>56</v>
      </c>
      <c r="AT860" t="s">
        <v>56</v>
      </c>
      <c r="AU860">
        <v>1238</v>
      </c>
      <c r="AV860" t="s">
        <v>56</v>
      </c>
      <c r="AW860" t="s">
        <v>56</v>
      </c>
      <c r="AX860">
        <v>7.65</v>
      </c>
      <c r="AY860" t="s">
        <v>56</v>
      </c>
      <c r="AZ860" t="s">
        <v>56</v>
      </c>
      <c r="BA860"/>
      <c r="BB860">
        <f>LOG(AU860)</f>
        <v>3.0927206446840994</v>
      </c>
      <c r="BC860">
        <v>6.7</v>
      </c>
      <c r="BD860">
        <v>0.2</v>
      </c>
      <c r="BE860" t="s">
        <v>56</v>
      </c>
      <c r="BF860">
        <v>6.7</v>
      </c>
      <c r="BG860">
        <v>0.2</v>
      </c>
      <c r="BH860" t="s">
        <v>56</v>
      </c>
      <c r="BI860">
        <v>832</v>
      </c>
      <c r="BJ860">
        <v>0</v>
      </c>
      <c r="BK860" t="s">
        <v>904</v>
      </c>
      <c r="BL860" t="s">
        <v>909</v>
      </c>
      <c r="BM860" t="s">
        <v>75</v>
      </c>
      <c r="BN860" t="s">
        <v>60</v>
      </c>
      <c r="BO860" t="s">
        <v>910</v>
      </c>
      <c r="BP860" t="s">
        <v>77</v>
      </c>
      <c r="BQ860" t="s">
        <v>1125</v>
      </c>
      <c r="BR860" t="s">
        <v>63</v>
      </c>
      <c r="BS860"/>
      <c r="BT860">
        <v>2.78</v>
      </c>
      <c r="BU860">
        <v>2.78</v>
      </c>
      <c r="BV860">
        <v>0.3</v>
      </c>
      <c r="BW860">
        <f>BV860*SQRT(AK860)</f>
        <v>1.7233687939614086</v>
      </c>
      <c r="BX860">
        <v>3.25</v>
      </c>
      <c r="BY860">
        <v>3.25</v>
      </c>
      <c r="BZ860">
        <v>0.3</v>
      </c>
      <c r="CA860">
        <f>BZ860*SQRT(AL860)</f>
        <v>1.3747727084867518</v>
      </c>
      <c r="CB860">
        <v>16</v>
      </c>
      <c r="CC860">
        <v>8</v>
      </c>
      <c r="CD860">
        <v>0.156</v>
      </c>
      <c r="CE860">
        <v>2.0199999999999999E-2</v>
      </c>
      <c r="CF860"/>
    </row>
    <row r="861" spans="1:84" s="8" customFormat="1" hidden="1" x14ac:dyDescent="0.2">
      <c r="A861"/>
      <c r="B861" t="str">
        <f>ROW()-1&amp;"_AltersInvert"</f>
        <v>860_AltersInvert</v>
      </c>
      <c r="C861" t="str">
        <f>D861&amp;"_"&amp;
SUBSTITUTE(TRIM(V861)," ","_")&amp;"_"&amp;
TRIM(AC861)&amp;"_"&amp;
"CO2"&amp;TEXT(AN861,"0.00")&amp;"_"&amp;
"pH"&amp;TEXT(AR861,"0.00")&amp;"_"&amp;
"T"&amp;TEXT(BC861,"0.##")</f>
        <v>191_Pandalus_Borealis_LARVA_CO2406.00_pH8.11_T6.7</v>
      </c>
      <c r="D861">
        <v>191</v>
      </c>
      <c r="E861"/>
      <c r="F861"/>
      <c r="G861" t="s">
        <v>43</v>
      </c>
      <c r="H861" t="s">
        <v>901</v>
      </c>
      <c r="I861"/>
      <c r="J861">
        <v>2013</v>
      </c>
      <c r="K861"/>
      <c r="L861"/>
      <c r="M861" t="s">
        <v>67</v>
      </c>
      <c r="N861"/>
      <c r="O861"/>
      <c r="P861" t="s">
        <v>1135</v>
      </c>
      <c r="Q861"/>
      <c r="R861" t="s">
        <v>1127</v>
      </c>
      <c r="S861" t="s">
        <v>1128</v>
      </c>
      <c r="T861" t="s">
        <v>131</v>
      </c>
      <c r="U861" t="s">
        <v>902</v>
      </c>
      <c r="V861" t="s">
        <v>903</v>
      </c>
      <c r="W861"/>
      <c r="X861"/>
      <c r="Y861"/>
      <c r="Z861" t="s">
        <v>475</v>
      </c>
      <c r="AA861" t="s">
        <v>475</v>
      </c>
      <c r="AB861" t="s">
        <v>71</v>
      </c>
      <c r="AC861" t="s">
        <v>72</v>
      </c>
      <c r="AD861" t="s">
        <v>52</v>
      </c>
      <c r="AE861" t="s">
        <v>53</v>
      </c>
      <c r="AF861" t="s">
        <v>54</v>
      </c>
      <c r="AG861" t="s">
        <v>52</v>
      </c>
      <c r="AH861" t="s">
        <v>65</v>
      </c>
      <c r="AI861"/>
      <c r="AJ861"/>
      <c r="AK861">
        <v>33</v>
      </c>
      <c r="AL861">
        <v>27</v>
      </c>
      <c r="AM861"/>
      <c r="AN861">
        <v>406</v>
      </c>
      <c r="AO861" t="s">
        <v>56</v>
      </c>
      <c r="AP861" t="s">
        <v>56</v>
      </c>
      <c r="AQ861" t="s">
        <v>57</v>
      </c>
      <c r="AR861">
        <v>8.11</v>
      </c>
      <c r="AS861" t="s">
        <v>56</v>
      </c>
      <c r="AT861" t="s">
        <v>56</v>
      </c>
      <c r="AU861">
        <v>443</v>
      </c>
      <c r="AV861" t="s">
        <v>56</v>
      </c>
      <c r="AW861" t="s">
        <v>56</v>
      </c>
      <c r="AX861">
        <v>8.08</v>
      </c>
      <c r="AY861" t="s">
        <v>56</v>
      </c>
      <c r="AZ861" t="s">
        <v>56</v>
      </c>
      <c r="BA861"/>
      <c r="BB861">
        <f>LOG(AU861)</f>
        <v>2.6464037262230695</v>
      </c>
      <c r="BC861">
        <v>6.7</v>
      </c>
      <c r="BD861">
        <v>0.2</v>
      </c>
      <c r="BE861" t="s">
        <v>56</v>
      </c>
      <c r="BF861">
        <v>9.5</v>
      </c>
      <c r="BG861">
        <v>0.1</v>
      </c>
      <c r="BH861" t="s">
        <v>56</v>
      </c>
      <c r="BI861">
        <v>37</v>
      </c>
      <c r="BJ861">
        <v>2.8</v>
      </c>
      <c r="BK861" t="s">
        <v>904</v>
      </c>
      <c r="BL861" t="s">
        <v>909</v>
      </c>
      <c r="BM861" t="s">
        <v>75</v>
      </c>
      <c r="BN861" t="s">
        <v>60</v>
      </c>
      <c r="BO861" t="s">
        <v>910</v>
      </c>
      <c r="BP861" t="s">
        <v>77</v>
      </c>
      <c r="BQ861" t="s">
        <v>1125</v>
      </c>
      <c r="BR861" t="s">
        <v>63</v>
      </c>
      <c r="BS861"/>
      <c r="BT861">
        <v>2.78</v>
      </c>
      <c r="BU861">
        <v>2.78</v>
      </c>
      <c r="BV861">
        <v>0.3</v>
      </c>
      <c r="BW861">
        <f>BV861*SQRT(AK861)</f>
        <v>1.7233687939614086</v>
      </c>
      <c r="BX861">
        <v>3.68</v>
      </c>
      <c r="BY861">
        <v>3.68</v>
      </c>
      <c r="BZ861">
        <v>0.25</v>
      </c>
      <c r="CA861">
        <f>BZ861*SQRT(AL861)</f>
        <v>1.299038105676658</v>
      </c>
      <c r="CB861">
        <v>16</v>
      </c>
      <c r="CC861">
        <v>8</v>
      </c>
      <c r="CD861">
        <v>0.28000000000000003</v>
      </c>
      <c r="CE861">
        <v>1.6299999999999999E-2</v>
      </c>
      <c r="CF861"/>
    </row>
    <row r="862" spans="1:84" s="8" customFormat="1" hidden="1" x14ac:dyDescent="0.2">
      <c r="A862"/>
      <c r="B862" t="str">
        <f>ROW()-1&amp;"_AltersInvert"</f>
        <v>861_AltersInvert</v>
      </c>
      <c r="C862" t="str">
        <f>D862&amp;"_"&amp;
SUBSTITUTE(TRIM(V862)," ","_")&amp;"_"&amp;
TRIM(AC862)&amp;"_"&amp;
"CO2"&amp;TEXT(AN862,"0.00")&amp;"_"&amp;
"pH"&amp;TEXT(AR862,"0.00")&amp;"_"&amp;
"T"&amp;TEXT(BC862,"0.##")</f>
        <v>191_Pandalus_Borealis_LARVA_CO2406.00_pH8.11_T6.7</v>
      </c>
      <c r="D862">
        <v>191</v>
      </c>
      <c r="E862"/>
      <c r="F862"/>
      <c r="G862" t="s">
        <v>43</v>
      </c>
      <c r="H862" t="s">
        <v>901</v>
      </c>
      <c r="I862"/>
      <c r="J862">
        <v>2013</v>
      </c>
      <c r="K862"/>
      <c r="L862"/>
      <c r="M862" t="s">
        <v>67</v>
      </c>
      <c r="N862"/>
      <c r="O862"/>
      <c r="P862" t="s">
        <v>1135</v>
      </c>
      <c r="Q862"/>
      <c r="R862" t="s">
        <v>1127</v>
      </c>
      <c r="S862" t="s">
        <v>1128</v>
      </c>
      <c r="T862" t="s">
        <v>131</v>
      </c>
      <c r="U862" t="s">
        <v>902</v>
      </c>
      <c r="V862" t="s">
        <v>903</v>
      </c>
      <c r="W862"/>
      <c r="X862"/>
      <c r="Y862"/>
      <c r="Z862" t="s">
        <v>475</v>
      </c>
      <c r="AA862" t="s">
        <v>475</v>
      </c>
      <c r="AB862" t="s">
        <v>71</v>
      </c>
      <c r="AC862" t="s">
        <v>72</v>
      </c>
      <c r="AD862" t="s">
        <v>52</v>
      </c>
      <c r="AE862" t="s">
        <v>53</v>
      </c>
      <c r="AF862" t="s">
        <v>52</v>
      </c>
      <c r="AG862" t="s">
        <v>52</v>
      </c>
      <c r="AH862" t="s">
        <v>64</v>
      </c>
      <c r="AI862"/>
      <c r="AJ862"/>
      <c r="AK862">
        <v>33</v>
      </c>
      <c r="AL862">
        <v>24</v>
      </c>
      <c r="AM862"/>
      <c r="AN862">
        <v>406</v>
      </c>
      <c r="AO862" t="s">
        <v>56</v>
      </c>
      <c r="AP862" t="s">
        <v>56</v>
      </c>
      <c r="AQ862" t="s">
        <v>57</v>
      </c>
      <c r="AR862">
        <v>8.11</v>
      </c>
      <c r="AS862" t="s">
        <v>56</v>
      </c>
      <c r="AT862" t="s">
        <v>56</v>
      </c>
      <c r="AU862">
        <v>1449</v>
      </c>
      <c r="AV862" t="s">
        <v>56</v>
      </c>
      <c r="AW862" t="s">
        <v>56</v>
      </c>
      <c r="AX862">
        <v>7.6</v>
      </c>
      <c r="AY862" t="s">
        <v>56</v>
      </c>
      <c r="AZ862" t="s">
        <v>56</v>
      </c>
      <c r="BA862"/>
      <c r="BB862">
        <f>LOG(AU862)</f>
        <v>3.1610683854711747</v>
      </c>
      <c r="BC862">
        <v>6.7</v>
      </c>
      <c r="BD862">
        <v>0.2</v>
      </c>
      <c r="BE862" t="s">
        <v>56</v>
      </c>
      <c r="BF862">
        <v>9.5</v>
      </c>
      <c r="BG862">
        <v>0.1</v>
      </c>
      <c r="BH862" t="s">
        <v>56</v>
      </c>
      <c r="BI862">
        <v>1043</v>
      </c>
      <c r="BJ862">
        <v>2.8</v>
      </c>
      <c r="BK862" t="s">
        <v>904</v>
      </c>
      <c r="BL862" t="s">
        <v>909</v>
      </c>
      <c r="BM862" t="s">
        <v>75</v>
      </c>
      <c r="BN862" t="s">
        <v>60</v>
      </c>
      <c r="BO862" t="s">
        <v>910</v>
      </c>
      <c r="BP862" t="s">
        <v>77</v>
      </c>
      <c r="BQ862" t="s">
        <v>1125</v>
      </c>
      <c r="BR862" t="s">
        <v>63</v>
      </c>
      <c r="BS862"/>
      <c r="BT862">
        <v>2.78</v>
      </c>
      <c r="BU862">
        <v>2.78</v>
      </c>
      <c r="BV862">
        <v>0.3</v>
      </c>
      <c r="BW862">
        <f>BV862*SQRT(AK862)</f>
        <v>1.7233687939614086</v>
      </c>
      <c r="BX862">
        <v>4.0599999999999996</v>
      </c>
      <c r="BY862">
        <v>4.0599999999999996</v>
      </c>
      <c r="BZ862">
        <v>0.87</v>
      </c>
      <c r="CA862">
        <f>BZ862*SQRT(AL862)</f>
        <v>4.2621121524427297</v>
      </c>
      <c r="CB862">
        <v>16</v>
      </c>
      <c r="CC862">
        <v>8</v>
      </c>
      <c r="CD862">
        <v>0.379</v>
      </c>
      <c r="CE862">
        <v>5.7599999999999998E-2</v>
      </c>
      <c r="CF862"/>
    </row>
    <row r="863" spans="1:84" s="8" customFormat="1" hidden="1" x14ac:dyDescent="0.2">
      <c r="A863"/>
      <c r="B863" t="str">
        <f>ROW()-1&amp;"_AltersInvert"</f>
        <v>862_AltersInvert</v>
      </c>
      <c r="C863" t="str">
        <f>D863&amp;"_"&amp;
SUBSTITUTE(TRIM(V863)," ","_")&amp;"_"&amp;
TRIM(AC863)&amp;"_"&amp;
"CO2"&amp;TEXT(AN863,"0.00")&amp;"_"&amp;
"pH"&amp;TEXT(AR863,"0.00")&amp;"_"&amp;
"T"&amp;TEXT(BC863,"0.##")</f>
        <v>52_Pocillopora_damicornis_LARVA_CO2459.00_pH8.00_T28.</v>
      </c>
      <c r="D863">
        <v>52</v>
      </c>
      <c r="E863"/>
      <c r="F863"/>
      <c r="G863" t="s">
        <v>43</v>
      </c>
      <c r="H863" t="s">
        <v>536</v>
      </c>
      <c r="I863"/>
      <c r="J863">
        <v>2017</v>
      </c>
      <c r="K863"/>
      <c r="L863"/>
      <c r="M863" t="s">
        <v>174</v>
      </c>
      <c r="N863"/>
      <c r="O863"/>
      <c r="P863" t="s">
        <v>1135</v>
      </c>
      <c r="Q863"/>
      <c r="R863" t="s">
        <v>1127</v>
      </c>
      <c r="S863" t="s">
        <v>1128</v>
      </c>
      <c r="T863" t="s">
        <v>103</v>
      </c>
      <c r="U863" t="s">
        <v>201</v>
      </c>
      <c r="V863" t="s">
        <v>214</v>
      </c>
      <c r="W863"/>
      <c r="X863"/>
      <c r="Y863"/>
      <c r="Z863" t="s">
        <v>106</v>
      </c>
      <c r="AA863" t="s">
        <v>107</v>
      </c>
      <c r="AB863" t="s">
        <v>71</v>
      </c>
      <c r="AC863" t="s">
        <v>72</v>
      </c>
      <c r="AD863" t="s">
        <v>52</v>
      </c>
      <c r="AE863" t="s">
        <v>53</v>
      </c>
      <c r="AF863" t="s">
        <v>52</v>
      </c>
      <c r="AG863" t="s">
        <v>54</v>
      </c>
      <c r="AH863" t="s">
        <v>55</v>
      </c>
      <c r="AI863"/>
      <c r="AJ863"/>
      <c r="AK863">
        <v>4</v>
      </c>
      <c r="AL863">
        <v>4</v>
      </c>
      <c r="AM863"/>
      <c r="AN863">
        <v>459</v>
      </c>
      <c r="AO863">
        <v>4</v>
      </c>
      <c r="AP863" t="s">
        <v>56</v>
      </c>
      <c r="AQ863" t="s">
        <v>109</v>
      </c>
      <c r="AR863">
        <v>8</v>
      </c>
      <c r="AS863">
        <v>0</v>
      </c>
      <c r="AT863" t="s">
        <v>56</v>
      </c>
      <c r="AU863">
        <v>1002</v>
      </c>
      <c r="AV863">
        <v>22</v>
      </c>
      <c r="AW863" t="s">
        <v>56</v>
      </c>
      <c r="AX863">
        <v>7.72</v>
      </c>
      <c r="AY863">
        <v>0.01</v>
      </c>
      <c r="AZ863" t="s">
        <v>56</v>
      </c>
      <c r="BA863"/>
      <c r="BB863">
        <f>LOG(AU863)</f>
        <v>3.0008677215312267</v>
      </c>
      <c r="BC863">
        <v>28</v>
      </c>
      <c r="BD863">
        <v>0.1</v>
      </c>
      <c r="BE863" t="s">
        <v>56</v>
      </c>
      <c r="BF863">
        <v>28.1</v>
      </c>
      <c r="BG863">
        <v>0.2</v>
      </c>
      <c r="BH863" t="s">
        <v>56</v>
      </c>
      <c r="BI863">
        <v>543</v>
      </c>
      <c r="BJ863">
        <v>0.1</v>
      </c>
      <c r="BK863" t="s">
        <v>537</v>
      </c>
      <c r="BL863" t="s">
        <v>540</v>
      </c>
      <c r="BM863" t="s">
        <v>354</v>
      </c>
      <c r="BN863" t="s">
        <v>60</v>
      </c>
      <c r="BO863" t="s">
        <v>541</v>
      </c>
      <c r="BP863" t="s">
        <v>194</v>
      </c>
      <c r="BQ863" t="s">
        <v>194</v>
      </c>
      <c r="BR863" t="s">
        <v>63</v>
      </c>
      <c r="BS863"/>
      <c r="BT863">
        <v>0.11</v>
      </c>
      <c r="BU863">
        <v>0.106262</v>
      </c>
      <c r="BV863">
        <v>0.88</v>
      </c>
      <c r="BW863">
        <f>BV863*SQRT(AK863)</f>
        <v>1.76</v>
      </c>
      <c r="BX863">
        <v>1.87</v>
      </c>
      <c r="BY863">
        <v>1.8671727</v>
      </c>
      <c r="BZ863">
        <v>0.88</v>
      </c>
      <c r="CA863">
        <f>BZ863*SQRT(AL863)</f>
        <v>1.76</v>
      </c>
      <c r="CB863">
        <v>1</v>
      </c>
      <c r="CC863">
        <v>2</v>
      </c>
      <c r="CD863">
        <v>2.8660000000000001</v>
      </c>
      <c r="CE863">
        <v>68.875399999999999</v>
      </c>
      <c r="CF863"/>
    </row>
    <row r="864" spans="1:84" s="8" customFormat="1" hidden="1" x14ac:dyDescent="0.2">
      <c r="A864"/>
      <c r="B864" t="str">
        <f>ROW()-1&amp;"_AltersInvert"</f>
        <v>863_AltersInvert</v>
      </c>
      <c r="C864" t="str">
        <f>D864&amp;"_"&amp;
SUBSTITUTE(TRIM(V864)," ","_")&amp;"_"&amp;
TRIM(AC864)&amp;"_"&amp;
"CO2"&amp;TEXT(AN864,"0.00")&amp;"_"&amp;
"pH"&amp;TEXT(AR864,"0.00")&amp;"_"&amp;
"T"&amp;TEXT(BC864,"0.##")</f>
        <v>52_Pocillopora_damicornis_LARVA_CO2459.00_pH8.00_T28.</v>
      </c>
      <c r="D864">
        <v>52</v>
      </c>
      <c r="E864"/>
      <c r="F864"/>
      <c r="G864" t="s">
        <v>43</v>
      </c>
      <c r="H864" t="s">
        <v>536</v>
      </c>
      <c r="I864"/>
      <c r="J864">
        <v>2017</v>
      </c>
      <c r="K864"/>
      <c r="L864"/>
      <c r="M864" t="s">
        <v>174</v>
      </c>
      <c r="N864"/>
      <c r="O864"/>
      <c r="P864" t="s">
        <v>1135</v>
      </c>
      <c r="Q864"/>
      <c r="R864" t="s">
        <v>1127</v>
      </c>
      <c r="S864" t="s">
        <v>1128</v>
      </c>
      <c r="T864" t="s">
        <v>103</v>
      </c>
      <c r="U864" t="s">
        <v>201</v>
      </c>
      <c r="V864" t="s">
        <v>214</v>
      </c>
      <c r="W864"/>
      <c r="X864"/>
      <c r="Y864"/>
      <c r="Z864" t="s">
        <v>106</v>
      </c>
      <c r="AA864" t="s">
        <v>107</v>
      </c>
      <c r="AB864" t="s">
        <v>71</v>
      </c>
      <c r="AC864" t="s">
        <v>72</v>
      </c>
      <c r="AD864" t="s">
        <v>52</v>
      </c>
      <c r="AE864" t="s">
        <v>53</v>
      </c>
      <c r="AF864" t="s">
        <v>54</v>
      </c>
      <c r="AG864" t="s">
        <v>52</v>
      </c>
      <c r="AH864" t="s">
        <v>65</v>
      </c>
      <c r="AI864"/>
      <c r="AJ864"/>
      <c r="AK864">
        <v>4</v>
      </c>
      <c r="AL864">
        <v>4</v>
      </c>
      <c r="AM864"/>
      <c r="AN864">
        <v>459</v>
      </c>
      <c r="AO864">
        <v>4</v>
      </c>
      <c r="AP864" t="s">
        <v>56</v>
      </c>
      <c r="AQ864" t="s">
        <v>109</v>
      </c>
      <c r="AR864">
        <v>8</v>
      </c>
      <c r="AS864">
        <v>0</v>
      </c>
      <c r="AT864" t="s">
        <v>56</v>
      </c>
      <c r="AU864">
        <v>496</v>
      </c>
      <c r="AV864">
        <v>9</v>
      </c>
      <c r="AW864" t="s">
        <v>56</v>
      </c>
      <c r="AX864">
        <v>7.97</v>
      </c>
      <c r="AY864">
        <v>0.01</v>
      </c>
      <c r="AZ864" t="s">
        <v>56</v>
      </c>
      <c r="BA864"/>
      <c r="BB864">
        <f>LOG(AU864)</f>
        <v>2.6954816764901977</v>
      </c>
      <c r="BC864">
        <v>28</v>
      </c>
      <c r="BD864">
        <v>0.1</v>
      </c>
      <c r="BE864" t="s">
        <v>56</v>
      </c>
      <c r="BF864">
        <v>30.6</v>
      </c>
      <c r="BG864">
        <v>0.1</v>
      </c>
      <c r="BH864" t="s">
        <v>56</v>
      </c>
      <c r="BI864">
        <v>37</v>
      </c>
      <c r="BJ864">
        <v>2.6</v>
      </c>
      <c r="BK864" t="s">
        <v>537</v>
      </c>
      <c r="BL864" t="s">
        <v>540</v>
      </c>
      <c r="BM864" t="s">
        <v>354</v>
      </c>
      <c r="BN864" t="s">
        <v>60</v>
      </c>
      <c r="BO864" t="s">
        <v>541</v>
      </c>
      <c r="BP864" t="s">
        <v>194</v>
      </c>
      <c r="BQ864" t="s">
        <v>194</v>
      </c>
      <c r="BR864" t="s">
        <v>63</v>
      </c>
      <c r="BS864"/>
      <c r="BT864">
        <v>0.11</v>
      </c>
      <c r="BU864">
        <v>0.106262</v>
      </c>
      <c r="BV864">
        <v>0.88</v>
      </c>
      <c r="BW864">
        <f>BV864*SQRT(AK864)</f>
        <v>1.76</v>
      </c>
      <c r="BX864">
        <v>1.93</v>
      </c>
      <c r="BY864">
        <v>1.9278937</v>
      </c>
      <c r="BZ864">
        <v>0.67</v>
      </c>
      <c r="CA864">
        <f>BZ864*SQRT(AL864)</f>
        <v>1.34</v>
      </c>
      <c r="CB864">
        <v>1</v>
      </c>
      <c r="CC864">
        <v>2</v>
      </c>
      <c r="CD864">
        <v>2.8980000000000001</v>
      </c>
      <c r="CE864">
        <v>68.773099999999999</v>
      </c>
      <c r="CF864"/>
    </row>
    <row r="865" spans="1:84" s="8" customFormat="1" hidden="1" x14ac:dyDescent="0.2">
      <c r="A865"/>
      <c r="B865" t="str">
        <f>ROW()-1&amp;"_AltersInvert"</f>
        <v>864_AltersInvert</v>
      </c>
      <c r="C865" t="str">
        <f>D865&amp;"_"&amp;
SUBSTITUTE(TRIM(V865)," ","_")&amp;"_"&amp;
TRIM(AC865)&amp;"_"&amp;
"CO2"&amp;TEXT(AN865,"0.00")&amp;"_"&amp;
"pH"&amp;TEXT(AR865,"0.00")&amp;"_"&amp;
"T"&amp;TEXT(BC865,"0.##")</f>
        <v>52_Pocillopora_damicornis_LARVA_CO2459.00_pH8.00_T28.</v>
      </c>
      <c r="D865">
        <v>52</v>
      </c>
      <c r="E865"/>
      <c r="F865"/>
      <c r="G865" t="s">
        <v>43</v>
      </c>
      <c r="H865" t="s">
        <v>536</v>
      </c>
      <c r="I865"/>
      <c r="J865">
        <v>2017</v>
      </c>
      <c r="K865"/>
      <c r="L865"/>
      <c r="M865" t="s">
        <v>174</v>
      </c>
      <c r="N865"/>
      <c r="O865"/>
      <c r="P865" t="s">
        <v>1135</v>
      </c>
      <c r="Q865"/>
      <c r="R865" t="s">
        <v>1127</v>
      </c>
      <c r="S865" t="s">
        <v>1128</v>
      </c>
      <c r="T865" t="s">
        <v>103</v>
      </c>
      <c r="U865" t="s">
        <v>201</v>
      </c>
      <c r="V865" t="s">
        <v>214</v>
      </c>
      <c r="W865"/>
      <c r="X865"/>
      <c r="Y865"/>
      <c r="Z865" t="s">
        <v>106</v>
      </c>
      <c r="AA865" t="s">
        <v>107</v>
      </c>
      <c r="AB865" t="s">
        <v>71</v>
      </c>
      <c r="AC865" t="s">
        <v>72</v>
      </c>
      <c r="AD865" t="s">
        <v>52</v>
      </c>
      <c r="AE865" t="s">
        <v>53</v>
      </c>
      <c r="AF865" t="s">
        <v>52</v>
      </c>
      <c r="AG865" t="s">
        <v>52</v>
      </c>
      <c r="AH865" t="s">
        <v>64</v>
      </c>
      <c r="AI865"/>
      <c r="AJ865"/>
      <c r="AK865">
        <v>4</v>
      </c>
      <c r="AL865">
        <v>4</v>
      </c>
      <c r="AM865"/>
      <c r="AN865">
        <v>459</v>
      </c>
      <c r="AO865">
        <v>4</v>
      </c>
      <c r="AP865" t="s">
        <v>56</v>
      </c>
      <c r="AQ865" t="s">
        <v>109</v>
      </c>
      <c r="AR865">
        <v>8</v>
      </c>
      <c r="AS865">
        <v>0</v>
      </c>
      <c r="AT865" t="s">
        <v>56</v>
      </c>
      <c r="AU865">
        <v>1068</v>
      </c>
      <c r="AV865">
        <v>33</v>
      </c>
      <c r="AW865" t="s">
        <v>56</v>
      </c>
      <c r="AX865">
        <v>7.69</v>
      </c>
      <c r="AY865">
        <v>0.01</v>
      </c>
      <c r="AZ865" t="s">
        <v>56</v>
      </c>
      <c r="BA865"/>
      <c r="BB865">
        <f>LOG(AU865)</f>
        <v>3.0285712526925375</v>
      </c>
      <c r="BC865">
        <v>28</v>
      </c>
      <c r="BD865">
        <v>0.1</v>
      </c>
      <c r="BE865" t="s">
        <v>56</v>
      </c>
      <c r="BF865">
        <v>30.8</v>
      </c>
      <c r="BG865">
        <v>0.2</v>
      </c>
      <c r="BH865" t="s">
        <v>56</v>
      </c>
      <c r="BI865">
        <v>609</v>
      </c>
      <c r="BJ865">
        <v>2.8</v>
      </c>
      <c r="BK865" t="s">
        <v>537</v>
      </c>
      <c r="BL865" t="s">
        <v>540</v>
      </c>
      <c r="BM865" t="s">
        <v>354</v>
      </c>
      <c r="BN865" t="s">
        <v>60</v>
      </c>
      <c r="BO865" t="s">
        <v>541</v>
      </c>
      <c r="BP865" t="s">
        <v>194</v>
      </c>
      <c r="BQ865" t="s">
        <v>194</v>
      </c>
      <c r="BR865" t="s">
        <v>63</v>
      </c>
      <c r="BS865"/>
      <c r="BT865">
        <v>0.11</v>
      </c>
      <c r="BU865">
        <v>0.106262</v>
      </c>
      <c r="BV865">
        <v>0.88</v>
      </c>
      <c r="BW865">
        <f>BV865*SQRT(AK865)</f>
        <v>1.76</v>
      </c>
      <c r="BX865">
        <v>0.87</v>
      </c>
      <c r="BY865">
        <v>0.86527509999999996</v>
      </c>
      <c r="BZ865">
        <v>0.46</v>
      </c>
      <c r="CA865">
        <f>BZ865*SQRT(AL865)</f>
        <v>0.92</v>
      </c>
      <c r="CB865">
        <v>1</v>
      </c>
      <c r="CC865">
        <v>2</v>
      </c>
      <c r="CD865">
        <v>2.097</v>
      </c>
      <c r="CE865">
        <v>68.930099999999996</v>
      </c>
      <c r="CF865"/>
    </row>
    <row r="866" spans="1:84" s="8" customFormat="1" hidden="1" x14ac:dyDescent="0.2">
      <c r="A866"/>
      <c r="B866" t="str">
        <f>ROW()-1&amp;"_AltersInvert"</f>
        <v>865_AltersInvert</v>
      </c>
      <c r="C866" t="str">
        <f>D866&amp;"_"&amp;
SUBSTITUTE(TRIM(V866)," ","_")&amp;"_"&amp;
TRIM(AC866)&amp;"_"&amp;
"CO2"&amp;TEXT(AN866,"0.00")&amp;"_"&amp;
"pH"&amp;TEXT(AR866,"0.00")&amp;"_"&amp;
"T"&amp;TEXT(BC866,"0.##")</f>
        <v>112_Loligo_vulgaris_LARVA_CO2433.00_pH8.03_T13.2</v>
      </c>
      <c r="D866">
        <v>112</v>
      </c>
      <c r="E866"/>
      <c r="F866"/>
      <c r="G866" t="s">
        <v>43</v>
      </c>
      <c r="H866" t="s">
        <v>832</v>
      </c>
      <c r="I866"/>
      <c r="J866">
        <v>2014</v>
      </c>
      <c r="K866"/>
      <c r="L866"/>
      <c r="M866" t="s">
        <v>463</v>
      </c>
      <c r="N866"/>
      <c r="O866"/>
      <c r="P866" t="s">
        <v>1135</v>
      </c>
      <c r="Q866"/>
      <c r="R866" t="s">
        <v>1127</v>
      </c>
      <c r="S866" t="s">
        <v>1128</v>
      </c>
      <c r="T866" t="s">
        <v>68</v>
      </c>
      <c r="U866" t="s">
        <v>693</v>
      </c>
      <c r="V866" t="s">
        <v>833</v>
      </c>
      <c r="W866"/>
      <c r="X866"/>
      <c r="Y866"/>
      <c r="Z866" t="s">
        <v>49</v>
      </c>
      <c r="AA866" t="s">
        <v>49</v>
      </c>
      <c r="AB866" t="s">
        <v>71</v>
      </c>
      <c r="AC866" t="s">
        <v>72</v>
      </c>
      <c r="AD866" t="s">
        <v>52</v>
      </c>
      <c r="AE866" t="s">
        <v>53</v>
      </c>
      <c r="AF866" t="s">
        <v>52</v>
      </c>
      <c r="AG866" t="s">
        <v>54</v>
      </c>
      <c r="AH866" t="s">
        <v>55</v>
      </c>
      <c r="AI866"/>
      <c r="AJ866"/>
      <c r="AK866">
        <v>45</v>
      </c>
      <c r="AL866">
        <v>45</v>
      </c>
      <c r="AM866"/>
      <c r="AN866">
        <v>433</v>
      </c>
      <c r="AO866" t="s">
        <v>56</v>
      </c>
      <c r="AP866">
        <v>24</v>
      </c>
      <c r="AQ866" t="s">
        <v>109</v>
      </c>
      <c r="AR866">
        <v>8.0299999999999994</v>
      </c>
      <c r="AS866" t="s">
        <v>56</v>
      </c>
      <c r="AT866">
        <v>0.02</v>
      </c>
      <c r="AU866">
        <v>1682</v>
      </c>
      <c r="AV866" t="s">
        <v>56</v>
      </c>
      <c r="AW866">
        <v>132</v>
      </c>
      <c r="AX866">
        <v>7.51</v>
      </c>
      <c r="AY866" t="s">
        <v>56</v>
      </c>
      <c r="AZ866">
        <v>0.03</v>
      </c>
      <c r="BA866"/>
      <c r="BB866">
        <f>LOG(AU866)</f>
        <v>3.2258259914618934</v>
      </c>
      <c r="BC866">
        <v>13.2</v>
      </c>
      <c r="BD866" t="s">
        <v>56</v>
      </c>
      <c r="BE866">
        <v>0.3</v>
      </c>
      <c r="BF866">
        <v>13.2</v>
      </c>
      <c r="BG866" t="s">
        <v>56</v>
      </c>
      <c r="BH866">
        <v>0.3</v>
      </c>
      <c r="BI866">
        <v>1249</v>
      </c>
      <c r="BJ866">
        <v>0</v>
      </c>
      <c r="BK866" t="s">
        <v>834</v>
      </c>
      <c r="BL866" t="s">
        <v>85</v>
      </c>
      <c r="BM866" t="s">
        <v>86</v>
      </c>
      <c r="BN866" t="s">
        <v>81</v>
      </c>
      <c r="BO866" t="s">
        <v>82</v>
      </c>
      <c r="BP866" t="s">
        <v>9</v>
      </c>
      <c r="BQ866" t="s">
        <v>9</v>
      </c>
      <c r="BR866" t="s">
        <v>84</v>
      </c>
      <c r="BS866"/>
      <c r="BT866">
        <v>7.92</v>
      </c>
      <c r="BU866">
        <v>92.084256999999994</v>
      </c>
      <c r="BV866">
        <v>0.3</v>
      </c>
      <c r="BW866">
        <f>BV866*SQRT(AK866)</f>
        <v>2.0124611797498106</v>
      </c>
      <c r="BX866">
        <v>8.69</v>
      </c>
      <c r="BY866">
        <v>91.308204000000003</v>
      </c>
      <c r="BZ866">
        <v>8.69</v>
      </c>
      <c r="CA866">
        <f>BZ866*SQRT(AL866)</f>
        <v>58.294292173419514</v>
      </c>
      <c r="CB866">
        <v>15</v>
      </c>
      <c r="CC866">
        <v>10</v>
      </c>
      <c r="CD866">
        <v>-8.0000000000000002E-3</v>
      </c>
      <c r="CE866">
        <v>9.1000000000000004E-3</v>
      </c>
      <c r="CF866"/>
    </row>
    <row r="867" spans="1:84" s="8" customFormat="1" hidden="1" x14ac:dyDescent="0.2">
      <c r="A867"/>
      <c r="B867" t="str">
        <f>ROW()-1&amp;"_AltersInvert"</f>
        <v>866_AltersInvert</v>
      </c>
      <c r="C867" t="str">
        <f>D867&amp;"_"&amp;
SUBSTITUTE(TRIM(V867)," ","_")&amp;"_"&amp;
TRIM(AC867)&amp;"_"&amp;
"CO2"&amp;TEXT(AN867,"0.00")&amp;"_"&amp;
"pH"&amp;TEXT(AR867,"0.00")&amp;"_"&amp;
"T"&amp;TEXT(BC867,"0.##")</f>
        <v>112_Loligo_vulgaris_LARVA_CO2433.00_pH8.03_T13.2</v>
      </c>
      <c r="D867">
        <v>112</v>
      </c>
      <c r="E867"/>
      <c r="F867"/>
      <c r="G867" t="s">
        <v>43</v>
      </c>
      <c r="H867" t="s">
        <v>832</v>
      </c>
      <c r="I867"/>
      <c r="J867">
        <v>2014</v>
      </c>
      <c r="K867"/>
      <c r="L867"/>
      <c r="M867" t="s">
        <v>463</v>
      </c>
      <c r="N867"/>
      <c r="O867"/>
      <c r="P867" t="s">
        <v>1135</v>
      </c>
      <c r="Q867"/>
      <c r="R867" t="s">
        <v>1127</v>
      </c>
      <c r="S867" t="s">
        <v>1128</v>
      </c>
      <c r="T867" t="s">
        <v>68</v>
      </c>
      <c r="U867" t="s">
        <v>693</v>
      </c>
      <c r="V867" t="s">
        <v>833</v>
      </c>
      <c r="W867"/>
      <c r="X867"/>
      <c r="Y867"/>
      <c r="Z867" t="s">
        <v>49</v>
      </c>
      <c r="AA867" t="s">
        <v>49</v>
      </c>
      <c r="AB867" t="s">
        <v>71</v>
      </c>
      <c r="AC867" t="s">
        <v>72</v>
      </c>
      <c r="AD867" t="s">
        <v>52</v>
      </c>
      <c r="AE867" t="s">
        <v>53</v>
      </c>
      <c r="AF867" t="s">
        <v>54</v>
      </c>
      <c r="AG867" t="s">
        <v>52</v>
      </c>
      <c r="AH867" t="s">
        <v>65</v>
      </c>
      <c r="AI867"/>
      <c r="AJ867"/>
      <c r="AK867">
        <v>45</v>
      </c>
      <c r="AL867">
        <v>45</v>
      </c>
      <c r="AM867"/>
      <c r="AN867">
        <v>433</v>
      </c>
      <c r="AO867" t="s">
        <v>56</v>
      </c>
      <c r="AP867">
        <v>24</v>
      </c>
      <c r="AQ867" t="s">
        <v>109</v>
      </c>
      <c r="AR867">
        <v>8.0299999999999994</v>
      </c>
      <c r="AS867" t="s">
        <v>56</v>
      </c>
      <c r="AT867">
        <v>0.02</v>
      </c>
      <c r="AU867">
        <v>440</v>
      </c>
      <c r="AV867" t="s">
        <v>56</v>
      </c>
      <c r="AW867">
        <v>12</v>
      </c>
      <c r="AX867">
        <v>8.0299999999999994</v>
      </c>
      <c r="AY867" t="s">
        <v>56</v>
      </c>
      <c r="AZ867">
        <v>0.01</v>
      </c>
      <c r="BA867"/>
      <c r="BB867">
        <f>LOG(AU867)</f>
        <v>2.6434526764861874</v>
      </c>
      <c r="BC867">
        <v>13.2</v>
      </c>
      <c r="BD867" t="s">
        <v>56</v>
      </c>
      <c r="BE867">
        <v>0.3</v>
      </c>
      <c r="BF867">
        <v>15.1</v>
      </c>
      <c r="BG867" t="s">
        <v>56</v>
      </c>
      <c r="BH867">
        <v>0.3</v>
      </c>
      <c r="BI867">
        <v>7</v>
      </c>
      <c r="BJ867">
        <v>1.9</v>
      </c>
      <c r="BK867" t="s">
        <v>834</v>
      </c>
      <c r="BL867" t="s">
        <v>85</v>
      </c>
      <c r="BM867" t="s">
        <v>86</v>
      </c>
      <c r="BN867" t="s">
        <v>81</v>
      </c>
      <c r="BO867" t="s">
        <v>82</v>
      </c>
      <c r="BP867" t="s">
        <v>9</v>
      </c>
      <c r="BQ867" t="s">
        <v>9</v>
      </c>
      <c r="BR867" t="s">
        <v>84</v>
      </c>
      <c r="BS867"/>
      <c r="BT867">
        <v>7.92</v>
      </c>
      <c r="BU867">
        <v>92.084256999999994</v>
      </c>
      <c r="BV867">
        <v>0.3</v>
      </c>
      <c r="BW867">
        <f>BV867*SQRT(AK867)</f>
        <v>2.0124611797498106</v>
      </c>
      <c r="BX867">
        <v>10.24</v>
      </c>
      <c r="BY867">
        <v>89.756097600000004</v>
      </c>
      <c r="BZ867">
        <v>10.24</v>
      </c>
      <c r="CA867">
        <f>BZ867*SQRT(AL867)</f>
        <v>68.692008268793543</v>
      </c>
      <c r="CB867">
        <v>15</v>
      </c>
      <c r="CC867">
        <v>10</v>
      </c>
      <c r="CD867">
        <v>-2.5999999999999999E-2</v>
      </c>
      <c r="CE867">
        <v>1.2999999999999999E-2</v>
      </c>
      <c r="CF867"/>
    </row>
    <row r="868" spans="1:84" s="8" customFormat="1" hidden="1" x14ac:dyDescent="0.2">
      <c r="A868"/>
      <c r="B868" t="str">
        <f>ROW()-1&amp;"_AltersInvert"</f>
        <v>867_AltersInvert</v>
      </c>
      <c r="C868" t="str">
        <f>D868&amp;"_"&amp;
SUBSTITUTE(TRIM(V868)," ","_")&amp;"_"&amp;
TRIM(AC868)&amp;"_"&amp;
"CO2"&amp;TEXT(AN868,"0.00")&amp;"_"&amp;
"pH"&amp;TEXT(AR868,"0.00")&amp;"_"&amp;
"T"&amp;TEXT(BC868,"0.##")</f>
        <v>112_Loligo_vulgaris_LARVA_CO2433.00_pH8.03_T13.2</v>
      </c>
      <c r="D868">
        <v>112</v>
      </c>
      <c r="E868"/>
      <c r="F868"/>
      <c r="G868" t="s">
        <v>43</v>
      </c>
      <c r="H868" t="s">
        <v>832</v>
      </c>
      <c r="I868"/>
      <c r="J868">
        <v>2014</v>
      </c>
      <c r="K868"/>
      <c r="L868"/>
      <c r="M868" t="s">
        <v>463</v>
      </c>
      <c r="N868"/>
      <c r="O868"/>
      <c r="P868" t="s">
        <v>1135</v>
      </c>
      <c r="Q868"/>
      <c r="R868" t="s">
        <v>1127</v>
      </c>
      <c r="S868" t="s">
        <v>1128</v>
      </c>
      <c r="T868" t="s">
        <v>68</v>
      </c>
      <c r="U868" t="s">
        <v>693</v>
      </c>
      <c r="V868" t="s">
        <v>833</v>
      </c>
      <c r="W868"/>
      <c r="X868"/>
      <c r="Y868"/>
      <c r="Z868" t="s">
        <v>49</v>
      </c>
      <c r="AA868" t="s">
        <v>49</v>
      </c>
      <c r="AB868" t="s">
        <v>71</v>
      </c>
      <c r="AC868" t="s">
        <v>72</v>
      </c>
      <c r="AD868" t="s">
        <v>52</v>
      </c>
      <c r="AE868" t="s">
        <v>53</v>
      </c>
      <c r="AF868" t="s">
        <v>52</v>
      </c>
      <c r="AG868" t="s">
        <v>52</v>
      </c>
      <c r="AH868" t="s">
        <v>64</v>
      </c>
      <c r="AI868"/>
      <c r="AJ868"/>
      <c r="AK868">
        <v>45</v>
      </c>
      <c r="AL868">
        <v>45</v>
      </c>
      <c r="AM868"/>
      <c r="AN868">
        <v>433</v>
      </c>
      <c r="AO868" t="s">
        <v>56</v>
      </c>
      <c r="AP868">
        <v>24</v>
      </c>
      <c r="AQ868" t="s">
        <v>109</v>
      </c>
      <c r="AR868">
        <v>8.0299999999999994</v>
      </c>
      <c r="AS868" t="s">
        <v>56</v>
      </c>
      <c r="AT868">
        <v>0.02</v>
      </c>
      <c r="AU868">
        <v>1641</v>
      </c>
      <c r="AV868" t="s">
        <v>56</v>
      </c>
      <c r="AW868">
        <v>80</v>
      </c>
      <c r="AX868">
        <v>7.53</v>
      </c>
      <c r="AY868" t="s">
        <v>56</v>
      </c>
      <c r="AZ868">
        <v>0.02</v>
      </c>
      <c r="BA868"/>
      <c r="BB868">
        <f>LOG(AU868)</f>
        <v>3.2151085810530931</v>
      </c>
      <c r="BC868">
        <v>13.2</v>
      </c>
      <c r="BD868" t="s">
        <v>56</v>
      </c>
      <c r="BE868">
        <v>0.3</v>
      </c>
      <c r="BF868">
        <v>15.3</v>
      </c>
      <c r="BG868" t="s">
        <v>56</v>
      </c>
      <c r="BH868">
        <v>0.2</v>
      </c>
      <c r="BI868">
        <v>1208</v>
      </c>
      <c r="BJ868">
        <v>2.1</v>
      </c>
      <c r="BK868" t="s">
        <v>834</v>
      </c>
      <c r="BL868" t="s">
        <v>85</v>
      </c>
      <c r="BM868" t="s">
        <v>86</v>
      </c>
      <c r="BN868" t="s">
        <v>81</v>
      </c>
      <c r="BO868" t="s">
        <v>82</v>
      </c>
      <c r="BP868" t="s">
        <v>9</v>
      </c>
      <c r="BQ868" t="s">
        <v>9</v>
      </c>
      <c r="BR868" t="s">
        <v>84</v>
      </c>
      <c r="BS868"/>
      <c r="BT868">
        <v>7.92</v>
      </c>
      <c r="BU868">
        <v>92.084256999999994</v>
      </c>
      <c r="BV868">
        <v>0.3</v>
      </c>
      <c r="BW868">
        <f>BV868*SQRT(AK868)</f>
        <v>2.0124611797498106</v>
      </c>
      <c r="BX868">
        <v>11.18</v>
      </c>
      <c r="BY868">
        <v>88.824833699999999</v>
      </c>
      <c r="BZ868">
        <v>11.18</v>
      </c>
      <c r="CA868">
        <f>BZ868*SQRT(AL868)</f>
        <v>74.997719965342952</v>
      </c>
      <c r="CB868">
        <v>15</v>
      </c>
      <c r="CC868">
        <v>10</v>
      </c>
      <c r="CD868">
        <v>-3.5999999999999997E-2</v>
      </c>
      <c r="CE868">
        <v>1.5800000000000002E-2</v>
      </c>
      <c r="CF868"/>
    </row>
    <row r="869" spans="1:84" s="8" customFormat="1" hidden="1" x14ac:dyDescent="0.2">
      <c r="B869" t="str">
        <f>ROW()-1&amp;"_AltersInvert"</f>
        <v>868_AltersInvert</v>
      </c>
      <c r="C869" t="str">
        <f>D869&amp;"_"&amp;
SUBSTITUTE(TRIM(V869)," ","_")&amp;"_"&amp;
TRIM(AC869)&amp;"_"&amp;
"CO2"&amp;TEXT(AN869,"0.00")&amp;"_"&amp;
"pH"&amp;TEXT(AR869,"0.00")&amp;"_"&amp;
"T"&amp;TEXT(BC869,"0.##")</f>
        <v>114_Acropora_millepora_EMBRYO_CO2456.00_pH8.14_T26.2</v>
      </c>
      <c r="D869" s="8">
        <v>114</v>
      </c>
      <c r="G869" s="8" t="s">
        <v>43</v>
      </c>
      <c r="H869" s="8" t="s">
        <v>841</v>
      </c>
      <c r="J869" s="8">
        <v>2013</v>
      </c>
      <c r="M869" s="8" t="s">
        <v>257</v>
      </c>
      <c r="P869" t="s">
        <v>1135</v>
      </c>
      <c r="R869" s="8" t="s">
        <v>1127</v>
      </c>
      <c r="S869" t="s">
        <v>1128</v>
      </c>
      <c r="T869" s="8" t="s">
        <v>103</v>
      </c>
      <c r="U869" s="8" t="s">
        <v>228</v>
      </c>
      <c r="V869" s="8" t="s">
        <v>842</v>
      </c>
      <c r="W869" s="8" t="str">
        <f>IF(ISNUMBER(MATCH(V263,{"Doryteuthis pealeii","Loligo vulgaris","Leptuca thayeri","Stylocheilus striatus","Ophryotrocha labronica"},0)),"N","Y")</f>
        <v>Y</v>
      </c>
      <c r="Z869" s="8" t="s">
        <v>106</v>
      </c>
      <c r="AA869" s="8" t="s">
        <v>107</v>
      </c>
      <c r="AB869" s="8" t="s">
        <v>71</v>
      </c>
      <c r="AC869" s="8" t="s">
        <v>195</v>
      </c>
      <c r="AD869" s="8" t="s">
        <v>52</v>
      </c>
      <c r="AE869" s="8" t="s">
        <v>53</v>
      </c>
      <c r="AF869" s="8" t="s">
        <v>52</v>
      </c>
      <c r="AG869" s="8" t="s">
        <v>54</v>
      </c>
      <c r="AH869" s="8" t="s">
        <v>55</v>
      </c>
      <c r="AK869" s="8">
        <v>9</v>
      </c>
      <c r="AL869" s="8">
        <v>9</v>
      </c>
      <c r="AN869" s="8">
        <v>456</v>
      </c>
      <c r="AO869" s="8" t="s">
        <v>56</v>
      </c>
      <c r="AP869" s="8" t="s">
        <v>56</v>
      </c>
      <c r="AQ869" s="8" t="s">
        <v>57</v>
      </c>
      <c r="AR869" s="8">
        <v>8.14</v>
      </c>
      <c r="AS869" s="8" t="s">
        <v>56</v>
      </c>
      <c r="AT869" s="8" t="s">
        <v>56</v>
      </c>
      <c r="AU869" s="8">
        <v>684</v>
      </c>
      <c r="AV869" t="s">
        <v>56</v>
      </c>
      <c r="AW869" t="s">
        <v>56</v>
      </c>
      <c r="AX869">
        <v>8.01</v>
      </c>
      <c r="AY869" t="s">
        <v>56</v>
      </c>
      <c r="AZ869" t="s">
        <v>56</v>
      </c>
      <c r="BB869" s="8">
        <f>LOG(AU869)</f>
        <v>2.8350561017201161</v>
      </c>
      <c r="BC869" s="8">
        <v>26.2</v>
      </c>
      <c r="BD869" s="8" t="s">
        <v>56</v>
      </c>
      <c r="BE869" s="8" t="s">
        <v>56</v>
      </c>
      <c r="BF869" s="8">
        <v>26.3</v>
      </c>
      <c r="BG869" s="8" t="s">
        <v>56</v>
      </c>
      <c r="BH869" s="8" t="s">
        <v>56</v>
      </c>
      <c r="BI869" s="8">
        <v>228</v>
      </c>
      <c r="BJ869" s="8">
        <v>0.1</v>
      </c>
      <c r="BK869" s="8" t="s">
        <v>846</v>
      </c>
      <c r="BL869" s="8" t="s">
        <v>844</v>
      </c>
      <c r="BM869" s="8" t="s">
        <v>249</v>
      </c>
      <c r="BN869" s="8" t="s">
        <v>60</v>
      </c>
      <c r="BO869" s="8" t="s">
        <v>845</v>
      </c>
      <c r="BP869" s="8" t="s">
        <v>9</v>
      </c>
      <c r="BQ869" s="8" t="s">
        <v>190</v>
      </c>
      <c r="BR869" s="8" t="s">
        <v>63</v>
      </c>
      <c r="BT869" s="8">
        <v>65.94</v>
      </c>
      <c r="BU869" s="8">
        <v>65.938649999999996</v>
      </c>
      <c r="BV869" s="8">
        <v>0.68</v>
      </c>
      <c r="BW869" s="8">
        <f>BV869*SQRT(AK869)</f>
        <v>2.04</v>
      </c>
      <c r="BX869" s="8">
        <v>59.44</v>
      </c>
      <c r="BY869" s="8">
        <v>59.435582799999999</v>
      </c>
      <c r="BZ869" s="8">
        <v>0.7</v>
      </c>
      <c r="CA869" s="8">
        <f>BZ869*SQRT(AL869)</f>
        <v>2.0999999999999996</v>
      </c>
      <c r="CB869" s="8">
        <v>3</v>
      </c>
      <c r="CC869" s="8">
        <v>3</v>
      </c>
      <c r="CD869" s="8">
        <v>-0.104</v>
      </c>
      <c r="CE869" s="8">
        <v>2.0000000000000001E-4</v>
      </c>
      <c r="CF869" s="8" t="s">
        <v>1134</v>
      </c>
    </row>
    <row r="870" spans="1:84" s="8" customFormat="1" hidden="1" x14ac:dyDescent="0.2">
      <c r="B870" t="str">
        <f>ROW()-1&amp;"_AltersInvert"</f>
        <v>869_AltersInvert</v>
      </c>
      <c r="C870" t="str">
        <f>D870&amp;"_"&amp;
SUBSTITUTE(TRIM(V870)," ","_")&amp;"_"&amp;
TRIM(AC870)&amp;"_"&amp;
"CO2"&amp;TEXT(AN870,"0.00")&amp;"_"&amp;
"pH"&amp;TEXT(AR870,"0.00")&amp;"_"&amp;
"T"&amp;TEXT(BC870,"0.##")</f>
        <v>114_Acropora_millepora_EMBRYO_CO2456.00_pH8.14_T26.2</v>
      </c>
      <c r="D870" s="8">
        <v>114</v>
      </c>
      <c r="G870" s="8" t="s">
        <v>43</v>
      </c>
      <c r="H870" s="8" t="s">
        <v>841</v>
      </c>
      <c r="J870" s="8">
        <v>2013</v>
      </c>
      <c r="M870" s="8" t="s">
        <v>257</v>
      </c>
      <c r="P870" t="s">
        <v>1135</v>
      </c>
      <c r="R870" s="8" t="s">
        <v>1127</v>
      </c>
      <c r="S870" t="s">
        <v>1128</v>
      </c>
      <c r="T870" s="8" t="s">
        <v>103</v>
      </c>
      <c r="U870" s="8" t="s">
        <v>228</v>
      </c>
      <c r="V870" s="8" t="s">
        <v>842</v>
      </c>
      <c r="W870" s="8" t="str">
        <f>IF(ISNUMBER(MATCH(V264,{"Doryteuthis pealeii","Loligo vulgaris","Leptuca thayeri","Stylocheilus striatus","Ophryotrocha labronica"},0)),"N","Y")</f>
        <v>Y</v>
      </c>
      <c r="Z870" s="8" t="s">
        <v>106</v>
      </c>
      <c r="AA870" s="8" t="s">
        <v>107</v>
      </c>
      <c r="AB870" s="8" t="s">
        <v>71</v>
      </c>
      <c r="AC870" s="8" t="s">
        <v>195</v>
      </c>
      <c r="AD870" s="8" t="s">
        <v>52</v>
      </c>
      <c r="AE870" s="8" t="s">
        <v>53</v>
      </c>
      <c r="AF870" s="8" t="s">
        <v>54</v>
      </c>
      <c r="AG870" s="8" t="s">
        <v>52</v>
      </c>
      <c r="AH870" s="8" t="s">
        <v>65</v>
      </c>
      <c r="AK870" s="8">
        <v>9</v>
      </c>
      <c r="AL870" s="8">
        <v>9</v>
      </c>
      <c r="AN870" s="8">
        <v>456</v>
      </c>
      <c r="AO870" s="8" t="s">
        <v>56</v>
      </c>
      <c r="AP870" s="8" t="s">
        <v>56</v>
      </c>
      <c r="AQ870" s="8" t="s">
        <v>57</v>
      </c>
      <c r="AR870" s="8">
        <v>8.14</v>
      </c>
      <c r="AS870" s="8" t="s">
        <v>56</v>
      </c>
      <c r="AT870" s="8" t="s">
        <v>56</v>
      </c>
      <c r="AU870" s="8">
        <v>514</v>
      </c>
      <c r="AV870" t="s">
        <v>56</v>
      </c>
      <c r="AW870" t="s">
        <v>56</v>
      </c>
      <c r="AX870">
        <v>8.14</v>
      </c>
      <c r="AY870" t="s">
        <v>56</v>
      </c>
      <c r="AZ870" t="s">
        <v>56</v>
      </c>
      <c r="BB870" s="8">
        <f>LOG(AU870)</f>
        <v>2.7109631189952759</v>
      </c>
      <c r="BC870" s="8">
        <v>26.2</v>
      </c>
      <c r="BD870" s="8" t="s">
        <v>56</v>
      </c>
      <c r="BE870" s="8" t="s">
        <v>56</v>
      </c>
      <c r="BF870" s="8">
        <v>28.8</v>
      </c>
      <c r="BG870" s="8" t="s">
        <v>56</v>
      </c>
      <c r="BH870" s="8" t="s">
        <v>56</v>
      </c>
      <c r="BI870" s="8">
        <v>57</v>
      </c>
      <c r="BJ870" s="8">
        <v>2.5</v>
      </c>
      <c r="BK870" s="8" t="s">
        <v>846</v>
      </c>
      <c r="BL870" s="8" t="s">
        <v>844</v>
      </c>
      <c r="BM870" s="8" t="s">
        <v>249</v>
      </c>
      <c r="BN870" s="8" t="s">
        <v>60</v>
      </c>
      <c r="BO870" s="8" t="s">
        <v>845</v>
      </c>
      <c r="BP870" s="8" t="s">
        <v>9</v>
      </c>
      <c r="BQ870" s="8" t="s">
        <v>190</v>
      </c>
      <c r="BR870" s="8" t="s">
        <v>63</v>
      </c>
      <c r="BT870" s="8">
        <v>65.94</v>
      </c>
      <c r="BU870" s="8">
        <v>65.938649999999996</v>
      </c>
      <c r="BV870" s="8">
        <v>0.68</v>
      </c>
      <c r="BW870" s="8">
        <f>BV870*SQRT(AK870)</f>
        <v>2.04</v>
      </c>
      <c r="BX870" s="8">
        <v>57.72</v>
      </c>
      <c r="BY870" s="8">
        <v>57.717791400000003</v>
      </c>
      <c r="BZ870" s="8">
        <v>1.05</v>
      </c>
      <c r="CA870" s="8">
        <f>BZ870*SQRT(AL870)</f>
        <v>3.1500000000000004</v>
      </c>
      <c r="CB870" s="8">
        <v>3</v>
      </c>
      <c r="CC870" s="8">
        <v>3</v>
      </c>
      <c r="CD870" s="8">
        <v>-0.13300000000000001</v>
      </c>
      <c r="CE870" s="8">
        <v>4.0000000000000002E-4</v>
      </c>
      <c r="CF870" s="8" t="s">
        <v>1134</v>
      </c>
    </row>
    <row r="871" spans="1:84" s="8" customFormat="1" hidden="1" x14ac:dyDescent="0.2">
      <c r="B871" t="str">
        <f>ROW()-1&amp;"_AltersInvert"</f>
        <v>870_AltersInvert</v>
      </c>
      <c r="C871" t="str">
        <f>D871&amp;"_"&amp;
SUBSTITUTE(TRIM(V871)," ","_")&amp;"_"&amp;
TRIM(AC871)&amp;"_"&amp;
"CO2"&amp;TEXT(AN871,"0.00")&amp;"_"&amp;
"pH"&amp;TEXT(AR871,"0.00")&amp;"_"&amp;
"T"&amp;TEXT(BC871,"0.##")</f>
        <v>114_Acropora_millepora_EMBRYO_CO2456.00_pH8.14_T26.2</v>
      </c>
      <c r="D871" s="8">
        <v>114</v>
      </c>
      <c r="G871" s="8" t="s">
        <v>43</v>
      </c>
      <c r="H871" s="8" t="s">
        <v>841</v>
      </c>
      <c r="J871" s="8">
        <v>2013</v>
      </c>
      <c r="M871" s="8" t="s">
        <v>257</v>
      </c>
      <c r="P871" t="s">
        <v>1135</v>
      </c>
      <c r="R871" s="8" t="s">
        <v>1127</v>
      </c>
      <c r="S871" t="s">
        <v>1128</v>
      </c>
      <c r="T871" s="8" t="s">
        <v>103</v>
      </c>
      <c r="U871" s="8" t="s">
        <v>228</v>
      </c>
      <c r="V871" s="8" t="s">
        <v>842</v>
      </c>
      <c r="W871" s="8" t="str">
        <f>IF(ISNUMBER(MATCH(V265,{"Doryteuthis pealeii","Loligo vulgaris","Leptuca thayeri","Stylocheilus striatus","Ophryotrocha labronica"},0)),"N","Y")</f>
        <v>Y</v>
      </c>
      <c r="Z871" s="8" t="s">
        <v>106</v>
      </c>
      <c r="AA871" s="8" t="s">
        <v>107</v>
      </c>
      <c r="AB871" s="8" t="s">
        <v>71</v>
      </c>
      <c r="AC871" s="8" t="s">
        <v>195</v>
      </c>
      <c r="AD871" s="8" t="s">
        <v>52</v>
      </c>
      <c r="AE871" s="8" t="s">
        <v>53</v>
      </c>
      <c r="AF871" s="8" t="s">
        <v>52</v>
      </c>
      <c r="AG871" s="8" t="s">
        <v>52</v>
      </c>
      <c r="AH871" s="8" t="s">
        <v>64</v>
      </c>
      <c r="AK871" s="8">
        <v>9</v>
      </c>
      <c r="AL871" s="8">
        <v>9</v>
      </c>
      <c r="AN871" s="8">
        <v>456</v>
      </c>
      <c r="AO871" s="8" t="s">
        <v>56</v>
      </c>
      <c r="AP871" s="8" t="s">
        <v>56</v>
      </c>
      <c r="AQ871" s="8" t="s">
        <v>57</v>
      </c>
      <c r="AR871" s="8">
        <v>8.14</v>
      </c>
      <c r="AS871" s="8" t="s">
        <v>56</v>
      </c>
      <c r="AT871" s="8" t="s">
        <v>56</v>
      </c>
      <c r="AU871" s="8">
        <v>727</v>
      </c>
      <c r="AV871" t="s">
        <v>56</v>
      </c>
      <c r="AW871" t="s">
        <v>56</v>
      </c>
      <c r="AX871">
        <v>8.0299999999999994</v>
      </c>
      <c r="AY871" t="s">
        <v>56</v>
      </c>
      <c r="AZ871" t="s">
        <v>56</v>
      </c>
      <c r="BB871" s="8">
        <f>LOG(AU871)</f>
        <v>2.8615344108590377</v>
      </c>
      <c r="BC871" s="8">
        <v>26.2</v>
      </c>
      <c r="BD871" s="8" t="s">
        <v>56</v>
      </c>
      <c r="BE871" s="8" t="s">
        <v>56</v>
      </c>
      <c r="BF871" s="8">
        <v>29.1</v>
      </c>
      <c r="BG871" s="8" t="s">
        <v>56</v>
      </c>
      <c r="BH871" s="8" t="s">
        <v>56</v>
      </c>
      <c r="BI871" s="8">
        <v>271</v>
      </c>
      <c r="BJ871" s="8">
        <v>2.9</v>
      </c>
      <c r="BK871" s="8" t="s">
        <v>846</v>
      </c>
      <c r="BL871" s="8" t="s">
        <v>844</v>
      </c>
      <c r="BM871" s="8" t="s">
        <v>249</v>
      </c>
      <c r="BN871" s="8" t="s">
        <v>60</v>
      </c>
      <c r="BO871" s="8" t="s">
        <v>845</v>
      </c>
      <c r="BP871" s="8" t="s">
        <v>9</v>
      </c>
      <c r="BQ871" s="8" t="s">
        <v>190</v>
      </c>
      <c r="BR871" s="8" t="s">
        <v>63</v>
      </c>
      <c r="BT871" s="8">
        <v>65.94</v>
      </c>
      <c r="BU871" s="8">
        <v>65.938649999999996</v>
      </c>
      <c r="BV871" s="8">
        <v>0.68</v>
      </c>
      <c r="BW871" s="8">
        <f>BV871*SQRT(AK871)</f>
        <v>2.04</v>
      </c>
      <c r="BX871" s="8">
        <v>52.81</v>
      </c>
      <c r="BY871" s="8">
        <v>52.809815999999998</v>
      </c>
      <c r="BZ871" s="8">
        <v>0.45</v>
      </c>
      <c r="CA871" s="8">
        <f>BZ871*SQRT(AL871)</f>
        <v>1.35</v>
      </c>
      <c r="CB871" s="8">
        <v>3</v>
      </c>
      <c r="CC871" s="8">
        <v>3</v>
      </c>
      <c r="CD871" s="8">
        <v>-0.222</v>
      </c>
      <c r="CE871" s="8">
        <v>2.0000000000000001E-4</v>
      </c>
      <c r="CF871" s="8" t="s">
        <v>1134</v>
      </c>
    </row>
    <row r="872" spans="1:84" s="8" customFormat="1" hidden="1" x14ac:dyDescent="0.2">
      <c r="A872"/>
      <c r="B872" t="str">
        <f>ROW()-1&amp;"_AltersInvert"</f>
        <v>871_AltersInvert</v>
      </c>
      <c r="C872" t="str">
        <f>D872&amp;"_"&amp;
SUBSTITUTE(TRIM(V872)," ","_")&amp;"_"&amp;
TRIM(AC872)&amp;"_"&amp;
"CO2"&amp;TEXT(AN872,"0.00")&amp;"_"&amp;
"pH"&amp;TEXT(AR872,"0.00")&amp;"_"&amp;
"T"&amp;TEXT(BC872,"0.##")</f>
        <v>63_Heliocidaris_tuberculata_LARVA_CO2338.00_pH8.08_T20.</v>
      </c>
      <c r="D872">
        <v>63</v>
      </c>
      <c r="E872"/>
      <c r="F872"/>
      <c r="G872" t="s">
        <v>43</v>
      </c>
      <c r="H872" t="s">
        <v>604</v>
      </c>
      <c r="I872"/>
      <c r="J872">
        <v>2013</v>
      </c>
      <c r="K872"/>
      <c r="L872"/>
      <c r="M872" t="s">
        <v>45</v>
      </c>
      <c r="N872"/>
      <c r="O872"/>
      <c r="P872" t="s">
        <v>1135</v>
      </c>
      <c r="Q872"/>
      <c r="R872" t="s">
        <v>1127</v>
      </c>
      <c r="S872" t="s">
        <v>1128</v>
      </c>
      <c r="T872" t="s">
        <v>46</v>
      </c>
      <c r="U872" t="s">
        <v>605</v>
      </c>
      <c r="V872" t="s">
        <v>606</v>
      </c>
      <c r="W872"/>
      <c r="X872"/>
      <c r="Y872"/>
      <c r="Z872" t="s">
        <v>49</v>
      </c>
      <c r="AA872" t="s">
        <v>49</v>
      </c>
      <c r="AB872" t="s">
        <v>71</v>
      </c>
      <c r="AC872" t="s">
        <v>72</v>
      </c>
      <c r="AD872" t="s">
        <v>52</v>
      </c>
      <c r="AE872" t="s">
        <v>53</v>
      </c>
      <c r="AF872" t="s">
        <v>52</v>
      </c>
      <c r="AG872" t="s">
        <v>54</v>
      </c>
      <c r="AH872" t="s">
        <v>55</v>
      </c>
      <c r="AI872"/>
      <c r="AJ872"/>
      <c r="AK872">
        <v>8</v>
      </c>
      <c r="AL872">
        <v>8</v>
      </c>
      <c r="AM872" t="s">
        <v>342</v>
      </c>
      <c r="AN872">
        <v>338</v>
      </c>
      <c r="AO872">
        <v>1</v>
      </c>
      <c r="AP872" t="s">
        <v>56</v>
      </c>
      <c r="AQ872" t="s">
        <v>118</v>
      </c>
      <c r="AR872">
        <v>8.08</v>
      </c>
      <c r="AS872">
        <v>0.02</v>
      </c>
      <c r="AT872" t="s">
        <v>56</v>
      </c>
      <c r="AU872">
        <v>1257</v>
      </c>
      <c r="AV872">
        <v>4</v>
      </c>
      <c r="AW872" t="s">
        <v>56</v>
      </c>
      <c r="AX872">
        <v>7.62</v>
      </c>
      <c r="AY872">
        <v>0.02</v>
      </c>
      <c r="AZ872" t="s">
        <v>56</v>
      </c>
      <c r="BA872"/>
      <c r="BB872">
        <f>LOG(AU872)</f>
        <v>3.0993352776859577</v>
      </c>
      <c r="BC872">
        <v>20</v>
      </c>
      <c r="BD872" t="s">
        <v>56</v>
      </c>
      <c r="BE872" t="s">
        <v>56</v>
      </c>
      <c r="BF872">
        <v>20</v>
      </c>
      <c r="BG872" t="s">
        <v>56</v>
      </c>
      <c r="BH872" t="s">
        <v>56</v>
      </c>
      <c r="BI872">
        <v>919</v>
      </c>
      <c r="BJ872">
        <v>0</v>
      </c>
      <c r="BK872" t="s">
        <v>56</v>
      </c>
      <c r="BL872" t="s">
        <v>607</v>
      </c>
      <c r="BM872" t="s">
        <v>86</v>
      </c>
      <c r="BN872" t="s">
        <v>340</v>
      </c>
      <c r="BO872" t="s">
        <v>91</v>
      </c>
      <c r="BP872" t="s">
        <v>9</v>
      </c>
      <c r="BQ872" t="s">
        <v>9</v>
      </c>
      <c r="BR872" t="s">
        <v>63</v>
      </c>
      <c r="BS872"/>
      <c r="BT872">
        <v>13.29</v>
      </c>
      <c r="BU872">
        <v>13.29</v>
      </c>
      <c r="BV872">
        <v>0.77</v>
      </c>
      <c r="BW872">
        <f>BV872*SQRT(AK872)</f>
        <v>2.1778888860545664</v>
      </c>
      <c r="BX872">
        <v>18.93</v>
      </c>
      <c r="BY872">
        <v>18.93</v>
      </c>
      <c r="BZ872">
        <v>2</v>
      </c>
      <c r="CA872">
        <f>BZ872*SQRT(AL872)</f>
        <v>5.6568542494923806</v>
      </c>
      <c r="CB872">
        <v>3</v>
      </c>
      <c r="CC872">
        <v>8</v>
      </c>
      <c r="CD872">
        <v>-0.35399999999999998</v>
      </c>
      <c r="CE872">
        <v>1.4500000000000001E-2</v>
      </c>
    </row>
    <row r="873" spans="1:84" s="8" customFormat="1" hidden="1" x14ac:dyDescent="0.2">
      <c r="A873"/>
      <c r="B873" t="str">
        <f>ROW()-1&amp;"_AltersInvert"</f>
        <v>872_AltersInvert</v>
      </c>
      <c r="C873" t="str">
        <f>D873&amp;"_"&amp;
SUBSTITUTE(TRIM(V873)," ","_")&amp;"_"&amp;
TRIM(AC873)&amp;"_"&amp;
"CO2"&amp;TEXT(AN873,"0.00")&amp;"_"&amp;
"pH"&amp;TEXT(AR873,"0.00")&amp;"_"&amp;
"T"&amp;TEXT(BC873,"0.##")</f>
        <v>63_Heliocidaris_tuberculata_LARVA_CO2338.00_pH8.08_T20.</v>
      </c>
      <c r="D873">
        <v>63</v>
      </c>
      <c r="E873"/>
      <c r="F873"/>
      <c r="G873" t="s">
        <v>43</v>
      </c>
      <c r="H873" t="s">
        <v>604</v>
      </c>
      <c r="I873"/>
      <c r="J873">
        <v>2013</v>
      </c>
      <c r="K873"/>
      <c r="L873"/>
      <c r="M873" t="s">
        <v>45</v>
      </c>
      <c r="N873"/>
      <c r="O873"/>
      <c r="P873" t="s">
        <v>1135</v>
      </c>
      <c r="Q873"/>
      <c r="R873" t="s">
        <v>1127</v>
      </c>
      <c r="S873" t="s">
        <v>1128</v>
      </c>
      <c r="T873" t="s">
        <v>46</v>
      </c>
      <c r="U873" t="s">
        <v>605</v>
      </c>
      <c r="V873" t="s">
        <v>606</v>
      </c>
      <c r="W873"/>
      <c r="X873"/>
      <c r="Y873"/>
      <c r="Z873" t="s">
        <v>49</v>
      </c>
      <c r="AA873" t="s">
        <v>49</v>
      </c>
      <c r="AB873" t="s">
        <v>71</v>
      </c>
      <c r="AC873" t="s">
        <v>72</v>
      </c>
      <c r="AD873" t="s">
        <v>52</v>
      </c>
      <c r="AE873" t="s">
        <v>53</v>
      </c>
      <c r="AF873" t="s">
        <v>52</v>
      </c>
      <c r="AG873" t="s">
        <v>54</v>
      </c>
      <c r="AH873" t="s">
        <v>55</v>
      </c>
      <c r="AI873"/>
      <c r="AJ873"/>
      <c r="AK873">
        <v>8</v>
      </c>
      <c r="AL873">
        <v>8</v>
      </c>
      <c r="AM873" t="s">
        <v>342</v>
      </c>
      <c r="AN873">
        <v>338</v>
      </c>
      <c r="AO873">
        <v>1</v>
      </c>
      <c r="AP873" t="s">
        <v>56</v>
      </c>
      <c r="AQ873" t="s">
        <v>118</v>
      </c>
      <c r="AR873">
        <v>8.08</v>
      </c>
      <c r="AS873">
        <v>0.02</v>
      </c>
      <c r="AT873" t="s">
        <v>56</v>
      </c>
      <c r="AU873">
        <v>2054</v>
      </c>
      <c r="AV873">
        <v>7</v>
      </c>
      <c r="AW873" t="s">
        <v>56</v>
      </c>
      <c r="AX873">
        <v>7.44</v>
      </c>
      <c r="AY873">
        <v>0.02</v>
      </c>
      <c r="AZ873" t="s">
        <v>56</v>
      </c>
      <c r="BA873"/>
      <c r="BB873">
        <f>LOG(AU873)</f>
        <v>3.3126004392612596</v>
      </c>
      <c r="BC873">
        <v>20</v>
      </c>
      <c r="BD873" t="s">
        <v>56</v>
      </c>
      <c r="BE873" t="s">
        <v>56</v>
      </c>
      <c r="BF873">
        <v>20</v>
      </c>
      <c r="BG873" t="s">
        <v>56</v>
      </c>
      <c r="BH873" t="s">
        <v>56</v>
      </c>
      <c r="BI873">
        <v>1716</v>
      </c>
      <c r="BJ873">
        <v>0</v>
      </c>
      <c r="BK873" t="s">
        <v>56</v>
      </c>
      <c r="BL873" t="s">
        <v>607</v>
      </c>
      <c r="BM873" t="s">
        <v>86</v>
      </c>
      <c r="BN873" t="s">
        <v>340</v>
      </c>
      <c r="BO873" t="s">
        <v>91</v>
      </c>
      <c r="BP873" t="s">
        <v>9</v>
      </c>
      <c r="BQ873" t="s">
        <v>9</v>
      </c>
      <c r="BR873" t="s">
        <v>63</v>
      </c>
      <c r="BS873"/>
      <c r="BT873">
        <v>13.29</v>
      </c>
      <c r="BU873">
        <v>13.29</v>
      </c>
      <c r="BV873">
        <v>0.77</v>
      </c>
      <c r="BW873">
        <f>BV873*SQRT(AK873)</f>
        <v>2.1778888860545664</v>
      </c>
      <c r="BX873">
        <v>17.72</v>
      </c>
      <c r="BY873">
        <v>17.72</v>
      </c>
      <c r="BZ873">
        <v>1.44</v>
      </c>
      <c r="CA873">
        <f>BZ873*SQRT(AL873)</f>
        <v>4.0729350596345135</v>
      </c>
      <c r="CB873">
        <v>3</v>
      </c>
      <c r="CC873">
        <v>8</v>
      </c>
      <c r="CD873">
        <v>-0.28799999999999998</v>
      </c>
      <c r="CE873">
        <v>0.01</v>
      </c>
    </row>
    <row r="874" spans="1:84" s="8" customFormat="1" hidden="1" x14ac:dyDescent="0.2">
      <c r="A874"/>
      <c r="B874" t="str">
        <f>ROW()-1&amp;"_AltersInvert"</f>
        <v>873_AltersInvert</v>
      </c>
      <c r="C874" t="str">
        <f>D874&amp;"_"&amp;
SUBSTITUTE(TRIM(V874)," ","_")&amp;"_"&amp;
TRIM(AC874)&amp;"_"&amp;
"CO2"&amp;TEXT(AN874,"0.00")&amp;"_"&amp;
"pH"&amp;TEXT(AR874,"0.00")&amp;"_"&amp;
"T"&amp;TEXT(BC874,"0.##")</f>
        <v>63_Heliocidaris_tuberculata_LARVA_CO2338.00_pH8.08_T20.</v>
      </c>
      <c r="D874">
        <v>63</v>
      </c>
      <c r="E874"/>
      <c r="F874"/>
      <c r="G874" t="s">
        <v>43</v>
      </c>
      <c r="H874" t="s">
        <v>604</v>
      </c>
      <c r="I874"/>
      <c r="J874">
        <v>2013</v>
      </c>
      <c r="K874"/>
      <c r="L874"/>
      <c r="M874" t="s">
        <v>45</v>
      </c>
      <c r="N874"/>
      <c r="O874"/>
      <c r="P874" t="s">
        <v>1135</v>
      </c>
      <c r="Q874"/>
      <c r="R874" t="s">
        <v>1127</v>
      </c>
      <c r="S874" t="s">
        <v>1128</v>
      </c>
      <c r="T874" t="s">
        <v>46</v>
      </c>
      <c r="U874" t="s">
        <v>605</v>
      </c>
      <c r="V874" t="s">
        <v>606</v>
      </c>
      <c r="W874"/>
      <c r="X874"/>
      <c r="Y874"/>
      <c r="Z874" t="s">
        <v>49</v>
      </c>
      <c r="AA874" t="s">
        <v>49</v>
      </c>
      <c r="AB874" t="s">
        <v>71</v>
      </c>
      <c r="AC874" t="s">
        <v>72</v>
      </c>
      <c r="AD874" t="s">
        <v>52</v>
      </c>
      <c r="AE874" t="s">
        <v>53</v>
      </c>
      <c r="AF874" t="s">
        <v>52</v>
      </c>
      <c r="AG874" t="s">
        <v>54</v>
      </c>
      <c r="AH874" t="s">
        <v>55</v>
      </c>
      <c r="AI874"/>
      <c r="AJ874"/>
      <c r="AK874">
        <v>8</v>
      </c>
      <c r="AL874">
        <v>8</v>
      </c>
      <c r="AM874" t="s">
        <v>342</v>
      </c>
      <c r="AN874">
        <v>338</v>
      </c>
      <c r="AO874">
        <v>1</v>
      </c>
      <c r="AP874" t="s">
        <v>56</v>
      </c>
      <c r="AQ874" t="s">
        <v>118</v>
      </c>
      <c r="AR874">
        <v>8.08</v>
      </c>
      <c r="AS874">
        <v>0.02</v>
      </c>
      <c r="AT874" t="s">
        <v>56</v>
      </c>
      <c r="AU874">
        <v>757</v>
      </c>
      <c r="AV874">
        <v>3</v>
      </c>
      <c r="AW874" t="s">
        <v>56</v>
      </c>
      <c r="AX874">
        <v>7.8</v>
      </c>
      <c r="AY874">
        <v>0.01</v>
      </c>
      <c r="AZ874" t="s">
        <v>56</v>
      </c>
      <c r="BA874"/>
      <c r="BB874">
        <f>LOG(AU874)</f>
        <v>2.8790958795000727</v>
      </c>
      <c r="BC874">
        <v>20</v>
      </c>
      <c r="BD874" t="s">
        <v>56</v>
      </c>
      <c r="BE874" t="s">
        <v>56</v>
      </c>
      <c r="BF874">
        <v>20</v>
      </c>
      <c r="BG874" t="s">
        <v>56</v>
      </c>
      <c r="BH874" t="s">
        <v>56</v>
      </c>
      <c r="BI874">
        <v>419</v>
      </c>
      <c r="BJ874">
        <v>0</v>
      </c>
      <c r="BK874" t="s">
        <v>56</v>
      </c>
      <c r="BL874" t="s">
        <v>607</v>
      </c>
      <c r="BM874" t="s">
        <v>86</v>
      </c>
      <c r="BN874" t="s">
        <v>340</v>
      </c>
      <c r="BO874" t="s">
        <v>91</v>
      </c>
      <c r="BP874" t="s">
        <v>9</v>
      </c>
      <c r="BQ874" t="s">
        <v>9</v>
      </c>
      <c r="BR874" t="s">
        <v>63</v>
      </c>
      <c r="BS874"/>
      <c r="BT874">
        <v>13.29</v>
      </c>
      <c r="BU874">
        <v>13.29</v>
      </c>
      <c r="BV874">
        <v>0.77</v>
      </c>
      <c r="BW874">
        <f>BV874*SQRT(AK874)</f>
        <v>2.1778888860545664</v>
      </c>
      <c r="BX874">
        <v>16.61</v>
      </c>
      <c r="BY874">
        <v>16.61</v>
      </c>
      <c r="BZ874">
        <v>1.44</v>
      </c>
      <c r="CA874">
        <f>BZ874*SQRT(AL874)</f>
        <v>4.0729350596345135</v>
      </c>
      <c r="CB874">
        <v>3</v>
      </c>
      <c r="CC874">
        <v>8</v>
      </c>
      <c r="CD874">
        <v>-0.223</v>
      </c>
      <c r="CE874">
        <v>1.09E-2</v>
      </c>
    </row>
    <row r="875" spans="1:84" s="8" customFormat="1" hidden="1" x14ac:dyDescent="0.2">
      <c r="A875"/>
      <c r="B875" t="str">
        <f>ROW()-1&amp;"_AltersInvert"</f>
        <v>874_AltersInvert</v>
      </c>
      <c r="C875" t="str">
        <f>D875&amp;"_"&amp;
SUBSTITUTE(TRIM(V875)," ","_")&amp;"_"&amp;
TRIM(AC875)&amp;"_"&amp;
"CO2"&amp;TEXT(AN875,"0.00")&amp;"_"&amp;
"pH"&amp;TEXT(AR875,"0.00")&amp;"_"&amp;
"T"&amp;TEXT(BC875,"0.##")</f>
        <v>63_Heliocidaris_tuberculata_LARVA_CO2338.00_pH8.08_T20.</v>
      </c>
      <c r="D875">
        <v>63</v>
      </c>
      <c r="E875"/>
      <c r="F875"/>
      <c r="G875" t="s">
        <v>43</v>
      </c>
      <c r="H875" t="s">
        <v>604</v>
      </c>
      <c r="I875"/>
      <c r="J875">
        <v>2013</v>
      </c>
      <c r="K875"/>
      <c r="L875"/>
      <c r="M875" t="s">
        <v>45</v>
      </c>
      <c r="N875"/>
      <c r="O875"/>
      <c r="P875" t="s">
        <v>1135</v>
      </c>
      <c r="Q875"/>
      <c r="R875" t="s">
        <v>1127</v>
      </c>
      <c r="S875" t="s">
        <v>1128</v>
      </c>
      <c r="T875" t="s">
        <v>46</v>
      </c>
      <c r="U875" t="s">
        <v>605</v>
      </c>
      <c r="V875" t="s">
        <v>606</v>
      </c>
      <c r="W875"/>
      <c r="X875"/>
      <c r="Y875"/>
      <c r="Z875" t="s">
        <v>49</v>
      </c>
      <c r="AA875" t="s">
        <v>49</v>
      </c>
      <c r="AB875" t="s">
        <v>71</v>
      </c>
      <c r="AC875" t="s">
        <v>72</v>
      </c>
      <c r="AD875" t="s">
        <v>52</v>
      </c>
      <c r="AE875" t="s">
        <v>53</v>
      </c>
      <c r="AF875" t="s">
        <v>54</v>
      </c>
      <c r="AG875" t="s">
        <v>52</v>
      </c>
      <c r="AH875" t="s">
        <v>65</v>
      </c>
      <c r="AI875"/>
      <c r="AJ875"/>
      <c r="AK875">
        <v>8</v>
      </c>
      <c r="AL875">
        <v>8</v>
      </c>
      <c r="AM875" t="s">
        <v>342</v>
      </c>
      <c r="AN875">
        <v>338</v>
      </c>
      <c r="AO875">
        <v>1</v>
      </c>
      <c r="AP875" t="s">
        <v>56</v>
      </c>
      <c r="AQ875" t="s">
        <v>118</v>
      </c>
      <c r="AR875">
        <v>8.08</v>
      </c>
      <c r="AS875">
        <v>0.02</v>
      </c>
      <c r="AT875" t="s">
        <v>56</v>
      </c>
      <c r="AU875">
        <v>335</v>
      </c>
      <c r="AV875">
        <v>1</v>
      </c>
      <c r="AW875" t="s">
        <v>56</v>
      </c>
      <c r="AX875">
        <v>8.0399999999999991</v>
      </c>
      <c r="AY875">
        <v>0.02</v>
      </c>
      <c r="AZ875" t="s">
        <v>56</v>
      </c>
      <c r="BA875"/>
      <c r="BB875">
        <f>LOG(AU875)</f>
        <v>2.5250448070368452</v>
      </c>
      <c r="BC875">
        <v>20</v>
      </c>
      <c r="BD875" t="s">
        <v>56</v>
      </c>
      <c r="BE875" t="s">
        <v>56</v>
      </c>
      <c r="BF875">
        <v>24</v>
      </c>
      <c r="BG875" t="s">
        <v>56</v>
      </c>
      <c r="BH875" t="s">
        <v>56</v>
      </c>
      <c r="BI875">
        <v>-4</v>
      </c>
      <c r="BJ875">
        <v>4</v>
      </c>
      <c r="BK875" t="s">
        <v>56</v>
      </c>
      <c r="BL875" t="s">
        <v>607</v>
      </c>
      <c r="BM875" t="s">
        <v>86</v>
      </c>
      <c r="BN875" t="s">
        <v>340</v>
      </c>
      <c r="BO875" t="s">
        <v>91</v>
      </c>
      <c r="BP875" t="s">
        <v>9</v>
      </c>
      <c r="BQ875" t="s">
        <v>9</v>
      </c>
      <c r="BR875" t="s">
        <v>63</v>
      </c>
      <c r="BS875"/>
      <c r="BT875">
        <v>13.29</v>
      </c>
      <c r="BU875">
        <v>13.29</v>
      </c>
      <c r="BV875">
        <v>0.77</v>
      </c>
      <c r="BW875">
        <f>BV875*SQRT(AK875)</f>
        <v>2.1778888860545664</v>
      </c>
      <c r="BX875">
        <v>22.59</v>
      </c>
      <c r="BY875">
        <v>22.59</v>
      </c>
      <c r="BZ875">
        <v>1.99</v>
      </c>
      <c r="CA875">
        <f>BZ875*SQRT(AL875)</f>
        <v>5.6285699782449186</v>
      </c>
      <c r="CB875">
        <v>3</v>
      </c>
      <c r="CC875">
        <v>8</v>
      </c>
      <c r="CD875">
        <v>-0.53</v>
      </c>
      <c r="CE875">
        <v>1.11E-2</v>
      </c>
    </row>
    <row r="876" spans="1:84" s="8" customFormat="1" hidden="1" x14ac:dyDescent="0.2">
      <c r="A876"/>
      <c r="B876" t="str">
        <f>ROW()-1&amp;"_AltersInvert"</f>
        <v>875_AltersInvert</v>
      </c>
      <c r="C876" t="str">
        <f>D876&amp;"_"&amp;
SUBSTITUTE(TRIM(V876)," ","_")&amp;"_"&amp;
TRIM(AC876)&amp;"_"&amp;
"CO2"&amp;TEXT(AN876,"0.00")&amp;"_"&amp;
"pH"&amp;TEXT(AR876,"0.00")&amp;"_"&amp;
"T"&amp;TEXT(BC876,"0.##")</f>
        <v>63_Heliocidaris_tuberculata_LARVA_CO2338.00_pH8.08_T20.</v>
      </c>
      <c r="D876">
        <v>63</v>
      </c>
      <c r="E876"/>
      <c r="F876"/>
      <c r="G876" t="s">
        <v>43</v>
      </c>
      <c r="H876" t="s">
        <v>604</v>
      </c>
      <c r="I876"/>
      <c r="J876">
        <v>2013</v>
      </c>
      <c r="K876"/>
      <c r="L876"/>
      <c r="M876" t="s">
        <v>45</v>
      </c>
      <c r="N876"/>
      <c r="O876"/>
      <c r="P876" t="s">
        <v>1135</v>
      </c>
      <c r="Q876"/>
      <c r="R876" t="s">
        <v>1127</v>
      </c>
      <c r="S876" t="s">
        <v>1128</v>
      </c>
      <c r="T876" t="s">
        <v>46</v>
      </c>
      <c r="U876" t="s">
        <v>605</v>
      </c>
      <c r="V876" t="s">
        <v>606</v>
      </c>
      <c r="W876"/>
      <c r="X876"/>
      <c r="Y876"/>
      <c r="Z876" t="s">
        <v>49</v>
      </c>
      <c r="AA876" t="s">
        <v>49</v>
      </c>
      <c r="AB876" t="s">
        <v>71</v>
      </c>
      <c r="AC876" t="s">
        <v>72</v>
      </c>
      <c r="AD876" t="s">
        <v>52</v>
      </c>
      <c r="AE876" t="s">
        <v>53</v>
      </c>
      <c r="AF876" t="s">
        <v>52</v>
      </c>
      <c r="AG876" t="s">
        <v>52</v>
      </c>
      <c r="AH876" t="s">
        <v>64</v>
      </c>
      <c r="AI876"/>
      <c r="AJ876"/>
      <c r="AK876">
        <v>8</v>
      </c>
      <c r="AL876">
        <v>8</v>
      </c>
      <c r="AM876" t="s">
        <v>342</v>
      </c>
      <c r="AN876">
        <v>338</v>
      </c>
      <c r="AO876">
        <v>1</v>
      </c>
      <c r="AP876" t="s">
        <v>56</v>
      </c>
      <c r="AQ876" t="s">
        <v>118</v>
      </c>
      <c r="AR876">
        <v>8.08</v>
      </c>
      <c r="AS876">
        <v>0.02</v>
      </c>
      <c r="AT876" t="s">
        <v>56</v>
      </c>
      <c r="AU876">
        <v>1274</v>
      </c>
      <c r="AV876">
        <v>4</v>
      </c>
      <c r="AW876" t="s">
        <v>56</v>
      </c>
      <c r="AX876">
        <v>7.59</v>
      </c>
      <c r="AY876">
        <v>0.01</v>
      </c>
      <c r="AZ876" t="s">
        <v>56</v>
      </c>
      <c r="BA876"/>
      <c r="BB876">
        <f>LOG(AU876)</f>
        <v>3.1051694279993316</v>
      </c>
      <c r="BC876">
        <v>20</v>
      </c>
      <c r="BD876" t="s">
        <v>56</v>
      </c>
      <c r="BE876" t="s">
        <v>56</v>
      </c>
      <c r="BF876">
        <v>24</v>
      </c>
      <c r="BG876" t="s">
        <v>56</v>
      </c>
      <c r="BH876" t="s">
        <v>56</v>
      </c>
      <c r="BI876">
        <v>936</v>
      </c>
      <c r="BJ876">
        <v>4</v>
      </c>
      <c r="BK876" t="s">
        <v>56</v>
      </c>
      <c r="BL876" t="s">
        <v>607</v>
      </c>
      <c r="BM876" t="s">
        <v>86</v>
      </c>
      <c r="BN876" t="s">
        <v>340</v>
      </c>
      <c r="BO876" t="s">
        <v>91</v>
      </c>
      <c r="BP876" t="s">
        <v>9</v>
      </c>
      <c r="BQ876" t="s">
        <v>9</v>
      </c>
      <c r="BR876" t="s">
        <v>63</v>
      </c>
      <c r="BS876"/>
      <c r="BT876">
        <v>13.29</v>
      </c>
      <c r="BU876">
        <v>13.29</v>
      </c>
      <c r="BV876">
        <v>0.77</v>
      </c>
      <c r="BW876">
        <f>BV876*SQRT(AK876)</f>
        <v>2.1778888860545664</v>
      </c>
      <c r="BX876">
        <v>31.01</v>
      </c>
      <c r="BY876">
        <v>31.01</v>
      </c>
      <c r="BZ876">
        <v>2.1</v>
      </c>
      <c r="CA876">
        <f>BZ876*SQRT(AL876)</f>
        <v>5.9396969619669999</v>
      </c>
      <c r="CB876">
        <v>3</v>
      </c>
      <c r="CC876">
        <v>8</v>
      </c>
      <c r="CD876">
        <v>-0.84699999999999998</v>
      </c>
      <c r="CE876">
        <v>7.9000000000000008E-3</v>
      </c>
    </row>
    <row r="877" spans="1:84" s="8" customFormat="1" hidden="1" x14ac:dyDescent="0.2">
      <c r="A877"/>
      <c r="B877" t="str">
        <f>ROW()-1&amp;"_AltersInvert"</f>
        <v>876_AltersInvert</v>
      </c>
      <c r="C877" t="str">
        <f>D877&amp;"_"&amp;
SUBSTITUTE(TRIM(V877)," ","_")&amp;"_"&amp;
TRIM(AC877)&amp;"_"&amp;
"CO2"&amp;TEXT(AN877,"0.00")&amp;"_"&amp;
"pH"&amp;TEXT(AR877,"0.00")&amp;"_"&amp;
"T"&amp;TEXT(BC877,"0.##")</f>
        <v>63_Heliocidaris_tuberculata_LARVA_CO2338.00_pH8.08_T20.</v>
      </c>
      <c r="D877">
        <v>63</v>
      </c>
      <c r="E877"/>
      <c r="F877"/>
      <c r="G877" t="s">
        <v>43</v>
      </c>
      <c r="H877" t="s">
        <v>604</v>
      </c>
      <c r="I877"/>
      <c r="J877">
        <v>2013</v>
      </c>
      <c r="K877"/>
      <c r="L877"/>
      <c r="M877" t="s">
        <v>45</v>
      </c>
      <c r="N877"/>
      <c r="O877"/>
      <c r="P877" t="s">
        <v>1135</v>
      </c>
      <c r="Q877"/>
      <c r="R877" t="s">
        <v>1127</v>
      </c>
      <c r="S877" t="s">
        <v>1128</v>
      </c>
      <c r="T877" t="s">
        <v>46</v>
      </c>
      <c r="U877" t="s">
        <v>605</v>
      </c>
      <c r="V877" t="s">
        <v>606</v>
      </c>
      <c r="W877"/>
      <c r="X877"/>
      <c r="Y877"/>
      <c r="Z877" t="s">
        <v>49</v>
      </c>
      <c r="AA877" t="s">
        <v>49</v>
      </c>
      <c r="AB877" t="s">
        <v>71</v>
      </c>
      <c r="AC877" t="s">
        <v>72</v>
      </c>
      <c r="AD877" t="s">
        <v>52</v>
      </c>
      <c r="AE877" t="s">
        <v>53</v>
      </c>
      <c r="AF877" t="s">
        <v>52</v>
      </c>
      <c r="AG877" t="s">
        <v>52</v>
      </c>
      <c r="AH877" t="s">
        <v>64</v>
      </c>
      <c r="AI877"/>
      <c r="AJ877"/>
      <c r="AK877">
        <v>8</v>
      </c>
      <c r="AL877">
        <v>8</v>
      </c>
      <c r="AM877" t="s">
        <v>342</v>
      </c>
      <c r="AN877">
        <v>338</v>
      </c>
      <c r="AO877">
        <v>1</v>
      </c>
      <c r="AP877" t="s">
        <v>56</v>
      </c>
      <c r="AQ877" t="s">
        <v>118</v>
      </c>
      <c r="AR877">
        <v>8.08</v>
      </c>
      <c r="AS877">
        <v>0.02</v>
      </c>
      <c r="AT877" t="s">
        <v>56</v>
      </c>
      <c r="AU877">
        <v>2092</v>
      </c>
      <c r="AV877">
        <v>7</v>
      </c>
      <c r="AW877" t="s">
        <v>56</v>
      </c>
      <c r="AX877">
        <v>7.44</v>
      </c>
      <c r="AY877">
        <v>0.02</v>
      </c>
      <c r="AZ877" t="s">
        <v>56</v>
      </c>
      <c r="BA877"/>
      <c r="BB877">
        <f>LOG(AU877)</f>
        <v>3.3205616801952367</v>
      </c>
      <c r="BC877">
        <v>20</v>
      </c>
      <c r="BD877" t="s">
        <v>56</v>
      </c>
      <c r="BE877" t="s">
        <v>56</v>
      </c>
      <c r="BF877">
        <v>24</v>
      </c>
      <c r="BG877" t="s">
        <v>56</v>
      </c>
      <c r="BH877" t="s">
        <v>56</v>
      </c>
      <c r="BI877">
        <v>1753</v>
      </c>
      <c r="BJ877">
        <v>4</v>
      </c>
      <c r="BK877" t="s">
        <v>56</v>
      </c>
      <c r="BL877" t="s">
        <v>607</v>
      </c>
      <c r="BM877" t="s">
        <v>86</v>
      </c>
      <c r="BN877" t="s">
        <v>340</v>
      </c>
      <c r="BO877" t="s">
        <v>91</v>
      </c>
      <c r="BP877" t="s">
        <v>9</v>
      </c>
      <c r="BQ877" t="s">
        <v>9</v>
      </c>
      <c r="BR877" t="s">
        <v>63</v>
      </c>
      <c r="BS877"/>
      <c r="BT877">
        <v>13.29</v>
      </c>
      <c r="BU877">
        <v>13.29</v>
      </c>
      <c r="BV877">
        <v>0.77</v>
      </c>
      <c r="BW877">
        <f>BV877*SQRT(AK877)</f>
        <v>2.1778888860545664</v>
      </c>
      <c r="BX877">
        <v>28.9</v>
      </c>
      <c r="BY877">
        <v>28.9</v>
      </c>
      <c r="BZ877">
        <v>2.33</v>
      </c>
      <c r="CA877">
        <f>BZ877*SQRT(AL877)</f>
        <v>6.5902352006586238</v>
      </c>
      <c r="CB877">
        <v>3</v>
      </c>
      <c r="CC877">
        <v>8</v>
      </c>
      <c r="CD877">
        <v>-0.77700000000000002</v>
      </c>
      <c r="CE877">
        <v>9.9000000000000008E-3</v>
      </c>
    </row>
    <row r="878" spans="1:84" s="8" customFormat="1" hidden="1" x14ac:dyDescent="0.2">
      <c r="A878"/>
      <c r="B878" t="str">
        <f>ROW()-1&amp;"_AltersInvert"</f>
        <v>877_AltersInvert</v>
      </c>
      <c r="C878" t="str">
        <f>D878&amp;"_"&amp;
SUBSTITUTE(TRIM(V878)," ","_")&amp;"_"&amp;
TRIM(AC878)&amp;"_"&amp;
"CO2"&amp;TEXT(AN878,"0.00")&amp;"_"&amp;
"pH"&amp;TEXT(AR878,"0.00")&amp;"_"&amp;
"T"&amp;TEXT(BC878,"0.##")</f>
        <v>63_Heliocidaris_tuberculata_LARVA_CO2338.00_pH8.08_T20.</v>
      </c>
      <c r="D878">
        <v>63</v>
      </c>
      <c r="E878"/>
      <c r="F878"/>
      <c r="G878" t="s">
        <v>43</v>
      </c>
      <c r="H878" t="s">
        <v>604</v>
      </c>
      <c r="I878"/>
      <c r="J878">
        <v>2013</v>
      </c>
      <c r="K878"/>
      <c r="L878"/>
      <c r="M878" t="s">
        <v>45</v>
      </c>
      <c r="N878"/>
      <c r="O878"/>
      <c r="P878" t="s">
        <v>1135</v>
      </c>
      <c r="Q878"/>
      <c r="R878" t="s">
        <v>1127</v>
      </c>
      <c r="S878" t="s">
        <v>1128</v>
      </c>
      <c r="T878" t="s">
        <v>46</v>
      </c>
      <c r="U878" t="s">
        <v>605</v>
      </c>
      <c r="V878" t="s">
        <v>606</v>
      </c>
      <c r="W878"/>
      <c r="X878"/>
      <c r="Y878"/>
      <c r="Z878" t="s">
        <v>49</v>
      </c>
      <c r="AA878" t="s">
        <v>49</v>
      </c>
      <c r="AB878" t="s">
        <v>71</v>
      </c>
      <c r="AC878" t="s">
        <v>72</v>
      </c>
      <c r="AD878" t="s">
        <v>52</v>
      </c>
      <c r="AE878" t="s">
        <v>53</v>
      </c>
      <c r="AF878" t="s">
        <v>52</v>
      </c>
      <c r="AG878" t="s">
        <v>52</v>
      </c>
      <c r="AH878" t="s">
        <v>64</v>
      </c>
      <c r="AI878"/>
      <c r="AJ878"/>
      <c r="AK878">
        <v>8</v>
      </c>
      <c r="AL878">
        <v>8</v>
      </c>
      <c r="AM878" t="s">
        <v>342</v>
      </c>
      <c r="AN878">
        <v>338</v>
      </c>
      <c r="AO878">
        <v>1</v>
      </c>
      <c r="AP878" t="s">
        <v>56</v>
      </c>
      <c r="AQ878" t="s">
        <v>118</v>
      </c>
      <c r="AR878">
        <v>8.08</v>
      </c>
      <c r="AS878">
        <v>0.02</v>
      </c>
      <c r="AT878" t="s">
        <v>56</v>
      </c>
      <c r="AU878">
        <v>762</v>
      </c>
      <c r="AV878">
        <v>3</v>
      </c>
      <c r="AW878" t="s">
        <v>56</v>
      </c>
      <c r="AX878">
        <v>7.77</v>
      </c>
      <c r="AY878">
        <v>0.02</v>
      </c>
      <c r="AZ878" t="s">
        <v>56</v>
      </c>
      <c r="BA878"/>
      <c r="BB878">
        <f>LOG(AU878)</f>
        <v>2.8819549713396007</v>
      </c>
      <c r="BC878">
        <v>20</v>
      </c>
      <c r="BD878" t="s">
        <v>56</v>
      </c>
      <c r="BE878" t="s">
        <v>56</v>
      </c>
      <c r="BF878">
        <v>24</v>
      </c>
      <c r="BG878" t="s">
        <v>56</v>
      </c>
      <c r="BH878" t="s">
        <v>56</v>
      </c>
      <c r="BI878">
        <v>424</v>
      </c>
      <c r="BJ878">
        <v>4</v>
      </c>
      <c r="BK878" t="s">
        <v>56</v>
      </c>
      <c r="BL878" t="s">
        <v>607</v>
      </c>
      <c r="BM878" t="s">
        <v>86</v>
      </c>
      <c r="BN878" t="s">
        <v>340</v>
      </c>
      <c r="BO878" t="s">
        <v>91</v>
      </c>
      <c r="BP878" t="s">
        <v>9</v>
      </c>
      <c r="BQ878" t="s">
        <v>9</v>
      </c>
      <c r="BR878" t="s">
        <v>63</v>
      </c>
      <c r="BS878"/>
      <c r="BT878">
        <v>13.29</v>
      </c>
      <c r="BU878">
        <v>13.29</v>
      </c>
      <c r="BV878">
        <v>0.77</v>
      </c>
      <c r="BW878">
        <f>BV878*SQRT(AK878)</f>
        <v>2.1778888860545664</v>
      </c>
      <c r="BX878">
        <v>26.13</v>
      </c>
      <c r="BY878">
        <v>26.13</v>
      </c>
      <c r="BZ878">
        <v>2.33</v>
      </c>
      <c r="CA878">
        <f>BZ878*SQRT(AL878)</f>
        <v>6.5902352006586238</v>
      </c>
      <c r="CB878">
        <v>3</v>
      </c>
      <c r="CC878">
        <v>8</v>
      </c>
      <c r="CD878">
        <v>-0.67600000000000005</v>
      </c>
      <c r="CE878">
        <v>1.1299999999999999E-2</v>
      </c>
    </row>
    <row r="879" spans="1:84" s="8" customFormat="1" hidden="1" x14ac:dyDescent="0.2">
      <c r="B879" t="str">
        <f>ROW()-1&amp;"_AltersInvert"</f>
        <v>878_AltersInvert</v>
      </c>
      <c r="C879" t="str">
        <f>D879&amp;"_"&amp;
SUBSTITUTE(TRIM(V879)," ","_")&amp;"_"&amp;
TRIM(AC879)&amp;"_"&amp;
"CO2"&amp;TEXT(AN879,"0.00")&amp;"_"&amp;
"pH"&amp;TEXT(AR879,"0.00")&amp;"_"&amp;
"T"&amp;TEXT(BC879,"0.##")</f>
        <v>200_Laternula_elliptica_EMBRYO_CO2350.00_pH7.99_T-1.6</v>
      </c>
      <c r="D879" s="8">
        <v>200</v>
      </c>
      <c r="G879" s="8" t="s">
        <v>43</v>
      </c>
      <c r="H879" s="8" t="s">
        <v>662</v>
      </c>
      <c r="J879" s="8">
        <v>2015</v>
      </c>
      <c r="M879" s="8" t="s">
        <v>257</v>
      </c>
      <c r="P879" t="s">
        <v>1135</v>
      </c>
      <c r="R879" s="8" t="s">
        <v>1127</v>
      </c>
      <c r="S879" t="s">
        <v>1128</v>
      </c>
      <c r="T879" s="8" t="s">
        <v>68</v>
      </c>
      <c r="U879" s="8" t="s">
        <v>663</v>
      </c>
      <c r="V879" s="8" t="s">
        <v>664</v>
      </c>
      <c r="W879" s="8" t="str">
        <f>IF(ISNUMBER(MATCH(#REF!,{"Doryteuthis pealeii","Loligo vulgaris","Leptuca thayeri","Stylocheilus striatus","Ophryotrocha labronica"},0)),"N","Y")</f>
        <v>Y</v>
      </c>
      <c r="Z879" s="8" t="s">
        <v>475</v>
      </c>
      <c r="AA879" s="8" t="s">
        <v>475</v>
      </c>
      <c r="AB879" s="8" t="s">
        <v>71</v>
      </c>
      <c r="AC879" s="8" t="s">
        <v>195</v>
      </c>
      <c r="AD879" s="8" t="s">
        <v>52</v>
      </c>
      <c r="AE879" s="8" t="s">
        <v>53</v>
      </c>
      <c r="AF879" s="8" t="s">
        <v>52</v>
      </c>
      <c r="AG879" s="8" t="s">
        <v>54</v>
      </c>
      <c r="AH879" s="8" t="s">
        <v>55</v>
      </c>
      <c r="AK879" s="8">
        <v>6</v>
      </c>
      <c r="AL879" s="8">
        <v>6</v>
      </c>
      <c r="AN879" s="8">
        <v>350</v>
      </c>
      <c r="AO879" s="8">
        <v>1</v>
      </c>
      <c r="AP879" s="8" t="s">
        <v>56</v>
      </c>
      <c r="AQ879" s="8" t="s">
        <v>109</v>
      </c>
      <c r="AR879" s="8">
        <v>7.99</v>
      </c>
      <c r="AS879" s="8" t="s">
        <v>56</v>
      </c>
      <c r="AT879" s="8" t="s">
        <v>56</v>
      </c>
      <c r="AU879" s="8">
        <v>823</v>
      </c>
      <c r="AV879">
        <v>2</v>
      </c>
      <c r="AW879" t="s">
        <v>56</v>
      </c>
      <c r="AX879">
        <v>7.63</v>
      </c>
      <c r="AY879" t="s">
        <v>56</v>
      </c>
      <c r="AZ879" t="s">
        <v>56</v>
      </c>
      <c r="BB879" s="8">
        <f>LOG(AU879)</f>
        <v>2.9153998352122699</v>
      </c>
      <c r="BC879" s="8">
        <v>-1.6</v>
      </c>
      <c r="BD879" s="8">
        <v>0</v>
      </c>
      <c r="BE879" s="8" t="s">
        <v>56</v>
      </c>
      <c r="BF879" s="8">
        <v>-1.6</v>
      </c>
      <c r="BG879" s="8">
        <v>0</v>
      </c>
      <c r="BH879" s="8" t="s">
        <v>56</v>
      </c>
      <c r="BI879" s="8">
        <v>473</v>
      </c>
      <c r="BJ879" s="8">
        <v>0</v>
      </c>
      <c r="BK879" s="8" t="s">
        <v>948</v>
      </c>
      <c r="BL879" s="8" t="s">
        <v>933</v>
      </c>
      <c r="BM879" s="8" t="s">
        <v>473</v>
      </c>
      <c r="BN879" s="8" t="s">
        <v>81</v>
      </c>
      <c r="BO879" s="8" t="s">
        <v>82</v>
      </c>
      <c r="BP879" s="8" t="s">
        <v>190</v>
      </c>
      <c r="BQ879" s="8" t="s">
        <v>190</v>
      </c>
      <c r="BR879" s="8" t="s">
        <v>84</v>
      </c>
      <c r="BT879" s="8">
        <v>84.13</v>
      </c>
      <c r="BU879" s="8">
        <v>84.13</v>
      </c>
      <c r="BV879" s="8">
        <v>0.94</v>
      </c>
      <c r="BW879" s="8">
        <f>BV879*SQRT(AK879)</f>
        <v>2.3025203582161873</v>
      </c>
      <c r="BX879" s="8">
        <v>84.84</v>
      </c>
      <c r="BY879" s="8">
        <v>84.84</v>
      </c>
      <c r="BZ879" s="8">
        <v>1.41</v>
      </c>
      <c r="CA879" s="8">
        <f>BZ879*SQRT(AL879)</f>
        <v>3.4537805373242807</v>
      </c>
      <c r="CB879" s="8">
        <v>2</v>
      </c>
      <c r="CC879" s="8">
        <v>6</v>
      </c>
      <c r="CD879" s="8">
        <v>8.0000000000000002E-3</v>
      </c>
      <c r="CE879" s="8">
        <v>4.0000000000000002E-4</v>
      </c>
      <c r="CF879" s="8" t="s">
        <v>1134</v>
      </c>
    </row>
    <row r="880" spans="1:84" s="8" customFormat="1" hidden="1" x14ac:dyDescent="0.2">
      <c r="B880" t="str">
        <f>ROW()-1&amp;"_AltersInvert"</f>
        <v>879_AltersInvert</v>
      </c>
      <c r="C880" t="str">
        <f>D880&amp;"_"&amp;
SUBSTITUTE(TRIM(V880)," ","_")&amp;"_"&amp;
TRIM(AC880)&amp;"_"&amp;
"CO2"&amp;TEXT(AN880,"0.00")&amp;"_"&amp;
"pH"&amp;TEXT(AR880,"0.00")&amp;"_"&amp;
"T"&amp;TEXT(BC880,"0.##")</f>
        <v>200_Laternula_elliptica_EMBRYO_CO2350.00_pH7.99_T-1.6</v>
      </c>
      <c r="D880" s="8">
        <v>200</v>
      </c>
      <c r="G880" s="8" t="s">
        <v>43</v>
      </c>
      <c r="H880" s="8" t="s">
        <v>662</v>
      </c>
      <c r="J880" s="8">
        <v>2015</v>
      </c>
      <c r="M880" s="8" t="s">
        <v>257</v>
      </c>
      <c r="P880" t="s">
        <v>1135</v>
      </c>
      <c r="R880" s="8" t="s">
        <v>1127</v>
      </c>
      <c r="S880" t="s">
        <v>1128</v>
      </c>
      <c r="T880" s="8" t="s">
        <v>68</v>
      </c>
      <c r="U880" s="8" t="s">
        <v>663</v>
      </c>
      <c r="V880" s="8" t="s">
        <v>664</v>
      </c>
      <c r="W880" s="8" t="str">
        <f>IF(ISNUMBER(MATCH(#REF!,{"Doryteuthis pealeii","Loligo vulgaris","Leptuca thayeri","Stylocheilus striatus","Ophryotrocha labronica"},0)),"N","Y")</f>
        <v>Y</v>
      </c>
      <c r="Z880" s="8" t="s">
        <v>475</v>
      </c>
      <c r="AA880" s="8" t="s">
        <v>475</v>
      </c>
      <c r="AB880" s="8" t="s">
        <v>71</v>
      </c>
      <c r="AC880" s="8" t="s">
        <v>195</v>
      </c>
      <c r="AD880" s="8" t="s">
        <v>52</v>
      </c>
      <c r="AE880" s="8" t="s">
        <v>53</v>
      </c>
      <c r="AF880" s="8" t="s">
        <v>52</v>
      </c>
      <c r="AG880" s="8" t="s">
        <v>54</v>
      </c>
      <c r="AH880" s="8" t="s">
        <v>55</v>
      </c>
      <c r="AK880" s="8">
        <v>6</v>
      </c>
      <c r="AL880" s="8">
        <v>6</v>
      </c>
      <c r="AN880" s="8">
        <v>350</v>
      </c>
      <c r="AO880" s="8">
        <v>1</v>
      </c>
      <c r="AP880" s="8" t="s">
        <v>56</v>
      </c>
      <c r="AQ880" s="8" t="s">
        <v>109</v>
      </c>
      <c r="AR880" s="8">
        <v>7.99</v>
      </c>
      <c r="AS880" s="8" t="s">
        <v>56</v>
      </c>
      <c r="AT880" s="8" t="s">
        <v>56</v>
      </c>
      <c r="AU880" s="8">
        <v>554</v>
      </c>
      <c r="AV880">
        <v>2</v>
      </c>
      <c r="AW880" t="s">
        <v>56</v>
      </c>
      <c r="AX880">
        <v>7.88</v>
      </c>
      <c r="AY880" t="s">
        <v>56</v>
      </c>
      <c r="AZ880" t="s">
        <v>56</v>
      </c>
      <c r="BB880" s="8">
        <f>LOG(AU880)</f>
        <v>2.7435097647284299</v>
      </c>
      <c r="BC880" s="8">
        <v>-1.6</v>
      </c>
      <c r="BD880" s="8">
        <v>0</v>
      </c>
      <c r="BE880" s="8" t="s">
        <v>56</v>
      </c>
      <c r="BF880" s="8">
        <v>-1.6</v>
      </c>
      <c r="BG880" s="8">
        <v>0</v>
      </c>
      <c r="BH880" s="8" t="s">
        <v>56</v>
      </c>
      <c r="BI880" s="8">
        <v>204</v>
      </c>
      <c r="BJ880" s="8">
        <v>0</v>
      </c>
      <c r="BK880" s="8" t="s">
        <v>948</v>
      </c>
      <c r="BL880" s="8" t="s">
        <v>933</v>
      </c>
      <c r="BM880" s="8" t="s">
        <v>473</v>
      </c>
      <c r="BN880" s="8" t="s">
        <v>81</v>
      </c>
      <c r="BO880" s="8" t="s">
        <v>82</v>
      </c>
      <c r="BP880" s="8" t="s">
        <v>190</v>
      </c>
      <c r="BQ880" s="8" t="s">
        <v>190</v>
      </c>
      <c r="BR880" s="8" t="s">
        <v>84</v>
      </c>
      <c r="BT880" s="8">
        <v>84.13</v>
      </c>
      <c r="BU880" s="8">
        <v>84.13</v>
      </c>
      <c r="BV880" s="8">
        <v>0.94</v>
      </c>
      <c r="BW880" s="8">
        <f>BV880*SQRT(AK880)</f>
        <v>2.3025203582161873</v>
      </c>
      <c r="BX880" s="8">
        <v>85.55</v>
      </c>
      <c r="BY880" s="8">
        <v>85.55</v>
      </c>
      <c r="BZ880" s="8">
        <v>2.12</v>
      </c>
      <c r="CA880" s="8">
        <f>BZ880*SQRT(AL880)</f>
        <v>5.192918254700337</v>
      </c>
      <c r="CB880" s="8">
        <v>2</v>
      </c>
      <c r="CC880" s="8">
        <v>6</v>
      </c>
      <c r="CD880" s="8">
        <v>1.7000000000000001E-2</v>
      </c>
      <c r="CE880" s="8">
        <v>6.9999999999999999E-4</v>
      </c>
      <c r="CF880" s="8" t="s">
        <v>1134</v>
      </c>
    </row>
    <row r="881" spans="1:84" s="8" customFormat="1" hidden="1" x14ac:dyDescent="0.2">
      <c r="B881" t="str">
        <f>ROW()-1&amp;"_AltersInvert"</f>
        <v>880_AltersInvert</v>
      </c>
      <c r="C881" t="str">
        <f>D881&amp;"_"&amp;
SUBSTITUTE(TRIM(V881)," ","_")&amp;"_"&amp;
TRIM(AC881)&amp;"_"&amp;
"CO2"&amp;TEXT(AN881,"0.00")&amp;"_"&amp;
"pH"&amp;TEXT(AR881,"0.00")&amp;"_"&amp;
"T"&amp;TEXT(BC881,"0.##")</f>
        <v>200_Laternula_elliptica_EMBRYO_CO2350.00_pH7.99_T-1.6</v>
      </c>
      <c r="D881" s="8">
        <v>200</v>
      </c>
      <c r="G881" s="8" t="s">
        <v>43</v>
      </c>
      <c r="H881" s="8" t="s">
        <v>662</v>
      </c>
      <c r="J881" s="8">
        <v>2015</v>
      </c>
      <c r="M881" s="8" t="s">
        <v>257</v>
      </c>
      <c r="P881" t="s">
        <v>1135</v>
      </c>
      <c r="R881" s="8" t="s">
        <v>1127</v>
      </c>
      <c r="S881" t="s">
        <v>1128</v>
      </c>
      <c r="T881" s="8" t="s">
        <v>68</v>
      </c>
      <c r="U881" s="8" t="s">
        <v>663</v>
      </c>
      <c r="V881" s="8" t="s">
        <v>664</v>
      </c>
      <c r="W881" s="8" t="str">
        <f>IF(ISNUMBER(MATCH(#REF!,{"Doryteuthis pealeii","Loligo vulgaris","Leptuca thayeri","Stylocheilus striatus","Ophryotrocha labronica"},0)),"N","Y")</f>
        <v>Y</v>
      </c>
      <c r="Z881" s="8" t="s">
        <v>475</v>
      </c>
      <c r="AA881" s="8" t="s">
        <v>475</v>
      </c>
      <c r="AB881" s="8" t="s">
        <v>71</v>
      </c>
      <c r="AC881" s="8" t="s">
        <v>195</v>
      </c>
      <c r="AD881" s="8" t="s">
        <v>52</v>
      </c>
      <c r="AE881" s="8" t="s">
        <v>53</v>
      </c>
      <c r="AF881" s="8" t="s">
        <v>54</v>
      </c>
      <c r="AG881" s="8" t="s">
        <v>52</v>
      </c>
      <c r="AH881" s="8" t="s">
        <v>65</v>
      </c>
      <c r="AK881" s="8">
        <v>6</v>
      </c>
      <c r="AL881" s="8">
        <v>6</v>
      </c>
      <c r="AN881" s="8">
        <v>350</v>
      </c>
      <c r="AO881" s="8">
        <v>1</v>
      </c>
      <c r="AP881" s="8" t="s">
        <v>56</v>
      </c>
      <c r="AQ881" s="8" t="s">
        <v>109</v>
      </c>
      <c r="AR881" s="8">
        <v>7.99</v>
      </c>
      <c r="AS881" s="8" t="s">
        <v>56</v>
      </c>
      <c r="AT881" s="8" t="s">
        <v>56</v>
      </c>
      <c r="AU881" s="8">
        <v>393</v>
      </c>
      <c r="AV881">
        <v>1</v>
      </c>
      <c r="AW881" t="s">
        <v>56</v>
      </c>
      <c r="AX881">
        <v>7.97</v>
      </c>
      <c r="AY881" t="s">
        <v>56</v>
      </c>
      <c r="AZ881" t="s">
        <v>56</v>
      </c>
      <c r="BB881" s="8">
        <f>LOG(AU881)</f>
        <v>2.5943925503754266</v>
      </c>
      <c r="BC881" s="8">
        <v>-1.6</v>
      </c>
      <c r="BD881" s="8">
        <v>0</v>
      </c>
      <c r="BE881" s="8" t="s">
        <v>56</v>
      </c>
      <c r="BF881" s="8">
        <v>0.4</v>
      </c>
      <c r="BG881" s="8">
        <v>0</v>
      </c>
      <c r="BH881" s="8" t="s">
        <v>56</v>
      </c>
      <c r="BI881" s="8">
        <v>43</v>
      </c>
      <c r="BJ881" s="8">
        <v>2</v>
      </c>
      <c r="BK881" s="8" t="s">
        <v>948</v>
      </c>
      <c r="BL881" s="8" t="s">
        <v>933</v>
      </c>
      <c r="BM881" s="8" t="s">
        <v>473</v>
      </c>
      <c r="BN881" s="8" t="s">
        <v>81</v>
      </c>
      <c r="BO881" s="8" t="s">
        <v>82</v>
      </c>
      <c r="BP881" s="8" t="s">
        <v>190</v>
      </c>
      <c r="BQ881" s="8" t="s">
        <v>190</v>
      </c>
      <c r="BR881" s="8" t="s">
        <v>84</v>
      </c>
      <c r="BT881" s="8">
        <v>84.13</v>
      </c>
      <c r="BU881" s="8">
        <v>84.13</v>
      </c>
      <c r="BV881" s="8">
        <v>0.94</v>
      </c>
      <c r="BW881" s="8">
        <f>BV881*SQRT(AK881)</f>
        <v>2.3025203582161873</v>
      </c>
      <c r="BX881" s="8">
        <v>81.53</v>
      </c>
      <c r="BY881" s="8">
        <v>81.53</v>
      </c>
      <c r="BZ881" s="8">
        <v>2.84</v>
      </c>
      <c r="CA881" s="8">
        <f>BZ881*SQRT(AL881)</f>
        <v>6.9565508695042251</v>
      </c>
      <c r="CB881" s="8">
        <v>2</v>
      </c>
      <c r="CC881" s="8">
        <v>6</v>
      </c>
      <c r="CD881" s="8">
        <v>-3.1E-2</v>
      </c>
      <c r="CE881" s="8">
        <v>1.2999999999999999E-3</v>
      </c>
      <c r="CF881" s="8" t="s">
        <v>1134</v>
      </c>
    </row>
    <row r="882" spans="1:84" s="8" customFormat="1" hidden="1" x14ac:dyDescent="0.2">
      <c r="B882" t="str">
        <f>ROW()-1&amp;"_AltersInvert"</f>
        <v>881_AltersInvert</v>
      </c>
      <c r="C882" t="str">
        <f>D882&amp;"_"&amp;
SUBSTITUTE(TRIM(V882)," ","_")&amp;"_"&amp;
TRIM(AC882)&amp;"_"&amp;
"CO2"&amp;TEXT(AN882,"0.00")&amp;"_"&amp;
"pH"&amp;TEXT(AR882,"0.00")&amp;"_"&amp;
"T"&amp;TEXT(BC882,"0.##")</f>
        <v>200_Laternula_elliptica_EMBRYO_CO2350.00_pH7.99_T-1.6</v>
      </c>
      <c r="D882" s="8">
        <v>200</v>
      </c>
      <c r="G882" s="8" t="s">
        <v>43</v>
      </c>
      <c r="H882" s="8" t="s">
        <v>662</v>
      </c>
      <c r="J882" s="8">
        <v>2015</v>
      </c>
      <c r="M882" s="8" t="s">
        <v>257</v>
      </c>
      <c r="P882" t="s">
        <v>1135</v>
      </c>
      <c r="R882" s="8" t="s">
        <v>1127</v>
      </c>
      <c r="S882" t="s">
        <v>1128</v>
      </c>
      <c r="T882" s="8" t="s">
        <v>68</v>
      </c>
      <c r="U882" s="8" t="s">
        <v>663</v>
      </c>
      <c r="V882" s="8" t="s">
        <v>664</v>
      </c>
      <c r="W882" s="8" t="str">
        <f>IF(ISNUMBER(MATCH(#REF!,{"Doryteuthis pealeii","Loligo vulgaris","Leptuca thayeri","Stylocheilus striatus","Ophryotrocha labronica"},0)),"N","Y")</f>
        <v>Y</v>
      </c>
      <c r="Z882" s="8" t="s">
        <v>475</v>
      </c>
      <c r="AA882" s="8" t="s">
        <v>475</v>
      </c>
      <c r="AB882" s="8" t="s">
        <v>71</v>
      </c>
      <c r="AC882" s="8" t="s">
        <v>195</v>
      </c>
      <c r="AD882" s="8" t="s">
        <v>52</v>
      </c>
      <c r="AE882" s="8" t="s">
        <v>53</v>
      </c>
      <c r="AF882" s="8" t="s">
        <v>54</v>
      </c>
      <c r="AG882" s="8" t="s">
        <v>52</v>
      </c>
      <c r="AH882" s="8" t="s">
        <v>65</v>
      </c>
      <c r="AK882" s="8">
        <v>6</v>
      </c>
      <c r="AL882" s="8">
        <v>6</v>
      </c>
      <c r="AN882" s="8">
        <v>350</v>
      </c>
      <c r="AO882" s="8">
        <v>1</v>
      </c>
      <c r="AP882" s="8" t="s">
        <v>56</v>
      </c>
      <c r="AQ882" s="8" t="s">
        <v>109</v>
      </c>
      <c r="AR882" s="8">
        <v>7.99</v>
      </c>
      <c r="AS882" s="8" t="s">
        <v>56</v>
      </c>
      <c r="AT882" s="8" t="s">
        <v>56</v>
      </c>
      <c r="AU882" s="8">
        <v>367</v>
      </c>
      <c r="AV882">
        <v>1</v>
      </c>
      <c r="AW882" t="s">
        <v>56</v>
      </c>
      <c r="AX882">
        <v>7.97</v>
      </c>
      <c r="AY882" t="s">
        <v>56</v>
      </c>
      <c r="AZ882" t="s">
        <v>56</v>
      </c>
      <c r="BB882" s="8">
        <f>LOG(AU882)</f>
        <v>2.5646660642520893</v>
      </c>
      <c r="BC882" s="8">
        <v>-1.6</v>
      </c>
      <c r="BD882" s="8">
        <v>0</v>
      </c>
      <c r="BE882" s="8" t="s">
        <v>56</v>
      </c>
      <c r="BF882" s="8">
        <v>-0.5</v>
      </c>
      <c r="BG882" s="8">
        <v>0</v>
      </c>
      <c r="BH882" s="8" t="s">
        <v>56</v>
      </c>
      <c r="BI882" s="8">
        <v>17</v>
      </c>
      <c r="BJ882" s="8">
        <v>1.1000000000000001</v>
      </c>
      <c r="BK882" s="8" t="s">
        <v>948</v>
      </c>
      <c r="BL882" s="8" t="s">
        <v>933</v>
      </c>
      <c r="BM882" s="8" t="s">
        <v>473</v>
      </c>
      <c r="BN882" s="8" t="s">
        <v>81</v>
      </c>
      <c r="BO882" s="8" t="s">
        <v>82</v>
      </c>
      <c r="BP882" s="8" t="s">
        <v>190</v>
      </c>
      <c r="BQ882" s="8" t="s">
        <v>190</v>
      </c>
      <c r="BR882" s="8" t="s">
        <v>84</v>
      </c>
      <c r="BT882" s="8">
        <v>84.13</v>
      </c>
      <c r="BU882" s="8">
        <v>84.13</v>
      </c>
      <c r="BV882" s="8">
        <v>0.94</v>
      </c>
      <c r="BW882" s="8">
        <f>BV882*SQRT(AK882)</f>
        <v>2.3025203582161873</v>
      </c>
      <c r="BX882" s="8">
        <v>81.77</v>
      </c>
      <c r="BY882" s="8">
        <v>81.77</v>
      </c>
      <c r="BZ882" s="8">
        <v>1.65</v>
      </c>
      <c r="CA882" s="8">
        <f>BZ882*SQRT(AL882)</f>
        <v>4.0416580755922435</v>
      </c>
      <c r="CB882" s="8">
        <v>2</v>
      </c>
      <c r="CC882" s="8">
        <v>6</v>
      </c>
      <c r="CD882" s="8">
        <v>-2.8000000000000001E-2</v>
      </c>
      <c r="CE882" s="8">
        <v>5.0000000000000001E-4</v>
      </c>
      <c r="CF882" s="8" t="s">
        <v>1134</v>
      </c>
    </row>
    <row r="883" spans="1:84" s="8" customFormat="1" hidden="1" x14ac:dyDescent="0.2">
      <c r="B883" t="str">
        <f>ROW()-1&amp;"_AltersInvert"</f>
        <v>882_AltersInvert</v>
      </c>
      <c r="C883" t="str">
        <f>D883&amp;"_"&amp;
SUBSTITUTE(TRIM(V883)," ","_")&amp;"_"&amp;
TRIM(AC883)&amp;"_"&amp;
"CO2"&amp;TEXT(AN883,"0.00")&amp;"_"&amp;
"pH"&amp;TEXT(AR883,"0.00")&amp;"_"&amp;
"T"&amp;TEXT(BC883,"0.##")</f>
        <v>200_Laternula_elliptica_EMBRYO_CO2350.00_pH7.99_T-1.6</v>
      </c>
      <c r="D883" s="8">
        <v>200</v>
      </c>
      <c r="G883" s="8" t="s">
        <v>43</v>
      </c>
      <c r="H883" s="8" t="s">
        <v>662</v>
      </c>
      <c r="J883" s="8">
        <v>2015</v>
      </c>
      <c r="M883" s="8" t="s">
        <v>257</v>
      </c>
      <c r="P883" t="s">
        <v>1135</v>
      </c>
      <c r="R883" s="8" t="s">
        <v>1127</v>
      </c>
      <c r="S883" t="s">
        <v>1128</v>
      </c>
      <c r="T883" s="8" t="s">
        <v>68</v>
      </c>
      <c r="U883" s="8" t="s">
        <v>663</v>
      </c>
      <c r="V883" s="8" t="s">
        <v>664</v>
      </c>
      <c r="W883" s="8" t="str">
        <f>IF(ISNUMBER(MATCH(#REF!,{"Doryteuthis pealeii","Loligo vulgaris","Leptuca thayeri","Stylocheilus striatus","Ophryotrocha labronica"},0)),"N","Y")</f>
        <v>Y</v>
      </c>
      <c r="Z883" s="8" t="s">
        <v>475</v>
      </c>
      <c r="AA883" s="8" t="s">
        <v>475</v>
      </c>
      <c r="AB883" s="8" t="s">
        <v>71</v>
      </c>
      <c r="AC883" s="8" t="s">
        <v>195</v>
      </c>
      <c r="AD883" s="8" t="s">
        <v>52</v>
      </c>
      <c r="AE883" s="8" t="s">
        <v>53</v>
      </c>
      <c r="AF883" s="8" t="s">
        <v>52</v>
      </c>
      <c r="AG883" s="8" t="s">
        <v>52</v>
      </c>
      <c r="AH883" s="8" t="s">
        <v>64</v>
      </c>
      <c r="AK883" s="8">
        <v>6</v>
      </c>
      <c r="AL883" s="8">
        <v>6</v>
      </c>
      <c r="AN883" s="8">
        <v>350</v>
      </c>
      <c r="AO883" s="8">
        <v>1</v>
      </c>
      <c r="AP883" s="8" t="s">
        <v>56</v>
      </c>
      <c r="AQ883" s="8" t="s">
        <v>109</v>
      </c>
      <c r="AR883" s="8">
        <v>7.99</v>
      </c>
      <c r="AS883" s="8" t="s">
        <v>56</v>
      </c>
      <c r="AT883" s="8" t="s">
        <v>56</v>
      </c>
      <c r="AU883" s="8">
        <v>569</v>
      </c>
      <c r="AV883">
        <v>2</v>
      </c>
      <c r="AW883" t="s">
        <v>56</v>
      </c>
      <c r="AX883">
        <v>7.8</v>
      </c>
      <c r="AY883" t="s">
        <v>56</v>
      </c>
      <c r="AZ883" t="s">
        <v>56</v>
      </c>
      <c r="BB883" s="8">
        <f>LOG(AU883)</f>
        <v>2.7551122663950713</v>
      </c>
      <c r="BC883" s="8">
        <v>-1.6</v>
      </c>
      <c r="BD883" s="8">
        <v>0</v>
      </c>
      <c r="BE883" s="8" t="s">
        <v>56</v>
      </c>
      <c r="BF883" s="8">
        <v>-0.5</v>
      </c>
      <c r="BG883" s="8">
        <v>0</v>
      </c>
      <c r="BH883" s="8" t="s">
        <v>56</v>
      </c>
      <c r="BI883" s="8">
        <v>219</v>
      </c>
      <c r="BJ883" s="8">
        <v>1.1000000000000001</v>
      </c>
      <c r="BK883" s="8" t="s">
        <v>948</v>
      </c>
      <c r="BL883" s="8" t="s">
        <v>933</v>
      </c>
      <c r="BM883" s="8" t="s">
        <v>473</v>
      </c>
      <c r="BN883" s="8" t="s">
        <v>81</v>
      </c>
      <c r="BO883" s="8" t="s">
        <v>82</v>
      </c>
      <c r="BP883" s="8" t="s">
        <v>190</v>
      </c>
      <c r="BQ883" s="8" t="s">
        <v>190</v>
      </c>
      <c r="BR883" s="8" t="s">
        <v>84</v>
      </c>
      <c r="BT883" s="8">
        <v>84.13</v>
      </c>
      <c r="BU883" s="8">
        <v>84.13</v>
      </c>
      <c r="BV883" s="8">
        <v>0.94</v>
      </c>
      <c r="BW883" s="8">
        <f>BV883*SQRT(AK883)</f>
        <v>2.3025203582161873</v>
      </c>
      <c r="BX883" s="8">
        <v>80.59</v>
      </c>
      <c r="BY883" s="8">
        <v>80.59</v>
      </c>
      <c r="BZ883" s="8">
        <v>1.65</v>
      </c>
      <c r="CA883" s="8">
        <f>BZ883*SQRT(AL883)</f>
        <v>4.0416580755922435</v>
      </c>
      <c r="CB883" s="8">
        <v>2</v>
      </c>
      <c r="CC883" s="8">
        <v>6</v>
      </c>
      <c r="CD883" s="8">
        <v>-4.2999999999999997E-2</v>
      </c>
      <c r="CE883" s="8">
        <v>5.0000000000000001E-4</v>
      </c>
      <c r="CF883" s="8" t="s">
        <v>1134</v>
      </c>
    </row>
    <row r="884" spans="1:84" s="8" customFormat="1" hidden="1" x14ac:dyDescent="0.2">
      <c r="B884" t="str">
        <f>ROW()-1&amp;"_AltersInvert"</f>
        <v>883_AltersInvert</v>
      </c>
      <c r="C884" t="str">
        <f>D884&amp;"_"&amp;
SUBSTITUTE(TRIM(V884)," ","_")&amp;"_"&amp;
TRIM(AC884)&amp;"_"&amp;
"CO2"&amp;TEXT(AN884,"0.00")&amp;"_"&amp;
"pH"&amp;TEXT(AR884,"0.00")&amp;"_"&amp;
"T"&amp;TEXT(BC884,"0.##")</f>
        <v>200_Laternula_elliptica_EMBRYO_CO2350.00_pH7.99_T-1.6</v>
      </c>
      <c r="D884" s="8">
        <v>200</v>
      </c>
      <c r="G884" s="8" t="s">
        <v>43</v>
      </c>
      <c r="H884" s="8" t="s">
        <v>662</v>
      </c>
      <c r="J884" s="8">
        <v>2015</v>
      </c>
      <c r="M884" s="8" t="s">
        <v>257</v>
      </c>
      <c r="P884" t="s">
        <v>1135</v>
      </c>
      <c r="R884" s="8" t="s">
        <v>1127</v>
      </c>
      <c r="S884" t="s">
        <v>1128</v>
      </c>
      <c r="T884" s="8" t="s">
        <v>68</v>
      </c>
      <c r="U884" s="8" t="s">
        <v>663</v>
      </c>
      <c r="V884" s="8" t="s">
        <v>664</v>
      </c>
      <c r="W884" s="8" t="str">
        <f>IF(ISNUMBER(MATCH(#REF!,{"Doryteuthis pealeii","Loligo vulgaris","Leptuca thayeri","Stylocheilus striatus","Ophryotrocha labronica"},0)),"N","Y")</f>
        <v>Y</v>
      </c>
      <c r="Z884" s="8" t="s">
        <v>475</v>
      </c>
      <c r="AA884" s="8" t="s">
        <v>475</v>
      </c>
      <c r="AB884" s="8" t="s">
        <v>71</v>
      </c>
      <c r="AC884" s="8" t="s">
        <v>195</v>
      </c>
      <c r="AD884" s="8" t="s">
        <v>52</v>
      </c>
      <c r="AE884" s="8" t="s">
        <v>53</v>
      </c>
      <c r="AF884" s="8" t="s">
        <v>52</v>
      </c>
      <c r="AG884" s="8" t="s">
        <v>52</v>
      </c>
      <c r="AH884" s="8" t="s">
        <v>64</v>
      </c>
      <c r="AK884" s="8">
        <v>6</v>
      </c>
      <c r="AL884" s="8">
        <v>6</v>
      </c>
      <c r="AN884" s="8">
        <v>350</v>
      </c>
      <c r="AO884" s="8">
        <v>1</v>
      </c>
      <c r="AP884" s="8" t="s">
        <v>56</v>
      </c>
      <c r="AQ884" s="8" t="s">
        <v>109</v>
      </c>
      <c r="AR884" s="8">
        <v>7.99</v>
      </c>
      <c r="AS884" s="8" t="s">
        <v>56</v>
      </c>
      <c r="AT884" s="8" t="s">
        <v>56</v>
      </c>
      <c r="AU884" s="8">
        <v>893</v>
      </c>
      <c r="AV884">
        <v>4</v>
      </c>
      <c r="AW884" t="s">
        <v>56</v>
      </c>
      <c r="AX884">
        <v>7.63</v>
      </c>
      <c r="AY884" t="s">
        <v>56</v>
      </c>
      <c r="AZ884" t="s">
        <v>56</v>
      </c>
      <c r="BB884" s="8">
        <f>LOG(AU884)</f>
        <v>2.9508514588885464</v>
      </c>
      <c r="BC884" s="8">
        <v>-1.6</v>
      </c>
      <c r="BD884" s="8">
        <v>0</v>
      </c>
      <c r="BE884" s="8" t="s">
        <v>56</v>
      </c>
      <c r="BF884" s="8">
        <v>0.4</v>
      </c>
      <c r="BG884" s="8">
        <v>0</v>
      </c>
      <c r="BH884" s="8" t="s">
        <v>56</v>
      </c>
      <c r="BI884" s="8">
        <v>543</v>
      </c>
      <c r="BJ884" s="8">
        <v>2</v>
      </c>
      <c r="BK884" s="8" t="s">
        <v>948</v>
      </c>
      <c r="BL884" s="8" t="s">
        <v>933</v>
      </c>
      <c r="BM884" s="8" t="s">
        <v>473</v>
      </c>
      <c r="BN884" s="8" t="s">
        <v>81</v>
      </c>
      <c r="BO884" s="8" t="s">
        <v>82</v>
      </c>
      <c r="BP884" s="8" t="s">
        <v>190</v>
      </c>
      <c r="BQ884" s="8" t="s">
        <v>190</v>
      </c>
      <c r="BR884" s="8" t="s">
        <v>84</v>
      </c>
      <c r="BT884" s="8">
        <v>84.13</v>
      </c>
      <c r="BU884" s="8">
        <v>84.13</v>
      </c>
      <c r="BV884" s="8">
        <v>0.94</v>
      </c>
      <c r="BW884" s="8">
        <f>BV884*SQRT(AK884)</f>
        <v>2.3025203582161873</v>
      </c>
      <c r="BX884" s="8">
        <v>81.77</v>
      </c>
      <c r="BY884" s="8">
        <v>81.77</v>
      </c>
      <c r="BZ884" s="8">
        <v>2.36</v>
      </c>
      <c r="CA884" s="8">
        <f>BZ884*SQRT(AL884)</f>
        <v>5.7807957929682994</v>
      </c>
      <c r="CB884" s="8">
        <v>2</v>
      </c>
      <c r="CC884" s="8">
        <v>6</v>
      </c>
      <c r="CD884" s="8">
        <v>-2.8000000000000001E-2</v>
      </c>
      <c r="CE884" s="8">
        <v>1E-3</v>
      </c>
      <c r="CF884" s="8" t="s">
        <v>1134</v>
      </c>
    </row>
    <row r="885" spans="1:84" s="8" customFormat="1" hidden="1" x14ac:dyDescent="0.2">
      <c r="B885" t="str">
        <f>ROW()-1&amp;"_AltersInvert"</f>
        <v>884_AltersInvert</v>
      </c>
      <c r="C885" t="str">
        <f>D885&amp;"_"&amp;
SUBSTITUTE(TRIM(V885)," ","_")&amp;"_"&amp;
TRIM(AC885)&amp;"_"&amp;
"CO2"&amp;TEXT(AN885,"0.00")&amp;"_"&amp;
"pH"&amp;TEXT(AR885,"0.00")&amp;"_"&amp;
"T"&amp;TEXT(BC885,"0.##")</f>
        <v>200_Laternula_elliptica_EMBRYO_CO2350.00_pH7.99_T-1.6</v>
      </c>
      <c r="D885" s="8">
        <v>200</v>
      </c>
      <c r="G885" s="8" t="s">
        <v>43</v>
      </c>
      <c r="H885" s="8" t="s">
        <v>662</v>
      </c>
      <c r="J885" s="8">
        <v>2015</v>
      </c>
      <c r="M885" s="8" t="s">
        <v>257</v>
      </c>
      <c r="P885" t="s">
        <v>1135</v>
      </c>
      <c r="R885" s="8" t="s">
        <v>1127</v>
      </c>
      <c r="S885" t="s">
        <v>1128</v>
      </c>
      <c r="T885" s="8" t="s">
        <v>68</v>
      </c>
      <c r="U885" s="8" t="s">
        <v>663</v>
      </c>
      <c r="V885" s="8" t="s">
        <v>664</v>
      </c>
      <c r="W885" s="8" t="str">
        <f>IF(ISNUMBER(MATCH(#REF!,{"Doryteuthis pealeii","Loligo vulgaris","Leptuca thayeri","Stylocheilus striatus","Ophryotrocha labronica"},0)),"N","Y")</f>
        <v>Y</v>
      </c>
      <c r="Z885" s="8" t="s">
        <v>475</v>
      </c>
      <c r="AA885" s="8" t="s">
        <v>475</v>
      </c>
      <c r="AB885" s="8" t="s">
        <v>71</v>
      </c>
      <c r="AC885" s="8" t="s">
        <v>195</v>
      </c>
      <c r="AD885" s="8" t="s">
        <v>52</v>
      </c>
      <c r="AE885" s="8" t="s">
        <v>53</v>
      </c>
      <c r="AF885" s="8" t="s">
        <v>52</v>
      </c>
      <c r="AG885" s="8" t="s">
        <v>52</v>
      </c>
      <c r="AH885" s="8" t="s">
        <v>64</v>
      </c>
      <c r="AK885" s="8">
        <v>6</v>
      </c>
      <c r="AL885" s="8">
        <v>6</v>
      </c>
      <c r="AN885" s="8">
        <v>350</v>
      </c>
      <c r="AO885" s="8">
        <v>1</v>
      </c>
      <c r="AP885" s="8" t="s">
        <v>56</v>
      </c>
      <c r="AQ885" s="8" t="s">
        <v>109</v>
      </c>
      <c r="AR885" s="8">
        <v>7.99</v>
      </c>
      <c r="AS885" s="8" t="s">
        <v>56</v>
      </c>
      <c r="AT885" s="8" t="s">
        <v>56</v>
      </c>
      <c r="AU885" s="8">
        <v>835</v>
      </c>
      <c r="AV885">
        <v>3</v>
      </c>
      <c r="AW885" t="s">
        <v>56</v>
      </c>
      <c r="AX885">
        <v>7.64</v>
      </c>
      <c r="AY885" t="s">
        <v>56</v>
      </c>
      <c r="AZ885" t="s">
        <v>56</v>
      </c>
      <c r="BB885" s="8">
        <f>LOG(AU885)</f>
        <v>2.9216864754836021</v>
      </c>
      <c r="BC885" s="8">
        <v>-1.6</v>
      </c>
      <c r="BD885" s="8">
        <v>0</v>
      </c>
      <c r="BE885" s="8" t="s">
        <v>56</v>
      </c>
      <c r="BF885" s="8">
        <v>-0.5</v>
      </c>
      <c r="BG885" s="8">
        <v>0</v>
      </c>
      <c r="BH885" s="8" t="s">
        <v>56</v>
      </c>
      <c r="BI885" s="8">
        <v>485</v>
      </c>
      <c r="BJ885" s="8">
        <v>1.1000000000000001</v>
      </c>
      <c r="BK885" s="8" t="s">
        <v>948</v>
      </c>
      <c r="BL885" s="8" t="s">
        <v>933</v>
      </c>
      <c r="BM885" s="8" t="s">
        <v>473</v>
      </c>
      <c r="BN885" s="8" t="s">
        <v>81</v>
      </c>
      <c r="BO885" s="8" t="s">
        <v>82</v>
      </c>
      <c r="BP885" s="8" t="s">
        <v>190</v>
      </c>
      <c r="BQ885" s="8" t="s">
        <v>190</v>
      </c>
      <c r="BR885" s="8" t="s">
        <v>84</v>
      </c>
      <c r="BT885" s="8">
        <v>84.13</v>
      </c>
      <c r="BU885" s="8">
        <v>84.13</v>
      </c>
      <c r="BV885" s="8">
        <v>0.94</v>
      </c>
      <c r="BW885" s="8">
        <f>BV885*SQRT(AK885)</f>
        <v>2.3025203582161873</v>
      </c>
      <c r="BX885" s="8">
        <v>86.02</v>
      </c>
      <c r="BY885" s="8">
        <v>86.02</v>
      </c>
      <c r="BZ885" s="8">
        <v>1.65</v>
      </c>
      <c r="CA885" s="8">
        <f>BZ885*SQRT(AL885)</f>
        <v>4.0416580755922435</v>
      </c>
      <c r="CB885" s="8">
        <v>2</v>
      </c>
      <c r="CC885" s="8">
        <v>6</v>
      </c>
      <c r="CD885" s="8">
        <v>2.1999999999999999E-2</v>
      </c>
      <c r="CE885" s="8">
        <v>5.0000000000000001E-4</v>
      </c>
      <c r="CF885" s="8" t="s">
        <v>1134</v>
      </c>
    </row>
    <row r="886" spans="1:84" s="8" customFormat="1" hidden="1" x14ac:dyDescent="0.2">
      <c r="A886"/>
      <c r="B886" t="str">
        <f>ROW()-1&amp;"_AltersInvert"</f>
        <v>885_AltersInvert</v>
      </c>
      <c r="C886" t="str">
        <f>D886&amp;"_"&amp;
SUBSTITUTE(TRIM(V886)," ","_")&amp;"_"&amp;
TRIM(AC886)&amp;"_"&amp;
"CO2"&amp;TEXT(AN886,"0.00")&amp;"_"&amp;
"pH"&amp;TEXT(AR886,"0.00")&amp;"_"&amp;
"T"&amp;TEXT(BC886,"0.##")</f>
        <v>23_Paracentrotus_lividus_LARVA_CO2346.00_pH8.06_T18.8</v>
      </c>
      <c r="D886">
        <v>23</v>
      </c>
      <c r="E886"/>
      <c r="F886"/>
      <c r="G886" t="s">
        <v>43</v>
      </c>
      <c r="H886" t="s">
        <v>307</v>
      </c>
      <c r="I886"/>
      <c r="J886">
        <v>2015</v>
      </c>
      <c r="K886"/>
      <c r="L886"/>
      <c r="M886" t="s">
        <v>308</v>
      </c>
      <c r="N886"/>
      <c r="O886"/>
      <c r="P886" t="s">
        <v>1135</v>
      </c>
      <c r="Q886"/>
      <c r="R886" t="s">
        <v>1127</v>
      </c>
      <c r="S886" t="s">
        <v>1128</v>
      </c>
      <c r="T886" t="s">
        <v>46</v>
      </c>
      <c r="U886" t="s">
        <v>309</v>
      </c>
      <c r="V886" t="s">
        <v>310</v>
      </c>
      <c r="W886"/>
      <c r="X886"/>
      <c r="Y886"/>
      <c r="Z886" t="s">
        <v>49</v>
      </c>
      <c r="AA886" t="s">
        <v>49</v>
      </c>
      <c r="AB886" t="s">
        <v>50</v>
      </c>
      <c r="AC886" t="s">
        <v>72</v>
      </c>
      <c r="AD886" t="s">
        <v>52</v>
      </c>
      <c r="AE886" t="s">
        <v>53</v>
      </c>
      <c r="AF886" t="s">
        <v>52</v>
      </c>
      <c r="AG886" t="s">
        <v>54</v>
      </c>
      <c r="AH886" t="s">
        <v>55</v>
      </c>
      <c r="AI886"/>
      <c r="AJ886"/>
      <c r="AK886">
        <v>135</v>
      </c>
      <c r="AL886">
        <v>135</v>
      </c>
      <c r="AM886"/>
      <c r="AN886">
        <v>346</v>
      </c>
      <c r="AO886" t="s">
        <v>56</v>
      </c>
      <c r="AP886" t="s">
        <v>56</v>
      </c>
      <c r="AQ886" t="s">
        <v>57</v>
      </c>
      <c r="AR886">
        <v>8.06</v>
      </c>
      <c r="AS886" t="s">
        <v>56</v>
      </c>
      <c r="AT886">
        <v>0.04</v>
      </c>
      <c r="AU886">
        <v>899</v>
      </c>
      <c r="AV886" t="s">
        <v>56</v>
      </c>
      <c r="AW886" t="s">
        <v>56</v>
      </c>
      <c r="AX886">
        <v>7.69</v>
      </c>
      <c r="AY886" t="s">
        <v>56</v>
      </c>
      <c r="AZ886">
        <v>0.04</v>
      </c>
      <c r="BA886"/>
      <c r="BB886">
        <f>LOG(AU886)</f>
        <v>2.9537596917332287</v>
      </c>
      <c r="BC886">
        <v>18.8</v>
      </c>
      <c r="BD886" t="s">
        <v>56</v>
      </c>
      <c r="BE886">
        <v>0.1</v>
      </c>
      <c r="BF886">
        <v>18.8</v>
      </c>
      <c r="BG886" t="s">
        <v>56</v>
      </c>
      <c r="BH886">
        <v>0.1</v>
      </c>
      <c r="BI886">
        <v>552</v>
      </c>
      <c r="BJ886">
        <v>0.1</v>
      </c>
      <c r="BK886" t="s">
        <v>56</v>
      </c>
      <c r="BL886" t="s">
        <v>113</v>
      </c>
      <c r="BM886" t="s">
        <v>113</v>
      </c>
      <c r="BN886" t="s">
        <v>81</v>
      </c>
      <c r="BO886" t="s">
        <v>82</v>
      </c>
      <c r="BP886" t="s">
        <v>9</v>
      </c>
      <c r="BQ886" t="s">
        <v>9</v>
      </c>
      <c r="BR886" t="s">
        <v>84</v>
      </c>
      <c r="BS886"/>
      <c r="BT886">
        <v>5.74</v>
      </c>
      <c r="BU886">
        <v>5.74</v>
      </c>
      <c r="BV886">
        <v>0.2</v>
      </c>
      <c r="BW886">
        <f>BV886*SQRT(AK886)</f>
        <v>2.3237900077244502</v>
      </c>
      <c r="BX886">
        <v>3.96</v>
      </c>
      <c r="BY886">
        <v>3.96</v>
      </c>
      <c r="BZ886">
        <v>0.41</v>
      </c>
      <c r="CA886">
        <f>BZ886*SQRT(AL886)</f>
        <v>4.7637695158351221</v>
      </c>
      <c r="CB886">
        <v>34</v>
      </c>
      <c r="CC886">
        <v>3</v>
      </c>
      <c r="CD886">
        <v>-0.371</v>
      </c>
      <c r="CE886">
        <v>1.1900000000000001E-2</v>
      </c>
      <c r="CF886"/>
    </row>
    <row r="887" spans="1:84" s="8" customFormat="1" hidden="1" x14ac:dyDescent="0.2">
      <c r="A887"/>
      <c r="B887" t="str">
        <f>ROW()-1&amp;"_AltersInvert"</f>
        <v>886_AltersInvert</v>
      </c>
      <c r="C887" t="str">
        <f>D887&amp;"_"&amp;
SUBSTITUTE(TRIM(V887)," ","_")&amp;"_"&amp;
TRIM(AC887)&amp;"_"&amp;
"CO2"&amp;TEXT(AN887,"0.00")&amp;"_"&amp;
"pH"&amp;TEXT(AR887,"0.00")&amp;"_"&amp;
"T"&amp;TEXT(BC887,"0.##")</f>
        <v>23_Paracentrotus_lividus_LARVA_CO2346.00_pH8.06_T18.8</v>
      </c>
      <c r="D887">
        <v>23</v>
      </c>
      <c r="E887"/>
      <c r="F887"/>
      <c r="G887" t="s">
        <v>43</v>
      </c>
      <c r="H887" t="s">
        <v>307</v>
      </c>
      <c r="I887"/>
      <c r="J887">
        <v>2015</v>
      </c>
      <c r="K887"/>
      <c r="L887"/>
      <c r="M887" t="s">
        <v>308</v>
      </c>
      <c r="N887"/>
      <c r="O887"/>
      <c r="P887" t="s">
        <v>1135</v>
      </c>
      <c r="Q887"/>
      <c r="R887" t="s">
        <v>1127</v>
      </c>
      <c r="S887" t="s">
        <v>1128</v>
      </c>
      <c r="T887" t="s">
        <v>46</v>
      </c>
      <c r="U887" t="s">
        <v>309</v>
      </c>
      <c r="V887" t="s">
        <v>310</v>
      </c>
      <c r="W887"/>
      <c r="X887"/>
      <c r="Y887"/>
      <c r="Z887" t="s">
        <v>49</v>
      </c>
      <c r="AA887" t="s">
        <v>49</v>
      </c>
      <c r="AB887" t="s">
        <v>50</v>
      </c>
      <c r="AC887" t="s">
        <v>72</v>
      </c>
      <c r="AD887" t="s">
        <v>52</v>
      </c>
      <c r="AE887" t="s">
        <v>53</v>
      </c>
      <c r="AF887" t="s">
        <v>54</v>
      </c>
      <c r="AG887" t="s">
        <v>52</v>
      </c>
      <c r="AH887" t="s">
        <v>65</v>
      </c>
      <c r="AI887"/>
      <c r="AJ887"/>
      <c r="AK887">
        <v>135</v>
      </c>
      <c r="AL887">
        <v>135</v>
      </c>
      <c r="AM887"/>
      <c r="AN887">
        <v>346</v>
      </c>
      <c r="AO887" t="s">
        <v>56</v>
      </c>
      <c r="AP887" t="s">
        <v>56</v>
      </c>
      <c r="AQ887" t="s">
        <v>57</v>
      </c>
      <c r="AR887">
        <v>8.06</v>
      </c>
      <c r="AS887" t="s">
        <v>56</v>
      </c>
      <c r="AT887">
        <v>0.04</v>
      </c>
      <c r="AU887">
        <v>340</v>
      </c>
      <c r="AV887" t="s">
        <v>56</v>
      </c>
      <c r="AW887" t="s">
        <v>56</v>
      </c>
      <c r="AX887">
        <v>8.07</v>
      </c>
      <c r="AY887" t="s">
        <v>56</v>
      </c>
      <c r="AZ887">
        <v>0.04</v>
      </c>
      <c r="BA887"/>
      <c r="BB887">
        <f>LOG(AU887)</f>
        <v>2.5314789170422549</v>
      </c>
      <c r="BC887">
        <v>18.8</v>
      </c>
      <c r="BD887" t="s">
        <v>56</v>
      </c>
      <c r="BE887">
        <v>0.1</v>
      </c>
      <c r="BF887">
        <v>22.4</v>
      </c>
      <c r="BG887" t="s">
        <v>56</v>
      </c>
      <c r="BH887">
        <v>0.2</v>
      </c>
      <c r="BI887">
        <v>-6</v>
      </c>
      <c r="BJ887">
        <v>3.7</v>
      </c>
      <c r="BK887" t="s">
        <v>56</v>
      </c>
      <c r="BL887" t="s">
        <v>113</v>
      </c>
      <c r="BM887" t="s">
        <v>113</v>
      </c>
      <c r="BN887" t="s">
        <v>81</v>
      </c>
      <c r="BO887" t="s">
        <v>82</v>
      </c>
      <c r="BP887" t="s">
        <v>9</v>
      </c>
      <c r="BQ887" t="s">
        <v>9</v>
      </c>
      <c r="BR887" t="s">
        <v>84</v>
      </c>
      <c r="BS887"/>
      <c r="BT887">
        <v>5.74</v>
      </c>
      <c r="BU887">
        <v>5.74</v>
      </c>
      <c r="BV887">
        <v>0.2</v>
      </c>
      <c r="BW887">
        <f>BV887*SQRT(AK887)</f>
        <v>2.3237900077244502</v>
      </c>
      <c r="BX887">
        <v>3.96</v>
      </c>
      <c r="BY887">
        <v>3.96</v>
      </c>
      <c r="BZ887">
        <v>0.2</v>
      </c>
      <c r="CA887">
        <f>BZ887*SQRT(AL887)</f>
        <v>2.3237900077244502</v>
      </c>
      <c r="CB887">
        <v>34</v>
      </c>
      <c r="CC887">
        <v>3</v>
      </c>
      <c r="CD887">
        <v>-0.371</v>
      </c>
      <c r="CE887">
        <v>3.8999999999999998E-3</v>
      </c>
      <c r="CF887"/>
    </row>
    <row r="888" spans="1:84" s="8" customFormat="1" hidden="1" x14ac:dyDescent="0.2">
      <c r="A888"/>
      <c r="B888" t="str">
        <f>ROW()-1&amp;"_AltersInvert"</f>
        <v>887_AltersInvert</v>
      </c>
      <c r="C888" t="str">
        <f>D888&amp;"_"&amp;
SUBSTITUTE(TRIM(V888)," ","_")&amp;"_"&amp;
TRIM(AC888)&amp;"_"&amp;
"CO2"&amp;TEXT(AN888,"0.00")&amp;"_"&amp;
"pH"&amp;TEXT(AR888,"0.00")&amp;"_"&amp;
"T"&amp;TEXT(BC888,"0.##")</f>
        <v>23_Paracentrotus_lividus_LARVA_CO2346.00_pH8.06_T18.8</v>
      </c>
      <c r="D888">
        <v>23</v>
      </c>
      <c r="E888"/>
      <c r="F888"/>
      <c r="G888" t="s">
        <v>43</v>
      </c>
      <c r="H888" t="s">
        <v>307</v>
      </c>
      <c r="I888"/>
      <c r="J888">
        <v>2015</v>
      </c>
      <c r="K888"/>
      <c r="L888"/>
      <c r="M888" t="s">
        <v>308</v>
      </c>
      <c r="N888"/>
      <c r="O888"/>
      <c r="P888" t="s">
        <v>1135</v>
      </c>
      <c r="Q888"/>
      <c r="R888" t="s">
        <v>1127</v>
      </c>
      <c r="S888" t="s">
        <v>1128</v>
      </c>
      <c r="T888" t="s">
        <v>46</v>
      </c>
      <c r="U888" t="s">
        <v>309</v>
      </c>
      <c r="V888" t="s">
        <v>310</v>
      </c>
      <c r="W888"/>
      <c r="X888"/>
      <c r="Y888"/>
      <c r="Z888" t="s">
        <v>49</v>
      </c>
      <c r="AA888" t="s">
        <v>49</v>
      </c>
      <c r="AB888" t="s">
        <v>50</v>
      </c>
      <c r="AC888" t="s">
        <v>72</v>
      </c>
      <c r="AD888" t="s">
        <v>52</v>
      </c>
      <c r="AE888" t="s">
        <v>53</v>
      </c>
      <c r="AF888" t="s">
        <v>54</v>
      </c>
      <c r="AG888" t="s">
        <v>52</v>
      </c>
      <c r="AH888" t="s">
        <v>65</v>
      </c>
      <c r="AI888"/>
      <c r="AJ888"/>
      <c r="AK888">
        <v>135</v>
      </c>
      <c r="AL888">
        <v>135</v>
      </c>
      <c r="AM888"/>
      <c r="AN888">
        <v>346</v>
      </c>
      <c r="AO888" t="s">
        <v>56</v>
      </c>
      <c r="AP888" t="s">
        <v>56</v>
      </c>
      <c r="AQ888" t="s">
        <v>57</v>
      </c>
      <c r="AR888">
        <v>8.06</v>
      </c>
      <c r="AS888" t="s">
        <v>56</v>
      </c>
      <c r="AT888">
        <v>0.04</v>
      </c>
      <c r="AU888">
        <v>326</v>
      </c>
      <c r="AV888" t="s">
        <v>56</v>
      </c>
      <c r="AW888" t="s">
        <v>56</v>
      </c>
      <c r="AX888">
        <v>8.07</v>
      </c>
      <c r="AY888" t="s">
        <v>56</v>
      </c>
      <c r="AZ888">
        <v>0.02</v>
      </c>
      <c r="BA888"/>
      <c r="BB888">
        <f>LOG(AU888)</f>
        <v>2.5132176000679389</v>
      </c>
      <c r="BC888">
        <v>18.8</v>
      </c>
      <c r="BD888" t="s">
        <v>56</v>
      </c>
      <c r="BE888">
        <v>0.1</v>
      </c>
      <c r="BF888">
        <v>20.399999999999999</v>
      </c>
      <c r="BG888" t="s">
        <v>56</v>
      </c>
      <c r="BH888">
        <v>0.2</v>
      </c>
      <c r="BI888">
        <v>-20</v>
      </c>
      <c r="BJ888">
        <v>1.7</v>
      </c>
      <c r="BK888" t="s">
        <v>56</v>
      </c>
      <c r="BL888" t="s">
        <v>113</v>
      </c>
      <c r="BM888" t="s">
        <v>113</v>
      </c>
      <c r="BN888" t="s">
        <v>81</v>
      </c>
      <c r="BO888" t="s">
        <v>82</v>
      </c>
      <c r="BP888" t="s">
        <v>9</v>
      </c>
      <c r="BQ888" t="s">
        <v>9</v>
      </c>
      <c r="BR888" t="s">
        <v>84</v>
      </c>
      <c r="BS888"/>
      <c r="BT888">
        <v>5.74</v>
      </c>
      <c r="BU888">
        <v>5.74</v>
      </c>
      <c r="BV888">
        <v>0.2</v>
      </c>
      <c r="BW888">
        <f>BV888*SQRT(AK888)</f>
        <v>2.3237900077244502</v>
      </c>
      <c r="BX888">
        <v>11.28</v>
      </c>
      <c r="BY888">
        <v>11.28</v>
      </c>
      <c r="BZ888">
        <v>0.2</v>
      </c>
      <c r="CA888">
        <f>BZ888*SQRT(AL888)</f>
        <v>2.3237900077244502</v>
      </c>
      <c r="CB888">
        <v>34</v>
      </c>
      <c r="CC888">
        <v>3</v>
      </c>
      <c r="CD888">
        <v>0.67600000000000005</v>
      </c>
      <c r="CE888">
        <v>1.6000000000000001E-3</v>
      </c>
      <c r="CF888"/>
    </row>
    <row r="889" spans="1:84" s="8" customFormat="1" hidden="1" x14ac:dyDescent="0.2">
      <c r="A889"/>
      <c r="B889" t="str">
        <f>ROW()-1&amp;"_AltersInvert"</f>
        <v>888_AltersInvert</v>
      </c>
      <c r="C889" t="str">
        <f>D889&amp;"_"&amp;
SUBSTITUTE(TRIM(V889)," ","_")&amp;"_"&amp;
TRIM(AC889)&amp;"_"&amp;
"CO2"&amp;TEXT(AN889,"0.00")&amp;"_"&amp;
"pH"&amp;TEXT(AR889,"0.00")&amp;"_"&amp;
"T"&amp;TEXT(BC889,"0.##")</f>
        <v>23_Paracentrotus_lividus_LARVA_CO2346.00_pH8.06_T18.8</v>
      </c>
      <c r="D889">
        <v>23</v>
      </c>
      <c r="E889"/>
      <c r="F889"/>
      <c r="G889" t="s">
        <v>43</v>
      </c>
      <c r="H889" t="s">
        <v>307</v>
      </c>
      <c r="I889"/>
      <c r="J889">
        <v>2015</v>
      </c>
      <c r="K889"/>
      <c r="L889"/>
      <c r="M889" t="s">
        <v>308</v>
      </c>
      <c r="N889"/>
      <c r="O889"/>
      <c r="P889" t="s">
        <v>1135</v>
      </c>
      <c r="Q889"/>
      <c r="R889" t="s">
        <v>1127</v>
      </c>
      <c r="S889" t="s">
        <v>1128</v>
      </c>
      <c r="T889" t="s">
        <v>46</v>
      </c>
      <c r="U889" t="s">
        <v>309</v>
      </c>
      <c r="V889" t="s">
        <v>310</v>
      </c>
      <c r="W889"/>
      <c r="X889"/>
      <c r="Y889"/>
      <c r="Z889" t="s">
        <v>49</v>
      </c>
      <c r="AA889" t="s">
        <v>49</v>
      </c>
      <c r="AB889" t="s">
        <v>50</v>
      </c>
      <c r="AC889" t="s">
        <v>72</v>
      </c>
      <c r="AD889" t="s">
        <v>52</v>
      </c>
      <c r="AE889" t="s">
        <v>53</v>
      </c>
      <c r="AF889" t="s">
        <v>52</v>
      </c>
      <c r="AG889" t="s">
        <v>52</v>
      </c>
      <c r="AH889" t="s">
        <v>64</v>
      </c>
      <c r="AI889"/>
      <c r="AJ889"/>
      <c r="AK889">
        <v>135</v>
      </c>
      <c r="AL889">
        <v>135</v>
      </c>
      <c r="AM889"/>
      <c r="AN889">
        <v>346</v>
      </c>
      <c r="AO889" t="s">
        <v>56</v>
      </c>
      <c r="AP889" t="s">
        <v>56</v>
      </c>
      <c r="AQ889" t="s">
        <v>57</v>
      </c>
      <c r="AR889">
        <v>8.06</v>
      </c>
      <c r="AS889" t="s">
        <v>56</v>
      </c>
      <c r="AT889">
        <v>0.04</v>
      </c>
      <c r="AU889">
        <v>958</v>
      </c>
      <c r="AV889" t="s">
        <v>56</v>
      </c>
      <c r="AW889" t="s">
        <v>56</v>
      </c>
      <c r="AX889">
        <v>7.68</v>
      </c>
      <c r="AY889" t="s">
        <v>56</v>
      </c>
      <c r="AZ889">
        <v>0.04</v>
      </c>
      <c r="BA889"/>
      <c r="BB889">
        <f>LOG(AU889)</f>
        <v>2.9813655090785445</v>
      </c>
      <c r="BC889">
        <v>18.8</v>
      </c>
      <c r="BD889" t="s">
        <v>56</v>
      </c>
      <c r="BE889">
        <v>0.1</v>
      </c>
      <c r="BF889">
        <v>22.4</v>
      </c>
      <c r="BG889" t="s">
        <v>56</v>
      </c>
      <c r="BH889">
        <v>0.2</v>
      </c>
      <c r="BI889">
        <v>612</v>
      </c>
      <c r="BJ889">
        <v>3.6</v>
      </c>
      <c r="BK889" t="s">
        <v>56</v>
      </c>
      <c r="BL889" t="s">
        <v>113</v>
      </c>
      <c r="BM889" t="s">
        <v>113</v>
      </c>
      <c r="BN889" t="s">
        <v>81</v>
      </c>
      <c r="BO889" t="s">
        <v>82</v>
      </c>
      <c r="BP889" t="s">
        <v>9</v>
      </c>
      <c r="BQ889" t="s">
        <v>9</v>
      </c>
      <c r="BR889" t="s">
        <v>84</v>
      </c>
      <c r="BS889"/>
      <c r="BT889">
        <v>5.74</v>
      </c>
      <c r="BU889">
        <v>5.74</v>
      </c>
      <c r="BV889">
        <v>0.2</v>
      </c>
      <c r="BW889">
        <f>BV889*SQRT(AK889)</f>
        <v>2.3237900077244502</v>
      </c>
      <c r="BX889">
        <v>11.88</v>
      </c>
      <c r="BY889">
        <v>11.88</v>
      </c>
      <c r="BZ889">
        <v>0.41</v>
      </c>
      <c r="CA889">
        <f>BZ889*SQRT(AL889)</f>
        <v>4.7637695158351221</v>
      </c>
      <c r="CB889">
        <v>34</v>
      </c>
      <c r="CC889">
        <v>3</v>
      </c>
      <c r="CD889">
        <v>0.72699999999999998</v>
      </c>
      <c r="CE889">
        <v>2.3999999999999998E-3</v>
      </c>
      <c r="CF889"/>
    </row>
    <row r="890" spans="1:84" s="8" customFormat="1" hidden="1" x14ac:dyDescent="0.2">
      <c r="A890"/>
      <c r="B890" t="str">
        <f>ROW()-1&amp;"_AltersInvert"</f>
        <v>889_AltersInvert</v>
      </c>
      <c r="C890" t="str">
        <f>D890&amp;"_"&amp;
SUBSTITUTE(TRIM(V890)," ","_")&amp;"_"&amp;
TRIM(AC890)&amp;"_"&amp;
"CO2"&amp;TEXT(AN890,"0.00")&amp;"_"&amp;
"pH"&amp;TEXT(AR890,"0.00")&amp;"_"&amp;
"T"&amp;TEXT(BC890,"0.##")</f>
        <v>23_Paracentrotus_lividus_LARVA_CO2346.00_pH8.06_T18.8</v>
      </c>
      <c r="D890">
        <v>23</v>
      </c>
      <c r="E890"/>
      <c r="F890"/>
      <c r="G890" t="s">
        <v>43</v>
      </c>
      <c r="H890" t="s">
        <v>307</v>
      </c>
      <c r="I890"/>
      <c r="J890">
        <v>2015</v>
      </c>
      <c r="K890"/>
      <c r="L890"/>
      <c r="M890" t="s">
        <v>308</v>
      </c>
      <c r="N890"/>
      <c r="O890"/>
      <c r="P890" t="s">
        <v>1135</v>
      </c>
      <c r="Q890"/>
      <c r="R890" t="s">
        <v>1127</v>
      </c>
      <c r="S890" t="s">
        <v>1128</v>
      </c>
      <c r="T890" t="s">
        <v>46</v>
      </c>
      <c r="U890" t="s">
        <v>309</v>
      </c>
      <c r="V890" t="s">
        <v>310</v>
      </c>
      <c r="W890"/>
      <c r="X890"/>
      <c r="Y890"/>
      <c r="Z890" t="s">
        <v>49</v>
      </c>
      <c r="AA890" t="s">
        <v>49</v>
      </c>
      <c r="AB890" t="s">
        <v>50</v>
      </c>
      <c r="AC890" t="s">
        <v>72</v>
      </c>
      <c r="AD890" t="s">
        <v>52</v>
      </c>
      <c r="AE890" t="s">
        <v>53</v>
      </c>
      <c r="AF890" t="s">
        <v>52</v>
      </c>
      <c r="AG890" t="s">
        <v>52</v>
      </c>
      <c r="AH890" t="s">
        <v>64</v>
      </c>
      <c r="AI890"/>
      <c r="AJ890"/>
      <c r="AK890">
        <v>135</v>
      </c>
      <c r="AL890">
        <v>135</v>
      </c>
      <c r="AM890"/>
      <c r="AN890">
        <v>346</v>
      </c>
      <c r="AO890" t="s">
        <v>56</v>
      </c>
      <c r="AP890" t="s">
        <v>56</v>
      </c>
      <c r="AQ890" t="s">
        <v>57</v>
      </c>
      <c r="AR890">
        <v>8.06</v>
      </c>
      <c r="AS890" t="s">
        <v>56</v>
      </c>
      <c r="AT890">
        <v>0.04</v>
      </c>
      <c r="AU890">
        <v>1850</v>
      </c>
      <c r="AV890" t="s">
        <v>56</v>
      </c>
      <c r="AW890" t="s">
        <v>56</v>
      </c>
      <c r="AX890">
        <v>7.39</v>
      </c>
      <c r="AY890" t="s">
        <v>56</v>
      </c>
      <c r="AZ890">
        <v>0.05</v>
      </c>
      <c r="BA890"/>
      <c r="BB890">
        <f>LOG(AU890)</f>
        <v>3.2671717284030137</v>
      </c>
      <c r="BC890">
        <v>18.8</v>
      </c>
      <c r="BD890" t="s">
        <v>56</v>
      </c>
      <c r="BE890">
        <v>0.1</v>
      </c>
      <c r="BF890">
        <v>20.5</v>
      </c>
      <c r="BG890" t="s">
        <v>56</v>
      </c>
      <c r="BH890">
        <v>0.2</v>
      </c>
      <c r="BI890">
        <v>1503</v>
      </c>
      <c r="BJ890">
        <v>1.7</v>
      </c>
      <c r="BK890" t="s">
        <v>56</v>
      </c>
      <c r="BL890" t="s">
        <v>113</v>
      </c>
      <c r="BM890" t="s">
        <v>113</v>
      </c>
      <c r="BN890" t="s">
        <v>81</v>
      </c>
      <c r="BO890" t="s">
        <v>82</v>
      </c>
      <c r="BP890" t="s">
        <v>9</v>
      </c>
      <c r="BQ890" t="s">
        <v>9</v>
      </c>
      <c r="BR890" t="s">
        <v>84</v>
      </c>
      <c r="BS890"/>
      <c r="BT890">
        <v>5.74</v>
      </c>
      <c r="BU890">
        <v>5.74</v>
      </c>
      <c r="BV890">
        <v>0.2</v>
      </c>
      <c r="BW890">
        <f>BV890*SQRT(AK890)</f>
        <v>2.3237900077244502</v>
      </c>
      <c r="BX890">
        <v>17.02</v>
      </c>
      <c r="BY890">
        <v>17.02</v>
      </c>
      <c r="BZ890">
        <v>0.49</v>
      </c>
      <c r="CA890">
        <f>BZ890*SQRT(AL890)</f>
        <v>5.6932855189249025</v>
      </c>
      <c r="CB890">
        <v>34</v>
      </c>
      <c r="CC890">
        <v>3</v>
      </c>
      <c r="CD890">
        <v>1.087</v>
      </c>
      <c r="CE890">
        <v>2.0999999999999999E-3</v>
      </c>
      <c r="CF890"/>
    </row>
    <row r="891" spans="1:84" s="8" customFormat="1" hidden="1" x14ac:dyDescent="0.2">
      <c r="A891"/>
      <c r="B891" t="str">
        <f>ROW()-1&amp;"_AltersInvert"</f>
        <v>890_AltersInvert</v>
      </c>
      <c r="C891" t="str">
        <f>D891&amp;"_"&amp;
SUBSTITUTE(TRIM(V891)," ","_")&amp;"_"&amp;
TRIM(AC891)&amp;"_"&amp;
"CO2"&amp;TEXT(AN891,"0.00")&amp;"_"&amp;
"pH"&amp;TEXT(AR891,"0.00")&amp;"_"&amp;
"T"&amp;TEXT(BC891,"0.##")</f>
        <v>23_Paracentrotus_lividus_LARVA_CO2346.00_pH8.06_T18.8</v>
      </c>
      <c r="D891">
        <v>23</v>
      </c>
      <c r="E891"/>
      <c r="F891"/>
      <c r="G891" t="s">
        <v>43</v>
      </c>
      <c r="H891" t="s">
        <v>307</v>
      </c>
      <c r="I891"/>
      <c r="J891">
        <v>2015</v>
      </c>
      <c r="K891"/>
      <c r="L891"/>
      <c r="M891" t="s">
        <v>308</v>
      </c>
      <c r="N891"/>
      <c r="O891"/>
      <c r="P891" t="s">
        <v>1135</v>
      </c>
      <c r="Q891"/>
      <c r="R891" t="s">
        <v>1127</v>
      </c>
      <c r="S891" t="s">
        <v>1128</v>
      </c>
      <c r="T891" t="s">
        <v>46</v>
      </c>
      <c r="U891" t="s">
        <v>309</v>
      </c>
      <c r="V891" t="s">
        <v>310</v>
      </c>
      <c r="W891"/>
      <c r="X891"/>
      <c r="Y891"/>
      <c r="Z891" t="s">
        <v>49</v>
      </c>
      <c r="AA891" t="s">
        <v>49</v>
      </c>
      <c r="AB891" t="s">
        <v>50</v>
      </c>
      <c r="AC891" t="s">
        <v>72</v>
      </c>
      <c r="AD891" t="s">
        <v>52</v>
      </c>
      <c r="AE891" t="s">
        <v>53</v>
      </c>
      <c r="AF891" t="s">
        <v>52</v>
      </c>
      <c r="AG891" t="s">
        <v>52</v>
      </c>
      <c r="AH891" t="s">
        <v>64</v>
      </c>
      <c r="AI891"/>
      <c r="AJ891"/>
      <c r="AK891">
        <v>135</v>
      </c>
      <c r="AL891">
        <v>135</v>
      </c>
      <c r="AM891"/>
      <c r="AN891">
        <v>346</v>
      </c>
      <c r="AO891" t="s">
        <v>56</v>
      </c>
      <c r="AP891" t="s">
        <v>56</v>
      </c>
      <c r="AQ891" t="s">
        <v>57</v>
      </c>
      <c r="AR891">
        <v>8.06</v>
      </c>
      <c r="AS891" t="s">
        <v>56</v>
      </c>
      <c r="AT891">
        <v>0.04</v>
      </c>
      <c r="AU891">
        <v>896</v>
      </c>
      <c r="AV891" t="s">
        <v>56</v>
      </c>
      <c r="AW891" t="s">
        <v>56</v>
      </c>
      <c r="AX891">
        <v>7.69</v>
      </c>
      <c r="AY891" t="s">
        <v>56</v>
      </c>
      <c r="AZ891">
        <v>0.04</v>
      </c>
      <c r="BA891"/>
      <c r="BB891">
        <f>LOG(AU891)</f>
        <v>2.9523080096621253</v>
      </c>
      <c r="BC891">
        <v>18.8</v>
      </c>
      <c r="BD891" t="s">
        <v>56</v>
      </c>
      <c r="BE891">
        <v>0.1</v>
      </c>
      <c r="BF891">
        <v>20.5</v>
      </c>
      <c r="BG891" t="s">
        <v>56</v>
      </c>
      <c r="BH891">
        <v>0.2</v>
      </c>
      <c r="BI891">
        <v>549</v>
      </c>
      <c r="BJ891">
        <v>1.7</v>
      </c>
      <c r="BK891" t="s">
        <v>56</v>
      </c>
      <c r="BL891" t="s">
        <v>113</v>
      </c>
      <c r="BM891" t="s">
        <v>113</v>
      </c>
      <c r="BN891" t="s">
        <v>81</v>
      </c>
      <c r="BO891" t="s">
        <v>82</v>
      </c>
      <c r="BP891" t="s">
        <v>9</v>
      </c>
      <c r="BQ891" t="s">
        <v>9</v>
      </c>
      <c r="BR891" t="s">
        <v>84</v>
      </c>
      <c r="BS891"/>
      <c r="BT891">
        <v>5.74</v>
      </c>
      <c r="BU891">
        <v>5.74</v>
      </c>
      <c r="BV891">
        <v>0.2</v>
      </c>
      <c r="BW891">
        <f>BV891*SQRT(AK891)</f>
        <v>2.3237900077244502</v>
      </c>
      <c r="BX891">
        <v>20.190000000000001</v>
      </c>
      <c r="BY891">
        <v>20.190000000000001</v>
      </c>
      <c r="BZ891">
        <v>0.43</v>
      </c>
      <c r="CA891">
        <f>BZ891*SQRT(AL891)</f>
        <v>4.9961485166075672</v>
      </c>
      <c r="CB891">
        <v>34</v>
      </c>
      <c r="CC891">
        <v>3</v>
      </c>
      <c r="CD891">
        <v>1.258</v>
      </c>
      <c r="CE891">
        <v>1.6999999999999999E-3</v>
      </c>
      <c r="CF891"/>
    </row>
    <row r="892" spans="1:84" s="8" customFormat="1" hidden="1" x14ac:dyDescent="0.2">
      <c r="A892"/>
      <c r="B892"/>
      <c r="C892" t="s">
        <v>1138</v>
      </c>
      <c r="D892">
        <v>23</v>
      </c>
      <c r="E892"/>
      <c r="F892"/>
      <c r="G892" t="s">
        <v>43</v>
      </c>
      <c r="H892" t="s">
        <v>307</v>
      </c>
      <c r="I892"/>
      <c r="J892">
        <v>2015</v>
      </c>
      <c r="K892"/>
      <c r="L892"/>
      <c r="M892" t="s">
        <v>308</v>
      </c>
      <c r="N892"/>
      <c r="O892"/>
      <c r="P892" t="s">
        <v>1135</v>
      </c>
      <c r="Q892"/>
      <c r="R892" t="s">
        <v>1127</v>
      </c>
      <c r="S892" t="s">
        <v>1128</v>
      </c>
      <c r="T892" t="s">
        <v>46</v>
      </c>
      <c r="U892" t="s">
        <v>309</v>
      </c>
      <c r="V892" t="s">
        <v>310</v>
      </c>
      <c r="W892"/>
      <c r="X892"/>
      <c r="Y892"/>
      <c r="Z892" t="s">
        <v>49</v>
      </c>
      <c r="AA892" t="s">
        <v>49</v>
      </c>
      <c r="AB892" t="s">
        <v>50</v>
      </c>
      <c r="AC892" t="s">
        <v>72</v>
      </c>
      <c r="AD892" t="s">
        <v>52</v>
      </c>
      <c r="AE892" t="s">
        <v>53</v>
      </c>
      <c r="AF892" t="s">
        <v>52</v>
      </c>
      <c r="AG892" t="s">
        <v>54</v>
      </c>
      <c r="AH892" t="s">
        <v>55</v>
      </c>
      <c r="AI892"/>
      <c r="AJ892"/>
      <c r="AK892">
        <v>135</v>
      </c>
      <c r="AL892">
        <v>135</v>
      </c>
      <c r="AM892"/>
      <c r="AN892">
        <v>346</v>
      </c>
      <c r="AO892" t="s">
        <v>56</v>
      </c>
      <c r="AP892" t="s">
        <v>56</v>
      </c>
      <c r="AQ892" t="s">
        <v>57</v>
      </c>
      <c r="AR892">
        <v>8.06</v>
      </c>
      <c r="AS892" t="s">
        <v>56</v>
      </c>
      <c r="AT892">
        <v>0.04</v>
      </c>
      <c r="AU892">
        <v>1826</v>
      </c>
      <c r="AV892" t="s">
        <v>56</v>
      </c>
      <c r="AW892" t="s">
        <v>56</v>
      </c>
      <c r="AX892">
        <v>7.4</v>
      </c>
      <c r="AY892" t="s">
        <v>56</v>
      </c>
      <c r="AZ892">
        <v>0.05</v>
      </c>
      <c r="BA892"/>
      <c r="BB892">
        <f>LOG(AU892)</f>
        <v>3.2615007731982804</v>
      </c>
      <c r="BC892">
        <v>18.8</v>
      </c>
      <c r="BD892" t="s">
        <v>56</v>
      </c>
      <c r="BE892">
        <v>0.1</v>
      </c>
      <c r="BF892">
        <v>18.899999999999999</v>
      </c>
      <c r="BG892" t="s">
        <v>56</v>
      </c>
      <c r="BH892">
        <v>0.1</v>
      </c>
      <c r="BI892">
        <v>1479</v>
      </c>
      <c r="BJ892">
        <v>0</v>
      </c>
      <c r="BK892" t="s">
        <v>56</v>
      </c>
      <c r="BL892" t="s">
        <v>113</v>
      </c>
      <c r="BM892" t="s">
        <v>113</v>
      </c>
      <c r="BN892" t="s">
        <v>81</v>
      </c>
      <c r="BO892" t="s">
        <v>82</v>
      </c>
      <c r="BP892" t="s">
        <v>9</v>
      </c>
      <c r="BQ892" t="s">
        <v>9</v>
      </c>
      <c r="BR892" t="s">
        <v>84</v>
      </c>
      <c r="BS892"/>
      <c r="BT892">
        <v>5.74</v>
      </c>
      <c r="BU892">
        <v>5.74</v>
      </c>
      <c r="BV892">
        <v>0.2</v>
      </c>
      <c r="BW892">
        <f>BV892*SQRT(AK892)</f>
        <v>2.3237900077244502</v>
      </c>
      <c r="BX892">
        <v>0</v>
      </c>
      <c r="BY892">
        <v>5.74E-2</v>
      </c>
      <c r="BZ892">
        <v>0.49</v>
      </c>
      <c r="CA892">
        <f>BZ892*SQRT(AL892)</f>
        <v>5.6932855189249025</v>
      </c>
      <c r="CB892">
        <v>34</v>
      </c>
      <c r="CC892">
        <v>3</v>
      </c>
      <c r="CD892">
        <v>-4.6050000000000004</v>
      </c>
      <c r="CE892">
        <v>74.075299999999999</v>
      </c>
      <c r="CF892"/>
    </row>
    <row r="893" spans="1:84" s="8" customFormat="1" hidden="1" x14ac:dyDescent="0.2">
      <c r="A893"/>
      <c r="B893"/>
      <c r="C893" t="s">
        <v>1138</v>
      </c>
      <c r="D893">
        <v>23</v>
      </c>
      <c r="E893"/>
      <c r="F893"/>
      <c r="G893" t="s">
        <v>43</v>
      </c>
      <c r="H893" t="s">
        <v>307</v>
      </c>
      <c r="I893"/>
      <c r="J893">
        <v>2015</v>
      </c>
      <c r="K893"/>
      <c r="L893"/>
      <c r="M893" t="s">
        <v>308</v>
      </c>
      <c r="N893"/>
      <c r="O893"/>
      <c r="P893" t="s">
        <v>1135</v>
      </c>
      <c r="Q893"/>
      <c r="R893" t="s">
        <v>1127</v>
      </c>
      <c r="S893" t="s">
        <v>1128</v>
      </c>
      <c r="T893" t="s">
        <v>46</v>
      </c>
      <c r="U893" t="s">
        <v>309</v>
      </c>
      <c r="V893" t="s">
        <v>310</v>
      </c>
      <c r="W893"/>
      <c r="X893"/>
      <c r="Y893"/>
      <c r="Z893" t="s">
        <v>49</v>
      </c>
      <c r="AA893" t="s">
        <v>49</v>
      </c>
      <c r="AB893" t="s">
        <v>50</v>
      </c>
      <c r="AC893" t="s">
        <v>72</v>
      </c>
      <c r="AD893" t="s">
        <v>52</v>
      </c>
      <c r="AE893" t="s">
        <v>53</v>
      </c>
      <c r="AF893" t="s">
        <v>52</v>
      </c>
      <c r="AG893" t="s">
        <v>52</v>
      </c>
      <c r="AH893" t="s">
        <v>64</v>
      </c>
      <c r="AI893"/>
      <c r="AJ893"/>
      <c r="AK893">
        <v>135</v>
      </c>
      <c r="AL893">
        <v>135</v>
      </c>
      <c r="AM893"/>
      <c r="AN893">
        <v>346</v>
      </c>
      <c r="AO893" t="s">
        <v>56</v>
      </c>
      <c r="AP893" t="s">
        <v>56</v>
      </c>
      <c r="AQ893" t="s">
        <v>57</v>
      </c>
      <c r="AR893">
        <v>8.06</v>
      </c>
      <c r="AS893" t="s">
        <v>56</v>
      </c>
      <c r="AT893">
        <v>0.04</v>
      </c>
      <c r="AU893">
        <v>1874</v>
      </c>
      <c r="AV893" t="s">
        <v>56</v>
      </c>
      <c r="AW893" t="s">
        <v>56</v>
      </c>
      <c r="AX893">
        <v>7.4</v>
      </c>
      <c r="AY893" t="s">
        <v>56</v>
      </c>
      <c r="AZ893">
        <v>0.04</v>
      </c>
      <c r="BA893"/>
      <c r="BB893">
        <f>LOG(AU893)</f>
        <v>3.2727695865517594</v>
      </c>
      <c r="BC893">
        <v>18.8</v>
      </c>
      <c r="BD893" t="s">
        <v>56</v>
      </c>
      <c r="BE893">
        <v>0.1</v>
      </c>
      <c r="BF893">
        <v>22.4</v>
      </c>
      <c r="BG893" t="s">
        <v>56</v>
      </c>
      <c r="BH893">
        <v>0.3</v>
      </c>
      <c r="BI893">
        <v>1528</v>
      </c>
      <c r="BJ893">
        <v>4</v>
      </c>
      <c r="BK893" t="s">
        <v>56</v>
      </c>
      <c r="BL893" t="s">
        <v>113</v>
      </c>
      <c r="BM893" t="s">
        <v>113</v>
      </c>
      <c r="BN893" t="s">
        <v>81</v>
      </c>
      <c r="BO893" t="s">
        <v>82</v>
      </c>
      <c r="BP893" t="s">
        <v>9</v>
      </c>
      <c r="BQ893" t="s">
        <v>9</v>
      </c>
      <c r="BR893" t="s">
        <v>84</v>
      </c>
      <c r="BS893"/>
      <c r="BT893">
        <v>5.74</v>
      </c>
      <c r="BU893">
        <v>5.74</v>
      </c>
      <c r="BV893">
        <v>0.2</v>
      </c>
      <c r="BW893">
        <f>BV893*SQRT(AK893)</f>
        <v>2.3237900077244502</v>
      </c>
      <c r="BX893">
        <v>0</v>
      </c>
      <c r="BY893">
        <v>5.74E-2</v>
      </c>
      <c r="BZ893">
        <v>0.49</v>
      </c>
      <c r="CA893">
        <f>BZ893*SQRT(AL893)</f>
        <v>5.6932855189249025</v>
      </c>
      <c r="CB893">
        <v>34</v>
      </c>
      <c r="CC893">
        <v>3</v>
      </c>
      <c r="CD893">
        <v>-4.6050000000000004</v>
      </c>
      <c r="CE893">
        <v>74.075299999999999</v>
      </c>
      <c r="CF893"/>
    </row>
    <row r="894" spans="1:84" s="8" customFormat="1" hidden="1" x14ac:dyDescent="0.2">
      <c r="A894"/>
      <c r="B894" t="str">
        <f>ROW()-1&amp;"_AltersInvert"</f>
        <v>893_AltersInvert</v>
      </c>
      <c r="C894" t="str">
        <f>D894&amp;"_"&amp;
SUBSTITUTE(TRIM(V894)," ","_")&amp;"_"&amp;
TRIM(AC894)&amp;"_"&amp;
"CO2"&amp;TEXT(AN894,"0.00")&amp;"_"&amp;
"pH"&amp;TEXT(AR894,"0.00")&amp;"_"&amp;
"T"&amp;TEXT(BC894,"0.##")</f>
        <v>84_Pocillopora_damicornis_LARVA_CO2466.00_pH7.99_T28.4</v>
      </c>
      <c r="D894">
        <v>84</v>
      </c>
      <c r="E894"/>
      <c r="F894"/>
      <c r="G894" t="s">
        <v>43</v>
      </c>
      <c r="H894" t="s">
        <v>711</v>
      </c>
      <c r="I894"/>
      <c r="J894">
        <v>2018</v>
      </c>
      <c r="K894"/>
      <c r="L894"/>
      <c r="M894" t="s">
        <v>265</v>
      </c>
      <c r="N894"/>
      <c r="O894"/>
      <c r="P894" t="s">
        <v>1135</v>
      </c>
      <c r="Q894"/>
      <c r="R894" t="s">
        <v>1127</v>
      </c>
      <c r="S894" t="s">
        <v>1128</v>
      </c>
      <c r="T894" t="s">
        <v>103</v>
      </c>
      <c r="U894" t="s">
        <v>201</v>
      </c>
      <c r="V894" t="s">
        <v>214</v>
      </c>
      <c r="W894"/>
      <c r="X894"/>
      <c r="Y894"/>
      <c r="Z894" t="s">
        <v>106</v>
      </c>
      <c r="AA894" t="s">
        <v>107</v>
      </c>
      <c r="AB894" t="s">
        <v>71</v>
      </c>
      <c r="AC894" t="s">
        <v>72</v>
      </c>
      <c r="AD894" t="s">
        <v>54</v>
      </c>
      <c r="AE894" t="s">
        <v>53</v>
      </c>
      <c r="AF894" t="s">
        <v>52</v>
      </c>
      <c r="AG894" t="s">
        <v>54</v>
      </c>
      <c r="AH894" t="s">
        <v>55</v>
      </c>
      <c r="AI894"/>
      <c r="AJ894"/>
      <c r="AK894">
        <v>4</v>
      </c>
      <c r="AL894">
        <v>4</v>
      </c>
      <c r="AM894"/>
      <c r="AN894">
        <v>466</v>
      </c>
      <c r="AO894">
        <v>7</v>
      </c>
      <c r="AP894" t="s">
        <v>56</v>
      </c>
      <c r="AQ894" t="s">
        <v>109</v>
      </c>
      <c r="AR894">
        <v>7.99</v>
      </c>
      <c r="AS894">
        <v>0.01</v>
      </c>
      <c r="AT894" t="s">
        <v>56</v>
      </c>
      <c r="AU894">
        <v>1034</v>
      </c>
      <c r="AV894">
        <v>62</v>
      </c>
      <c r="AW894" t="s">
        <v>56</v>
      </c>
      <c r="AX894">
        <v>7.7</v>
      </c>
      <c r="AY894">
        <v>0.02</v>
      </c>
      <c r="AZ894" t="s">
        <v>56</v>
      </c>
      <c r="BA894"/>
      <c r="BB894">
        <f>LOG(AU894)</f>
        <v>3.0145205387579237</v>
      </c>
      <c r="BC894">
        <v>28.4</v>
      </c>
      <c r="BD894">
        <v>0.1</v>
      </c>
      <c r="BE894" t="s">
        <v>56</v>
      </c>
      <c r="BF894">
        <v>27.9</v>
      </c>
      <c r="BG894">
        <v>0.3</v>
      </c>
      <c r="BH894" t="s">
        <v>56</v>
      </c>
      <c r="BI894">
        <v>568</v>
      </c>
      <c r="BJ894">
        <v>-0.5</v>
      </c>
      <c r="BK894" t="s">
        <v>56</v>
      </c>
      <c r="BL894" t="s">
        <v>717</v>
      </c>
      <c r="BM894" t="s">
        <v>354</v>
      </c>
      <c r="BN894" t="s">
        <v>60</v>
      </c>
      <c r="BO894" t="s">
        <v>718</v>
      </c>
      <c r="BP894" t="s">
        <v>194</v>
      </c>
      <c r="BQ894" t="s">
        <v>194</v>
      </c>
      <c r="BR894" t="s">
        <v>714</v>
      </c>
      <c r="BS894"/>
      <c r="BT894">
        <v>12.77</v>
      </c>
      <c r="BU894">
        <v>12.7742</v>
      </c>
      <c r="BV894">
        <v>1.22</v>
      </c>
      <c r="BW894">
        <f>BV894*SQRT(AK894)</f>
        <v>2.44</v>
      </c>
      <c r="BX894">
        <v>16.09</v>
      </c>
      <c r="BY894">
        <v>16.092199999999998</v>
      </c>
      <c r="BZ894">
        <v>1.44</v>
      </c>
      <c r="CA894">
        <f>BZ894*SQRT(AL894)</f>
        <v>2.88</v>
      </c>
      <c r="CB894">
        <v>1</v>
      </c>
      <c r="CC894">
        <v>2</v>
      </c>
      <c r="CD894">
        <v>0.23100000000000001</v>
      </c>
      <c r="CE894">
        <v>1.7100000000000001E-2</v>
      </c>
    </row>
    <row r="895" spans="1:84" s="8" customFormat="1" hidden="1" x14ac:dyDescent="0.2">
      <c r="A895"/>
      <c r="B895" t="str">
        <f>ROW()-1&amp;"_AltersInvert"</f>
        <v>894_AltersInvert</v>
      </c>
      <c r="C895" t="str">
        <f>D895&amp;"_"&amp;
SUBSTITUTE(TRIM(V895)," ","_")&amp;"_"&amp;
TRIM(AC895)&amp;"_"&amp;
"CO2"&amp;TEXT(AN895,"0.00")&amp;"_"&amp;
"pH"&amp;TEXT(AR895,"0.00")&amp;"_"&amp;
"T"&amp;TEXT(BC895,"0.##")</f>
        <v>84_Pocillopora_damicornis_LARVA_CO2466.00_pH7.99_T28.4</v>
      </c>
      <c r="D895">
        <v>84</v>
      </c>
      <c r="E895"/>
      <c r="F895"/>
      <c r="G895" t="s">
        <v>43</v>
      </c>
      <c r="H895" t="s">
        <v>711</v>
      </c>
      <c r="I895"/>
      <c r="J895">
        <v>2018</v>
      </c>
      <c r="K895"/>
      <c r="L895"/>
      <c r="M895" t="s">
        <v>265</v>
      </c>
      <c r="N895"/>
      <c r="O895"/>
      <c r="P895" t="s">
        <v>1135</v>
      </c>
      <c r="Q895"/>
      <c r="R895" t="s">
        <v>1127</v>
      </c>
      <c r="S895" t="s">
        <v>1128</v>
      </c>
      <c r="T895" t="s">
        <v>103</v>
      </c>
      <c r="U895" t="s">
        <v>201</v>
      </c>
      <c r="V895" t="s">
        <v>214</v>
      </c>
      <c r="W895"/>
      <c r="X895"/>
      <c r="Y895"/>
      <c r="Z895" t="s">
        <v>106</v>
      </c>
      <c r="AA895" t="s">
        <v>107</v>
      </c>
      <c r="AB895" t="s">
        <v>71</v>
      </c>
      <c r="AC895" t="s">
        <v>72</v>
      </c>
      <c r="AD895" t="s">
        <v>54</v>
      </c>
      <c r="AE895" t="s">
        <v>53</v>
      </c>
      <c r="AF895" t="s">
        <v>54</v>
      </c>
      <c r="AG895" t="s">
        <v>52</v>
      </c>
      <c r="AH895" t="s">
        <v>65</v>
      </c>
      <c r="AI895"/>
      <c r="AJ895"/>
      <c r="AK895">
        <v>4</v>
      </c>
      <c r="AL895">
        <v>4</v>
      </c>
      <c r="AM895"/>
      <c r="AN895">
        <v>466</v>
      </c>
      <c r="AO895">
        <v>7</v>
      </c>
      <c r="AP895" t="s">
        <v>56</v>
      </c>
      <c r="AQ895" t="s">
        <v>109</v>
      </c>
      <c r="AR895">
        <v>7.99</v>
      </c>
      <c r="AS895">
        <v>0.01</v>
      </c>
      <c r="AT895" t="s">
        <v>56</v>
      </c>
      <c r="AU895">
        <v>467</v>
      </c>
      <c r="AV895">
        <v>5</v>
      </c>
      <c r="AW895" t="s">
        <v>56</v>
      </c>
      <c r="AX895">
        <v>7.99</v>
      </c>
      <c r="AY895">
        <v>0</v>
      </c>
      <c r="AZ895" t="s">
        <v>56</v>
      </c>
      <c r="BA895"/>
      <c r="BB895">
        <f>LOG(AU895)</f>
        <v>2.6693168805661123</v>
      </c>
      <c r="BC895">
        <v>28.4</v>
      </c>
      <c r="BD895">
        <v>0.1</v>
      </c>
      <c r="BE895" t="s">
        <v>56</v>
      </c>
      <c r="BF895">
        <v>31.1</v>
      </c>
      <c r="BG895">
        <v>0.2</v>
      </c>
      <c r="BH895" t="s">
        <v>56</v>
      </c>
      <c r="BI895">
        <v>1</v>
      </c>
      <c r="BJ895">
        <v>2.7</v>
      </c>
      <c r="BK895" t="s">
        <v>56</v>
      </c>
      <c r="BL895" t="s">
        <v>717</v>
      </c>
      <c r="BM895" t="s">
        <v>354</v>
      </c>
      <c r="BN895" t="s">
        <v>60</v>
      </c>
      <c r="BO895" t="s">
        <v>718</v>
      </c>
      <c r="BP895" t="s">
        <v>194</v>
      </c>
      <c r="BQ895" t="s">
        <v>194</v>
      </c>
      <c r="BR895" t="s">
        <v>714</v>
      </c>
      <c r="BS895"/>
      <c r="BT895">
        <v>12.77</v>
      </c>
      <c r="BU895">
        <v>12.7742</v>
      </c>
      <c r="BV895">
        <v>1.22</v>
      </c>
      <c r="BW895">
        <f>BV895*SQRT(AK895)</f>
        <v>2.44</v>
      </c>
      <c r="BX895">
        <v>18.91</v>
      </c>
      <c r="BY895">
        <v>18.912400000000002</v>
      </c>
      <c r="BZ895">
        <v>3.93</v>
      </c>
      <c r="CA895">
        <f>BZ895*SQRT(AL895)</f>
        <v>7.86</v>
      </c>
      <c r="CB895">
        <v>1</v>
      </c>
      <c r="CC895">
        <v>2</v>
      </c>
      <c r="CD895">
        <v>0.39200000000000002</v>
      </c>
      <c r="CE895">
        <v>5.2200000000000003E-2</v>
      </c>
    </row>
    <row r="896" spans="1:84" s="8" customFormat="1" hidden="1" x14ac:dyDescent="0.2">
      <c r="A896"/>
      <c r="B896" t="str">
        <f>ROW()-1&amp;"_AltersInvert"</f>
        <v>895_AltersInvert</v>
      </c>
      <c r="C896" t="str">
        <f>D896&amp;"_"&amp;
SUBSTITUTE(TRIM(V896)," ","_")&amp;"_"&amp;
TRIM(AC896)&amp;"_"&amp;
"CO2"&amp;TEXT(AN896,"0.00")&amp;"_"&amp;
"pH"&amp;TEXT(AR896,"0.00")&amp;"_"&amp;
"T"&amp;TEXT(BC896,"0.##")</f>
        <v>84_Pocillopora_damicornis_LARVA_CO2466.00_pH7.99_T28.4</v>
      </c>
      <c r="D896">
        <v>84</v>
      </c>
      <c r="E896"/>
      <c r="F896"/>
      <c r="G896" t="s">
        <v>43</v>
      </c>
      <c r="H896" t="s">
        <v>711</v>
      </c>
      <c r="I896"/>
      <c r="J896">
        <v>2018</v>
      </c>
      <c r="K896"/>
      <c r="L896"/>
      <c r="M896" t="s">
        <v>265</v>
      </c>
      <c r="N896"/>
      <c r="O896"/>
      <c r="P896" t="s">
        <v>1135</v>
      </c>
      <c r="Q896"/>
      <c r="R896" t="s">
        <v>1127</v>
      </c>
      <c r="S896" t="s">
        <v>1128</v>
      </c>
      <c r="T896" t="s">
        <v>103</v>
      </c>
      <c r="U896" t="s">
        <v>201</v>
      </c>
      <c r="V896" t="s">
        <v>214</v>
      </c>
      <c r="W896"/>
      <c r="X896"/>
      <c r="Y896"/>
      <c r="Z896" t="s">
        <v>106</v>
      </c>
      <c r="AA896" t="s">
        <v>107</v>
      </c>
      <c r="AB896" t="s">
        <v>71</v>
      </c>
      <c r="AC896" t="s">
        <v>72</v>
      </c>
      <c r="AD896" t="s">
        <v>54</v>
      </c>
      <c r="AE896" t="s">
        <v>53</v>
      </c>
      <c r="AF896" t="s">
        <v>52</v>
      </c>
      <c r="AG896" t="s">
        <v>52</v>
      </c>
      <c r="AH896" t="s">
        <v>64</v>
      </c>
      <c r="AI896"/>
      <c r="AJ896"/>
      <c r="AK896">
        <v>4</v>
      </c>
      <c r="AL896">
        <v>4</v>
      </c>
      <c r="AM896"/>
      <c r="AN896">
        <v>466</v>
      </c>
      <c r="AO896">
        <v>7</v>
      </c>
      <c r="AP896" t="s">
        <v>56</v>
      </c>
      <c r="AQ896" t="s">
        <v>109</v>
      </c>
      <c r="AR896">
        <v>7.99</v>
      </c>
      <c r="AS896">
        <v>0.01</v>
      </c>
      <c r="AT896" t="s">
        <v>56</v>
      </c>
      <c r="AU896">
        <v>1007</v>
      </c>
      <c r="AV896">
        <v>79</v>
      </c>
      <c r="AW896" t="s">
        <v>56</v>
      </c>
      <c r="AX896">
        <v>7.71</v>
      </c>
      <c r="AY896">
        <v>0.03</v>
      </c>
      <c r="AZ896" t="s">
        <v>56</v>
      </c>
      <c r="BA896"/>
      <c r="BB896">
        <f>LOG(AU896)</f>
        <v>3.003029470553618</v>
      </c>
      <c r="BC896">
        <v>28.4</v>
      </c>
      <c r="BD896">
        <v>0.1</v>
      </c>
      <c r="BE896" t="s">
        <v>56</v>
      </c>
      <c r="BF896">
        <v>30.7</v>
      </c>
      <c r="BG896">
        <v>0.2</v>
      </c>
      <c r="BH896" t="s">
        <v>56</v>
      </c>
      <c r="BI896">
        <v>541</v>
      </c>
      <c r="BJ896">
        <v>2.2999999999999998</v>
      </c>
      <c r="BK896" t="s">
        <v>56</v>
      </c>
      <c r="BL896" t="s">
        <v>717</v>
      </c>
      <c r="BM896" t="s">
        <v>354</v>
      </c>
      <c r="BN896" t="s">
        <v>60</v>
      </c>
      <c r="BO896" t="s">
        <v>718</v>
      </c>
      <c r="BP896" t="s">
        <v>194</v>
      </c>
      <c r="BQ896" t="s">
        <v>194</v>
      </c>
      <c r="BR896" t="s">
        <v>714</v>
      </c>
      <c r="BS896"/>
      <c r="BT896">
        <v>12.77</v>
      </c>
      <c r="BU896">
        <v>12.7742</v>
      </c>
      <c r="BV896">
        <v>1.22</v>
      </c>
      <c r="BW896">
        <f>BV896*SQRT(AK896)</f>
        <v>2.44</v>
      </c>
      <c r="BX896">
        <v>14.54</v>
      </c>
      <c r="BY896">
        <v>14.543799999999999</v>
      </c>
      <c r="BZ896">
        <v>1.88</v>
      </c>
      <c r="CA896">
        <f>BZ896*SQRT(AL896)</f>
        <v>3.76</v>
      </c>
      <c r="CB896">
        <v>1</v>
      </c>
      <c r="CC896">
        <v>2</v>
      </c>
      <c r="CD896">
        <v>0.13</v>
      </c>
      <c r="CE896">
        <v>2.58E-2</v>
      </c>
    </row>
    <row r="897" spans="1:84" s="8" customFormat="1" hidden="1" x14ac:dyDescent="0.2">
      <c r="B897" t="str">
        <f>ROW()-1&amp;"_AltersInvert"</f>
        <v>896_AltersInvert</v>
      </c>
      <c r="C897" t="str">
        <f>D897&amp;"_"&amp;
SUBSTITUTE(TRIM(V897)," ","_")&amp;"_"&amp;
TRIM(AC897)&amp;"_"&amp;
"CO2"&amp;TEXT(AN897,"0.00")&amp;"_"&amp;
"pH"&amp;TEXT(AR897,"0.00")&amp;"_"&amp;
"T"&amp;TEXT(BC897,"0.##")</f>
        <v>112_Loligo_vulgaris_EMBRYO_CO2433.00_pH8.03_T13.2</v>
      </c>
      <c r="D897" s="8">
        <v>112</v>
      </c>
      <c r="G897" s="8" t="s">
        <v>43</v>
      </c>
      <c r="H897" s="8" t="s">
        <v>832</v>
      </c>
      <c r="I897" s="8" t="s">
        <v>1130</v>
      </c>
      <c r="J897" s="8">
        <v>2014</v>
      </c>
      <c r="M897" s="8" t="s">
        <v>463</v>
      </c>
      <c r="P897" t="s">
        <v>1135</v>
      </c>
      <c r="R897" s="8" t="s">
        <v>1127</v>
      </c>
      <c r="S897" t="s">
        <v>1128</v>
      </c>
      <c r="T897" s="8" t="s">
        <v>68</v>
      </c>
      <c r="U897" s="8" t="s">
        <v>693</v>
      </c>
      <c r="V897" s="8" t="s">
        <v>833</v>
      </c>
      <c r="W897" s="8" t="str">
        <f>IF(ISNUMBER(MATCH(V291,{"Doryteuthis pealeii","Loligo vulgaris","Leptuca thayeri","Stylocheilus striatus","Ophryotrocha labronica"},0)),"N","Y")</f>
        <v>Y</v>
      </c>
      <c r="Z897" s="8" t="s">
        <v>49</v>
      </c>
      <c r="AA897" s="8" t="s">
        <v>49</v>
      </c>
      <c r="AB897" s="8" t="s">
        <v>71</v>
      </c>
      <c r="AC897" s="8" t="s">
        <v>195</v>
      </c>
      <c r="AD897" s="8" t="s">
        <v>52</v>
      </c>
      <c r="AE897" s="8" t="s">
        <v>53</v>
      </c>
      <c r="AF897" s="8" t="s">
        <v>52</v>
      </c>
      <c r="AG897" s="8" t="s">
        <v>54</v>
      </c>
      <c r="AH897" s="8" t="s">
        <v>55</v>
      </c>
      <c r="AK897" s="8">
        <v>45</v>
      </c>
      <c r="AL897" s="8">
        <v>45</v>
      </c>
      <c r="AN897" s="8">
        <v>433</v>
      </c>
      <c r="AO897" s="8" t="s">
        <v>56</v>
      </c>
      <c r="AP897" s="8">
        <v>24</v>
      </c>
      <c r="AQ897" s="8" t="s">
        <v>109</v>
      </c>
      <c r="AR897" s="8">
        <v>8.0299999999999994</v>
      </c>
      <c r="AS897" s="8" t="s">
        <v>56</v>
      </c>
      <c r="AT897" s="8">
        <v>0.02</v>
      </c>
      <c r="AU897" s="8">
        <v>1682</v>
      </c>
      <c r="AV897" t="s">
        <v>56</v>
      </c>
      <c r="AW897">
        <v>132</v>
      </c>
      <c r="AX897">
        <v>7.51</v>
      </c>
      <c r="AY897" t="s">
        <v>56</v>
      </c>
      <c r="AZ897">
        <v>0.03</v>
      </c>
      <c r="BB897" s="8">
        <f>LOG(AU897)</f>
        <v>3.2258259914618934</v>
      </c>
      <c r="BC897" s="8">
        <v>13.2</v>
      </c>
      <c r="BD897" s="8" t="s">
        <v>56</v>
      </c>
      <c r="BE897" s="8">
        <v>0.3</v>
      </c>
      <c r="BF897" s="8">
        <v>13.2</v>
      </c>
      <c r="BG897" s="8" t="s">
        <v>56</v>
      </c>
      <c r="BH897" s="8">
        <v>0.3</v>
      </c>
      <c r="BI897" s="8">
        <v>1249</v>
      </c>
      <c r="BJ897" s="8">
        <v>0</v>
      </c>
      <c r="BK897" s="8" t="s">
        <v>834</v>
      </c>
      <c r="BL897" s="8" t="s">
        <v>85</v>
      </c>
      <c r="BM897" s="8" t="s">
        <v>86</v>
      </c>
      <c r="BN897" s="8" t="s">
        <v>81</v>
      </c>
      <c r="BO897" s="8" t="s">
        <v>82</v>
      </c>
      <c r="BP897" s="8" t="s">
        <v>9</v>
      </c>
      <c r="BQ897" s="8" t="s">
        <v>190</v>
      </c>
      <c r="BR897" s="8" t="s">
        <v>84</v>
      </c>
      <c r="BT897" s="8">
        <v>6.83</v>
      </c>
      <c r="BU897" s="8">
        <v>93.170732000000001</v>
      </c>
      <c r="BV897" s="8">
        <v>0.37</v>
      </c>
      <c r="BW897" s="8">
        <f>BV897*SQRT(AK897)</f>
        <v>2.4820354550247665</v>
      </c>
      <c r="BX897" s="8">
        <v>6.36</v>
      </c>
      <c r="BY897" s="8">
        <v>93.636363599999996</v>
      </c>
      <c r="BZ897" s="8">
        <v>6.36</v>
      </c>
      <c r="CA897" s="8">
        <f>BZ897*SQRT(AL897)</f>
        <v>42.664177010695994</v>
      </c>
      <c r="CB897" s="8">
        <v>15</v>
      </c>
      <c r="CC897" s="8">
        <v>10</v>
      </c>
      <c r="CD897" s="8">
        <v>5.0000000000000001E-3</v>
      </c>
      <c r="CE897" s="8">
        <v>4.5999999999999999E-3</v>
      </c>
      <c r="CF897" s="8" t="s">
        <v>1134</v>
      </c>
    </row>
    <row r="898" spans="1:84" s="8" customFormat="1" hidden="1" x14ac:dyDescent="0.2">
      <c r="B898" t="str">
        <f>ROW()-1&amp;"_AltersInvert"</f>
        <v>897_AltersInvert</v>
      </c>
      <c r="C898" t="str">
        <f>D898&amp;"_"&amp;
SUBSTITUTE(TRIM(V898)," ","_")&amp;"_"&amp;
TRIM(AC898)&amp;"_"&amp;
"CO2"&amp;TEXT(AN898,"0.00")&amp;"_"&amp;
"pH"&amp;TEXT(AR898,"0.00")&amp;"_"&amp;
"T"&amp;TEXT(BC898,"0.##")</f>
        <v>112_Loligo_vulgaris_EMBRYO_CO2433.00_pH8.03_T13.2</v>
      </c>
      <c r="D898" s="8">
        <v>112</v>
      </c>
      <c r="G898" s="8" t="s">
        <v>43</v>
      </c>
      <c r="H898" s="8" t="s">
        <v>832</v>
      </c>
      <c r="I898" s="8" t="s">
        <v>1130</v>
      </c>
      <c r="J898" s="8">
        <v>2014</v>
      </c>
      <c r="M898" s="8" t="s">
        <v>463</v>
      </c>
      <c r="P898" t="s">
        <v>1135</v>
      </c>
      <c r="R898" s="8" t="s">
        <v>1127</v>
      </c>
      <c r="S898" t="s">
        <v>1128</v>
      </c>
      <c r="T898" s="8" t="s">
        <v>68</v>
      </c>
      <c r="U898" s="8" t="s">
        <v>693</v>
      </c>
      <c r="V898" s="8" t="s">
        <v>833</v>
      </c>
      <c r="W898" s="8" t="str">
        <f>IF(ISNUMBER(MATCH(V292,{"Doryteuthis pealeii","Loligo vulgaris","Leptuca thayeri","Stylocheilus striatus","Ophryotrocha labronica"},0)),"N","Y")</f>
        <v>Y</v>
      </c>
      <c r="Z898" s="8" t="s">
        <v>49</v>
      </c>
      <c r="AA898" s="8" t="s">
        <v>49</v>
      </c>
      <c r="AB898" s="8" t="s">
        <v>71</v>
      </c>
      <c r="AC898" s="8" t="s">
        <v>195</v>
      </c>
      <c r="AD898" s="8" t="s">
        <v>52</v>
      </c>
      <c r="AE898" s="8" t="s">
        <v>53</v>
      </c>
      <c r="AF898" s="8" t="s">
        <v>54</v>
      </c>
      <c r="AG898" s="8" t="s">
        <v>52</v>
      </c>
      <c r="AH898" s="8" t="s">
        <v>65</v>
      </c>
      <c r="AK898" s="8">
        <v>45</v>
      </c>
      <c r="AL898" s="8">
        <v>45</v>
      </c>
      <c r="AN898" s="8">
        <v>433</v>
      </c>
      <c r="AO898" s="8" t="s">
        <v>56</v>
      </c>
      <c r="AP898" s="8">
        <v>24</v>
      </c>
      <c r="AQ898" s="8" t="s">
        <v>109</v>
      </c>
      <c r="AR898" s="8">
        <v>8.0299999999999994</v>
      </c>
      <c r="AS898" s="8" t="s">
        <v>56</v>
      </c>
      <c r="AT898" s="8">
        <v>0.02</v>
      </c>
      <c r="AU898" s="8">
        <v>440</v>
      </c>
      <c r="AV898" t="s">
        <v>56</v>
      </c>
      <c r="AW898">
        <v>12</v>
      </c>
      <c r="AX898">
        <v>8.0299999999999994</v>
      </c>
      <c r="AY898" t="s">
        <v>56</v>
      </c>
      <c r="AZ898">
        <v>0.01</v>
      </c>
      <c r="BB898" s="8">
        <f>LOG(AU898)</f>
        <v>2.6434526764861874</v>
      </c>
      <c r="BC898" s="8">
        <v>13.2</v>
      </c>
      <c r="BD898" s="8" t="s">
        <v>56</v>
      </c>
      <c r="BE898" s="8">
        <v>0.3</v>
      </c>
      <c r="BF898" s="8">
        <v>15.1</v>
      </c>
      <c r="BG898" s="8" t="s">
        <v>56</v>
      </c>
      <c r="BH898" s="8">
        <v>0.3</v>
      </c>
      <c r="BI898" s="8">
        <v>7</v>
      </c>
      <c r="BJ898" s="8">
        <v>1.9</v>
      </c>
      <c r="BK898" s="8" t="s">
        <v>834</v>
      </c>
      <c r="BL898" s="8" t="s">
        <v>85</v>
      </c>
      <c r="BM898" s="8" t="s">
        <v>86</v>
      </c>
      <c r="BN898" s="8" t="s">
        <v>81</v>
      </c>
      <c r="BO898" s="8" t="s">
        <v>82</v>
      </c>
      <c r="BP898" s="8" t="s">
        <v>9</v>
      </c>
      <c r="BQ898" s="8" t="s">
        <v>9</v>
      </c>
      <c r="BR898" s="8" t="s">
        <v>84</v>
      </c>
      <c r="BT898" s="8">
        <v>6.83</v>
      </c>
      <c r="BU898" s="8">
        <v>93.170732000000001</v>
      </c>
      <c r="BV898" s="8">
        <v>0.37</v>
      </c>
      <c r="BW898" s="8">
        <f>BV898*SQRT(AK898)</f>
        <v>2.4820354550247665</v>
      </c>
      <c r="BX898" s="8">
        <v>32.9</v>
      </c>
      <c r="BY898" s="8">
        <v>67.095343700000001</v>
      </c>
      <c r="BZ898" s="8">
        <v>32.9</v>
      </c>
      <c r="CA898" s="8">
        <f>BZ898*SQRT(AL898)</f>
        <v>220.69990937922924</v>
      </c>
      <c r="CB898" s="8">
        <v>15</v>
      </c>
      <c r="CC898" s="8">
        <v>10</v>
      </c>
      <c r="CD898" s="8">
        <v>-0.32800000000000001</v>
      </c>
      <c r="CE898" s="8">
        <v>0.24049999999999999</v>
      </c>
      <c r="CF898" s="8" t="s">
        <v>1134</v>
      </c>
    </row>
    <row r="899" spans="1:84" s="8" customFormat="1" hidden="1" x14ac:dyDescent="0.2">
      <c r="B899" t="str">
        <f>ROW()-1&amp;"_AltersInvert"</f>
        <v>898_AltersInvert</v>
      </c>
      <c r="C899" t="str">
        <f>D899&amp;"_"&amp;
SUBSTITUTE(TRIM(V899)," ","_")&amp;"_"&amp;
TRIM(AC899)&amp;"_"&amp;
"CO2"&amp;TEXT(AN899,"0.00")&amp;"_"&amp;
"pH"&amp;TEXT(AR899,"0.00")&amp;"_"&amp;
"T"&amp;TEXT(BC899,"0.##")</f>
        <v>112_Loligo_vulgaris_EMBRYO_CO2433.00_pH8.03_T13.2</v>
      </c>
      <c r="D899" s="8">
        <v>112</v>
      </c>
      <c r="G899" s="8" t="s">
        <v>43</v>
      </c>
      <c r="H899" s="8" t="s">
        <v>832</v>
      </c>
      <c r="I899" s="8" t="s">
        <v>1130</v>
      </c>
      <c r="J899" s="8">
        <v>2014</v>
      </c>
      <c r="M899" s="8" t="s">
        <v>463</v>
      </c>
      <c r="P899" t="s">
        <v>1135</v>
      </c>
      <c r="R899" s="8" t="s">
        <v>1127</v>
      </c>
      <c r="S899" t="s">
        <v>1128</v>
      </c>
      <c r="T899" s="8" t="s">
        <v>68</v>
      </c>
      <c r="U899" s="8" t="s">
        <v>693</v>
      </c>
      <c r="V899" s="8" t="s">
        <v>833</v>
      </c>
      <c r="W899" s="8" t="str">
        <f>IF(ISNUMBER(MATCH(V293,{"Doryteuthis pealeii","Loligo vulgaris","Leptuca thayeri","Stylocheilus striatus","Ophryotrocha labronica"},0)),"N","Y")</f>
        <v>Y</v>
      </c>
      <c r="Z899" s="8" t="s">
        <v>49</v>
      </c>
      <c r="AA899" s="8" t="s">
        <v>49</v>
      </c>
      <c r="AB899" s="8" t="s">
        <v>71</v>
      </c>
      <c r="AC899" s="8" t="s">
        <v>195</v>
      </c>
      <c r="AD899" s="8" t="s">
        <v>52</v>
      </c>
      <c r="AE899" s="8" t="s">
        <v>53</v>
      </c>
      <c r="AF899" s="8" t="s">
        <v>52</v>
      </c>
      <c r="AG899" s="8" t="s">
        <v>52</v>
      </c>
      <c r="AH899" s="8" t="s">
        <v>64</v>
      </c>
      <c r="AK899" s="8">
        <v>45</v>
      </c>
      <c r="AL899" s="8">
        <v>45</v>
      </c>
      <c r="AN899" s="8">
        <v>433</v>
      </c>
      <c r="AO899" s="8" t="s">
        <v>56</v>
      </c>
      <c r="AP899" s="8">
        <v>24</v>
      </c>
      <c r="AQ899" s="8" t="s">
        <v>109</v>
      </c>
      <c r="AR899" s="8">
        <v>8.0299999999999994</v>
      </c>
      <c r="AS899" s="8" t="s">
        <v>56</v>
      </c>
      <c r="AT899" s="8">
        <v>0.02</v>
      </c>
      <c r="AU899" s="8">
        <v>1641</v>
      </c>
      <c r="AV899" t="s">
        <v>56</v>
      </c>
      <c r="AW899">
        <v>80</v>
      </c>
      <c r="AX899">
        <v>7.53</v>
      </c>
      <c r="AY899" t="s">
        <v>56</v>
      </c>
      <c r="AZ899">
        <v>0.02</v>
      </c>
      <c r="BB899" s="8">
        <f>LOG(AU899)</f>
        <v>3.2151085810530931</v>
      </c>
      <c r="BC899" s="8">
        <v>13.2</v>
      </c>
      <c r="BD899" s="8" t="s">
        <v>56</v>
      </c>
      <c r="BE899" s="8">
        <v>0.3</v>
      </c>
      <c r="BF899" s="8">
        <v>15.3</v>
      </c>
      <c r="BG899" s="8" t="s">
        <v>56</v>
      </c>
      <c r="BH899" s="8">
        <v>0.2</v>
      </c>
      <c r="BI899" s="8">
        <v>1208</v>
      </c>
      <c r="BJ899" s="8">
        <v>2.1</v>
      </c>
      <c r="BK899" s="8" t="s">
        <v>834</v>
      </c>
      <c r="BL899" s="8" t="s">
        <v>85</v>
      </c>
      <c r="BM899" s="8" t="s">
        <v>86</v>
      </c>
      <c r="BN899" s="8" t="s">
        <v>81</v>
      </c>
      <c r="BO899" s="8" t="s">
        <v>82</v>
      </c>
      <c r="BP899" s="8" t="s">
        <v>9</v>
      </c>
      <c r="BQ899" s="8" t="s">
        <v>9</v>
      </c>
      <c r="BR899" s="8" t="s">
        <v>84</v>
      </c>
      <c r="BT899" s="8">
        <v>6.83</v>
      </c>
      <c r="BU899" s="8">
        <v>93.170732000000001</v>
      </c>
      <c r="BV899" s="8">
        <v>0.37</v>
      </c>
      <c r="BW899" s="8">
        <f>BV899*SQRT(AK899)</f>
        <v>2.4820354550247665</v>
      </c>
      <c r="BX899" s="8">
        <v>24.52</v>
      </c>
      <c r="BY899" s="8">
        <v>75.476718399999996</v>
      </c>
      <c r="BZ899" s="8">
        <v>24.52</v>
      </c>
      <c r="CA899" s="8">
        <f>BZ899*SQRT(AL899)</f>
        <v>164.48516042488453</v>
      </c>
      <c r="CB899" s="8">
        <v>15</v>
      </c>
      <c r="CC899" s="8">
        <v>10</v>
      </c>
      <c r="CD899" s="8">
        <v>-0.21099999999999999</v>
      </c>
      <c r="CE899" s="8">
        <v>0.1056</v>
      </c>
      <c r="CF899" s="8" t="s">
        <v>1134</v>
      </c>
    </row>
    <row r="900" spans="1:84" s="8" customFormat="1" hidden="1" x14ac:dyDescent="0.2">
      <c r="A900"/>
      <c r="B900" t="str">
        <f>ROW()-1&amp;"_AltersInvert"</f>
        <v>899_AltersInvert</v>
      </c>
      <c r="C900" t="str">
        <f>D900&amp;"_"&amp;
SUBSTITUTE(TRIM(V900)," ","_")&amp;"_"&amp;
TRIM(AC900)&amp;"_"&amp;
"CO2"&amp;TEXT(AN900,"0.00")&amp;"_"&amp;
"pH"&amp;TEXT(AR900,"0.00")&amp;"_"&amp;
"T"&amp;TEXT(BC900,"0.##")</f>
        <v>74_Orbicella_faveolata_LARVA_CO2419.00_pH8.15_T28.3</v>
      </c>
      <c r="D900">
        <v>74</v>
      </c>
      <c r="E900"/>
      <c r="F900"/>
      <c r="G900" t="s">
        <v>43</v>
      </c>
      <c r="H900" t="s">
        <v>656</v>
      </c>
      <c r="I900"/>
      <c r="J900">
        <v>2020</v>
      </c>
      <c r="K900"/>
      <c r="L900"/>
      <c r="M900" t="s">
        <v>657</v>
      </c>
      <c r="N900"/>
      <c r="O900"/>
      <c r="P900" t="s">
        <v>1135</v>
      </c>
      <c r="Q900"/>
      <c r="R900" t="s">
        <v>1127</v>
      </c>
      <c r="S900" t="s">
        <v>1128</v>
      </c>
      <c r="T900" t="s">
        <v>103</v>
      </c>
      <c r="U900" t="s">
        <v>534</v>
      </c>
      <c r="V900" t="s">
        <v>658</v>
      </c>
      <c r="W900"/>
      <c r="X900"/>
      <c r="Y900"/>
      <c r="Z900" t="s">
        <v>106</v>
      </c>
      <c r="AA900" t="s">
        <v>107</v>
      </c>
      <c r="AB900" t="s">
        <v>71</v>
      </c>
      <c r="AC900" t="s">
        <v>72</v>
      </c>
      <c r="AD900" t="s">
        <v>52</v>
      </c>
      <c r="AE900" t="s">
        <v>53</v>
      </c>
      <c r="AF900" t="s">
        <v>52</v>
      </c>
      <c r="AG900" t="s">
        <v>54</v>
      </c>
      <c r="AH900" t="s">
        <v>55</v>
      </c>
      <c r="AI900"/>
      <c r="AJ900"/>
      <c r="AK900">
        <v>3</v>
      </c>
      <c r="AL900">
        <v>3</v>
      </c>
      <c r="AM900"/>
      <c r="AN900">
        <v>419</v>
      </c>
      <c r="AO900" t="s">
        <v>56</v>
      </c>
      <c r="AP900" t="s">
        <v>56</v>
      </c>
      <c r="AQ900" t="s">
        <v>57</v>
      </c>
      <c r="AR900">
        <v>8.15</v>
      </c>
      <c r="AS900" t="s">
        <v>56</v>
      </c>
      <c r="AT900" t="s">
        <v>56</v>
      </c>
      <c r="AU900">
        <v>641</v>
      </c>
      <c r="AV900" t="s">
        <v>56</v>
      </c>
      <c r="AW900" t="s">
        <v>56</v>
      </c>
      <c r="AX900">
        <v>8</v>
      </c>
      <c r="AY900" t="s">
        <v>56</v>
      </c>
      <c r="AZ900" t="s">
        <v>56</v>
      </c>
      <c r="BA900"/>
      <c r="BB900">
        <f>LOG(AU900)</f>
        <v>2.8068580295188172</v>
      </c>
      <c r="BC900">
        <v>28.3</v>
      </c>
      <c r="BD900" t="s">
        <v>56</v>
      </c>
      <c r="BE900" t="s">
        <v>56</v>
      </c>
      <c r="BF900">
        <v>28.3</v>
      </c>
      <c r="BG900" t="s">
        <v>56</v>
      </c>
      <c r="BH900" t="s">
        <v>56</v>
      </c>
      <c r="BI900">
        <v>222</v>
      </c>
      <c r="BJ900">
        <v>0</v>
      </c>
      <c r="BK900" t="s">
        <v>56</v>
      </c>
      <c r="BL900" t="s">
        <v>83</v>
      </c>
      <c r="BM900" t="s">
        <v>83</v>
      </c>
      <c r="BN900" t="s">
        <v>81</v>
      </c>
      <c r="BO900" t="s">
        <v>82</v>
      </c>
      <c r="BP900" t="s">
        <v>83</v>
      </c>
      <c r="BQ900" t="s">
        <v>83</v>
      </c>
      <c r="BR900" t="s">
        <v>84</v>
      </c>
      <c r="BS900"/>
      <c r="BT900">
        <v>56.2</v>
      </c>
      <c r="BU900">
        <v>56.2</v>
      </c>
      <c r="BV900">
        <v>1.6</v>
      </c>
      <c r="BW900">
        <f>BV900*SQRT(AK900)</f>
        <v>2.7712812921102037</v>
      </c>
      <c r="BX900">
        <v>53.7</v>
      </c>
      <c r="BY900">
        <v>53.7</v>
      </c>
      <c r="BZ900">
        <v>1.6</v>
      </c>
      <c r="CA900">
        <f>BZ900*SQRT(AL900)</f>
        <v>2.7712812921102037</v>
      </c>
      <c r="CB900">
        <v>4</v>
      </c>
      <c r="CC900">
        <v>3</v>
      </c>
      <c r="CD900">
        <v>-4.5999999999999999E-2</v>
      </c>
      <c r="CE900">
        <v>1.6999999999999999E-3</v>
      </c>
      <c r="CF900"/>
    </row>
    <row r="901" spans="1:84" s="8" customFormat="1" hidden="1" x14ac:dyDescent="0.2">
      <c r="A901"/>
      <c r="B901" t="str">
        <f>ROW()-1&amp;"_AltersInvert"</f>
        <v>900_AltersInvert</v>
      </c>
      <c r="C901" t="str">
        <f>D901&amp;"_"&amp;
SUBSTITUTE(TRIM(V901)," ","_")&amp;"_"&amp;
TRIM(AC901)&amp;"_"&amp;
"CO2"&amp;TEXT(AN901,"0.00")&amp;"_"&amp;
"pH"&amp;TEXT(AR901,"0.00")&amp;"_"&amp;
"T"&amp;TEXT(BC901,"0.##")</f>
        <v>74_Orbicella_faveolata_LARVA_CO2419.00_pH8.15_T28.3</v>
      </c>
      <c r="D901">
        <v>74</v>
      </c>
      <c r="E901"/>
      <c r="F901"/>
      <c r="G901" t="s">
        <v>43</v>
      </c>
      <c r="H901" t="s">
        <v>656</v>
      </c>
      <c r="I901"/>
      <c r="J901">
        <v>2020</v>
      </c>
      <c r="K901"/>
      <c r="L901"/>
      <c r="M901" t="s">
        <v>657</v>
      </c>
      <c r="N901"/>
      <c r="O901"/>
      <c r="P901" t="s">
        <v>1135</v>
      </c>
      <c r="Q901"/>
      <c r="R901" t="s">
        <v>1127</v>
      </c>
      <c r="S901" t="s">
        <v>1128</v>
      </c>
      <c r="T901" t="s">
        <v>103</v>
      </c>
      <c r="U901" t="s">
        <v>534</v>
      </c>
      <c r="V901" t="s">
        <v>658</v>
      </c>
      <c r="W901"/>
      <c r="X901"/>
      <c r="Y901"/>
      <c r="Z901" t="s">
        <v>106</v>
      </c>
      <c r="AA901" t="s">
        <v>107</v>
      </c>
      <c r="AB901" t="s">
        <v>71</v>
      </c>
      <c r="AC901" t="s">
        <v>72</v>
      </c>
      <c r="AD901" t="s">
        <v>52</v>
      </c>
      <c r="AE901" t="s">
        <v>53</v>
      </c>
      <c r="AF901" t="s">
        <v>54</v>
      </c>
      <c r="AG901" t="s">
        <v>52</v>
      </c>
      <c r="AH901" t="s">
        <v>65</v>
      </c>
      <c r="AI901"/>
      <c r="AJ901"/>
      <c r="AK901">
        <v>3</v>
      </c>
      <c r="AL901">
        <v>3</v>
      </c>
      <c r="AM901"/>
      <c r="AN901">
        <v>419</v>
      </c>
      <c r="AO901" t="s">
        <v>56</v>
      </c>
      <c r="AP901" t="s">
        <v>56</v>
      </c>
      <c r="AQ901" t="s">
        <v>57</v>
      </c>
      <c r="AR901">
        <v>8.15</v>
      </c>
      <c r="AS901" t="s">
        <v>56</v>
      </c>
      <c r="AT901" t="s">
        <v>56</v>
      </c>
      <c r="AU901">
        <v>415</v>
      </c>
      <c r="AV901" t="s">
        <v>56</v>
      </c>
      <c r="AW901" t="s">
        <v>56</v>
      </c>
      <c r="AX901">
        <v>8.16</v>
      </c>
      <c r="AY901" t="s">
        <v>56</v>
      </c>
      <c r="AZ901" t="s">
        <v>56</v>
      </c>
      <c r="BA901"/>
      <c r="BB901">
        <f>LOG(AU901)</f>
        <v>2.6180480967120925</v>
      </c>
      <c r="BC901">
        <v>28.3</v>
      </c>
      <c r="BD901" t="s">
        <v>56</v>
      </c>
      <c r="BE901" t="s">
        <v>56</v>
      </c>
      <c r="BF901">
        <v>29.9</v>
      </c>
      <c r="BG901" t="s">
        <v>56</v>
      </c>
      <c r="BH901" t="s">
        <v>56</v>
      </c>
      <c r="BI901">
        <v>-4</v>
      </c>
      <c r="BJ901">
        <v>1.6</v>
      </c>
      <c r="BK901" t="s">
        <v>56</v>
      </c>
      <c r="BL901" t="s">
        <v>83</v>
      </c>
      <c r="BM901" t="s">
        <v>83</v>
      </c>
      <c r="BN901" t="s">
        <v>81</v>
      </c>
      <c r="BO901" t="s">
        <v>82</v>
      </c>
      <c r="BP901" t="s">
        <v>83</v>
      </c>
      <c r="BQ901" t="s">
        <v>83</v>
      </c>
      <c r="BR901" t="s">
        <v>84</v>
      </c>
      <c r="BS901"/>
      <c r="BT901">
        <v>56.2</v>
      </c>
      <c r="BU901">
        <v>56.2</v>
      </c>
      <c r="BV901">
        <v>1.6</v>
      </c>
      <c r="BW901">
        <f>BV901*SQRT(AK901)</f>
        <v>2.7712812921102037</v>
      </c>
      <c r="BX901">
        <v>8.3000000000000007</v>
      </c>
      <c r="BY901">
        <v>8.3000000000000007</v>
      </c>
      <c r="BZ901">
        <v>1.2</v>
      </c>
      <c r="CA901">
        <f>BZ901*SQRT(AL901)</f>
        <v>2.0784609690826525</v>
      </c>
      <c r="CB901">
        <v>4</v>
      </c>
      <c r="CC901">
        <v>3</v>
      </c>
      <c r="CD901">
        <v>-1.913</v>
      </c>
      <c r="CE901">
        <v>2.1700000000000001E-2</v>
      </c>
      <c r="CF901"/>
    </row>
    <row r="902" spans="1:84" hidden="1" x14ac:dyDescent="0.2">
      <c r="D902">
        <v>59</v>
      </c>
      <c r="G902" t="s">
        <v>43</v>
      </c>
      <c r="H902" t="s">
        <v>575</v>
      </c>
      <c r="J902">
        <v>2016</v>
      </c>
      <c r="M902" t="s">
        <v>576</v>
      </c>
      <c r="T902" t="s">
        <v>68</v>
      </c>
      <c r="U902" t="s">
        <v>577</v>
      </c>
      <c r="V902" t="s">
        <v>578</v>
      </c>
      <c r="Z902" t="s">
        <v>49</v>
      </c>
      <c r="AA902" t="s">
        <v>49</v>
      </c>
      <c r="AB902" t="s">
        <v>50</v>
      </c>
      <c r="AC902" t="s">
        <v>51</v>
      </c>
      <c r="AD902" t="s">
        <v>52</v>
      </c>
      <c r="AE902" t="s">
        <v>53</v>
      </c>
      <c r="AF902" t="s">
        <v>52</v>
      </c>
      <c r="AG902" t="s">
        <v>52</v>
      </c>
      <c r="AH902" t="s">
        <v>64</v>
      </c>
      <c r="AK902">
        <v>12</v>
      </c>
      <c r="AL902">
        <v>12</v>
      </c>
      <c r="AN902">
        <v>322</v>
      </c>
      <c r="AO902">
        <v>7</v>
      </c>
      <c r="AP902" t="s">
        <v>56</v>
      </c>
      <c r="AQ902" t="s">
        <v>109</v>
      </c>
      <c r="AR902">
        <v>8.14</v>
      </c>
      <c r="AS902">
        <v>0.01</v>
      </c>
      <c r="AT902" t="s">
        <v>56</v>
      </c>
      <c r="AU902">
        <v>781</v>
      </c>
      <c r="AV902">
        <v>20</v>
      </c>
      <c r="AW902" t="s">
        <v>56</v>
      </c>
      <c r="AX902">
        <v>7.81</v>
      </c>
      <c r="AY902">
        <v>0.01</v>
      </c>
      <c r="AZ902" t="s">
        <v>56</v>
      </c>
      <c r="BB902">
        <f>LOG(AU902)</f>
        <v>2.8926510338773004</v>
      </c>
      <c r="BC902">
        <v>9.6999999999999993</v>
      </c>
      <c r="BD902">
        <v>0.2</v>
      </c>
      <c r="BE902" t="s">
        <v>56</v>
      </c>
      <c r="BF902">
        <v>13</v>
      </c>
      <c r="BG902">
        <v>0.1</v>
      </c>
      <c r="BH902" t="s">
        <v>56</v>
      </c>
      <c r="BI902">
        <v>459</v>
      </c>
      <c r="BJ902">
        <v>3.3</v>
      </c>
      <c r="BK902" t="s">
        <v>579</v>
      </c>
      <c r="BL902" t="s">
        <v>268</v>
      </c>
      <c r="BM902" t="s">
        <v>232</v>
      </c>
      <c r="BN902" t="s">
        <v>81</v>
      </c>
      <c r="BO902" t="s">
        <v>580</v>
      </c>
      <c r="BP902" t="s">
        <v>234</v>
      </c>
      <c r="BR902" t="s">
        <v>63</v>
      </c>
      <c r="BT902">
        <v>0.81</v>
      </c>
      <c r="BU902">
        <v>0.81145599999999996</v>
      </c>
      <c r="BV902">
        <v>0.28999999999999998</v>
      </c>
      <c r="BW902">
        <f>BV902*SQRT(AK902)</f>
        <v>1.0045894683899488</v>
      </c>
      <c r="BX902">
        <v>0.2</v>
      </c>
      <c r="BY902">
        <v>0.195301</v>
      </c>
      <c r="BZ902">
        <v>0.61</v>
      </c>
      <c r="CA902">
        <f>BZ902*SQRT(AL902)</f>
        <v>2.1131019852340303</v>
      </c>
      <c r="CB902">
        <v>56</v>
      </c>
      <c r="CC902">
        <v>3</v>
      </c>
      <c r="CD902">
        <v>-1.4239999999999999</v>
      </c>
      <c r="CE902">
        <v>9.9452999999999996</v>
      </c>
    </row>
    <row r="903" spans="1:84" hidden="1" x14ac:dyDescent="0.2">
      <c r="D903">
        <v>59</v>
      </c>
      <c r="G903" t="s">
        <v>43</v>
      </c>
      <c r="H903" t="s">
        <v>575</v>
      </c>
      <c r="J903">
        <v>2016</v>
      </c>
      <c r="M903" t="s">
        <v>576</v>
      </c>
      <c r="T903" t="s">
        <v>68</v>
      </c>
      <c r="U903" t="s">
        <v>577</v>
      </c>
      <c r="V903" t="s">
        <v>578</v>
      </c>
      <c r="Z903" t="s">
        <v>49</v>
      </c>
      <c r="AA903" t="s">
        <v>49</v>
      </c>
      <c r="AB903" t="s">
        <v>50</v>
      </c>
      <c r="AC903" t="s">
        <v>51</v>
      </c>
      <c r="AD903" t="s">
        <v>52</v>
      </c>
      <c r="AE903" t="s">
        <v>53</v>
      </c>
      <c r="AF903" t="s">
        <v>54</v>
      </c>
      <c r="AG903" t="s">
        <v>52</v>
      </c>
      <c r="AH903" t="s">
        <v>65</v>
      </c>
      <c r="AK903">
        <v>12</v>
      </c>
      <c r="AL903">
        <v>12</v>
      </c>
      <c r="AN903">
        <v>322</v>
      </c>
      <c r="AO903">
        <v>7</v>
      </c>
      <c r="AP903" t="s">
        <v>56</v>
      </c>
      <c r="AQ903" t="s">
        <v>109</v>
      </c>
      <c r="AR903">
        <v>8.14</v>
      </c>
      <c r="AS903">
        <v>0.01</v>
      </c>
      <c r="AT903" t="s">
        <v>56</v>
      </c>
      <c r="AU903">
        <v>376</v>
      </c>
      <c r="AV903">
        <v>10</v>
      </c>
      <c r="AW903" t="s">
        <v>56</v>
      </c>
      <c r="AX903">
        <v>8.08</v>
      </c>
      <c r="AY903">
        <v>0.01</v>
      </c>
      <c r="AZ903" t="s">
        <v>56</v>
      </c>
      <c r="BB903">
        <f>LOG(AU903)</f>
        <v>2.5751878449276608</v>
      </c>
      <c r="BC903">
        <v>9.6999999999999993</v>
      </c>
      <c r="BD903">
        <v>0.2</v>
      </c>
      <c r="BE903" t="s">
        <v>56</v>
      </c>
      <c r="BF903">
        <v>15.9</v>
      </c>
      <c r="BG903">
        <v>0.1</v>
      </c>
      <c r="BH903" t="s">
        <v>56</v>
      </c>
      <c r="BI903">
        <v>54</v>
      </c>
      <c r="BJ903">
        <v>6.2</v>
      </c>
      <c r="BK903" t="s">
        <v>579</v>
      </c>
      <c r="BL903" t="s">
        <v>581</v>
      </c>
      <c r="BM903" t="s">
        <v>75</v>
      </c>
      <c r="BN903" t="s">
        <v>60</v>
      </c>
      <c r="BO903" t="s">
        <v>582</v>
      </c>
      <c r="BP903" t="s">
        <v>77</v>
      </c>
      <c r="BR903" t="s">
        <v>63</v>
      </c>
      <c r="BT903">
        <v>23.09</v>
      </c>
      <c r="BU903">
        <v>23.090091000000001</v>
      </c>
      <c r="BV903">
        <v>2.5099999999999998</v>
      </c>
      <c r="BW903">
        <f>BV903*SQRT(AK903)</f>
        <v>8.6948950539957632</v>
      </c>
      <c r="BX903">
        <v>13.89</v>
      </c>
      <c r="BY903">
        <v>13.892811999999999</v>
      </c>
      <c r="BZ903">
        <v>1.29</v>
      </c>
      <c r="CA903">
        <f>BZ903*SQRT(AL903)</f>
        <v>4.4686910835277036</v>
      </c>
      <c r="CB903">
        <v>91</v>
      </c>
      <c r="CC903">
        <v>3</v>
      </c>
      <c r="CD903">
        <v>-0.50800000000000001</v>
      </c>
      <c r="CE903">
        <v>2.0400000000000001E-2</v>
      </c>
    </row>
    <row r="904" spans="1:84" hidden="1" x14ac:dyDescent="0.2">
      <c r="D904">
        <v>59</v>
      </c>
      <c r="G904" t="s">
        <v>43</v>
      </c>
      <c r="H904" t="s">
        <v>575</v>
      </c>
      <c r="J904">
        <v>2016</v>
      </c>
      <c r="M904" t="s">
        <v>576</v>
      </c>
      <c r="T904" t="s">
        <v>68</v>
      </c>
      <c r="U904" t="s">
        <v>577</v>
      </c>
      <c r="V904" t="s">
        <v>578</v>
      </c>
      <c r="Z904" t="s">
        <v>49</v>
      </c>
      <c r="AA904" t="s">
        <v>49</v>
      </c>
      <c r="AB904" t="s">
        <v>50</v>
      </c>
      <c r="AC904" t="s">
        <v>51</v>
      </c>
      <c r="AD904" t="s">
        <v>52</v>
      </c>
      <c r="AE904" t="s">
        <v>53</v>
      </c>
      <c r="AF904" t="s">
        <v>52</v>
      </c>
      <c r="AG904" t="s">
        <v>54</v>
      </c>
      <c r="AH904" t="s">
        <v>55</v>
      </c>
      <c r="AK904">
        <v>12</v>
      </c>
      <c r="AL904">
        <v>12</v>
      </c>
      <c r="AN904">
        <v>322</v>
      </c>
      <c r="AO904">
        <v>7</v>
      </c>
      <c r="AP904" t="s">
        <v>56</v>
      </c>
      <c r="AQ904" t="s">
        <v>109</v>
      </c>
      <c r="AR904">
        <v>8.14</v>
      </c>
      <c r="AS904">
        <v>0.01</v>
      </c>
      <c r="AT904" t="s">
        <v>56</v>
      </c>
      <c r="AU904">
        <v>1486</v>
      </c>
      <c r="AV904">
        <v>75</v>
      </c>
      <c r="AW904" t="s">
        <v>56</v>
      </c>
      <c r="AX904">
        <v>7.55</v>
      </c>
      <c r="AY904">
        <v>0.03</v>
      </c>
      <c r="AZ904" t="s">
        <v>56</v>
      </c>
      <c r="BB904">
        <f>LOG(AU904)</f>
        <v>3.1720188094245563</v>
      </c>
      <c r="BC904">
        <v>9.6999999999999993</v>
      </c>
      <c r="BD904">
        <v>0.2</v>
      </c>
      <c r="BE904" t="s">
        <v>56</v>
      </c>
      <c r="BF904">
        <v>9.5</v>
      </c>
      <c r="BG904">
        <v>0.2</v>
      </c>
      <c r="BH904" t="s">
        <v>56</v>
      </c>
      <c r="BI904">
        <v>1164</v>
      </c>
      <c r="BJ904">
        <v>-0.2</v>
      </c>
      <c r="BK904" t="s">
        <v>579</v>
      </c>
      <c r="BL904" t="s">
        <v>581</v>
      </c>
      <c r="BM904" t="s">
        <v>75</v>
      </c>
      <c r="BN904" t="s">
        <v>60</v>
      </c>
      <c r="BO904" t="s">
        <v>582</v>
      </c>
      <c r="BP904" t="s">
        <v>77</v>
      </c>
      <c r="BR904" t="s">
        <v>63</v>
      </c>
      <c r="BT904">
        <v>23.09</v>
      </c>
      <c r="BU904">
        <v>23.090091000000001</v>
      </c>
      <c r="BV904">
        <v>2.5099999999999998</v>
      </c>
      <c r="BW904">
        <f>BV904*SQRT(AK904)</f>
        <v>8.6948950539957632</v>
      </c>
      <c r="BX904">
        <v>15.45</v>
      </c>
      <c r="BY904">
        <v>15.447354000000001</v>
      </c>
      <c r="BZ904">
        <v>3.39</v>
      </c>
      <c r="CA904">
        <f>BZ904*SQRT(AL904)</f>
        <v>11.743304475316988</v>
      </c>
      <c r="CB904">
        <v>21</v>
      </c>
      <c r="CC904">
        <v>3</v>
      </c>
      <c r="CD904">
        <v>-0.40200000000000002</v>
      </c>
      <c r="CE904">
        <v>0.06</v>
      </c>
    </row>
    <row r="905" spans="1:84" hidden="1" x14ac:dyDescent="0.2">
      <c r="D905">
        <v>59</v>
      </c>
      <c r="G905" t="s">
        <v>43</v>
      </c>
      <c r="H905" t="s">
        <v>575</v>
      </c>
      <c r="J905">
        <v>2016</v>
      </c>
      <c r="M905" t="s">
        <v>576</v>
      </c>
      <c r="T905" t="s">
        <v>68</v>
      </c>
      <c r="U905" t="s">
        <v>577</v>
      </c>
      <c r="V905" t="s">
        <v>578</v>
      </c>
      <c r="Z905" t="s">
        <v>49</v>
      </c>
      <c r="AA905" t="s">
        <v>49</v>
      </c>
      <c r="AB905" t="s">
        <v>50</v>
      </c>
      <c r="AC905" t="s">
        <v>51</v>
      </c>
      <c r="AD905" t="s">
        <v>52</v>
      </c>
      <c r="AE905" t="s">
        <v>53</v>
      </c>
      <c r="AF905" t="s">
        <v>52</v>
      </c>
      <c r="AG905" t="s">
        <v>54</v>
      </c>
      <c r="AH905" t="s">
        <v>55</v>
      </c>
      <c r="AK905">
        <v>12</v>
      </c>
      <c r="AL905">
        <v>12</v>
      </c>
      <c r="AN905">
        <v>322</v>
      </c>
      <c r="AO905">
        <v>7</v>
      </c>
      <c r="AP905" t="s">
        <v>56</v>
      </c>
      <c r="AQ905" t="s">
        <v>109</v>
      </c>
      <c r="AR905">
        <v>8.14</v>
      </c>
      <c r="AS905">
        <v>0.01</v>
      </c>
      <c r="AT905" t="s">
        <v>56</v>
      </c>
      <c r="AU905">
        <v>729</v>
      </c>
      <c r="AV905">
        <v>19</v>
      </c>
      <c r="AW905" t="s">
        <v>56</v>
      </c>
      <c r="AX905">
        <v>7.82</v>
      </c>
      <c r="AY905">
        <v>0.01</v>
      </c>
      <c r="AZ905" t="s">
        <v>56</v>
      </c>
      <c r="BB905">
        <f>LOG(AU905)</f>
        <v>2.8627275283179747</v>
      </c>
      <c r="BC905">
        <v>9.6999999999999993</v>
      </c>
      <c r="BD905">
        <v>0.2</v>
      </c>
      <c r="BE905" t="s">
        <v>56</v>
      </c>
      <c r="BF905">
        <v>9.8000000000000007</v>
      </c>
      <c r="BG905">
        <v>0.2</v>
      </c>
      <c r="BH905" t="s">
        <v>56</v>
      </c>
      <c r="BI905">
        <v>407</v>
      </c>
      <c r="BJ905">
        <v>0.1</v>
      </c>
      <c r="BK905" t="s">
        <v>579</v>
      </c>
      <c r="BL905" t="s">
        <v>268</v>
      </c>
      <c r="BM905" t="s">
        <v>232</v>
      </c>
      <c r="BN905" t="s">
        <v>81</v>
      </c>
      <c r="BO905" t="s">
        <v>580</v>
      </c>
      <c r="BP905" t="s">
        <v>234</v>
      </c>
      <c r="BR905" t="s">
        <v>63</v>
      </c>
      <c r="BT905">
        <v>0.81</v>
      </c>
      <c r="BU905">
        <v>0.81145599999999996</v>
      </c>
      <c r="BV905">
        <v>0.28999999999999998</v>
      </c>
      <c r="BW905">
        <f>BV905*SQRT(AK905)</f>
        <v>1.0045894683899488</v>
      </c>
      <c r="BX905">
        <v>0.56999999999999995</v>
      </c>
      <c r="BY905">
        <v>0.57453799999999999</v>
      </c>
      <c r="BZ905">
        <v>0.53</v>
      </c>
      <c r="CA905">
        <f>BZ905*SQRT(AL905)</f>
        <v>1.8359738560230099</v>
      </c>
      <c r="CB905">
        <v>21</v>
      </c>
      <c r="CC905">
        <v>3</v>
      </c>
      <c r="CD905">
        <v>-0.34499999999999997</v>
      </c>
      <c r="CE905">
        <v>0.96930000000000005</v>
      </c>
    </row>
    <row r="906" spans="1:84" hidden="1" x14ac:dyDescent="0.2">
      <c r="D906">
        <v>59</v>
      </c>
      <c r="G906" t="s">
        <v>43</v>
      </c>
      <c r="H906" t="s">
        <v>575</v>
      </c>
      <c r="J906">
        <v>2016</v>
      </c>
      <c r="M906" t="s">
        <v>576</v>
      </c>
      <c r="T906" t="s">
        <v>68</v>
      </c>
      <c r="U906" t="s">
        <v>577</v>
      </c>
      <c r="V906" t="s">
        <v>578</v>
      </c>
      <c r="Z906" t="s">
        <v>49</v>
      </c>
      <c r="AA906" t="s">
        <v>49</v>
      </c>
      <c r="AB906" t="s">
        <v>50</v>
      </c>
      <c r="AC906" t="s">
        <v>51</v>
      </c>
      <c r="AD906" t="s">
        <v>52</v>
      </c>
      <c r="AE906" t="s">
        <v>53</v>
      </c>
      <c r="AF906" t="s">
        <v>52</v>
      </c>
      <c r="AG906" t="s">
        <v>52</v>
      </c>
      <c r="AH906" t="s">
        <v>64</v>
      </c>
      <c r="AK906">
        <v>12</v>
      </c>
      <c r="AL906">
        <v>12</v>
      </c>
      <c r="AN906">
        <v>322</v>
      </c>
      <c r="AO906">
        <v>7</v>
      </c>
      <c r="AP906" t="s">
        <v>56</v>
      </c>
      <c r="AQ906" t="s">
        <v>109</v>
      </c>
      <c r="AR906">
        <v>8.14</v>
      </c>
      <c r="AS906">
        <v>0.01</v>
      </c>
      <c r="AT906" t="s">
        <v>56</v>
      </c>
      <c r="AU906">
        <v>1557</v>
      </c>
      <c r="AV906">
        <v>43</v>
      </c>
      <c r="AW906" t="s">
        <v>56</v>
      </c>
      <c r="AX906">
        <v>7.53</v>
      </c>
      <c r="AY906">
        <v>0.01</v>
      </c>
      <c r="AZ906" t="s">
        <v>56</v>
      </c>
      <c r="BB906">
        <f>LOG(AU906)</f>
        <v>3.1922886125681202</v>
      </c>
      <c r="BC906">
        <v>9.6999999999999993</v>
      </c>
      <c r="BD906">
        <v>0.2</v>
      </c>
      <c r="BE906" t="s">
        <v>56</v>
      </c>
      <c r="BF906">
        <v>12.8</v>
      </c>
      <c r="BG906">
        <v>0.1</v>
      </c>
      <c r="BH906" t="s">
        <v>56</v>
      </c>
      <c r="BI906">
        <v>1235</v>
      </c>
      <c r="BJ906">
        <v>3.1</v>
      </c>
      <c r="BK906" t="s">
        <v>579</v>
      </c>
      <c r="BL906" t="s">
        <v>581</v>
      </c>
      <c r="BM906" t="s">
        <v>75</v>
      </c>
      <c r="BN906" t="s">
        <v>60</v>
      </c>
      <c r="BO906" t="s">
        <v>582</v>
      </c>
      <c r="BP906" t="s">
        <v>77</v>
      </c>
      <c r="BR906" t="s">
        <v>63</v>
      </c>
      <c r="BT906">
        <v>23.09</v>
      </c>
      <c r="BU906">
        <v>23.090091000000001</v>
      </c>
      <c r="BV906">
        <v>2.5099999999999998</v>
      </c>
      <c r="BW906">
        <f>BV906*SQRT(AK906)</f>
        <v>8.6948950539957632</v>
      </c>
      <c r="BX906">
        <v>17.04</v>
      </c>
      <c r="BY906">
        <v>17.038882000000001</v>
      </c>
      <c r="BZ906">
        <v>2.69</v>
      </c>
      <c r="CA906">
        <f>BZ906*SQRT(AL906)</f>
        <v>9.3184333447205585</v>
      </c>
      <c r="CB906">
        <v>56</v>
      </c>
      <c r="CC906">
        <v>3</v>
      </c>
      <c r="CD906">
        <v>-0.30399999999999999</v>
      </c>
      <c r="CE906">
        <v>3.6700000000000003E-2</v>
      </c>
    </row>
    <row r="907" spans="1:84" hidden="1" x14ac:dyDescent="0.2">
      <c r="D907">
        <v>59</v>
      </c>
      <c r="G907" t="s">
        <v>43</v>
      </c>
      <c r="H907" t="s">
        <v>575</v>
      </c>
      <c r="J907">
        <v>2016</v>
      </c>
      <c r="M907" t="s">
        <v>576</v>
      </c>
      <c r="T907" t="s">
        <v>68</v>
      </c>
      <c r="U907" t="s">
        <v>577</v>
      </c>
      <c r="V907" t="s">
        <v>578</v>
      </c>
      <c r="Z907" t="s">
        <v>49</v>
      </c>
      <c r="AA907" t="s">
        <v>49</v>
      </c>
      <c r="AB907" t="s">
        <v>50</v>
      </c>
      <c r="AC907" t="s">
        <v>51</v>
      </c>
      <c r="AD907" t="s">
        <v>52</v>
      </c>
      <c r="AE907" t="s">
        <v>53</v>
      </c>
      <c r="AF907" t="s">
        <v>52</v>
      </c>
      <c r="AG907" t="s">
        <v>52</v>
      </c>
      <c r="AH907" t="s">
        <v>64</v>
      </c>
      <c r="AK907">
        <v>12</v>
      </c>
      <c r="AL907">
        <v>12</v>
      </c>
      <c r="AN907">
        <v>322</v>
      </c>
      <c r="AO907">
        <v>7</v>
      </c>
      <c r="AP907" t="s">
        <v>56</v>
      </c>
      <c r="AQ907" t="s">
        <v>109</v>
      </c>
      <c r="AR907">
        <v>8.14</v>
      </c>
      <c r="AS907">
        <v>0.01</v>
      </c>
      <c r="AT907" t="s">
        <v>56</v>
      </c>
      <c r="AU907">
        <v>1492</v>
      </c>
      <c r="AV907">
        <v>19</v>
      </c>
      <c r="AW907" t="s">
        <v>56</v>
      </c>
      <c r="AX907">
        <v>7.55</v>
      </c>
      <c r="AY907">
        <v>0.01</v>
      </c>
      <c r="AZ907" t="s">
        <v>56</v>
      </c>
      <c r="BB907">
        <f>LOG(AU907)</f>
        <v>3.1737688231366499</v>
      </c>
      <c r="BC907">
        <v>9.6999999999999993</v>
      </c>
      <c r="BD907">
        <v>0.2</v>
      </c>
      <c r="BE907" t="s">
        <v>56</v>
      </c>
      <c r="BF907">
        <v>16</v>
      </c>
      <c r="BG907">
        <v>0.1</v>
      </c>
      <c r="BH907" t="s">
        <v>56</v>
      </c>
      <c r="BI907">
        <v>1170</v>
      </c>
      <c r="BJ907">
        <v>6.3</v>
      </c>
      <c r="BK907" t="s">
        <v>579</v>
      </c>
      <c r="BL907" t="s">
        <v>581</v>
      </c>
      <c r="BM907" t="s">
        <v>75</v>
      </c>
      <c r="BN907" t="s">
        <v>60</v>
      </c>
      <c r="BO907" t="s">
        <v>582</v>
      </c>
      <c r="BP907" t="s">
        <v>77</v>
      </c>
      <c r="BR907" t="s">
        <v>63</v>
      </c>
      <c r="BT907">
        <v>23.09</v>
      </c>
      <c r="BU907">
        <v>23.090091000000001</v>
      </c>
      <c r="BV907">
        <v>2.5099999999999998</v>
      </c>
      <c r="BW907">
        <f>BV907*SQRT(AK907)</f>
        <v>8.6948950539957632</v>
      </c>
      <c r="BX907">
        <v>17.95</v>
      </c>
      <c r="BY907">
        <v>17.953098000000001</v>
      </c>
      <c r="BZ907">
        <v>2.34</v>
      </c>
      <c r="CA907">
        <f>BZ907*SQRT(AL907)</f>
        <v>8.1059977794223439</v>
      </c>
      <c r="CB907">
        <v>91</v>
      </c>
      <c r="CC907">
        <v>3</v>
      </c>
      <c r="CD907">
        <v>-0.252</v>
      </c>
      <c r="CE907">
        <v>2.8799999999999999E-2</v>
      </c>
    </row>
    <row r="908" spans="1:84" hidden="1" x14ac:dyDescent="0.2">
      <c r="D908">
        <v>59</v>
      </c>
      <c r="G908" t="s">
        <v>43</v>
      </c>
      <c r="H908" t="s">
        <v>575</v>
      </c>
      <c r="J908">
        <v>2016</v>
      </c>
      <c r="M908" t="s">
        <v>576</v>
      </c>
      <c r="T908" t="s">
        <v>68</v>
      </c>
      <c r="U908" t="s">
        <v>577</v>
      </c>
      <c r="V908" t="s">
        <v>578</v>
      </c>
      <c r="Z908" t="s">
        <v>49</v>
      </c>
      <c r="AA908" t="s">
        <v>49</v>
      </c>
      <c r="AB908" t="s">
        <v>50</v>
      </c>
      <c r="AC908" t="s">
        <v>51</v>
      </c>
      <c r="AD908" t="s">
        <v>52</v>
      </c>
      <c r="AE908" t="s">
        <v>53</v>
      </c>
      <c r="AF908" t="s">
        <v>52</v>
      </c>
      <c r="AG908" t="s">
        <v>52</v>
      </c>
      <c r="AH908" t="s">
        <v>64</v>
      </c>
      <c r="AK908">
        <v>12</v>
      </c>
      <c r="AL908">
        <v>12</v>
      </c>
      <c r="AN908">
        <v>322</v>
      </c>
      <c r="AO908">
        <v>7</v>
      </c>
      <c r="AP908" t="s">
        <v>56</v>
      </c>
      <c r="AQ908" t="s">
        <v>109</v>
      </c>
      <c r="AR908">
        <v>8.14</v>
      </c>
      <c r="AS908">
        <v>0.01</v>
      </c>
      <c r="AT908" t="s">
        <v>56</v>
      </c>
      <c r="AU908">
        <v>781</v>
      </c>
      <c r="AV908">
        <v>20</v>
      </c>
      <c r="AW908" t="s">
        <v>56</v>
      </c>
      <c r="AX908">
        <v>7.81</v>
      </c>
      <c r="AY908">
        <v>0.01</v>
      </c>
      <c r="AZ908" t="s">
        <v>56</v>
      </c>
      <c r="BB908">
        <f>LOG(AU908)</f>
        <v>2.8926510338773004</v>
      </c>
      <c r="BC908">
        <v>9.6999999999999993</v>
      </c>
      <c r="BD908">
        <v>0.2</v>
      </c>
      <c r="BE908" t="s">
        <v>56</v>
      </c>
      <c r="BF908">
        <v>13</v>
      </c>
      <c r="BG908">
        <v>0.1</v>
      </c>
      <c r="BH908" t="s">
        <v>56</v>
      </c>
      <c r="BI908">
        <v>459</v>
      </c>
      <c r="BJ908">
        <v>3.3</v>
      </c>
      <c r="BK908" t="s">
        <v>579</v>
      </c>
      <c r="BL908" t="s">
        <v>581</v>
      </c>
      <c r="BM908" t="s">
        <v>75</v>
      </c>
      <c r="BN908" t="s">
        <v>60</v>
      </c>
      <c r="BO908" t="s">
        <v>582</v>
      </c>
      <c r="BP908" t="s">
        <v>77</v>
      </c>
      <c r="BR908" t="s">
        <v>63</v>
      </c>
      <c r="BT908">
        <v>23.09</v>
      </c>
      <c r="BU908">
        <v>23.090091000000001</v>
      </c>
      <c r="BV908">
        <v>2.5099999999999998</v>
      </c>
      <c r="BW908">
        <f>BV908*SQRT(AK908)</f>
        <v>8.6948950539957632</v>
      </c>
      <c r="BX908">
        <v>19.02</v>
      </c>
      <c r="BY908">
        <v>19.015498000000001</v>
      </c>
      <c r="BZ908">
        <v>3.67</v>
      </c>
      <c r="CA908">
        <f>BZ908*SQRT(AL908)</f>
        <v>12.713252927555558</v>
      </c>
      <c r="CB908">
        <v>56</v>
      </c>
      <c r="CC908">
        <v>3</v>
      </c>
      <c r="CD908">
        <v>-0.19400000000000001</v>
      </c>
      <c r="CE908">
        <v>4.9099999999999998E-2</v>
      </c>
    </row>
    <row r="909" spans="1:84" hidden="1" x14ac:dyDescent="0.2">
      <c r="D909">
        <v>59</v>
      </c>
      <c r="G909" t="s">
        <v>43</v>
      </c>
      <c r="H909" t="s">
        <v>575</v>
      </c>
      <c r="J909">
        <v>2016</v>
      </c>
      <c r="M909" t="s">
        <v>576</v>
      </c>
      <c r="T909" t="s">
        <v>68</v>
      </c>
      <c r="U909" t="s">
        <v>577</v>
      </c>
      <c r="V909" t="s">
        <v>578</v>
      </c>
      <c r="Z909" t="s">
        <v>49</v>
      </c>
      <c r="AA909" t="s">
        <v>49</v>
      </c>
      <c r="AB909" t="s">
        <v>50</v>
      </c>
      <c r="AC909" t="s">
        <v>51</v>
      </c>
      <c r="AD909" t="s">
        <v>52</v>
      </c>
      <c r="AE909" t="s">
        <v>53</v>
      </c>
      <c r="AF909" t="s">
        <v>52</v>
      </c>
      <c r="AG909" t="s">
        <v>54</v>
      </c>
      <c r="AH909" t="s">
        <v>55</v>
      </c>
      <c r="AK909">
        <v>12</v>
      </c>
      <c r="AL909">
        <v>12</v>
      </c>
      <c r="AN909">
        <v>322</v>
      </c>
      <c r="AO909">
        <v>7</v>
      </c>
      <c r="AP909" t="s">
        <v>56</v>
      </c>
      <c r="AQ909" t="s">
        <v>109</v>
      </c>
      <c r="AR909">
        <v>8.14</v>
      </c>
      <c r="AS909">
        <v>0.01</v>
      </c>
      <c r="AT909" t="s">
        <v>56</v>
      </c>
      <c r="AU909">
        <v>729</v>
      </c>
      <c r="AV909">
        <v>19</v>
      </c>
      <c r="AW909" t="s">
        <v>56</v>
      </c>
      <c r="AX909">
        <v>7.82</v>
      </c>
      <c r="AY909">
        <v>0.01</v>
      </c>
      <c r="AZ909" t="s">
        <v>56</v>
      </c>
      <c r="BB909">
        <f>LOG(AU909)</f>
        <v>2.8627275283179747</v>
      </c>
      <c r="BC909">
        <v>9.6999999999999993</v>
      </c>
      <c r="BD909">
        <v>0.2</v>
      </c>
      <c r="BE909" t="s">
        <v>56</v>
      </c>
      <c r="BF909">
        <v>9.8000000000000007</v>
      </c>
      <c r="BG909">
        <v>0.2</v>
      </c>
      <c r="BH909" t="s">
        <v>56</v>
      </c>
      <c r="BI909">
        <v>407</v>
      </c>
      <c r="BJ909">
        <v>0.1</v>
      </c>
      <c r="BK909" t="s">
        <v>579</v>
      </c>
      <c r="BL909" t="s">
        <v>581</v>
      </c>
      <c r="BM909" t="s">
        <v>75</v>
      </c>
      <c r="BN909" t="s">
        <v>60</v>
      </c>
      <c r="BO909" t="s">
        <v>582</v>
      </c>
      <c r="BP909" t="s">
        <v>77</v>
      </c>
      <c r="BR909" t="s">
        <v>63</v>
      </c>
      <c r="BT909">
        <v>23.09</v>
      </c>
      <c r="BU909">
        <v>23.090091000000001</v>
      </c>
      <c r="BV909">
        <v>2.5099999999999998</v>
      </c>
      <c r="BW909">
        <f>BV909*SQRT(AK909)</f>
        <v>8.6948950539957632</v>
      </c>
      <c r="BX909">
        <v>19.45</v>
      </c>
      <c r="BY909">
        <v>19.445661000000001</v>
      </c>
      <c r="BZ909">
        <v>4.2300000000000004</v>
      </c>
      <c r="CA909">
        <f>BZ909*SQRT(AL909)</f>
        <v>14.653149832032703</v>
      </c>
      <c r="CB909">
        <v>21</v>
      </c>
      <c r="CC909">
        <v>3</v>
      </c>
      <c r="CD909">
        <v>-0.17199999999999999</v>
      </c>
      <c r="CE909">
        <v>5.91E-2</v>
      </c>
    </row>
    <row r="910" spans="1:84" hidden="1" x14ac:dyDescent="0.2">
      <c r="D910">
        <v>59</v>
      </c>
      <c r="G910" t="s">
        <v>43</v>
      </c>
      <c r="H910" t="s">
        <v>575</v>
      </c>
      <c r="J910">
        <v>2016</v>
      </c>
      <c r="M910" t="s">
        <v>576</v>
      </c>
      <c r="T910" t="s">
        <v>68</v>
      </c>
      <c r="U910" t="s">
        <v>577</v>
      </c>
      <c r="V910" t="s">
        <v>578</v>
      </c>
      <c r="Z910" t="s">
        <v>49</v>
      </c>
      <c r="AA910" t="s">
        <v>49</v>
      </c>
      <c r="AB910" t="s">
        <v>50</v>
      </c>
      <c r="AC910" t="s">
        <v>51</v>
      </c>
      <c r="AD910" t="s">
        <v>52</v>
      </c>
      <c r="AE910" t="s">
        <v>53</v>
      </c>
      <c r="AF910" t="s">
        <v>54</v>
      </c>
      <c r="AG910" t="s">
        <v>52</v>
      </c>
      <c r="AH910" t="s">
        <v>65</v>
      </c>
      <c r="AK910">
        <v>12</v>
      </c>
      <c r="AL910">
        <v>12</v>
      </c>
      <c r="AN910">
        <v>322</v>
      </c>
      <c r="AO910">
        <v>7</v>
      </c>
      <c r="AP910" t="s">
        <v>56</v>
      </c>
      <c r="AQ910" t="s">
        <v>109</v>
      </c>
      <c r="AR910">
        <v>8.14</v>
      </c>
      <c r="AS910">
        <v>0.01</v>
      </c>
      <c r="AT910" t="s">
        <v>56</v>
      </c>
      <c r="AU910">
        <v>450</v>
      </c>
      <c r="AV910">
        <v>10</v>
      </c>
      <c r="AW910" t="s">
        <v>56</v>
      </c>
      <c r="AX910">
        <v>8.02</v>
      </c>
      <c r="AY910">
        <v>0.01</v>
      </c>
      <c r="AZ910" t="s">
        <v>56</v>
      </c>
      <c r="BB910">
        <f>LOG(AU910)</f>
        <v>2.6532125137753435</v>
      </c>
      <c r="BC910">
        <v>9.6999999999999993</v>
      </c>
      <c r="BD910">
        <v>0.2</v>
      </c>
      <c r="BE910" t="s">
        <v>56</v>
      </c>
      <c r="BF910">
        <v>18.399999999999999</v>
      </c>
      <c r="BG910">
        <v>0.5</v>
      </c>
      <c r="BH910" t="s">
        <v>56</v>
      </c>
      <c r="BI910">
        <v>128</v>
      </c>
      <c r="BJ910">
        <v>8.6999999999999993</v>
      </c>
      <c r="BK910" t="s">
        <v>579</v>
      </c>
      <c r="BL910" t="s">
        <v>581</v>
      </c>
      <c r="BM910" t="s">
        <v>75</v>
      </c>
      <c r="BN910" t="s">
        <v>60</v>
      </c>
      <c r="BO910" t="s">
        <v>582</v>
      </c>
      <c r="BP910" t="s">
        <v>77</v>
      </c>
      <c r="BR910" t="s">
        <v>63</v>
      </c>
      <c r="BT910">
        <v>23.09</v>
      </c>
      <c r="BU910">
        <v>23.090091000000001</v>
      </c>
      <c r="BV910">
        <v>2.5099999999999998</v>
      </c>
      <c r="BW910">
        <f>BV910*SQRT(AK910)</f>
        <v>8.6948950539957632</v>
      </c>
      <c r="BX910">
        <v>23.28</v>
      </c>
      <c r="BY910">
        <v>23.278755</v>
      </c>
      <c r="BZ910">
        <v>4.51</v>
      </c>
      <c r="CA910">
        <f>BZ910*SQRT(AL910)</f>
        <v>15.623098284271272</v>
      </c>
      <c r="CB910">
        <v>126</v>
      </c>
      <c r="CC910">
        <v>3</v>
      </c>
      <c r="CD910">
        <v>8.0000000000000002E-3</v>
      </c>
      <c r="CE910">
        <v>4.9299999999999997E-2</v>
      </c>
    </row>
    <row r="911" spans="1:84" hidden="1" x14ac:dyDescent="0.2">
      <c r="D911">
        <v>59</v>
      </c>
      <c r="G911" t="s">
        <v>43</v>
      </c>
      <c r="H911" t="s">
        <v>575</v>
      </c>
      <c r="J911">
        <v>2016</v>
      </c>
      <c r="M911" t="s">
        <v>576</v>
      </c>
      <c r="T911" t="s">
        <v>68</v>
      </c>
      <c r="U911" t="s">
        <v>577</v>
      </c>
      <c r="V911" t="s">
        <v>578</v>
      </c>
      <c r="Z911" t="s">
        <v>49</v>
      </c>
      <c r="AA911" t="s">
        <v>49</v>
      </c>
      <c r="AB911" t="s">
        <v>50</v>
      </c>
      <c r="AC911" t="s">
        <v>51</v>
      </c>
      <c r="AD911" t="s">
        <v>52</v>
      </c>
      <c r="AE911" t="s">
        <v>53</v>
      </c>
      <c r="AF911" t="s">
        <v>54</v>
      </c>
      <c r="AG911" t="s">
        <v>52</v>
      </c>
      <c r="AH911" t="s">
        <v>65</v>
      </c>
      <c r="AK911">
        <v>12</v>
      </c>
      <c r="AL911">
        <v>12</v>
      </c>
      <c r="AN911">
        <v>322</v>
      </c>
      <c r="AO911">
        <v>7</v>
      </c>
      <c r="AP911" t="s">
        <v>56</v>
      </c>
      <c r="AQ911" t="s">
        <v>109</v>
      </c>
      <c r="AR911">
        <v>8.14</v>
      </c>
      <c r="AS911">
        <v>0.01</v>
      </c>
      <c r="AT911" t="s">
        <v>56</v>
      </c>
      <c r="AU911">
        <v>356</v>
      </c>
      <c r="AV911">
        <v>25</v>
      </c>
      <c r="AW911" t="s">
        <v>56</v>
      </c>
      <c r="AX911">
        <v>8.1199999999999992</v>
      </c>
      <c r="AY911">
        <v>0.02</v>
      </c>
      <c r="AZ911" t="s">
        <v>56</v>
      </c>
      <c r="BB911">
        <f>LOG(AU911)</f>
        <v>2.5514499979728753</v>
      </c>
      <c r="BC911">
        <v>9.6999999999999993</v>
      </c>
      <c r="BD911">
        <v>0.2</v>
      </c>
      <c r="BE911" t="s">
        <v>56</v>
      </c>
      <c r="BF911">
        <v>12.9</v>
      </c>
      <c r="BG911">
        <v>0.2</v>
      </c>
      <c r="BH911" t="s">
        <v>56</v>
      </c>
      <c r="BI911">
        <v>34</v>
      </c>
      <c r="BJ911">
        <v>3.2</v>
      </c>
      <c r="BK911" t="s">
        <v>579</v>
      </c>
      <c r="BL911" t="s">
        <v>581</v>
      </c>
      <c r="BM911" t="s">
        <v>75</v>
      </c>
      <c r="BN911" t="s">
        <v>60</v>
      </c>
      <c r="BO911" t="s">
        <v>582</v>
      </c>
      <c r="BP911" t="s">
        <v>77</v>
      </c>
      <c r="BR911" t="s">
        <v>63</v>
      </c>
      <c r="BT911">
        <v>23.09</v>
      </c>
      <c r="BU911">
        <v>23.090091000000001</v>
      </c>
      <c r="BV911">
        <v>2.5099999999999998</v>
      </c>
      <c r="BW911">
        <f>BV911*SQRT(AK911)</f>
        <v>8.6948950539957632</v>
      </c>
      <c r="BX911">
        <v>25.44</v>
      </c>
      <c r="BY911">
        <v>25.442409000000001</v>
      </c>
      <c r="BZ911">
        <v>4.54</v>
      </c>
      <c r="CA911">
        <f>BZ911*SQRT(AL911)</f>
        <v>15.727021332725405</v>
      </c>
      <c r="CB911">
        <v>56</v>
      </c>
      <c r="CC911">
        <v>3</v>
      </c>
      <c r="CD911">
        <v>9.7000000000000003E-2</v>
      </c>
      <c r="CE911">
        <v>4.36E-2</v>
      </c>
    </row>
    <row r="912" spans="1:84" hidden="1" x14ac:dyDescent="0.2">
      <c r="D912">
        <v>59</v>
      </c>
      <c r="G912" t="s">
        <v>43</v>
      </c>
      <c r="H912" t="s">
        <v>575</v>
      </c>
      <c r="J912">
        <v>2016</v>
      </c>
      <c r="M912" t="s">
        <v>576</v>
      </c>
      <c r="T912" t="s">
        <v>68</v>
      </c>
      <c r="U912" t="s">
        <v>577</v>
      </c>
      <c r="V912" t="s">
        <v>578</v>
      </c>
      <c r="Z912" t="s">
        <v>49</v>
      </c>
      <c r="AA912" t="s">
        <v>49</v>
      </c>
      <c r="AB912" t="s">
        <v>50</v>
      </c>
      <c r="AC912" t="s">
        <v>51</v>
      </c>
      <c r="AD912" t="s">
        <v>52</v>
      </c>
      <c r="AE912" t="s">
        <v>53</v>
      </c>
      <c r="AF912" t="s">
        <v>52</v>
      </c>
      <c r="AG912" t="s">
        <v>54</v>
      </c>
      <c r="AH912" t="s">
        <v>55</v>
      </c>
      <c r="AK912">
        <v>12</v>
      </c>
      <c r="AL912">
        <v>12</v>
      </c>
      <c r="AN912">
        <v>322</v>
      </c>
      <c r="AO912">
        <v>7</v>
      </c>
      <c r="AP912" t="s">
        <v>56</v>
      </c>
      <c r="AQ912" t="s">
        <v>109</v>
      </c>
      <c r="AR912">
        <v>8.14</v>
      </c>
      <c r="AS912">
        <v>0.01</v>
      </c>
      <c r="AT912" t="s">
        <v>56</v>
      </c>
      <c r="AU912">
        <v>729</v>
      </c>
      <c r="AV912">
        <v>19</v>
      </c>
      <c r="AW912" t="s">
        <v>56</v>
      </c>
      <c r="AX912">
        <v>7.82</v>
      </c>
      <c r="AY912">
        <v>0.01</v>
      </c>
      <c r="AZ912" t="s">
        <v>56</v>
      </c>
      <c r="BB912">
        <f>LOG(AU912)</f>
        <v>2.8627275283179747</v>
      </c>
      <c r="BC912">
        <v>9.6999999999999993</v>
      </c>
      <c r="BD912">
        <v>0.2</v>
      </c>
      <c r="BE912" t="s">
        <v>56</v>
      </c>
      <c r="BF912">
        <v>9.8000000000000007</v>
      </c>
      <c r="BG912">
        <v>0.2</v>
      </c>
      <c r="BH912" t="s">
        <v>56</v>
      </c>
      <c r="BI912">
        <v>407</v>
      </c>
      <c r="BJ912">
        <v>0.1</v>
      </c>
      <c r="BK912" t="s">
        <v>579</v>
      </c>
      <c r="BL912" t="s">
        <v>272</v>
      </c>
      <c r="BM912" t="s">
        <v>272</v>
      </c>
      <c r="BN912" t="s">
        <v>60</v>
      </c>
      <c r="BO912" t="s">
        <v>583</v>
      </c>
      <c r="BP912" t="s">
        <v>584</v>
      </c>
      <c r="BR912" t="s">
        <v>63</v>
      </c>
      <c r="BT912">
        <v>0.25</v>
      </c>
      <c r="BU912">
        <v>0.246975</v>
      </c>
      <c r="BV912">
        <v>0.16</v>
      </c>
      <c r="BW912">
        <f>BV912*SQRT(AK912)</f>
        <v>0.55425625842204074</v>
      </c>
      <c r="BX912">
        <v>0.28999999999999998</v>
      </c>
      <c r="BY912">
        <v>0.28951700000000002</v>
      </c>
      <c r="BZ912">
        <v>0.22</v>
      </c>
      <c r="CA912">
        <f>BZ912*SQRT(AL912)</f>
        <v>0.76210235533030601</v>
      </c>
      <c r="CB912">
        <v>21</v>
      </c>
      <c r="CC912">
        <v>3</v>
      </c>
      <c r="CD912">
        <v>0.159</v>
      </c>
      <c r="CE912">
        <v>0.98199999999999998</v>
      </c>
    </row>
    <row r="913" spans="4:83" hidden="1" x14ac:dyDescent="0.2">
      <c r="D913">
        <v>59</v>
      </c>
      <c r="G913" t="s">
        <v>43</v>
      </c>
      <c r="H913" t="s">
        <v>575</v>
      </c>
      <c r="J913">
        <v>2016</v>
      </c>
      <c r="M913" t="s">
        <v>576</v>
      </c>
      <c r="T913" t="s">
        <v>68</v>
      </c>
      <c r="U913" t="s">
        <v>577</v>
      </c>
      <c r="V913" t="s">
        <v>578</v>
      </c>
      <c r="Z913" t="s">
        <v>49</v>
      </c>
      <c r="AA913" t="s">
        <v>49</v>
      </c>
      <c r="AB913" t="s">
        <v>50</v>
      </c>
      <c r="AC913" t="s">
        <v>51</v>
      </c>
      <c r="AD913" t="s">
        <v>52</v>
      </c>
      <c r="AE913" t="s">
        <v>53</v>
      </c>
      <c r="AF913" t="s">
        <v>52</v>
      </c>
      <c r="AG913" t="s">
        <v>52</v>
      </c>
      <c r="AH913" t="s">
        <v>64</v>
      </c>
      <c r="AK913">
        <v>12</v>
      </c>
      <c r="AL913">
        <v>12</v>
      </c>
      <c r="AN913">
        <v>322</v>
      </c>
      <c r="AO913">
        <v>7</v>
      </c>
      <c r="AP913" t="s">
        <v>56</v>
      </c>
      <c r="AQ913" t="s">
        <v>109</v>
      </c>
      <c r="AR913">
        <v>8.14</v>
      </c>
      <c r="AS913">
        <v>0.01</v>
      </c>
      <c r="AT913" t="s">
        <v>56</v>
      </c>
      <c r="AU913">
        <v>748</v>
      </c>
      <c r="AV913">
        <v>8</v>
      </c>
      <c r="AW913" t="s">
        <v>56</v>
      </c>
      <c r="AX913">
        <v>7.82</v>
      </c>
      <c r="AY913">
        <v>0</v>
      </c>
      <c r="AZ913" t="s">
        <v>56</v>
      </c>
      <c r="BB913">
        <f>LOG(AU913)</f>
        <v>2.8739015978644615</v>
      </c>
      <c r="BC913">
        <v>9.6999999999999993</v>
      </c>
      <c r="BD913">
        <v>0.2</v>
      </c>
      <c r="BE913" t="s">
        <v>56</v>
      </c>
      <c r="BF913">
        <v>16.100000000000001</v>
      </c>
      <c r="BG913">
        <v>0.1</v>
      </c>
      <c r="BH913" t="s">
        <v>56</v>
      </c>
      <c r="BI913">
        <v>426</v>
      </c>
      <c r="BJ913">
        <v>6.4</v>
      </c>
      <c r="BK913" t="s">
        <v>579</v>
      </c>
      <c r="BL913" t="s">
        <v>581</v>
      </c>
      <c r="BM913" t="s">
        <v>75</v>
      </c>
      <c r="BN913" t="s">
        <v>60</v>
      </c>
      <c r="BO913" t="s">
        <v>582</v>
      </c>
      <c r="BP913" t="s">
        <v>77</v>
      </c>
      <c r="BR913" t="s">
        <v>63</v>
      </c>
      <c r="BT913">
        <v>23.09</v>
      </c>
      <c r="BU913">
        <v>23.090091000000001</v>
      </c>
      <c r="BV913">
        <v>2.5099999999999998</v>
      </c>
      <c r="BW913">
        <f>BV913*SQRT(AK913)</f>
        <v>8.6948950539957632</v>
      </c>
      <c r="BX913">
        <v>27.96</v>
      </c>
      <c r="BY913">
        <v>27.958192</v>
      </c>
      <c r="BZ913">
        <v>4.7699999999999996</v>
      </c>
      <c r="CA913">
        <f>BZ913*SQRT(AL913)</f>
        <v>16.523764704207085</v>
      </c>
      <c r="CB913">
        <v>91</v>
      </c>
      <c r="CC913">
        <v>3</v>
      </c>
      <c r="CD913">
        <v>0.191</v>
      </c>
      <c r="CE913">
        <v>4.0800000000000003E-2</v>
      </c>
    </row>
    <row r="914" spans="4:83" hidden="1" x14ac:dyDescent="0.2">
      <c r="D914">
        <v>59</v>
      </c>
      <c r="G914" t="s">
        <v>43</v>
      </c>
      <c r="H914" t="s">
        <v>575</v>
      </c>
      <c r="J914">
        <v>2016</v>
      </c>
      <c r="M914" t="s">
        <v>576</v>
      </c>
      <c r="T914" t="s">
        <v>68</v>
      </c>
      <c r="U914" t="s">
        <v>577</v>
      </c>
      <c r="V914" t="s">
        <v>578</v>
      </c>
      <c r="Z914" t="s">
        <v>49</v>
      </c>
      <c r="AA914" t="s">
        <v>49</v>
      </c>
      <c r="AB914" t="s">
        <v>50</v>
      </c>
      <c r="AC914" t="s">
        <v>51</v>
      </c>
      <c r="AD914" t="s">
        <v>52</v>
      </c>
      <c r="AE914" t="s">
        <v>53</v>
      </c>
      <c r="AF914" t="s">
        <v>54</v>
      </c>
      <c r="AG914" t="s">
        <v>52</v>
      </c>
      <c r="AH914" t="s">
        <v>65</v>
      </c>
      <c r="AK914">
        <v>12</v>
      </c>
      <c r="AL914">
        <v>12</v>
      </c>
      <c r="AN914">
        <v>322</v>
      </c>
      <c r="AO914">
        <v>7</v>
      </c>
      <c r="AP914" t="s">
        <v>56</v>
      </c>
      <c r="AQ914" t="s">
        <v>109</v>
      </c>
      <c r="AR914">
        <v>8.14</v>
      </c>
      <c r="AS914">
        <v>0.01</v>
      </c>
      <c r="AT914" t="s">
        <v>56</v>
      </c>
      <c r="AU914">
        <v>450</v>
      </c>
      <c r="AV914">
        <v>10</v>
      </c>
      <c r="AW914" t="s">
        <v>56</v>
      </c>
      <c r="AX914">
        <v>8.02</v>
      </c>
      <c r="AY914">
        <v>0.01</v>
      </c>
      <c r="AZ914" t="s">
        <v>56</v>
      </c>
      <c r="BB914">
        <f>LOG(AU914)</f>
        <v>2.6532125137753435</v>
      </c>
      <c r="BC914">
        <v>9.6999999999999993</v>
      </c>
      <c r="BD914">
        <v>0.2</v>
      </c>
      <c r="BE914" t="s">
        <v>56</v>
      </c>
      <c r="BF914">
        <v>18.399999999999999</v>
      </c>
      <c r="BG914">
        <v>0.5</v>
      </c>
      <c r="BH914" t="s">
        <v>56</v>
      </c>
      <c r="BI914">
        <v>128</v>
      </c>
      <c r="BJ914">
        <v>8.6999999999999993</v>
      </c>
      <c r="BK914" t="s">
        <v>579</v>
      </c>
      <c r="BL914" t="s">
        <v>268</v>
      </c>
      <c r="BM914" t="s">
        <v>232</v>
      </c>
      <c r="BN914" t="s">
        <v>81</v>
      </c>
      <c r="BO914" t="s">
        <v>580</v>
      </c>
      <c r="BP914" t="s">
        <v>234</v>
      </c>
      <c r="BR914" t="s">
        <v>63</v>
      </c>
      <c r="BT914">
        <v>0.81</v>
      </c>
      <c r="BU914">
        <v>0.81145599999999996</v>
      </c>
      <c r="BV914">
        <v>0.28999999999999998</v>
      </c>
      <c r="BW914">
        <f>BV914*SQRT(AK914)</f>
        <v>1.0045894683899488</v>
      </c>
      <c r="BX914">
        <v>1</v>
      </c>
      <c r="BY914">
        <v>1.0023470000000001</v>
      </c>
      <c r="BZ914">
        <v>0.59</v>
      </c>
      <c r="CA914">
        <f>BZ914*SQRT(AL914)</f>
        <v>2.0438199529312748</v>
      </c>
      <c r="CB914">
        <v>126</v>
      </c>
      <c r="CC914">
        <v>3</v>
      </c>
      <c r="CD914">
        <v>0.21099999999999999</v>
      </c>
      <c r="CE914">
        <v>0.4703</v>
      </c>
    </row>
    <row r="915" spans="4:83" hidden="1" x14ac:dyDescent="0.2">
      <c r="D915">
        <v>59</v>
      </c>
      <c r="G915" t="s">
        <v>43</v>
      </c>
      <c r="H915" t="s">
        <v>575</v>
      </c>
      <c r="J915">
        <v>2016</v>
      </c>
      <c r="M915" t="s">
        <v>576</v>
      </c>
      <c r="T915" t="s">
        <v>68</v>
      </c>
      <c r="U915" t="s">
        <v>577</v>
      </c>
      <c r="V915" t="s">
        <v>578</v>
      </c>
      <c r="Z915" t="s">
        <v>49</v>
      </c>
      <c r="AA915" t="s">
        <v>49</v>
      </c>
      <c r="AB915" t="s">
        <v>50</v>
      </c>
      <c r="AC915" t="s">
        <v>51</v>
      </c>
      <c r="AD915" t="s">
        <v>52</v>
      </c>
      <c r="AE915" t="s">
        <v>53</v>
      </c>
      <c r="AF915" t="s">
        <v>52</v>
      </c>
      <c r="AG915" t="s">
        <v>54</v>
      </c>
      <c r="AH915" t="s">
        <v>55</v>
      </c>
      <c r="AK915">
        <v>12</v>
      </c>
      <c r="AL915">
        <v>12</v>
      </c>
      <c r="AN915">
        <v>322</v>
      </c>
      <c r="AO915">
        <v>7</v>
      </c>
      <c r="AP915" t="s">
        <v>56</v>
      </c>
      <c r="AQ915" t="s">
        <v>109</v>
      </c>
      <c r="AR915">
        <v>8.14</v>
      </c>
      <c r="AS915">
        <v>0.01</v>
      </c>
      <c r="AT915" t="s">
        <v>56</v>
      </c>
      <c r="AU915">
        <v>1486</v>
      </c>
      <c r="AV915">
        <v>75</v>
      </c>
      <c r="AW915" t="s">
        <v>56</v>
      </c>
      <c r="AX915">
        <v>7.55</v>
      </c>
      <c r="AY915">
        <v>0.03</v>
      </c>
      <c r="AZ915" t="s">
        <v>56</v>
      </c>
      <c r="BB915">
        <f>LOG(AU915)</f>
        <v>3.1720188094245563</v>
      </c>
      <c r="BC915">
        <v>9.6999999999999993</v>
      </c>
      <c r="BD915">
        <v>0.2</v>
      </c>
      <c r="BE915" t="s">
        <v>56</v>
      </c>
      <c r="BF915">
        <v>9.5</v>
      </c>
      <c r="BG915">
        <v>0.2</v>
      </c>
      <c r="BH915" t="s">
        <v>56</v>
      </c>
      <c r="BI915">
        <v>1164</v>
      </c>
      <c r="BJ915">
        <v>-0.2</v>
      </c>
      <c r="BK915" t="s">
        <v>579</v>
      </c>
      <c r="BL915" t="s">
        <v>182</v>
      </c>
      <c r="BM915" t="s">
        <v>59</v>
      </c>
      <c r="BN915" t="s">
        <v>60</v>
      </c>
      <c r="BO915" t="s">
        <v>585</v>
      </c>
      <c r="BP915" t="s">
        <v>62</v>
      </c>
      <c r="BR915" t="s">
        <v>63</v>
      </c>
      <c r="BT915">
        <v>3.55</v>
      </c>
      <c r="BU915">
        <v>3.551015</v>
      </c>
      <c r="BV915">
        <v>0.63</v>
      </c>
      <c r="BW915">
        <f>BV915*SQRT(AK915)</f>
        <v>2.1823840175367852</v>
      </c>
      <c r="BX915">
        <v>4.46</v>
      </c>
      <c r="BY915">
        <v>4.4644760000000003</v>
      </c>
      <c r="BZ915">
        <v>0.66</v>
      </c>
      <c r="CA915">
        <f>BZ915*SQRT(AL915)</f>
        <v>2.2863070659909179</v>
      </c>
      <c r="CB915">
        <v>21</v>
      </c>
      <c r="CC915">
        <v>3</v>
      </c>
      <c r="CD915">
        <v>0.22900000000000001</v>
      </c>
      <c r="CE915">
        <v>5.3600000000000002E-2</v>
      </c>
    </row>
    <row r="916" spans="4:83" hidden="1" x14ac:dyDescent="0.2">
      <c r="D916">
        <v>59</v>
      </c>
      <c r="G916" t="s">
        <v>43</v>
      </c>
      <c r="H916" t="s">
        <v>575</v>
      </c>
      <c r="J916">
        <v>2016</v>
      </c>
      <c r="M916" t="s">
        <v>576</v>
      </c>
      <c r="T916" t="s">
        <v>68</v>
      </c>
      <c r="U916" t="s">
        <v>577</v>
      </c>
      <c r="V916" t="s">
        <v>578</v>
      </c>
      <c r="Z916" t="s">
        <v>49</v>
      </c>
      <c r="AA916" t="s">
        <v>49</v>
      </c>
      <c r="AB916" t="s">
        <v>50</v>
      </c>
      <c r="AC916" t="s">
        <v>51</v>
      </c>
      <c r="AD916" t="s">
        <v>52</v>
      </c>
      <c r="AE916" t="s">
        <v>53</v>
      </c>
      <c r="AF916" t="s">
        <v>52</v>
      </c>
      <c r="AG916" t="s">
        <v>54</v>
      </c>
      <c r="AH916" t="s">
        <v>55</v>
      </c>
      <c r="AK916">
        <v>12</v>
      </c>
      <c r="AL916">
        <v>12</v>
      </c>
      <c r="AN916">
        <v>322</v>
      </c>
      <c r="AO916">
        <v>7</v>
      </c>
      <c r="AP916" t="s">
        <v>56</v>
      </c>
      <c r="AQ916" t="s">
        <v>109</v>
      </c>
      <c r="AR916">
        <v>8.14</v>
      </c>
      <c r="AS916">
        <v>0.01</v>
      </c>
      <c r="AT916" t="s">
        <v>56</v>
      </c>
      <c r="AU916">
        <v>729</v>
      </c>
      <c r="AV916">
        <v>19</v>
      </c>
      <c r="AW916" t="s">
        <v>56</v>
      </c>
      <c r="AX916">
        <v>7.82</v>
      </c>
      <c r="AY916">
        <v>0.01</v>
      </c>
      <c r="AZ916" t="s">
        <v>56</v>
      </c>
      <c r="BB916">
        <f>LOG(AU916)</f>
        <v>2.8627275283179747</v>
      </c>
      <c r="BC916">
        <v>9.6999999999999993</v>
      </c>
      <c r="BD916">
        <v>0.2</v>
      </c>
      <c r="BE916" t="s">
        <v>56</v>
      </c>
      <c r="BF916">
        <v>9.8000000000000007</v>
      </c>
      <c r="BG916">
        <v>0.2</v>
      </c>
      <c r="BH916" t="s">
        <v>56</v>
      </c>
      <c r="BI916">
        <v>407</v>
      </c>
      <c r="BJ916">
        <v>0.1</v>
      </c>
      <c r="BK916" t="s">
        <v>579</v>
      </c>
      <c r="BL916" t="s">
        <v>182</v>
      </c>
      <c r="BM916" t="s">
        <v>59</v>
      </c>
      <c r="BN916" t="s">
        <v>60</v>
      </c>
      <c r="BO916" t="s">
        <v>585</v>
      </c>
      <c r="BP916" t="s">
        <v>62</v>
      </c>
      <c r="BR916" t="s">
        <v>63</v>
      </c>
      <c r="BT916">
        <v>3.55</v>
      </c>
      <c r="BU916">
        <v>3.551015</v>
      </c>
      <c r="BV916">
        <v>0.63</v>
      </c>
      <c r="BW916">
        <f>BV916*SQRT(AK916)</f>
        <v>2.1823840175367852</v>
      </c>
      <c r="BX916">
        <v>4.84</v>
      </c>
      <c r="BY916">
        <v>4.8397439999999996</v>
      </c>
      <c r="BZ916">
        <v>0.51</v>
      </c>
      <c r="CA916">
        <f>BZ916*SQRT(AL916)</f>
        <v>1.7666918237202547</v>
      </c>
      <c r="CB916">
        <v>21</v>
      </c>
      <c r="CC916">
        <v>3</v>
      </c>
      <c r="CD916">
        <v>0.31</v>
      </c>
      <c r="CE916">
        <v>4.2999999999999997E-2</v>
      </c>
    </row>
    <row r="917" spans="4:83" hidden="1" x14ac:dyDescent="0.2">
      <c r="D917">
        <v>59</v>
      </c>
      <c r="G917" t="s">
        <v>43</v>
      </c>
      <c r="H917" t="s">
        <v>575</v>
      </c>
      <c r="J917">
        <v>2016</v>
      </c>
      <c r="M917" t="s">
        <v>576</v>
      </c>
      <c r="T917" t="s">
        <v>68</v>
      </c>
      <c r="U917" t="s">
        <v>577</v>
      </c>
      <c r="V917" t="s">
        <v>578</v>
      </c>
      <c r="Z917" t="s">
        <v>49</v>
      </c>
      <c r="AA917" t="s">
        <v>49</v>
      </c>
      <c r="AB917" t="s">
        <v>50</v>
      </c>
      <c r="AC917" t="s">
        <v>51</v>
      </c>
      <c r="AD917" t="s">
        <v>52</v>
      </c>
      <c r="AE917" t="s">
        <v>53</v>
      </c>
      <c r="AF917" t="s">
        <v>52</v>
      </c>
      <c r="AG917" t="s">
        <v>52</v>
      </c>
      <c r="AH917" t="s">
        <v>64</v>
      </c>
      <c r="AK917">
        <v>12</v>
      </c>
      <c r="AL917">
        <v>12</v>
      </c>
      <c r="AN917">
        <v>322</v>
      </c>
      <c r="AO917">
        <v>7</v>
      </c>
      <c r="AP917" t="s">
        <v>56</v>
      </c>
      <c r="AQ917" t="s">
        <v>109</v>
      </c>
      <c r="AR917">
        <v>8.14</v>
      </c>
      <c r="AS917">
        <v>0.01</v>
      </c>
      <c r="AT917" t="s">
        <v>56</v>
      </c>
      <c r="AU917">
        <v>858</v>
      </c>
      <c r="AV917">
        <v>19</v>
      </c>
      <c r="AW917" t="s">
        <v>56</v>
      </c>
      <c r="AX917">
        <v>7.77</v>
      </c>
      <c r="AY917">
        <v>0.01</v>
      </c>
      <c r="AZ917" t="s">
        <v>56</v>
      </c>
      <c r="BB917">
        <f>LOG(AU917)</f>
        <v>2.9334872878487053</v>
      </c>
      <c r="BC917">
        <v>9.6999999999999993</v>
      </c>
      <c r="BD917">
        <v>0.2</v>
      </c>
      <c r="BE917" t="s">
        <v>56</v>
      </c>
      <c r="BF917">
        <v>18.600000000000001</v>
      </c>
      <c r="BG917">
        <v>0.5</v>
      </c>
      <c r="BH917" t="s">
        <v>56</v>
      </c>
      <c r="BI917">
        <v>536</v>
      </c>
      <c r="BJ917">
        <v>8.9</v>
      </c>
      <c r="BK917" t="s">
        <v>579</v>
      </c>
      <c r="BL917" t="s">
        <v>581</v>
      </c>
      <c r="BM917" t="s">
        <v>75</v>
      </c>
      <c r="BN917" t="s">
        <v>60</v>
      </c>
      <c r="BO917" t="s">
        <v>582</v>
      </c>
      <c r="BP917" t="s">
        <v>77</v>
      </c>
      <c r="BR917" t="s">
        <v>63</v>
      </c>
      <c r="BT917">
        <v>23.09</v>
      </c>
      <c r="BU917">
        <v>23.090091000000001</v>
      </c>
      <c r="BV917">
        <v>2.5099999999999998</v>
      </c>
      <c r="BW917">
        <f>BV917*SQRT(AK917)</f>
        <v>8.6948950539957632</v>
      </c>
      <c r="BX917">
        <v>42.93</v>
      </c>
      <c r="BY917">
        <v>42.934254000000003</v>
      </c>
      <c r="BZ917">
        <v>5.08</v>
      </c>
      <c r="CA917">
        <f>BZ917*SQRT(AL917)</f>
        <v>17.597636204899793</v>
      </c>
      <c r="CB917">
        <v>126</v>
      </c>
      <c r="CC917">
        <v>3</v>
      </c>
      <c r="CD917">
        <v>0.62</v>
      </c>
      <c r="CE917">
        <v>2.58E-2</v>
      </c>
    </row>
    <row r="918" spans="4:83" hidden="1" x14ac:dyDescent="0.2">
      <c r="D918">
        <v>59</v>
      </c>
      <c r="G918" t="s">
        <v>43</v>
      </c>
      <c r="H918" t="s">
        <v>575</v>
      </c>
      <c r="J918">
        <v>2016</v>
      </c>
      <c r="M918" t="s">
        <v>576</v>
      </c>
      <c r="T918" t="s">
        <v>68</v>
      </c>
      <c r="U918" t="s">
        <v>577</v>
      </c>
      <c r="V918" t="s">
        <v>578</v>
      </c>
      <c r="Z918" t="s">
        <v>49</v>
      </c>
      <c r="AA918" t="s">
        <v>49</v>
      </c>
      <c r="AB918" t="s">
        <v>50</v>
      </c>
      <c r="AC918" t="s">
        <v>51</v>
      </c>
      <c r="AD918" t="s">
        <v>52</v>
      </c>
      <c r="AE918" t="s">
        <v>53</v>
      </c>
      <c r="AF918" t="s">
        <v>52</v>
      </c>
      <c r="AG918" t="s">
        <v>52</v>
      </c>
      <c r="AH918" t="s">
        <v>64</v>
      </c>
      <c r="AK918">
        <v>12</v>
      </c>
      <c r="AL918">
        <v>12</v>
      </c>
      <c r="AN918">
        <v>322</v>
      </c>
      <c r="AO918">
        <v>7</v>
      </c>
      <c r="AP918" t="s">
        <v>56</v>
      </c>
      <c r="AQ918" t="s">
        <v>109</v>
      </c>
      <c r="AR918">
        <v>8.14</v>
      </c>
      <c r="AS918">
        <v>0.01</v>
      </c>
      <c r="AT918" t="s">
        <v>56</v>
      </c>
      <c r="AU918">
        <v>748</v>
      </c>
      <c r="AV918">
        <v>8</v>
      </c>
      <c r="AW918" t="s">
        <v>56</v>
      </c>
      <c r="AX918">
        <v>7.82</v>
      </c>
      <c r="AY918">
        <v>0</v>
      </c>
      <c r="AZ918" t="s">
        <v>56</v>
      </c>
      <c r="BB918">
        <f>LOG(AU918)</f>
        <v>2.8739015978644615</v>
      </c>
      <c r="BC918">
        <v>9.6999999999999993</v>
      </c>
      <c r="BD918">
        <v>0.2</v>
      </c>
      <c r="BE918" t="s">
        <v>56</v>
      </c>
      <c r="BF918">
        <v>16.100000000000001</v>
      </c>
      <c r="BG918">
        <v>0.1</v>
      </c>
      <c r="BH918" t="s">
        <v>56</v>
      </c>
      <c r="BI918">
        <v>426</v>
      </c>
      <c r="BJ918">
        <v>6.4</v>
      </c>
      <c r="BK918" t="s">
        <v>579</v>
      </c>
      <c r="BL918" t="s">
        <v>268</v>
      </c>
      <c r="BM918" t="s">
        <v>232</v>
      </c>
      <c r="BN918" t="s">
        <v>81</v>
      </c>
      <c r="BO918" t="s">
        <v>580</v>
      </c>
      <c r="BP918" t="s">
        <v>234</v>
      </c>
      <c r="BR918" t="s">
        <v>63</v>
      </c>
      <c r="BT918">
        <v>0.81</v>
      </c>
      <c r="BU918">
        <v>0.81145599999999996</v>
      </c>
      <c r="BV918">
        <v>0.28999999999999998</v>
      </c>
      <c r="BW918">
        <f>BV918*SQRT(AK918)</f>
        <v>1.0045894683899488</v>
      </c>
      <c r="BX918">
        <v>1.84</v>
      </c>
      <c r="BY918">
        <v>1.8395859999999999</v>
      </c>
      <c r="BZ918">
        <v>0.3</v>
      </c>
      <c r="CA918">
        <f>BZ918*SQRT(AL918)</f>
        <v>1.0392304845413263</v>
      </c>
      <c r="CB918">
        <v>91</v>
      </c>
      <c r="CC918">
        <v>3</v>
      </c>
      <c r="CD918">
        <v>0.81799999999999995</v>
      </c>
      <c r="CE918">
        <v>0.1555</v>
      </c>
    </row>
    <row r="919" spans="4:83" hidden="1" x14ac:dyDescent="0.2">
      <c r="D919">
        <v>59</v>
      </c>
      <c r="G919" t="s">
        <v>43</v>
      </c>
      <c r="H919" t="s">
        <v>575</v>
      </c>
      <c r="J919">
        <v>2016</v>
      </c>
      <c r="M919" t="s">
        <v>576</v>
      </c>
      <c r="T919" t="s">
        <v>68</v>
      </c>
      <c r="U919" t="s">
        <v>577</v>
      </c>
      <c r="V919" t="s">
        <v>578</v>
      </c>
      <c r="Z919" t="s">
        <v>49</v>
      </c>
      <c r="AA919" t="s">
        <v>49</v>
      </c>
      <c r="AB919" t="s">
        <v>50</v>
      </c>
      <c r="AC919" t="s">
        <v>51</v>
      </c>
      <c r="AD919" t="s">
        <v>52</v>
      </c>
      <c r="AE919" t="s">
        <v>53</v>
      </c>
      <c r="AF919" t="s">
        <v>52</v>
      </c>
      <c r="AG919" t="s">
        <v>52</v>
      </c>
      <c r="AH919" t="s">
        <v>64</v>
      </c>
      <c r="AK919">
        <v>12</v>
      </c>
      <c r="AL919">
        <v>12</v>
      </c>
      <c r="AN919">
        <v>322</v>
      </c>
      <c r="AO919">
        <v>7</v>
      </c>
      <c r="AP919" t="s">
        <v>56</v>
      </c>
      <c r="AQ919" t="s">
        <v>109</v>
      </c>
      <c r="AR919">
        <v>8.14</v>
      </c>
      <c r="AS919">
        <v>0.01</v>
      </c>
      <c r="AT919" t="s">
        <v>56</v>
      </c>
      <c r="AU919">
        <v>858</v>
      </c>
      <c r="AV919">
        <v>19</v>
      </c>
      <c r="AW919" t="s">
        <v>56</v>
      </c>
      <c r="AX919">
        <v>7.77</v>
      </c>
      <c r="AY919">
        <v>0.01</v>
      </c>
      <c r="AZ919" t="s">
        <v>56</v>
      </c>
      <c r="BB919">
        <f>LOG(AU919)</f>
        <v>2.9334872878487053</v>
      </c>
      <c r="BC919">
        <v>9.6999999999999993</v>
      </c>
      <c r="BD919">
        <v>0.2</v>
      </c>
      <c r="BE919" t="s">
        <v>56</v>
      </c>
      <c r="BF919">
        <v>18.600000000000001</v>
      </c>
      <c r="BG919">
        <v>0.5</v>
      </c>
      <c r="BH919" t="s">
        <v>56</v>
      </c>
      <c r="BI919">
        <v>536</v>
      </c>
      <c r="BJ919">
        <v>8.9</v>
      </c>
      <c r="BK919" t="s">
        <v>579</v>
      </c>
      <c r="BL919" t="s">
        <v>268</v>
      </c>
      <c r="BM919" t="s">
        <v>232</v>
      </c>
      <c r="BN919" t="s">
        <v>81</v>
      </c>
      <c r="BO919" t="s">
        <v>580</v>
      </c>
      <c r="BP919" t="s">
        <v>234</v>
      </c>
      <c r="BR919" t="s">
        <v>63</v>
      </c>
      <c r="BT919">
        <v>0.81</v>
      </c>
      <c r="BU919">
        <v>0.81145599999999996</v>
      </c>
      <c r="BV919">
        <v>0.28999999999999998</v>
      </c>
      <c r="BW919">
        <f>BV919*SQRT(AK919)</f>
        <v>1.0045894683899488</v>
      </c>
      <c r="BX919">
        <v>1.86</v>
      </c>
      <c r="BY919">
        <v>1.8617509999999999</v>
      </c>
      <c r="BZ919">
        <v>0.97</v>
      </c>
      <c r="CA919">
        <f>BZ919*SQRT(AL919)</f>
        <v>3.3601785666836217</v>
      </c>
      <c r="CB919">
        <v>126</v>
      </c>
      <c r="CC919">
        <v>3</v>
      </c>
      <c r="CD919">
        <v>0.83</v>
      </c>
      <c r="CE919">
        <v>0.3987</v>
      </c>
    </row>
    <row r="920" spans="4:83" hidden="1" x14ac:dyDescent="0.2">
      <c r="D920">
        <v>59</v>
      </c>
      <c r="G920" t="s">
        <v>43</v>
      </c>
      <c r="H920" t="s">
        <v>575</v>
      </c>
      <c r="J920">
        <v>2016</v>
      </c>
      <c r="M920" t="s">
        <v>576</v>
      </c>
      <c r="T920" t="s">
        <v>68</v>
      </c>
      <c r="U920" t="s">
        <v>577</v>
      </c>
      <c r="V920" t="s">
        <v>578</v>
      </c>
      <c r="Z920" t="s">
        <v>49</v>
      </c>
      <c r="AA920" t="s">
        <v>49</v>
      </c>
      <c r="AB920" t="s">
        <v>50</v>
      </c>
      <c r="AC920" t="s">
        <v>51</v>
      </c>
      <c r="AD920" t="s">
        <v>52</v>
      </c>
      <c r="AE920" t="s">
        <v>53</v>
      </c>
      <c r="AF920" t="s">
        <v>52</v>
      </c>
      <c r="AG920" t="s">
        <v>52</v>
      </c>
      <c r="AH920" t="s">
        <v>64</v>
      </c>
      <c r="AK920">
        <v>12</v>
      </c>
      <c r="AL920">
        <v>12</v>
      </c>
      <c r="AN920">
        <v>322</v>
      </c>
      <c r="AO920">
        <v>7</v>
      </c>
      <c r="AP920" t="s">
        <v>56</v>
      </c>
      <c r="AQ920" t="s">
        <v>109</v>
      </c>
      <c r="AR920">
        <v>8.14</v>
      </c>
      <c r="AS920">
        <v>0.01</v>
      </c>
      <c r="AT920" t="s">
        <v>56</v>
      </c>
      <c r="AU920">
        <v>1652</v>
      </c>
      <c r="AV920">
        <v>41</v>
      </c>
      <c r="AW920" t="s">
        <v>56</v>
      </c>
      <c r="AX920">
        <v>7.51</v>
      </c>
      <c r="AY920">
        <v>0.01</v>
      </c>
      <c r="AZ920" t="s">
        <v>56</v>
      </c>
      <c r="BB920">
        <f>LOG(AU920)</f>
        <v>3.2180100429843632</v>
      </c>
      <c r="BC920">
        <v>9.6999999999999993</v>
      </c>
      <c r="BD920">
        <v>0.2</v>
      </c>
      <c r="BE920" t="s">
        <v>56</v>
      </c>
      <c r="BF920">
        <v>18.399999999999999</v>
      </c>
      <c r="BG920">
        <v>0.5</v>
      </c>
      <c r="BH920" t="s">
        <v>56</v>
      </c>
      <c r="BI920">
        <v>1330</v>
      </c>
      <c r="BJ920">
        <v>8.6999999999999993</v>
      </c>
      <c r="BK920" t="s">
        <v>579</v>
      </c>
      <c r="BL920" t="s">
        <v>581</v>
      </c>
      <c r="BM920" t="s">
        <v>75</v>
      </c>
      <c r="BN920" t="s">
        <v>60</v>
      </c>
      <c r="BO920" t="s">
        <v>582</v>
      </c>
      <c r="BP920" t="s">
        <v>77</v>
      </c>
      <c r="BR920" t="s">
        <v>63</v>
      </c>
      <c r="BT920">
        <v>23.09</v>
      </c>
      <c r="BU920">
        <v>23.090091000000001</v>
      </c>
      <c r="BV920">
        <v>2.5099999999999998</v>
      </c>
      <c r="BW920">
        <f>BV920*SQRT(AK920)</f>
        <v>8.6948950539957632</v>
      </c>
      <c r="BX920">
        <v>53.82</v>
      </c>
      <c r="BY920">
        <v>53.820075000000003</v>
      </c>
      <c r="BZ920">
        <v>9</v>
      </c>
      <c r="CA920">
        <f>BZ920*SQRT(AL920)</f>
        <v>31.176914536239789</v>
      </c>
      <c r="CB920">
        <v>126</v>
      </c>
      <c r="CC920">
        <v>3</v>
      </c>
      <c r="CD920">
        <v>0.84599999999999997</v>
      </c>
      <c r="CE920">
        <v>3.9699999999999999E-2</v>
      </c>
    </row>
    <row r="921" spans="4:83" hidden="1" x14ac:dyDescent="0.2">
      <c r="D921">
        <v>59</v>
      </c>
      <c r="G921" t="s">
        <v>43</v>
      </c>
      <c r="H921" t="s">
        <v>575</v>
      </c>
      <c r="J921">
        <v>2016</v>
      </c>
      <c r="M921" t="s">
        <v>576</v>
      </c>
      <c r="T921" t="s">
        <v>68</v>
      </c>
      <c r="U921" t="s">
        <v>577</v>
      </c>
      <c r="V921" t="s">
        <v>578</v>
      </c>
      <c r="Z921" t="s">
        <v>49</v>
      </c>
      <c r="AA921" t="s">
        <v>49</v>
      </c>
      <c r="AB921" t="s">
        <v>50</v>
      </c>
      <c r="AC921" t="s">
        <v>51</v>
      </c>
      <c r="AD921" t="s">
        <v>52</v>
      </c>
      <c r="AE921" t="s">
        <v>53</v>
      </c>
      <c r="AF921" t="s">
        <v>54</v>
      </c>
      <c r="AG921" t="s">
        <v>52</v>
      </c>
      <c r="AH921" t="s">
        <v>65</v>
      </c>
      <c r="AK921">
        <v>12</v>
      </c>
      <c r="AL921">
        <v>12</v>
      </c>
      <c r="AN921">
        <v>322</v>
      </c>
      <c r="AO921">
        <v>7</v>
      </c>
      <c r="AP921" t="s">
        <v>56</v>
      </c>
      <c r="AQ921" t="s">
        <v>109</v>
      </c>
      <c r="AR921">
        <v>8.14</v>
      </c>
      <c r="AS921">
        <v>0.01</v>
      </c>
      <c r="AT921" t="s">
        <v>56</v>
      </c>
      <c r="AU921">
        <v>356</v>
      </c>
      <c r="AV921">
        <v>25</v>
      </c>
      <c r="AW921" t="s">
        <v>56</v>
      </c>
      <c r="AX921">
        <v>8.1199999999999992</v>
      </c>
      <c r="AY921">
        <v>0.02</v>
      </c>
      <c r="AZ921" t="s">
        <v>56</v>
      </c>
      <c r="BB921">
        <f>LOG(AU921)</f>
        <v>2.5514499979728753</v>
      </c>
      <c r="BC921">
        <v>9.6999999999999993</v>
      </c>
      <c r="BD921">
        <v>0.2</v>
      </c>
      <c r="BE921" t="s">
        <v>56</v>
      </c>
      <c r="BF921">
        <v>12.9</v>
      </c>
      <c r="BG921">
        <v>0.2</v>
      </c>
      <c r="BH921" t="s">
        <v>56</v>
      </c>
      <c r="BI921">
        <v>34</v>
      </c>
      <c r="BJ921">
        <v>3.2</v>
      </c>
      <c r="BK921" t="s">
        <v>579</v>
      </c>
      <c r="BL921" t="s">
        <v>268</v>
      </c>
      <c r="BM921" t="s">
        <v>232</v>
      </c>
      <c r="BN921" t="s">
        <v>81</v>
      </c>
      <c r="BO921" t="s">
        <v>580</v>
      </c>
      <c r="BP921" t="s">
        <v>234</v>
      </c>
      <c r="BR921" t="s">
        <v>63</v>
      </c>
      <c r="BT921">
        <v>0.81</v>
      </c>
      <c r="BU921">
        <v>0.81145599999999996</v>
      </c>
      <c r="BV921">
        <v>0.28999999999999998</v>
      </c>
      <c r="BW921">
        <f>BV921*SQRT(AK921)</f>
        <v>1.0045894683899488</v>
      </c>
      <c r="BX921">
        <v>1.94</v>
      </c>
      <c r="BY921">
        <v>1.944418</v>
      </c>
      <c r="BZ921">
        <v>0.32</v>
      </c>
      <c r="CA921">
        <f>BZ921*SQRT(AL921)</f>
        <v>1.1085125168440815</v>
      </c>
      <c r="CB921">
        <v>56</v>
      </c>
      <c r="CC921">
        <v>3</v>
      </c>
      <c r="CD921">
        <v>0.874</v>
      </c>
      <c r="CE921">
        <v>0.15709999999999999</v>
      </c>
    </row>
    <row r="922" spans="4:83" hidden="1" x14ac:dyDescent="0.2">
      <c r="D922">
        <v>59</v>
      </c>
      <c r="G922" t="s">
        <v>43</v>
      </c>
      <c r="H922" t="s">
        <v>575</v>
      </c>
      <c r="J922">
        <v>2016</v>
      </c>
      <c r="M922" t="s">
        <v>576</v>
      </c>
      <c r="T922" t="s">
        <v>68</v>
      </c>
      <c r="U922" t="s">
        <v>577</v>
      </c>
      <c r="V922" t="s">
        <v>578</v>
      </c>
      <c r="Z922" t="s">
        <v>49</v>
      </c>
      <c r="AA922" t="s">
        <v>49</v>
      </c>
      <c r="AB922" t="s">
        <v>50</v>
      </c>
      <c r="AC922" t="s">
        <v>51</v>
      </c>
      <c r="AD922" t="s">
        <v>52</v>
      </c>
      <c r="AE922" t="s">
        <v>53</v>
      </c>
      <c r="AF922" t="s">
        <v>54</v>
      </c>
      <c r="AG922" t="s">
        <v>52</v>
      </c>
      <c r="AH922" t="s">
        <v>65</v>
      </c>
      <c r="AK922">
        <v>12</v>
      </c>
      <c r="AL922">
        <v>12</v>
      </c>
      <c r="AN922">
        <v>322</v>
      </c>
      <c r="AO922">
        <v>7</v>
      </c>
      <c r="AP922" t="s">
        <v>56</v>
      </c>
      <c r="AQ922" t="s">
        <v>109</v>
      </c>
      <c r="AR922">
        <v>8.14</v>
      </c>
      <c r="AS922">
        <v>0.01</v>
      </c>
      <c r="AT922" t="s">
        <v>56</v>
      </c>
      <c r="AU922">
        <v>376</v>
      </c>
      <c r="AV922">
        <v>10</v>
      </c>
      <c r="AW922" t="s">
        <v>56</v>
      </c>
      <c r="AX922">
        <v>8.08</v>
      </c>
      <c r="AY922">
        <v>0.01</v>
      </c>
      <c r="AZ922" t="s">
        <v>56</v>
      </c>
      <c r="BB922">
        <f>LOG(AU922)</f>
        <v>2.5751878449276608</v>
      </c>
      <c r="BC922">
        <v>9.6999999999999993</v>
      </c>
      <c r="BD922">
        <v>0.2</v>
      </c>
      <c r="BE922" t="s">
        <v>56</v>
      </c>
      <c r="BF922">
        <v>15.9</v>
      </c>
      <c r="BG922">
        <v>0.1</v>
      </c>
      <c r="BH922" t="s">
        <v>56</v>
      </c>
      <c r="BI922">
        <v>54</v>
      </c>
      <c r="BJ922">
        <v>6.2</v>
      </c>
      <c r="BK922" t="s">
        <v>579</v>
      </c>
      <c r="BL922" t="s">
        <v>268</v>
      </c>
      <c r="BM922" t="s">
        <v>232</v>
      </c>
      <c r="BN922" t="s">
        <v>81</v>
      </c>
      <c r="BO922" t="s">
        <v>580</v>
      </c>
      <c r="BP922" t="s">
        <v>234</v>
      </c>
      <c r="BR922" t="s">
        <v>63</v>
      </c>
      <c r="BT922">
        <v>0.81</v>
      </c>
      <c r="BU922">
        <v>0.81145599999999996</v>
      </c>
      <c r="BV922">
        <v>0.28999999999999998</v>
      </c>
      <c r="BW922">
        <f>BV922*SQRT(AK922)</f>
        <v>1.0045894683899488</v>
      </c>
      <c r="BX922">
        <v>2.0099999999999998</v>
      </c>
      <c r="BY922">
        <v>2.0117609999999999</v>
      </c>
      <c r="BZ922">
        <v>0.28999999999999998</v>
      </c>
      <c r="CA922">
        <f>BZ922*SQRT(AL922)</f>
        <v>1.0045894683899488</v>
      </c>
      <c r="CB922">
        <v>91</v>
      </c>
      <c r="CC922">
        <v>3</v>
      </c>
      <c r="CD922">
        <v>0.90800000000000003</v>
      </c>
      <c r="CE922">
        <v>0.15060000000000001</v>
      </c>
    </row>
    <row r="923" spans="4:83" hidden="1" x14ac:dyDescent="0.2">
      <c r="D923">
        <v>59</v>
      </c>
      <c r="G923" t="s">
        <v>43</v>
      </c>
      <c r="H923" t="s">
        <v>575</v>
      </c>
      <c r="J923">
        <v>2016</v>
      </c>
      <c r="M923" t="s">
        <v>576</v>
      </c>
      <c r="T923" t="s">
        <v>68</v>
      </c>
      <c r="U923" t="s">
        <v>577</v>
      </c>
      <c r="V923" t="s">
        <v>578</v>
      </c>
      <c r="Z923" t="s">
        <v>49</v>
      </c>
      <c r="AA923" t="s">
        <v>49</v>
      </c>
      <c r="AB923" t="s">
        <v>50</v>
      </c>
      <c r="AC923" t="s">
        <v>51</v>
      </c>
      <c r="AD923" t="s">
        <v>52</v>
      </c>
      <c r="AE923" t="s">
        <v>53</v>
      </c>
      <c r="AF923" t="s">
        <v>52</v>
      </c>
      <c r="AG923" t="s">
        <v>52</v>
      </c>
      <c r="AH923" t="s">
        <v>64</v>
      </c>
      <c r="AK923">
        <v>12</v>
      </c>
      <c r="AL923">
        <v>12</v>
      </c>
      <c r="AN923">
        <v>322</v>
      </c>
      <c r="AO923">
        <v>7</v>
      </c>
      <c r="AP923" t="s">
        <v>56</v>
      </c>
      <c r="AQ923" t="s">
        <v>109</v>
      </c>
      <c r="AR923">
        <v>8.14</v>
      </c>
      <c r="AS923">
        <v>0.01</v>
      </c>
      <c r="AT923" t="s">
        <v>56</v>
      </c>
      <c r="AU923">
        <v>781</v>
      </c>
      <c r="AV923">
        <v>20</v>
      </c>
      <c r="AW923" t="s">
        <v>56</v>
      </c>
      <c r="AX923">
        <v>7.81</v>
      </c>
      <c r="AY923">
        <v>0.01</v>
      </c>
      <c r="AZ923" t="s">
        <v>56</v>
      </c>
      <c r="BB923">
        <f>LOG(AU923)</f>
        <v>2.8926510338773004</v>
      </c>
      <c r="BC923">
        <v>9.6999999999999993</v>
      </c>
      <c r="BD923">
        <v>0.2</v>
      </c>
      <c r="BE923" t="s">
        <v>56</v>
      </c>
      <c r="BF923">
        <v>13</v>
      </c>
      <c r="BG923">
        <v>0.1</v>
      </c>
      <c r="BH923" t="s">
        <v>56</v>
      </c>
      <c r="BI923">
        <v>459</v>
      </c>
      <c r="BJ923">
        <v>3.3</v>
      </c>
      <c r="BK923" t="s">
        <v>579</v>
      </c>
      <c r="BL923" t="s">
        <v>272</v>
      </c>
      <c r="BM923" t="s">
        <v>272</v>
      </c>
      <c r="BN923" t="s">
        <v>60</v>
      </c>
      <c r="BO923" t="s">
        <v>583</v>
      </c>
      <c r="BP923" t="s">
        <v>584</v>
      </c>
      <c r="BR923" t="s">
        <v>63</v>
      </c>
      <c r="BT923">
        <v>0.25</v>
      </c>
      <c r="BU923">
        <v>0.246975</v>
      </c>
      <c r="BV923">
        <v>0.16</v>
      </c>
      <c r="BW923">
        <f>BV923*SQRT(AK923)</f>
        <v>0.55425625842204074</v>
      </c>
      <c r="BX923">
        <v>0.64</v>
      </c>
      <c r="BY923">
        <v>0.63508200000000004</v>
      </c>
      <c r="BZ923">
        <v>0.14000000000000001</v>
      </c>
      <c r="CA923">
        <f>BZ923*SQRT(AL923)</f>
        <v>0.48497422611928565</v>
      </c>
      <c r="CB923">
        <v>56</v>
      </c>
      <c r="CC923">
        <v>3</v>
      </c>
      <c r="CD923">
        <v>0.94399999999999995</v>
      </c>
      <c r="CE923">
        <v>0.47160000000000002</v>
      </c>
    </row>
    <row r="924" spans="4:83" hidden="1" x14ac:dyDescent="0.2">
      <c r="D924">
        <v>59</v>
      </c>
      <c r="G924" t="s">
        <v>43</v>
      </c>
      <c r="H924" t="s">
        <v>575</v>
      </c>
      <c r="J924">
        <v>2016</v>
      </c>
      <c r="M924" t="s">
        <v>576</v>
      </c>
      <c r="T924" t="s">
        <v>68</v>
      </c>
      <c r="U924" t="s">
        <v>577</v>
      </c>
      <c r="V924" t="s">
        <v>578</v>
      </c>
      <c r="Z924" t="s">
        <v>49</v>
      </c>
      <c r="AA924" t="s">
        <v>49</v>
      </c>
      <c r="AB924" t="s">
        <v>50</v>
      </c>
      <c r="AC924" t="s">
        <v>51</v>
      </c>
      <c r="AD924" t="s">
        <v>52</v>
      </c>
      <c r="AE924" t="s">
        <v>53</v>
      </c>
      <c r="AF924" t="s">
        <v>52</v>
      </c>
      <c r="AG924" t="s">
        <v>52</v>
      </c>
      <c r="AH924" t="s">
        <v>64</v>
      </c>
      <c r="AK924">
        <v>12</v>
      </c>
      <c r="AL924">
        <v>12</v>
      </c>
      <c r="AN924">
        <v>322</v>
      </c>
      <c r="AO924">
        <v>7</v>
      </c>
      <c r="AP924" t="s">
        <v>56</v>
      </c>
      <c r="AQ924" t="s">
        <v>109</v>
      </c>
      <c r="AR924">
        <v>8.14</v>
      </c>
      <c r="AS924">
        <v>0.01</v>
      </c>
      <c r="AT924" t="s">
        <v>56</v>
      </c>
      <c r="AU924">
        <v>1557</v>
      </c>
      <c r="AV924">
        <v>43</v>
      </c>
      <c r="AW924" t="s">
        <v>56</v>
      </c>
      <c r="AX924">
        <v>7.53</v>
      </c>
      <c r="AY924">
        <v>0.01</v>
      </c>
      <c r="AZ924" t="s">
        <v>56</v>
      </c>
      <c r="BB924">
        <f>LOG(AU924)</f>
        <v>3.1922886125681202</v>
      </c>
      <c r="BC924">
        <v>9.6999999999999993</v>
      </c>
      <c r="BD924">
        <v>0.2</v>
      </c>
      <c r="BE924" t="s">
        <v>56</v>
      </c>
      <c r="BF924">
        <v>12.8</v>
      </c>
      <c r="BG924">
        <v>0.1</v>
      </c>
      <c r="BH924" t="s">
        <v>56</v>
      </c>
      <c r="BI924">
        <v>1235</v>
      </c>
      <c r="BJ924">
        <v>3.1</v>
      </c>
      <c r="BK924" t="s">
        <v>579</v>
      </c>
      <c r="BL924" t="s">
        <v>182</v>
      </c>
      <c r="BM924" t="s">
        <v>59</v>
      </c>
      <c r="BN924" t="s">
        <v>60</v>
      </c>
      <c r="BO924" t="s">
        <v>585</v>
      </c>
      <c r="BP924" t="s">
        <v>62</v>
      </c>
      <c r="BR924" t="s">
        <v>63</v>
      </c>
      <c r="BT924">
        <v>3.55</v>
      </c>
      <c r="BU924">
        <v>3.551015</v>
      </c>
      <c r="BV924">
        <v>0.63</v>
      </c>
      <c r="BW924">
        <f>BV924*SQRT(AK924)</f>
        <v>2.1823840175367852</v>
      </c>
      <c r="BX924">
        <v>10.29</v>
      </c>
      <c r="BY924">
        <v>10.291131999999999</v>
      </c>
      <c r="BZ924">
        <v>0.91</v>
      </c>
      <c r="CA924">
        <f>BZ924*SQRT(AL924)</f>
        <v>3.1523324697753567</v>
      </c>
      <c r="CB924">
        <v>56</v>
      </c>
      <c r="CC924">
        <v>3</v>
      </c>
      <c r="CD924">
        <v>1.0640000000000001</v>
      </c>
      <c r="CE924">
        <v>3.9399999999999998E-2</v>
      </c>
    </row>
    <row r="925" spans="4:83" hidden="1" x14ac:dyDescent="0.2">
      <c r="D925">
        <v>59</v>
      </c>
      <c r="G925" t="s">
        <v>43</v>
      </c>
      <c r="H925" t="s">
        <v>575</v>
      </c>
      <c r="J925">
        <v>2016</v>
      </c>
      <c r="M925" t="s">
        <v>576</v>
      </c>
      <c r="T925" t="s">
        <v>68</v>
      </c>
      <c r="U925" t="s">
        <v>577</v>
      </c>
      <c r="V925" t="s">
        <v>578</v>
      </c>
      <c r="Z925" t="s">
        <v>49</v>
      </c>
      <c r="AA925" t="s">
        <v>49</v>
      </c>
      <c r="AB925" t="s">
        <v>50</v>
      </c>
      <c r="AC925" t="s">
        <v>51</v>
      </c>
      <c r="AD925" t="s">
        <v>52</v>
      </c>
      <c r="AE925" t="s">
        <v>53</v>
      </c>
      <c r="AF925" t="s">
        <v>54</v>
      </c>
      <c r="AG925" t="s">
        <v>52</v>
      </c>
      <c r="AH925" t="s">
        <v>65</v>
      </c>
      <c r="AK925">
        <v>12</v>
      </c>
      <c r="AL925">
        <v>12</v>
      </c>
      <c r="AN925">
        <v>322</v>
      </c>
      <c r="AO925">
        <v>7</v>
      </c>
      <c r="AP925" t="s">
        <v>56</v>
      </c>
      <c r="AQ925" t="s">
        <v>109</v>
      </c>
      <c r="AR925">
        <v>8.14</v>
      </c>
      <c r="AS925">
        <v>0.01</v>
      </c>
      <c r="AT925" t="s">
        <v>56</v>
      </c>
      <c r="AU925">
        <v>450</v>
      </c>
      <c r="AV925">
        <v>10</v>
      </c>
      <c r="AW925" t="s">
        <v>56</v>
      </c>
      <c r="AX925">
        <v>8.02</v>
      </c>
      <c r="AY925">
        <v>0.01</v>
      </c>
      <c r="AZ925" t="s">
        <v>56</v>
      </c>
      <c r="BB925">
        <f>LOG(AU925)</f>
        <v>2.6532125137753435</v>
      </c>
      <c r="BC925">
        <v>9.6999999999999993</v>
      </c>
      <c r="BD925">
        <v>0.2</v>
      </c>
      <c r="BE925" t="s">
        <v>56</v>
      </c>
      <c r="BF925">
        <v>18.399999999999999</v>
      </c>
      <c r="BG925">
        <v>0.5</v>
      </c>
      <c r="BH925" t="s">
        <v>56</v>
      </c>
      <c r="BI925">
        <v>128</v>
      </c>
      <c r="BJ925">
        <v>8.6999999999999993</v>
      </c>
      <c r="BK925" t="s">
        <v>579</v>
      </c>
      <c r="BL925" t="s">
        <v>272</v>
      </c>
      <c r="BM925" t="s">
        <v>272</v>
      </c>
      <c r="BN925" t="s">
        <v>60</v>
      </c>
      <c r="BO925" t="s">
        <v>583</v>
      </c>
      <c r="BP925" t="s">
        <v>584</v>
      </c>
      <c r="BR925" t="s">
        <v>63</v>
      </c>
      <c r="BT925">
        <v>0.25</v>
      </c>
      <c r="BU925">
        <v>0.246975</v>
      </c>
      <c r="BV925">
        <v>0.16</v>
      </c>
      <c r="BW925">
        <f>BV925*SQRT(AK925)</f>
        <v>0.55425625842204074</v>
      </c>
      <c r="BX925">
        <v>0.72</v>
      </c>
      <c r="BY925">
        <v>0.72123800000000005</v>
      </c>
      <c r="BZ925">
        <v>0.32</v>
      </c>
      <c r="CA925">
        <f>BZ925*SQRT(AL925)</f>
        <v>1.1085125168440815</v>
      </c>
      <c r="CB925">
        <v>126</v>
      </c>
      <c r="CC925">
        <v>3</v>
      </c>
      <c r="CD925">
        <v>1.0720000000000001</v>
      </c>
      <c r="CE925">
        <v>0.62060000000000004</v>
      </c>
    </row>
    <row r="926" spans="4:83" hidden="1" x14ac:dyDescent="0.2">
      <c r="D926">
        <v>59</v>
      </c>
      <c r="G926" t="s">
        <v>43</v>
      </c>
      <c r="H926" t="s">
        <v>575</v>
      </c>
      <c r="J926">
        <v>2016</v>
      </c>
      <c r="M926" t="s">
        <v>576</v>
      </c>
      <c r="T926" t="s">
        <v>68</v>
      </c>
      <c r="U926" t="s">
        <v>577</v>
      </c>
      <c r="V926" t="s">
        <v>578</v>
      </c>
      <c r="Z926" t="s">
        <v>49</v>
      </c>
      <c r="AA926" t="s">
        <v>49</v>
      </c>
      <c r="AB926" t="s">
        <v>50</v>
      </c>
      <c r="AC926" t="s">
        <v>51</v>
      </c>
      <c r="AD926" t="s">
        <v>52</v>
      </c>
      <c r="AE926" t="s">
        <v>53</v>
      </c>
      <c r="AF926" t="s">
        <v>52</v>
      </c>
      <c r="AG926" t="s">
        <v>52</v>
      </c>
      <c r="AH926" t="s">
        <v>64</v>
      </c>
      <c r="AK926">
        <v>12</v>
      </c>
      <c r="AL926">
        <v>12</v>
      </c>
      <c r="AN926">
        <v>322</v>
      </c>
      <c r="AO926">
        <v>7</v>
      </c>
      <c r="AP926" t="s">
        <v>56</v>
      </c>
      <c r="AQ926" t="s">
        <v>109</v>
      </c>
      <c r="AR926">
        <v>8.14</v>
      </c>
      <c r="AS926">
        <v>0.01</v>
      </c>
      <c r="AT926" t="s">
        <v>56</v>
      </c>
      <c r="AU926">
        <v>781</v>
      </c>
      <c r="AV926">
        <v>20</v>
      </c>
      <c r="AW926" t="s">
        <v>56</v>
      </c>
      <c r="AX926">
        <v>7.81</v>
      </c>
      <c r="AY926">
        <v>0.01</v>
      </c>
      <c r="AZ926" t="s">
        <v>56</v>
      </c>
      <c r="BB926">
        <f>LOG(AU926)</f>
        <v>2.8926510338773004</v>
      </c>
      <c r="BC926">
        <v>9.6999999999999993</v>
      </c>
      <c r="BD926">
        <v>0.2</v>
      </c>
      <c r="BE926" t="s">
        <v>56</v>
      </c>
      <c r="BF926">
        <v>13</v>
      </c>
      <c r="BG926">
        <v>0.1</v>
      </c>
      <c r="BH926" t="s">
        <v>56</v>
      </c>
      <c r="BI926">
        <v>459</v>
      </c>
      <c r="BJ926">
        <v>3.3</v>
      </c>
      <c r="BK926" t="s">
        <v>579</v>
      </c>
      <c r="BL926" t="s">
        <v>182</v>
      </c>
      <c r="BM926" t="s">
        <v>59</v>
      </c>
      <c r="BN926" t="s">
        <v>60</v>
      </c>
      <c r="BO926" t="s">
        <v>585</v>
      </c>
      <c r="BP926" t="s">
        <v>62</v>
      </c>
      <c r="BR926" t="s">
        <v>63</v>
      </c>
      <c r="BT926">
        <v>3.55</v>
      </c>
      <c r="BU926">
        <v>3.551015</v>
      </c>
      <c r="BV926">
        <v>0.63</v>
      </c>
      <c r="BW926">
        <f>BV926*SQRT(AK926)</f>
        <v>2.1823840175367852</v>
      </c>
      <c r="BX926">
        <v>10.64</v>
      </c>
      <c r="BY926">
        <v>10.643697</v>
      </c>
      <c r="BZ926">
        <v>1.3</v>
      </c>
      <c r="CA926">
        <f>BZ926*SQRT(AL926)</f>
        <v>4.5033320996790804</v>
      </c>
      <c r="CB926">
        <v>56</v>
      </c>
      <c r="CC926">
        <v>3</v>
      </c>
      <c r="CD926">
        <v>1.0980000000000001</v>
      </c>
      <c r="CE926">
        <v>4.6600000000000003E-2</v>
      </c>
    </row>
    <row r="927" spans="4:83" hidden="1" x14ac:dyDescent="0.2">
      <c r="D927">
        <v>59</v>
      </c>
      <c r="G927" t="s">
        <v>43</v>
      </c>
      <c r="H927" t="s">
        <v>575</v>
      </c>
      <c r="J927">
        <v>2016</v>
      </c>
      <c r="M927" t="s">
        <v>576</v>
      </c>
      <c r="T927" t="s">
        <v>68</v>
      </c>
      <c r="U927" t="s">
        <v>577</v>
      </c>
      <c r="V927" t="s">
        <v>578</v>
      </c>
      <c r="Z927" t="s">
        <v>49</v>
      </c>
      <c r="AA927" t="s">
        <v>49</v>
      </c>
      <c r="AB927" t="s">
        <v>50</v>
      </c>
      <c r="AC927" t="s">
        <v>51</v>
      </c>
      <c r="AD927" t="s">
        <v>52</v>
      </c>
      <c r="AE927" t="s">
        <v>53</v>
      </c>
      <c r="AF927" t="s">
        <v>52</v>
      </c>
      <c r="AG927" t="s">
        <v>52</v>
      </c>
      <c r="AH927" t="s">
        <v>64</v>
      </c>
      <c r="AK927">
        <v>12</v>
      </c>
      <c r="AL927">
        <v>12</v>
      </c>
      <c r="AN927">
        <v>322</v>
      </c>
      <c r="AO927">
        <v>7</v>
      </c>
      <c r="AP927" t="s">
        <v>56</v>
      </c>
      <c r="AQ927" t="s">
        <v>109</v>
      </c>
      <c r="AR927">
        <v>8.14</v>
      </c>
      <c r="AS927">
        <v>0.01</v>
      </c>
      <c r="AT927" t="s">
        <v>56</v>
      </c>
      <c r="AU927">
        <v>748</v>
      </c>
      <c r="AV927">
        <v>8</v>
      </c>
      <c r="AW927" t="s">
        <v>56</v>
      </c>
      <c r="AX927">
        <v>7.82</v>
      </c>
      <c r="AY927">
        <v>0</v>
      </c>
      <c r="AZ927" t="s">
        <v>56</v>
      </c>
      <c r="BB927">
        <f>LOG(AU927)</f>
        <v>2.8739015978644615</v>
      </c>
      <c r="BC927">
        <v>9.6999999999999993</v>
      </c>
      <c r="BD927">
        <v>0.2</v>
      </c>
      <c r="BE927" t="s">
        <v>56</v>
      </c>
      <c r="BF927">
        <v>16.100000000000001</v>
      </c>
      <c r="BG927">
        <v>0.1</v>
      </c>
      <c r="BH927" t="s">
        <v>56</v>
      </c>
      <c r="BI927">
        <v>426</v>
      </c>
      <c r="BJ927">
        <v>6.4</v>
      </c>
      <c r="BK927" t="s">
        <v>579</v>
      </c>
      <c r="BL927" t="s">
        <v>182</v>
      </c>
      <c r="BM927" t="s">
        <v>59</v>
      </c>
      <c r="BN927" t="s">
        <v>60</v>
      </c>
      <c r="BO927" t="s">
        <v>585</v>
      </c>
      <c r="BP927" t="s">
        <v>62</v>
      </c>
      <c r="BR927" t="s">
        <v>63</v>
      </c>
      <c r="BT927">
        <v>3.55</v>
      </c>
      <c r="BU927">
        <v>3.551015</v>
      </c>
      <c r="BV927">
        <v>0.63</v>
      </c>
      <c r="BW927">
        <f>BV927*SQRT(AK927)</f>
        <v>2.1823840175367852</v>
      </c>
      <c r="BX927">
        <v>10.96</v>
      </c>
      <c r="BY927">
        <v>10.958868000000001</v>
      </c>
      <c r="BZ927">
        <v>1.1599999999999999</v>
      </c>
      <c r="CA927">
        <f>BZ927*SQRT(AL927)</f>
        <v>4.0183578735597951</v>
      </c>
      <c r="CB927">
        <v>91</v>
      </c>
      <c r="CC927">
        <v>3</v>
      </c>
      <c r="CD927">
        <v>1.127</v>
      </c>
      <c r="CE927">
        <v>4.2799999999999998E-2</v>
      </c>
    </row>
    <row r="928" spans="4:83" hidden="1" x14ac:dyDescent="0.2">
      <c r="D928">
        <v>59</v>
      </c>
      <c r="G928" t="s">
        <v>43</v>
      </c>
      <c r="H928" t="s">
        <v>575</v>
      </c>
      <c r="J928">
        <v>2016</v>
      </c>
      <c r="M928" t="s">
        <v>576</v>
      </c>
      <c r="T928" t="s">
        <v>68</v>
      </c>
      <c r="U928" t="s">
        <v>577</v>
      </c>
      <c r="V928" t="s">
        <v>578</v>
      </c>
      <c r="Z928" t="s">
        <v>49</v>
      </c>
      <c r="AA928" t="s">
        <v>49</v>
      </c>
      <c r="AB928" t="s">
        <v>50</v>
      </c>
      <c r="AC928" t="s">
        <v>51</v>
      </c>
      <c r="AD928" t="s">
        <v>52</v>
      </c>
      <c r="AE928" t="s">
        <v>53</v>
      </c>
      <c r="AF928" t="s">
        <v>54</v>
      </c>
      <c r="AG928" t="s">
        <v>52</v>
      </c>
      <c r="AH928" t="s">
        <v>65</v>
      </c>
      <c r="AK928">
        <v>12</v>
      </c>
      <c r="AL928">
        <v>12</v>
      </c>
      <c r="AN928">
        <v>322</v>
      </c>
      <c r="AO928">
        <v>7</v>
      </c>
      <c r="AP928" t="s">
        <v>56</v>
      </c>
      <c r="AQ928" t="s">
        <v>109</v>
      </c>
      <c r="AR928">
        <v>8.14</v>
      </c>
      <c r="AS928">
        <v>0.01</v>
      </c>
      <c r="AT928" t="s">
        <v>56</v>
      </c>
      <c r="AU928">
        <v>356</v>
      </c>
      <c r="AV928">
        <v>25</v>
      </c>
      <c r="AW928" t="s">
        <v>56</v>
      </c>
      <c r="AX928">
        <v>8.1199999999999992</v>
      </c>
      <c r="AY928">
        <v>0.02</v>
      </c>
      <c r="AZ928" t="s">
        <v>56</v>
      </c>
      <c r="BB928">
        <f>LOG(AU928)</f>
        <v>2.5514499979728753</v>
      </c>
      <c r="BC928">
        <v>9.6999999999999993</v>
      </c>
      <c r="BD928">
        <v>0.2</v>
      </c>
      <c r="BE928" t="s">
        <v>56</v>
      </c>
      <c r="BF928">
        <v>12.9</v>
      </c>
      <c r="BG928">
        <v>0.2</v>
      </c>
      <c r="BH928" t="s">
        <v>56</v>
      </c>
      <c r="BI928">
        <v>34</v>
      </c>
      <c r="BJ928">
        <v>3.2</v>
      </c>
      <c r="BK928" t="s">
        <v>579</v>
      </c>
      <c r="BL928" t="s">
        <v>272</v>
      </c>
      <c r="BM928" t="s">
        <v>272</v>
      </c>
      <c r="BN928" t="s">
        <v>60</v>
      </c>
      <c r="BO928" t="s">
        <v>583</v>
      </c>
      <c r="BP928" t="s">
        <v>584</v>
      </c>
      <c r="BR928" t="s">
        <v>63</v>
      </c>
      <c r="BT928">
        <v>0.25</v>
      </c>
      <c r="BU928">
        <v>0.246975</v>
      </c>
      <c r="BV928">
        <v>0.16</v>
      </c>
      <c r="BW928">
        <f>BV928*SQRT(AK928)</f>
        <v>0.55425625842204074</v>
      </c>
      <c r="BX928">
        <v>0.77</v>
      </c>
      <c r="BY928">
        <v>0.77457900000000002</v>
      </c>
      <c r="BZ928">
        <v>0.14000000000000001</v>
      </c>
      <c r="CA928">
        <f>BZ928*SQRT(AL928)</f>
        <v>0.48497422611928565</v>
      </c>
      <c r="CB928">
        <v>56</v>
      </c>
      <c r="CC928">
        <v>3</v>
      </c>
      <c r="CD928">
        <v>1.143</v>
      </c>
      <c r="CE928">
        <v>0.45469999999999999</v>
      </c>
    </row>
    <row r="929" spans="4:83" hidden="1" x14ac:dyDescent="0.2">
      <c r="D929">
        <v>59</v>
      </c>
      <c r="G929" t="s">
        <v>43</v>
      </c>
      <c r="H929" t="s">
        <v>575</v>
      </c>
      <c r="J929">
        <v>2016</v>
      </c>
      <c r="M929" t="s">
        <v>576</v>
      </c>
      <c r="T929" t="s">
        <v>68</v>
      </c>
      <c r="U929" t="s">
        <v>577</v>
      </c>
      <c r="V929" t="s">
        <v>578</v>
      </c>
      <c r="Z929" t="s">
        <v>49</v>
      </c>
      <c r="AA929" t="s">
        <v>49</v>
      </c>
      <c r="AB929" t="s">
        <v>50</v>
      </c>
      <c r="AC929" t="s">
        <v>51</v>
      </c>
      <c r="AD929" t="s">
        <v>52</v>
      </c>
      <c r="AE929" t="s">
        <v>53</v>
      </c>
      <c r="AF929" t="s">
        <v>54</v>
      </c>
      <c r="AG929" t="s">
        <v>52</v>
      </c>
      <c r="AH929" t="s">
        <v>65</v>
      </c>
      <c r="AK929">
        <v>12</v>
      </c>
      <c r="AL929">
        <v>12</v>
      </c>
      <c r="AN929">
        <v>322</v>
      </c>
      <c r="AO929">
        <v>7</v>
      </c>
      <c r="AP929" t="s">
        <v>56</v>
      </c>
      <c r="AQ929" t="s">
        <v>109</v>
      </c>
      <c r="AR929">
        <v>8.14</v>
      </c>
      <c r="AS929">
        <v>0.01</v>
      </c>
      <c r="AT929" t="s">
        <v>56</v>
      </c>
      <c r="AU929">
        <v>356</v>
      </c>
      <c r="AV929">
        <v>25</v>
      </c>
      <c r="AW929" t="s">
        <v>56</v>
      </c>
      <c r="AX929">
        <v>8.1199999999999992</v>
      </c>
      <c r="AY929">
        <v>0.02</v>
      </c>
      <c r="AZ929" t="s">
        <v>56</v>
      </c>
      <c r="BB929">
        <f>LOG(AU929)</f>
        <v>2.5514499979728753</v>
      </c>
      <c r="BC929">
        <v>9.6999999999999993</v>
      </c>
      <c r="BD929">
        <v>0.2</v>
      </c>
      <c r="BE929" t="s">
        <v>56</v>
      </c>
      <c r="BF929">
        <v>12.9</v>
      </c>
      <c r="BG929">
        <v>0.2</v>
      </c>
      <c r="BH929" t="s">
        <v>56</v>
      </c>
      <c r="BI929">
        <v>34</v>
      </c>
      <c r="BJ929">
        <v>3.2</v>
      </c>
      <c r="BK929" t="s">
        <v>579</v>
      </c>
      <c r="BL929" t="s">
        <v>182</v>
      </c>
      <c r="BM929" t="s">
        <v>59</v>
      </c>
      <c r="BN929" t="s">
        <v>60</v>
      </c>
      <c r="BO929" t="s">
        <v>585</v>
      </c>
      <c r="BP929" t="s">
        <v>62</v>
      </c>
      <c r="BR929" t="s">
        <v>63</v>
      </c>
      <c r="BT929">
        <v>3.55</v>
      </c>
      <c r="BU929">
        <v>3.551015</v>
      </c>
      <c r="BV929">
        <v>0.63</v>
      </c>
      <c r="BW929">
        <f>BV929*SQRT(AK929)</f>
        <v>2.1823840175367852</v>
      </c>
      <c r="BX929">
        <v>11.97</v>
      </c>
      <c r="BY929">
        <v>11.968483000000001</v>
      </c>
      <c r="BZ929">
        <v>1.22</v>
      </c>
      <c r="CA929">
        <f>BZ929*SQRT(AL929)</f>
        <v>4.2262039704680605</v>
      </c>
      <c r="CB929">
        <v>56</v>
      </c>
      <c r="CC929">
        <v>3</v>
      </c>
      <c r="CD929">
        <v>1.2150000000000001</v>
      </c>
      <c r="CE929">
        <v>4.2000000000000003E-2</v>
      </c>
    </row>
    <row r="930" spans="4:83" hidden="1" x14ac:dyDescent="0.2">
      <c r="D930">
        <v>59</v>
      </c>
      <c r="G930" t="s">
        <v>43</v>
      </c>
      <c r="H930" t="s">
        <v>575</v>
      </c>
      <c r="J930">
        <v>2016</v>
      </c>
      <c r="M930" t="s">
        <v>576</v>
      </c>
      <c r="T930" t="s">
        <v>68</v>
      </c>
      <c r="U930" t="s">
        <v>577</v>
      </c>
      <c r="V930" t="s">
        <v>578</v>
      </c>
      <c r="Z930" t="s">
        <v>49</v>
      </c>
      <c r="AA930" t="s">
        <v>49</v>
      </c>
      <c r="AB930" t="s">
        <v>50</v>
      </c>
      <c r="AC930" t="s">
        <v>51</v>
      </c>
      <c r="AD930" t="s">
        <v>52</v>
      </c>
      <c r="AE930" t="s">
        <v>53</v>
      </c>
      <c r="AF930" t="s">
        <v>54</v>
      </c>
      <c r="AG930" t="s">
        <v>52</v>
      </c>
      <c r="AH930" t="s">
        <v>65</v>
      </c>
      <c r="AK930">
        <v>12</v>
      </c>
      <c r="AL930">
        <v>12</v>
      </c>
      <c r="AN930">
        <v>322</v>
      </c>
      <c r="AO930">
        <v>7</v>
      </c>
      <c r="AP930" t="s">
        <v>56</v>
      </c>
      <c r="AQ930" t="s">
        <v>109</v>
      </c>
      <c r="AR930">
        <v>8.14</v>
      </c>
      <c r="AS930">
        <v>0.01</v>
      </c>
      <c r="AT930" t="s">
        <v>56</v>
      </c>
      <c r="AU930">
        <v>376</v>
      </c>
      <c r="AV930">
        <v>10</v>
      </c>
      <c r="AW930" t="s">
        <v>56</v>
      </c>
      <c r="AX930">
        <v>8.08</v>
      </c>
      <c r="AY930">
        <v>0.01</v>
      </c>
      <c r="AZ930" t="s">
        <v>56</v>
      </c>
      <c r="BB930">
        <f>LOG(AU930)</f>
        <v>2.5751878449276608</v>
      </c>
      <c r="BC930">
        <v>9.6999999999999993</v>
      </c>
      <c r="BD930">
        <v>0.2</v>
      </c>
      <c r="BE930" t="s">
        <v>56</v>
      </c>
      <c r="BF930">
        <v>15.9</v>
      </c>
      <c r="BG930">
        <v>0.1</v>
      </c>
      <c r="BH930" t="s">
        <v>56</v>
      </c>
      <c r="BI930">
        <v>54</v>
      </c>
      <c r="BJ930">
        <v>6.2</v>
      </c>
      <c r="BK930" t="s">
        <v>579</v>
      </c>
      <c r="BL930" t="s">
        <v>182</v>
      </c>
      <c r="BM930" t="s">
        <v>59</v>
      </c>
      <c r="BN930" t="s">
        <v>60</v>
      </c>
      <c r="BO930" t="s">
        <v>585</v>
      </c>
      <c r="BP930" t="s">
        <v>62</v>
      </c>
      <c r="BR930" t="s">
        <v>63</v>
      </c>
      <c r="BT930">
        <v>3.55</v>
      </c>
      <c r="BU930">
        <v>3.551015</v>
      </c>
      <c r="BV930">
        <v>0.63</v>
      </c>
      <c r="BW930">
        <f>BV930*SQRT(AK930)</f>
        <v>2.1823840175367852</v>
      </c>
      <c r="BX930">
        <v>11.99</v>
      </c>
      <c r="BY930">
        <v>11.992521</v>
      </c>
      <c r="BZ930">
        <v>1.18</v>
      </c>
      <c r="CA930">
        <f>BZ930*SQRT(AL930)</f>
        <v>4.0876399058625497</v>
      </c>
      <c r="CB930">
        <v>91</v>
      </c>
      <c r="CC930">
        <v>3</v>
      </c>
      <c r="CD930">
        <v>1.2170000000000001</v>
      </c>
      <c r="CE930">
        <v>4.1300000000000003E-2</v>
      </c>
    </row>
    <row r="931" spans="4:83" hidden="1" x14ac:dyDescent="0.2">
      <c r="D931">
        <v>59</v>
      </c>
      <c r="G931" t="s">
        <v>43</v>
      </c>
      <c r="H931" t="s">
        <v>575</v>
      </c>
      <c r="J931">
        <v>2016</v>
      </c>
      <c r="M931" t="s">
        <v>576</v>
      </c>
      <c r="T931" t="s">
        <v>68</v>
      </c>
      <c r="U931" t="s">
        <v>577</v>
      </c>
      <c r="V931" t="s">
        <v>578</v>
      </c>
      <c r="Z931" t="s">
        <v>49</v>
      </c>
      <c r="AA931" t="s">
        <v>49</v>
      </c>
      <c r="AB931" t="s">
        <v>50</v>
      </c>
      <c r="AC931" t="s">
        <v>51</v>
      </c>
      <c r="AD931" t="s">
        <v>52</v>
      </c>
      <c r="AE931" t="s">
        <v>53</v>
      </c>
      <c r="AF931" t="s">
        <v>52</v>
      </c>
      <c r="AG931" t="s">
        <v>52</v>
      </c>
      <c r="AH931" t="s">
        <v>64</v>
      </c>
      <c r="AK931">
        <v>12</v>
      </c>
      <c r="AL931">
        <v>12</v>
      </c>
      <c r="AN931">
        <v>322</v>
      </c>
      <c r="AO931">
        <v>7</v>
      </c>
      <c r="AP931" t="s">
        <v>56</v>
      </c>
      <c r="AQ931" t="s">
        <v>109</v>
      </c>
      <c r="AR931">
        <v>8.14</v>
      </c>
      <c r="AS931">
        <v>0.01</v>
      </c>
      <c r="AT931" t="s">
        <v>56</v>
      </c>
      <c r="AU931">
        <v>1652</v>
      </c>
      <c r="AV931">
        <v>41</v>
      </c>
      <c r="AW931" t="s">
        <v>56</v>
      </c>
      <c r="AX931">
        <v>7.51</v>
      </c>
      <c r="AY931">
        <v>0.01</v>
      </c>
      <c r="AZ931" t="s">
        <v>56</v>
      </c>
      <c r="BB931">
        <f>LOG(AU931)</f>
        <v>3.2180100429843632</v>
      </c>
      <c r="BC931">
        <v>9.6999999999999993</v>
      </c>
      <c r="BD931">
        <v>0.2</v>
      </c>
      <c r="BE931" t="s">
        <v>56</v>
      </c>
      <c r="BF931">
        <v>18.399999999999999</v>
      </c>
      <c r="BG931">
        <v>0.5</v>
      </c>
      <c r="BH931" t="s">
        <v>56</v>
      </c>
      <c r="BI931">
        <v>1330</v>
      </c>
      <c r="BJ931">
        <v>8.6999999999999993</v>
      </c>
      <c r="BK931" t="s">
        <v>579</v>
      </c>
      <c r="BL931" t="s">
        <v>182</v>
      </c>
      <c r="BM931" t="s">
        <v>59</v>
      </c>
      <c r="BN931" t="s">
        <v>60</v>
      </c>
      <c r="BO931" t="s">
        <v>585</v>
      </c>
      <c r="BP931" t="s">
        <v>62</v>
      </c>
      <c r="BR931" t="s">
        <v>63</v>
      </c>
      <c r="BT931">
        <v>3.55</v>
      </c>
      <c r="BU931">
        <v>3.551015</v>
      </c>
      <c r="BV931">
        <v>0.63</v>
      </c>
      <c r="BW931">
        <f>BV931*SQRT(AK931)</f>
        <v>2.1823840175367852</v>
      </c>
      <c r="BX931">
        <v>12.13</v>
      </c>
      <c r="BY931">
        <v>12.128738999999999</v>
      </c>
      <c r="BZ931">
        <v>2.08</v>
      </c>
      <c r="CA931">
        <f>BZ931*SQRT(AL931)</f>
        <v>7.2053313594865296</v>
      </c>
      <c r="CB931">
        <v>126</v>
      </c>
      <c r="CC931">
        <v>3</v>
      </c>
      <c r="CD931">
        <v>1.228</v>
      </c>
      <c r="CE931">
        <v>6.0999999999999999E-2</v>
      </c>
    </row>
    <row r="932" spans="4:83" hidden="1" x14ac:dyDescent="0.2">
      <c r="D932">
        <v>59</v>
      </c>
      <c r="G932" t="s">
        <v>43</v>
      </c>
      <c r="H932" t="s">
        <v>575</v>
      </c>
      <c r="J932">
        <v>2016</v>
      </c>
      <c r="M932" t="s">
        <v>576</v>
      </c>
      <c r="T932" t="s">
        <v>68</v>
      </c>
      <c r="U932" t="s">
        <v>577</v>
      </c>
      <c r="V932" t="s">
        <v>578</v>
      </c>
      <c r="Z932" t="s">
        <v>49</v>
      </c>
      <c r="AA932" t="s">
        <v>49</v>
      </c>
      <c r="AB932" t="s">
        <v>50</v>
      </c>
      <c r="AC932" t="s">
        <v>51</v>
      </c>
      <c r="AD932" t="s">
        <v>52</v>
      </c>
      <c r="AE932" t="s">
        <v>53</v>
      </c>
      <c r="AF932" t="s">
        <v>52</v>
      </c>
      <c r="AG932" t="s">
        <v>52</v>
      </c>
      <c r="AH932" t="s">
        <v>64</v>
      </c>
      <c r="AK932">
        <v>12</v>
      </c>
      <c r="AL932">
        <v>12</v>
      </c>
      <c r="AN932">
        <v>322</v>
      </c>
      <c r="AO932">
        <v>7</v>
      </c>
      <c r="AP932" t="s">
        <v>56</v>
      </c>
      <c r="AQ932" t="s">
        <v>109</v>
      </c>
      <c r="AR932">
        <v>8.14</v>
      </c>
      <c r="AS932">
        <v>0.01</v>
      </c>
      <c r="AT932" t="s">
        <v>56</v>
      </c>
      <c r="AU932">
        <v>1492</v>
      </c>
      <c r="AV932">
        <v>19</v>
      </c>
      <c r="AW932" t="s">
        <v>56</v>
      </c>
      <c r="AX932">
        <v>7.55</v>
      </c>
      <c r="AY932">
        <v>0.01</v>
      </c>
      <c r="AZ932" t="s">
        <v>56</v>
      </c>
      <c r="BB932">
        <f>LOG(AU932)</f>
        <v>3.1737688231366499</v>
      </c>
      <c r="BC932">
        <v>9.6999999999999993</v>
      </c>
      <c r="BD932">
        <v>0.2</v>
      </c>
      <c r="BE932" t="s">
        <v>56</v>
      </c>
      <c r="BF932">
        <v>16</v>
      </c>
      <c r="BG932">
        <v>0.1</v>
      </c>
      <c r="BH932" t="s">
        <v>56</v>
      </c>
      <c r="BI932">
        <v>1170</v>
      </c>
      <c r="BJ932">
        <v>6.3</v>
      </c>
      <c r="BK932" t="s">
        <v>579</v>
      </c>
      <c r="BL932" t="s">
        <v>182</v>
      </c>
      <c r="BM932" t="s">
        <v>59</v>
      </c>
      <c r="BN932" t="s">
        <v>60</v>
      </c>
      <c r="BO932" t="s">
        <v>585</v>
      </c>
      <c r="BP932" t="s">
        <v>62</v>
      </c>
      <c r="BR932" t="s">
        <v>63</v>
      </c>
      <c r="BT932">
        <v>3.55</v>
      </c>
      <c r="BU932">
        <v>3.551015</v>
      </c>
      <c r="BV932">
        <v>0.63</v>
      </c>
      <c r="BW932">
        <f>BV932*SQRT(AK932)</f>
        <v>2.1823840175367852</v>
      </c>
      <c r="BX932">
        <v>12.6</v>
      </c>
      <c r="BY932">
        <v>12.604167</v>
      </c>
      <c r="BZ932">
        <v>1.18</v>
      </c>
      <c r="CA932">
        <f>BZ932*SQRT(AL932)</f>
        <v>4.0876399058625497</v>
      </c>
      <c r="CB932">
        <v>91</v>
      </c>
      <c r="CC932">
        <v>3</v>
      </c>
      <c r="CD932">
        <v>1.2669999999999999</v>
      </c>
      <c r="CE932">
        <v>4.0399999999999998E-2</v>
      </c>
    </row>
    <row r="933" spans="4:83" hidden="1" x14ac:dyDescent="0.2">
      <c r="D933">
        <v>59</v>
      </c>
      <c r="G933" t="s">
        <v>43</v>
      </c>
      <c r="H933" t="s">
        <v>575</v>
      </c>
      <c r="J933">
        <v>2016</v>
      </c>
      <c r="M933" t="s">
        <v>576</v>
      </c>
      <c r="T933" t="s">
        <v>68</v>
      </c>
      <c r="U933" t="s">
        <v>577</v>
      </c>
      <c r="V933" t="s">
        <v>578</v>
      </c>
      <c r="Z933" t="s">
        <v>49</v>
      </c>
      <c r="AA933" t="s">
        <v>49</v>
      </c>
      <c r="AB933" t="s">
        <v>50</v>
      </c>
      <c r="AC933" t="s">
        <v>51</v>
      </c>
      <c r="AD933" t="s">
        <v>52</v>
      </c>
      <c r="AE933" t="s">
        <v>53</v>
      </c>
      <c r="AF933" t="s">
        <v>52</v>
      </c>
      <c r="AG933" t="s">
        <v>52</v>
      </c>
      <c r="AH933" t="s">
        <v>64</v>
      </c>
      <c r="AK933">
        <v>12</v>
      </c>
      <c r="AL933">
        <v>12</v>
      </c>
      <c r="AN933">
        <v>322</v>
      </c>
      <c r="AO933">
        <v>7</v>
      </c>
      <c r="AP933" t="s">
        <v>56</v>
      </c>
      <c r="AQ933" t="s">
        <v>109</v>
      </c>
      <c r="AR933">
        <v>8.14</v>
      </c>
      <c r="AS933">
        <v>0.01</v>
      </c>
      <c r="AT933" t="s">
        <v>56</v>
      </c>
      <c r="AU933">
        <v>1557</v>
      </c>
      <c r="AV933">
        <v>43</v>
      </c>
      <c r="AW933" t="s">
        <v>56</v>
      </c>
      <c r="AX933">
        <v>7.53</v>
      </c>
      <c r="AY933">
        <v>0.01</v>
      </c>
      <c r="AZ933" t="s">
        <v>56</v>
      </c>
      <c r="BB933">
        <f>LOG(AU933)</f>
        <v>3.1922886125681202</v>
      </c>
      <c r="BC933">
        <v>9.6999999999999993</v>
      </c>
      <c r="BD933">
        <v>0.2</v>
      </c>
      <c r="BE933" t="s">
        <v>56</v>
      </c>
      <c r="BF933">
        <v>12.8</v>
      </c>
      <c r="BG933">
        <v>0.1</v>
      </c>
      <c r="BH933" t="s">
        <v>56</v>
      </c>
      <c r="BI933">
        <v>1235</v>
      </c>
      <c r="BJ933">
        <v>3.1</v>
      </c>
      <c r="BK933" t="s">
        <v>579</v>
      </c>
      <c r="BL933" t="s">
        <v>272</v>
      </c>
      <c r="BM933" t="s">
        <v>272</v>
      </c>
      <c r="BN933" t="s">
        <v>60</v>
      </c>
      <c r="BO933" t="s">
        <v>583</v>
      </c>
      <c r="BP933" t="s">
        <v>584</v>
      </c>
      <c r="BR933" t="s">
        <v>63</v>
      </c>
      <c r="BT933">
        <v>0.25</v>
      </c>
      <c r="BU933">
        <v>0.246975</v>
      </c>
      <c r="BV933">
        <v>0.16</v>
      </c>
      <c r="BW933">
        <f>BV933*SQRT(AK933)</f>
        <v>0.55425625842204074</v>
      </c>
      <c r="BX933">
        <v>0.89</v>
      </c>
      <c r="BY933">
        <v>0.89373100000000005</v>
      </c>
      <c r="BZ933">
        <v>0.09</v>
      </c>
      <c r="CA933">
        <f>BZ933*SQRT(AL933)</f>
        <v>0.31176914536239786</v>
      </c>
      <c r="CB933">
        <v>56</v>
      </c>
      <c r="CC933">
        <v>3</v>
      </c>
      <c r="CD933">
        <v>1.286</v>
      </c>
      <c r="CE933">
        <v>0.43009999999999998</v>
      </c>
    </row>
    <row r="934" spans="4:83" hidden="1" x14ac:dyDescent="0.2">
      <c r="D934">
        <v>59</v>
      </c>
      <c r="G934" t="s">
        <v>43</v>
      </c>
      <c r="H934" t="s">
        <v>575</v>
      </c>
      <c r="J934">
        <v>2016</v>
      </c>
      <c r="M934" t="s">
        <v>576</v>
      </c>
      <c r="T934" t="s">
        <v>68</v>
      </c>
      <c r="U934" t="s">
        <v>577</v>
      </c>
      <c r="V934" t="s">
        <v>578</v>
      </c>
      <c r="Z934" t="s">
        <v>49</v>
      </c>
      <c r="AA934" t="s">
        <v>49</v>
      </c>
      <c r="AB934" t="s">
        <v>50</v>
      </c>
      <c r="AC934" t="s">
        <v>51</v>
      </c>
      <c r="AD934" t="s">
        <v>52</v>
      </c>
      <c r="AE934" t="s">
        <v>53</v>
      </c>
      <c r="AF934" t="s">
        <v>54</v>
      </c>
      <c r="AG934" t="s">
        <v>52</v>
      </c>
      <c r="AH934" t="s">
        <v>65</v>
      </c>
      <c r="AK934">
        <v>12</v>
      </c>
      <c r="AL934">
        <v>12</v>
      </c>
      <c r="AN934">
        <v>322</v>
      </c>
      <c r="AO934">
        <v>7</v>
      </c>
      <c r="AP934" t="s">
        <v>56</v>
      </c>
      <c r="AQ934" t="s">
        <v>109</v>
      </c>
      <c r="AR934">
        <v>8.14</v>
      </c>
      <c r="AS934">
        <v>0.01</v>
      </c>
      <c r="AT934" t="s">
        <v>56</v>
      </c>
      <c r="AU934">
        <v>450</v>
      </c>
      <c r="AV934">
        <v>10</v>
      </c>
      <c r="AW934" t="s">
        <v>56</v>
      </c>
      <c r="AX934">
        <v>8.02</v>
      </c>
      <c r="AY934">
        <v>0.01</v>
      </c>
      <c r="AZ934" t="s">
        <v>56</v>
      </c>
      <c r="BB934">
        <f>LOG(AU934)</f>
        <v>2.6532125137753435</v>
      </c>
      <c r="BC934">
        <v>9.6999999999999993</v>
      </c>
      <c r="BD934">
        <v>0.2</v>
      </c>
      <c r="BE934" t="s">
        <v>56</v>
      </c>
      <c r="BF934">
        <v>18.399999999999999</v>
      </c>
      <c r="BG934">
        <v>0.5</v>
      </c>
      <c r="BH934" t="s">
        <v>56</v>
      </c>
      <c r="BI934">
        <v>128</v>
      </c>
      <c r="BJ934">
        <v>8.6999999999999993</v>
      </c>
      <c r="BK934" t="s">
        <v>579</v>
      </c>
      <c r="BL934" t="s">
        <v>182</v>
      </c>
      <c r="BM934" t="s">
        <v>59</v>
      </c>
      <c r="BN934" t="s">
        <v>60</v>
      </c>
      <c r="BO934" t="s">
        <v>585</v>
      </c>
      <c r="BP934" t="s">
        <v>62</v>
      </c>
      <c r="BR934" t="s">
        <v>63</v>
      </c>
      <c r="BT934">
        <v>3.55</v>
      </c>
      <c r="BU934">
        <v>3.551015</v>
      </c>
      <c r="BV934">
        <v>0.63</v>
      </c>
      <c r="BW934">
        <f>BV934*SQRT(AK934)</f>
        <v>2.1823840175367852</v>
      </c>
      <c r="BX934">
        <v>13.62</v>
      </c>
      <c r="BY934">
        <v>13.619123999999999</v>
      </c>
      <c r="BZ934">
        <v>1.44</v>
      </c>
      <c r="CA934">
        <f>BZ934*SQRT(AL934)</f>
        <v>4.9883063257983657</v>
      </c>
      <c r="CB934">
        <v>126</v>
      </c>
      <c r="CC934">
        <v>3</v>
      </c>
      <c r="CD934">
        <v>1.3440000000000001</v>
      </c>
      <c r="CE934">
        <v>4.2799999999999998E-2</v>
      </c>
    </row>
    <row r="935" spans="4:83" hidden="1" x14ac:dyDescent="0.2">
      <c r="D935">
        <v>59</v>
      </c>
      <c r="G935" t="s">
        <v>43</v>
      </c>
      <c r="H935" t="s">
        <v>575</v>
      </c>
      <c r="J935">
        <v>2016</v>
      </c>
      <c r="M935" t="s">
        <v>576</v>
      </c>
      <c r="T935" t="s">
        <v>68</v>
      </c>
      <c r="U935" t="s">
        <v>577</v>
      </c>
      <c r="V935" t="s">
        <v>578</v>
      </c>
      <c r="Z935" t="s">
        <v>49</v>
      </c>
      <c r="AA935" t="s">
        <v>49</v>
      </c>
      <c r="AB935" t="s">
        <v>50</v>
      </c>
      <c r="AC935" t="s">
        <v>51</v>
      </c>
      <c r="AD935" t="s">
        <v>52</v>
      </c>
      <c r="AE935" t="s">
        <v>53</v>
      </c>
      <c r="AF935" t="s">
        <v>52</v>
      </c>
      <c r="AG935" t="s">
        <v>52</v>
      </c>
      <c r="AH935" t="s">
        <v>64</v>
      </c>
      <c r="AK935">
        <v>12</v>
      </c>
      <c r="AL935">
        <v>12</v>
      </c>
      <c r="AN935">
        <v>322</v>
      </c>
      <c r="AO935">
        <v>7</v>
      </c>
      <c r="AP935" t="s">
        <v>56</v>
      </c>
      <c r="AQ935" t="s">
        <v>109</v>
      </c>
      <c r="AR935">
        <v>8.14</v>
      </c>
      <c r="AS935">
        <v>0.01</v>
      </c>
      <c r="AT935" t="s">
        <v>56</v>
      </c>
      <c r="AU935">
        <v>1652</v>
      </c>
      <c r="AV935">
        <v>41</v>
      </c>
      <c r="AW935" t="s">
        <v>56</v>
      </c>
      <c r="AX935">
        <v>7.51</v>
      </c>
      <c r="AY935">
        <v>0.01</v>
      </c>
      <c r="AZ935" t="s">
        <v>56</v>
      </c>
      <c r="BB935">
        <f>LOG(AU935)</f>
        <v>3.2180100429843632</v>
      </c>
      <c r="BC935">
        <v>9.6999999999999993</v>
      </c>
      <c r="BD935">
        <v>0.2</v>
      </c>
      <c r="BE935" t="s">
        <v>56</v>
      </c>
      <c r="BF935">
        <v>18.399999999999999</v>
      </c>
      <c r="BG935">
        <v>0.5</v>
      </c>
      <c r="BH935" t="s">
        <v>56</v>
      </c>
      <c r="BI935">
        <v>1330</v>
      </c>
      <c r="BJ935">
        <v>8.6999999999999993</v>
      </c>
      <c r="BK935" t="s">
        <v>579</v>
      </c>
      <c r="BL935" t="s">
        <v>272</v>
      </c>
      <c r="BM935" t="s">
        <v>272</v>
      </c>
      <c r="BN935" t="s">
        <v>60</v>
      </c>
      <c r="BO935" t="s">
        <v>583</v>
      </c>
      <c r="BP935" t="s">
        <v>584</v>
      </c>
      <c r="BR935" t="s">
        <v>63</v>
      </c>
      <c r="BT935">
        <v>0.25</v>
      </c>
      <c r="BU935">
        <v>0.246975</v>
      </c>
      <c r="BV935">
        <v>0.16</v>
      </c>
      <c r="BW935">
        <f>BV935*SQRT(AK935)</f>
        <v>0.55425625842204074</v>
      </c>
      <c r="BX935">
        <v>1.1299999999999999</v>
      </c>
      <c r="BY935">
        <v>1.132911</v>
      </c>
      <c r="BZ935">
        <v>0.13</v>
      </c>
      <c r="CA935">
        <f>BZ935*SQRT(AL935)</f>
        <v>0.4503332099679081</v>
      </c>
      <c r="CB935">
        <v>126</v>
      </c>
      <c r="CC935">
        <v>3</v>
      </c>
      <c r="CD935">
        <v>1.5229999999999999</v>
      </c>
      <c r="CE935">
        <v>0.43340000000000001</v>
      </c>
    </row>
    <row r="936" spans="4:83" hidden="1" x14ac:dyDescent="0.2">
      <c r="D936">
        <v>59</v>
      </c>
      <c r="G936" t="s">
        <v>43</v>
      </c>
      <c r="H936" t="s">
        <v>575</v>
      </c>
      <c r="J936">
        <v>2016</v>
      </c>
      <c r="M936" t="s">
        <v>576</v>
      </c>
      <c r="T936" t="s">
        <v>68</v>
      </c>
      <c r="U936" t="s">
        <v>577</v>
      </c>
      <c r="V936" t="s">
        <v>578</v>
      </c>
      <c r="Z936" t="s">
        <v>49</v>
      </c>
      <c r="AA936" t="s">
        <v>49</v>
      </c>
      <c r="AB936" t="s">
        <v>50</v>
      </c>
      <c r="AC936" t="s">
        <v>51</v>
      </c>
      <c r="AD936" t="s">
        <v>52</v>
      </c>
      <c r="AE936" t="s">
        <v>53</v>
      </c>
      <c r="AF936" t="s">
        <v>52</v>
      </c>
      <c r="AG936" t="s">
        <v>52</v>
      </c>
      <c r="AH936" t="s">
        <v>64</v>
      </c>
      <c r="AK936">
        <v>12</v>
      </c>
      <c r="AL936">
        <v>12</v>
      </c>
      <c r="AN936">
        <v>322</v>
      </c>
      <c r="AO936">
        <v>7</v>
      </c>
      <c r="AP936" t="s">
        <v>56</v>
      </c>
      <c r="AQ936" t="s">
        <v>109</v>
      </c>
      <c r="AR936">
        <v>8.14</v>
      </c>
      <c r="AS936">
        <v>0.01</v>
      </c>
      <c r="AT936" t="s">
        <v>56</v>
      </c>
      <c r="AU936">
        <v>858</v>
      </c>
      <c r="AV936">
        <v>19</v>
      </c>
      <c r="AW936" t="s">
        <v>56</v>
      </c>
      <c r="AX936">
        <v>7.77</v>
      </c>
      <c r="AY936">
        <v>0.01</v>
      </c>
      <c r="AZ936" t="s">
        <v>56</v>
      </c>
      <c r="BB936">
        <f>LOG(AU936)</f>
        <v>2.9334872878487053</v>
      </c>
      <c r="BC936">
        <v>9.6999999999999993</v>
      </c>
      <c r="BD936">
        <v>0.2</v>
      </c>
      <c r="BE936" t="s">
        <v>56</v>
      </c>
      <c r="BF936">
        <v>18.600000000000001</v>
      </c>
      <c r="BG936">
        <v>0.5</v>
      </c>
      <c r="BH936" t="s">
        <v>56</v>
      </c>
      <c r="BI936">
        <v>536</v>
      </c>
      <c r="BJ936">
        <v>8.9</v>
      </c>
      <c r="BK936" t="s">
        <v>579</v>
      </c>
      <c r="BL936" t="s">
        <v>182</v>
      </c>
      <c r="BM936" t="s">
        <v>59</v>
      </c>
      <c r="BN936" t="s">
        <v>60</v>
      </c>
      <c r="BO936" t="s">
        <v>585</v>
      </c>
      <c r="BP936" t="s">
        <v>62</v>
      </c>
      <c r="BR936" t="s">
        <v>63</v>
      </c>
      <c r="BT936">
        <v>3.55</v>
      </c>
      <c r="BU936">
        <v>3.551015</v>
      </c>
      <c r="BV936">
        <v>0.63</v>
      </c>
      <c r="BW936">
        <f>BV936*SQRT(AK936)</f>
        <v>2.1823840175367852</v>
      </c>
      <c r="BX936">
        <v>17.84</v>
      </c>
      <c r="BY936">
        <v>17.837873999999999</v>
      </c>
      <c r="BZ936">
        <v>2.5499999999999998</v>
      </c>
      <c r="CA936">
        <f>BZ936*SQRT(AL936)</f>
        <v>8.8334591186012723</v>
      </c>
      <c r="CB936">
        <v>126</v>
      </c>
      <c r="CC936">
        <v>3</v>
      </c>
      <c r="CD936">
        <v>1.6140000000000001</v>
      </c>
      <c r="CE936">
        <v>5.21E-2</v>
      </c>
    </row>
    <row r="937" spans="4:83" hidden="1" x14ac:dyDescent="0.2">
      <c r="D937">
        <v>59</v>
      </c>
      <c r="G937" t="s">
        <v>43</v>
      </c>
      <c r="H937" t="s">
        <v>575</v>
      </c>
      <c r="J937">
        <v>2016</v>
      </c>
      <c r="M937" t="s">
        <v>576</v>
      </c>
      <c r="T937" t="s">
        <v>68</v>
      </c>
      <c r="U937" t="s">
        <v>577</v>
      </c>
      <c r="V937" t="s">
        <v>578</v>
      </c>
      <c r="Z937" t="s">
        <v>49</v>
      </c>
      <c r="AA937" t="s">
        <v>49</v>
      </c>
      <c r="AB937" t="s">
        <v>50</v>
      </c>
      <c r="AC937" t="s">
        <v>51</v>
      </c>
      <c r="AD937" t="s">
        <v>52</v>
      </c>
      <c r="AE937" t="s">
        <v>53</v>
      </c>
      <c r="AF937" t="s">
        <v>52</v>
      </c>
      <c r="AG937" t="s">
        <v>52</v>
      </c>
      <c r="AH937" t="s">
        <v>64</v>
      </c>
      <c r="AK937">
        <v>12</v>
      </c>
      <c r="AL937">
        <v>12</v>
      </c>
      <c r="AN937">
        <v>322</v>
      </c>
      <c r="AO937">
        <v>7</v>
      </c>
      <c r="AP937" t="s">
        <v>56</v>
      </c>
      <c r="AQ937" t="s">
        <v>109</v>
      </c>
      <c r="AR937">
        <v>8.14</v>
      </c>
      <c r="AS937">
        <v>0.01</v>
      </c>
      <c r="AT937" t="s">
        <v>56</v>
      </c>
      <c r="AU937">
        <v>748</v>
      </c>
      <c r="AV937">
        <v>8</v>
      </c>
      <c r="AW937" t="s">
        <v>56</v>
      </c>
      <c r="AX937">
        <v>7.82</v>
      </c>
      <c r="AY937">
        <v>0</v>
      </c>
      <c r="AZ937" t="s">
        <v>56</v>
      </c>
      <c r="BB937">
        <f>LOG(AU937)</f>
        <v>2.8739015978644615</v>
      </c>
      <c r="BC937">
        <v>9.6999999999999993</v>
      </c>
      <c r="BD937">
        <v>0.2</v>
      </c>
      <c r="BE937" t="s">
        <v>56</v>
      </c>
      <c r="BF937">
        <v>16.100000000000001</v>
      </c>
      <c r="BG937">
        <v>0.1</v>
      </c>
      <c r="BH937" t="s">
        <v>56</v>
      </c>
      <c r="BI937">
        <v>426</v>
      </c>
      <c r="BJ937">
        <v>6.4</v>
      </c>
      <c r="BK937" t="s">
        <v>579</v>
      </c>
      <c r="BL937" t="s">
        <v>272</v>
      </c>
      <c r="BM937" t="s">
        <v>272</v>
      </c>
      <c r="BN937" t="s">
        <v>60</v>
      </c>
      <c r="BO937" t="s">
        <v>583</v>
      </c>
      <c r="BP937" t="s">
        <v>584</v>
      </c>
      <c r="BR937" t="s">
        <v>63</v>
      </c>
      <c r="BT937">
        <v>0.25</v>
      </c>
      <c r="BU937">
        <v>0.246975</v>
      </c>
      <c r="BV937">
        <v>0.16</v>
      </c>
      <c r="BW937">
        <f>BV937*SQRT(AK937)</f>
        <v>0.55425625842204074</v>
      </c>
      <c r="BX937">
        <v>1.25</v>
      </c>
      <c r="BY937">
        <v>1.248408</v>
      </c>
      <c r="BZ937">
        <v>0.21</v>
      </c>
      <c r="CA937">
        <f>BZ937*SQRT(AL937)</f>
        <v>0.72746133917892841</v>
      </c>
      <c r="CB937">
        <v>91</v>
      </c>
      <c r="CC937">
        <v>3</v>
      </c>
      <c r="CD937">
        <v>1.62</v>
      </c>
      <c r="CE937">
        <v>0.45</v>
      </c>
    </row>
    <row r="938" spans="4:83" hidden="1" x14ac:dyDescent="0.2">
      <c r="D938">
        <v>59</v>
      </c>
      <c r="G938" t="s">
        <v>43</v>
      </c>
      <c r="H938" t="s">
        <v>575</v>
      </c>
      <c r="J938">
        <v>2016</v>
      </c>
      <c r="M938" t="s">
        <v>576</v>
      </c>
      <c r="T938" t="s">
        <v>68</v>
      </c>
      <c r="U938" t="s">
        <v>577</v>
      </c>
      <c r="V938" t="s">
        <v>578</v>
      </c>
      <c r="Z938" t="s">
        <v>49</v>
      </c>
      <c r="AA938" t="s">
        <v>49</v>
      </c>
      <c r="AB938" t="s">
        <v>50</v>
      </c>
      <c r="AC938" t="s">
        <v>51</v>
      </c>
      <c r="AD938" t="s">
        <v>52</v>
      </c>
      <c r="AE938" t="s">
        <v>53</v>
      </c>
      <c r="AF938" t="s">
        <v>52</v>
      </c>
      <c r="AG938" t="s">
        <v>52</v>
      </c>
      <c r="AH938" t="s">
        <v>64</v>
      </c>
      <c r="AK938">
        <v>12</v>
      </c>
      <c r="AL938">
        <v>12</v>
      </c>
      <c r="AN938">
        <v>322</v>
      </c>
      <c r="AO938">
        <v>7</v>
      </c>
      <c r="AP938" t="s">
        <v>56</v>
      </c>
      <c r="AQ938" t="s">
        <v>109</v>
      </c>
      <c r="AR938">
        <v>8.14</v>
      </c>
      <c r="AS938">
        <v>0.01</v>
      </c>
      <c r="AT938" t="s">
        <v>56</v>
      </c>
      <c r="AU938">
        <v>1492</v>
      </c>
      <c r="AV938">
        <v>19</v>
      </c>
      <c r="AW938" t="s">
        <v>56</v>
      </c>
      <c r="AX938">
        <v>7.55</v>
      </c>
      <c r="AY938">
        <v>0.01</v>
      </c>
      <c r="AZ938" t="s">
        <v>56</v>
      </c>
      <c r="BB938">
        <f>LOG(AU938)</f>
        <v>3.1737688231366499</v>
      </c>
      <c r="BC938">
        <v>9.6999999999999993</v>
      </c>
      <c r="BD938">
        <v>0.2</v>
      </c>
      <c r="BE938" t="s">
        <v>56</v>
      </c>
      <c r="BF938">
        <v>16</v>
      </c>
      <c r="BG938">
        <v>0.1</v>
      </c>
      <c r="BH938" t="s">
        <v>56</v>
      </c>
      <c r="BI938">
        <v>1170</v>
      </c>
      <c r="BJ938">
        <v>6.3</v>
      </c>
      <c r="BK938" t="s">
        <v>579</v>
      </c>
      <c r="BL938" t="s">
        <v>272</v>
      </c>
      <c r="BM938" t="s">
        <v>272</v>
      </c>
      <c r="BN938" t="s">
        <v>60</v>
      </c>
      <c r="BO938" t="s">
        <v>583</v>
      </c>
      <c r="BP938" t="s">
        <v>584</v>
      </c>
      <c r="BR938" t="s">
        <v>63</v>
      </c>
      <c r="BT938">
        <v>0.25</v>
      </c>
      <c r="BU938">
        <v>0.246975</v>
      </c>
      <c r="BV938">
        <v>0.16</v>
      </c>
      <c r="BW938">
        <f>BV938*SQRT(AK938)</f>
        <v>0.55425625842204074</v>
      </c>
      <c r="BX938">
        <v>1.3</v>
      </c>
      <c r="BY938">
        <v>1.297218</v>
      </c>
      <c r="BZ938">
        <v>0.13</v>
      </c>
      <c r="CA938">
        <f>BZ938*SQRT(AL938)</f>
        <v>0.4503332099679081</v>
      </c>
      <c r="CB938">
        <v>91</v>
      </c>
      <c r="CC938">
        <v>3</v>
      </c>
      <c r="CD938">
        <v>1.659</v>
      </c>
      <c r="CE938">
        <v>0.43159999999999998</v>
      </c>
    </row>
    <row r="939" spans="4:83" hidden="1" x14ac:dyDescent="0.2">
      <c r="D939">
        <v>59</v>
      </c>
      <c r="G939" t="s">
        <v>43</v>
      </c>
      <c r="H939" t="s">
        <v>575</v>
      </c>
      <c r="J939">
        <v>2016</v>
      </c>
      <c r="M939" t="s">
        <v>576</v>
      </c>
      <c r="T939" t="s">
        <v>68</v>
      </c>
      <c r="U939" t="s">
        <v>577</v>
      </c>
      <c r="V939" t="s">
        <v>578</v>
      </c>
      <c r="Z939" t="s">
        <v>49</v>
      </c>
      <c r="AA939" t="s">
        <v>49</v>
      </c>
      <c r="AB939" t="s">
        <v>50</v>
      </c>
      <c r="AC939" t="s">
        <v>51</v>
      </c>
      <c r="AD939" t="s">
        <v>52</v>
      </c>
      <c r="AE939" t="s">
        <v>53</v>
      </c>
      <c r="AF939" t="s">
        <v>54</v>
      </c>
      <c r="AG939" t="s">
        <v>52</v>
      </c>
      <c r="AH939" t="s">
        <v>65</v>
      </c>
      <c r="AK939">
        <v>12</v>
      </c>
      <c r="AL939">
        <v>12</v>
      </c>
      <c r="AN939">
        <v>322</v>
      </c>
      <c r="AO939">
        <v>7</v>
      </c>
      <c r="AP939" t="s">
        <v>56</v>
      </c>
      <c r="AQ939" t="s">
        <v>109</v>
      </c>
      <c r="AR939">
        <v>8.14</v>
      </c>
      <c r="AS939">
        <v>0.01</v>
      </c>
      <c r="AT939" t="s">
        <v>56</v>
      </c>
      <c r="AU939">
        <v>376</v>
      </c>
      <c r="AV939">
        <v>10</v>
      </c>
      <c r="AW939" t="s">
        <v>56</v>
      </c>
      <c r="AX939">
        <v>8.08</v>
      </c>
      <c r="AY939">
        <v>0.01</v>
      </c>
      <c r="AZ939" t="s">
        <v>56</v>
      </c>
      <c r="BB939">
        <f>LOG(AU939)</f>
        <v>2.5751878449276608</v>
      </c>
      <c r="BC939">
        <v>9.6999999999999993</v>
      </c>
      <c r="BD939">
        <v>0.2</v>
      </c>
      <c r="BE939" t="s">
        <v>56</v>
      </c>
      <c r="BF939">
        <v>15.9</v>
      </c>
      <c r="BG939">
        <v>0.1</v>
      </c>
      <c r="BH939" t="s">
        <v>56</v>
      </c>
      <c r="BI939">
        <v>54</v>
      </c>
      <c r="BJ939">
        <v>6.2</v>
      </c>
      <c r="BK939" t="s">
        <v>579</v>
      </c>
      <c r="BL939" t="s">
        <v>272</v>
      </c>
      <c r="BM939" t="s">
        <v>272</v>
      </c>
      <c r="BN939" t="s">
        <v>60</v>
      </c>
      <c r="BO939" t="s">
        <v>583</v>
      </c>
      <c r="BP939" t="s">
        <v>584</v>
      </c>
      <c r="BR939" t="s">
        <v>63</v>
      </c>
      <c r="BT939">
        <v>0.25</v>
      </c>
      <c r="BU939">
        <v>0.246975</v>
      </c>
      <c r="BV939">
        <v>0.16</v>
      </c>
      <c r="BW939">
        <f>BV939*SQRT(AK939)</f>
        <v>0.55425625842204074</v>
      </c>
      <c r="BX939">
        <v>1.42</v>
      </c>
      <c r="BY939">
        <v>1.416363</v>
      </c>
      <c r="BZ939">
        <v>0.19</v>
      </c>
      <c r="CA939">
        <f>BZ939*SQRT(AL939)</f>
        <v>0.65817930687617332</v>
      </c>
      <c r="CB939">
        <v>91</v>
      </c>
      <c r="CC939">
        <v>3</v>
      </c>
      <c r="CD939">
        <v>1.7470000000000001</v>
      </c>
      <c r="CE939">
        <v>0.43869999999999998</v>
      </c>
    </row>
    <row r="940" spans="4:83" hidden="1" x14ac:dyDescent="0.2">
      <c r="D940">
        <v>59</v>
      </c>
      <c r="G940" t="s">
        <v>43</v>
      </c>
      <c r="H940" t="s">
        <v>575</v>
      </c>
      <c r="J940">
        <v>2016</v>
      </c>
      <c r="M940" t="s">
        <v>576</v>
      </c>
      <c r="T940" t="s">
        <v>68</v>
      </c>
      <c r="U940" t="s">
        <v>577</v>
      </c>
      <c r="V940" t="s">
        <v>578</v>
      </c>
      <c r="Z940" t="s">
        <v>49</v>
      </c>
      <c r="AA940" t="s">
        <v>49</v>
      </c>
      <c r="AB940" t="s">
        <v>50</v>
      </c>
      <c r="AC940" t="s">
        <v>51</v>
      </c>
      <c r="AD940" t="s">
        <v>52</v>
      </c>
      <c r="AE940" t="s">
        <v>53</v>
      </c>
      <c r="AF940" t="s">
        <v>52</v>
      </c>
      <c r="AG940" t="s">
        <v>52</v>
      </c>
      <c r="AH940" t="s">
        <v>64</v>
      </c>
      <c r="AK940">
        <v>12</v>
      </c>
      <c r="AL940">
        <v>12</v>
      </c>
      <c r="AN940">
        <v>322</v>
      </c>
      <c r="AO940">
        <v>7</v>
      </c>
      <c r="AP940" t="s">
        <v>56</v>
      </c>
      <c r="AQ940" t="s">
        <v>109</v>
      </c>
      <c r="AR940">
        <v>8.14</v>
      </c>
      <c r="AS940">
        <v>0.01</v>
      </c>
      <c r="AT940" t="s">
        <v>56</v>
      </c>
      <c r="AU940">
        <v>858</v>
      </c>
      <c r="AV940">
        <v>19</v>
      </c>
      <c r="AW940" t="s">
        <v>56</v>
      </c>
      <c r="AX940">
        <v>7.77</v>
      </c>
      <c r="AY940">
        <v>0.01</v>
      </c>
      <c r="AZ940" t="s">
        <v>56</v>
      </c>
      <c r="BB940">
        <f>LOG(AU940)</f>
        <v>2.9334872878487053</v>
      </c>
      <c r="BC940">
        <v>9.6999999999999993</v>
      </c>
      <c r="BD940">
        <v>0.2</v>
      </c>
      <c r="BE940" t="s">
        <v>56</v>
      </c>
      <c r="BF940">
        <v>18.600000000000001</v>
      </c>
      <c r="BG940">
        <v>0.5</v>
      </c>
      <c r="BH940" t="s">
        <v>56</v>
      </c>
      <c r="BI940">
        <v>536</v>
      </c>
      <c r="BJ940">
        <v>8.9</v>
      </c>
      <c r="BK940" t="s">
        <v>579</v>
      </c>
      <c r="BL940" t="s">
        <v>272</v>
      </c>
      <c r="BM940" t="s">
        <v>272</v>
      </c>
      <c r="BN940" t="s">
        <v>60</v>
      </c>
      <c r="BO940" t="s">
        <v>583</v>
      </c>
      <c r="BP940" t="s">
        <v>584</v>
      </c>
      <c r="BR940" t="s">
        <v>63</v>
      </c>
      <c r="BT940">
        <v>0.25</v>
      </c>
      <c r="BU940">
        <v>0.246975</v>
      </c>
      <c r="BV940">
        <v>0.16</v>
      </c>
      <c r="BW940">
        <f>BV940*SQRT(AK940)</f>
        <v>0.55425625842204074</v>
      </c>
      <c r="BX940">
        <v>1.46</v>
      </c>
      <c r="BY940">
        <v>1.459441</v>
      </c>
      <c r="BZ940">
        <v>0.28000000000000003</v>
      </c>
      <c r="CA940">
        <f>BZ940*SQRT(AL940)</f>
        <v>0.96994845223857129</v>
      </c>
      <c r="CB940">
        <v>126</v>
      </c>
      <c r="CC940">
        <v>3</v>
      </c>
      <c r="CD940">
        <v>1.7769999999999999</v>
      </c>
      <c r="CE940">
        <v>0.45879999999999999</v>
      </c>
    </row>
    <row r="941" spans="4:83" hidden="1" x14ac:dyDescent="0.2">
      <c r="D941">
        <v>59</v>
      </c>
      <c r="G941" t="s">
        <v>114</v>
      </c>
      <c r="H941" t="s">
        <v>575</v>
      </c>
      <c r="J941">
        <v>2016</v>
      </c>
      <c r="M941" t="s">
        <v>576</v>
      </c>
      <c r="T941" t="s">
        <v>68</v>
      </c>
      <c r="U941" t="s">
        <v>577</v>
      </c>
      <c r="V941" t="s">
        <v>578</v>
      </c>
      <c r="Z941" t="s">
        <v>49</v>
      </c>
      <c r="AA941" t="s">
        <v>49</v>
      </c>
      <c r="AB941" t="s">
        <v>50</v>
      </c>
      <c r="AC941" t="s">
        <v>51</v>
      </c>
      <c r="AD941" t="s">
        <v>52</v>
      </c>
      <c r="AE941" t="s">
        <v>53</v>
      </c>
      <c r="AF941" t="s">
        <v>52</v>
      </c>
      <c r="AG941" t="s">
        <v>54</v>
      </c>
      <c r="AH941" t="s">
        <v>55</v>
      </c>
      <c r="AK941">
        <v>12</v>
      </c>
      <c r="AL941">
        <v>12</v>
      </c>
      <c r="AM941" t="s">
        <v>263</v>
      </c>
      <c r="AN941">
        <v>322</v>
      </c>
      <c r="AO941">
        <v>7</v>
      </c>
      <c r="AP941" t="s">
        <v>56</v>
      </c>
      <c r="AQ941" t="s">
        <v>109</v>
      </c>
      <c r="AR941">
        <v>8.14</v>
      </c>
      <c r="AS941">
        <v>0.01</v>
      </c>
      <c r="AT941" t="s">
        <v>56</v>
      </c>
      <c r="AU941">
        <v>1486</v>
      </c>
      <c r="AV941">
        <v>75</v>
      </c>
      <c r="AW941" t="s">
        <v>56</v>
      </c>
      <c r="AX941">
        <v>7.55</v>
      </c>
      <c r="AY941">
        <v>0.03</v>
      </c>
      <c r="AZ941" t="s">
        <v>56</v>
      </c>
      <c r="BB941">
        <f>LOG(AU941)</f>
        <v>3.1720188094245563</v>
      </c>
      <c r="BC941">
        <v>9.6999999999999993</v>
      </c>
      <c r="BD941">
        <v>0.2</v>
      </c>
      <c r="BE941" t="s">
        <v>56</v>
      </c>
      <c r="BF941">
        <v>9.5</v>
      </c>
      <c r="BG941">
        <v>0.2</v>
      </c>
      <c r="BH941" t="s">
        <v>56</v>
      </c>
      <c r="BI941">
        <v>1164</v>
      </c>
      <c r="BJ941">
        <v>0</v>
      </c>
      <c r="BK941" t="s">
        <v>579</v>
      </c>
      <c r="BL941" t="s">
        <v>272</v>
      </c>
      <c r="BM941" t="s">
        <v>272</v>
      </c>
      <c r="BN941" t="s">
        <v>60</v>
      </c>
      <c r="BO941" t="s">
        <v>583</v>
      </c>
      <c r="BP941" t="s">
        <v>584</v>
      </c>
      <c r="BR941" t="s">
        <v>63</v>
      </c>
      <c r="BT941">
        <v>0.25</v>
      </c>
      <c r="BU941">
        <v>0.246975</v>
      </c>
      <c r="BV941">
        <v>0.16</v>
      </c>
      <c r="BW941">
        <f>BV941*SQRT(AK941)</f>
        <v>0.55425625842204074</v>
      </c>
      <c r="BX941">
        <v>-7.0000000000000007E-2</v>
      </c>
      <c r="BY941">
        <v>6.7424999999999999E-2</v>
      </c>
      <c r="BZ941">
        <v>0.11</v>
      </c>
      <c r="CA941">
        <f>BZ941*SQRT(AL941)</f>
        <v>0.38105117766515301</v>
      </c>
      <c r="CB941">
        <v>21</v>
      </c>
      <c r="CC941">
        <v>3</v>
      </c>
      <c r="CE941">
        <v>2.9756999999999998</v>
      </c>
    </row>
    <row r="942" spans="4:83" hidden="1" x14ac:dyDescent="0.2">
      <c r="D942">
        <v>59</v>
      </c>
      <c r="G942" t="s">
        <v>114</v>
      </c>
      <c r="H942" t="s">
        <v>575</v>
      </c>
      <c r="J942">
        <v>2016</v>
      </c>
      <c r="M942" t="s">
        <v>576</v>
      </c>
      <c r="T942" t="s">
        <v>68</v>
      </c>
      <c r="U942" t="s">
        <v>577</v>
      </c>
      <c r="V942" t="s">
        <v>578</v>
      </c>
      <c r="Z942" t="s">
        <v>49</v>
      </c>
      <c r="AA942" t="s">
        <v>49</v>
      </c>
      <c r="AB942" t="s">
        <v>50</v>
      </c>
      <c r="AC942" t="s">
        <v>51</v>
      </c>
      <c r="AD942" t="s">
        <v>52</v>
      </c>
      <c r="AE942" t="s">
        <v>53</v>
      </c>
      <c r="AF942" t="s">
        <v>52</v>
      </c>
      <c r="AG942" t="s">
        <v>54</v>
      </c>
      <c r="AH942" t="s">
        <v>55</v>
      </c>
      <c r="AK942">
        <v>12</v>
      </c>
      <c r="AL942">
        <v>12</v>
      </c>
      <c r="AM942" t="s">
        <v>263</v>
      </c>
      <c r="AN942">
        <v>322</v>
      </c>
      <c r="AO942">
        <v>7</v>
      </c>
      <c r="AP942" t="s">
        <v>56</v>
      </c>
      <c r="AQ942" t="s">
        <v>109</v>
      </c>
      <c r="AR942">
        <v>8.14</v>
      </c>
      <c r="AS942">
        <v>0.01</v>
      </c>
      <c r="AT942" t="s">
        <v>56</v>
      </c>
      <c r="AU942">
        <v>1486</v>
      </c>
      <c r="AV942">
        <v>75</v>
      </c>
      <c r="AW942" t="s">
        <v>56</v>
      </c>
      <c r="AX942">
        <v>7.55</v>
      </c>
      <c r="AY942">
        <v>0.03</v>
      </c>
      <c r="AZ942" t="s">
        <v>56</v>
      </c>
      <c r="BB942">
        <f>LOG(AU942)</f>
        <v>3.1720188094245563</v>
      </c>
      <c r="BC942">
        <v>9.6999999999999993</v>
      </c>
      <c r="BD942">
        <v>0.2</v>
      </c>
      <c r="BE942" t="s">
        <v>56</v>
      </c>
      <c r="BF942">
        <v>9.5</v>
      </c>
      <c r="BG942">
        <v>0.2</v>
      </c>
      <c r="BH942" t="s">
        <v>56</v>
      </c>
      <c r="BI942">
        <v>1164</v>
      </c>
      <c r="BJ942">
        <v>0</v>
      </c>
      <c r="BK942" t="s">
        <v>579</v>
      </c>
      <c r="BL942" t="s">
        <v>268</v>
      </c>
      <c r="BM942" t="s">
        <v>232</v>
      </c>
      <c r="BN942" t="s">
        <v>81</v>
      </c>
      <c r="BO942" t="s">
        <v>580</v>
      </c>
      <c r="BP942" t="s">
        <v>234</v>
      </c>
      <c r="BR942" t="s">
        <v>63</v>
      </c>
      <c r="BT942">
        <v>0.81</v>
      </c>
      <c r="BU942">
        <v>0.81145599999999996</v>
      </c>
      <c r="BV942">
        <v>0.28999999999999998</v>
      </c>
      <c r="BW942">
        <f>BV942*SQRT(AK942)</f>
        <v>1.0045894683899488</v>
      </c>
      <c r="BX942">
        <v>-1.37</v>
      </c>
      <c r="BY942">
        <v>1.3703879999999999</v>
      </c>
      <c r="BZ942">
        <v>0.41</v>
      </c>
      <c r="CA942">
        <f>BZ942*SQRT(AL942)</f>
        <v>1.4202816622064791</v>
      </c>
      <c r="CB942">
        <v>21</v>
      </c>
      <c r="CC942">
        <v>3</v>
      </c>
      <c r="CE942">
        <v>0.21920000000000001</v>
      </c>
    </row>
    <row r="943" spans="4:83" hidden="1" x14ac:dyDescent="0.2">
      <c r="D943">
        <v>59</v>
      </c>
      <c r="G943" t="s">
        <v>114</v>
      </c>
      <c r="H943" t="s">
        <v>575</v>
      </c>
      <c r="J943">
        <v>2016</v>
      </c>
      <c r="M943" t="s">
        <v>576</v>
      </c>
      <c r="T943" t="s">
        <v>68</v>
      </c>
      <c r="U943" t="s">
        <v>577</v>
      </c>
      <c r="V943" t="s">
        <v>578</v>
      </c>
      <c r="Z943" t="s">
        <v>49</v>
      </c>
      <c r="AA943" t="s">
        <v>49</v>
      </c>
      <c r="AB943" t="s">
        <v>50</v>
      </c>
      <c r="AC943" t="s">
        <v>51</v>
      </c>
      <c r="AD943" t="s">
        <v>52</v>
      </c>
      <c r="AE943" t="s">
        <v>53</v>
      </c>
      <c r="AF943" t="s">
        <v>52</v>
      </c>
      <c r="AG943" t="s">
        <v>52</v>
      </c>
      <c r="AH943" t="s">
        <v>64</v>
      </c>
      <c r="AK943">
        <v>12</v>
      </c>
      <c r="AL943">
        <v>12</v>
      </c>
      <c r="AM943" t="s">
        <v>263</v>
      </c>
      <c r="AN943">
        <v>322</v>
      </c>
      <c r="AO943">
        <v>7</v>
      </c>
      <c r="AP943" t="s">
        <v>56</v>
      </c>
      <c r="AQ943" t="s">
        <v>109</v>
      </c>
      <c r="AR943">
        <v>8.14</v>
      </c>
      <c r="AS943">
        <v>0.01</v>
      </c>
      <c r="AT943" t="s">
        <v>56</v>
      </c>
      <c r="AU943">
        <v>1557</v>
      </c>
      <c r="AV943">
        <v>43</v>
      </c>
      <c r="AW943" t="s">
        <v>56</v>
      </c>
      <c r="AX943">
        <v>7.53</v>
      </c>
      <c r="AY943">
        <v>0.01</v>
      </c>
      <c r="AZ943" t="s">
        <v>56</v>
      </c>
      <c r="BB943">
        <f>LOG(AU943)</f>
        <v>3.1922886125681202</v>
      </c>
      <c r="BC943">
        <v>9.6999999999999993</v>
      </c>
      <c r="BD943">
        <v>0.2</v>
      </c>
      <c r="BE943" t="s">
        <v>56</v>
      </c>
      <c r="BF943">
        <v>12.8</v>
      </c>
      <c r="BG943">
        <v>0.1</v>
      </c>
      <c r="BH943" t="s">
        <v>56</v>
      </c>
      <c r="BI943">
        <v>1235</v>
      </c>
      <c r="BJ943">
        <v>3</v>
      </c>
      <c r="BK943" t="s">
        <v>579</v>
      </c>
      <c r="BL943" t="s">
        <v>268</v>
      </c>
      <c r="BM943" t="s">
        <v>232</v>
      </c>
      <c r="BN943" t="s">
        <v>81</v>
      </c>
      <c r="BO943" t="s">
        <v>580</v>
      </c>
      <c r="BP943" t="s">
        <v>234</v>
      </c>
      <c r="BR943" t="s">
        <v>63</v>
      </c>
      <c r="BT943">
        <v>0.81</v>
      </c>
      <c r="BU943">
        <v>0.81145599999999996</v>
      </c>
      <c r="BV943">
        <v>0.28999999999999998</v>
      </c>
      <c r="BW943">
        <f>BV943*SQRT(AK943)</f>
        <v>1.0045894683899488</v>
      </c>
      <c r="BX943">
        <v>-3.91</v>
      </c>
      <c r="BY943">
        <v>3.9056289999999998</v>
      </c>
      <c r="BZ943">
        <v>0.69</v>
      </c>
      <c r="CA943">
        <f>BZ943*SQRT(AL943)</f>
        <v>2.3902301144450502</v>
      </c>
      <c r="CB943">
        <v>56</v>
      </c>
      <c r="CC943">
        <v>3</v>
      </c>
      <c r="CE943">
        <v>0.16059999999999999</v>
      </c>
    </row>
    <row r="944" spans="4:83" hidden="1" x14ac:dyDescent="0.2">
      <c r="D944">
        <v>59</v>
      </c>
      <c r="G944" t="s">
        <v>114</v>
      </c>
      <c r="H944" t="s">
        <v>575</v>
      </c>
      <c r="J944">
        <v>2016</v>
      </c>
      <c r="M944" t="s">
        <v>576</v>
      </c>
      <c r="T944" t="s">
        <v>68</v>
      </c>
      <c r="U944" t="s">
        <v>577</v>
      </c>
      <c r="V944" t="s">
        <v>578</v>
      </c>
      <c r="Z944" t="s">
        <v>49</v>
      </c>
      <c r="AA944" t="s">
        <v>49</v>
      </c>
      <c r="AB944" t="s">
        <v>50</v>
      </c>
      <c r="AC944" t="s">
        <v>51</v>
      </c>
      <c r="AD944" t="s">
        <v>52</v>
      </c>
      <c r="AE944" t="s">
        <v>53</v>
      </c>
      <c r="AF944" t="s">
        <v>52</v>
      </c>
      <c r="AG944" t="s">
        <v>52</v>
      </c>
      <c r="AH944" t="s">
        <v>64</v>
      </c>
      <c r="AK944">
        <v>12</v>
      </c>
      <c r="AL944">
        <v>12</v>
      </c>
      <c r="AM944" t="s">
        <v>263</v>
      </c>
      <c r="AN944">
        <v>322</v>
      </c>
      <c r="AO944">
        <v>7</v>
      </c>
      <c r="AP944" t="s">
        <v>56</v>
      </c>
      <c r="AQ944" t="s">
        <v>109</v>
      </c>
      <c r="AR944">
        <v>8.14</v>
      </c>
      <c r="AS944">
        <v>0.01</v>
      </c>
      <c r="AT944" t="s">
        <v>56</v>
      </c>
      <c r="AU944">
        <v>1492</v>
      </c>
      <c r="AV944">
        <v>19</v>
      </c>
      <c r="AW944" t="s">
        <v>56</v>
      </c>
      <c r="AX944">
        <v>7.55</v>
      </c>
      <c r="AY944">
        <v>0.01</v>
      </c>
      <c r="AZ944" t="s">
        <v>56</v>
      </c>
      <c r="BB944">
        <f>LOG(AU944)</f>
        <v>3.1737688231366499</v>
      </c>
      <c r="BC944">
        <v>9.6999999999999993</v>
      </c>
      <c r="BD944">
        <v>0.2</v>
      </c>
      <c r="BE944" t="s">
        <v>56</v>
      </c>
      <c r="BF944">
        <v>16</v>
      </c>
      <c r="BG944">
        <v>0.1</v>
      </c>
      <c r="BH944" t="s">
        <v>56</v>
      </c>
      <c r="BI944">
        <v>1170</v>
      </c>
      <c r="BJ944">
        <v>6</v>
      </c>
      <c r="BK944" t="s">
        <v>579</v>
      </c>
      <c r="BL944" t="s">
        <v>268</v>
      </c>
      <c r="BM944" t="s">
        <v>232</v>
      </c>
      <c r="BN944" t="s">
        <v>81</v>
      </c>
      <c r="BO944" t="s">
        <v>580</v>
      </c>
      <c r="BP944" t="s">
        <v>234</v>
      </c>
      <c r="BR944" t="s">
        <v>63</v>
      </c>
      <c r="BT944">
        <v>0.81</v>
      </c>
      <c r="BU944">
        <v>0.81145599999999996</v>
      </c>
      <c r="BV944">
        <v>0.28999999999999998</v>
      </c>
      <c r="BW944">
        <f>BV944*SQRT(AK944)</f>
        <v>1.0045894683899488</v>
      </c>
      <c r="BX944">
        <v>-3.15</v>
      </c>
      <c r="BY944">
        <v>3.1537130000000002</v>
      </c>
      <c r="BZ944">
        <v>0.77</v>
      </c>
      <c r="CA944">
        <f>BZ944*SQRT(AL944)</f>
        <v>2.667358243656071</v>
      </c>
      <c r="CB944">
        <v>91</v>
      </c>
      <c r="CC944">
        <v>3</v>
      </c>
      <c r="CE944">
        <v>0.18959999999999999</v>
      </c>
    </row>
    <row r="945" spans="4:83" hidden="1" x14ac:dyDescent="0.2">
      <c r="D945">
        <v>59</v>
      </c>
      <c r="G945" t="s">
        <v>114</v>
      </c>
      <c r="H945" t="s">
        <v>575</v>
      </c>
      <c r="J945">
        <v>2016</v>
      </c>
      <c r="M945" t="s">
        <v>576</v>
      </c>
      <c r="T945" t="s">
        <v>68</v>
      </c>
      <c r="U945" t="s">
        <v>577</v>
      </c>
      <c r="V945" t="s">
        <v>578</v>
      </c>
      <c r="Z945" t="s">
        <v>49</v>
      </c>
      <c r="AA945" t="s">
        <v>49</v>
      </c>
      <c r="AB945" t="s">
        <v>50</v>
      </c>
      <c r="AC945" t="s">
        <v>51</v>
      </c>
      <c r="AD945" t="s">
        <v>52</v>
      </c>
      <c r="AE945" t="s">
        <v>53</v>
      </c>
      <c r="AF945" t="s">
        <v>52</v>
      </c>
      <c r="AG945" t="s">
        <v>52</v>
      </c>
      <c r="AH945" t="s">
        <v>64</v>
      </c>
      <c r="AK945">
        <v>12</v>
      </c>
      <c r="AL945">
        <v>12</v>
      </c>
      <c r="AM945" t="s">
        <v>263</v>
      </c>
      <c r="AN945">
        <v>322</v>
      </c>
      <c r="AO945">
        <v>7</v>
      </c>
      <c r="AP945" t="s">
        <v>56</v>
      </c>
      <c r="AQ945" t="s">
        <v>109</v>
      </c>
      <c r="AR945">
        <v>8.14</v>
      </c>
      <c r="AS945">
        <v>0.01</v>
      </c>
      <c r="AT945" t="s">
        <v>56</v>
      </c>
      <c r="AU945">
        <v>1652</v>
      </c>
      <c r="AV945">
        <v>41</v>
      </c>
      <c r="AW945" t="s">
        <v>56</v>
      </c>
      <c r="AX945">
        <v>7.51</v>
      </c>
      <c r="AY945">
        <v>0.01</v>
      </c>
      <c r="AZ945" t="s">
        <v>56</v>
      </c>
      <c r="BB945">
        <f>LOG(AU945)</f>
        <v>3.2180100429843632</v>
      </c>
      <c r="BC945">
        <v>9.6999999999999993</v>
      </c>
      <c r="BD945">
        <v>0.2</v>
      </c>
      <c r="BE945" t="s">
        <v>56</v>
      </c>
      <c r="BF945">
        <v>18.399999999999999</v>
      </c>
      <c r="BG945">
        <v>0.5</v>
      </c>
      <c r="BH945" t="s">
        <v>56</v>
      </c>
      <c r="BI945">
        <v>1330</v>
      </c>
      <c r="BJ945">
        <v>9</v>
      </c>
      <c r="BK945" t="s">
        <v>579</v>
      </c>
      <c r="BL945" t="s">
        <v>268</v>
      </c>
      <c r="BM945" t="s">
        <v>232</v>
      </c>
      <c r="BN945" t="s">
        <v>81</v>
      </c>
      <c r="BO945" t="s">
        <v>580</v>
      </c>
      <c r="BP945" t="s">
        <v>234</v>
      </c>
      <c r="BR945" t="s">
        <v>63</v>
      </c>
      <c r="BT945">
        <v>0.81</v>
      </c>
      <c r="BU945">
        <v>0.81145599999999996</v>
      </c>
      <c r="BV945">
        <v>0.28999999999999998</v>
      </c>
      <c r="BW945">
        <f>BV945*SQRT(AK945)</f>
        <v>1.0045894683899488</v>
      </c>
      <c r="BX945">
        <v>-0.09</v>
      </c>
      <c r="BY945">
        <v>9.0978000000000003E-2</v>
      </c>
      <c r="BZ945">
        <v>0.77</v>
      </c>
      <c r="CA945">
        <f>BZ945*SQRT(AL945)</f>
        <v>2.667358243656071</v>
      </c>
      <c r="CB945">
        <v>126</v>
      </c>
      <c r="CC945">
        <v>3</v>
      </c>
      <c r="CE945">
        <v>71.841899999999995</v>
      </c>
    </row>
    <row r="946" spans="4:83" hidden="1" x14ac:dyDescent="0.2">
      <c r="D946">
        <v>60</v>
      </c>
      <c r="G946" t="s">
        <v>43</v>
      </c>
      <c r="H946" t="s">
        <v>586</v>
      </c>
      <c r="J946">
        <v>2013</v>
      </c>
      <c r="M946" t="s">
        <v>332</v>
      </c>
      <c r="T946" t="s">
        <v>68</v>
      </c>
      <c r="U946" t="s">
        <v>167</v>
      </c>
      <c r="V946" t="s">
        <v>343</v>
      </c>
      <c r="Z946" t="s">
        <v>49</v>
      </c>
      <c r="AA946" t="s">
        <v>49</v>
      </c>
      <c r="AB946" t="s">
        <v>50</v>
      </c>
      <c r="AC946" t="s">
        <v>51</v>
      </c>
      <c r="AD946" t="s">
        <v>52</v>
      </c>
      <c r="AE946" t="s">
        <v>53</v>
      </c>
      <c r="AF946" t="s">
        <v>54</v>
      </c>
      <c r="AG946" t="s">
        <v>52</v>
      </c>
      <c r="AH946" t="s">
        <v>65</v>
      </c>
      <c r="AK946">
        <v>30</v>
      </c>
      <c r="AL946">
        <v>30</v>
      </c>
      <c r="AN946">
        <v>430</v>
      </c>
      <c r="AO946">
        <v>17</v>
      </c>
      <c r="AP946" t="s">
        <v>56</v>
      </c>
      <c r="AQ946" t="s">
        <v>57</v>
      </c>
      <c r="AR946">
        <v>8.14</v>
      </c>
      <c r="AS946">
        <v>0.01</v>
      </c>
      <c r="AT946" t="s">
        <v>56</v>
      </c>
      <c r="AU946">
        <v>536</v>
      </c>
      <c r="AV946">
        <v>27</v>
      </c>
      <c r="AW946" t="s">
        <v>56</v>
      </c>
      <c r="AX946">
        <v>8.08</v>
      </c>
      <c r="AY946">
        <v>0.01</v>
      </c>
      <c r="AZ946" t="s">
        <v>56</v>
      </c>
      <c r="BB946">
        <f>LOG(AU946)</f>
        <v>2.7291647896927702</v>
      </c>
      <c r="BC946">
        <v>22.4</v>
      </c>
      <c r="BD946">
        <v>0.1</v>
      </c>
      <c r="BE946" t="s">
        <v>56</v>
      </c>
      <c r="BF946">
        <v>26.7</v>
      </c>
      <c r="BG946">
        <v>0.1</v>
      </c>
      <c r="BH946" t="s">
        <v>56</v>
      </c>
      <c r="BI946">
        <v>106</v>
      </c>
      <c r="BJ946">
        <v>4.3</v>
      </c>
      <c r="BK946" t="s">
        <v>56</v>
      </c>
      <c r="BL946" t="s">
        <v>88</v>
      </c>
      <c r="BM946" t="s">
        <v>83</v>
      </c>
      <c r="BN946" t="s">
        <v>81</v>
      </c>
      <c r="BO946" t="s">
        <v>82</v>
      </c>
      <c r="BP946" t="s">
        <v>83</v>
      </c>
      <c r="BR946" t="s">
        <v>84</v>
      </c>
      <c r="BT946">
        <v>11.75</v>
      </c>
      <c r="BU946">
        <v>88.245614000000003</v>
      </c>
      <c r="BV946">
        <v>5.88</v>
      </c>
      <c r="BW946">
        <f>BV946*SQRT(AK946)</f>
        <v>32.20608638130377</v>
      </c>
      <c r="BX946">
        <v>65.53</v>
      </c>
      <c r="BY946">
        <v>34.473684200000001</v>
      </c>
      <c r="BZ946">
        <v>5.96</v>
      </c>
      <c r="CA946">
        <f>BZ946*SQRT(AL946)</f>
        <v>32.644264427307903</v>
      </c>
      <c r="CB946">
        <v>105</v>
      </c>
      <c r="CC946">
        <v>2</v>
      </c>
      <c r="CD946">
        <v>-0.94</v>
      </c>
      <c r="CE946">
        <v>3.44E-2</v>
      </c>
    </row>
    <row r="947" spans="4:83" hidden="1" x14ac:dyDescent="0.2">
      <c r="D947">
        <v>60</v>
      </c>
      <c r="G947" t="s">
        <v>43</v>
      </c>
      <c r="H947" t="s">
        <v>586</v>
      </c>
      <c r="J947">
        <v>2013</v>
      </c>
      <c r="M947" t="s">
        <v>332</v>
      </c>
      <c r="T947" t="s">
        <v>68</v>
      </c>
      <c r="U947" t="s">
        <v>167</v>
      </c>
      <c r="V947" t="s">
        <v>343</v>
      </c>
      <c r="Z947" t="s">
        <v>49</v>
      </c>
      <c r="AA947" t="s">
        <v>49</v>
      </c>
      <c r="AB947" t="s">
        <v>50</v>
      </c>
      <c r="AC947" t="s">
        <v>51</v>
      </c>
      <c r="AD947" t="s">
        <v>52</v>
      </c>
      <c r="AE947" t="s">
        <v>53</v>
      </c>
      <c r="AF947" t="s">
        <v>52</v>
      </c>
      <c r="AG947" t="s">
        <v>52</v>
      </c>
      <c r="AH947" t="s">
        <v>64</v>
      </c>
      <c r="AK947">
        <v>30</v>
      </c>
      <c r="AL947">
        <v>30</v>
      </c>
      <c r="AN947">
        <v>430</v>
      </c>
      <c r="AO947">
        <v>17</v>
      </c>
      <c r="AP947" t="s">
        <v>56</v>
      </c>
      <c r="AQ947" t="s">
        <v>57</v>
      </c>
      <c r="AR947">
        <v>8.14</v>
      </c>
      <c r="AS947">
        <v>0.01</v>
      </c>
      <c r="AT947" t="s">
        <v>56</v>
      </c>
      <c r="AU947">
        <v>796</v>
      </c>
      <c r="AV947">
        <v>47</v>
      </c>
      <c r="AW947" t="s">
        <v>56</v>
      </c>
      <c r="AX947">
        <v>7.94</v>
      </c>
      <c r="AY947">
        <v>0.02</v>
      </c>
      <c r="AZ947" t="s">
        <v>56</v>
      </c>
      <c r="BB947">
        <f>LOG(AU947)</f>
        <v>2.9009130677376689</v>
      </c>
      <c r="BC947">
        <v>22.4</v>
      </c>
      <c r="BD947">
        <v>0.1</v>
      </c>
      <c r="BE947" t="s">
        <v>56</v>
      </c>
      <c r="BF947">
        <v>26.7</v>
      </c>
      <c r="BG947">
        <v>0.1</v>
      </c>
      <c r="BH947" t="s">
        <v>56</v>
      </c>
      <c r="BI947">
        <v>367</v>
      </c>
      <c r="BJ947">
        <v>4.3</v>
      </c>
      <c r="BK947" t="s">
        <v>56</v>
      </c>
      <c r="BL947" t="s">
        <v>88</v>
      </c>
      <c r="BM947" t="s">
        <v>83</v>
      </c>
      <c r="BN947" t="s">
        <v>81</v>
      </c>
      <c r="BO947" t="s">
        <v>82</v>
      </c>
      <c r="BP947" t="s">
        <v>83</v>
      </c>
      <c r="BR947" t="s">
        <v>84</v>
      </c>
      <c r="BT947">
        <v>11.75</v>
      </c>
      <c r="BU947">
        <v>88.245614000000003</v>
      </c>
      <c r="BV947">
        <v>5.88</v>
      </c>
      <c r="BW947">
        <f>BV947*SQRT(AK947)</f>
        <v>32.20608638130377</v>
      </c>
      <c r="BX947">
        <v>43.16</v>
      </c>
      <c r="BY947">
        <v>56.8421053</v>
      </c>
      <c r="BZ947">
        <v>8.42</v>
      </c>
      <c r="CA947">
        <f>BZ947*SQRT(AL947)</f>
        <v>46.118239341934988</v>
      </c>
      <c r="CB947">
        <v>105</v>
      </c>
      <c r="CC947">
        <v>2</v>
      </c>
      <c r="CD947">
        <v>-0.44</v>
      </c>
      <c r="CE947">
        <v>2.64E-2</v>
      </c>
    </row>
    <row r="948" spans="4:83" hidden="1" x14ac:dyDescent="0.2">
      <c r="D948">
        <v>60</v>
      </c>
      <c r="G948" t="s">
        <v>43</v>
      </c>
      <c r="H948" t="s">
        <v>586</v>
      </c>
      <c r="J948">
        <v>2013</v>
      </c>
      <c r="M948" t="s">
        <v>332</v>
      </c>
      <c r="T948" t="s">
        <v>68</v>
      </c>
      <c r="U948" t="s">
        <v>167</v>
      </c>
      <c r="V948" t="s">
        <v>343</v>
      </c>
      <c r="Z948" t="s">
        <v>49</v>
      </c>
      <c r="AA948" t="s">
        <v>49</v>
      </c>
      <c r="AB948" t="s">
        <v>50</v>
      </c>
      <c r="AC948" t="s">
        <v>51</v>
      </c>
      <c r="AD948" t="s">
        <v>52</v>
      </c>
      <c r="AE948" t="s">
        <v>53</v>
      </c>
      <c r="AF948" t="s">
        <v>54</v>
      </c>
      <c r="AG948" t="s">
        <v>52</v>
      </c>
      <c r="AH948" t="s">
        <v>65</v>
      </c>
      <c r="AK948">
        <v>6</v>
      </c>
      <c r="AL948">
        <v>6</v>
      </c>
      <c r="AN948">
        <v>430</v>
      </c>
      <c r="AO948">
        <v>17</v>
      </c>
      <c r="AP948" t="s">
        <v>56</v>
      </c>
      <c r="AQ948" t="s">
        <v>57</v>
      </c>
      <c r="AR948">
        <v>8.14</v>
      </c>
      <c r="AS948">
        <v>0.01</v>
      </c>
      <c r="AT948" t="s">
        <v>56</v>
      </c>
      <c r="AU948">
        <v>536</v>
      </c>
      <c r="AV948">
        <v>27</v>
      </c>
      <c r="AW948" t="s">
        <v>56</v>
      </c>
      <c r="AX948">
        <v>8.08</v>
      </c>
      <c r="AY948">
        <v>0.01</v>
      </c>
      <c r="AZ948" t="s">
        <v>56</v>
      </c>
      <c r="BB948">
        <f>LOG(AU948)</f>
        <v>2.7291647896927702</v>
      </c>
      <c r="BC948">
        <v>22.4</v>
      </c>
      <c r="BD948">
        <v>0.1</v>
      </c>
      <c r="BE948" t="s">
        <v>56</v>
      </c>
      <c r="BF948">
        <v>26.7</v>
      </c>
      <c r="BG948">
        <v>0.1</v>
      </c>
      <c r="BH948" t="s">
        <v>56</v>
      </c>
      <c r="BI948">
        <v>106</v>
      </c>
      <c r="BJ948">
        <v>4.3</v>
      </c>
      <c r="BK948" t="s">
        <v>56</v>
      </c>
      <c r="BL948" t="s">
        <v>587</v>
      </c>
      <c r="BM948" t="s">
        <v>588</v>
      </c>
      <c r="BN948" t="s">
        <v>81</v>
      </c>
      <c r="BO948" t="s">
        <v>589</v>
      </c>
      <c r="BP948" t="s">
        <v>100</v>
      </c>
      <c r="BR948" t="s">
        <v>63</v>
      </c>
      <c r="BT948">
        <v>225.44</v>
      </c>
      <c r="BU948">
        <v>225.44484</v>
      </c>
      <c r="BV948">
        <v>2.61</v>
      </c>
      <c r="BW948">
        <f>BV948*SQRT(AK948)</f>
        <v>6.3931682286640941</v>
      </c>
      <c r="BX948">
        <v>150</v>
      </c>
      <c r="BY948">
        <v>150</v>
      </c>
      <c r="BZ948">
        <v>150</v>
      </c>
      <c r="CA948">
        <f>BZ948*SQRT(AL948)</f>
        <v>367.42346141747669</v>
      </c>
      <c r="CB948">
        <v>105</v>
      </c>
      <c r="CC948">
        <v>2</v>
      </c>
      <c r="CD948">
        <v>-0.40699999999999997</v>
      </c>
      <c r="CE948">
        <v>1.0001</v>
      </c>
    </row>
    <row r="949" spans="4:83" hidden="1" x14ac:dyDescent="0.2">
      <c r="D949">
        <v>60</v>
      </c>
      <c r="G949" t="s">
        <v>43</v>
      </c>
      <c r="H949" t="s">
        <v>586</v>
      </c>
      <c r="J949">
        <v>2013</v>
      </c>
      <c r="M949" t="s">
        <v>332</v>
      </c>
      <c r="T949" t="s">
        <v>68</v>
      </c>
      <c r="U949" t="s">
        <v>333</v>
      </c>
      <c r="V949" t="s">
        <v>334</v>
      </c>
      <c r="Z949" t="s">
        <v>49</v>
      </c>
      <c r="AA949" t="s">
        <v>49</v>
      </c>
      <c r="AB949" t="s">
        <v>50</v>
      </c>
      <c r="AC949" t="s">
        <v>51</v>
      </c>
      <c r="AD949" t="s">
        <v>52</v>
      </c>
      <c r="AE949" t="s">
        <v>53</v>
      </c>
      <c r="AF949" t="s">
        <v>52</v>
      </c>
      <c r="AG949" t="s">
        <v>52</v>
      </c>
      <c r="AH949" t="s">
        <v>64</v>
      </c>
      <c r="AK949">
        <v>30</v>
      </c>
      <c r="AL949">
        <v>30</v>
      </c>
      <c r="AN949">
        <v>430</v>
      </c>
      <c r="AO949">
        <v>17</v>
      </c>
      <c r="AP949" t="s">
        <v>56</v>
      </c>
      <c r="AQ949" t="s">
        <v>57</v>
      </c>
      <c r="AR949">
        <v>8.14</v>
      </c>
      <c r="AS949">
        <v>0.01</v>
      </c>
      <c r="AT949" t="s">
        <v>56</v>
      </c>
      <c r="AU949">
        <v>796</v>
      </c>
      <c r="AV949">
        <v>47</v>
      </c>
      <c r="AW949" t="s">
        <v>56</v>
      </c>
      <c r="AX949">
        <v>7.94</v>
      </c>
      <c r="AY949">
        <v>0.02</v>
      </c>
      <c r="AZ949" t="s">
        <v>56</v>
      </c>
      <c r="BB949">
        <f>LOG(AU949)</f>
        <v>2.9009130677376689</v>
      </c>
      <c r="BC949">
        <v>22.4</v>
      </c>
      <c r="BD949">
        <v>0.1</v>
      </c>
      <c r="BE949" t="s">
        <v>56</v>
      </c>
      <c r="BF949">
        <v>26.7</v>
      </c>
      <c r="BG949">
        <v>0.1</v>
      </c>
      <c r="BH949" t="s">
        <v>56</v>
      </c>
      <c r="BI949">
        <v>367</v>
      </c>
      <c r="BJ949">
        <v>4.3</v>
      </c>
      <c r="BK949" t="s">
        <v>56</v>
      </c>
      <c r="BL949" t="s">
        <v>88</v>
      </c>
      <c r="BM949" t="s">
        <v>83</v>
      </c>
      <c r="BN949" t="s">
        <v>81</v>
      </c>
      <c r="BO949" t="s">
        <v>82</v>
      </c>
      <c r="BP949" t="s">
        <v>83</v>
      </c>
      <c r="BR949" t="s">
        <v>84</v>
      </c>
      <c r="BT949">
        <v>3.17</v>
      </c>
      <c r="BU949">
        <v>96.825053999999994</v>
      </c>
      <c r="BV949">
        <v>3.48</v>
      </c>
      <c r="BW949">
        <f>BV949*SQRT(AK949)</f>
        <v>19.060745001179782</v>
      </c>
      <c r="BX949">
        <v>28.27</v>
      </c>
      <c r="BY949">
        <v>71.727861799999999</v>
      </c>
      <c r="BZ949">
        <v>7.11</v>
      </c>
      <c r="CA949">
        <f>BZ949*SQRT(AL949)</f>
        <v>38.943073838617316</v>
      </c>
      <c r="CB949">
        <v>105</v>
      </c>
      <c r="CC949">
        <v>2</v>
      </c>
      <c r="CD949">
        <v>-0.3</v>
      </c>
      <c r="CE949">
        <v>1.11E-2</v>
      </c>
    </row>
    <row r="950" spans="4:83" hidden="1" x14ac:dyDescent="0.2">
      <c r="D950">
        <v>60</v>
      </c>
      <c r="G950" t="s">
        <v>43</v>
      </c>
      <c r="H950" t="s">
        <v>586</v>
      </c>
      <c r="J950">
        <v>2013</v>
      </c>
      <c r="M950" t="s">
        <v>332</v>
      </c>
      <c r="T950" t="s">
        <v>68</v>
      </c>
      <c r="U950" t="s">
        <v>333</v>
      </c>
      <c r="V950" t="s">
        <v>334</v>
      </c>
      <c r="Z950" t="s">
        <v>49</v>
      </c>
      <c r="AA950" t="s">
        <v>49</v>
      </c>
      <c r="AB950" t="s">
        <v>50</v>
      </c>
      <c r="AC950" t="s">
        <v>51</v>
      </c>
      <c r="AD950" t="s">
        <v>52</v>
      </c>
      <c r="AE950" t="s">
        <v>53</v>
      </c>
      <c r="AF950" t="s">
        <v>54</v>
      </c>
      <c r="AG950" t="s">
        <v>52</v>
      </c>
      <c r="AH950" t="s">
        <v>65</v>
      </c>
      <c r="AK950">
        <v>7</v>
      </c>
      <c r="AL950">
        <v>7</v>
      </c>
      <c r="AN950">
        <v>430</v>
      </c>
      <c r="AO950">
        <v>17</v>
      </c>
      <c r="AP950" t="s">
        <v>56</v>
      </c>
      <c r="AQ950" t="s">
        <v>57</v>
      </c>
      <c r="AR950">
        <v>8.14</v>
      </c>
      <c r="AS950">
        <v>0.01</v>
      </c>
      <c r="AT950" t="s">
        <v>56</v>
      </c>
      <c r="AU950">
        <v>536</v>
      </c>
      <c r="AV950">
        <v>27</v>
      </c>
      <c r="AW950" t="s">
        <v>56</v>
      </c>
      <c r="AX950">
        <v>8.08</v>
      </c>
      <c r="AY950">
        <v>0.01</v>
      </c>
      <c r="AZ950" t="s">
        <v>56</v>
      </c>
      <c r="BB950">
        <f>LOG(AU950)</f>
        <v>2.7291647896927702</v>
      </c>
      <c r="BC950">
        <v>22.4</v>
      </c>
      <c r="BD950">
        <v>0.1</v>
      </c>
      <c r="BE950" t="s">
        <v>56</v>
      </c>
      <c r="BF950">
        <v>26.7</v>
      </c>
      <c r="BG950">
        <v>0.1</v>
      </c>
      <c r="BH950" t="s">
        <v>56</v>
      </c>
      <c r="BI950">
        <v>106</v>
      </c>
      <c r="BJ950">
        <v>4.3</v>
      </c>
      <c r="BK950" t="s">
        <v>56</v>
      </c>
      <c r="BL950" t="s">
        <v>590</v>
      </c>
      <c r="BM950" t="s">
        <v>354</v>
      </c>
      <c r="BN950" t="s">
        <v>60</v>
      </c>
      <c r="BO950" t="s">
        <v>591</v>
      </c>
      <c r="BP950" t="s">
        <v>194</v>
      </c>
      <c r="BR950" t="s">
        <v>63</v>
      </c>
      <c r="BT950">
        <v>91.91</v>
      </c>
      <c r="BU950">
        <v>91.91</v>
      </c>
      <c r="BV950">
        <v>10.61</v>
      </c>
      <c r="BW950">
        <f>BV950*SQRT(AK950)</f>
        <v>28.071421410395306</v>
      </c>
      <c r="BX950">
        <v>70.7</v>
      </c>
      <c r="BY950">
        <v>70.7</v>
      </c>
      <c r="BZ950">
        <v>3.54</v>
      </c>
      <c r="CA950">
        <f>BZ950*SQRT(AL950)</f>
        <v>9.3659596411686508</v>
      </c>
      <c r="CB950">
        <v>105</v>
      </c>
      <c r="CC950">
        <v>2</v>
      </c>
      <c r="CD950">
        <v>-0.26200000000000001</v>
      </c>
      <c r="CE950">
        <v>1.5800000000000002E-2</v>
      </c>
    </row>
    <row r="951" spans="4:83" hidden="1" x14ac:dyDescent="0.2">
      <c r="D951">
        <v>60</v>
      </c>
      <c r="G951" t="s">
        <v>43</v>
      </c>
      <c r="H951" t="s">
        <v>586</v>
      </c>
      <c r="J951">
        <v>2013</v>
      </c>
      <c r="M951" t="s">
        <v>332</v>
      </c>
      <c r="T951" t="s">
        <v>68</v>
      </c>
      <c r="U951" t="s">
        <v>333</v>
      </c>
      <c r="V951" t="s">
        <v>334</v>
      </c>
      <c r="Z951" t="s">
        <v>49</v>
      </c>
      <c r="AA951" t="s">
        <v>49</v>
      </c>
      <c r="AB951" t="s">
        <v>50</v>
      </c>
      <c r="AC951" t="s">
        <v>51</v>
      </c>
      <c r="AD951" t="s">
        <v>52</v>
      </c>
      <c r="AE951" t="s">
        <v>53</v>
      </c>
      <c r="AF951" t="s">
        <v>54</v>
      </c>
      <c r="AG951" t="s">
        <v>52</v>
      </c>
      <c r="AH951" t="s">
        <v>65</v>
      </c>
      <c r="AK951">
        <v>30</v>
      </c>
      <c r="AL951">
        <v>30</v>
      </c>
      <c r="AN951">
        <v>430</v>
      </c>
      <c r="AO951">
        <v>17</v>
      </c>
      <c r="AP951" t="s">
        <v>56</v>
      </c>
      <c r="AQ951" t="s">
        <v>57</v>
      </c>
      <c r="AR951">
        <v>8.14</v>
      </c>
      <c r="AS951">
        <v>0.01</v>
      </c>
      <c r="AT951" t="s">
        <v>56</v>
      </c>
      <c r="AU951">
        <v>536</v>
      </c>
      <c r="AV951">
        <v>27</v>
      </c>
      <c r="AW951" t="s">
        <v>56</v>
      </c>
      <c r="AX951">
        <v>8.08</v>
      </c>
      <c r="AY951">
        <v>0.01</v>
      </c>
      <c r="AZ951" t="s">
        <v>56</v>
      </c>
      <c r="BB951">
        <f>LOG(AU951)</f>
        <v>2.7291647896927702</v>
      </c>
      <c r="BC951">
        <v>22.4</v>
      </c>
      <c r="BD951">
        <v>0.1</v>
      </c>
      <c r="BE951" t="s">
        <v>56</v>
      </c>
      <c r="BF951">
        <v>26.7</v>
      </c>
      <c r="BG951">
        <v>0.1</v>
      </c>
      <c r="BH951" t="s">
        <v>56</v>
      </c>
      <c r="BI951">
        <v>106</v>
      </c>
      <c r="BJ951">
        <v>4.3</v>
      </c>
      <c r="BK951" t="s">
        <v>56</v>
      </c>
      <c r="BL951" t="s">
        <v>88</v>
      </c>
      <c r="BM951" t="s">
        <v>83</v>
      </c>
      <c r="BN951" t="s">
        <v>81</v>
      </c>
      <c r="BO951" t="s">
        <v>82</v>
      </c>
      <c r="BP951" t="s">
        <v>83</v>
      </c>
      <c r="BR951" t="s">
        <v>84</v>
      </c>
      <c r="BT951">
        <v>3.17</v>
      </c>
      <c r="BU951">
        <v>96.825053999999994</v>
      </c>
      <c r="BV951">
        <v>3.48</v>
      </c>
      <c r="BW951">
        <f>BV951*SQRT(AK951)</f>
        <v>19.060745001179782</v>
      </c>
      <c r="BX951">
        <v>23.74</v>
      </c>
      <c r="BY951">
        <v>76.263498900000002</v>
      </c>
      <c r="BZ951">
        <v>6.65</v>
      </c>
      <c r="CA951">
        <f>BZ951*SQRT(AL951)</f>
        <v>36.423550074093548</v>
      </c>
      <c r="CB951">
        <v>105</v>
      </c>
      <c r="CC951">
        <v>2</v>
      </c>
      <c r="CD951">
        <v>-0.23899999999999999</v>
      </c>
      <c r="CE951">
        <v>8.8999999999999999E-3</v>
      </c>
    </row>
    <row r="952" spans="4:83" hidden="1" x14ac:dyDescent="0.2">
      <c r="D952">
        <v>60</v>
      </c>
      <c r="G952" t="s">
        <v>43</v>
      </c>
      <c r="H952" t="s">
        <v>586</v>
      </c>
      <c r="J952">
        <v>2013</v>
      </c>
      <c r="M952" t="s">
        <v>332</v>
      </c>
      <c r="T952" t="s">
        <v>68</v>
      </c>
      <c r="U952" t="s">
        <v>167</v>
      </c>
      <c r="V952" t="s">
        <v>343</v>
      </c>
      <c r="Z952" t="s">
        <v>49</v>
      </c>
      <c r="AA952" t="s">
        <v>49</v>
      </c>
      <c r="AB952" t="s">
        <v>50</v>
      </c>
      <c r="AC952" t="s">
        <v>51</v>
      </c>
      <c r="AD952" t="s">
        <v>52</v>
      </c>
      <c r="AE952" t="s">
        <v>53</v>
      </c>
      <c r="AF952" t="s">
        <v>52</v>
      </c>
      <c r="AG952" t="s">
        <v>54</v>
      </c>
      <c r="AH952" t="s">
        <v>55</v>
      </c>
      <c r="AK952">
        <v>7</v>
      </c>
      <c r="AL952">
        <v>7</v>
      </c>
      <c r="AN952">
        <v>430</v>
      </c>
      <c r="AO952">
        <v>17</v>
      </c>
      <c r="AP952" t="s">
        <v>56</v>
      </c>
      <c r="AQ952" t="s">
        <v>57</v>
      </c>
      <c r="AR952">
        <v>8.14</v>
      </c>
      <c r="AS952">
        <v>0.01</v>
      </c>
      <c r="AT952" t="s">
        <v>56</v>
      </c>
      <c r="AU952">
        <v>744</v>
      </c>
      <c r="AV952">
        <v>31</v>
      </c>
      <c r="AW952" t="s">
        <v>56</v>
      </c>
      <c r="AX952">
        <v>7.95</v>
      </c>
      <c r="AY952">
        <v>0.01</v>
      </c>
      <c r="AZ952" t="s">
        <v>56</v>
      </c>
      <c r="BB952">
        <f>LOG(AU952)</f>
        <v>2.8715729355458786</v>
      </c>
      <c r="BC952">
        <v>22.4</v>
      </c>
      <c r="BD952">
        <v>0.1</v>
      </c>
      <c r="BE952" t="s">
        <v>56</v>
      </c>
      <c r="BF952">
        <v>22.2</v>
      </c>
      <c r="BG952">
        <v>0.1</v>
      </c>
      <c r="BH952" t="s">
        <v>56</v>
      </c>
      <c r="BI952">
        <v>315</v>
      </c>
      <c r="BJ952">
        <v>-0.2</v>
      </c>
      <c r="BK952" t="s">
        <v>56</v>
      </c>
      <c r="BL952" t="s">
        <v>592</v>
      </c>
      <c r="BM952" t="s">
        <v>592</v>
      </c>
      <c r="BN952" t="s">
        <v>81</v>
      </c>
      <c r="BO952" t="s">
        <v>56</v>
      </c>
      <c r="BP952" t="s">
        <v>194</v>
      </c>
      <c r="BR952" t="s">
        <v>63</v>
      </c>
      <c r="BT952">
        <v>0.5</v>
      </c>
      <c r="BU952">
        <v>0.5</v>
      </c>
      <c r="BV952">
        <v>0.03</v>
      </c>
      <c r="BW952">
        <f>BV952*SQRT(AK952)</f>
        <v>7.9372539331937719E-2</v>
      </c>
      <c r="BX952">
        <v>0.41</v>
      </c>
      <c r="BY952">
        <v>0.40799999999999997</v>
      </c>
      <c r="BZ952">
        <v>0.06</v>
      </c>
      <c r="CA952">
        <f>BZ952*SQRT(AL952)</f>
        <v>0.15874507866387544</v>
      </c>
      <c r="CB952">
        <v>56</v>
      </c>
      <c r="CC952">
        <v>2</v>
      </c>
      <c r="CD952">
        <v>-0.20300000000000001</v>
      </c>
      <c r="CE952">
        <v>2.3800000000000002E-2</v>
      </c>
    </row>
    <row r="953" spans="4:83" hidden="1" x14ac:dyDescent="0.2">
      <c r="D953">
        <v>60</v>
      </c>
      <c r="G953" t="s">
        <v>43</v>
      </c>
      <c r="H953" t="s">
        <v>586</v>
      </c>
      <c r="J953">
        <v>2013</v>
      </c>
      <c r="M953" t="s">
        <v>332</v>
      </c>
      <c r="T953" t="s">
        <v>68</v>
      </c>
      <c r="U953" t="s">
        <v>167</v>
      </c>
      <c r="V953" t="s">
        <v>343</v>
      </c>
      <c r="Z953" t="s">
        <v>49</v>
      </c>
      <c r="AA953" t="s">
        <v>49</v>
      </c>
      <c r="AB953" t="s">
        <v>50</v>
      </c>
      <c r="AC953" t="s">
        <v>51</v>
      </c>
      <c r="AD953" t="s">
        <v>52</v>
      </c>
      <c r="AE953" t="s">
        <v>53</v>
      </c>
      <c r="AF953" t="s">
        <v>52</v>
      </c>
      <c r="AG953" t="s">
        <v>52</v>
      </c>
      <c r="AH953" t="s">
        <v>64</v>
      </c>
      <c r="AK953">
        <v>7</v>
      </c>
      <c r="AL953">
        <v>7</v>
      </c>
      <c r="AN953">
        <v>430</v>
      </c>
      <c r="AO953">
        <v>17</v>
      </c>
      <c r="AP953" t="s">
        <v>56</v>
      </c>
      <c r="AQ953" t="s">
        <v>57</v>
      </c>
      <c r="AR953">
        <v>8.14</v>
      </c>
      <c r="AS953">
        <v>0.01</v>
      </c>
      <c r="AT953" t="s">
        <v>56</v>
      </c>
      <c r="AU953">
        <v>796</v>
      </c>
      <c r="AV953">
        <v>47</v>
      </c>
      <c r="AW953" t="s">
        <v>56</v>
      </c>
      <c r="AX953">
        <v>7.94</v>
      </c>
      <c r="AY953">
        <v>0.02</v>
      </c>
      <c r="AZ953" t="s">
        <v>56</v>
      </c>
      <c r="BB953">
        <f>LOG(AU953)</f>
        <v>2.9009130677376689</v>
      </c>
      <c r="BC953">
        <v>22.4</v>
      </c>
      <c r="BD953">
        <v>0.1</v>
      </c>
      <c r="BE953" t="s">
        <v>56</v>
      </c>
      <c r="BF953">
        <v>26.7</v>
      </c>
      <c r="BG953">
        <v>0.1</v>
      </c>
      <c r="BH953" t="s">
        <v>56</v>
      </c>
      <c r="BI953">
        <v>367</v>
      </c>
      <c r="BJ953">
        <v>4.3</v>
      </c>
      <c r="BK953" t="s">
        <v>56</v>
      </c>
      <c r="BL953" t="s">
        <v>592</v>
      </c>
      <c r="BM953" t="s">
        <v>592</v>
      </c>
      <c r="BN953" t="s">
        <v>81</v>
      </c>
      <c r="BO953" t="s">
        <v>56</v>
      </c>
      <c r="BP953" t="s">
        <v>194</v>
      </c>
      <c r="BR953" t="s">
        <v>63</v>
      </c>
      <c r="BT953">
        <v>0.5</v>
      </c>
      <c r="BU953">
        <v>0.5</v>
      </c>
      <c r="BV953">
        <v>0.03</v>
      </c>
      <c r="BW953">
        <f>BV953*SQRT(AK953)</f>
        <v>7.9372539331937719E-2</v>
      </c>
      <c r="BX953">
        <v>0.46</v>
      </c>
      <c r="BY953">
        <v>0.45800000000000002</v>
      </c>
      <c r="BZ953">
        <v>0.13</v>
      </c>
      <c r="CA953">
        <f>BZ953*SQRT(AL953)</f>
        <v>0.3439476704383968</v>
      </c>
      <c r="CB953">
        <v>56</v>
      </c>
      <c r="CC953">
        <v>2</v>
      </c>
      <c r="CD953">
        <v>-8.7999999999999995E-2</v>
      </c>
      <c r="CE953">
        <v>8.7900000000000006E-2</v>
      </c>
    </row>
    <row r="954" spans="4:83" hidden="1" x14ac:dyDescent="0.2">
      <c r="D954">
        <v>60</v>
      </c>
      <c r="G954" t="s">
        <v>43</v>
      </c>
      <c r="H954" t="s">
        <v>586</v>
      </c>
      <c r="J954">
        <v>2013</v>
      </c>
      <c r="M954" t="s">
        <v>332</v>
      </c>
      <c r="T954" t="s">
        <v>68</v>
      </c>
      <c r="U954" t="s">
        <v>167</v>
      </c>
      <c r="V954" t="s">
        <v>343</v>
      </c>
      <c r="Z954" t="s">
        <v>49</v>
      </c>
      <c r="AA954" t="s">
        <v>49</v>
      </c>
      <c r="AB954" t="s">
        <v>50</v>
      </c>
      <c r="AC954" t="s">
        <v>51</v>
      </c>
      <c r="AD954" t="s">
        <v>52</v>
      </c>
      <c r="AE954" t="s">
        <v>53</v>
      </c>
      <c r="AF954" t="s">
        <v>52</v>
      </c>
      <c r="AG954" t="s">
        <v>52</v>
      </c>
      <c r="AH954" t="s">
        <v>64</v>
      </c>
      <c r="AK954">
        <v>6</v>
      </c>
      <c r="AL954">
        <v>6</v>
      </c>
      <c r="AN954">
        <v>430</v>
      </c>
      <c r="AO954">
        <v>17</v>
      </c>
      <c r="AP954" t="s">
        <v>56</v>
      </c>
      <c r="AQ954" t="s">
        <v>57</v>
      </c>
      <c r="AR954">
        <v>8.14</v>
      </c>
      <c r="AS954">
        <v>0.01</v>
      </c>
      <c r="AT954" t="s">
        <v>56</v>
      </c>
      <c r="AU954">
        <v>796</v>
      </c>
      <c r="AV954">
        <v>47</v>
      </c>
      <c r="AW954" t="s">
        <v>56</v>
      </c>
      <c r="AX954">
        <v>7.94</v>
      </c>
      <c r="AY954">
        <v>0.02</v>
      </c>
      <c r="AZ954" t="s">
        <v>56</v>
      </c>
      <c r="BB954">
        <f>LOG(AU954)</f>
        <v>2.9009130677376689</v>
      </c>
      <c r="BC954">
        <v>22.4</v>
      </c>
      <c r="BD954">
        <v>0.1</v>
      </c>
      <c r="BE954" t="s">
        <v>56</v>
      </c>
      <c r="BF954">
        <v>26.7</v>
      </c>
      <c r="BG954">
        <v>0.1</v>
      </c>
      <c r="BH954" t="s">
        <v>56</v>
      </c>
      <c r="BI954">
        <v>367</v>
      </c>
      <c r="BJ954">
        <v>4.3</v>
      </c>
      <c r="BK954" t="s">
        <v>56</v>
      </c>
      <c r="BL954" t="s">
        <v>587</v>
      </c>
      <c r="BM954" t="s">
        <v>588</v>
      </c>
      <c r="BN954" t="s">
        <v>81</v>
      </c>
      <c r="BO954" t="s">
        <v>589</v>
      </c>
      <c r="BP954" t="s">
        <v>100</v>
      </c>
      <c r="BR954" t="s">
        <v>63</v>
      </c>
      <c r="BT954">
        <v>225.44</v>
      </c>
      <c r="BU954">
        <v>225.44484</v>
      </c>
      <c r="BV954">
        <v>2.61</v>
      </c>
      <c r="BW954">
        <f>BV954*SQRT(AK954)</f>
        <v>6.3931682286640941</v>
      </c>
      <c r="BX954">
        <v>212.87</v>
      </c>
      <c r="BY954">
        <v>212.87069990000001</v>
      </c>
      <c r="BZ954">
        <v>1.9</v>
      </c>
      <c r="CA954">
        <f>BZ954*SQRT(AL954)</f>
        <v>4.6540305112880374</v>
      </c>
      <c r="CB954">
        <v>105</v>
      </c>
      <c r="CC954">
        <v>2</v>
      </c>
      <c r="CD954">
        <v>-5.7000000000000002E-2</v>
      </c>
      <c r="CE954">
        <v>2.0000000000000001E-4</v>
      </c>
    </row>
    <row r="955" spans="4:83" hidden="1" x14ac:dyDescent="0.2">
      <c r="D955">
        <v>60</v>
      </c>
      <c r="G955" t="s">
        <v>43</v>
      </c>
      <c r="H955" t="s">
        <v>586</v>
      </c>
      <c r="J955">
        <v>2013</v>
      </c>
      <c r="M955" t="s">
        <v>332</v>
      </c>
      <c r="T955" t="s">
        <v>68</v>
      </c>
      <c r="U955" t="s">
        <v>167</v>
      </c>
      <c r="V955" t="s">
        <v>343</v>
      </c>
      <c r="Z955" t="s">
        <v>49</v>
      </c>
      <c r="AA955" t="s">
        <v>49</v>
      </c>
      <c r="AB955" t="s">
        <v>50</v>
      </c>
      <c r="AC955" t="s">
        <v>51</v>
      </c>
      <c r="AD955" t="s">
        <v>52</v>
      </c>
      <c r="AE955" t="s">
        <v>53</v>
      </c>
      <c r="AF955" t="s">
        <v>52</v>
      </c>
      <c r="AG955" t="s">
        <v>54</v>
      </c>
      <c r="AH955" t="s">
        <v>55</v>
      </c>
      <c r="AK955">
        <v>30</v>
      </c>
      <c r="AL955">
        <v>30</v>
      </c>
      <c r="AN955">
        <v>430</v>
      </c>
      <c r="AO955">
        <v>17</v>
      </c>
      <c r="AP955" t="s">
        <v>56</v>
      </c>
      <c r="AQ955" t="s">
        <v>57</v>
      </c>
      <c r="AR955">
        <v>8.14</v>
      </c>
      <c r="AS955">
        <v>0.01</v>
      </c>
      <c r="AT955" t="s">
        <v>56</v>
      </c>
      <c r="AU955">
        <v>744</v>
      </c>
      <c r="AV955">
        <v>31</v>
      </c>
      <c r="AW955" t="s">
        <v>56</v>
      </c>
      <c r="AX955">
        <v>7.95</v>
      </c>
      <c r="AY955">
        <v>0.01</v>
      </c>
      <c r="AZ955" t="s">
        <v>56</v>
      </c>
      <c r="BB955">
        <f>LOG(AU955)</f>
        <v>2.8715729355458786</v>
      </c>
      <c r="BC955">
        <v>22.4</v>
      </c>
      <c r="BD955">
        <v>0.1</v>
      </c>
      <c r="BE955" t="s">
        <v>56</v>
      </c>
      <c r="BF955">
        <v>22.2</v>
      </c>
      <c r="BG955">
        <v>0.1</v>
      </c>
      <c r="BH955" t="s">
        <v>56</v>
      </c>
      <c r="BI955">
        <v>315</v>
      </c>
      <c r="BJ955">
        <v>-0.2</v>
      </c>
      <c r="BK955" t="s">
        <v>56</v>
      </c>
      <c r="BL955" t="s">
        <v>88</v>
      </c>
      <c r="BM955" t="s">
        <v>83</v>
      </c>
      <c r="BN955" t="s">
        <v>81</v>
      </c>
      <c r="BO955" t="s">
        <v>82</v>
      </c>
      <c r="BP955" t="s">
        <v>83</v>
      </c>
      <c r="BR955" t="s">
        <v>84</v>
      </c>
      <c r="BT955">
        <v>11.75</v>
      </c>
      <c r="BU955">
        <v>88.245614000000003</v>
      </c>
      <c r="BV955">
        <v>5.88</v>
      </c>
      <c r="BW955">
        <f>BV955*SQRT(AK955)</f>
        <v>32.20608638130377</v>
      </c>
      <c r="BX955">
        <v>15.44</v>
      </c>
      <c r="BY955">
        <v>84.561403499999997</v>
      </c>
      <c r="BZ955">
        <v>6.49</v>
      </c>
      <c r="CA955">
        <f>BZ955*SQRT(AL955)</f>
        <v>35.547193982085282</v>
      </c>
      <c r="CB955">
        <v>105</v>
      </c>
      <c r="CC955">
        <v>2</v>
      </c>
      <c r="CD955">
        <v>-4.2999999999999997E-2</v>
      </c>
      <c r="CE955">
        <v>1.03E-2</v>
      </c>
    </row>
    <row r="956" spans="4:83" hidden="1" x14ac:dyDescent="0.2">
      <c r="D956">
        <v>60</v>
      </c>
      <c r="G956" t="s">
        <v>43</v>
      </c>
      <c r="H956" t="s">
        <v>586</v>
      </c>
      <c r="J956">
        <v>2013</v>
      </c>
      <c r="M956" t="s">
        <v>332</v>
      </c>
      <c r="T956" t="s">
        <v>68</v>
      </c>
      <c r="U956" t="s">
        <v>333</v>
      </c>
      <c r="V956" t="s">
        <v>334</v>
      </c>
      <c r="Z956" t="s">
        <v>49</v>
      </c>
      <c r="AA956" t="s">
        <v>49</v>
      </c>
      <c r="AB956" t="s">
        <v>50</v>
      </c>
      <c r="AC956" t="s">
        <v>51</v>
      </c>
      <c r="AD956" t="s">
        <v>52</v>
      </c>
      <c r="AE956" t="s">
        <v>53</v>
      </c>
      <c r="AF956" t="s">
        <v>52</v>
      </c>
      <c r="AG956" t="s">
        <v>52</v>
      </c>
      <c r="AH956" t="s">
        <v>64</v>
      </c>
      <c r="AK956">
        <v>10</v>
      </c>
      <c r="AL956">
        <v>10</v>
      </c>
      <c r="AN956">
        <v>430</v>
      </c>
      <c r="AO956">
        <v>17</v>
      </c>
      <c r="AP956" t="s">
        <v>56</v>
      </c>
      <c r="AQ956" t="s">
        <v>57</v>
      </c>
      <c r="AR956">
        <v>8.14</v>
      </c>
      <c r="AS956">
        <v>0.01</v>
      </c>
      <c r="AT956" t="s">
        <v>56</v>
      </c>
      <c r="AU956">
        <v>796</v>
      </c>
      <c r="AV956">
        <v>47</v>
      </c>
      <c r="AW956" t="s">
        <v>56</v>
      </c>
      <c r="AX956">
        <v>7.94</v>
      </c>
      <c r="AY956">
        <v>0.02</v>
      </c>
      <c r="AZ956" t="s">
        <v>56</v>
      </c>
      <c r="BB956">
        <f>LOG(AU956)</f>
        <v>2.9009130677376689</v>
      </c>
      <c r="BC956">
        <v>22.4</v>
      </c>
      <c r="BD956">
        <v>0.1</v>
      </c>
      <c r="BE956" t="s">
        <v>56</v>
      </c>
      <c r="BF956">
        <v>26.7</v>
      </c>
      <c r="BG956">
        <v>0.1</v>
      </c>
      <c r="BH956" t="s">
        <v>56</v>
      </c>
      <c r="BI956">
        <v>367</v>
      </c>
      <c r="BJ956">
        <v>4.3</v>
      </c>
      <c r="BK956" t="s">
        <v>56</v>
      </c>
      <c r="BL956" t="s">
        <v>587</v>
      </c>
      <c r="BM956" t="s">
        <v>588</v>
      </c>
      <c r="BN956" t="s">
        <v>81</v>
      </c>
      <c r="BO956" t="s">
        <v>589</v>
      </c>
      <c r="BP956" t="s">
        <v>100</v>
      </c>
      <c r="BR956" t="s">
        <v>63</v>
      </c>
      <c r="BT956">
        <v>333.58</v>
      </c>
      <c r="BU956">
        <v>333.58208999999999</v>
      </c>
      <c r="BV956">
        <v>3.41</v>
      </c>
      <c r="BW956">
        <f>BV956*SQRT(AK956)</f>
        <v>10.783366821174175</v>
      </c>
      <c r="BX956">
        <v>322.92</v>
      </c>
      <c r="BY956">
        <v>322.92110869999999</v>
      </c>
      <c r="BZ956">
        <v>2.56</v>
      </c>
      <c r="CA956">
        <f>BZ956*SQRT(AL956)</f>
        <v>8.0954308100310524</v>
      </c>
      <c r="CB956">
        <v>105</v>
      </c>
      <c r="CC956">
        <v>2</v>
      </c>
      <c r="CD956">
        <v>-3.2000000000000001E-2</v>
      </c>
      <c r="CE956">
        <v>2.0000000000000001E-4</v>
      </c>
    </row>
    <row r="957" spans="4:83" hidden="1" x14ac:dyDescent="0.2">
      <c r="D957">
        <v>60</v>
      </c>
      <c r="G957" t="s">
        <v>43</v>
      </c>
      <c r="H957" t="s">
        <v>586</v>
      </c>
      <c r="J957">
        <v>2013</v>
      </c>
      <c r="M957" t="s">
        <v>332</v>
      </c>
      <c r="T957" t="s">
        <v>68</v>
      </c>
      <c r="U957" t="s">
        <v>167</v>
      </c>
      <c r="V957" t="s">
        <v>343</v>
      </c>
      <c r="Z957" t="s">
        <v>49</v>
      </c>
      <c r="AA957" t="s">
        <v>49</v>
      </c>
      <c r="AB957" t="s">
        <v>50</v>
      </c>
      <c r="AC957" t="s">
        <v>51</v>
      </c>
      <c r="AD957" t="s">
        <v>52</v>
      </c>
      <c r="AE957" t="s">
        <v>53</v>
      </c>
      <c r="AF957" t="s">
        <v>52</v>
      </c>
      <c r="AG957" t="s">
        <v>54</v>
      </c>
      <c r="AH957" t="s">
        <v>55</v>
      </c>
      <c r="AK957">
        <v>6</v>
      </c>
      <c r="AL957">
        <v>6</v>
      </c>
      <c r="AN957">
        <v>430</v>
      </c>
      <c r="AO957">
        <v>17</v>
      </c>
      <c r="AP957" t="s">
        <v>56</v>
      </c>
      <c r="AQ957" t="s">
        <v>57</v>
      </c>
      <c r="AR957">
        <v>8.14</v>
      </c>
      <c r="AS957">
        <v>0.01</v>
      </c>
      <c r="AT957" t="s">
        <v>56</v>
      </c>
      <c r="AU957">
        <v>744</v>
      </c>
      <c r="AV957">
        <v>31</v>
      </c>
      <c r="AW957" t="s">
        <v>56</v>
      </c>
      <c r="AX957">
        <v>7.95</v>
      </c>
      <c r="AY957">
        <v>0.01</v>
      </c>
      <c r="AZ957" t="s">
        <v>56</v>
      </c>
      <c r="BB957">
        <f>LOG(AU957)</f>
        <v>2.8715729355458786</v>
      </c>
      <c r="BC957">
        <v>22.4</v>
      </c>
      <c r="BD957">
        <v>0.1</v>
      </c>
      <c r="BE957" t="s">
        <v>56</v>
      </c>
      <c r="BF957">
        <v>22.2</v>
      </c>
      <c r="BG957">
        <v>0.1</v>
      </c>
      <c r="BH957" t="s">
        <v>56</v>
      </c>
      <c r="BI957">
        <v>315</v>
      </c>
      <c r="BJ957">
        <v>-0.2</v>
      </c>
      <c r="BK957" t="s">
        <v>56</v>
      </c>
      <c r="BL957" t="s">
        <v>587</v>
      </c>
      <c r="BM957" t="s">
        <v>588</v>
      </c>
      <c r="BN957" t="s">
        <v>81</v>
      </c>
      <c r="BO957" t="s">
        <v>589</v>
      </c>
      <c r="BP957" t="s">
        <v>100</v>
      </c>
      <c r="BR957" t="s">
        <v>63</v>
      </c>
      <c r="BT957">
        <v>225.44</v>
      </c>
      <c r="BU957">
        <v>225.44484</v>
      </c>
      <c r="BV957">
        <v>2.61</v>
      </c>
      <c r="BW957">
        <f>BV957*SQRT(AK957)</f>
        <v>6.3931682286640941</v>
      </c>
      <c r="BX957">
        <v>219.51</v>
      </c>
      <c r="BY957">
        <v>219.51364179999999</v>
      </c>
      <c r="BZ957">
        <v>4.03</v>
      </c>
      <c r="CA957">
        <f>BZ957*SQRT(AL957)</f>
        <v>9.8714436634162066</v>
      </c>
      <c r="CB957">
        <v>105</v>
      </c>
      <c r="CC957">
        <v>2</v>
      </c>
      <c r="CD957">
        <v>-2.7E-2</v>
      </c>
      <c r="CE957">
        <v>5.0000000000000001E-4</v>
      </c>
    </row>
    <row r="958" spans="4:83" hidden="1" x14ac:dyDescent="0.2">
      <c r="D958">
        <v>60</v>
      </c>
      <c r="G958" t="s">
        <v>43</v>
      </c>
      <c r="H958" t="s">
        <v>586</v>
      </c>
      <c r="J958">
        <v>2013</v>
      </c>
      <c r="M958" t="s">
        <v>332</v>
      </c>
      <c r="T958" t="s">
        <v>68</v>
      </c>
      <c r="U958" t="s">
        <v>333</v>
      </c>
      <c r="V958" t="s">
        <v>334</v>
      </c>
      <c r="Z958" t="s">
        <v>49</v>
      </c>
      <c r="AA958" t="s">
        <v>49</v>
      </c>
      <c r="AB958" t="s">
        <v>50</v>
      </c>
      <c r="AC958" t="s">
        <v>51</v>
      </c>
      <c r="AD958" t="s">
        <v>52</v>
      </c>
      <c r="AE958" t="s">
        <v>53</v>
      </c>
      <c r="AF958" t="s">
        <v>54</v>
      </c>
      <c r="AG958" t="s">
        <v>52</v>
      </c>
      <c r="AH958" t="s">
        <v>65</v>
      </c>
      <c r="AK958">
        <v>10</v>
      </c>
      <c r="AL958">
        <v>10</v>
      </c>
      <c r="AN958">
        <v>430</v>
      </c>
      <c r="AO958">
        <v>17</v>
      </c>
      <c r="AP958" t="s">
        <v>56</v>
      </c>
      <c r="AQ958" t="s">
        <v>57</v>
      </c>
      <c r="AR958">
        <v>8.14</v>
      </c>
      <c r="AS958">
        <v>0.01</v>
      </c>
      <c r="AT958" t="s">
        <v>56</v>
      </c>
      <c r="AU958">
        <v>536</v>
      </c>
      <c r="AV958">
        <v>27</v>
      </c>
      <c r="AW958" t="s">
        <v>56</v>
      </c>
      <c r="AX958">
        <v>8.08</v>
      </c>
      <c r="AY958">
        <v>0.01</v>
      </c>
      <c r="AZ958" t="s">
        <v>56</v>
      </c>
      <c r="BB958">
        <f>LOG(AU958)</f>
        <v>2.7291647896927702</v>
      </c>
      <c r="BC958">
        <v>22.4</v>
      </c>
      <c r="BD958">
        <v>0.1</v>
      </c>
      <c r="BE958" t="s">
        <v>56</v>
      </c>
      <c r="BF958">
        <v>26.7</v>
      </c>
      <c r="BG958">
        <v>0.1</v>
      </c>
      <c r="BH958" t="s">
        <v>56</v>
      </c>
      <c r="BI958">
        <v>106</v>
      </c>
      <c r="BJ958">
        <v>4.3</v>
      </c>
      <c r="BK958" t="s">
        <v>56</v>
      </c>
      <c r="BL958" t="s">
        <v>587</v>
      </c>
      <c r="BM958" t="s">
        <v>588</v>
      </c>
      <c r="BN958" t="s">
        <v>81</v>
      </c>
      <c r="BO958" t="s">
        <v>589</v>
      </c>
      <c r="BP958" t="s">
        <v>100</v>
      </c>
      <c r="BR958" t="s">
        <v>63</v>
      </c>
      <c r="BT958">
        <v>333.58</v>
      </c>
      <c r="BU958">
        <v>333.58208999999999</v>
      </c>
      <c r="BV958">
        <v>3.41</v>
      </c>
      <c r="BW958">
        <f>BV958*SQRT(AK958)</f>
        <v>10.783366821174175</v>
      </c>
      <c r="BX958">
        <v>333.16</v>
      </c>
      <c r="BY958">
        <v>333.15565029999999</v>
      </c>
      <c r="BZ958">
        <v>4.4800000000000004</v>
      </c>
      <c r="CA958">
        <f>BZ958*SQRT(AL958)</f>
        <v>14.167003917554341</v>
      </c>
      <c r="CB958">
        <v>105</v>
      </c>
      <c r="CC958">
        <v>2</v>
      </c>
      <c r="CD958">
        <v>-1E-3</v>
      </c>
      <c r="CE958">
        <v>2.9999999999999997E-4</v>
      </c>
    </row>
    <row r="959" spans="4:83" hidden="1" x14ac:dyDescent="0.2">
      <c r="D959">
        <v>60</v>
      </c>
      <c r="G959" t="s">
        <v>43</v>
      </c>
      <c r="H959" t="s">
        <v>586</v>
      </c>
      <c r="J959">
        <v>2013</v>
      </c>
      <c r="M959" t="s">
        <v>332</v>
      </c>
      <c r="T959" t="s">
        <v>68</v>
      </c>
      <c r="U959" t="s">
        <v>333</v>
      </c>
      <c r="V959" t="s">
        <v>334</v>
      </c>
      <c r="Z959" t="s">
        <v>49</v>
      </c>
      <c r="AA959" t="s">
        <v>49</v>
      </c>
      <c r="AB959" t="s">
        <v>50</v>
      </c>
      <c r="AC959" t="s">
        <v>51</v>
      </c>
      <c r="AD959" t="s">
        <v>52</v>
      </c>
      <c r="AE959" t="s">
        <v>53</v>
      </c>
      <c r="AF959" t="s">
        <v>52</v>
      </c>
      <c r="AG959" t="s">
        <v>54</v>
      </c>
      <c r="AH959" t="s">
        <v>55</v>
      </c>
      <c r="AK959">
        <v>7</v>
      </c>
      <c r="AL959">
        <v>7</v>
      </c>
      <c r="AN959">
        <v>430</v>
      </c>
      <c r="AO959">
        <v>17</v>
      </c>
      <c r="AP959" t="s">
        <v>56</v>
      </c>
      <c r="AQ959" t="s">
        <v>57</v>
      </c>
      <c r="AR959">
        <v>8.14</v>
      </c>
      <c r="AS959">
        <v>0.01</v>
      </c>
      <c r="AT959" t="s">
        <v>56</v>
      </c>
      <c r="AU959">
        <v>744</v>
      </c>
      <c r="AV959">
        <v>31</v>
      </c>
      <c r="AW959" t="s">
        <v>56</v>
      </c>
      <c r="AX959">
        <v>7.95</v>
      </c>
      <c r="AY959">
        <v>0.01</v>
      </c>
      <c r="AZ959" t="s">
        <v>56</v>
      </c>
      <c r="BB959">
        <f>LOG(AU959)</f>
        <v>2.8715729355458786</v>
      </c>
      <c r="BC959">
        <v>22.4</v>
      </c>
      <c r="BD959">
        <v>0.1</v>
      </c>
      <c r="BE959" t="s">
        <v>56</v>
      </c>
      <c r="BF959">
        <v>22.2</v>
      </c>
      <c r="BG959">
        <v>0.1</v>
      </c>
      <c r="BH959" t="s">
        <v>56</v>
      </c>
      <c r="BI959">
        <v>315</v>
      </c>
      <c r="BJ959">
        <v>-0.2</v>
      </c>
      <c r="BK959" t="s">
        <v>56</v>
      </c>
      <c r="BL959" t="s">
        <v>590</v>
      </c>
      <c r="BM959" t="s">
        <v>354</v>
      </c>
      <c r="BN959" t="s">
        <v>60</v>
      </c>
      <c r="BO959" t="s">
        <v>591</v>
      </c>
      <c r="BP959" t="s">
        <v>194</v>
      </c>
      <c r="BR959" t="s">
        <v>63</v>
      </c>
      <c r="BT959">
        <v>91.91</v>
      </c>
      <c r="BU959">
        <v>91.91</v>
      </c>
      <c r="BV959">
        <v>10.61</v>
      </c>
      <c r="BW959">
        <f>BV959*SQRT(AK959)</f>
        <v>28.071421410395306</v>
      </c>
      <c r="BX959">
        <v>91.91</v>
      </c>
      <c r="BY959">
        <v>91.91</v>
      </c>
      <c r="BZ959">
        <v>7.08</v>
      </c>
      <c r="CA959">
        <f>BZ959*SQRT(AL959)</f>
        <v>18.731919282337302</v>
      </c>
      <c r="CB959">
        <v>105</v>
      </c>
      <c r="CC959">
        <v>2</v>
      </c>
      <c r="CD959">
        <v>0</v>
      </c>
      <c r="CE959">
        <v>1.9300000000000001E-2</v>
      </c>
    </row>
    <row r="960" spans="4:83" hidden="1" x14ac:dyDescent="0.2">
      <c r="D960">
        <v>60</v>
      </c>
      <c r="G960" t="s">
        <v>43</v>
      </c>
      <c r="H960" t="s">
        <v>586</v>
      </c>
      <c r="J960">
        <v>2013</v>
      </c>
      <c r="M960" t="s">
        <v>332</v>
      </c>
      <c r="T960" t="s">
        <v>68</v>
      </c>
      <c r="U960" t="s">
        <v>333</v>
      </c>
      <c r="V960" t="s">
        <v>334</v>
      </c>
      <c r="Z960" t="s">
        <v>49</v>
      </c>
      <c r="AA960" t="s">
        <v>49</v>
      </c>
      <c r="AB960" t="s">
        <v>50</v>
      </c>
      <c r="AC960" t="s">
        <v>51</v>
      </c>
      <c r="AD960" t="s">
        <v>52</v>
      </c>
      <c r="AE960" t="s">
        <v>53</v>
      </c>
      <c r="AF960" t="s">
        <v>52</v>
      </c>
      <c r="AG960" t="s">
        <v>54</v>
      </c>
      <c r="AH960" t="s">
        <v>55</v>
      </c>
      <c r="AK960">
        <v>10</v>
      </c>
      <c r="AL960">
        <v>10</v>
      </c>
      <c r="AN960">
        <v>430</v>
      </c>
      <c r="AO960">
        <v>17</v>
      </c>
      <c r="AP960" t="s">
        <v>56</v>
      </c>
      <c r="AQ960" t="s">
        <v>57</v>
      </c>
      <c r="AR960">
        <v>8.14</v>
      </c>
      <c r="AS960">
        <v>0.01</v>
      </c>
      <c r="AT960" t="s">
        <v>56</v>
      </c>
      <c r="AU960">
        <v>744</v>
      </c>
      <c r="AV960">
        <v>31</v>
      </c>
      <c r="AW960" t="s">
        <v>56</v>
      </c>
      <c r="AX960">
        <v>7.95</v>
      </c>
      <c r="AY960">
        <v>0.01</v>
      </c>
      <c r="AZ960" t="s">
        <v>56</v>
      </c>
      <c r="BB960">
        <f>LOG(AU960)</f>
        <v>2.8715729355458786</v>
      </c>
      <c r="BC960">
        <v>22.4</v>
      </c>
      <c r="BD960">
        <v>0.1</v>
      </c>
      <c r="BE960" t="s">
        <v>56</v>
      </c>
      <c r="BF960">
        <v>22.2</v>
      </c>
      <c r="BG960">
        <v>0.1</v>
      </c>
      <c r="BH960" t="s">
        <v>56</v>
      </c>
      <c r="BI960">
        <v>315</v>
      </c>
      <c r="BJ960">
        <v>-0.2</v>
      </c>
      <c r="BK960" t="s">
        <v>56</v>
      </c>
      <c r="BL960" t="s">
        <v>587</v>
      </c>
      <c r="BM960" t="s">
        <v>588</v>
      </c>
      <c r="BN960" t="s">
        <v>81</v>
      </c>
      <c r="BO960" t="s">
        <v>589</v>
      </c>
      <c r="BP960" t="s">
        <v>100</v>
      </c>
      <c r="BR960" t="s">
        <v>63</v>
      </c>
      <c r="BT960">
        <v>333.58</v>
      </c>
      <c r="BU960">
        <v>333.58208999999999</v>
      </c>
      <c r="BV960">
        <v>3.41</v>
      </c>
      <c r="BW960">
        <f>BV960*SQRT(AK960)</f>
        <v>10.783366821174175</v>
      </c>
      <c r="BX960">
        <v>334.22</v>
      </c>
      <c r="BY960">
        <v>334.22174840000002</v>
      </c>
      <c r="BZ960">
        <v>3.41</v>
      </c>
      <c r="CA960">
        <f>BZ960*SQRT(AL960)</f>
        <v>10.783366821174175</v>
      </c>
      <c r="CB960">
        <v>105</v>
      </c>
      <c r="CC960">
        <v>2</v>
      </c>
      <c r="CD960">
        <v>2E-3</v>
      </c>
      <c r="CE960">
        <v>2.0000000000000001E-4</v>
      </c>
    </row>
    <row r="961" spans="1:84" hidden="1" x14ac:dyDescent="0.2">
      <c r="D961">
        <v>60</v>
      </c>
      <c r="G961" t="s">
        <v>43</v>
      </c>
      <c r="H961" t="s">
        <v>586</v>
      </c>
      <c r="J961">
        <v>2013</v>
      </c>
      <c r="M961" t="s">
        <v>332</v>
      </c>
      <c r="T961" t="s">
        <v>68</v>
      </c>
      <c r="U961" t="s">
        <v>333</v>
      </c>
      <c r="V961" t="s">
        <v>334</v>
      </c>
      <c r="Z961" t="s">
        <v>49</v>
      </c>
      <c r="AA961" t="s">
        <v>49</v>
      </c>
      <c r="AB961" t="s">
        <v>50</v>
      </c>
      <c r="AC961" t="s">
        <v>51</v>
      </c>
      <c r="AD961" t="s">
        <v>52</v>
      </c>
      <c r="AE961" t="s">
        <v>53</v>
      </c>
      <c r="AF961" t="s">
        <v>52</v>
      </c>
      <c r="AG961" t="s">
        <v>52</v>
      </c>
      <c r="AH961" t="s">
        <v>64</v>
      </c>
      <c r="AK961">
        <v>7</v>
      </c>
      <c r="AL961">
        <v>7</v>
      </c>
      <c r="AN961">
        <v>430</v>
      </c>
      <c r="AO961">
        <v>17</v>
      </c>
      <c r="AP961" t="s">
        <v>56</v>
      </c>
      <c r="AQ961" t="s">
        <v>57</v>
      </c>
      <c r="AR961">
        <v>8.14</v>
      </c>
      <c r="AS961">
        <v>0.01</v>
      </c>
      <c r="AT961" t="s">
        <v>56</v>
      </c>
      <c r="AU961">
        <v>796</v>
      </c>
      <c r="AV961">
        <v>47</v>
      </c>
      <c r="AW961" t="s">
        <v>56</v>
      </c>
      <c r="AX961">
        <v>7.94</v>
      </c>
      <c r="AY961">
        <v>0.02</v>
      </c>
      <c r="AZ961" t="s">
        <v>56</v>
      </c>
      <c r="BB961">
        <f>LOG(AU961)</f>
        <v>2.9009130677376689</v>
      </c>
      <c r="BC961">
        <v>22.4</v>
      </c>
      <c r="BD961">
        <v>0.1</v>
      </c>
      <c r="BE961" t="s">
        <v>56</v>
      </c>
      <c r="BF961">
        <v>26.7</v>
      </c>
      <c r="BG961">
        <v>0.1</v>
      </c>
      <c r="BH961" t="s">
        <v>56</v>
      </c>
      <c r="BI961">
        <v>367</v>
      </c>
      <c r="BJ961">
        <v>4.3</v>
      </c>
      <c r="BK961" t="s">
        <v>56</v>
      </c>
      <c r="BL961" t="s">
        <v>592</v>
      </c>
      <c r="BM961" t="s">
        <v>592</v>
      </c>
      <c r="BN961" t="s">
        <v>81</v>
      </c>
      <c r="BO961" t="s">
        <v>56</v>
      </c>
      <c r="BP961" t="s">
        <v>194</v>
      </c>
      <c r="BR961" t="s">
        <v>63</v>
      </c>
      <c r="BT961">
        <v>0.51</v>
      </c>
      <c r="BU961">
        <v>0.51</v>
      </c>
      <c r="BV961">
        <v>0.05</v>
      </c>
      <c r="BW961">
        <f>BV961*SQRT(AK961)</f>
        <v>0.13228756555322954</v>
      </c>
      <c r="BX961">
        <v>0.51</v>
      </c>
      <c r="BY961">
        <v>0.51200000000000001</v>
      </c>
      <c r="BZ961">
        <v>0.03</v>
      </c>
      <c r="CA961">
        <f>BZ961*SQRT(AL961)</f>
        <v>7.9372539331937719E-2</v>
      </c>
      <c r="CB961">
        <v>105</v>
      </c>
      <c r="CC961">
        <v>2</v>
      </c>
      <c r="CD961">
        <v>4.0000000000000001E-3</v>
      </c>
      <c r="CE961">
        <v>1.38E-2</v>
      </c>
    </row>
    <row r="962" spans="1:84" hidden="1" x14ac:dyDescent="0.2">
      <c r="D962">
        <v>60</v>
      </c>
      <c r="G962" t="s">
        <v>43</v>
      </c>
      <c r="H962" t="s">
        <v>586</v>
      </c>
      <c r="J962">
        <v>2013</v>
      </c>
      <c r="M962" t="s">
        <v>332</v>
      </c>
      <c r="T962" t="s">
        <v>68</v>
      </c>
      <c r="U962" t="s">
        <v>333</v>
      </c>
      <c r="V962" t="s">
        <v>334</v>
      </c>
      <c r="Z962" t="s">
        <v>49</v>
      </c>
      <c r="AA962" t="s">
        <v>49</v>
      </c>
      <c r="AB962" t="s">
        <v>50</v>
      </c>
      <c r="AC962" t="s">
        <v>51</v>
      </c>
      <c r="AD962" t="s">
        <v>52</v>
      </c>
      <c r="AE962" t="s">
        <v>53</v>
      </c>
      <c r="AF962" t="s">
        <v>52</v>
      </c>
      <c r="AG962" t="s">
        <v>54</v>
      </c>
      <c r="AH962" t="s">
        <v>55</v>
      </c>
      <c r="AK962">
        <v>30</v>
      </c>
      <c r="AL962">
        <v>30</v>
      </c>
      <c r="AN962">
        <v>430</v>
      </c>
      <c r="AO962">
        <v>17</v>
      </c>
      <c r="AP962" t="s">
        <v>56</v>
      </c>
      <c r="AQ962" t="s">
        <v>57</v>
      </c>
      <c r="AR962">
        <v>8.14</v>
      </c>
      <c r="AS962">
        <v>0.01</v>
      </c>
      <c r="AT962" t="s">
        <v>56</v>
      </c>
      <c r="AU962">
        <v>744</v>
      </c>
      <c r="AV962">
        <v>31</v>
      </c>
      <c r="AW962" t="s">
        <v>56</v>
      </c>
      <c r="AX962">
        <v>7.95</v>
      </c>
      <c r="AY962">
        <v>0.01</v>
      </c>
      <c r="AZ962" t="s">
        <v>56</v>
      </c>
      <c r="BB962">
        <f>LOG(AU962)</f>
        <v>2.8715729355458786</v>
      </c>
      <c r="BC962">
        <v>22.4</v>
      </c>
      <c r="BD962">
        <v>0.1</v>
      </c>
      <c r="BE962" t="s">
        <v>56</v>
      </c>
      <c r="BF962">
        <v>22.2</v>
      </c>
      <c r="BG962">
        <v>0.1</v>
      </c>
      <c r="BH962" t="s">
        <v>56</v>
      </c>
      <c r="BI962">
        <v>315</v>
      </c>
      <c r="BJ962">
        <v>-0.2</v>
      </c>
      <c r="BK962" t="s">
        <v>56</v>
      </c>
      <c r="BL962" t="s">
        <v>88</v>
      </c>
      <c r="BM962" t="s">
        <v>83</v>
      </c>
      <c r="BN962" t="s">
        <v>81</v>
      </c>
      <c r="BO962" t="s">
        <v>82</v>
      </c>
      <c r="BP962" t="s">
        <v>83</v>
      </c>
      <c r="BR962" t="s">
        <v>84</v>
      </c>
      <c r="BT962">
        <v>3.17</v>
      </c>
      <c r="BU962">
        <v>96.825053999999994</v>
      </c>
      <c r="BV962">
        <v>3.48</v>
      </c>
      <c r="BW962">
        <f>BV962*SQRT(AK962)</f>
        <v>19.060745001179782</v>
      </c>
      <c r="BX962">
        <v>0</v>
      </c>
      <c r="BY962">
        <v>100</v>
      </c>
      <c r="BZ962">
        <v>0.3</v>
      </c>
      <c r="CA962">
        <f>BZ962*SQRT(AL962)</f>
        <v>1.6431676725154982</v>
      </c>
      <c r="CB962">
        <v>105</v>
      </c>
      <c r="CC962">
        <v>2</v>
      </c>
      <c r="CD962">
        <v>3.2000000000000001E-2</v>
      </c>
      <c r="CE962">
        <v>1.2999999999999999E-3</v>
      </c>
    </row>
    <row r="963" spans="1:84" hidden="1" x14ac:dyDescent="0.2">
      <c r="D963">
        <v>60</v>
      </c>
      <c r="G963" t="s">
        <v>43</v>
      </c>
      <c r="H963" t="s">
        <v>586</v>
      </c>
      <c r="J963">
        <v>2013</v>
      </c>
      <c r="M963" t="s">
        <v>332</v>
      </c>
      <c r="T963" t="s">
        <v>68</v>
      </c>
      <c r="U963" t="s">
        <v>333</v>
      </c>
      <c r="V963" t="s">
        <v>334</v>
      </c>
      <c r="Z963" t="s">
        <v>49</v>
      </c>
      <c r="AA963" t="s">
        <v>49</v>
      </c>
      <c r="AB963" t="s">
        <v>50</v>
      </c>
      <c r="AC963" t="s">
        <v>51</v>
      </c>
      <c r="AD963" t="s">
        <v>52</v>
      </c>
      <c r="AE963" t="s">
        <v>53</v>
      </c>
      <c r="AF963" t="s">
        <v>52</v>
      </c>
      <c r="AG963" t="s">
        <v>54</v>
      </c>
      <c r="AH963" t="s">
        <v>55</v>
      </c>
      <c r="AK963">
        <v>7</v>
      </c>
      <c r="AL963">
        <v>7</v>
      </c>
      <c r="AN963">
        <v>430</v>
      </c>
      <c r="AO963">
        <v>17</v>
      </c>
      <c r="AP963" t="s">
        <v>56</v>
      </c>
      <c r="AQ963" t="s">
        <v>57</v>
      </c>
      <c r="AR963">
        <v>8.14</v>
      </c>
      <c r="AS963">
        <v>0.01</v>
      </c>
      <c r="AT963" t="s">
        <v>56</v>
      </c>
      <c r="AU963">
        <v>744</v>
      </c>
      <c r="AV963">
        <v>31</v>
      </c>
      <c r="AW963" t="s">
        <v>56</v>
      </c>
      <c r="AX963">
        <v>7.95</v>
      </c>
      <c r="AY963">
        <v>0.01</v>
      </c>
      <c r="AZ963" t="s">
        <v>56</v>
      </c>
      <c r="BB963">
        <f>LOG(AU963)</f>
        <v>2.8715729355458786</v>
      </c>
      <c r="BC963">
        <v>22.4</v>
      </c>
      <c r="BD963">
        <v>0.1</v>
      </c>
      <c r="BE963" t="s">
        <v>56</v>
      </c>
      <c r="BF963">
        <v>22.2</v>
      </c>
      <c r="BG963">
        <v>0.1</v>
      </c>
      <c r="BH963" t="s">
        <v>56</v>
      </c>
      <c r="BI963">
        <v>315</v>
      </c>
      <c r="BJ963">
        <v>-0.2</v>
      </c>
      <c r="BK963" t="s">
        <v>56</v>
      </c>
      <c r="BL963" t="s">
        <v>592</v>
      </c>
      <c r="BM963" t="s">
        <v>592</v>
      </c>
      <c r="BN963" t="s">
        <v>81</v>
      </c>
      <c r="BO963" t="s">
        <v>56</v>
      </c>
      <c r="BP963" t="s">
        <v>194</v>
      </c>
      <c r="BR963" t="s">
        <v>63</v>
      </c>
      <c r="BT963">
        <v>0.51</v>
      </c>
      <c r="BU963">
        <v>0.51</v>
      </c>
      <c r="BV963">
        <v>0.05</v>
      </c>
      <c r="BW963">
        <f>BV963*SQRT(AK963)</f>
        <v>0.13228756555322954</v>
      </c>
      <c r="BX963">
        <v>0.55000000000000004</v>
      </c>
      <c r="BY963">
        <v>0.54700000000000004</v>
      </c>
      <c r="BZ963">
        <v>7.0000000000000007E-2</v>
      </c>
      <c r="CA963">
        <f>BZ963*SQRT(AL963)</f>
        <v>0.18520259177452136</v>
      </c>
      <c r="CB963">
        <v>105</v>
      </c>
      <c r="CC963">
        <v>2</v>
      </c>
      <c r="CD963">
        <v>7.0000000000000007E-2</v>
      </c>
      <c r="CE963">
        <v>2.6700000000000002E-2</v>
      </c>
    </row>
    <row r="964" spans="1:84" hidden="1" x14ac:dyDescent="0.2">
      <c r="D964">
        <v>60</v>
      </c>
      <c r="G964" t="s">
        <v>43</v>
      </c>
      <c r="H964" t="s">
        <v>586</v>
      </c>
      <c r="J964">
        <v>2013</v>
      </c>
      <c r="M964" t="s">
        <v>332</v>
      </c>
      <c r="T964" t="s">
        <v>68</v>
      </c>
      <c r="U964" t="s">
        <v>333</v>
      </c>
      <c r="V964" t="s">
        <v>334</v>
      </c>
      <c r="Z964" t="s">
        <v>49</v>
      </c>
      <c r="AA964" t="s">
        <v>49</v>
      </c>
      <c r="AB964" t="s">
        <v>50</v>
      </c>
      <c r="AC964" t="s">
        <v>51</v>
      </c>
      <c r="AD964" t="s">
        <v>52</v>
      </c>
      <c r="AE964" t="s">
        <v>53</v>
      </c>
      <c r="AF964" t="s">
        <v>52</v>
      </c>
      <c r="AG964" t="s">
        <v>52</v>
      </c>
      <c r="AH964" t="s">
        <v>64</v>
      </c>
      <c r="AK964">
        <v>7</v>
      </c>
      <c r="AL964">
        <v>7</v>
      </c>
      <c r="AN964">
        <v>430</v>
      </c>
      <c r="AO964">
        <v>17</v>
      </c>
      <c r="AP964" t="s">
        <v>56</v>
      </c>
      <c r="AQ964" t="s">
        <v>57</v>
      </c>
      <c r="AR964">
        <v>8.14</v>
      </c>
      <c r="AS964">
        <v>0.01</v>
      </c>
      <c r="AT964" t="s">
        <v>56</v>
      </c>
      <c r="AU964">
        <v>796</v>
      </c>
      <c r="AV964">
        <v>47</v>
      </c>
      <c r="AW964" t="s">
        <v>56</v>
      </c>
      <c r="AX964">
        <v>7.94</v>
      </c>
      <c r="AY964">
        <v>0.02</v>
      </c>
      <c r="AZ964" t="s">
        <v>56</v>
      </c>
      <c r="BB964">
        <f>LOG(AU964)</f>
        <v>2.9009130677376689</v>
      </c>
      <c r="BC964">
        <v>22.4</v>
      </c>
      <c r="BD964">
        <v>0.1</v>
      </c>
      <c r="BE964" t="s">
        <v>56</v>
      </c>
      <c r="BF964">
        <v>26.7</v>
      </c>
      <c r="BG964">
        <v>0.1</v>
      </c>
      <c r="BH964" t="s">
        <v>56</v>
      </c>
      <c r="BI964">
        <v>367</v>
      </c>
      <c r="BJ964">
        <v>4.3</v>
      </c>
      <c r="BK964" t="s">
        <v>56</v>
      </c>
      <c r="BL964" t="s">
        <v>590</v>
      </c>
      <c r="BM964" t="s">
        <v>354</v>
      </c>
      <c r="BN964" t="s">
        <v>60</v>
      </c>
      <c r="BO964" t="s">
        <v>591</v>
      </c>
      <c r="BP964" t="s">
        <v>194</v>
      </c>
      <c r="BR964" t="s">
        <v>63</v>
      </c>
      <c r="BT964">
        <v>91.91</v>
      </c>
      <c r="BU964">
        <v>91.91</v>
      </c>
      <c r="BV964">
        <v>10.61</v>
      </c>
      <c r="BW964">
        <f>BV964*SQRT(AK964)</f>
        <v>28.071421410395306</v>
      </c>
      <c r="BX964">
        <v>98.98</v>
      </c>
      <c r="BY964">
        <v>98.98</v>
      </c>
      <c r="BZ964">
        <v>7.08</v>
      </c>
      <c r="CA964">
        <f>BZ964*SQRT(AL964)</f>
        <v>18.731919282337302</v>
      </c>
      <c r="CB964">
        <v>105</v>
      </c>
      <c r="CC964">
        <v>2</v>
      </c>
      <c r="CD964">
        <v>7.3999999999999996E-2</v>
      </c>
      <c r="CE964">
        <v>1.84E-2</v>
      </c>
    </row>
    <row r="965" spans="1:84" hidden="1" x14ac:dyDescent="0.2">
      <c r="D965">
        <v>60</v>
      </c>
      <c r="G965" t="s">
        <v>43</v>
      </c>
      <c r="H965" t="s">
        <v>586</v>
      </c>
      <c r="J965">
        <v>2013</v>
      </c>
      <c r="M965" t="s">
        <v>332</v>
      </c>
      <c r="T965" t="s">
        <v>68</v>
      </c>
      <c r="U965" t="s">
        <v>333</v>
      </c>
      <c r="V965" t="s">
        <v>334</v>
      </c>
      <c r="Z965" t="s">
        <v>49</v>
      </c>
      <c r="AA965" t="s">
        <v>49</v>
      </c>
      <c r="AB965" t="s">
        <v>50</v>
      </c>
      <c r="AC965" t="s">
        <v>51</v>
      </c>
      <c r="AD965" t="s">
        <v>52</v>
      </c>
      <c r="AE965" t="s">
        <v>53</v>
      </c>
      <c r="AF965" t="s">
        <v>52</v>
      </c>
      <c r="AG965" t="s">
        <v>54</v>
      </c>
      <c r="AH965" t="s">
        <v>55</v>
      </c>
      <c r="AK965">
        <v>7</v>
      </c>
      <c r="AL965">
        <v>7</v>
      </c>
      <c r="AN965">
        <v>430</v>
      </c>
      <c r="AO965">
        <v>17</v>
      </c>
      <c r="AP965" t="s">
        <v>56</v>
      </c>
      <c r="AQ965" t="s">
        <v>57</v>
      </c>
      <c r="AR965">
        <v>8.14</v>
      </c>
      <c r="AS965">
        <v>0.01</v>
      </c>
      <c r="AT965" t="s">
        <v>56</v>
      </c>
      <c r="AU965">
        <v>744</v>
      </c>
      <c r="AV965">
        <v>31</v>
      </c>
      <c r="AW965" t="s">
        <v>56</v>
      </c>
      <c r="AX965">
        <v>7.95</v>
      </c>
      <c r="AY965">
        <v>0.01</v>
      </c>
      <c r="AZ965" t="s">
        <v>56</v>
      </c>
      <c r="BB965">
        <f>LOG(AU965)</f>
        <v>2.8715729355458786</v>
      </c>
      <c r="BC965">
        <v>22.4</v>
      </c>
      <c r="BD965">
        <v>0.1</v>
      </c>
      <c r="BE965" t="s">
        <v>56</v>
      </c>
      <c r="BF965">
        <v>22.2</v>
      </c>
      <c r="BG965">
        <v>0.1</v>
      </c>
      <c r="BH965" t="s">
        <v>56</v>
      </c>
      <c r="BI965">
        <v>315</v>
      </c>
      <c r="BJ965">
        <v>-0.2</v>
      </c>
      <c r="BK965" t="s">
        <v>56</v>
      </c>
      <c r="BL965" t="s">
        <v>593</v>
      </c>
      <c r="BM965" t="s">
        <v>218</v>
      </c>
      <c r="BN965" t="s">
        <v>60</v>
      </c>
      <c r="BO965" t="s">
        <v>594</v>
      </c>
      <c r="BP965" t="s">
        <v>194</v>
      </c>
      <c r="BR965" t="s">
        <v>63</v>
      </c>
      <c r="BT965">
        <v>13.92</v>
      </c>
      <c r="BU965">
        <v>13.92</v>
      </c>
      <c r="BV965">
        <v>2.5</v>
      </c>
      <c r="BW965">
        <f>BV965*SQRT(AK965)</f>
        <v>6.6143782776614763</v>
      </c>
      <c r="BX965">
        <v>15</v>
      </c>
      <c r="BY965">
        <v>15</v>
      </c>
      <c r="BZ965">
        <v>1.42</v>
      </c>
      <c r="CA965">
        <f>BZ965*SQRT(AL965)</f>
        <v>3.7569668617117187</v>
      </c>
      <c r="CB965">
        <v>105</v>
      </c>
      <c r="CC965">
        <v>2</v>
      </c>
      <c r="CD965">
        <v>7.4999999999999997E-2</v>
      </c>
      <c r="CE965">
        <v>4.1200000000000001E-2</v>
      </c>
    </row>
    <row r="966" spans="1:84" hidden="1" x14ac:dyDescent="0.2">
      <c r="D966">
        <v>60</v>
      </c>
      <c r="G966" t="s">
        <v>43</v>
      </c>
      <c r="H966" t="s">
        <v>586</v>
      </c>
      <c r="J966">
        <v>2013</v>
      </c>
      <c r="M966" t="s">
        <v>332</v>
      </c>
      <c r="T966" t="s">
        <v>68</v>
      </c>
      <c r="U966" t="s">
        <v>167</v>
      </c>
      <c r="V966" t="s">
        <v>343</v>
      </c>
      <c r="Z966" t="s">
        <v>49</v>
      </c>
      <c r="AA966" t="s">
        <v>49</v>
      </c>
      <c r="AB966" t="s">
        <v>50</v>
      </c>
      <c r="AC966" t="s">
        <v>51</v>
      </c>
      <c r="AD966" t="s">
        <v>52</v>
      </c>
      <c r="AE966" t="s">
        <v>53</v>
      </c>
      <c r="AF966" t="s">
        <v>54</v>
      </c>
      <c r="AG966" t="s">
        <v>52</v>
      </c>
      <c r="AH966" t="s">
        <v>65</v>
      </c>
      <c r="AK966">
        <v>7</v>
      </c>
      <c r="AL966">
        <v>7</v>
      </c>
      <c r="AN966">
        <v>430</v>
      </c>
      <c r="AO966">
        <v>17</v>
      </c>
      <c r="AP966" t="s">
        <v>56</v>
      </c>
      <c r="AQ966" t="s">
        <v>57</v>
      </c>
      <c r="AR966">
        <v>8.14</v>
      </c>
      <c r="AS966">
        <v>0.01</v>
      </c>
      <c r="AT966" t="s">
        <v>56</v>
      </c>
      <c r="AU966">
        <v>536</v>
      </c>
      <c r="AV966">
        <v>27</v>
      </c>
      <c r="AW966" t="s">
        <v>56</v>
      </c>
      <c r="AX966">
        <v>8.08</v>
      </c>
      <c r="AY966">
        <v>0.01</v>
      </c>
      <c r="AZ966" t="s">
        <v>56</v>
      </c>
      <c r="BB966">
        <f>LOG(AU966)</f>
        <v>2.7291647896927702</v>
      </c>
      <c r="BC966">
        <v>22.4</v>
      </c>
      <c r="BD966">
        <v>0.1</v>
      </c>
      <c r="BE966" t="s">
        <v>56</v>
      </c>
      <c r="BF966">
        <v>26.7</v>
      </c>
      <c r="BG966">
        <v>0.1</v>
      </c>
      <c r="BH966" t="s">
        <v>56</v>
      </c>
      <c r="BI966">
        <v>106</v>
      </c>
      <c r="BJ966">
        <v>4.3</v>
      </c>
      <c r="BK966" t="s">
        <v>56</v>
      </c>
      <c r="BL966" t="s">
        <v>592</v>
      </c>
      <c r="BM966" t="s">
        <v>592</v>
      </c>
      <c r="BN966" t="s">
        <v>81</v>
      </c>
      <c r="BO966" t="s">
        <v>56</v>
      </c>
      <c r="BP966" t="s">
        <v>194</v>
      </c>
      <c r="BR966" t="s">
        <v>63</v>
      </c>
      <c r="BT966">
        <v>0.5</v>
      </c>
      <c r="BU966">
        <v>0.5</v>
      </c>
      <c r="BV966">
        <v>0.03</v>
      </c>
      <c r="BW966">
        <f>BV966*SQRT(AK966)</f>
        <v>7.9372539331937719E-2</v>
      </c>
      <c r="BX966">
        <v>0.54</v>
      </c>
      <c r="BY966">
        <v>0.54</v>
      </c>
      <c r="BZ966">
        <v>0.01</v>
      </c>
      <c r="CA966">
        <f>BZ966*SQRT(AL966)</f>
        <v>2.6457513110645908E-2</v>
      </c>
      <c r="CB966">
        <v>56</v>
      </c>
      <c r="CC966">
        <v>2</v>
      </c>
      <c r="CD966">
        <v>7.6999999999999999E-2</v>
      </c>
      <c r="CE966">
        <v>3.8999999999999998E-3</v>
      </c>
    </row>
    <row r="967" spans="1:84" hidden="1" x14ac:dyDescent="0.2">
      <c r="D967">
        <v>60</v>
      </c>
      <c r="G967" t="s">
        <v>43</v>
      </c>
      <c r="H967" t="s">
        <v>586</v>
      </c>
      <c r="J967">
        <v>2013</v>
      </c>
      <c r="M967" t="s">
        <v>332</v>
      </c>
      <c r="T967" t="s">
        <v>68</v>
      </c>
      <c r="U967" t="s">
        <v>167</v>
      </c>
      <c r="V967" t="s">
        <v>343</v>
      </c>
      <c r="Z967" t="s">
        <v>49</v>
      </c>
      <c r="AA967" t="s">
        <v>49</v>
      </c>
      <c r="AB967" t="s">
        <v>50</v>
      </c>
      <c r="AC967" t="s">
        <v>51</v>
      </c>
      <c r="AD967" t="s">
        <v>52</v>
      </c>
      <c r="AE967" t="s">
        <v>53</v>
      </c>
      <c r="AF967" t="s">
        <v>52</v>
      </c>
      <c r="AG967" t="s">
        <v>54</v>
      </c>
      <c r="AH967" t="s">
        <v>55</v>
      </c>
      <c r="AK967">
        <v>7</v>
      </c>
      <c r="AL967">
        <v>7</v>
      </c>
      <c r="AN967">
        <v>430</v>
      </c>
      <c r="AO967">
        <v>17</v>
      </c>
      <c r="AP967" t="s">
        <v>56</v>
      </c>
      <c r="AQ967" t="s">
        <v>57</v>
      </c>
      <c r="AR967">
        <v>8.14</v>
      </c>
      <c r="AS967">
        <v>0.01</v>
      </c>
      <c r="AT967" t="s">
        <v>56</v>
      </c>
      <c r="AU967">
        <v>744</v>
      </c>
      <c r="AV967">
        <v>31</v>
      </c>
      <c r="AW967" t="s">
        <v>56</v>
      </c>
      <c r="AX967">
        <v>7.95</v>
      </c>
      <c r="AY967">
        <v>0.01</v>
      </c>
      <c r="AZ967" t="s">
        <v>56</v>
      </c>
      <c r="BB967">
        <f>LOG(AU967)</f>
        <v>2.8715729355458786</v>
      </c>
      <c r="BC967">
        <v>22.4</v>
      </c>
      <c r="BD967">
        <v>0.1</v>
      </c>
      <c r="BE967" t="s">
        <v>56</v>
      </c>
      <c r="BF967">
        <v>22.2</v>
      </c>
      <c r="BG967">
        <v>0.1</v>
      </c>
      <c r="BH967" t="s">
        <v>56</v>
      </c>
      <c r="BI967">
        <v>315</v>
      </c>
      <c r="BJ967">
        <v>-0.2</v>
      </c>
      <c r="BK967" t="s">
        <v>56</v>
      </c>
      <c r="BL967" t="s">
        <v>593</v>
      </c>
      <c r="BM967" t="s">
        <v>218</v>
      </c>
      <c r="BN967" t="s">
        <v>60</v>
      </c>
      <c r="BO967" t="s">
        <v>594</v>
      </c>
      <c r="BP967" t="s">
        <v>194</v>
      </c>
      <c r="BR967" t="s">
        <v>63</v>
      </c>
      <c r="BT967">
        <v>8.2100000000000009</v>
      </c>
      <c r="BU967">
        <v>8.2100000000000009</v>
      </c>
      <c r="BV967">
        <v>0.36</v>
      </c>
      <c r="BW967">
        <f>BV967*SQRT(AK967)</f>
        <v>0.95247047198325263</v>
      </c>
      <c r="BX967">
        <v>8.92</v>
      </c>
      <c r="BY967">
        <v>8.92</v>
      </c>
      <c r="BZ967">
        <v>0.7</v>
      </c>
      <c r="CA967">
        <f>BZ967*SQRT(AL967)</f>
        <v>1.8520259177452134</v>
      </c>
      <c r="CB967">
        <v>56</v>
      </c>
      <c r="CC967">
        <v>2</v>
      </c>
      <c r="CD967">
        <v>8.3000000000000004E-2</v>
      </c>
      <c r="CE967">
        <v>8.0999999999999996E-3</v>
      </c>
    </row>
    <row r="968" spans="1:84" hidden="1" x14ac:dyDescent="0.2">
      <c r="D968">
        <v>60</v>
      </c>
      <c r="G968" t="s">
        <v>43</v>
      </c>
      <c r="H968" t="s">
        <v>586</v>
      </c>
      <c r="J968">
        <v>2013</v>
      </c>
      <c r="M968" t="s">
        <v>332</v>
      </c>
      <c r="T968" t="s">
        <v>68</v>
      </c>
      <c r="U968" t="s">
        <v>333</v>
      </c>
      <c r="V968" t="s">
        <v>334</v>
      </c>
      <c r="Z968" t="s">
        <v>49</v>
      </c>
      <c r="AA968" t="s">
        <v>49</v>
      </c>
      <c r="AB968" t="s">
        <v>50</v>
      </c>
      <c r="AC968" t="s">
        <v>51</v>
      </c>
      <c r="AD968" t="s">
        <v>52</v>
      </c>
      <c r="AE968" t="s">
        <v>53</v>
      </c>
      <c r="AF968" t="s">
        <v>54</v>
      </c>
      <c r="AG968" t="s">
        <v>52</v>
      </c>
      <c r="AH968" t="s">
        <v>65</v>
      </c>
      <c r="AK968">
        <v>7</v>
      </c>
      <c r="AL968">
        <v>7</v>
      </c>
      <c r="AN968">
        <v>430</v>
      </c>
      <c r="AO968">
        <v>17</v>
      </c>
      <c r="AP968" t="s">
        <v>56</v>
      </c>
      <c r="AQ968" t="s">
        <v>57</v>
      </c>
      <c r="AR968">
        <v>8.14</v>
      </c>
      <c r="AS968">
        <v>0.01</v>
      </c>
      <c r="AT968" t="s">
        <v>56</v>
      </c>
      <c r="AU968">
        <v>536</v>
      </c>
      <c r="AV968">
        <v>27</v>
      </c>
      <c r="AW968" t="s">
        <v>56</v>
      </c>
      <c r="AX968">
        <v>8.08</v>
      </c>
      <c r="AY968">
        <v>0.01</v>
      </c>
      <c r="AZ968" t="s">
        <v>56</v>
      </c>
      <c r="BB968">
        <f>LOG(AU968)</f>
        <v>2.7291647896927702</v>
      </c>
      <c r="BC968">
        <v>22.4</v>
      </c>
      <c r="BD968">
        <v>0.1</v>
      </c>
      <c r="BE968" t="s">
        <v>56</v>
      </c>
      <c r="BF968">
        <v>26.7</v>
      </c>
      <c r="BG968">
        <v>0.1</v>
      </c>
      <c r="BH968" t="s">
        <v>56</v>
      </c>
      <c r="BI968">
        <v>106</v>
      </c>
      <c r="BJ968">
        <v>4.3</v>
      </c>
      <c r="BK968" t="s">
        <v>56</v>
      </c>
      <c r="BL968" t="s">
        <v>592</v>
      </c>
      <c r="BM968" t="s">
        <v>592</v>
      </c>
      <c r="BN968" t="s">
        <v>81</v>
      </c>
      <c r="BO968" t="s">
        <v>56</v>
      </c>
      <c r="BP968" t="s">
        <v>194</v>
      </c>
      <c r="BR968" t="s">
        <v>63</v>
      </c>
      <c r="BT968">
        <v>0.51</v>
      </c>
      <c r="BU968">
        <v>0.51</v>
      </c>
      <c r="BV968">
        <v>0.05</v>
      </c>
      <c r="BW968">
        <f>BV968*SQRT(AK968)</f>
        <v>0.13228756555322954</v>
      </c>
      <c r="BX968">
        <v>0.61</v>
      </c>
      <c r="BY968">
        <v>0.60680000000000001</v>
      </c>
      <c r="BZ968">
        <v>0.18</v>
      </c>
      <c r="CA968">
        <f>BZ968*SQRT(AL968)</f>
        <v>0.47623523599162632</v>
      </c>
      <c r="CB968">
        <v>105</v>
      </c>
      <c r="CC968">
        <v>2</v>
      </c>
      <c r="CD968">
        <v>0.17399999999999999</v>
      </c>
      <c r="CE968">
        <v>9.8400000000000001E-2</v>
      </c>
    </row>
    <row r="969" spans="1:84" hidden="1" x14ac:dyDescent="0.2">
      <c r="D969">
        <v>60</v>
      </c>
      <c r="G969" t="s">
        <v>43</v>
      </c>
      <c r="H969" t="s">
        <v>586</v>
      </c>
      <c r="J969">
        <v>2013</v>
      </c>
      <c r="M969" t="s">
        <v>332</v>
      </c>
      <c r="T969" t="s">
        <v>68</v>
      </c>
      <c r="U969" t="s">
        <v>333</v>
      </c>
      <c r="V969" t="s">
        <v>334</v>
      </c>
      <c r="Z969" t="s">
        <v>49</v>
      </c>
      <c r="AA969" t="s">
        <v>49</v>
      </c>
      <c r="AB969" t="s">
        <v>50</v>
      </c>
      <c r="AC969" t="s">
        <v>51</v>
      </c>
      <c r="AD969" t="s">
        <v>52</v>
      </c>
      <c r="AE969" t="s">
        <v>53</v>
      </c>
      <c r="AF969" t="s">
        <v>52</v>
      </c>
      <c r="AG969" t="s">
        <v>52</v>
      </c>
      <c r="AH969" t="s">
        <v>64</v>
      </c>
      <c r="AK969">
        <v>7</v>
      </c>
      <c r="AL969">
        <v>7</v>
      </c>
      <c r="AN969">
        <v>430</v>
      </c>
      <c r="AO969">
        <v>17</v>
      </c>
      <c r="AP969" t="s">
        <v>56</v>
      </c>
      <c r="AQ969" t="s">
        <v>57</v>
      </c>
      <c r="AR969">
        <v>8.14</v>
      </c>
      <c r="AS969">
        <v>0.01</v>
      </c>
      <c r="AT969" t="s">
        <v>56</v>
      </c>
      <c r="AU969">
        <v>796</v>
      </c>
      <c r="AV969">
        <v>47</v>
      </c>
      <c r="AW969" t="s">
        <v>56</v>
      </c>
      <c r="AX969">
        <v>7.94</v>
      </c>
      <c r="AY969">
        <v>0.02</v>
      </c>
      <c r="AZ969" t="s">
        <v>56</v>
      </c>
      <c r="BB969">
        <f>LOG(AU969)</f>
        <v>2.9009130677376689</v>
      </c>
      <c r="BC969">
        <v>22.4</v>
      </c>
      <c r="BD969">
        <v>0.1</v>
      </c>
      <c r="BE969" t="s">
        <v>56</v>
      </c>
      <c r="BF969">
        <v>26.7</v>
      </c>
      <c r="BG969">
        <v>0.1</v>
      </c>
      <c r="BH969" t="s">
        <v>56</v>
      </c>
      <c r="BI969">
        <v>367</v>
      </c>
      <c r="BJ969">
        <v>4.3</v>
      </c>
      <c r="BK969" t="s">
        <v>56</v>
      </c>
      <c r="BL969" t="s">
        <v>593</v>
      </c>
      <c r="BM969" t="s">
        <v>218</v>
      </c>
      <c r="BN969" t="s">
        <v>60</v>
      </c>
      <c r="BO969" t="s">
        <v>594</v>
      </c>
      <c r="BP969" t="s">
        <v>194</v>
      </c>
      <c r="BR969" t="s">
        <v>63</v>
      </c>
      <c r="BT969">
        <v>13.92</v>
      </c>
      <c r="BU969">
        <v>13.92</v>
      </c>
      <c r="BV969">
        <v>2.5</v>
      </c>
      <c r="BW969">
        <f>BV969*SQRT(AK969)</f>
        <v>6.6143782776614763</v>
      </c>
      <c r="BX969">
        <v>25</v>
      </c>
      <c r="BY969">
        <v>25</v>
      </c>
      <c r="BZ969">
        <v>2.85</v>
      </c>
      <c r="CA969">
        <f>BZ969*SQRT(AL969)</f>
        <v>7.5403912365340835</v>
      </c>
      <c r="CB969">
        <v>105</v>
      </c>
      <c r="CC969">
        <v>2</v>
      </c>
      <c r="CD969">
        <v>0.58599999999999997</v>
      </c>
      <c r="CE969">
        <v>4.53E-2</v>
      </c>
    </row>
    <row r="970" spans="1:84" hidden="1" x14ac:dyDescent="0.2">
      <c r="D970">
        <v>60</v>
      </c>
      <c r="G970" t="s">
        <v>43</v>
      </c>
      <c r="H970" t="s">
        <v>586</v>
      </c>
      <c r="J970">
        <v>2013</v>
      </c>
      <c r="M970" t="s">
        <v>332</v>
      </c>
      <c r="T970" t="s">
        <v>68</v>
      </c>
      <c r="U970" t="s">
        <v>333</v>
      </c>
      <c r="V970" t="s">
        <v>334</v>
      </c>
      <c r="Z970" t="s">
        <v>49</v>
      </c>
      <c r="AA970" t="s">
        <v>49</v>
      </c>
      <c r="AB970" t="s">
        <v>50</v>
      </c>
      <c r="AC970" t="s">
        <v>51</v>
      </c>
      <c r="AD970" t="s">
        <v>52</v>
      </c>
      <c r="AE970" t="s">
        <v>53</v>
      </c>
      <c r="AF970" t="s">
        <v>54</v>
      </c>
      <c r="AG970" t="s">
        <v>52</v>
      </c>
      <c r="AH970" t="s">
        <v>65</v>
      </c>
      <c r="AK970">
        <v>7</v>
      </c>
      <c r="AL970">
        <v>7</v>
      </c>
      <c r="AN970">
        <v>430</v>
      </c>
      <c r="AO970">
        <v>17</v>
      </c>
      <c r="AP970" t="s">
        <v>56</v>
      </c>
      <c r="AQ970" t="s">
        <v>57</v>
      </c>
      <c r="AR970">
        <v>8.14</v>
      </c>
      <c r="AS970">
        <v>0.01</v>
      </c>
      <c r="AT970" t="s">
        <v>56</v>
      </c>
      <c r="AU970">
        <v>536</v>
      </c>
      <c r="AV970">
        <v>27</v>
      </c>
      <c r="AW970" t="s">
        <v>56</v>
      </c>
      <c r="AX970">
        <v>8.08</v>
      </c>
      <c r="AY970">
        <v>0.01</v>
      </c>
      <c r="AZ970" t="s">
        <v>56</v>
      </c>
      <c r="BB970">
        <f>LOG(AU970)</f>
        <v>2.7291647896927702</v>
      </c>
      <c r="BC970">
        <v>22.4</v>
      </c>
      <c r="BD970">
        <v>0.1</v>
      </c>
      <c r="BE970" t="s">
        <v>56</v>
      </c>
      <c r="BF970">
        <v>26.7</v>
      </c>
      <c r="BG970">
        <v>0.1</v>
      </c>
      <c r="BH970" t="s">
        <v>56</v>
      </c>
      <c r="BI970">
        <v>106</v>
      </c>
      <c r="BJ970">
        <v>4.3</v>
      </c>
      <c r="BK970" t="s">
        <v>56</v>
      </c>
      <c r="BL970" t="s">
        <v>593</v>
      </c>
      <c r="BM970" t="s">
        <v>218</v>
      </c>
      <c r="BN970" t="s">
        <v>60</v>
      </c>
      <c r="BO970" t="s">
        <v>594</v>
      </c>
      <c r="BP970" t="s">
        <v>194</v>
      </c>
      <c r="BR970" t="s">
        <v>63</v>
      </c>
      <c r="BT970">
        <v>13.92</v>
      </c>
      <c r="BU970">
        <v>13.92</v>
      </c>
      <c r="BV970">
        <v>2.5</v>
      </c>
      <c r="BW970">
        <f>BV970*SQRT(AK970)</f>
        <v>6.6143782776614763</v>
      </c>
      <c r="BX970">
        <v>35.35</v>
      </c>
      <c r="BY970">
        <v>35.35</v>
      </c>
      <c r="BZ970">
        <v>6.07</v>
      </c>
      <c r="CA970">
        <f>BZ970*SQRT(AL970)</f>
        <v>16.059710458162066</v>
      </c>
      <c r="CB970">
        <v>105</v>
      </c>
      <c r="CC970">
        <v>2</v>
      </c>
      <c r="CD970">
        <v>0.93200000000000005</v>
      </c>
      <c r="CE970">
        <v>6.1699999999999998E-2</v>
      </c>
    </row>
    <row r="971" spans="1:84" hidden="1" x14ac:dyDescent="0.2">
      <c r="D971">
        <v>60</v>
      </c>
      <c r="G971" t="s">
        <v>43</v>
      </c>
      <c r="H971" t="s">
        <v>586</v>
      </c>
      <c r="J971">
        <v>2013</v>
      </c>
      <c r="M971" t="s">
        <v>332</v>
      </c>
      <c r="T971" t="s">
        <v>68</v>
      </c>
      <c r="U971" t="s">
        <v>167</v>
      </c>
      <c r="V971" t="s">
        <v>343</v>
      </c>
      <c r="Z971" t="s">
        <v>49</v>
      </c>
      <c r="AA971" t="s">
        <v>49</v>
      </c>
      <c r="AB971" t="s">
        <v>50</v>
      </c>
      <c r="AC971" t="s">
        <v>51</v>
      </c>
      <c r="AD971" t="s">
        <v>52</v>
      </c>
      <c r="AE971" t="s">
        <v>53</v>
      </c>
      <c r="AF971" t="s">
        <v>52</v>
      </c>
      <c r="AG971" t="s">
        <v>52</v>
      </c>
      <c r="AH971" t="s">
        <v>64</v>
      </c>
      <c r="AK971">
        <v>7</v>
      </c>
      <c r="AL971">
        <v>7</v>
      </c>
      <c r="AN971">
        <v>430</v>
      </c>
      <c r="AO971">
        <v>17</v>
      </c>
      <c r="AP971" t="s">
        <v>56</v>
      </c>
      <c r="AQ971" t="s">
        <v>57</v>
      </c>
      <c r="AR971">
        <v>8.14</v>
      </c>
      <c r="AS971">
        <v>0.01</v>
      </c>
      <c r="AT971" t="s">
        <v>56</v>
      </c>
      <c r="AU971">
        <v>796</v>
      </c>
      <c r="AV971">
        <v>47</v>
      </c>
      <c r="AW971" t="s">
        <v>56</v>
      </c>
      <c r="AX971">
        <v>7.94</v>
      </c>
      <c r="AY971">
        <v>0.02</v>
      </c>
      <c r="AZ971" t="s">
        <v>56</v>
      </c>
      <c r="BB971">
        <f>LOG(AU971)</f>
        <v>2.9009130677376689</v>
      </c>
      <c r="BC971">
        <v>22.4</v>
      </c>
      <c r="BD971">
        <v>0.1</v>
      </c>
      <c r="BE971" t="s">
        <v>56</v>
      </c>
      <c r="BF971">
        <v>26.7</v>
      </c>
      <c r="BG971">
        <v>0.1</v>
      </c>
      <c r="BH971" t="s">
        <v>56</v>
      </c>
      <c r="BI971">
        <v>367</v>
      </c>
      <c r="BJ971">
        <v>4.3</v>
      </c>
      <c r="BK971" t="s">
        <v>56</v>
      </c>
      <c r="BL971" t="s">
        <v>593</v>
      </c>
      <c r="BM971" t="s">
        <v>218</v>
      </c>
      <c r="BN971" t="s">
        <v>60</v>
      </c>
      <c r="BO971" t="s">
        <v>594</v>
      </c>
      <c r="BP971" t="s">
        <v>194</v>
      </c>
      <c r="BR971" t="s">
        <v>63</v>
      </c>
      <c r="BT971">
        <v>8.2100000000000009</v>
      </c>
      <c r="BU971">
        <v>8.2100000000000009</v>
      </c>
      <c r="BV971">
        <v>0.36</v>
      </c>
      <c r="BW971">
        <f>BV971*SQRT(AK971)</f>
        <v>0.95247047198325263</v>
      </c>
      <c r="BX971">
        <v>22.14</v>
      </c>
      <c r="BY971">
        <v>22.14</v>
      </c>
      <c r="BZ971">
        <v>0.36</v>
      </c>
      <c r="CA971">
        <f>BZ971*SQRT(AL971)</f>
        <v>0.95247047198325263</v>
      </c>
      <c r="CB971">
        <v>56</v>
      </c>
      <c r="CC971">
        <v>2</v>
      </c>
      <c r="CD971">
        <v>0.99199999999999999</v>
      </c>
      <c r="CE971">
        <v>2.2000000000000001E-3</v>
      </c>
    </row>
    <row r="972" spans="1:84" hidden="1" x14ac:dyDescent="0.2">
      <c r="D972">
        <v>60</v>
      </c>
      <c r="G972" t="s">
        <v>43</v>
      </c>
      <c r="H972" t="s">
        <v>586</v>
      </c>
      <c r="J972">
        <v>2013</v>
      </c>
      <c r="M972" t="s">
        <v>332</v>
      </c>
      <c r="T972" t="s">
        <v>68</v>
      </c>
      <c r="U972" t="s">
        <v>167</v>
      </c>
      <c r="V972" t="s">
        <v>343</v>
      </c>
      <c r="Z972" t="s">
        <v>49</v>
      </c>
      <c r="AA972" t="s">
        <v>49</v>
      </c>
      <c r="AB972" t="s">
        <v>50</v>
      </c>
      <c r="AC972" t="s">
        <v>51</v>
      </c>
      <c r="AD972" t="s">
        <v>52</v>
      </c>
      <c r="AE972" t="s">
        <v>53</v>
      </c>
      <c r="AF972" t="s">
        <v>54</v>
      </c>
      <c r="AG972" t="s">
        <v>52</v>
      </c>
      <c r="AH972" t="s">
        <v>65</v>
      </c>
      <c r="AK972">
        <v>7</v>
      </c>
      <c r="AL972">
        <v>7</v>
      </c>
      <c r="AN972">
        <v>430</v>
      </c>
      <c r="AO972">
        <v>17</v>
      </c>
      <c r="AP972" t="s">
        <v>56</v>
      </c>
      <c r="AQ972" t="s">
        <v>57</v>
      </c>
      <c r="AR972">
        <v>8.14</v>
      </c>
      <c r="AS972">
        <v>0.01</v>
      </c>
      <c r="AT972" t="s">
        <v>56</v>
      </c>
      <c r="AU972">
        <v>536</v>
      </c>
      <c r="AV972">
        <v>27</v>
      </c>
      <c r="AW972" t="s">
        <v>56</v>
      </c>
      <c r="AX972">
        <v>8.08</v>
      </c>
      <c r="AY972">
        <v>0.01</v>
      </c>
      <c r="AZ972" t="s">
        <v>56</v>
      </c>
      <c r="BB972">
        <f>LOG(AU972)</f>
        <v>2.7291647896927702</v>
      </c>
      <c r="BC972">
        <v>22.4</v>
      </c>
      <c r="BD972">
        <v>0.1</v>
      </c>
      <c r="BE972" t="s">
        <v>56</v>
      </c>
      <c r="BF972">
        <v>26.7</v>
      </c>
      <c r="BG972">
        <v>0.1</v>
      </c>
      <c r="BH972" t="s">
        <v>56</v>
      </c>
      <c r="BI972">
        <v>106</v>
      </c>
      <c r="BJ972">
        <v>4.3</v>
      </c>
      <c r="BK972" t="s">
        <v>56</v>
      </c>
      <c r="BL972" t="s">
        <v>593</v>
      </c>
      <c r="BM972" t="s">
        <v>218</v>
      </c>
      <c r="BN972" t="s">
        <v>60</v>
      </c>
      <c r="BO972" t="s">
        <v>594</v>
      </c>
      <c r="BP972" t="s">
        <v>194</v>
      </c>
      <c r="BR972" t="s">
        <v>63</v>
      </c>
      <c r="BT972">
        <v>8.2100000000000009</v>
      </c>
      <c r="BU972">
        <v>8.2100000000000009</v>
      </c>
      <c r="BV972">
        <v>0.36</v>
      </c>
      <c r="BW972">
        <f>BV972*SQRT(AK972)</f>
        <v>0.95247047198325263</v>
      </c>
      <c r="BX972">
        <v>38.57</v>
      </c>
      <c r="BY972">
        <v>38.57</v>
      </c>
      <c r="BZ972">
        <v>0.35</v>
      </c>
      <c r="CA972">
        <f>BZ972*SQRT(AL972)</f>
        <v>0.92601295887260671</v>
      </c>
      <c r="CB972">
        <v>56</v>
      </c>
      <c r="CC972">
        <v>2</v>
      </c>
      <c r="CD972">
        <v>1.5469999999999999</v>
      </c>
      <c r="CE972">
        <v>2E-3</v>
      </c>
    </row>
    <row r="973" spans="1:84" hidden="1" x14ac:dyDescent="0.2">
      <c r="D973">
        <v>61</v>
      </c>
      <c r="G973" t="s">
        <v>43</v>
      </c>
      <c r="H973" t="s">
        <v>595</v>
      </c>
      <c r="J973">
        <v>2020</v>
      </c>
      <c r="M973" t="s">
        <v>596</v>
      </c>
      <c r="T973" t="s">
        <v>68</v>
      </c>
      <c r="U973" t="s">
        <v>266</v>
      </c>
      <c r="V973" t="s">
        <v>597</v>
      </c>
      <c r="Z973" t="s">
        <v>49</v>
      </c>
      <c r="AA973" t="s">
        <v>49</v>
      </c>
      <c r="AB973" t="s">
        <v>50</v>
      </c>
      <c r="AC973" t="s">
        <v>117</v>
      </c>
      <c r="AD973" t="s">
        <v>52</v>
      </c>
      <c r="AE973" t="s">
        <v>53</v>
      </c>
      <c r="AF973" t="s">
        <v>52</v>
      </c>
      <c r="AG973" t="s">
        <v>52</v>
      </c>
      <c r="AH973" t="s">
        <v>64</v>
      </c>
      <c r="AK973">
        <v>3</v>
      </c>
      <c r="AL973">
        <v>3</v>
      </c>
      <c r="AN973">
        <v>365</v>
      </c>
      <c r="AO973" t="s">
        <v>56</v>
      </c>
      <c r="AP973">
        <v>69</v>
      </c>
      <c r="AQ973" t="s">
        <v>57</v>
      </c>
      <c r="AR973">
        <v>8.1300000000000008</v>
      </c>
      <c r="AS973" t="s">
        <v>56</v>
      </c>
      <c r="AT973">
        <v>0.04</v>
      </c>
      <c r="AU973">
        <v>969</v>
      </c>
      <c r="AV973" t="s">
        <v>56</v>
      </c>
      <c r="AW973">
        <v>54</v>
      </c>
      <c r="AX973">
        <v>7.73</v>
      </c>
      <c r="AY973" t="s">
        <v>56</v>
      </c>
      <c r="AZ973">
        <v>0.02</v>
      </c>
      <c r="BB973">
        <f>LOG(AU973)</f>
        <v>2.9863237770507651</v>
      </c>
      <c r="BC973">
        <v>20.2</v>
      </c>
      <c r="BD973" t="s">
        <v>56</v>
      </c>
      <c r="BE973">
        <v>0.2</v>
      </c>
      <c r="BF973">
        <v>30.2</v>
      </c>
      <c r="BG973" t="s">
        <v>56</v>
      </c>
      <c r="BH973">
        <v>0.3</v>
      </c>
      <c r="BI973">
        <v>604</v>
      </c>
      <c r="BJ973">
        <v>10</v>
      </c>
      <c r="BK973" t="s">
        <v>598</v>
      </c>
      <c r="BL973" t="s">
        <v>599</v>
      </c>
      <c r="BM973" t="s">
        <v>218</v>
      </c>
      <c r="BN973" t="s">
        <v>60</v>
      </c>
      <c r="BO973" t="s">
        <v>600</v>
      </c>
      <c r="BP973" t="s">
        <v>194</v>
      </c>
      <c r="BR973" t="s">
        <v>63</v>
      </c>
      <c r="BT973">
        <v>218.9</v>
      </c>
      <c r="BU973">
        <v>218.9</v>
      </c>
      <c r="BV973">
        <v>2.71</v>
      </c>
      <c r="BW973">
        <f>BV973*SQRT(AK973)</f>
        <v>4.693857688511657</v>
      </c>
      <c r="BX973">
        <v>93.2</v>
      </c>
      <c r="BY973">
        <v>93.2</v>
      </c>
      <c r="BZ973">
        <v>3.58</v>
      </c>
      <c r="CA973">
        <f>BZ973*SQRT(AL973)</f>
        <v>6.2007418910965804</v>
      </c>
      <c r="CB973">
        <v>30</v>
      </c>
      <c r="CC973">
        <v>3</v>
      </c>
      <c r="CD973">
        <v>-0.85399999999999998</v>
      </c>
      <c r="CE973">
        <v>1.6000000000000001E-3</v>
      </c>
    </row>
    <row r="974" spans="1:84" hidden="1" x14ac:dyDescent="0.2">
      <c r="D974">
        <v>61</v>
      </c>
      <c r="G974" t="s">
        <v>43</v>
      </c>
      <c r="H974" t="s">
        <v>595</v>
      </c>
      <c r="J974">
        <v>2020</v>
      </c>
      <c r="M974" t="s">
        <v>596</v>
      </c>
      <c r="T974" t="s">
        <v>68</v>
      </c>
      <c r="U974" t="s">
        <v>266</v>
      </c>
      <c r="V974" t="s">
        <v>597</v>
      </c>
      <c r="Z974" t="s">
        <v>49</v>
      </c>
      <c r="AA974" t="s">
        <v>49</v>
      </c>
      <c r="AB974" t="s">
        <v>50</v>
      </c>
      <c r="AC974" t="s">
        <v>117</v>
      </c>
      <c r="AD974" t="s">
        <v>52</v>
      </c>
      <c r="AE974" t="s">
        <v>53</v>
      </c>
      <c r="AF974" t="s">
        <v>52</v>
      </c>
      <c r="AG974" t="s">
        <v>54</v>
      </c>
      <c r="AH974" t="s">
        <v>55</v>
      </c>
      <c r="AK974">
        <v>3</v>
      </c>
      <c r="AL974">
        <v>3</v>
      </c>
      <c r="AN974">
        <v>354</v>
      </c>
      <c r="AO974" t="s">
        <v>56</v>
      </c>
      <c r="AP974">
        <v>36</v>
      </c>
      <c r="AQ974" t="s">
        <v>57</v>
      </c>
      <c r="AR974">
        <v>8.1300000000000008</v>
      </c>
      <c r="AS974" t="s">
        <v>56</v>
      </c>
      <c r="AT974">
        <v>0.04</v>
      </c>
      <c r="AU974">
        <v>1001</v>
      </c>
      <c r="AV974" t="s">
        <v>56</v>
      </c>
      <c r="AW974">
        <v>30</v>
      </c>
      <c r="AX974">
        <v>7.71</v>
      </c>
      <c r="AY974" t="s">
        <v>56</v>
      </c>
      <c r="AZ974">
        <v>0.01</v>
      </c>
      <c r="BB974">
        <f>LOG(AU974)</f>
        <v>3.0004340774793188</v>
      </c>
      <c r="BC974">
        <v>20.2</v>
      </c>
      <c r="BD974" t="s">
        <v>56</v>
      </c>
      <c r="BE974">
        <v>0.2</v>
      </c>
      <c r="BF974">
        <v>20.2</v>
      </c>
      <c r="BG974" t="s">
        <v>56</v>
      </c>
      <c r="BH974">
        <v>0.1</v>
      </c>
      <c r="BI974">
        <v>647</v>
      </c>
      <c r="BJ974">
        <v>0</v>
      </c>
      <c r="BK974" t="s">
        <v>598</v>
      </c>
      <c r="BL974" t="s">
        <v>599</v>
      </c>
      <c r="BM974" t="s">
        <v>218</v>
      </c>
      <c r="BN974" t="s">
        <v>60</v>
      </c>
      <c r="BO974" t="s">
        <v>600</v>
      </c>
      <c r="BP974" t="s">
        <v>194</v>
      </c>
      <c r="BR974" t="s">
        <v>63</v>
      </c>
      <c r="BT974">
        <v>218.9</v>
      </c>
      <c r="BU974">
        <v>218.9</v>
      </c>
      <c r="BV974">
        <v>2.71</v>
      </c>
      <c r="BW974">
        <f>BV974*SQRT(AK974)</f>
        <v>4.693857688511657</v>
      </c>
      <c r="BX974">
        <v>114.9</v>
      </c>
      <c r="BY974">
        <v>114.9</v>
      </c>
      <c r="BZ974">
        <v>5.6</v>
      </c>
      <c r="CA974">
        <f>BZ974*SQRT(AL974)</f>
        <v>9.6994845223857116</v>
      </c>
      <c r="CB974">
        <v>30</v>
      </c>
      <c r="CC974">
        <v>3</v>
      </c>
      <c r="CD974">
        <v>-0.64500000000000002</v>
      </c>
      <c r="CE974">
        <v>2.5000000000000001E-3</v>
      </c>
    </row>
    <row r="975" spans="1:84" hidden="1" x14ac:dyDescent="0.2">
      <c r="D975">
        <v>61</v>
      </c>
      <c r="G975" t="s">
        <v>43</v>
      </c>
      <c r="H975" t="s">
        <v>595</v>
      </c>
      <c r="J975">
        <v>2020</v>
      </c>
      <c r="M975" t="s">
        <v>596</v>
      </c>
      <c r="T975" t="s">
        <v>68</v>
      </c>
      <c r="U975" t="s">
        <v>266</v>
      </c>
      <c r="V975" t="s">
        <v>597</v>
      </c>
      <c r="Z975" t="s">
        <v>49</v>
      </c>
      <c r="AA975" t="s">
        <v>49</v>
      </c>
      <c r="AB975" t="s">
        <v>50</v>
      </c>
      <c r="AC975" t="s">
        <v>117</v>
      </c>
      <c r="AD975" t="s">
        <v>52</v>
      </c>
      <c r="AE975" t="s">
        <v>53</v>
      </c>
      <c r="AF975" t="s">
        <v>54</v>
      </c>
      <c r="AG975" t="s">
        <v>52</v>
      </c>
      <c r="AH975" t="s">
        <v>65</v>
      </c>
      <c r="AK975">
        <v>3</v>
      </c>
      <c r="AL975">
        <v>3</v>
      </c>
      <c r="AN975">
        <v>354</v>
      </c>
      <c r="AO975" t="s">
        <v>56</v>
      </c>
      <c r="AP975">
        <v>36</v>
      </c>
      <c r="AQ975" t="s">
        <v>57</v>
      </c>
      <c r="AR975">
        <v>8.1300000000000008</v>
      </c>
      <c r="AS975" t="s">
        <v>56</v>
      </c>
      <c r="AT975">
        <v>0.04</v>
      </c>
      <c r="AU975">
        <v>353</v>
      </c>
      <c r="AV975" t="s">
        <v>56</v>
      </c>
      <c r="AW975">
        <v>30</v>
      </c>
      <c r="AX975">
        <v>8.1199999999999992</v>
      </c>
      <c r="AY975" t="s">
        <v>56</v>
      </c>
      <c r="AZ975">
        <v>0.02</v>
      </c>
      <c r="BB975">
        <f>LOG(AU975)</f>
        <v>2.5477747053878224</v>
      </c>
      <c r="BC975">
        <v>20.2</v>
      </c>
      <c r="BD975" t="s">
        <v>56</v>
      </c>
      <c r="BE975">
        <v>0.2</v>
      </c>
      <c r="BF975">
        <v>30.2</v>
      </c>
      <c r="BG975" t="s">
        <v>56</v>
      </c>
      <c r="BH975">
        <v>0.1</v>
      </c>
      <c r="BI975">
        <v>-1</v>
      </c>
      <c r="BJ975">
        <v>10</v>
      </c>
      <c r="BK975" t="s">
        <v>598</v>
      </c>
      <c r="BL975" t="s">
        <v>599</v>
      </c>
      <c r="BM975" t="s">
        <v>218</v>
      </c>
      <c r="BN975" t="s">
        <v>60</v>
      </c>
      <c r="BO975" t="s">
        <v>600</v>
      </c>
      <c r="BP975" t="s">
        <v>194</v>
      </c>
      <c r="BR975" t="s">
        <v>63</v>
      </c>
      <c r="BT975">
        <v>218.9</v>
      </c>
      <c r="BU975">
        <v>218.9</v>
      </c>
      <c r="BV975">
        <v>2.71</v>
      </c>
      <c r="BW975">
        <f>BV975*SQRT(AK975)</f>
        <v>4.693857688511657</v>
      </c>
      <c r="BX975">
        <v>178.6</v>
      </c>
      <c r="BY975">
        <v>178.6</v>
      </c>
      <c r="BZ975">
        <v>10.8</v>
      </c>
      <c r="CA975">
        <f>BZ975*SQRT(AL975)</f>
        <v>18.706148721743876</v>
      </c>
      <c r="CB975">
        <v>30</v>
      </c>
      <c r="CC975">
        <v>3</v>
      </c>
      <c r="CD975">
        <v>-0.20300000000000001</v>
      </c>
      <c r="CE975">
        <v>3.8E-3</v>
      </c>
    </row>
    <row r="976" spans="1:84" s="8" customFormat="1" hidden="1" x14ac:dyDescent="0.2">
      <c r="A976"/>
      <c r="B976" t="str">
        <f>ROW()-1&amp;"_AltersInvert"</f>
        <v>975_AltersInvert</v>
      </c>
      <c r="C976" t="str">
        <f>D976&amp;"_"&amp;
SUBSTITUTE(TRIM(V976)," ","_")&amp;"_"&amp;
TRIM(AC976)&amp;"_"&amp;
"CO2"&amp;TEXT(AN976,"0.00")&amp;"_"&amp;
"pH"&amp;TEXT(AR976,"0.00")&amp;"_"&amp;
"T"&amp;TEXT(BC976,"0.##")</f>
        <v>74_Orbicella_faveolata_LARVA_CO2419.00_pH8.15_T28.3</v>
      </c>
      <c r="D976">
        <v>74</v>
      </c>
      <c r="E976"/>
      <c r="F976"/>
      <c r="G976" t="s">
        <v>43</v>
      </c>
      <c r="H976" t="s">
        <v>656</v>
      </c>
      <c r="I976"/>
      <c r="J976">
        <v>2020</v>
      </c>
      <c r="K976"/>
      <c r="L976"/>
      <c r="M976" t="s">
        <v>657</v>
      </c>
      <c r="N976"/>
      <c r="O976"/>
      <c r="P976" t="s">
        <v>1135</v>
      </c>
      <c r="Q976"/>
      <c r="R976" t="s">
        <v>1127</v>
      </c>
      <c r="S976" t="s">
        <v>1128</v>
      </c>
      <c r="T976" t="s">
        <v>103</v>
      </c>
      <c r="U976" t="s">
        <v>534</v>
      </c>
      <c r="V976" t="s">
        <v>658</v>
      </c>
      <c r="W976"/>
      <c r="X976"/>
      <c r="Y976"/>
      <c r="Z976" t="s">
        <v>106</v>
      </c>
      <c r="AA976" t="s">
        <v>107</v>
      </c>
      <c r="AB976" t="s">
        <v>71</v>
      </c>
      <c r="AC976" t="s">
        <v>72</v>
      </c>
      <c r="AD976" t="s">
        <v>52</v>
      </c>
      <c r="AE976" t="s">
        <v>53</v>
      </c>
      <c r="AF976" t="s">
        <v>52</v>
      </c>
      <c r="AG976" t="s">
        <v>52</v>
      </c>
      <c r="AH976" t="s">
        <v>64</v>
      </c>
      <c r="AI976"/>
      <c r="AJ976"/>
      <c r="AK976">
        <v>3</v>
      </c>
      <c r="AL976">
        <v>3</v>
      </c>
      <c r="AM976"/>
      <c r="AN976">
        <v>419</v>
      </c>
      <c r="AO976" t="s">
        <v>56</v>
      </c>
      <c r="AP976" t="s">
        <v>56</v>
      </c>
      <c r="AQ976" t="s">
        <v>57</v>
      </c>
      <c r="AR976">
        <v>8.15</v>
      </c>
      <c r="AS976" t="s">
        <v>56</v>
      </c>
      <c r="AT976" t="s">
        <v>56</v>
      </c>
      <c r="AU976">
        <v>647</v>
      </c>
      <c r="AV976" t="s">
        <v>56</v>
      </c>
      <c r="AW976" t="s">
        <v>56</v>
      </c>
      <c r="AX976">
        <v>8</v>
      </c>
      <c r="AY976" t="s">
        <v>56</v>
      </c>
      <c r="AZ976" t="s">
        <v>56</v>
      </c>
      <c r="BA976"/>
      <c r="BB976">
        <f>LOG(AU976)</f>
        <v>2.8109042806687006</v>
      </c>
      <c r="BC976">
        <v>28.3</v>
      </c>
      <c r="BD976" t="s">
        <v>56</v>
      </c>
      <c r="BE976" t="s">
        <v>56</v>
      </c>
      <c r="BF976">
        <v>29.9</v>
      </c>
      <c r="BG976" t="s">
        <v>56</v>
      </c>
      <c r="BH976" t="s">
        <v>56</v>
      </c>
      <c r="BI976">
        <v>228</v>
      </c>
      <c r="BJ976">
        <v>1.6</v>
      </c>
      <c r="BK976" t="s">
        <v>56</v>
      </c>
      <c r="BL976" t="s">
        <v>83</v>
      </c>
      <c r="BM976" t="s">
        <v>83</v>
      </c>
      <c r="BN976" t="s">
        <v>81</v>
      </c>
      <c r="BO976" t="s">
        <v>82</v>
      </c>
      <c r="BP976" t="s">
        <v>83</v>
      </c>
      <c r="BQ976" t="s">
        <v>83</v>
      </c>
      <c r="BR976" t="s">
        <v>84</v>
      </c>
      <c r="BS976"/>
      <c r="BT976">
        <v>56.2</v>
      </c>
      <c r="BU976">
        <v>56.2</v>
      </c>
      <c r="BV976">
        <v>1.6</v>
      </c>
      <c r="BW976">
        <f>BV976*SQRT(AK976)</f>
        <v>2.7712812921102037</v>
      </c>
      <c r="BX976">
        <v>34.700000000000003</v>
      </c>
      <c r="BY976">
        <v>34.700000000000003</v>
      </c>
      <c r="BZ976">
        <v>1.6</v>
      </c>
      <c r="CA976">
        <f>BZ976*SQRT(AL976)</f>
        <v>2.7712812921102037</v>
      </c>
      <c r="CB976">
        <v>4</v>
      </c>
      <c r="CC976">
        <v>3</v>
      </c>
      <c r="CD976">
        <v>-0.48199999999999998</v>
      </c>
      <c r="CE976">
        <v>2.8999999999999998E-3</v>
      </c>
      <c r="CF976"/>
    </row>
    <row r="977" spans="1:84" s="8" customFormat="1" hidden="1" x14ac:dyDescent="0.2">
      <c r="B977" t="str">
        <f>ROW()-1&amp;"_AltersInvert"</f>
        <v>976_AltersInvert</v>
      </c>
      <c r="C977" t="str">
        <f>D977&amp;"_"&amp;
SUBSTITUTE(TRIM(V977)," ","_")&amp;"_"&amp;
TRIM(AC977)&amp;"_"&amp;
"CO2"&amp;TEXT(AN977,"0.00")&amp;"_"&amp;
"pH"&amp;TEXT(AR977,"0.00")&amp;"_"&amp;
"T"&amp;TEXT(BC977,"0.##")</f>
        <v>74_Orbicella_faveolata_EMBRYO_CO2419.00_pH8.15_T28.3</v>
      </c>
      <c r="D977" s="8">
        <v>74</v>
      </c>
      <c r="G977" s="8" t="s">
        <v>43</v>
      </c>
      <c r="H977" s="8" t="s">
        <v>656</v>
      </c>
      <c r="I977" s="8" t="s">
        <v>1130</v>
      </c>
      <c r="J977" s="8">
        <v>2020</v>
      </c>
      <c r="M977" s="8" t="s">
        <v>657</v>
      </c>
      <c r="P977" t="s">
        <v>1135</v>
      </c>
      <c r="R977" s="8" t="s">
        <v>1127</v>
      </c>
      <c r="S977" t="s">
        <v>1128</v>
      </c>
      <c r="T977" s="8" t="s">
        <v>103</v>
      </c>
      <c r="U977" s="8" t="s">
        <v>534</v>
      </c>
      <c r="V977" s="8" t="s">
        <v>658</v>
      </c>
      <c r="W977" s="8" t="str">
        <f>IF(ISNUMBER(MATCH(#REF!,{"Doryteuthis pealeii","Loligo vulgaris","Leptuca thayeri","Stylocheilus striatus","Ophryotrocha labronica"},0)),"N","Y")</f>
        <v>Y</v>
      </c>
      <c r="Z977" s="8" t="s">
        <v>106</v>
      </c>
      <c r="AA977" s="8" t="s">
        <v>107</v>
      </c>
      <c r="AB977" s="8" t="s">
        <v>71</v>
      </c>
      <c r="AC977" s="8" t="s">
        <v>195</v>
      </c>
      <c r="AD977" s="8" t="s">
        <v>52</v>
      </c>
      <c r="AE977" s="8" t="s">
        <v>53</v>
      </c>
      <c r="AF977" s="8" t="s">
        <v>52</v>
      </c>
      <c r="AG977" s="8" t="s">
        <v>54</v>
      </c>
      <c r="AH977" s="8" t="s">
        <v>55</v>
      </c>
      <c r="AK977" s="8">
        <v>3</v>
      </c>
      <c r="AL977" s="8">
        <v>3</v>
      </c>
      <c r="AN977" s="8">
        <v>419</v>
      </c>
      <c r="AO977" s="8" t="s">
        <v>56</v>
      </c>
      <c r="AP977" s="8" t="s">
        <v>56</v>
      </c>
      <c r="AQ977" s="8" t="s">
        <v>57</v>
      </c>
      <c r="AR977" s="8">
        <v>8.15</v>
      </c>
      <c r="AS977" s="8" t="s">
        <v>56</v>
      </c>
      <c r="AT977" s="8" t="s">
        <v>56</v>
      </c>
      <c r="AU977" s="8">
        <v>641</v>
      </c>
      <c r="AV977" t="s">
        <v>56</v>
      </c>
      <c r="AW977" t="s">
        <v>56</v>
      </c>
      <c r="AX977">
        <v>8</v>
      </c>
      <c r="AY977" t="s">
        <v>56</v>
      </c>
      <c r="AZ977" t="s">
        <v>56</v>
      </c>
      <c r="BB977" s="8">
        <f>LOG(AU977)</f>
        <v>2.8068580295188172</v>
      </c>
      <c r="BC977" s="8">
        <v>28.3</v>
      </c>
      <c r="BD977" s="8" t="s">
        <v>56</v>
      </c>
      <c r="BE977" s="8" t="s">
        <v>56</v>
      </c>
      <c r="BF977" s="8">
        <v>28.3</v>
      </c>
      <c r="BG977" s="8" t="s">
        <v>56</v>
      </c>
      <c r="BH977" s="8" t="s">
        <v>56</v>
      </c>
      <c r="BI977" s="8">
        <v>222</v>
      </c>
      <c r="BJ977" s="8">
        <v>0</v>
      </c>
      <c r="BK977" s="8" t="s">
        <v>661</v>
      </c>
      <c r="BL977" s="8" t="s">
        <v>473</v>
      </c>
      <c r="BM977" s="8" t="s">
        <v>473</v>
      </c>
      <c r="BN977" s="8" t="s">
        <v>81</v>
      </c>
      <c r="BO977" s="8" t="s">
        <v>82</v>
      </c>
      <c r="BP977" s="8" t="s">
        <v>190</v>
      </c>
      <c r="BQ977" s="8" t="s">
        <v>190</v>
      </c>
      <c r="BR977" s="8" t="s">
        <v>84</v>
      </c>
      <c r="BT977" s="8">
        <v>88.07</v>
      </c>
      <c r="BU977" s="8">
        <v>88.07</v>
      </c>
      <c r="BV977" s="8">
        <v>1.63</v>
      </c>
      <c r="BW977" s="8">
        <f>BV977*SQRT(AK977)</f>
        <v>2.8232428163372698</v>
      </c>
      <c r="BX977" s="8">
        <v>66.66</v>
      </c>
      <c r="BY977" s="8">
        <v>66.66</v>
      </c>
      <c r="BZ977" s="8">
        <v>10.8</v>
      </c>
      <c r="CA977" s="8">
        <f>BZ977*SQRT(AL977)</f>
        <v>18.706148721743876</v>
      </c>
      <c r="CB977" s="8">
        <v>1</v>
      </c>
      <c r="CC977" s="8">
        <v>3</v>
      </c>
      <c r="CD977" s="8">
        <v>-0.27900000000000003</v>
      </c>
      <c r="CE977" s="8">
        <v>2.6599999999999999E-2</v>
      </c>
      <c r="CF977" s="8" t="s">
        <v>1134</v>
      </c>
    </row>
    <row r="978" spans="1:84" s="8" customFormat="1" hidden="1" x14ac:dyDescent="0.2">
      <c r="B978" t="str">
        <f>ROW()-1&amp;"_AltersInvert"</f>
        <v>977_AltersInvert</v>
      </c>
      <c r="C978" t="str">
        <f>D978&amp;"_"&amp;
SUBSTITUTE(TRIM(V978)," ","_")&amp;"_"&amp;
TRIM(AC978)&amp;"_"&amp;
"CO2"&amp;TEXT(AN978,"0.00")&amp;"_"&amp;
"pH"&amp;TEXT(AR978,"0.00")&amp;"_"&amp;
"T"&amp;TEXT(BC978,"0.##")</f>
        <v>74_Orbicella_faveolata_EMBRYO_CO2419.00_pH8.15_T28.3</v>
      </c>
      <c r="D978" s="8">
        <v>74</v>
      </c>
      <c r="G978" s="8" t="s">
        <v>43</v>
      </c>
      <c r="H978" s="8" t="s">
        <v>656</v>
      </c>
      <c r="I978" s="8" t="s">
        <v>1130</v>
      </c>
      <c r="J978" s="8">
        <v>2020</v>
      </c>
      <c r="M978" s="8" t="s">
        <v>657</v>
      </c>
      <c r="P978" t="s">
        <v>1135</v>
      </c>
      <c r="R978" s="8" t="s">
        <v>1127</v>
      </c>
      <c r="S978" t="s">
        <v>1128</v>
      </c>
      <c r="T978" s="8" t="s">
        <v>103</v>
      </c>
      <c r="U978" s="8" t="s">
        <v>534</v>
      </c>
      <c r="V978" s="8" t="s">
        <v>658</v>
      </c>
      <c r="W978" s="8" t="str">
        <f>IF(ISNUMBER(MATCH(V372,{"Doryteuthis pealeii","Loligo vulgaris","Leptuca thayeri","Stylocheilus striatus","Ophryotrocha labronica"},0)),"N","Y")</f>
        <v>Y</v>
      </c>
      <c r="Z978" s="8" t="s">
        <v>106</v>
      </c>
      <c r="AA978" s="8" t="s">
        <v>107</v>
      </c>
      <c r="AB978" s="8" t="s">
        <v>71</v>
      </c>
      <c r="AC978" s="8" t="s">
        <v>195</v>
      </c>
      <c r="AD978" s="8" t="s">
        <v>52</v>
      </c>
      <c r="AE978" s="8" t="s">
        <v>53</v>
      </c>
      <c r="AF978" s="8" t="s">
        <v>54</v>
      </c>
      <c r="AG978" s="8" t="s">
        <v>52</v>
      </c>
      <c r="AH978" s="8" t="s">
        <v>65</v>
      </c>
      <c r="AK978" s="8">
        <v>3</v>
      </c>
      <c r="AL978" s="8">
        <v>3</v>
      </c>
      <c r="AN978" s="8">
        <v>419</v>
      </c>
      <c r="AO978" s="8" t="s">
        <v>56</v>
      </c>
      <c r="AP978" s="8" t="s">
        <v>56</v>
      </c>
      <c r="AQ978" s="8" t="s">
        <v>57</v>
      </c>
      <c r="AR978" s="8">
        <v>8.15</v>
      </c>
      <c r="AS978" s="8" t="s">
        <v>56</v>
      </c>
      <c r="AT978" s="8" t="s">
        <v>56</v>
      </c>
      <c r="AU978" s="8">
        <v>415</v>
      </c>
      <c r="AV978" t="s">
        <v>56</v>
      </c>
      <c r="AW978" t="s">
        <v>56</v>
      </c>
      <c r="AX978">
        <v>8.16</v>
      </c>
      <c r="AY978" t="s">
        <v>56</v>
      </c>
      <c r="AZ978" t="s">
        <v>56</v>
      </c>
      <c r="BB978" s="8">
        <f>LOG(AU978)</f>
        <v>2.6180480967120925</v>
      </c>
      <c r="BC978" s="8">
        <v>28.3</v>
      </c>
      <c r="BD978" s="8" t="s">
        <v>56</v>
      </c>
      <c r="BE978" s="8" t="s">
        <v>56</v>
      </c>
      <c r="BF978" s="8">
        <v>29.9</v>
      </c>
      <c r="BG978" s="8" t="s">
        <v>56</v>
      </c>
      <c r="BH978" s="8" t="s">
        <v>56</v>
      </c>
      <c r="BI978" s="8">
        <v>-4</v>
      </c>
      <c r="BJ978" s="8">
        <v>1.6</v>
      </c>
      <c r="BK978" s="8" t="s">
        <v>661</v>
      </c>
      <c r="BL978" s="8" t="s">
        <v>473</v>
      </c>
      <c r="BM978" s="8" t="s">
        <v>473</v>
      </c>
      <c r="BN978" s="8" t="s">
        <v>81</v>
      </c>
      <c r="BO978" s="8" t="s">
        <v>82</v>
      </c>
      <c r="BP978" s="8" t="s">
        <v>190</v>
      </c>
      <c r="BQ978" s="8" t="s">
        <v>190</v>
      </c>
      <c r="BR978" s="8" t="s">
        <v>84</v>
      </c>
      <c r="BT978" s="8">
        <v>88.07</v>
      </c>
      <c r="BU978" s="8">
        <v>88.07</v>
      </c>
      <c r="BV978" s="8">
        <v>1.63</v>
      </c>
      <c r="BW978" s="8">
        <f>BV978*SQRT(AK978)</f>
        <v>2.8232428163372698</v>
      </c>
      <c r="BX978" s="8">
        <v>86.99</v>
      </c>
      <c r="BY978" s="8">
        <v>86.99</v>
      </c>
      <c r="BZ978" s="8">
        <v>3.52</v>
      </c>
      <c r="CA978" s="8">
        <f>BZ978*SQRT(AL978)</f>
        <v>6.0968188426424481</v>
      </c>
      <c r="CB978" s="8">
        <v>1</v>
      </c>
      <c r="CC978" s="8">
        <v>3</v>
      </c>
      <c r="CD978" s="8">
        <v>-1.2E-2</v>
      </c>
      <c r="CE978" s="8">
        <v>2E-3</v>
      </c>
      <c r="CF978" s="8" t="s">
        <v>1134</v>
      </c>
    </row>
    <row r="979" spans="1:84" s="8" customFormat="1" hidden="1" x14ac:dyDescent="0.2">
      <c r="B979" t="str">
        <f>ROW()-1&amp;"_AltersInvert"</f>
        <v>978_AltersInvert</v>
      </c>
      <c r="C979" t="str">
        <f>D979&amp;"_"&amp;
SUBSTITUTE(TRIM(V979)," ","_")&amp;"_"&amp;
TRIM(AC979)&amp;"_"&amp;
"CO2"&amp;TEXT(AN979,"0.00")&amp;"_"&amp;
"pH"&amp;TEXT(AR979,"0.00")&amp;"_"&amp;
"T"&amp;TEXT(BC979,"0.##")</f>
        <v>74_Orbicella_faveolata_EMBRYO_CO2419.00_pH8.15_T28.3</v>
      </c>
      <c r="D979" s="8">
        <v>74</v>
      </c>
      <c r="G979" s="8" t="s">
        <v>43</v>
      </c>
      <c r="H979" s="8" t="s">
        <v>656</v>
      </c>
      <c r="I979" s="8" t="s">
        <v>1130</v>
      </c>
      <c r="J979" s="8">
        <v>2020</v>
      </c>
      <c r="M979" s="8" t="s">
        <v>657</v>
      </c>
      <c r="P979" t="s">
        <v>1135</v>
      </c>
      <c r="R979" s="8" t="s">
        <v>1127</v>
      </c>
      <c r="S979" t="s">
        <v>1128</v>
      </c>
      <c r="T979" s="8" t="s">
        <v>103</v>
      </c>
      <c r="U979" s="8" t="s">
        <v>534</v>
      </c>
      <c r="V979" s="8" t="s">
        <v>658</v>
      </c>
      <c r="W979" s="8" t="str">
        <f>IF(ISNUMBER(MATCH(V373,{"Doryteuthis pealeii","Loligo vulgaris","Leptuca thayeri","Stylocheilus striatus","Ophryotrocha labronica"},0)),"N","Y")</f>
        <v>Y</v>
      </c>
      <c r="Z979" s="8" t="s">
        <v>106</v>
      </c>
      <c r="AA979" s="8" t="s">
        <v>107</v>
      </c>
      <c r="AB979" s="8" t="s">
        <v>71</v>
      </c>
      <c r="AC979" s="8" t="s">
        <v>195</v>
      </c>
      <c r="AD979" s="8" t="s">
        <v>52</v>
      </c>
      <c r="AE979" s="8" t="s">
        <v>53</v>
      </c>
      <c r="AF979" s="8" t="s">
        <v>52</v>
      </c>
      <c r="AG979" s="8" t="s">
        <v>52</v>
      </c>
      <c r="AH979" s="8" t="s">
        <v>64</v>
      </c>
      <c r="AK979" s="8">
        <v>3</v>
      </c>
      <c r="AL979" s="8">
        <v>3</v>
      </c>
      <c r="AN979" s="8">
        <v>419</v>
      </c>
      <c r="AO979" s="8" t="s">
        <v>56</v>
      </c>
      <c r="AP979" s="8" t="s">
        <v>56</v>
      </c>
      <c r="AQ979" s="8" t="s">
        <v>57</v>
      </c>
      <c r="AR979" s="8">
        <v>8.15</v>
      </c>
      <c r="AS979" s="8" t="s">
        <v>56</v>
      </c>
      <c r="AT979" s="8" t="s">
        <v>56</v>
      </c>
      <c r="AU979" s="8">
        <v>647</v>
      </c>
      <c r="AV979" t="s">
        <v>56</v>
      </c>
      <c r="AW979" t="s">
        <v>56</v>
      </c>
      <c r="AX979">
        <v>8</v>
      </c>
      <c r="AY979" t="s">
        <v>56</v>
      </c>
      <c r="AZ979" t="s">
        <v>56</v>
      </c>
      <c r="BB979" s="8">
        <f>LOG(AU979)</f>
        <v>2.8109042806687006</v>
      </c>
      <c r="BC979" s="8">
        <v>28.3</v>
      </c>
      <c r="BD979" s="8" t="s">
        <v>56</v>
      </c>
      <c r="BE979" s="8" t="s">
        <v>56</v>
      </c>
      <c r="BF979" s="8">
        <v>29.9</v>
      </c>
      <c r="BG979" s="8" t="s">
        <v>56</v>
      </c>
      <c r="BH979" s="8" t="s">
        <v>56</v>
      </c>
      <c r="BI979" s="8">
        <v>228</v>
      </c>
      <c r="BJ979" s="8">
        <v>1.6</v>
      </c>
      <c r="BK979" s="8" t="s">
        <v>661</v>
      </c>
      <c r="BL979" s="8" t="s">
        <v>473</v>
      </c>
      <c r="BM979" s="8" t="s">
        <v>473</v>
      </c>
      <c r="BN979" s="8" t="s">
        <v>81</v>
      </c>
      <c r="BO979" s="8" t="s">
        <v>82</v>
      </c>
      <c r="BP979" s="8" t="s">
        <v>190</v>
      </c>
      <c r="BQ979" s="8" t="s">
        <v>190</v>
      </c>
      <c r="BR979" s="8" t="s">
        <v>84</v>
      </c>
      <c r="BT979" s="8">
        <v>88.07</v>
      </c>
      <c r="BU979" s="8">
        <v>88.07</v>
      </c>
      <c r="BV979" s="8">
        <v>1.63</v>
      </c>
      <c r="BW979" s="8">
        <f>BV979*SQRT(AK979)</f>
        <v>2.8232428163372698</v>
      </c>
      <c r="BX979" s="8">
        <v>88.61</v>
      </c>
      <c r="BY979" s="8">
        <v>88.61</v>
      </c>
      <c r="BZ979" s="8">
        <v>1.63</v>
      </c>
      <c r="CA979" s="8">
        <f>BZ979*SQRT(AL979)</f>
        <v>2.8232428163372698</v>
      </c>
      <c r="CB979" s="8">
        <v>1</v>
      </c>
      <c r="CC979" s="8">
        <v>3</v>
      </c>
      <c r="CD979" s="8">
        <v>6.0000000000000001E-3</v>
      </c>
      <c r="CE979" s="8">
        <v>6.9999999999999999E-4</v>
      </c>
      <c r="CF979" s="8" t="s">
        <v>1134</v>
      </c>
    </row>
    <row r="980" spans="1:84" s="8" customFormat="1" hidden="1" x14ac:dyDescent="0.2">
      <c r="B980" t="str">
        <f>ROW()-1&amp;"_AltersInvert"</f>
        <v>979_AltersInvert</v>
      </c>
      <c r="C980" t="str">
        <f>D980&amp;"_"&amp;
SUBSTITUTE(TRIM(V980)," ","_")&amp;"_"&amp;
TRIM(AC980)&amp;"_"&amp;
"CO2"&amp;TEXT(AN980,"0.00")&amp;"_"&amp;
"pH"&amp;TEXT(AR980,"0.00")&amp;"_"&amp;
"T"&amp;TEXT(BC980,"0.##")</f>
        <v>104_Odontaster_validus_EMBRYO_CO2413.00_pH8.09_T-0.5</v>
      </c>
      <c r="D980" s="8">
        <v>104</v>
      </c>
      <c r="G980" s="8" t="s">
        <v>43</v>
      </c>
      <c r="H980" s="8" t="s">
        <v>788</v>
      </c>
      <c r="I980" s="8" t="s">
        <v>1130</v>
      </c>
      <c r="J980" s="8">
        <v>2017</v>
      </c>
      <c r="M980" s="8" t="s">
        <v>789</v>
      </c>
      <c r="P980" t="s">
        <v>1135</v>
      </c>
      <c r="R980" s="8" t="s">
        <v>1127</v>
      </c>
      <c r="S980" t="s">
        <v>1128</v>
      </c>
      <c r="T980" s="8" t="s">
        <v>46</v>
      </c>
      <c r="U980" s="8" t="s">
        <v>790</v>
      </c>
      <c r="V980" s="8" t="s">
        <v>791</v>
      </c>
      <c r="W980" s="8" t="str">
        <f>IF(ISNUMBER(MATCH(V374,{"Doryteuthis pealeii","Loligo vulgaris","Leptuca thayeri","Stylocheilus striatus","Ophryotrocha labronica"},0)),"N","Y")</f>
        <v>Y</v>
      </c>
      <c r="Z980" s="8" t="s">
        <v>475</v>
      </c>
      <c r="AA980" s="8" t="s">
        <v>475</v>
      </c>
      <c r="AB980" s="8" t="s">
        <v>71</v>
      </c>
      <c r="AC980" s="8" t="s">
        <v>195</v>
      </c>
      <c r="AD980" s="8" t="s">
        <v>52</v>
      </c>
      <c r="AE980" s="8" t="s">
        <v>53</v>
      </c>
      <c r="AF980" s="8" t="s">
        <v>52</v>
      </c>
      <c r="AG980" s="8" t="s">
        <v>54</v>
      </c>
      <c r="AH980" s="8" t="s">
        <v>55</v>
      </c>
      <c r="AK980" s="8">
        <v>4</v>
      </c>
      <c r="AL980" s="8">
        <v>4</v>
      </c>
      <c r="AN980" s="8">
        <v>413</v>
      </c>
      <c r="AO980" s="8" t="s">
        <v>56</v>
      </c>
      <c r="AP980" s="8" t="s">
        <v>56</v>
      </c>
      <c r="AQ980" s="8" t="s">
        <v>118</v>
      </c>
      <c r="AR980" s="8">
        <v>8.09</v>
      </c>
      <c r="AS980" s="8" t="s">
        <v>56</v>
      </c>
      <c r="AT980" s="8" t="s">
        <v>56</v>
      </c>
      <c r="AU980" s="8">
        <v>823</v>
      </c>
      <c r="AV980" t="s">
        <v>56</v>
      </c>
      <c r="AW980" t="s">
        <v>56</v>
      </c>
      <c r="AX980">
        <v>7.81</v>
      </c>
      <c r="AY980" t="s">
        <v>56</v>
      </c>
      <c r="AZ980" t="s">
        <v>56</v>
      </c>
      <c r="BB980" s="8">
        <f>LOG(AU980)</f>
        <v>2.9153998352122699</v>
      </c>
      <c r="BC980" s="8">
        <v>-0.5</v>
      </c>
      <c r="BD980" s="8" t="s">
        <v>56</v>
      </c>
      <c r="BE980" s="8" t="s">
        <v>56</v>
      </c>
      <c r="BF980" s="8">
        <v>-0.5</v>
      </c>
      <c r="BG980" s="8" t="s">
        <v>56</v>
      </c>
      <c r="BH980" s="8" t="s">
        <v>56</v>
      </c>
      <c r="BI980" s="8">
        <v>410</v>
      </c>
      <c r="BJ980" s="8">
        <v>0</v>
      </c>
      <c r="BK980" s="8" t="s">
        <v>56</v>
      </c>
      <c r="BL980" s="8" t="s">
        <v>800</v>
      </c>
      <c r="BM980" s="8" t="s">
        <v>473</v>
      </c>
      <c r="BN980" s="8" t="s">
        <v>81</v>
      </c>
      <c r="BO980" s="8" t="s">
        <v>82</v>
      </c>
      <c r="BP980" s="8" t="s">
        <v>190</v>
      </c>
      <c r="BQ980" s="8" t="s">
        <v>190</v>
      </c>
      <c r="BR980" s="8" t="s">
        <v>84</v>
      </c>
      <c r="BT980" s="8">
        <v>74.81</v>
      </c>
      <c r="BU980" s="8">
        <v>74.814814999999996</v>
      </c>
      <c r="BV980" s="8">
        <v>1.48</v>
      </c>
      <c r="BW980" s="8">
        <f>BV980*SQRT(AK980)</f>
        <v>2.96</v>
      </c>
      <c r="BX980" s="8">
        <v>71.11</v>
      </c>
      <c r="BY980" s="8">
        <v>71.111111100000002</v>
      </c>
      <c r="BZ980" s="8">
        <v>2.96</v>
      </c>
      <c r="CA980" s="8">
        <f>BZ980*SQRT(AL980)</f>
        <v>5.92</v>
      </c>
      <c r="CB980" s="8">
        <v>1</v>
      </c>
      <c r="CC980" s="8">
        <v>4</v>
      </c>
      <c r="CD980" s="8">
        <v>-5.0999999999999997E-2</v>
      </c>
      <c r="CE980" s="8">
        <v>2.0999999999999999E-3</v>
      </c>
      <c r="CF980" s="8" t="s">
        <v>1134</v>
      </c>
    </row>
    <row r="981" spans="1:84" hidden="1" x14ac:dyDescent="0.2">
      <c r="A981" s="8"/>
      <c r="B981" t="str">
        <f>ROW()-1&amp;"_AltersInvert"</f>
        <v>980_AltersInvert</v>
      </c>
      <c r="C981" t="str">
        <f>D981&amp;"_"&amp;
SUBSTITUTE(TRIM(V981)," ","_")&amp;"_"&amp;
TRIM(AC981)&amp;"_"&amp;
"CO2"&amp;TEXT(AN981,"0.00")&amp;"_"&amp;
"pH"&amp;TEXT(AR981,"0.00")&amp;"_"&amp;
"T"&amp;TEXT(BC981,"0.##")</f>
        <v>104_Patiriella_regularis_EMBRYO_CO2487.00_pH8.08_T16.</v>
      </c>
      <c r="D981" s="8">
        <v>104</v>
      </c>
      <c r="E981" s="8"/>
      <c r="F981" s="8"/>
      <c r="G981" s="8" t="s">
        <v>43</v>
      </c>
      <c r="H981" s="8" t="s">
        <v>788</v>
      </c>
      <c r="I981" s="8" t="s">
        <v>1130</v>
      </c>
      <c r="J981" s="8">
        <v>2017</v>
      </c>
      <c r="K981" s="8"/>
      <c r="L981" s="8"/>
      <c r="M981" s="8" t="s">
        <v>789</v>
      </c>
      <c r="N981" s="8"/>
      <c r="O981" s="8"/>
      <c r="P981" t="s">
        <v>1135</v>
      </c>
      <c r="Q981" s="8"/>
      <c r="R981" s="8" t="s">
        <v>1127</v>
      </c>
      <c r="S981" t="s">
        <v>1128</v>
      </c>
      <c r="T981" s="8" t="s">
        <v>46</v>
      </c>
      <c r="U981" s="8" t="s">
        <v>799</v>
      </c>
      <c r="V981" s="8" t="s">
        <v>603</v>
      </c>
      <c r="W981" s="8" t="str">
        <f>IF(ISNUMBER(MATCH(V375,{"Doryteuthis pealeii","Loligo vulgaris","Leptuca thayeri","Stylocheilus striatus","Ophryotrocha labronica"},0)),"N","Y")</f>
        <v>N</v>
      </c>
      <c r="X981" s="8"/>
      <c r="Y981" s="8"/>
      <c r="Z981" s="8" t="s">
        <v>49</v>
      </c>
      <c r="AA981" s="8" t="s">
        <v>49</v>
      </c>
      <c r="AB981" s="8" t="s">
        <v>71</v>
      </c>
      <c r="AC981" s="8" t="s">
        <v>195</v>
      </c>
      <c r="AD981" s="8" t="s">
        <v>52</v>
      </c>
      <c r="AE981" s="8" t="s">
        <v>53</v>
      </c>
      <c r="AF981" s="8" t="s">
        <v>52</v>
      </c>
      <c r="AG981" s="8" t="s">
        <v>54</v>
      </c>
      <c r="AH981" s="8" t="s">
        <v>55</v>
      </c>
      <c r="AI981" s="8"/>
      <c r="AJ981" s="8"/>
      <c r="AK981" s="8">
        <v>4</v>
      </c>
      <c r="AL981" s="8">
        <v>4</v>
      </c>
      <c r="AM981" s="8"/>
      <c r="AN981" s="8">
        <v>487</v>
      </c>
      <c r="AO981" s="8" t="s">
        <v>56</v>
      </c>
      <c r="AP981" s="8" t="s">
        <v>56</v>
      </c>
      <c r="AQ981" s="8" t="s">
        <v>118</v>
      </c>
      <c r="AR981" s="8">
        <v>8.08</v>
      </c>
      <c r="AS981" s="8" t="s">
        <v>56</v>
      </c>
      <c r="AT981" s="8" t="s">
        <v>56</v>
      </c>
      <c r="AU981" s="8">
        <v>950</v>
      </c>
      <c r="AV981" t="s">
        <v>56</v>
      </c>
      <c r="AW981" t="s">
        <v>56</v>
      </c>
      <c r="AX981">
        <v>7.82</v>
      </c>
      <c r="AY981" t="s">
        <v>56</v>
      </c>
      <c r="AZ981" t="s">
        <v>56</v>
      </c>
      <c r="BA981" s="8"/>
      <c r="BB981" s="8">
        <f>LOG(AU981)</f>
        <v>2.9777236052888476</v>
      </c>
      <c r="BC981" s="8">
        <v>16</v>
      </c>
      <c r="BD981" s="8" t="s">
        <v>56</v>
      </c>
      <c r="BE981" s="8" t="s">
        <v>56</v>
      </c>
      <c r="BF981" s="8">
        <v>16</v>
      </c>
      <c r="BG981" s="8" t="s">
        <v>56</v>
      </c>
      <c r="BH981" s="8" t="s">
        <v>56</v>
      </c>
      <c r="BI981" s="8">
        <v>463</v>
      </c>
      <c r="BJ981" s="8">
        <v>0</v>
      </c>
      <c r="BK981" s="8" t="s">
        <v>56</v>
      </c>
      <c r="BL981" s="8" t="s">
        <v>800</v>
      </c>
      <c r="BM981" s="8" t="s">
        <v>473</v>
      </c>
      <c r="BN981" s="8" t="s">
        <v>81</v>
      </c>
      <c r="BO981" s="8" t="s">
        <v>82</v>
      </c>
      <c r="BP981" s="8" t="s">
        <v>190</v>
      </c>
      <c r="BQ981" s="8" t="s">
        <v>9</v>
      </c>
      <c r="BR981" s="8" t="s">
        <v>84</v>
      </c>
      <c r="BS981" s="8"/>
      <c r="BT981" s="8">
        <v>72.59</v>
      </c>
      <c r="BU981" s="8">
        <v>72.592592999999994</v>
      </c>
      <c r="BV981" s="8">
        <v>1.48</v>
      </c>
      <c r="BW981" s="8">
        <f>BV981*SQRT(AK981)</f>
        <v>2.96</v>
      </c>
      <c r="BX981" s="8">
        <v>71.11</v>
      </c>
      <c r="BY981" s="8">
        <v>71.111111100000002</v>
      </c>
      <c r="BZ981" s="8">
        <v>0.74</v>
      </c>
      <c r="CA981" s="8">
        <f>BZ981*SQRT(AL981)</f>
        <v>1.48</v>
      </c>
      <c r="CB981" s="8">
        <v>1</v>
      </c>
      <c r="CC981" s="8">
        <v>4</v>
      </c>
      <c r="CD981" s="8">
        <v>-2.1000000000000001E-2</v>
      </c>
      <c r="CE981" s="8">
        <v>5.0000000000000001E-4</v>
      </c>
      <c r="CF981" s="8" t="s">
        <v>1134</v>
      </c>
    </row>
    <row r="982" spans="1:84" hidden="1" x14ac:dyDescent="0.2">
      <c r="A982" s="8"/>
      <c r="B982" t="str">
        <f>ROW()-1&amp;"_AltersInvert"</f>
        <v>981_AltersInvert</v>
      </c>
      <c r="C982" t="str">
        <f>D982&amp;"_"&amp;
SUBSTITUTE(TRIM(V982)," ","_")&amp;"_"&amp;
TRIM(AC982)&amp;"_"&amp;
"CO2"&amp;TEXT(AN982,"0.00")&amp;"_"&amp;
"pH"&amp;TEXT(AR982,"0.00")&amp;"_"&amp;
"T"&amp;TEXT(BC982,"0.##")</f>
        <v>104_Patiriella_regularis_EMBRYO_CO2487.00_pH8.08_T16.</v>
      </c>
      <c r="D982" s="8">
        <v>104</v>
      </c>
      <c r="E982" s="8"/>
      <c r="F982" s="8"/>
      <c r="G982" s="8" t="s">
        <v>43</v>
      </c>
      <c r="H982" s="8" t="s">
        <v>788</v>
      </c>
      <c r="I982" s="8" t="s">
        <v>1130</v>
      </c>
      <c r="J982" s="8">
        <v>2017</v>
      </c>
      <c r="K982" s="8"/>
      <c r="L982" s="8"/>
      <c r="M982" s="8" t="s">
        <v>789</v>
      </c>
      <c r="N982" s="8"/>
      <c r="O982" s="8"/>
      <c r="P982" t="s">
        <v>1135</v>
      </c>
      <c r="Q982" s="8"/>
      <c r="R982" s="8" t="s">
        <v>1127</v>
      </c>
      <c r="S982" t="s">
        <v>1128</v>
      </c>
      <c r="T982" s="8" t="s">
        <v>46</v>
      </c>
      <c r="U982" s="8" t="s">
        <v>799</v>
      </c>
      <c r="V982" s="8" t="s">
        <v>603</v>
      </c>
      <c r="W982" s="8" t="str">
        <f>IF(ISNUMBER(MATCH(V376,{"Doryteuthis pealeii","Loligo vulgaris","Leptuca thayeri","Stylocheilus striatus","Ophryotrocha labronica"},0)),"N","Y")</f>
        <v>N</v>
      </c>
      <c r="X982" s="8"/>
      <c r="Y982" s="8"/>
      <c r="Z982" s="8" t="s">
        <v>49</v>
      </c>
      <c r="AA982" s="8" t="s">
        <v>49</v>
      </c>
      <c r="AB982" s="8" t="s">
        <v>71</v>
      </c>
      <c r="AC982" s="8" t="s">
        <v>195</v>
      </c>
      <c r="AD982" s="8" t="s">
        <v>52</v>
      </c>
      <c r="AE982" s="8" t="s">
        <v>53</v>
      </c>
      <c r="AF982" s="8" t="s">
        <v>54</v>
      </c>
      <c r="AG982" s="8" t="s">
        <v>52</v>
      </c>
      <c r="AH982" s="8" t="s">
        <v>65</v>
      </c>
      <c r="AI982" s="8"/>
      <c r="AJ982" s="8"/>
      <c r="AK982" s="8">
        <v>4</v>
      </c>
      <c r="AL982" s="8">
        <v>4</v>
      </c>
      <c r="AM982" s="8"/>
      <c r="AN982" s="8">
        <v>487</v>
      </c>
      <c r="AO982" s="8" t="s">
        <v>56</v>
      </c>
      <c r="AP982" s="8" t="s">
        <v>56</v>
      </c>
      <c r="AQ982" s="8" t="s">
        <v>118</v>
      </c>
      <c r="AR982" s="8">
        <v>8.08</v>
      </c>
      <c r="AS982" s="8" t="s">
        <v>56</v>
      </c>
      <c r="AT982" s="8" t="s">
        <v>56</v>
      </c>
      <c r="AU982" s="8">
        <v>487</v>
      </c>
      <c r="AV982" t="s">
        <v>56</v>
      </c>
      <c r="AW982" t="s">
        <v>56</v>
      </c>
      <c r="AX982">
        <v>8.1</v>
      </c>
      <c r="AY982" t="s">
        <v>56</v>
      </c>
      <c r="AZ982" t="s">
        <v>56</v>
      </c>
      <c r="BA982" s="8"/>
      <c r="BB982" s="8">
        <f>LOG(AU982)</f>
        <v>2.6875289612146345</v>
      </c>
      <c r="BC982" s="8">
        <v>16</v>
      </c>
      <c r="BD982" s="8" t="s">
        <v>56</v>
      </c>
      <c r="BE982" s="8" t="s">
        <v>56</v>
      </c>
      <c r="BF982" s="8">
        <v>27.1</v>
      </c>
      <c r="BG982" s="8" t="s">
        <v>56</v>
      </c>
      <c r="BH982" s="8" t="s">
        <v>56</v>
      </c>
      <c r="BI982" s="8">
        <v>0</v>
      </c>
      <c r="BJ982" s="8">
        <v>11.1</v>
      </c>
      <c r="BK982" s="8" t="s">
        <v>56</v>
      </c>
      <c r="BL982" s="8" t="s">
        <v>800</v>
      </c>
      <c r="BM982" s="8" t="s">
        <v>473</v>
      </c>
      <c r="BN982" s="8" t="s">
        <v>81</v>
      </c>
      <c r="BO982" s="8" t="s">
        <v>82</v>
      </c>
      <c r="BP982" s="8" t="s">
        <v>190</v>
      </c>
      <c r="BQ982" s="8" t="s">
        <v>92</v>
      </c>
      <c r="BR982" s="8" t="s">
        <v>84</v>
      </c>
      <c r="BS982" s="8"/>
      <c r="BT982" s="8">
        <v>72.59</v>
      </c>
      <c r="BU982" s="8">
        <v>72.592592999999994</v>
      </c>
      <c r="BV982" s="8">
        <v>1.48</v>
      </c>
      <c r="BW982" s="8">
        <f>BV982*SQRT(AK982)</f>
        <v>2.96</v>
      </c>
      <c r="BX982" s="8">
        <v>22.96</v>
      </c>
      <c r="BY982" s="8">
        <v>22.962962999999998</v>
      </c>
      <c r="BZ982" s="8">
        <v>2.96</v>
      </c>
      <c r="CA982" s="8">
        <f>BZ982*SQRT(AL982)</f>
        <v>5.92</v>
      </c>
      <c r="CB982" s="8">
        <v>1</v>
      </c>
      <c r="CC982" s="8">
        <v>4</v>
      </c>
      <c r="CD982" s="8">
        <v>-1.151</v>
      </c>
      <c r="CE982" s="8">
        <v>1.7100000000000001E-2</v>
      </c>
      <c r="CF982" s="8" t="s">
        <v>1134</v>
      </c>
    </row>
    <row r="983" spans="1:84" s="8" customFormat="1" hidden="1" x14ac:dyDescent="0.2">
      <c r="B983" t="str">
        <f>ROW()-1&amp;"_AltersInvert"</f>
        <v>982_AltersInvert</v>
      </c>
      <c r="C983" t="str">
        <f>D983&amp;"_"&amp;
SUBSTITUTE(TRIM(V983)," ","_")&amp;"_"&amp;
TRIM(AC983)&amp;"_"&amp;
"CO2"&amp;TEXT(AN983,"0.00")&amp;"_"&amp;
"pH"&amp;TEXT(AR983,"0.00")&amp;"_"&amp;
"T"&amp;TEXT(BC983,"0.##")</f>
        <v>104_Odontaster_validus_EMBRYO_CO2413.00_pH8.09_T-0.5</v>
      </c>
      <c r="D983" s="8">
        <v>104</v>
      </c>
      <c r="G983" s="8" t="s">
        <v>43</v>
      </c>
      <c r="H983" s="8" t="s">
        <v>788</v>
      </c>
      <c r="I983" s="8" t="s">
        <v>1130</v>
      </c>
      <c r="J983" s="8">
        <v>2017</v>
      </c>
      <c r="M983" s="8" t="s">
        <v>789</v>
      </c>
      <c r="P983" t="s">
        <v>1135</v>
      </c>
      <c r="R983" s="8" t="s">
        <v>1127</v>
      </c>
      <c r="S983" t="s">
        <v>1128</v>
      </c>
      <c r="T983" s="8" t="s">
        <v>46</v>
      </c>
      <c r="U983" s="8" t="s">
        <v>790</v>
      </c>
      <c r="V983" s="8" t="s">
        <v>791</v>
      </c>
      <c r="W983" s="8" t="str">
        <f>IF(ISNUMBER(MATCH(V377,{"Doryteuthis pealeii","Loligo vulgaris","Leptuca thayeri","Stylocheilus striatus","Ophryotrocha labronica"},0)),"N","Y")</f>
        <v>N</v>
      </c>
      <c r="Z983" s="8" t="s">
        <v>475</v>
      </c>
      <c r="AA983" s="8" t="s">
        <v>475</v>
      </c>
      <c r="AB983" s="8" t="s">
        <v>71</v>
      </c>
      <c r="AC983" s="8" t="s">
        <v>195</v>
      </c>
      <c r="AD983" s="8" t="s">
        <v>52</v>
      </c>
      <c r="AE983" s="8" t="s">
        <v>53</v>
      </c>
      <c r="AF983" s="8" t="s">
        <v>54</v>
      </c>
      <c r="AG983" s="8" t="s">
        <v>52</v>
      </c>
      <c r="AH983" s="8" t="s">
        <v>65</v>
      </c>
      <c r="AK983" s="8">
        <v>4</v>
      </c>
      <c r="AL983" s="8">
        <v>4</v>
      </c>
      <c r="AN983" s="8">
        <v>413</v>
      </c>
      <c r="AO983" s="8" t="s">
        <v>56</v>
      </c>
      <c r="AP983" s="8" t="s">
        <v>56</v>
      </c>
      <c r="AQ983" s="8" t="s">
        <v>118</v>
      </c>
      <c r="AR983" s="8">
        <v>8.09</v>
      </c>
      <c r="AS983" s="8" t="s">
        <v>56</v>
      </c>
      <c r="AT983" s="8" t="s">
        <v>56</v>
      </c>
      <c r="AU983" s="8">
        <v>413</v>
      </c>
      <c r="AV983" t="s">
        <v>56</v>
      </c>
      <c r="AW983" t="s">
        <v>56</v>
      </c>
      <c r="AX983">
        <v>8.1300000000000008</v>
      </c>
      <c r="AY983" t="s">
        <v>56</v>
      </c>
      <c r="AZ983" t="s">
        <v>56</v>
      </c>
      <c r="BB983" s="8">
        <f>LOG(AU983)</f>
        <v>2.6159500516564012</v>
      </c>
      <c r="BC983" s="8">
        <v>-0.5</v>
      </c>
      <c r="BD983" s="8" t="s">
        <v>56</v>
      </c>
      <c r="BE983" s="8" t="s">
        <v>56</v>
      </c>
      <c r="BF983" s="8">
        <v>10.1</v>
      </c>
      <c r="BG983" s="8" t="s">
        <v>56</v>
      </c>
      <c r="BH983" s="8" t="s">
        <v>56</v>
      </c>
      <c r="BI983" s="8">
        <v>0</v>
      </c>
      <c r="BJ983" s="8">
        <v>10.6</v>
      </c>
      <c r="BK983" s="8" t="s">
        <v>56</v>
      </c>
      <c r="BL983" s="8" t="s">
        <v>800</v>
      </c>
      <c r="BM983" s="8" t="s">
        <v>473</v>
      </c>
      <c r="BN983" s="8" t="s">
        <v>81</v>
      </c>
      <c r="BO983" s="8" t="s">
        <v>82</v>
      </c>
      <c r="BP983" s="8" t="s">
        <v>190</v>
      </c>
      <c r="BQ983" s="8" t="s">
        <v>9</v>
      </c>
      <c r="BR983" s="8" t="s">
        <v>84</v>
      </c>
      <c r="BT983" s="8">
        <v>74.81</v>
      </c>
      <c r="BU983" s="8">
        <v>74.814814999999996</v>
      </c>
      <c r="BV983" s="8">
        <v>1.48</v>
      </c>
      <c r="BW983" s="8">
        <f>BV983*SQRT(AK983)</f>
        <v>2.96</v>
      </c>
      <c r="BX983" s="8">
        <v>80</v>
      </c>
      <c r="BY983" s="8">
        <v>80</v>
      </c>
      <c r="BZ983" s="8">
        <v>2.96</v>
      </c>
      <c r="CA983" s="8">
        <f>BZ983*SQRT(AL983)</f>
        <v>5.92</v>
      </c>
      <c r="CB983" s="8">
        <v>1</v>
      </c>
      <c r="CC983" s="8">
        <v>4</v>
      </c>
      <c r="CD983" s="8">
        <v>6.7000000000000004E-2</v>
      </c>
      <c r="CE983" s="8">
        <v>1.8E-3</v>
      </c>
      <c r="CF983" s="8" t="s">
        <v>1134</v>
      </c>
    </row>
    <row r="984" spans="1:84" hidden="1" x14ac:dyDescent="0.2">
      <c r="A984" s="8"/>
      <c r="B984" t="str">
        <f>ROW()-1&amp;"_AltersInvert"</f>
        <v>983_AltersInvert</v>
      </c>
      <c r="C984" t="str">
        <f>D984&amp;"_"&amp;
SUBSTITUTE(TRIM(V984)," ","_")&amp;"_"&amp;
TRIM(AC984)&amp;"_"&amp;
"CO2"&amp;TEXT(AN984,"0.00")&amp;"_"&amp;
"pH"&amp;TEXT(AR984,"0.00")&amp;"_"&amp;
"T"&amp;TEXT(BC984,"0.##")</f>
        <v>104_Odontaster_validus_EMBRYO_CO2413.00_pH8.09_T-0.5</v>
      </c>
      <c r="D984" s="8">
        <v>104</v>
      </c>
      <c r="E984" s="8"/>
      <c r="F984" s="8"/>
      <c r="G984" s="8" t="s">
        <v>43</v>
      </c>
      <c r="H984" s="8" t="s">
        <v>788</v>
      </c>
      <c r="I984" s="8" t="s">
        <v>1130</v>
      </c>
      <c r="J984" s="8">
        <v>2017</v>
      </c>
      <c r="K984" s="8"/>
      <c r="L984" s="8"/>
      <c r="M984" s="8" t="s">
        <v>789</v>
      </c>
      <c r="N984" s="8"/>
      <c r="O984" s="8"/>
      <c r="P984" t="s">
        <v>1135</v>
      </c>
      <c r="Q984" s="8"/>
      <c r="R984" s="8" t="s">
        <v>1127</v>
      </c>
      <c r="S984" t="s">
        <v>1128</v>
      </c>
      <c r="T984" s="8" t="s">
        <v>46</v>
      </c>
      <c r="U984" s="8" t="s">
        <v>790</v>
      </c>
      <c r="V984" s="8" t="s">
        <v>791</v>
      </c>
      <c r="W984" s="8" t="str">
        <f>IF(ISNUMBER(MATCH(V378,{"Doryteuthis pealeii","Loligo vulgaris","Leptuca thayeri","Stylocheilus striatus","Ophryotrocha labronica"},0)),"N","Y")</f>
        <v>N</v>
      </c>
      <c r="X984" s="8"/>
      <c r="Y984" s="8"/>
      <c r="Z984" s="8" t="s">
        <v>475</v>
      </c>
      <c r="AA984" s="8" t="s">
        <v>475</v>
      </c>
      <c r="AB984" s="8" t="s">
        <v>71</v>
      </c>
      <c r="AC984" s="8" t="s">
        <v>195</v>
      </c>
      <c r="AD984" s="8" t="s">
        <v>52</v>
      </c>
      <c r="AE984" s="8" t="s">
        <v>53</v>
      </c>
      <c r="AF984" s="8" t="s">
        <v>54</v>
      </c>
      <c r="AG984" s="8" t="s">
        <v>52</v>
      </c>
      <c r="AH984" s="8" t="s">
        <v>65</v>
      </c>
      <c r="AI984" s="8"/>
      <c r="AJ984" s="8"/>
      <c r="AK984" s="8">
        <v>4</v>
      </c>
      <c r="AL984" s="8">
        <v>4</v>
      </c>
      <c r="AM984" s="8"/>
      <c r="AN984" s="8">
        <v>413</v>
      </c>
      <c r="AO984" s="8" t="s">
        <v>56</v>
      </c>
      <c r="AP984" s="8" t="s">
        <v>56</v>
      </c>
      <c r="AQ984" s="8" t="s">
        <v>118</v>
      </c>
      <c r="AR984" s="8">
        <v>8.09</v>
      </c>
      <c r="AS984" s="8" t="s">
        <v>56</v>
      </c>
      <c r="AT984" s="8" t="s">
        <v>56</v>
      </c>
      <c r="AU984" s="8">
        <v>413</v>
      </c>
      <c r="AV984" t="s">
        <v>56</v>
      </c>
      <c r="AW984" t="s">
        <v>56</v>
      </c>
      <c r="AX984">
        <v>8.1199999999999992</v>
      </c>
      <c r="AY984" t="s">
        <v>56</v>
      </c>
      <c r="AZ984" t="s">
        <v>56</v>
      </c>
      <c r="BA984" s="8"/>
      <c r="BB984" s="8">
        <f>LOG(AU984)</f>
        <v>2.6159500516564012</v>
      </c>
      <c r="BC984" s="8">
        <v>-0.5</v>
      </c>
      <c r="BD984" s="8" t="s">
        <v>56</v>
      </c>
      <c r="BE984" s="8" t="s">
        <v>56</v>
      </c>
      <c r="BF984" s="8">
        <v>7</v>
      </c>
      <c r="BG984" s="8" t="s">
        <v>56</v>
      </c>
      <c r="BH984" s="8" t="s">
        <v>56</v>
      </c>
      <c r="BI984" s="8">
        <v>0</v>
      </c>
      <c r="BJ984" s="8">
        <v>7.5</v>
      </c>
      <c r="BK984" s="8" t="s">
        <v>56</v>
      </c>
      <c r="BL984" s="8" t="s">
        <v>800</v>
      </c>
      <c r="BM984" s="8" t="s">
        <v>473</v>
      </c>
      <c r="BN984" s="8" t="s">
        <v>81</v>
      </c>
      <c r="BO984" s="8" t="s">
        <v>82</v>
      </c>
      <c r="BP984" s="8" t="s">
        <v>190</v>
      </c>
      <c r="BQ984" s="8" t="s">
        <v>190</v>
      </c>
      <c r="BR984" s="8" t="s">
        <v>84</v>
      </c>
      <c r="BS984" s="8"/>
      <c r="BT984" s="8">
        <v>74.81</v>
      </c>
      <c r="BU984" s="8">
        <v>74.814814999999996</v>
      </c>
      <c r="BV984" s="8">
        <v>1.48</v>
      </c>
      <c r="BW984" s="8">
        <f>BV984*SQRT(AK984)</f>
        <v>2.96</v>
      </c>
      <c r="BX984" s="8">
        <v>80.739999999999995</v>
      </c>
      <c r="BY984" s="8">
        <v>80.740740700000003</v>
      </c>
      <c r="BZ984" s="8">
        <v>1.48</v>
      </c>
      <c r="CA984" s="8">
        <f>BZ984*SQRT(AL984)</f>
        <v>2.96</v>
      </c>
      <c r="CB984" s="8">
        <v>1</v>
      </c>
      <c r="CC984" s="8">
        <v>4</v>
      </c>
      <c r="CD984" s="8">
        <v>7.5999999999999998E-2</v>
      </c>
      <c r="CE984" s="8">
        <v>6.9999999999999999E-4</v>
      </c>
      <c r="CF984" s="8" t="s">
        <v>1134</v>
      </c>
    </row>
    <row r="985" spans="1:84" hidden="1" x14ac:dyDescent="0.2">
      <c r="A985" s="8"/>
      <c r="B985" t="str">
        <f>ROW()-1&amp;"_AltersInvert"</f>
        <v>984_AltersInvert</v>
      </c>
      <c r="C985" t="str">
        <f>D985&amp;"_"&amp;
SUBSTITUTE(TRIM(V985)," ","_")&amp;"_"&amp;
TRIM(AC985)&amp;"_"&amp;
"CO2"&amp;TEXT(AN985,"0.00")&amp;"_"&amp;
"pH"&amp;TEXT(AR985,"0.00")&amp;"_"&amp;
"T"&amp;TEXT(BC985,"0.##")</f>
        <v>104_Patiriella_regularis_EMBRYO_CO2487.00_pH8.08_T16.</v>
      </c>
      <c r="D985" s="8">
        <v>104</v>
      </c>
      <c r="E985" s="8"/>
      <c r="F985" s="8"/>
      <c r="G985" s="8" t="s">
        <v>43</v>
      </c>
      <c r="H985" s="8" t="s">
        <v>788</v>
      </c>
      <c r="I985" s="8" t="s">
        <v>1130</v>
      </c>
      <c r="J985" s="8">
        <v>2017</v>
      </c>
      <c r="K985" s="8"/>
      <c r="L985" s="8"/>
      <c r="M985" s="8" t="s">
        <v>789</v>
      </c>
      <c r="N985" s="8"/>
      <c r="O985" s="8"/>
      <c r="P985" t="s">
        <v>1135</v>
      </c>
      <c r="Q985" s="8"/>
      <c r="R985" s="8" t="s">
        <v>1127</v>
      </c>
      <c r="S985" t="s">
        <v>1128</v>
      </c>
      <c r="T985" s="8" t="s">
        <v>46</v>
      </c>
      <c r="U985" s="8" t="s">
        <v>799</v>
      </c>
      <c r="V985" s="8" t="s">
        <v>603</v>
      </c>
      <c r="W985" s="8" t="str">
        <f>IF(ISNUMBER(MATCH(V379,{"Doryteuthis pealeii","Loligo vulgaris","Leptuca thayeri","Stylocheilus striatus","Ophryotrocha labronica"},0)),"N","Y")</f>
        <v>N</v>
      </c>
      <c r="X985" s="8"/>
      <c r="Y985" s="8"/>
      <c r="Z985" s="8" t="s">
        <v>49</v>
      </c>
      <c r="AA985" s="8" t="s">
        <v>49</v>
      </c>
      <c r="AB985" s="8" t="s">
        <v>71</v>
      </c>
      <c r="AC985" s="8" t="s">
        <v>195</v>
      </c>
      <c r="AD985" s="8" t="s">
        <v>52</v>
      </c>
      <c r="AE985" s="8" t="s">
        <v>53</v>
      </c>
      <c r="AF985" s="8" t="s">
        <v>52</v>
      </c>
      <c r="AG985" s="8" t="s">
        <v>52</v>
      </c>
      <c r="AH985" s="8" t="s">
        <v>64</v>
      </c>
      <c r="AI985" s="8"/>
      <c r="AJ985" s="8"/>
      <c r="AK985" s="8">
        <v>4</v>
      </c>
      <c r="AL985" s="8">
        <v>4</v>
      </c>
      <c r="AM985" s="8"/>
      <c r="AN985" s="8">
        <v>487</v>
      </c>
      <c r="AO985" s="8" t="s">
        <v>56</v>
      </c>
      <c r="AP985" s="8" t="s">
        <v>56</v>
      </c>
      <c r="AQ985" s="8" t="s">
        <v>118</v>
      </c>
      <c r="AR985" s="8">
        <v>8.08</v>
      </c>
      <c r="AS985" s="8" t="s">
        <v>56</v>
      </c>
      <c r="AT985" s="8" t="s">
        <v>56</v>
      </c>
      <c r="AU985" s="8">
        <v>950</v>
      </c>
      <c r="AV985" t="s">
        <v>56</v>
      </c>
      <c r="AW985" t="s">
        <v>56</v>
      </c>
      <c r="AX985">
        <v>7.86</v>
      </c>
      <c r="AY985" t="s">
        <v>56</v>
      </c>
      <c r="AZ985" t="s">
        <v>56</v>
      </c>
      <c r="BA985" s="8"/>
      <c r="BB985" s="8">
        <f>LOG(AU985)</f>
        <v>2.9777236052888476</v>
      </c>
      <c r="BC985" s="8">
        <v>16</v>
      </c>
      <c r="BD985" s="8" t="s">
        <v>56</v>
      </c>
      <c r="BE985" s="8" t="s">
        <v>56</v>
      </c>
      <c r="BF985" s="8">
        <v>27.1</v>
      </c>
      <c r="BG985" s="8" t="s">
        <v>56</v>
      </c>
      <c r="BH985" s="8" t="s">
        <v>56</v>
      </c>
      <c r="BI985" s="8">
        <v>463</v>
      </c>
      <c r="BJ985" s="8">
        <v>11.1</v>
      </c>
      <c r="BK985" s="8" t="s">
        <v>56</v>
      </c>
      <c r="BL985" s="8" t="s">
        <v>800</v>
      </c>
      <c r="BM985" s="8" t="s">
        <v>473</v>
      </c>
      <c r="BN985" s="8" t="s">
        <v>81</v>
      </c>
      <c r="BO985" s="8" t="s">
        <v>82</v>
      </c>
      <c r="BP985" s="8" t="s">
        <v>190</v>
      </c>
      <c r="BQ985" s="8" t="s">
        <v>9</v>
      </c>
      <c r="BR985" s="8" t="s">
        <v>84</v>
      </c>
      <c r="BS985" s="8"/>
      <c r="BT985" s="8">
        <v>72.59</v>
      </c>
      <c r="BU985" s="8">
        <v>72.592592999999994</v>
      </c>
      <c r="BV985" s="8">
        <v>1.48</v>
      </c>
      <c r="BW985" s="8">
        <f>BV985*SQRT(AK985)</f>
        <v>2.96</v>
      </c>
      <c r="BX985" s="8">
        <v>30.37</v>
      </c>
      <c r="BY985" s="8">
        <v>30.370370399999999</v>
      </c>
      <c r="BZ985" s="8">
        <v>4.4400000000000004</v>
      </c>
      <c r="CA985" s="8">
        <f>BZ985*SQRT(AL985)</f>
        <v>8.8800000000000008</v>
      </c>
      <c r="CB985" s="8">
        <v>1</v>
      </c>
      <c r="CC985" s="8">
        <v>4</v>
      </c>
      <c r="CD985" s="8">
        <v>-0.871</v>
      </c>
      <c r="CE985" s="8">
        <v>2.18E-2</v>
      </c>
      <c r="CF985" s="8" t="s">
        <v>1134</v>
      </c>
    </row>
    <row r="986" spans="1:84" hidden="1" x14ac:dyDescent="0.2">
      <c r="A986" s="8"/>
      <c r="B986" t="str">
        <f>ROW()-1&amp;"_AltersInvert"</f>
        <v>985_AltersInvert</v>
      </c>
      <c r="C986" t="str">
        <f>D986&amp;"_"&amp;
SUBSTITUTE(TRIM(V986)," ","_")&amp;"_"&amp;
TRIM(AC986)&amp;"_"&amp;
"CO2"&amp;TEXT(AN986,"0.00")&amp;"_"&amp;
"pH"&amp;TEXT(AR986,"0.00")&amp;"_"&amp;
"T"&amp;TEXT(BC986,"0.##")</f>
        <v>104_Odontaster_validus_EMBRYO_CO2413.00_pH8.09_T-0.5</v>
      </c>
      <c r="D986" s="8">
        <v>104</v>
      </c>
      <c r="E986" s="8"/>
      <c r="F986" s="8"/>
      <c r="G986" s="8" t="s">
        <v>43</v>
      </c>
      <c r="H986" s="8" t="s">
        <v>788</v>
      </c>
      <c r="I986" s="8" t="s">
        <v>1130</v>
      </c>
      <c r="J986" s="8">
        <v>2017</v>
      </c>
      <c r="K986" s="8"/>
      <c r="L986" s="8"/>
      <c r="M986" s="8" t="s">
        <v>789</v>
      </c>
      <c r="N986" s="8"/>
      <c r="O986" s="8"/>
      <c r="P986" t="s">
        <v>1135</v>
      </c>
      <c r="Q986" s="8"/>
      <c r="R986" s="8" t="s">
        <v>1127</v>
      </c>
      <c r="S986" t="s">
        <v>1128</v>
      </c>
      <c r="T986" s="8" t="s">
        <v>46</v>
      </c>
      <c r="U986" s="8" t="s">
        <v>790</v>
      </c>
      <c r="V986" s="8" t="s">
        <v>791</v>
      </c>
      <c r="W986" s="8" t="str">
        <f>IF(ISNUMBER(MATCH(V380,{"Doryteuthis pealeii","Loligo vulgaris","Leptuca thayeri","Stylocheilus striatus","Ophryotrocha labronica"},0)),"N","Y")</f>
        <v>N</v>
      </c>
      <c r="X986" s="8"/>
      <c r="Y986" s="8"/>
      <c r="Z986" s="8" t="s">
        <v>475</v>
      </c>
      <c r="AA986" s="8" t="s">
        <v>475</v>
      </c>
      <c r="AB986" s="8" t="s">
        <v>71</v>
      </c>
      <c r="AC986" s="8" t="s">
        <v>195</v>
      </c>
      <c r="AD986" s="8" t="s">
        <v>52</v>
      </c>
      <c r="AE986" s="8" t="s">
        <v>53</v>
      </c>
      <c r="AF986" s="8" t="s">
        <v>52</v>
      </c>
      <c r="AG986" s="8" t="s">
        <v>52</v>
      </c>
      <c r="AH986" s="8" t="s">
        <v>64</v>
      </c>
      <c r="AI986" s="8"/>
      <c r="AJ986" s="8"/>
      <c r="AK986" s="8">
        <v>4</v>
      </c>
      <c r="AL986" s="8">
        <v>4</v>
      </c>
      <c r="AM986" s="8"/>
      <c r="AN986" s="8">
        <v>413</v>
      </c>
      <c r="AO986" s="8" t="s">
        <v>56</v>
      </c>
      <c r="AP986" s="8" t="s">
        <v>56</v>
      </c>
      <c r="AQ986" s="8" t="s">
        <v>118</v>
      </c>
      <c r="AR986" s="8">
        <v>8.09</v>
      </c>
      <c r="AS986" s="8" t="s">
        <v>56</v>
      </c>
      <c r="AT986" s="8" t="s">
        <v>56</v>
      </c>
      <c r="AU986" s="8">
        <v>823</v>
      </c>
      <c r="AV986" t="s">
        <v>56</v>
      </c>
      <c r="AW986" t="s">
        <v>56</v>
      </c>
      <c r="AX986">
        <v>7.84</v>
      </c>
      <c r="AY986" t="s">
        <v>56</v>
      </c>
      <c r="AZ986" t="s">
        <v>56</v>
      </c>
      <c r="BA986" s="8"/>
      <c r="BB986" s="8">
        <f>LOG(AU986)</f>
        <v>2.9153998352122699</v>
      </c>
      <c r="BC986" s="8">
        <v>-0.5</v>
      </c>
      <c r="BD986" s="8" t="s">
        <v>56</v>
      </c>
      <c r="BE986" s="8" t="s">
        <v>56</v>
      </c>
      <c r="BF986" s="8">
        <v>7</v>
      </c>
      <c r="BG986" s="8" t="s">
        <v>56</v>
      </c>
      <c r="BH986" s="8" t="s">
        <v>56</v>
      </c>
      <c r="BI986" s="8">
        <v>410</v>
      </c>
      <c r="BJ986" s="8">
        <v>7.5</v>
      </c>
      <c r="BK986" s="8" t="s">
        <v>56</v>
      </c>
      <c r="BL986" s="8" t="s">
        <v>800</v>
      </c>
      <c r="BM986" s="8" t="s">
        <v>473</v>
      </c>
      <c r="BN986" s="8" t="s">
        <v>81</v>
      </c>
      <c r="BO986" s="8" t="s">
        <v>82</v>
      </c>
      <c r="BP986" s="8" t="s">
        <v>190</v>
      </c>
      <c r="BQ986" s="8" t="s">
        <v>190</v>
      </c>
      <c r="BR986" s="8" t="s">
        <v>84</v>
      </c>
      <c r="BS986" s="8"/>
      <c r="BT986" s="8">
        <v>74.81</v>
      </c>
      <c r="BU986" s="8">
        <v>74.814814999999996</v>
      </c>
      <c r="BV986" s="8">
        <v>1.48</v>
      </c>
      <c r="BW986" s="8">
        <f>BV986*SQRT(AK986)</f>
        <v>2.96</v>
      </c>
      <c r="BX986" s="8">
        <v>76.3</v>
      </c>
      <c r="BY986" s="8">
        <v>76.296296299999995</v>
      </c>
      <c r="BZ986" s="8">
        <v>1.48</v>
      </c>
      <c r="CA986" s="8">
        <f>BZ986*SQRT(AL986)</f>
        <v>2.96</v>
      </c>
      <c r="CB986" s="8">
        <v>1</v>
      </c>
      <c r="CC986" s="8">
        <v>4</v>
      </c>
      <c r="CD986" s="8">
        <v>0.02</v>
      </c>
      <c r="CE986" s="8">
        <v>8.0000000000000004E-4</v>
      </c>
      <c r="CF986" s="8" t="s">
        <v>1134</v>
      </c>
    </row>
    <row r="987" spans="1:84" hidden="1" x14ac:dyDescent="0.2">
      <c r="A987" s="8"/>
      <c r="B987" t="str">
        <f>ROW()-1&amp;"_AltersInvert"</f>
        <v>986_AltersInvert</v>
      </c>
      <c r="C987" t="str">
        <f>D987&amp;"_"&amp;
SUBSTITUTE(TRIM(V987)," ","_")&amp;"_"&amp;
TRIM(AC987)&amp;"_"&amp;
"CO2"&amp;TEXT(AN987,"0.00")&amp;"_"&amp;
"pH"&amp;TEXT(AR987,"0.00")&amp;"_"&amp;
"T"&amp;TEXT(BC987,"0.##")</f>
        <v>104_Odontaster_validus_EMBRYO_CO2413.00_pH8.09_T-0.5</v>
      </c>
      <c r="D987" s="8">
        <v>104</v>
      </c>
      <c r="E987" s="8"/>
      <c r="F987" s="8"/>
      <c r="G987" s="8" t="s">
        <v>43</v>
      </c>
      <c r="H987" s="8" t="s">
        <v>788</v>
      </c>
      <c r="I987" s="8" t="s">
        <v>1130</v>
      </c>
      <c r="J987" s="8">
        <v>2017</v>
      </c>
      <c r="K987" s="8"/>
      <c r="L987" s="8"/>
      <c r="M987" s="8" t="s">
        <v>789</v>
      </c>
      <c r="N987" s="8"/>
      <c r="O987" s="8"/>
      <c r="P987" t="s">
        <v>1135</v>
      </c>
      <c r="Q987" s="8"/>
      <c r="R987" s="8" t="s">
        <v>1127</v>
      </c>
      <c r="S987" t="s">
        <v>1128</v>
      </c>
      <c r="T987" s="8" t="s">
        <v>46</v>
      </c>
      <c r="U987" s="8" t="s">
        <v>790</v>
      </c>
      <c r="V987" s="8" t="s">
        <v>791</v>
      </c>
      <c r="W987" s="8" t="str">
        <f>IF(ISNUMBER(MATCH(V381,{"Doryteuthis pealeii","Loligo vulgaris","Leptuca thayeri","Stylocheilus striatus","Ophryotrocha labronica"},0)),"N","Y")</f>
        <v>N</v>
      </c>
      <c r="X987" s="8"/>
      <c r="Y987" s="8"/>
      <c r="Z987" s="8" t="s">
        <v>475</v>
      </c>
      <c r="AA987" s="8" t="s">
        <v>475</v>
      </c>
      <c r="AB987" s="8" t="s">
        <v>71</v>
      </c>
      <c r="AC987" s="8" t="s">
        <v>195</v>
      </c>
      <c r="AD987" s="8" t="s">
        <v>52</v>
      </c>
      <c r="AE987" s="8" t="s">
        <v>53</v>
      </c>
      <c r="AF987" s="8" t="s">
        <v>52</v>
      </c>
      <c r="AG987" s="8" t="s">
        <v>52</v>
      </c>
      <c r="AH987" s="8" t="s">
        <v>64</v>
      </c>
      <c r="AI987" s="8"/>
      <c r="AJ987" s="8"/>
      <c r="AK987" s="8">
        <v>4</v>
      </c>
      <c r="AL987" s="8">
        <v>4</v>
      </c>
      <c r="AM987" s="8"/>
      <c r="AN987" s="8">
        <v>413</v>
      </c>
      <c r="AO987" s="8" t="s">
        <v>56</v>
      </c>
      <c r="AP987" s="8" t="s">
        <v>56</v>
      </c>
      <c r="AQ987" s="8" t="s">
        <v>118</v>
      </c>
      <c r="AR987" s="8">
        <v>8.09</v>
      </c>
      <c r="AS987" s="8" t="s">
        <v>56</v>
      </c>
      <c r="AT987" s="8" t="s">
        <v>56</v>
      </c>
      <c r="AU987" s="8">
        <v>823</v>
      </c>
      <c r="AV987" t="s">
        <v>56</v>
      </c>
      <c r="AW987" t="s">
        <v>56</v>
      </c>
      <c r="AX987">
        <v>7.85</v>
      </c>
      <c r="AY987" t="s">
        <v>56</v>
      </c>
      <c r="AZ987" t="s">
        <v>56</v>
      </c>
      <c r="BA987" s="8"/>
      <c r="BB987" s="8">
        <f>LOG(AU987)</f>
        <v>2.9153998352122699</v>
      </c>
      <c r="BC987" s="8">
        <v>-0.5</v>
      </c>
      <c r="BD987" s="8" t="s">
        <v>56</v>
      </c>
      <c r="BE987" s="8" t="s">
        <v>56</v>
      </c>
      <c r="BF987" s="8">
        <v>10.1</v>
      </c>
      <c r="BG987" s="8" t="s">
        <v>56</v>
      </c>
      <c r="BH987" s="8" t="s">
        <v>56</v>
      </c>
      <c r="BI987" s="8">
        <v>410</v>
      </c>
      <c r="BJ987" s="8">
        <v>10.6</v>
      </c>
      <c r="BK987" s="8" t="s">
        <v>56</v>
      </c>
      <c r="BL987" s="8" t="s">
        <v>800</v>
      </c>
      <c r="BM987" s="8" t="s">
        <v>473</v>
      </c>
      <c r="BN987" s="8" t="s">
        <v>81</v>
      </c>
      <c r="BO987" s="8" t="s">
        <v>82</v>
      </c>
      <c r="BP987" s="8" t="s">
        <v>190</v>
      </c>
      <c r="BQ987" s="8" t="s">
        <v>9</v>
      </c>
      <c r="BR987" s="8" t="s">
        <v>84</v>
      </c>
      <c r="BS987" s="8"/>
      <c r="BT987" s="8">
        <v>74.81</v>
      </c>
      <c r="BU987" s="8">
        <v>74.814814999999996</v>
      </c>
      <c r="BV987" s="8">
        <v>1.48</v>
      </c>
      <c r="BW987" s="8">
        <f>BV987*SQRT(AK987)</f>
        <v>2.96</v>
      </c>
      <c r="BX987" s="8">
        <v>77.040000000000006</v>
      </c>
      <c r="BY987" s="8">
        <v>77.037036999999998</v>
      </c>
      <c r="BZ987" s="8">
        <v>1.48</v>
      </c>
      <c r="CA987" s="8">
        <f>BZ987*SQRT(AL987)</f>
        <v>2.96</v>
      </c>
      <c r="CB987" s="8">
        <v>1</v>
      </c>
      <c r="CC987" s="8">
        <v>4</v>
      </c>
      <c r="CD987" s="8">
        <v>2.9000000000000001E-2</v>
      </c>
      <c r="CE987" s="8">
        <v>8.0000000000000004E-4</v>
      </c>
      <c r="CF987" s="8" t="s">
        <v>1134</v>
      </c>
    </row>
    <row r="988" spans="1:84" hidden="1" x14ac:dyDescent="0.2">
      <c r="A988" s="8"/>
      <c r="B988" t="str">
        <f>ROW()-1&amp;"_AltersInvert"</f>
        <v>987_AltersInvert</v>
      </c>
      <c r="C988" t="str">
        <f>D988&amp;"_"&amp;
SUBSTITUTE(TRIM(V988)," ","_")&amp;"_"&amp;
TRIM(AC988)&amp;"_"&amp;
"CO2"&amp;TEXT(AN988,"0.00")&amp;"_"&amp;
"pH"&amp;TEXT(AR988,"0.00")&amp;"_"&amp;
"T"&amp;TEXT(BC988,"0.##")</f>
        <v>123_Sterechinus_neumayeri_EMBRYO_CO2450.00_pH8.03_T-0.5</v>
      </c>
      <c r="D988" s="8">
        <v>123</v>
      </c>
      <c r="E988" s="8"/>
      <c r="F988" s="8"/>
      <c r="G988" s="8" t="s">
        <v>43</v>
      </c>
      <c r="H988" s="8" t="s">
        <v>868</v>
      </c>
      <c r="I988" s="8"/>
      <c r="J988" s="8">
        <v>2012</v>
      </c>
      <c r="K988" s="8"/>
      <c r="L988" s="8"/>
      <c r="M988" s="8" t="s">
        <v>869</v>
      </c>
      <c r="N988" s="8"/>
      <c r="O988" s="8"/>
      <c r="P988" t="s">
        <v>1135</v>
      </c>
      <c r="Q988" s="8"/>
      <c r="R988" s="8" t="s">
        <v>1127</v>
      </c>
      <c r="S988" t="s">
        <v>1128</v>
      </c>
      <c r="T988" s="8" t="s">
        <v>46</v>
      </c>
      <c r="U988" s="8" t="s">
        <v>797</v>
      </c>
      <c r="V988" s="8" t="s">
        <v>798</v>
      </c>
      <c r="W988" s="8" t="str">
        <f>IF(ISNUMBER(MATCH(V382,{"Doryteuthis pealeii","Loligo vulgaris","Leptuca thayeri","Stylocheilus striatus","Ophryotrocha labronica"},0)),"N","Y")</f>
        <v>N</v>
      </c>
      <c r="X988" s="8"/>
      <c r="Y988" s="8"/>
      <c r="Z988" s="8" t="s">
        <v>475</v>
      </c>
      <c r="AA988" s="8" t="s">
        <v>475</v>
      </c>
      <c r="AB988" s="8" t="s">
        <v>71</v>
      </c>
      <c r="AC988" s="8" t="s">
        <v>195</v>
      </c>
      <c r="AD988" s="8" t="s">
        <v>52</v>
      </c>
      <c r="AE988" s="8" t="s">
        <v>53</v>
      </c>
      <c r="AF988" s="8" t="s">
        <v>52</v>
      </c>
      <c r="AG988" s="8" t="s">
        <v>54</v>
      </c>
      <c r="AH988" s="8" t="s">
        <v>55</v>
      </c>
      <c r="AI988" s="8"/>
      <c r="AJ988" s="8"/>
      <c r="AK988" s="8">
        <v>10</v>
      </c>
      <c r="AL988" s="8">
        <v>10</v>
      </c>
      <c r="AM988" s="8"/>
      <c r="AN988" s="8">
        <v>450</v>
      </c>
      <c r="AO988" s="8" t="s">
        <v>56</v>
      </c>
      <c r="AP988" s="8" t="s">
        <v>56</v>
      </c>
      <c r="AQ988" s="8" t="s">
        <v>109</v>
      </c>
      <c r="AR988" s="8">
        <v>8.0299999999999994</v>
      </c>
      <c r="AS988" s="8">
        <v>0.03</v>
      </c>
      <c r="AT988" s="8" t="s">
        <v>56</v>
      </c>
      <c r="AU988" s="8">
        <v>1370</v>
      </c>
      <c r="AV988" t="s">
        <v>56</v>
      </c>
      <c r="AW988" t="s">
        <v>56</v>
      </c>
      <c r="AX988">
        <v>7.53</v>
      </c>
      <c r="AY988">
        <v>0.03</v>
      </c>
      <c r="AZ988" t="s">
        <v>56</v>
      </c>
      <c r="BA988" s="8"/>
      <c r="BB988" s="8">
        <f>LOG(AU988)</f>
        <v>3.1367205671564067</v>
      </c>
      <c r="BC988" s="8">
        <v>-0.5</v>
      </c>
      <c r="BD988" s="8">
        <v>0.3</v>
      </c>
      <c r="BE988" s="8" t="s">
        <v>56</v>
      </c>
      <c r="BF988" s="8">
        <v>-0.3</v>
      </c>
      <c r="BG988" s="8">
        <v>0.2</v>
      </c>
      <c r="BH988" s="8" t="s">
        <v>56</v>
      </c>
      <c r="BI988" s="8">
        <v>920</v>
      </c>
      <c r="BJ988" s="8">
        <v>0.2</v>
      </c>
      <c r="BK988" s="8" t="s">
        <v>56</v>
      </c>
      <c r="BL988" s="8" t="s">
        <v>473</v>
      </c>
      <c r="BM988" s="8" t="s">
        <v>473</v>
      </c>
      <c r="BN988" s="8" t="s">
        <v>81</v>
      </c>
      <c r="BO988" s="8" t="s">
        <v>82</v>
      </c>
      <c r="BP988" s="8" t="s">
        <v>190</v>
      </c>
      <c r="BQ988" s="8" t="s">
        <v>190</v>
      </c>
      <c r="BR988" s="8" t="s">
        <v>84</v>
      </c>
      <c r="BS988" s="8"/>
      <c r="BT988" s="8">
        <v>96.99</v>
      </c>
      <c r="BU988" s="8">
        <v>96.992480999999998</v>
      </c>
      <c r="BV988" s="8">
        <v>0.94</v>
      </c>
      <c r="BW988" s="8">
        <f>BV988*SQRT(AK988)</f>
        <v>2.9725410005582766</v>
      </c>
      <c r="BX988" s="8">
        <v>95.86</v>
      </c>
      <c r="BY988" s="8">
        <v>95.864661699999999</v>
      </c>
      <c r="BZ988" s="8">
        <v>1.32</v>
      </c>
      <c r="CA988" s="8">
        <f>BZ988*SQRT(AL988)</f>
        <v>4.1742065114222608</v>
      </c>
      <c r="CB988" s="8">
        <v>0</v>
      </c>
      <c r="CC988" s="8">
        <v>10</v>
      </c>
      <c r="CD988" s="8">
        <v>-1.2E-2</v>
      </c>
      <c r="CE988" s="8">
        <v>2.9999999999999997E-4</v>
      </c>
      <c r="CF988" s="8" t="s">
        <v>1134</v>
      </c>
    </row>
    <row r="989" spans="1:84" s="8" customFormat="1" hidden="1" x14ac:dyDescent="0.2">
      <c r="B989" t="str">
        <f>ROW()-1&amp;"_AltersInvert"</f>
        <v>988_AltersInvert</v>
      </c>
      <c r="C989" t="str">
        <f>D989&amp;"_"&amp;
SUBSTITUTE(TRIM(V989)," ","_")&amp;"_"&amp;
TRIM(AC989)&amp;"_"&amp;
"CO2"&amp;TEXT(AN989,"0.00")&amp;"_"&amp;
"pH"&amp;TEXT(AR989,"0.00")&amp;"_"&amp;
"T"&amp;TEXT(BC989,"0.##")</f>
        <v>123_Sterechinus_neumayeri_EMBRYO_CO2450.00_pH8.03_T-0.5</v>
      </c>
      <c r="D989" s="8">
        <v>123</v>
      </c>
      <c r="G989" s="8" t="s">
        <v>43</v>
      </c>
      <c r="H989" s="8" t="s">
        <v>868</v>
      </c>
      <c r="J989" s="8">
        <v>2012</v>
      </c>
      <c r="M989" s="8" t="s">
        <v>869</v>
      </c>
      <c r="P989" t="s">
        <v>1135</v>
      </c>
      <c r="R989" s="8" t="s">
        <v>1127</v>
      </c>
      <c r="S989" t="s">
        <v>1128</v>
      </c>
      <c r="T989" s="8" t="s">
        <v>46</v>
      </c>
      <c r="U989" s="8" t="s">
        <v>797</v>
      </c>
      <c r="V989" s="8" t="s">
        <v>798</v>
      </c>
      <c r="W989" s="8" t="str">
        <f>IF(ISNUMBER(MATCH(V383,{"Doryteuthis pealeii","Loligo vulgaris","Leptuca thayeri","Stylocheilus striatus","Ophryotrocha labronica"},0)),"N","Y")</f>
        <v>N</v>
      </c>
      <c r="Z989" s="8" t="s">
        <v>475</v>
      </c>
      <c r="AA989" s="8" t="s">
        <v>475</v>
      </c>
      <c r="AB989" s="8" t="s">
        <v>71</v>
      </c>
      <c r="AC989" s="8" t="s">
        <v>195</v>
      </c>
      <c r="AD989" s="8" t="s">
        <v>52</v>
      </c>
      <c r="AE989" s="8" t="s">
        <v>53</v>
      </c>
      <c r="AF989" s="8" t="s">
        <v>52</v>
      </c>
      <c r="AG989" s="8" t="s">
        <v>54</v>
      </c>
      <c r="AH989" s="8" t="s">
        <v>55</v>
      </c>
      <c r="AK989" s="8">
        <v>10</v>
      </c>
      <c r="AL989" s="8">
        <v>10</v>
      </c>
      <c r="AN989" s="8">
        <v>450</v>
      </c>
      <c r="AO989" s="8" t="s">
        <v>56</v>
      </c>
      <c r="AP989" s="8" t="s">
        <v>56</v>
      </c>
      <c r="AQ989" s="8" t="s">
        <v>109</v>
      </c>
      <c r="AR989" s="8">
        <v>8.0299999999999994</v>
      </c>
      <c r="AS989" s="8">
        <v>0.03</v>
      </c>
      <c r="AT989" s="8" t="s">
        <v>56</v>
      </c>
      <c r="AU989" s="8">
        <v>850</v>
      </c>
      <c r="AV989" t="s">
        <v>56</v>
      </c>
      <c r="AW989" t="s">
        <v>56</v>
      </c>
      <c r="AX989">
        <v>7.81</v>
      </c>
      <c r="AY989">
        <v>0.05</v>
      </c>
      <c r="AZ989" t="s">
        <v>56</v>
      </c>
      <c r="BB989" s="8">
        <f>LOG(AU989)</f>
        <v>2.9294189257142929</v>
      </c>
      <c r="BC989" s="8">
        <v>-0.5</v>
      </c>
      <c r="BD989" s="8">
        <v>0.3</v>
      </c>
      <c r="BE989" s="8" t="s">
        <v>56</v>
      </c>
      <c r="BF989" s="8">
        <v>-0.5</v>
      </c>
      <c r="BG989" s="8">
        <v>0.2</v>
      </c>
      <c r="BH989" s="8" t="s">
        <v>56</v>
      </c>
      <c r="BI989" s="8">
        <v>400</v>
      </c>
      <c r="BJ989" s="8">
        <v>-0.1</v>
      </c>
      <c r="BK989" s="8" t="s">
        <v>56</v>
      </c>
      <c r="BL989" s="8" t="s">
        <v>473</v>
      </c>
      <c r="BM989" s="8" t="s">
        <v>473</v>
      </c>
      <c r="BN989" s="8" t="s">
        <v>81</v>
      </c>
      <c r="BO989" s="8" t="s">
        <v>82</v>
      </c>
      <c r="BP989" s="8" t="s">
        <v>190</v>
      </c>
      <c r="BQ989" s="8" t="s">
        <v>190</v>
      </c>
      <c r="BR989" s="8" t="s">
        <v>84</v>
      </c>
      <c r="BT989" s="8">
        <v>96.99</v>
      </c>
      <c r="BU989" s="8">
        <v>96.992480999999998</v>
      </c>
      <c r="BV989" s="8">
        <v>0.94</v>
      </c>
      <c r="BW989" s="8">
        <f>BV989*SQRT(AK989)</f>
        <v>2.9725410005582766</v>
      </c>
      <c r="BX989" s="8">
        <v>96.99</v>
      </c>
      <c r="BY989" s="8">
        <v>96.9924812</v>
      </c>
      <c r="BZ989" s="8">
        <v>0.38</v>
      </c>
      <c r="CA989" s="8">
        <f>BZ989*SQRT(AL989)</f>
        <v>1.2016655108639842</v>
      </c>
      <c r="CB989" s="8">
        <v>0</v>
      </c>
      <c r="CC989" s="8">
        <v>10</v>
      </c>
      <c r="CD989" s="8">
        <v>0</v>
      </c>
      <c r="CE989" s="8">
        <v>1E-4</v>
      </c>
      <c r="CF989" s="8" t="s">
        <v>1134</v>
      </c>
    </row>
    <row r="990" spans="1:84" hidden="1" x14ac:dyDescent="0.2">
      <c r="A990" s="8"/>
      <c r="B990" t="str">
        <f>ROW()-1&amp;"_AltersInvert"</f>
        <v>989_AltersInvert</v>
      </c>
      <c r="C990" t="str">
        <f>D990&amp;"_"&amp;
SUBSTITUTE(TRIM(V990)," ","_")&amp;"_"&amp;
TRIM(AC990)&amp;"_"&amp;
"CO2"&amp;TEXT(AN990,"0.00")&amp;"_"&amp;
"pH"&amp;TEXT(AR990,"0.00")&amp;"_"&amp;
"T"&amp;TEXT(BC990,"0.##")</f>
        <v>123_Sterechinus_neumayeri_EMBRYO_CO2450.00_pH8.03_T-0.5</v>
      </c>
      <c r="D990" s="8">
        <v>123</v>
      </c>
      <c r="E990" s="8"/>
      <c r="F990" s="8"/>
      <c r="G990" s="8" t="s">
        <v>43</v>
      </c>
      <c r="H990" s="8" t="s">
        <v>868</v>
      </c>
      <c r="I990" s="8"/>
      <c r="J990" s="8">
        <v>2012</v>
      </c>
      <c r="K990" s="8"/>
      <c r="L990" s="8"/>
      <c r="M990" s="8" t="s">
        <v>869</v>
      </c>
      <c r="N990" s="8"/>
      <c r="O990" s="8"/>
      <c r="P990" t="s">
        <v>1135</v>
      </c>
      <c r="Q990" s="8"/>
      <c r="R990" s="8" t="s">
        <v>1127</v>
      </c>
      <c r="S990" t="s">
        <v>1128</v>
      </c>
      <c r="T990" s="8" t="s">
        <v>46</v>
      </c>
      <c r="U990" s="8" t="s">
        <v>797</v>
      </c>
      <c r="V990" s="8" t="s">
        <v>798</v>
      </c>
      <c r="W990" s="8" t="str">
        <f>IF(ISNUMBER(MATCH(V384,{"Doryteuthis pealeii","Loligo vulgaris","Leptuca thayeri","Stylocheilus striatus","Ophryotrocha labronica"},0)),"N","Y")</f>
        <v>N</v>
      </c>
      <c r="X990" s="8"/>
      <c r="Y990" s="8"/>
      <c r="Z990" s="8" t="s">
        <v>475</v>
      </c>
      <c r="AA990" s="8" t="s">
        <v>475</v>
      </c>
      <c r="AB990" s="8" t="s">
        <v>71</v>
      </c>
      <c r="AC990" s="8" t="s">
        <v>195</v>
      </c>
      <c r="AD990" s="8" t="s">
        <v>52</v>
      </c>
      <c r="AE990" s="8" t="s">
        <v>53</v>
      </c>
      <c r="AF990" s="8" t="s">
        <v>54</v>
      </c>
      <c r="AG990" s="8" t="s">
        <v>52</v>
      </c>
      <c r="AH990" s="8" t="s">
        <v>65</v>
      </c>
      <c r="AI990" s="8"/>
      <c r="AJ990" s="8"/>
      <c r="AK990" s="8">
        <v>10</v>
      </c>
      <c r="AL990" s="8">
        <v>10</v>
      </c>
      <c r="AM990" s="8"/>
      <c r="AN990" s="8">
        <v>450</v>
      </c>
      <c r="AO990" s="8" t="s">
        <v>56</v>
      </c>
      <c r="AP990" s="8" t="s">
        <v>56</v>
      </c>
      <c r="AQ990" s="8" t="s">
        <v>109</v>
      </c>
      <c r="AR990" s="8">
        <v>8.0299999999999994</v>
      </c>
      <c r="AS990" s="8">
        <v>0.03</v>
      </c>
      <c r="AT990" s="8" t="s">
        <v>56</v>
      </c>
      <c r="AU990" s="8">
        <v>450</v>
      </c>
      <c r="AV990" t="s">
        <v>56</v>
      </c>
      <c r="AW990" t="s">
        <v>56</v>
      </c>
      <c r="AX990">
        <v>8.1300000000000008</v>
      </c>
      <c r="AY990">
        <v>0.05</v>
      </c>
      <c r="AZ990" t="s">
        <v>56</v>
      </c>
      <c r="BA990" s="8"/>
      <c r="BB990" s="8">
        <f>LOG(AU990)</f>
        <v>2.6532125137753435</v>
      </c>
      <c r="BC990" s="8">
        <v>-0.5</v>
      </c>
      <c r="BD990" s="8">
        <v>0.3</v>
      </c>
      <c r="BE990" s="8" t="s">
        <v>56</v>
      </c>
      <c r="BF990" s="8">
        <v>2.9</v>
      </c>
      <c r="BG990" s="8">
        <v>0.1</v>
      </c>
      <c r="BH990" s="8" t="s">
        <v>56</v>
      </c>
      <c r="BI990" s="8">
        <v>0</v>
      </c>
      <c r="BJ990" s="8">
        <v>3.4</v>
      </c>
      <c r="BK990" s="8" t="s">
        <v>56</v>
      </c>
      <c r="BL990" s="8" t="s">
        <v>473</v>
      </c>
      <c r="BM990" s="8" t="s">
        <v>473</v>
      </c>
      <c r="BN990" s="8" t="s">
        <v>81</v>
      </c>
      <c r="BO990" s="8" t="s">
        <v>82</v>
      </c>
      <c r="BP990" s="8" t="s">
        <v>190</v>
      </c>
      <c r="BQ990" s="8" t="s">
        <v>190</v>
      </c>
      <c r="BR990" s="8" t="s">
        <v>84</v>
      </c>
      <c r="BS990" s="8"/>
      <c r="BT990" s="8">
        <v>96.99</v>
      </c>
      <c r="BU990" s="8">
        <v>96.992480999999998</v>
      </c>
      <c r="BV990" s="8">
        <v>0.94</v>
      </c>
      <c r="BW990" s="8">
        <f>BV990*SQRT(AK990)</f>
        <v>2.9725410005582766</v>
      </c>
      <c r="BX990" s="8">
        <v>96.99</v>
      </c>
      <c r="BY990" s="8">
        <v>96.9924812</v>
      </c>
      <c r="BZ990" s="8">
        <v>0.94</v>
      </c>
      <c r="CA990" s="8">
        <f>BZ990*SQRT(AL990)</f>
        <v>2.9725410005582766</v>
      </c>
      <c r="CB990" s="8">
        <v>0</v>
      </c>
      <c r="CC990" s="8">
        <v>10</v>
      </c>
      <c r="CD990" s="8">
        <v>0</v>
      </c>
      <c r="CE990" s="8">
        <v>2.0000000000000001E-4</v>
      </c>
      <c r="CF990" s="8" t="s">
        <v>1134</v>
      </c>
    </row>
    <row r="991" spans="1:84" s="8" customFormat="1" hidden="1" x14ac:dyDescent="0.2">
      <c r="B991" t="str">
        <f>ROW()-1&amp;"_AltersInvert"</f>
        <v>990_AltersInvert</v>
      </c>
      <c r="C991" t="str">
        <f>D991&amp;"_"&amp;
SUBSTITUTE(TRIM(V991)," ","_")&amp;"_"&amp;
TRIM(AC991)&amp;"_"&amp;
"CO2"&amp;TEXT(AN991,"0.00")&amp;"_"&amp;
"pH"&amp;TEXT(AR991,"0.00")&amp;"_"&amp;
"T"&amp;TEXT(BC991,"0.##")</f>
        <v>123_Sterechinus_neumayeri_EMBRYO_CO2450.00_pH8.03_T-0.5</v>
      </c>
      <c r="D991" s="8">
        <v>123</v>
      </c>
      <c r="G991" s="8" t="s">
        <v>43</v>
      </c>
      <c r="H991" s="8" t="s">
        <v>868</v>
      </c>
      <c r="J991" s="8">
        <v>2012</v>
      </c>
      <c r="M991" s="8" t="s">
        <v>869</v>
      </c>
      <c r="P991" t="s">
        <v>1135</v>
      </c>
      <c r="R991" s="8" t="s">
        <v>1127</v>
      </c>
      <c r="S991" t="s">
        <v>1128</v>
      </c>
      <c r="T991" s="8" t="s">
        <v>46</v>
      </c>
      <c r="U991" s="8" t="s">
        <v>797</v>
      </c>
      <c r="V991" s="8" t="s">
        <v>798</v>
      </c>
      <c r="W991" s="8" t="str">
        <f>IF(ISNUMBER(MATCH(V385,{"Doryteuthis pealeii","Loligo vulgaris","Leptuca thayeri","Stylocheilus striatus","Ophryotrocha labronica"},0)),"N","Y")</f>
        <v>N</v>
      </c>
      <c r="Z991" s="8" t="s">
        <v>475</v>
      </c>
      <c r="AA991" s="8" t="s">
        <v>475</v>
      </c>
      <c r="AB991" s="8" t="s">
        <v>71</v>
      </c>
      <c r="AC991" s="8" t="s">
        <v>195</v>
      </c>
      <c r="AD991" s="8" t="s">
        <v>52</v>
      </c>
      <c r="AE991" s="8" t="s">
        <v>53</v>
      </c>
      <c r="AF991" s="8" t="s">
        <v>54</v>
      </c>
      <c r="AG991" s="8" t="s">
        <v>52</v>
      </c>
      <c r="AH991" s="8" t="s">
        <v>65</v>
      </c>
      <c r="AK991" s="8">
        <v>10</v>
      </c>
      <c r="AL991" s="8">
        <v>10</v>
      </c>
      <c r="AN991" s="8">
        <v>450</v>
      </c>
      <c r="AO991" s="8" t="s">
        <v>56</v>
      </c>
      <c r="AP991" s="8" t="s">
        <v>56</v>
      </c>
      <c r="AQ991" s="8" t="s">
        <v>109</v>
      </c>
      <c r="AR991" s="8">
        <v>8.0299999999999994</v>
      </c>
      <c r="AS991" s="8">
        <v>0.03</v>
      </c>
      <c r="AT991" s="8" t="s">
        <v>56</v>
      </c>
      <c r="AU991" s="8">
        <v>450</v>
      </c>
      <c r="AV991" t="s">
        <v>56</v>
      </c>
      <c r="AW991" t="s">
        <v>56</v>
      </c>
      <c r="AX991">
        <v>7.98</v>
      </c>
      <c r="AY991">
        <v>0</v>
      </c>
      <c r="AZ991" t="s">
        <v>56</v>
      </c>
      <c r="BB991" s="8">
        <f>LOG(AU991)</f>
        <v>2.6532125137753435</v>
      </c>
      <c r="BC991" s="8">
        <v>-0.5</v>
      </c>
      <c r="BD991" s="8">
        <v>0.3</v>
      </c>
      <c r="BE991" s="8" t="s">
        <v>56</v>
      </c>
      <c r="BF991" s="8">
        <v>0.9</v>
      </c>
      <c r="BG991" s="8">
        <v>0.3</v>
      </c>
      <c r="BH991" s="8" t="s">
        <v>56</v>
      </c>
      <c r="BI991" s="8">
        <v>0</v>
      </c>
      <c r="BJ991" s="8">
        <v>1.4</v>
      </c>
      <c r="BK991" s="8" t="s">
        <v>56</v>
      </c>
      <c r="BL991" s="8" t="s">
        <v>473</v>
      </c>
      <c r="BM991" s="8" t="s">
        <v>473</v>
      </c>
      <c r="BN991" s="8" t="s">
        <v>81</v>
      </c>
      <c r="BO991" s="8" t="s">
        <v>82</v>
      </c>
      <c r="BP991" s="8" t="s">
        <v>190</v>
      </c>
      <c r="BQ991" s="8" t="s">
        <v>190</v>
      </c>
      <c r="BR991" s="8" t="s">
        <v>84</v>
      </c>
      <c r="BT991" s="8">
        <v>96.99</v>
      </c>
      <c r="BU991" s="8">
        <v>96.992480999999998</v>
      </c>
      <c r="BV991" s="8">
        <v>0.94</v>
      </c>
      <c r="BW991" s="8">
        <f>BV991*SQRT(AK991)</f>
        <v>2.9725410005582766</v>
      </c>
      <c r="BX991" s="8">
        <v>98.87</v>
      </c>
      <c r="BY991" s="8">
        <v>98.872180499999999</v>
      </c>
      <c r="BZ991" s="8">
        <v>0.38</v>
      </c>
      <c r="CA991" s="8">
        <f>BZ991*SQRT(AL991)</f>
        <v>1.2016655108639842</v>
      </c>
      <c r="CB991" s="8">
        <v>0</v>
      </c>
      <c r="CC991" s="8">
        <v>10</v>
      </c>
      <c r="CD991" s="8">
        <v>1.9E-2</v>
      </c>
      <c r="CE991" s="8">
        <v>1E-4</v>
      </c>
      <c r="CF991" s="8" t="s">
        <v>1134</v>
      </c>
    </row>
    <row r="992" spans="1:84" hidden="1" x14ac:dyDescent="0.2">
      <c r="A992" s="8"/>
      <c r="B992" t="str">
        <f>ROW()-1&amp;"_AltersInvert"</f>
        <v>991_AltersInvert</v>
      </c>
      <c r="C992" t="str">
        <f>D992&amp;"_"&amp;
SUBSTITUTE(TRIM(V992)," ","_")&amp;"_"&amp;
TRIM(AC992)&amp;"_"&amp;
"CO2"&amp;TEXT(AN992,"0.00")&amp;"_"&amp;
"pH"&amp;TEXT(AR992,"0.00")&amp;"_"&amp;
"T"&amp;TEXT(BC992,"0.##")</f>
        <v>123_Sterechinus_neumayeri_EMBRYO_CO2450.00_pH8.03_T-0.5</v>
      </c>
      <c r="D992" s="8">
        <v>123</v>
      </c>
      <c r="E992" s="8"/>
      <c r="F992" s="8"/>
      <c r="G992" s="8" t="s">
        <v>43</v>
      </c>
      <c r="H992" s="8" t="s">
        <v>868</v>
      </c>
      <c r="I992" s="8"/>
      <c r="J992" s="8">
        <v>2012</v>
      </c>
      <c r="K992" s="8"/>
      <c r="L992" s="8"/>
      <c r="M992" s="8" t="s">
        <v>869</v>
      </c>
      <c r="N992" s="8"/>
      <c r="O992" s="8"/>
      <c r="P992" t="s">
        <v>1135</v>
      </c>
      <c r="Q992" s="8"/>
      <c r="R992" s="8" t="s">
        <v>1127</v>
      </c>
      <c r="S992" t="s">
        <v>1128</v>
      </c>
      <c r="T992" s="8" t="s">
        <v>46</v>
      </c>
      <c r="U992" s="8" t="s">
        <v>797</v>
      </c>
      <c r="V992" s="8" t="s">
        <v>798</v>
      </c>
      <c r="W992" s="8" t="str">
        <f>IF(ISNUMBER(MATCH(V386,{"Doryteuthis pealeii","Loligo vulgaris","Leptuca thayeri","Stylocheilus striatus","Ophryotrocha labronica"},0)),"N","Y")</f>
        <v>N</v>
      </c>
      <c r="X992" s="8"/>
      <c r="Y992" s="8"/>
      <c r="Z992" s="8" t="s">
        <v>475</v>
      </c>
      <c r="AA992" s="8" t="s">
        <v>475</v>
      </c>
      <c r="AB992" s="8" t="s">
        <v>71</v>
      </c>
      <c r="AC992" s="8" t="s">
        <v>195</v>
      </c>
      <c r="AD992" s="8" t="s">
        <v>52</v>
      </c>
      <c r="AE992" s="8" t="s">
        <v>53</v>
      </c>
      <c r="AF992" s="8" t="s">
        <v>52</v>
      </c>
      <c r="AG992" s="8" t="s">
        <v>52</v>
      </c>
      <c r="AH992" s="8" t="s">
        <v>64</v>
      </c>
      <c r="AI992" s="8"/>
      <c r="AJ992" s="8"/>
      <c r="AK992" s="8">
        <v>10</v>
      </c>
      <c r="AL992" s="8">
        <v>10</v>
      </c>
      <c r="AM992" s="8"/>
      <c r="AN992" s="8">
        <v>450</v>
      </c>
      <c r="AO992" s="8" t="s">
        <v>56</v>
      </c>
      <c r="AP992" s="8" t="s">
        <v>56</v>
      </c>
      <c r="AQ992" s="8" t="s">
        <v>109</v>
      </c>
      <c r="AR992" s="8">
        <v>8.0299999999999994</v>
      </c>
      <c r="AS992" s="8">
        <v>0.03</v>
      </c>
      <c r="AT992" s="8" t="s">
        <v>56</v>
      </c>
      <c r="AU992" s="8">
        <v>1370</v>
      </c>
      <c r="AV992" t="s">
        <v>56</v>
      </c>
      <c r="AW992" t="s">
        <v>56</v>
      </c>
      <c r="AX992">
        <v>7.6</v>
      </c>
      <c r="AY992">
        <v>0.02</v>
      </c>
      <c r="AZ992" t="s">
        <v>56</v>
      </c>
      <c r="BA992" s="8"/>
      <c r="BB992" s="8">
        <f>LOG(AU992)</f>
        <v>3.1367205671564067</v>
      </c>
      <c r="BC992" s="8">
        <v>-0.5</v>
      </c>
      <c r="BD992" s="8">
        <v>0.3</v>
      </c>
      <c r="BE992" s="8" t="s">
        <v>56</v>
      </c>
      <c r="BF992" s="8">
        <v>1.8</v>
      </c>
      <c r="BG992" s="8">
        <v>0.1</v>
      </c>
      <c r="BH992" s="8" t="s">
        <v>56</v>
      </c>
      <c r="BI992" s="8">
        <v>920</v>
      </c>
      <c r="BJ992" s="8">
        <v>2.2999999999999998</v>
      </c>
      <c r="BK992" s="8" t="s">
        <v>56</v>
      </c>
      <c r="BL992" s="8" t="s">
        <v>473</v>
      </c>
      <c r="BM992" s="8" t="s">
        <v>473</v>
      </c>
      <c r="BN992" s="8" t="s">
        <v>81</v>
      </c>
      <c r="BO992" s="8" t="s">
        <v>82</v>
      </c>
      <c r="BP992" s="8" t="s">
        <v>190</v>
      </c>
      <c r="BQ992" s="8" t="s">
        <v>83</v>
      </c>
      <c r="BR992" s="8" t="s">
        <v>84</v>
      </c>
      <c r="BS992" s="8"/>
      <c r="BT992" s="8">
        <v>96.99</v>
      </c>
      <c r="BU992" s="8">
        <v>96.992480999999998</v>
      </c>
      <c r="BV992" s="8">
        <v>0.94</v>
      </c>
      <c r="BW992" s="8">
        <f>BV992*SQRT(AK992)</f>
        <v>2.9725410005582766</v>
      </c>
      <c r="BX992" s="8">
        <v>86.65</v>
      </c>
      <c r="BY992" s="8">
        <v>86.654135299999993</v>
      </c>
      <c r="BZ992" s="8">
        <v>2.44</v>
      </c>
      <c r="CA992" s="8">
        <f>BZ992*SQRT(AL992)</f>
        <v>7.7159574908108457</v>
      </c>
      <c r="CB992" s="8">
        <v>0</v>
      </c>
      <c r="CC992" s="8">
        <v>10</v>
      </c>
      <c r="CD992" s="8">
        <v>-0.113</v>
      </c>
      <c r="CE992" s="8">
        <v>8.9999999999999998E-4</v>
      </c>
      <c r="CF992" s="8" t="s">
        <v>1134</v>
      </c>
    </row>
    <row r="993" spans="1:84" hidden="1" x14ac:dyDescent="0.2">
      <c r="A993" s="8"/>
      <c r="B993" t="str">
        <f>ROW()-1&amp;"_AltersInvert"</f>
        <v>992_AltersInvert</v>
      </c>
      <c r="C993" t="str">
        <f>D993&amp;"_"&amp;
SUBSTITUTE(TRIM(V993)," ","_")&amp;"_"&amp;
TRIM(AC993)&amp;"_"&amp;
"CO2"&amp;TEXT(AN993,"0.00")&amp;"_"&amp;
"pH"&amp;TEXT(AR993,"0.00")&amp;"_"&amp;
"T"&amp;TEXT(BC993,"0.##")</f>
        <v>123_Sterechinus_neumayeri_EMBRYO_CO2450.00_pH8.03_T-0.5</v>
      </c>
      <c r="D993" s="8">
        <v>123</v>
      </c>
      <c r="E993" s="8"/>
      <c r="F993" s="8"/>
      <c r="G993" s="8" t="s">
        <v>43</v>
      </c>
      <c r="H993" s="8" t="s">
        <v>868</v>
      </c>
      <c r="I993" s="8"/>
      <c r="J993" s="8">
        <v>2012</v>
      </c>
      <c r="K993" s="8"/>
      <c r="L993" s="8"/>
      <c r="M993" s="8" t="s">
        <v>869</v>
      </c>
      <c r="N993" s="8"/>
      <c r="O993" s="8"/>
      <c r="P993" t="s">
        <v>1135</v>
      </c>
      <c r="Q993" s="8"/>
      <c r="R993" s="8" t="s">
        <v>1127</v>
      </c>
      <c r="S993" t="s">
        <v>1128</v>
      </c>
      <c r="T993" s="8" t="s">
        <v>46</v>
      </c>
      <c r="U993" s="8" t="s">
        <v>797</v>
      </c>
      <c r="V993" s="8" t="s">
        <v>798</v>
      </c>
      <c r="W993" s="8" t="str">
        <f>IF(ISNUMBER(MATCH(V387,{"Doryteuthis pealeii","Loligo vulgaris","Leptuca thayeri","Stylocheilus striatus","Ophryotrocha labronica"},0)),"N","Y")</f>
        <v>N</v>
      </c>
      <c r="X993" s="8"/>
      <c r="Y993" s="8"/>
      <c r="Z993" s="8" t="s">
        <v>475</v>
      </c>
      <c r="AA993" s="8" t="s">
        <v>475</v>
      </c>
      <c r="AB993" s="8" t="s">
        <v>71</v>
      </c>
      <c r="AC993" s="8" t="s">
        <v>195</v>
      </c>
      <c r="AD993" s="8" t="s">
        <v>52</v>
      </c>
      <c r="AE993" s="8" t="s">
        <v>53</v>
      </c>
      <c r="AF993" s="8" t="s">
        <v>52</v>
      </c>
      <c r="AG993" s="8" t="s">
        <v>52</v>
      </c>
      <c r="AH993" s="8" t="s">
        <v>64</v>
      </c>
      <c r="AI993" s="8"/>
      <c r="AJ993" s="8"/>
      <c r="AK993" s="8">
        <v>10</v>
      </c>
      <c r="AL993" s="8">
        <v>10</v>
      </c>
      <c r="AM993" s="8"/>
      <c r="AN993" s="8">
        <v>450</v>
      </c>
      <c r="AO993" s="8" t="s">
        <v>56</v>
      </c>
      <c r="AP993" s="8" t="s">
        <v>56</v>
      </c>
      <c r="AQ993" s="8" t="s">
        <v>109</v>
      </c>
      <c r="AR993" s="8">
        <v>8.0299999999999994</v>
      </c>
      <c r="AS993" s="8">
        <v>0.03</v>
      </c>
      <c r="AT993" s="8" t="s">
        <v>56</v>
      </c>
      <c r="AU993" s="8">
        <v>1370</v>
      </c>
      <c r="AV993" t="s">
        <v>56</v>
      </c>
      <c r="AW993" t="s">
        <v>56</v>
      </c>
      <c r="AX993">
        <v>7.63</v>
      </c>
      <c r="AY993">
        <v>0.03</v>
      </c>
      <c r="AZ993" t="s">
        <v>56</v>
      </c>
      <c r="BA993" s="8"/>
      <c r="BB993" s="8">
        <f>LOG(AU993)</f>
        <v>3.1367205671564067</v>
      </c>
      <c r="BC993" s="8">
        <v>-0.5</v>
      </c>
      <c r="BD993" s="8">
        <v>0.3</v>
      </c>
      <c r="BE993" s="8" t="s">
        <v>56</v>
      </c>
      <c r="BF993" s="8">
        <v>3.4</v>
      </c>
      <c r="BG993" s="8">
        <v>0.1</v>
      </c>
      <c r="BH993" s="8" t="s">
        <v>56</v>
      </c>
      <c r="BI993" s="8">
        <v>920</v>
      </c>
      <c r="BJ993" s="8">
        <v>3.9</v>
      </c>
      <c r="BK993" s="8" t="s">
        <v>56</v>
      </c>
      <c r="BL993" s="8" t="s">
        <v>473</v>
      </c>
      <c r="BM993" s="8" t="s">
        <v>473</v>
      </c>
      <c r="BN993" s="8" t="s">
        <v>81</v>
      </c>
      <c r="BO993" s="8" t="s">
        <v>82</v>
      </c>
      <c r="BP993" s="8" t="s">
        <v>190</v>
      </c>
      <c r="BQ993" s="8" t="s">
        <v>83</v>
      </c>
      <c r="BR993" s="8" t="s">
        <v>84</v>
      </c>
      <c r="BS993" s="8"/>
      <c r="BT993" s="8">
        <v>96.99</v>
      </c>
      <c r="BU993" s="8">
        <v>96.992480999999998</v>
      </c>
      <c r="BV993" s="8">
        <v>0.94</v>
      </c>
      <c r="BW993" s="8">
        <f>BV993*SQRT(AK993)</f>
        <v>2.9725410005582766</v>
      </c>
      <c r="BX993" s="8">
        <v>86.65</v>
      </c>
      <c r="BY993" s="8">
        <v>86.654135299999993</v>
      </c>
      <c r="BZ993" s="8">
        <v>2.44</v>
      </c>
      <c r="CA993" s="8">
        <f>BZ993*SQRT(AL993)</f>
        <v>7.7159574908108457</v>
      </c>
      <c r="CB993" s="8">
        <v>0</v>
      </c>
      <c r="CC993" s="8">
        <v>10</v>
      </c>
      <c r="CD993" s="8">
        <v>-0.113</v>
      </c>
      <c r="CE993" s="8">
        <v>8.9999999999999998E-4</v>
      </c>
      <c r="CF993" s="8" t="s">
        <v>1134</v>
      </c>
    </row>
    <row r="994" spans="1:84" hidden="1" x14ac:dyDescent="0.2">
      <c r="A994" s="8"/>
      <c r="B994" t="str">
        <f>ROW()-1&amp;"_AltersInvert"</f>
        <v>993_AltersInvert</v>
      </c>
      <c r="C994" t="str">
        <f>D994&amp;"_"&amp;
SUBSTITUTE(TRIM(V994)," ","_")&amp;"_"&amp;
TRIM(AC994)&amp;"_"&amp;
"CO2"&amp;TEXT(AN994,"0.00")&amp;"_"&amp;
"pH"&amp;TEXT(AR994,"0.00")&amp;"_"&amp;
"T"&amp;TEXT(BC994,"0.##")</f>
        <v>123_Sterechinus_neumayeri_EMBRYO_CO2450.00_pH8.03_T-0.5</v>
      </c>
      <c r="D994" s="8">
        <v>123</v>
      </c>
      <c r="E994" s="8"/>
      <c r="F994" s="8"/>
      <c r="G994" s="8" t="s">
        <v>43</v>
      </c>
      <c r="H994" s="8" t="s">
        <v>868</v>
      </c>
      <c r="I994" s="8"/>
      <c r="J994" s="8">
        <v>2012</v>
      </c>
      <c r="K994" s="8"/>
      <c r="L994" s="8"/>
      <c r="M994" s="8" t="s">
        <v>869</v>
      </c>
      <c r="N994" s="8"/>
      <c r="O994" s="8"/>
      <c r="P994" t="s">
        <v>1135</v>
      </c>
      <c r="Q994" s="8"/>
      <c r="R994" s="8" t="s">
        <v>1127</v>
      </c>
      <c r="S994" t="s">
        <v>1128</v>
      </c>
      <c r="T994" s="8" t="s">
        <v>46</v>
      </c>
      <c r="U994" s="8" t="s">
        <v>797</v>
      </c>
      <c r="V994" s="8" t="s">
        <v>798</v>
      </c>
      <c r="W994" s="8" t="str">
        <f>IF(ISNUMBER(MATCH(V388,{"Doryteuthis pealeii","Loligo vulgaris","Leptuca thayeri","Stylocheilus striatus","Ophryotrocha labronica"},0)),"N","Y")</f>
        <v>N</v>
      </c>
      <c r="X994" s="8"/>
      <c r="Y994" s="8"/>
      <c r="Z994" s="8" t="s">
        <v>475</v>
      </c>
      <c r="AA994" s="8" t="s">
        <v>475</v>
      </c>
      <c r="AB994" s="8" t="s">
        <v>71</v>
      </c>
      <c r="AC994" s="8" t="s">
        <v>195</v>
      </c>
      <c r="AD994" s="8" t="s">
        <v>52</v>
      </c>
      <c r="AE994" s="8" t="s">
        <v>53</v>
      </c>
      <c r="AF994" s="8" t="s">
        <v>52</v>
      </c>
      <c r="AG994" s="8" t="s">
        <v>52</v>
      </c>
      <c r="AH994" s="8" t="s">
        <v>64</v>
      </c>
      <c r="AI994" s="8"/>
      <c r="AJ994" s="8"/>
      <c r="AK994" s="8">
        <v>10</v>
      </c>
      <c r="AL994" s="8">
        <v>10</v>
      </c>
      <c r="AM994" s="8"/>
      <c r="AN994" s="8">
        <v>450</v>
      </c>
      <c r="AO994" s="8" t="s">
        <v>56</v>
      </c>
      <c r="AP994" s="8" t="s">
        <v>56</v>
      </c>
      <c r="AQ994" s="8" t="s">
        <v>109</v>
      </c>
      <c r="AR994" s="8">
        <v>8.0299999999999994</v>
      </c>
      <c r="AS994" s="8">
        <v>0.03</v>
      </c>
      <c r="AT994" s="8" t="s">
        <v>56</v>
      </c>
      <c r="AU994" s="8">
        <v>850</v>
      </c>
      <c r="AV994" t="s">
        <v>56</v>
      </c>
      <c r="AW994" t="s">
        <v>56</v>
      </c>
      <c r="AX994">
        <v>7.76</v>
      </c>
      <c r="AY994">
        <v>0.04</v>
      </c>
      <c r="AZ994" t="s">
        <v>56</v>
      </c>
      <c r="BA994" s="8"/>
      <c r="BB994" s="8">
        <f>LOG(AU994)</f>
        <v>2.9294189257142929</v>
      </c>
      <c r="BC994" s="8">
        <v>-0.5</v>
      </c>
      <c r="BD994" s="8">
        <v>0.3</v>
      </c>
      <c r="BE994" s="8" t="s">
        <v>56</v>
      </c>
      <c r="BF994" s="8">
        <v>3</v>
      </c>
      <c r="BG994" s="8">
        <v>0.2</v>
      </c>
      <c r="BH994" s="8" t="s">
        <v>56</v>
      </c>
      <c r="BI994" s="8">
        <v>400</v>
      </c>
      <c r="BJ994" s="8">
        <v>3.5</v>
      </c>
      <c r="BK994" s="8" t="s">
        <v>56</v>
      </c>
      <c r="BL994" s="8" t="s">
        <v>473</v>
      </c>
      <c r="BM994" s="8" t="s">
        <v>473</v>
      </c>
      <c r="BN994" s="8" t="s">
        <v>81</v>
      </c>
      <c r="BO994" s="8" t="s">
        <v>82</v>
      </c>
      <c r="BP994" s="8" t="s">
        <v>190</v>
      </c>
      <c r="BQ994" s="8" t="s">
        <v>190</v>
      </c>
      <c r="BR994" s="8" t="s">
        <v>84</v>
      </c>
      <c r="BS994" s="8"/>
      <c r="BT994" s="8">
        <v>96.99</v>
      </c>
      <c r="BU994" s="8">
        <v>96.992480999999998</v>
      </c>
      <c r="BV994" s="8">
        <v>0.94</v>
      </c>
      <c r="BW994" s="8">
        <f>BV994*SQRT(AK994)</f>
        <v>2.9725410005582766</v>
      </c>
      <c r="BX994" s="8">
        <v>95.11</v>
      </c>
      <c r="BY994" s="8">
        <v>95.112781999999996</v>
      </c>
      <c r="BZ994" s="8">
        <v>1.5</v>
      </c>
      <c r="CA994" s="8">
        <f>BZ994*SQRT(AL994)</f>
        <v>4.7434164902525691</v>
      </c>
      <c r="CB994" s="8">
        <v>0</v>
      </c>
      <c r="CC994" s="8">
        <v>10</v>
      </c>
      <c r="CD994" s="8">
        <v>-0.02</v>
      </c>
      <c r="CE994" s="8">
        <v>2.9999999999999997E-4</v>
      </c>
      <c r="CF994" s="8" t="s">
        <v>1134</v>
      </c>
    </row>
    <row r="995" spans="1:84" hidden="1" x14ac:dyDescent="0.2">
      <c r="A995" s="8"/>
      <c r="B995" t="str">
        <f>ROW()-1&amp;"_AltersInvert"</f>
        <v>994_AltersInvert</v>
      </c>
      <c r="C995" t="str">
        <f>D995&amp;"_"&amp;
SUBSTITUTE(TRIM(V995)," ","_")&amp;"_"&amp;
TRIM(AC995)&amp;"_"&amp;
"CO2"&amp;TEXT(AN995,"0.00")&amp;"_"&amp;
"pH"&amp;TEXT(AR995,"0.00")&amp;"_"&amp;
"T"&amp;TEXT(BC995,"0.##")</f>
        <v>123_Sterechinus_neumayeri_EMBRYO_CO2450.00_pH8.03_T-0.5</v>
      </c>
      <c r="D995" s="8">
        <v>123</v>
      </c>
      <c r="E995" s="8"/>
      <c r="F995" s="8"/>
      <c r="G995" s="8" t="s">
        <v>43</v>
      </c>
      <c r="H995" s="8" t="s">
        <v>868</v>
      </c>
      <c r="I995" s="8"/>
      <c r="J995" s="8">
        <v>2012</v>
      </c>
      <c r="K995" s="8"/>
      <c r="L995" s="8"/>
      <c r="M995" s="8" t="s">
        <v>869</v>
      </c>
      <c r="N995" s="8"/>
      <c r="O995" s="8"/>
      <c r="P995" t="s">
        <v>1135</v>
      </c>
      <c r="Q995" s="8"/>
      <c r="R995" s="8" t="s">
        <v>1127</v>
      </c>
      <c r="S995" t="s">
        <v>1128</v>
      </c>
      <c r="T995" s="8" t="s">
        <v>46</v>
      </c>
      <c r="U995" s="8" t="s">
        <v>797</v>
      </c>
      <c r="V995" s="8" t="s">
        <v>798</v>
      </c>
      <c r="W995" s="8" t="str">
        <f>IF(ISNUMBER(MATCH(V389,{"Doryteuthis pealeii","Loligo vulgaris","Leptuca thayeri","Stylocheilus striatus","Ophryotrocha labronica"},0)),"N","Y")</f>
        <v>N</v>
      </c>
      <c r="X995" s="8"/>
      <c r="Y995" s="8"/>
      <c r="Z995" s="8" t="s">
        <v>475</v>
      </c>
      <c r="AA995" s="8" t="s">
        <v>475</v>
      </c>
      <c r="AB995" s="8" t="s">
        <v>71</v>
      </c>
      <c r="AC995" s="8" t="s">
        <v>195</v>
      </c>
      <c r="AD995" s="8" t="s">
        <v>52</v>
      </c>
      <c r="AE995" s="8" t="s">
        <v>53</v>
      </c>
      <c r="AF995" s="8" t="s">
        <v>52</v>
      </c>
      <c r="AG995" s="8" t="s">
        <v>52</v>
      </c>
      <c r="AH995" s="8" t="s">
        <v>64</v>
      </c>
      <c r="AI995" s="8"/>
      <c r="AJ995" s="8"/>
      <c r="AK995" s="8">
        <v>10</v>
      </c>
      <c r="AL995" s="8">
        <v>10</v>
      </c>
      <c r="AM995" s="8"/>
      <c r="AN995" s="8">
        <v>450</v>
      </c>
      <c r="AO995" s="8" t="s">
        <v>56</v>
      </c>
      <c r="AP995" s="8" t="s">
        <v>56</v>
      </c>
      <c r="AQ995" s="8" t="s">
        <v>109</v>
      </c>
      <c r="AR995" s="8">
        <v>8.0299999999999994</v>
      </c>
      <c r="AS995" s="8">
        <v>0.03</v>
      </c>
      <c r="AT995" s="8" t="s">
        <v>56</v>
      </c>
      <c r="AU995" s="8">
        <v>850</v>
      </c>
      <c r="AV995" t="s">
        <v>56</v>
      </c>
      <c r="AW995" t="s">
        <v>56</v>
      </c>
      <c r="AX995">
        <v>7.7</v>
      </c>
      <c r="AY995">
        <v>0.02</v>
      </c>
      <c r="AZ995" t="s">
        <v>56</v>
      </c>
      <c r="BA995" s="8"/>
      <c r="BB995" s="8">
        <f>LOG(AU995)</f>
        <v>2.9294189257142929</v>
      </c>
      <c r="BC995" s="8">
        <v>-0.5</v>
      </c>
      <c r="BD995" s="8">
        <v>0.3</v>
      </c>
      <c r="BE995" s="8" t="s">
        <v>56</v>
      </c>
      <c r="BF995" s="8">
        <v>1.6</v>
      </c>
      <c r="BG995" s="8">
        <v>0</v>
      </c>
      <c r="BH995" s="8" t="s">
        <v>56</v>
      </c>
      <c r="BI995" s="8">
        <v>400</v>
      </c>
      <c r="BJ995" s="8">
        <v>2.1</v>
      </c>
      <c r="BK995" s="8" t="s">
        <v>56</v>
      </c>
      <c r="BL995" s="8" t="s">
        <v>473</v>
      </c>
      <c r="BM995" s="8" t="s">
        <v>473</v>
      </c>
      <c r="BN995" s="8" t="s">
        <v>81</v>
      </c>
      <c r="BO995" s="8" t="s">
        <v>82</v>
      </c>
      <c r="BP995" s="8" t="s">
        <v>190</v>
      </c>
      <c r="BQ995" s="8" t="s">
        <v>190</v>
      </c>
      <c r="BR995" s="8" t="s">
        <v>84</v>
      </c>
      <c r="BS995" s="8"/>
      <c r="BT995" s="8">
        <v>96.99</v>
      </c>
      <c r="BU995" s="8">
        <v>96.992480999999998</v>
      </c>
      <c r="BV995" s="8">
        <v>0.94</v>
      </c>
      <c r="BW995" s="8">
        <f>BV995*SQRT(AK995)</f>
        <v>2.9725410005582766</v>
      </c>
      <c r="BX995" s="8">
        <v>97.56</v>
      </c>
      <c r="BY995" s="8">
        <v>97.556391000000005</v>
      </c>
      <c r="BZ995" s="8">
        <v>0.38</v>
      </c>
      <c r="CA995" s="8">
        <f>BZ995*SQRT(AL995)</f>
        <v>1.2016655108639842</v>
      </c>
      <c r="CB995" s="8">
        <v>0</v>
      </c>
      <c r="CC995" s="8">
        <v>10</v>
      </c>
      <c r="CD995" s="8">
        <v>6.0000000000000001E-3</v>
      </c>
      <c r="CE995" s="8">
        <v>1E-4</v>
      </c>
      <c r="CF995" s="8" t="s">
        <v>1134</v>
      </c>
    </row>
    <row r="996" spans="1:84" hidden="1" x14ac:dyDescent="0.2">
      <c r="A996" s="8"/>
      <c r="B996" t="str">
        <f>ROW()-1&amp;"_AltersInvert"</f>
        <v>995_AltersInvert</v>
      </c>
      <c r="C996" t="str">
        <f>D996&amp;"_"&amp;
SUBSTITUTE(TRIM(V996)," ","_")&amp;"_"&amp;
TRIM(AC996)&amp;"_"&amp;
"CO2"&amp;TEXT(AN996,"0.00")&amp;"_"&amp;
"pH"&amp;TEXT(AR996,"0.00")&amp;"_"&amp;
"T"&amp;TEXT(BC996,"0.##")</f>
        <v>104_Arachnoides_placenta_EMBRYO_CO2565.00_pH8.07_T25.9</v>
      </c>
      <c r="D996" s="8">
        <v>104</v>
      </c>
      <c r="E996" s="8"/>
      <c r="F996" s="8"/>
      <c r="G996" s="8" t="s">
        <v>43</v>
      </c>
      <c r="H996" s="8" t="s">
        <v>788</v>
      </c>
      <c r="I996" s="8" t="s">
        <v>1130</v>
      </c>
      <c r="J996" s="8">
        <v>2017</v>
      </c>
      <c r="K996" s="8"/>
      <c r="L996" s="8"/>
      <c r="M996" s="8" t="s">
        <v>789</v>
      </c>
      <c r="N996" s="8"/>
      <c r="O996" s="8"/>
      <c r="P996" t="s">
        <v>1135</v>
      </c>
      <c r="Q996" s="8"/>
      <c r="R996" s="8" t="s">
        <v>1127</v>
      </c>
      <c r="S996" t="s">
        <v>1128</v>
      </c>
      <c r="T996" s="8" t="s">
        <v>46</v>
      </c>
      <c r="U996" s="8" t="s">
        <v>794</v>
      </c>
      <c r="V996" s="8" t="s">
        <v>795</v>
      </c>
      <c r="W996" s="8" t="str">
        <f>IF(ISNUMBER(MATCH(V390,{"Doryteuthis pealeii","Loligo vulgaris","Leptuca thayeri","Stylocheilus striatus","Ophryotrocha labronica"},0)),"N","Y")</f>
        <v>Y</v>
      </c>
      <c r="X996" s="8"/>
      <c r="Y996" s="8"/>
      <c r="Z996" s="8" t="s">
        <v>106</v>
      </c>
      <c r="AA996" s="8" t="s">
        <v>107</v>
      </c>
      <c r="AB996" s="8" t="s">
        <v>71</v>
      </c>
      <c r="AC996" s="8" t="s">
        <v>195</v>
      </c>
      <c r="AD996" s="8" t="s">
        <v>52</v>
      </c>
      <c r="AE996" s="8" t="s">
        <v>53</v>
      </c>
      <c r="AF996" s="8" t="s">
        <v>52</v>
      </c>
      <c r="AG996" s="8" t="s">
        <v>54</v>
      </c>
      <c r="AH996" s="8" t="s">
        <v>55</v>
      </c>
      <c r="AI996" s="8"/>
      <c r="AJ996" s="8"/>
      <c r="AK996" s="8">
        <v>4</v>
      </c>
      <c r="AL996" s="8">
        <v>4</v>
      </c>
      <c r="AM996" s="8"/>
      <c r="AN996" s="8">
        <v>565</v>
      </c>
      <c r="AO996" s="8" t="s">
        <v>56</v>
      </c>
      <c r="AP996" s="8" t="s">
        <v>56</v>
      </c>
      <c r="AQ996" s="8" t="s">
        <v>118</v>
      </c>
      <c r="AR996" s="8">
        <v>8.07</v>
      </c>
      <c r="AS996" s="8" t="s">
        <v>56</v>
      </c>
      <c r="AT996" s="8" t="s">
        <v>56</v>
      </c>
      <c r="AU996" s="8">
        <v>963</v>
      </c>
      <c r="AV996" t="s">
        <v>56</v>
      </c>
      <c r="AW996" t="s">
        <v>56</v>
      </c>
      <c r="AX996">
        <v>7.87</v>
      </c>
      <c r="AY996" t="s">
        <v>56</v>
      </c>
      <c r="AZ996" t="s">
        <v>56</v>
      </c>
      <c r="BA996" s="8"/>
      <c r="BB996" s="8">
        <f>LOG(AU996)</f>
        <v>2.9836262871245345</v>
      </c>
      <c r="BC996" s="8">
        <v>25.9</v>
      </c>
      <c r="BD996" s="8" t="s">
        <v>56</v>
      </c>
      <c r="BE996" s="8" t="s">
        <v>56</v>
      </c>
      <c r="BF996" s="8">
        <v>25.9</v>
      </c>
      <c r="BG996" s="8" t="s">
        <v>56</v>
      </c>
      <c r="BH996" s="8" t="s">
        <v>56</v>
      </c>
      <c r="BI996" s="8">
        <v>398</v>
      </c>
      <c r="BJ996" s="8">
        <v>0</v>
      </c>
      <c r="BK996" s="8" t="s">
        <v>56</v>
      </c>
      <c r="BL996" s="8" t="s">
        <v>792</v>
      </c>
      <c r="BM996" s="8" t="s">
        <v>86</v>
      </c>
      <c r="BN996" s="8" t="s">
        <v>81</v>
      </c>
      <c r="BO996" s="8" t="s">
        <v>82</v>
      </c>
      <c r="BP996" s="8" t="s">
        <v>9</v>
      </c>
      <c r="BQ996" s="8" t="s">
        <v>190</v>
      </c>
      <c r="BR996" s="8" t="s">
        <v>84</v>
      </c>
      <c r="BS996" s="8"/>
      <c r="BT996" s="8">
        <v>97.68</v>
      </c>
      <c r="BU996" s="8">
        <v>97.683397999999997</v>
      </c>
      <c r="BV996" s="8">
        <v>1.54</v>
      </c>
      <c r="BW996" s="8">
        <f>BV996*SQRT(AK996)</f>
        <v>3.08</v>
      </c>
      <c r="BX996" s="8">
        <v>94.59</v>
      </c>
      <c r="BY996" s="8">
        <v>94.594594599999994</v>
      </c>
      <c r="BZ996" s="8">
        <v>3.47</v>
      </c>
      <c r="CA996" s="8">
        <f>BZ996*SQRT(AL996)</f>
        <v>6.94</v>
      </c>
      <c r="CB996" s="8">
        <v>1</v>
      </c>
      <c r="CC996" s="8">
        <v>4</v>
      </c>
      <c r="CD996" s="8">
        <v>-3.2000000000000001E-2</v>
      </c>
      <c r="CE996" s="8">
        <v>1.6000000000000001E-3</v>
      </c>
      <c r="CF996" s="8" t="s">
        <v>1134</v>
      </c>
    </row>
    <row r="997" spans="1:84" hidden="1" x14ac:dyDescent="0.2">
      <c r="A997" s="8"/>
      <c r="B997" s="8"/>
      <c r="C997" s="8"/>
      <c r="D997" s="8">
        <v>104</v>
      </c>
      <c r="E997" s="8"/>
      <c r="F997" s="8"/>
      <c r="G997" t="s">
        <v>43</v>
      </c>
      <c r="H997" s="8" t="s">
        <v>788</v>
      </c>
      <c r="I997" s="8" t="s">
        <v>1130</v>
      </c>
      <c r="J997" s="8">
        <v>2017</v>
      </c>
      <c r="K997" s="8"/>
      <c r="L997" s="8"/>
      <c r="M997" s="8" t="s">
        <v>789</v>
      </c>
      <c r="N997" s="8"/>
      <c r="O997" s="8"/>
      <c r="P997" t="s">
        <v>1135</v>
      </c>
      <c r="Q997" s="8"/>
      <c r="R997" s="8" t="s">
        <v>1127</v>
      </c>
      <c r="S997" t="s">
        <v>1128</v>
      </c>
      <c r="T997" s="8" t="s">
        <v>46</v>
      </c>
      <c r="U997" s="8" t="s">
        <v>794</v>
      </c>
      <c r="V997" s="8" t="s">
        <v>795</v>
      </c>
      <c r="W997" s="8" t="str">
        <f>IF(ISNUMBER(MATCH(#REF!,{"Doryteuthis pealeii","Loligo vulgaris","Leptuca thayeri","Stylocheilus striatus","Ophryotrocha labronica"},0)),"N","Y")</f>
        <v>Y</v>
      </c>
      <c r="X997" s="8"/>
      <c r="Y997" s="8"/>
      <c r="Z997" s="8" t="s">
        <v>106</v>
      </c>
      <c r="AA997" s="8" t="s">
        <v>107</v>
      </c>
      <c r="AB997" s="8" t="s">
        <v>71</v>
      </c>
      <c r="AC997" s="8" t="s">
        <v>195</v>
      </c>
      <c r="AD997" s="8" t="s">
        <v>52</v>
      </c>
      <c r="AE997" s="8" t="s">
        <v>53</v>
      </c>
      <c r="AF997" s="8" t="s">
        <v>54</v>
      </c>
      <c r="AG997" s="8" t="s">
        <v>52</v>
      </c>
      <c r="AH997" s="8" t="s">
        <v>65</v>
      </c>
      <c r="AI997" s="8"/>
      <c r="AJ997" s="8"/>
      <c r="AK997" s="8">
        <v>4</v>
      </c>
      <c r="AL997" s="8">
        <v>4</v>
      </c>
      <c r="AM997" s="8" t="s">
        <v>793</v>
      </c>
      <c r="AN997" s="8">
        <v>565</v>
      </c>
      <c r="AO997" s="8" t="s">
        <v>56</v>
      </c>
      <c r="AP997" s="8" t="s">
        <v>56</v>
      </c>
      <c r="AQ997" s="8" t="s">
        <v>118</v>
      </c>
      <c r="AR997" s="8">
        <v>8.07</v>
      </c>
      <c r="AS997" s="8" t="s">
        <v>56</v>
      </c>
      <c r="AT997" s="8" t="s">
        <v>56</v>
      </c>
      <c r="AU997" s="8">
        <v>565</v>
      </c>
      <c r="AV997" t="s">
        <v>56</v>
      </c>
      <c r="AW997" t="s">
        <v>56</v>
      </c>
      <c r="AX997">
        <v>8.08</v>
      </c>
      <c r="AY997" t="s">
        <v>56</v>
      </c>
      <c r="AZ997" t="s">
        <v>56</v>
      </c>
      <c r="BA997" s="8"/>
      <c r="BB997" s="8">
        <f>LOG(AU997)</f>
        <v>2.7520484478194387</v>
      </c>
      <c r="BC997" s="8">
        <v>25.9</v>
      </c>
      <c r="BD997" s="8" t="s">
        <v>56</v>
      </c>
      <c r="BE997" s="8" t="s">
        <v>56</v>
      </c>
      <c r="BF997" s="8">
        <v>34.799999999999997</v>
      </c>
      <c r="BG997" s="8" t="s">
        <v>56</v>
      </c>
      <c r="BH997" s="8" t="s">
        <v>56</v>
      </c>
      <c r="BI997" s="8">
        <v>0</v>
      </c>
      <c r="BJ997" s="8">
        <v>9</v>
      </c>
      <c r="BK997" s="8" t="s">
        <v>56</v>
      </c>
      <c r="BL997" s="8" t="s">
        <v>792</v>
      </c>
      <c r="BM997" s="8" t="s">
        <v>86</v>
      </c>
      <c r="BN997" s="8" t="s">
        <v>81</v>
      </c>
      <c r="BO997" s="8" t="s">
        <v>82</v>
      </c>
      <c r="BP997" s="8" t="s">
        <v>9</v>
      </c>
      <c r="BQ997" s="8" t="s">
        <v>9</v>
      </c>
      <c r="BR997" s="8" t="s">
        <v>84</v>
      </c>
      <c r="BS997" s="8"/>
      <c r="BT997" s="8">
        <v>97.68</v>
      </c>
      <c r="BU997" s="8">
        <v>97.683397999999997</v>
      </c>
      <c r="BV997" s="8">
        <v>1.5444020000000001</v>
      </c>
      <c r="BW997" s="8">
        <f>BV997*SQRT(AK997)</f>
        <v>3.0888040000000001</v>
      </c>
      <c r="BX997" s="8">
        <v>0</v>
      </c>
      <c r="BY997" s="8">
        <v>0.97683399999999998</v>
      </c>
      <c r="BZ997" s="8">
        <v>0</v>
      </c>
      <c r="CA997" s="8">
        <f>BZ997*SQRT(AL997)</f>
        <v>0</v>
      </c>
      <c r="CB997" s="8">
        <v>1</v>
      </c>
      <c r="CC997" s="8">
        <v>4</v>
      </c>
      <c r="CD997" s="8">
        <v>-4.6050000000000004</v>
      </c>
      <c r="CE997" s="8">
        <v>2.0000000000000001E-4</v>
      </c>
      <c r="CF997" s="8" t="s">
        <v>1134</v>
      </c>
    </row>
    <row r="998" spans="1:84" hidden="1" x14ac:dyDescent="0.2">
      <c r="A998" s="8"/>
      <c r="B998" s="8"/>
      <c r="C998" s="8"/>
      <c r="D998" s="8">
        <v>104</v>
      </c>
      <c r="E998" s="8"/>
      <c r="F998" s="8"/>
      <c r="G998" t="s">
        <v>43</v>
      </c>
      <c r="H998" s="8" t="s">
        <v>788</v>
      </c>
      <c r="I998" s="8" t="s">
        <v>1130</v>
      </c>
      <c r="J998" s="8">
        <v>2017</v>
      </c>
      <c r="K998" s="8"/>
      <c r="L998" s="8"/>
      <c r="M998" s="8" t="s">
        <v>789</v>
      </c>
      <c r="N998" s="8"/>
      <c r="O998" s="8"/>
      <c r="P998" t="s">
        <v>1135</v>
      </c>
      <c r="Q998" s="8"/>
      <c r="R998" s="8" t="s">
        <v>1127</v>
      </c>
      <c r="S998" t="s">
        <v>1128</v>
      </c>
      <c r="T998" s="8" t="s">
        <v>46</v>
      </c>
      <c r="U998" s="8" t="s">
        <v>794</v>
      </c>
      <c r="V998" s="8" t="s">
        <v>795</v>
      </c>
      <c r="W998" s="8" t="str">
        <f>IF(ISNUMBER(MATCH(#REF!,{"Doryteuthis pealeii","Loligo vulgaris","Leptuca thayeri","Stylocheilus striatus","Ophryotrocha labronica"},0)),"N","Y")</f>
        <v>Y</v>
      </c>
      <c r="X998" s="8"/>
      <c r="Y998" s="8"/>
      <c r="Z998" s="8" t="s">
        <v>106</v>
      </c>
      <c r="AA998" s="8" t="s">
        <v>107</v>
      </c>
      <c r="AB998" s="8" t="s">
        <v>71</v>
      </c>
      <c r="AC998" s="8" t="s">
        <v>195</v>
      </c>
      <c r="AD998" s="8" t="s">
        <v>52</v>
      </c>
      <c r="AE998" s="8" t="s">
        <v>53</v>
      </c>
      <c r="AF998" s="8" t="s">
        <v>52</v>
      </c>
      <c r="AG998" s="8" t="s">
        <v>54</v>
      </c>
      <c r="AH998" s="8" t="s">
        <v>55</v>
      </c>
      <c r="AI998" s="8"/>
      <c r="AJ998" s="8"/>
      <c r="AK998" s="8">
        <v>4</v>
      </c>
      <c r="AL998" s="8">
        <v>4</v>
      </c>
      <c r="AM998" s="8" t="s">
        <v>793</v>
      </c>
      <c r="AN998" s="8">
        <v>565</v>
      </c>
      <c r="AO998" s="8" t="s">
        <v>56</v>
      </c>
      <c r="AP998" s="8" t="s">
        <v>56</v>
      </c>
      <c r="AQ998" s="8" t="s">
        <v>118</v>
      </c>
      <c r="AR998" s="8">
        <v>8.07</v>
      </c>
      <c r="AS998" s="8" t="s">
        <v>56</v>
      </c>
      <c r="AT998" s="8" t="s">
        <v>56</v>
      </c>
      <c r="AU998" s="8">
        <v>963</v>
      </c>
      <c r="AV998" t="s">
        <v>56</v>
      </c>
      <c r="AW998" t="s">
        <v>56</v>
      </c>
      <c r="AX998">
        <v>7.89</v>
      </c>
      <c r="AY998" t="s">
        <v>56</v>
      </c>
      <c r="AZ998" t="s">
        <v>56</v>
      </c>
      <c r="BA998" s="8"/>
      <c r="BB998" s="8">
        <f>LOG(AU998)</f>
        <v>2.9836262871245345</v>
      </c>
      <c r="BC998" s="8">
        <v>25.9</v>
      </c>
      <c r="BD998" s="8" t="s">
        <v>56</v>
      </c>
      <c r="BE998" s="8" t="s">
        <v>56</v>
      </c>
      <c r="BF998" s="8">
        <v>34.799999999999997</v>
      </c>
      <c r="BG998" s="8" t="s">
        <v>56</v>
      </c>
      <c r="BH998" s="8" t="s">
        <v>56</v>
      </c>
      <c r="BI998" s="8">
        <v>398</v>
      </c>
      <c r="BJ998" s="8">
        <v>9</v>
      </c>
      <c r="BK998" s="8" t="s">
        <v>56</v>
      </c>
      <c r="BL998" s="8" t="s">
        <v>792</v>
      </c>
      <c r="BM998" s="8" t="s">
        <v>86</v>
      </c>
      <c r="BN998" s="8" t="s">
        <v>81</v>
      </c>
      <c r="BO998" s="8" t="s">
        <v>82</v>
      </c>
      <c r="BP998" s="8" t="s">
        <v>9</v>
      </c>
      <c r="BQ998" s="8" t="s">
        <v>9</v>
      </c>
      <c r="BR998" s="8" t="s">
        <v>84</v>
      </c>
      <c r="BS998" s="8"/>
      <c r="BT998" s="8">
        <v>97.68</v>
      </c>
      <c r="BU998" s="8">
        <v>97.683397999999997</v>
      </c>
      <c r="BV998" s="8">
        <v>1.5444020000000001</v>
      </c>
      <c r="BW998" s="8">
        <f>BV998*SQRT(AK998)</f>
        <v>3.0888040000000001</v>
      </c>
      <c r="BX998" s="8">
        <v>0</v>
      </c>
      <c r="BY998" s="8">
        <v>0.97683399999999998</v>
      </c>
      <c r="BZ998" s="8">
        <v>0</v>
      </c>
      <c r="CA998" s="8">
        <f>BZ998*SQRT(AL998)</f>
        <v>0</v>
      </c>
      <c r="CB998" s="8">
        <v>1</v>
      </c>
      <c r="CC998" s="8">
        <v>4</v>
      </c>
      <c r="CD998" s="8">
        <v>-4.6050000000000004</v>
      </c>
      <c r="CE998" s="8">
        <v>2.0000000000000001E-4</v>
      </c>
      <c r="CF998" s="8" t="s">
        <v>1134</v>
      </c>
    </row>
    <row r="999" spans="1:84" hidden="1" x14ac:dyDescent="0.2">
      <c r="B999" t="str">
        <f>ROW()-1&amp;"_AltersInvert"</f>
        <v>998_AltersInvert</v>
      </c>
      <c r="C999" t="str">
        <f>D999&amp;"_"&amp;
SUBSTITUTE(TRIM(V999)," ","_")&amp;"_"&amp;
TRIM(AC999)&amp;"_"&amp;
"CO2"&amp;TEXT(AN999,"0.00")&amp;"_"&amp;
"pH"&amp;TEXT(AR999,"0.00")&amp;"_"&amp;
"T"&amp;TEXT(BC999,"0.##")</f>
        <v>186_Pocillopora_damicornis_LARVA_CO2516.00_pH8.10_T28.7</v>
      </c>
      <c r="D999">
        <v>186</v>
      </c>
      <c r="G999" t="s">
        <v>43</v>
      </c>
      <c r="H999" t="s">
        <v>880</v>
      </c>
      <c r="J999">
        <v>2021</v>
      </c>
      <c r="M999" t="s">
        <v>657</v>
      </c>
      <c r="P999" t="s">
        <v>1135</v>
      </c>
      <c r="R999" t="s">
        <v>1127</v>
      </c>
      <c r="S999" t="s">
        <v>1128</v>
      </c>
      <c r="T999" t="s">
        <v>103</v>
      </c>
      <c r="U999" t="s">
        <v>201</v>
      </c>
      <c r="V999" t="s">
        <v>214</v>
      </c>
      <c r="Z999" t="s">
        <v>106</v>
      </c>
      <c r="AA999" t="s">
        <v>107</v>
      </c>
      <c r="AB999" t="s">
        <v>71</v>
      </c>
      <c r="AC999" t="s">
        <v>72</v>
      </c>
      <c r="AD999" t="s">
        <v>52</v>
      </c>
      <c r="AE999" t="s">
        <v>53</v>
      </c>
      <c r="AF999" t="s">
        <v>52</v>
      </c>
      <c r="AG999" t="s">
        <v>54</v>
      </c>
      <c r="AH999" t="s">
        <v>55</v>
      </c>
      <c r="AK999">
        <v>4</v>
      </c>
      <c r="AL999">
        <v>4</v>
      </c>
      <c r="AN999">
        <v>516</v>
      </c>
      <c r="AO999" t="s">
        <v>56</v>
      </c>
      <c r="AP999">
        <v>36</v>
      </c>
      <c r="AQ999" t="s">
        <v>57</v>
      </c>
      <c r="AR999">
        <v>8.1</v>
      </c>
      <c r="AS999" t="s">
        <v>56</v>
      </c>
      <c r="AT999">
        <v>0.05</v>
      </c>
      <c r="AU999">
        <v>1044</v>
      </c>
      <c r="AV999" t="s">
        <v>56</v>
      </c>
      <c r="AW999">
        <v>32</v>
      </c>
      <c r="AX999">
        <v>7.83</v>
      </c>
      <c r="AY999" t="s">
        <v>56</v>
      </c>
      <c r="AZ999">
        <v>7.0000000000000007E-2</v>
      </c>
      <c r="BB999">
        <f>LOG(AU999)</f>
        <v>3.0187004986662433</v>
      </c>
      <c r="BC999">
        <v>28.7</v>
      </c>
      <c r="BD999" t="s">
        <v>56</v>
      </c>
      <c r="BE999">
        <v>0.3</v>
      </c>
      <c r="BF999">
        <v>28.7</v>
      </c>
      <c r="BG999" t="s">
        <v>56</v>
      </c>
      <c r="BH999">
        <v>0.2</v>
      </c>
      <c r="BI999">
        <v>528</v>
      </c>
      <c r="BJ999">
        <v>0</v>
      </c>
      <c r="BK999" t="s">
        <v>56</v>
      </c>
      <c r="BL999" t="s">
        <v>83</v>
      </c>
      <c r="BM999" t="s">
        <v>83</v>
      </c>
      <c r="BN999" t="s">
        <v>81</v>
      </c>
      <c r="BO999" t="s">
        <v>82</v>
      </c>
      <c r="BP999" t="s">
        <v>83</v>
      </c>
      <c r="BQ999" t="s">
        <v>83</v>
      </c>
      <c r="BR999" t="s">
        <v>84</v>
      </c>
      <c r="BT999">
        <v>97.53</v>
      </c>
      <c r="BU999">
        <v>97.53</v>
      </c>
      <c r="BV999">
        <v>1.59</v>
      </c>
      <c r="BW999">
        <f>BV999*SQRT(AK999)</f>
        <v>3.18</v>
      </c>
      <c r="BX999">
        <v>94.22</v>
      </c>
      <c r="BY999">
        <v>94.22</v>
      </c>
      <c r="BZ999">
        <v>2.12</v>
      </c>
      <c r="CA999">
        <f>BZ999*SQRT(AL999)</f>
        <v>4.24</v>
      </c>
      <c r="CB999">
        <v>5</v>
      </c>
      <c r="CC999">
        <v>4</v>
      </c>
      <c r="CD999">
        <v>-3.4500000000000003E-2</v>
      </c>
      <c r="CE999">
        <v>8.0000000000000004E-4</v>
      </c>
    </row>
    <row r="1000" spans="1:84" hidden="1" x14ac:dyDescent="0.2">
      <c r="B1000" t="str">
        <f>ROW()-1&amp;"_AltersInvert"</f>
        <v>999_AltersInvert</v>
      </c>
      <c r="C1000" t="str">
        <f>D1000&amp;"_"&amp;
SUBSTITUTE(TRIM(V1000)," ","_")&amp;"_"&amp;
TRIM(AC1000)&amp;"_"&amp;
"CO2"&amp;TEXT(AN1000,"0.00")&amp;"_"&amp;
"pH"&amp;TEXT(AR1000,"0.00")&amp;"_"&amp;
"T"&amp;TEXT(BC1000,"0.##")</f>
        <v>186_Pocillopora_damicornis_LARVA_CO2516.00_pH8.10_T28.7</v>
      </c>
      <c r="D1000">
        <v>186</v>
      </c>
      <c r="G1000" t="s">
        <v>43</v>
      </c>
      <c r="H1000" t="s">
        <v>880</v>
      </c>
      <c r="J1000">
        <v>2021</v>
      </c>
      <c r="M1000" t="s">
        <v>657</v>
      </c>
      <c r="P1000" t="s">
        <v>1135</v>
      </c>
      <c r="R1000" t="s">
        <v>1127</v>
      </c>
      <c r="S1000" t="s">
        <v>1128</v>
      </c>
      <c r="T1000" t="s">
        <v>103</v>
      </c>
      <c r="U1000" t="s">
        <v>201</v>
      </c>
      <c r="V1000" t="s">
        <v>214</v>
      </c>
      <c r="Z1000" t="s">
        <v>106</v>
      </c>
      <c r="AA1000" t="s">
        <v>107</v>
      </c>
      <c r="AB1000" t="s">
        <v>71</v>
      </c>
      <c r="AC1000" t="s">
        <v>72</v>
      </c>
      <c r="AD1000" t="s">
        <v>52</v>
      </c>
      <c r="AE1000" t="s">
        <v>53</v>
      </c>
      <c r="AF1000" t="s">
        <v>54</v>
      </c>
      <c r="AG1000" t="s">
        <v>52</v>
      </c>
      <c r="AH1000" t="s">
        <v>65</v>
      </c>
      <c r="AK1000">
        <v>4</v>
      </c>
      <c r="AL1000">
        <v>4</v>
      </c>
      <c r="AN1000">
        <v>516</v>
      </c>
      <c r="AO1000" t="s">
        <v>56</v>
      </c>
      <c r="AP1000">
        <v>36</v>
      </c>
      <c r="AQ1000" t="s">
        <v>57</v>
      </c>
      <c r="AR1000">
        <v>8.1</v>
      </c>
      <c r="AS1000" t="s">
        <v>56</v>
      </c>
      <c r="AT1000">
        <v>0.05</v>
      </c>
      <c r="AU1000">
        <v>553</v>
      </c>
      <c r="AV1000" t="s">
        <v>56</v>
      </c>
      <c r="AW1000">
        <v>22</v>
      </c>
      <c r="AX1000">
        <v>8.1199999999999992</v>
      </c>
      <c r="AY1000" t="s">
        <v>56</v>
      </c>
      <c r="AZ1000">
        <v>0.05</v>
      </c>
      <c r="BB1000">
        <f>LOG(AU1000)</f>
        <v>2.7427251313046983</v>
      </c>
      <c r="BC1000">
        <v>28.7</v>
      </c>
      <c r="BD1000" t="s">
        <v>56</v>
      </c>
      <c r="BE1000">
        <v>0.3</v>
      </c>
      <c r="BF1000">
        <v>32.799999999999997</v>
      </c>
      <c r="BG1000" t="s">
        <v>56</v>
      </c>
      <c r="BH1000">
        <v>0.2</v>
      </c>
      <c r="BI1000">
        <v>37</v>
      </c>
      <c r="BJ1000">
        <v>4.0999999999999996</v>
      </c>
      <c r="BK1000" t="s">
        <v>56</v>
      </c>
      <c r="BL1000" t="s">
        <v>83</v>
      </c>
      <c r="BM1000" t="s">
        <v>83</v>
      </c>
      <c r="BN1000" t="s">
        <v>81</v>
      </c>
      <c r="BO1000" t="s">
        <v>82</v>
      </c>
      <c r="BP1000" t="s">
        <v>83</v>
      </c>
      <c r="BQ1000" t="s">
        <v>83</v>
      </c>
      <c r="BR1000" t="s">
        <v>84</v>
      </c>
      <c r="BT1000">
        <v>97.53</v>
      </c>
      <c r="BU1000">
        <v>97.53</v>
      </c>
      <c r="BV1000">
        <v>1.59</v>
      </c>
      <c r="BW1000">
        <f>BV1000*SQRT(AK1000)</f>
        <v>3.18</v>
      </c>
      <c r="BX1000">
        <v>94.31</v>
      </c>
      <c r="BY1000">
        <v>94.31</v>
      </c>
      <c r="BZ1000">
        <v>3.71</v>
      </c>
      <c r="CA1000">
        <f>BZ1000*SQRT(AL1000)</f>
        <v>7.42</v>
      </c>
      <c r="CB1000">
        <v>5</v>
      </c>
      <c r="CC1000">
        <v>4</v>
      </c>
      <c r="CD1000">
        <v>-3.3599999999999998E-2</v>
      </c>
      <c r="CE1000">
        <v>1.8E-3</v>
      </c>
    </row>
    <row r="1001" spans="1:84" hidden="1" x14ac:dyDescent="0.2">
      <c r="B1001" t="str">
        <f>ROW()-1&amp;"_AltersInvert"</f>
        <v>1000_AltersInvert</v>
      </c>
      <c r="C1001" t="str">
        <f>D1001&amp;"_"&amp;
SUBSTITUTE(TRIM(V1001)," ","_")&amp;"_"&amp;
TRIM(AC1001)&amp;"_"&amp;
"CO2"&amp;TEXT(AN1001,"0.00")&amp;"_"&amp;
"pH"&amp;TEXT(AR1001,"0.00")&amp;"_"&amp;
"T"&amp;TEXT(BC1001,"0.##")</f>
        <v>186_Pocillopora_damicornis_LARVA_CO2516.00_pH8.10_T28.7</v>
      </c>
      <c r="D1001">
        <v>186</v>
      </c>
      <c r="G1001" t="s">
        <v>43</v>
      </c>
      <c r="H1001" t="s">
        <v>880</v>
      </c>
      <c r="J1001">
        <v>2021</v>
      </c>
      <c r="M1001" t="s">
        <v>657</v>
      </c>
      <c r="P1001" t="s">
        <v>1135</v>
      </c>
      <c r="R1001" t="s">
        <v>1127</v>
      </c>
      <c r="S1001" t="s">
        <v>1128</v>
      </c>
      <c r="T1001" t="s">
        <v>103</v>
      </c>
      <c r="U1001" t="s">
        <v>201</v>
      </c>
      <c r="V1001" t="s">
        <v>214</v>
      </c>
      <c r="Z1001" t="s">
        <v>106</v>
      </c>
      <c r="AA1001" t="s">
        <v>107</v>
      </c>
      <c r="AB1001" t="s">
        <v>71</v>
      </c>
      <c r="AC1001" t="s">
        <v>72</v>
      </c>
      <c r="AD1001" t="s">
        <v>52</v>
      </c>
      <c r="AE1001" t="s">
        <v>53</v>
      </c>
      <c r="AF1001" t="s">
        <v>54</v>
      </c>
      <c r="AG1001" t="s">
        <v>52</v>
      </c>
      <c r="AH1001" t="s">
        <v>65</v>
      </c>
      <c r="AK1001">
        <v>4</v>
      </c>
      <c r="AL1001">
        <v>4</v>
      </c>
      <c r="AN1001">
        <v>516</v>
      </c>
      <c r="AO1001" t="s">
        <v>56</v>
      </c>
      <c r="AP1001">
        <v>36</v>
      </c>
      <c r="AQ1001" t="s">
        <v>57</v>
      </c>
      <c r="AR1001">
        <v>8.1</v>
      </c>
      <c r="AS1001" t="s">
        <v>56</v>
      </c>
      <c r="AT1001">
        <v>0.05</v>
      </c>
      <c r="AU1001">
        <v>524</v>
      </c>
      <c r="AV1001" t="s">
        <v>56</v>
      </c>
      <c r="AW1001">
        <v>17</v>
      </c>
      <c r="AX1001">
        <v>8.1300000000000008</v>
      </c>
      <c r="AY1001" t="s">
        <v>56</v>
      </c>
      <c r="AZ1001">
        <v>0.06</v>
      </c>
      <c r="BB1001">
        <f>LOG(AU1001)</f>
        <v>2.7193312869837265</v>
      </c>
      <c r="BC1001">
        <v>28.7</v>
      </c>
      <c r="BD1001" t="s">
        <v>56</v>
      </c>
      <c r="BE1001">
        <v>0.3</v>
      </c>
      <c r="BF1001">
        <v>31.8</v>
      </c>
      <c r="BG1001" t="s">
        <v>56</v>
      </c>
      <c r="BH1001">
        <v>0.3</v>
      </c>
      <c r="BI1001">
        <v>8</v>
      </c>
      <c r="BJ1001">
        <v>3.1</v>
      </c>
      <c r="BK1001" t="s">
        <v>56</v>
      </c>
      <c r="BL1001" t="s">
        <v>83</v>
      </c>
      <c r="BM1001" t="s">
        <v>83</v>
      </c>
      <c r="BN1001" t="s">
        <v>81</v>
      </c>
      <c r="BO1001" t="s">
        <v>82</v>
      </c>
      <c r="BP1001" t="s">
        <v>83</v>
      </c>
      <c r="BQ1001" t="s">
        <v>83</v>
      </c>
      <c r="BR1001" t="s">
        <v>84</v>
      </c>
      <c r="BT1001">
        <v>97.53</v>
      </c>
      <c r="BU1001">
        <v>97.53</v>
      </c>
      <c r="BV1001">
        <v>1.59</v>
      </c>
      <c r="BW1001">
        <f>BV1001*SQRT(AK1001)</f>
        <v>3.18</v>
      </c>
      <c r="BX1001">
        <v>96.41</v>
      </c>
      <c r="BY1001">
        <v>96.41</v>
      </c>
      <c r="BZ1001">
        <v>0</v>
      </c>
      <c r="CA1001">
        <f>BZ1001*SQRT(AL1001)</f>
        <v>0</v>
      </c>
      <c r="CB1001">
        <v>5</v>
      </c>
      <c r="CC1001">
        <v>4</v>
      </c>
      <c r="CD1001">
        <v>-1.1599999999999999E-2</v>
      </c>
      <c r="CE1001">
        <v>2.9999999999999997E-4</v>
      </c>
    </row>
    <row r="1002" spans="1:84" hidden="1" x14ac:dyDescent="0.2">
      <c r="B1002" t="str">
        <f>ROW()-1&amp;"_AltersInvert"</f>
        <v>1001_AltersInvert</v>
      </c>
      <c r="C1002" t="str">
        <f>D1002&amp;"_"&amp;
SUBSTITUTE(TRIM(V1002)," ","_")&amp;"_"&amp;
TRIM(AC1002)&amp;"_"&amp;
"CO2"&amp;TEXT(AN1002,"0.00")&amp;"_"&amp;
"pH"&amp;TEXT(AR1002,"0.00")&amp;"_"&amp;
"T"&amp;TEXT(BC1002,"0.##")</f>
        <v>186_Pocillopora_damicornis_LARVA_CO2516.00_pH8.10_T28.7</v>
      </c>
      <c r="D1002">
        <v>186</v>
      </c>
      <c r="G1002" t="s">
        <v>43</v>
      </c>
      <c r="H1002" t="s">
        <v>880</v>
      </c>
      <c r="J1002">
        <v>2021</v>
      </c>
      <c r="M1002" t="s">
        <v>657</v>
      </c>
      <c r="P1002" t="s">
        <v>1135</v>
      </c>
      <c r="R1002" t="s">
        <v>1127</v>
      </c>
      <c r="S1002" t="s">
        <v>1128</v>
      </c>
      <c r="T1002" t="s">
        <v>103</v>
      </c>
      <c r="U1002" t="s">
        <v>201</v>
      </c>
      <c r="V1002" t="s">
        <v>214</v>
      </c>
      <c r="Z1002" t="s">
        <v>106</v>
      </c>
      <c r="AA1002" t="s">
        <v>107</v>
      </c>
      <c r="AB1002" t="s">
        <v>71</v>
      </c>
      <c r="AC1002" t="s">
        <v>72</v>
      </c>
      <c r="AD1002" t="s">
        <v>52</v>
      </c>
      <c r="AE1002" t="s">
        <v>53</v>
      </c>
      <c r="AF1002" t="s">
        <v>54</v>
      </c>
      <c r="AG1002" t="s">
        <v>52</v>
      </c>
      <c r="AH1002" t="s">
        <v>65</v>
      </c>
      <c r="AK1002">
        <v>4</v>
      </c>
      <c r="AL1002">
        <v>4</v>
      </c>
      <c r="AN1002">
        <v>516</v>
      </c>
      <c r="AO1002" t="s">
        <v>56</v>
      </c>
      <c r="AP1002">
        <v>36</v>
      </c>
      <c r="AQ1002" t="s">
        <v>57</v>
      </c>
      <c r="AR1002">
        <v>8.1</v>
      </c>
      <c r="AS1002" t="s">
        <v>56</v>
      </c>
      <c r="AT1002">
        <v>0.05</v>
      </c>
      <c r="AU1002">
        <v>518</v>
      </c>
      <c r="AV1002" t="s">
        <v>56</v>
      </c>
      <c r="AW1002">
        <v>13</v>
      </c>
      <c r="AX1002">
        <v>8.1199999999999992</v>
      </c>
      <c r="AY1002" t="s">
        <v>56</v>
      </c>
      <c r="AZ1002">
        <v>0.05</v>
      </c>
      <c r="BB1002">
        <f>LOG(AU1002)</f>
        <v>2.7143297597452332</v>
      </c>
      <c r="BC1002">
        <v>28.7</v>
      </c>
      <c r="BD1002" t="s">
        <v>56</v>
      </c>
      <c r="BE1002">
        <v>0.3</v>
      </c>
      <c r="BF1002">
        <v>31.2</v>
      </c>
      <c r="BG1002" t="s">
        <v>56</v>
      </c>
      <c r="BH1002">
        <v>0.2</v>
      </c>
      <c r="BI1002">
        <v>2</v>
      </c>
      <c r="BJ1002">
        <v>2.5</v>
      </c>
      <c r="BK1002" t="s">
        <v>56</v>
      </c>
      <c r="BL1002" t="s">
        <v>83</v>
      </c>
      <c r="BM1002" t="s">
        <v>83</v>
      </c>
      <c r="BN1002" t="s">
        <v>81</v>
      </c>
      <c r="BO1002" t="s">
        <v>82</v>
      </c>
      <c r="BP1002" t="s">
        <v>83</v>
      </c>
      <c r="BQ1002" t="s">
        <v>83</v>
      </c>
      <c r="BR1002" t="s">
        <v>84</v>
      </c>
      <c r="BT1002">
        <v>97.53</v>
      </c>
      <c r="BU1002">
        <v>97.53</v>
      </c>
      <c r="BV1002">
        <v>1.59</v>
      </c>
      <c r="BW1002">
        <f>BV1002*SQRT(AK1002)</f>
        <v>3.18</v>
      </c>
      <c r="BX1002">
        <v>98.51</v>
      </c>
      <c r="BY1002">
        <v>98.51</v>
      </c>
      <c r="BZ1002">
        <v>0.93</v>
      </c>
      <c r="CA1002">
        <f>BZ1002*SQRT(AL1002)</f>
        <v>1.86</v>
      </c>
      <c r="CB1002">
        <v>5</v>
      </c>
      <c r="CC1002">
        <v>4</v>
      </c>
      <c r="CD1002">
        <v>0.01</v>
      </c>
      <c r="CE1002">
        <v>4.0000000000000002E-4</v>
      </c>
    </row>
    <row r="1003" spans="1:84" hidden="1" x14ac:dyDescent="0.2">
      <c r="B1003" t="str">
        <f>ROW()-1&amp;"_AltersInvert"</f>
        <v>1002_AltersInvert</v>
      </c>
      <c r="C1003" t="str">
        <f>D1003&amp;"_"&amp;
SUBSTITUTE(TRIM(V1003)," ","_")&amp;"_"&amp;
TRIM(AC1003)&amp;"_"&amp;
"CO2"&amp;TEXT(AN1003,"0.00")&amp;"_"&amp;
"pH"&amp;TEXT(AR1003,"0.00")&amp;"_"&amp;
"T"&amp;TEXT(BC1003,"0.##")</f>
        <v>186_Pocillopora_damicornis_LARVA_CO2516.00_pH8.10_T28.7</v>
      </c>
      <c r="D1003">
        <v>186</v>
      </c>
      <c r="G1003" t="s">
        <v>43</v>
      </c>
      <c r="H1003" t="s">
        <v>880</v>
      </c>
      <c r="J1003">
        <v>2021</v>
      </c>
      <c r="M1003" t="s">
        <v>657</v>
      </c>
      <c r="P1003" t="s">
        <v>1135</v>
      </c>
      <c r="R1003" t="s">
        <v>1127</v>
      </c>
      <c r="S1003" t="s">
        <v>1128</v>
      </c>
      <c r="T1003" t="s">
        <v>103</v>
      </c>
      <c r="U1003" t="s">
        <v>201</v>
      </c>
      <c r="V1003" t="s">
        <v>214</v>
      </c>
      <c r="Z1003" t="s">
        <v>106</v>
      </c>
      <c r="AA1003" t="s">
        <v>107</v>
      </c>
      <c r="AB1003" t="s">
        <v>71</v>
      </c>
      <c r="AC1003" t="s">
        <v>72</v>
      </c>
      <c r="AD1003" t="s">
        <v>52</v>
      </c>
      <c r="AE1003" t="s">
        <v>53</v>
      </c>
      <c r="AF1003" t="s">
        <v>52</v>
      </c>
      <c r="AG1003" t="s">
        <v>52</v>
      </c>
      <c r="AH1003" t="s">
        <v>64</v>
      </c>
      <c r="AK1003">
        <v>4</v>
      </c>
      <c r="AL1003">
        <v>4</v>
      </c>
      <c r="AN1003">
        <v>516</v>
      </c>
      <c r="AO1003" t="s">
        <v>56</v>
      </c>
      <c r="AP1003">
        <v>36</v>
      </c>
      <c r="AQ1003" t="s">
        <v>57</v>
      </c>
      <c r="AR1003">
        <v>8.1</v>
      </c>
      <c r="AS1003" t="s">
        <v>56</v>
      </c>
      <c r="AT1003">
        <v>0.05</v>
      </c>
      <c r="AU1003">
        <v>1014</v>
      </c>
      <c r="AV1003" t="s">
        <v>56</v>
      </c>
      <c r="AW1003">
        <v>62</v>
      </c>
      <c r="AX1003">
        <v>7.85</v>
      </c>
      <c r="AY1003" t="s">
        <v>56</v>
      </c>
      <c r="AZ1003">
        <v>7.0000000000000007E-2</v>
      </c>
      <c r="BB1003">
        <f>LOG(AU1003)</f>
        <v>3.0060379549973173</v>
      </c>
      <c r="BC1003">
        <v>28.7</v>
      </c>
      <c r="BD1003" t="s">
        <v>56</v>
      </c>
      <c r="BE1003">
        <v>0.3</v>
      </c>
      <c r="BF1003">
        <v>31.8</v>
      </c>
      <c r="BG1003" t="s">
        <v>56</v>
      </c>
      <c r="BH1003">
        <v>0.3</v>
      </c>
      <c r="BI1003">
        <v>498</v>
      </c>
      <c r="BJ1003">
        <v>3.1</v>
      </c>
      <c r="BK1003" t="s">
        <v>56</v>
      </c>
      <c r="BL1003" t="s">
        <v>83</v>
      </c>
      <c r="BM1003" t="s">
        <v>83</v>
      </c>
      <c r="BN1003" t="s">
        <v>81</v>
      </c>
      <c r="BO1003" t="s">
        <v>82</v>
      </c>
      <c r="BP1003" t="s">
        <v>83</v>
      </c>
      <c r="BQ1003" t="s">
        <v>83</v>
      </c>
      <c r="BR1003" t="s">
        <v>84</v>
      </c>
      <c r="BT1003">
        <v>97.53</v>
      </c>
      <c r="BU1003">
        <v>97.53</v>
      </c>
      <c r="BV1003">
        <v>1.59</v>
      </c>
      <c r="BW1003">
        <f>BV1003*SQRT(AK1003)</f>
        <v>3.18</v>
      </c>
      <c r="BX1003">
        <v>94.95</v>
      </c>
      <c r="BY1003">
        <v>94.95</v>
      </c>
      <c r="BZ1003">
        <v>2.78</v>
      </c>
      <c r="CA1003">
        <f>BZ1003*SQRT(AL1003)</f>
        <v>5.56</v>
      </c>
      <c r="CB1003">
        <v>5</v>
      </c>
      <c r="CC1003">
        <v>4</v>
      </c>
      <c r="CD1003">
        <v>-2.6800000000000001E-2</v>
      </c>
      <c r="CE1003">
        <v>1.1000000000000001E-3</v>
      </c>
    </row>
    <row r="1004" spans="1:84" hidden="1" x14ac:dyDescent="0.2">
      <c r="B1004" t="str">
        <f>ROW()-1&amp;"_AltersInvert"</f>
        <v>1003_AltersInvert</v>
      </c>
      <c r="C1004" t="str">
        <f>D1004&amp;"_"&amp;
SUBSTITUTE(TRIM(V1004)," ","_")&amp;"_"&amp;
TRIM(AC1004)&amp;"_"&amp;
"CO2"&amp;TEXT(AN1004,"0.00")&amp;"_"&amp;
"pH"&amp;TEXT(AR1004,"0.00")&amp;"_"&amp;
"T"&amp;TEXT(BC1004,"0.##")</f>
        <v>186_Pocillopora_damicornis_LARVA_CO2516.00_pH8.10_T28.7</v>
      </c>
      <c r="D1004">
        <v>186</v>
      </c>
      <c r="G1004" t="s">
        <v>43</v>
      </c>
      <c r="H1004" t="s">
        <v>880</v>
      </c>
      <c r="J1004">
        <v>2021</v>
      </c>
      <c r="M1004" t="s">
        <v>657</v>
      </c>
      <c r="P1004" t="s">
        <v>1135</v>
      </c>
      <c r="R1004" t="s">
        <v>1127</v>
      </c>
      <c r="S1004" t="s">
        <v>1128</v>
      </c>
      <c r="T1004" t="s">
        <v>103</v>
      </c>
      <c r="U1004" t="s">
        <v>201</v>
      </c>
      <c r="V1004" t="s">
        <v>214</v>
      </c>
      <c r="Z1004" t="s">
        <v>106</v>
      </c>
      <c r="AA1004" t="s">
        <v>107</v>
      </c>
      <c r="AB1004" t="s">
        <v>71</v>
      </c>
      <c r="AC1004" t="s">
        <v>72</v>
      </c>
      <c r="AD1004" t="s">
        <v>52</v>
      </c>
      <c r="AE1004" t="s">
        <v>53</v>
      </c>
      <c r="AF1004" t="s">
        <v>52</v>
      </c>
      <c r="AG1004" t="s">
        <v>52</v>
      </c>
      <c r="AH1004" t="s">
        <v>64</v>
      </c>
      <c r="AK1004">
        <v>4</v>
      </c>
      <c r="AL1004">
        <v>4</v>
      </c>
      <c r="AN1004">
        <v>516</v>
      </c>
      <c r="AO1004" t="s">
        <v>56</v>
      </c>
      <c r="AP1004">
        <v>36</v>
      </c>
      <c r="AQ1004" t="s">
        <v>57</v>
      </c>
      <c r="AR1004">
        <v>8.1</v>
      </c>
      <c r="AS1004" t="s">
        <v>56</v>
      </c>
      <c r="AT1004">
        <v>0.05</v>
      </c>
      <c r="AU1004">
        <v>1010</v>
      </c>
      <c r="AV1004" t="s">
        <v>56</v>
      </c>
      <c r="AW1004">
        <v>23</v>
      </c>
      <c r="AX1004">
        <v>7.85</v>
      </c>
      <c r="AY1004" t="s">
        <v>56</v>
      </c>
      <c r="AZ1004">
        <v>0.06</v>
      </c>
      <c r="BB1004">
        <f>LOG(AU1004)</f>
        <v>3.0043213737826426</v>
      </c>
      <c r="BC1004">
        <v>28.7</v>
      </c>
      <c r="BD1004" t="s">
        <v>56</v>
      </c>
      <c r="BE1004">
        <v>0.3</v>
      </c>
      <c r="BF1004">
        <v>32.9</v>
      </c>
      <c r="BG1004" t="s">
        <v>56</v>
      </c>
      <c r="BH1004">
        <v>0.2</v>
      </c>
      <c r="BI1004">
        <v>494</v>
      </c>
      <c r="BJ1004">
        <v>4.2</v>
      </c>
      <c r="BK1004" t="s">
        <v>56</v>
      </c>
      <c r="BL1004" t="s">
        <v>83</v>
      </c>
      <c r="BM1004" t="s">
        <v>83</v>
      </c>
      <c r="BN1004" t="s">
        <v>81</v>
      </c>
      <c r="BO1004" t="s">
        <v>82</v>
      </c>
      <c r="BP1004" t="s">
        <v>83</v>
      </c>
      <c r="BQ1004" t="s">
        <v>83</v>
      </c>
      <c r="BR1004" t="s">
        <v>84</v>
      </c>
      <c r="BT1004">
        <v>97.53</v>
      </c>
      <c r="BU1004">
        <v>97.53</v>
      </c>
      <c r="BV1004">
        <v>1.59</v>
      </c>
      <c r="BW1004">
        <f>BV1004*SQRT(AK1004)</f>
        <v>3.18</v>
      </c>
      <c r="BX1004">
        <v>95.9</v>
      </c>
      <c r="BY1004">
        <v>95.9</v>
      </c>
      <c r="BZ1004">
        <v>2.25</v>
      </c>
      <c r="CA1004">
        <f>BZ1004*SQRT(AL1004)</f>
        <v>4.5</v>
      </c>
      <c r="CB1004">
        <v>5</v>
      </c>
      <c r="CC1004">
        <v>4</v>
      </c>
      <c r="CD1004">
        <v>-1.6899999999999998E-2</v>
      </c>
      <c r="CE1004">
        <v>8.0000000000000004E-4</v>
      </c>
    </row>
    <row r="1005" spans="1:84" hidden="1" x14ac:dyDescent="0.2">
      <c r="B1005" t="str">
        <f>ROW()-1&amp;"_AltersInvert"</f>
        <v>1004_AltersInvert</v>
      </c>
      <c r="C1005" t="str">
        <f>D1005&amp;"_"&amp;
SUBSTITUTE(TRIM(V1005)," ","_")&amp;"_"&amp;
TRIM(AC1005)&amp;"_"&amp;
"CO2"&amp;TEXT(AN1005,"0.00")&amp;"_"&amp;
"pH"&amp;TEXT(AR1005,"0.00")&amp;"_"&amp;
"T"&amp;TEXT(BC1005,"0.##")</f>
        <v>186_Pocillopora_damicornis_LARVA_CO2516.00_pH8.10_T28.7</v>
      </c>
      <c r="D1005">
        <v>186</v>
      </c>
      <c r="G1005" t="s">
        <v>43</v>
      </c>
      <c r="H1005" t="s">
        <v>880</v>
      </c>
      <c r="J1005">
        <v>2021</v>
      </c>
      <c r="M1005" t="s">
        <v>657</v>
      </c>
      <c r="P1005" t="s">
        <v>1135</v>
      </c>
      <c r="R1005" t="s">
        <v>1127</v>
      </c>
      <c r="S1005" t="s">
        <v>1128</v>
      </c>
      <c r="T1005" t="s">
        <v>103</v>
      </c>
      <c r="U1005" t="s">
        <v>201</v>
      </c>
      <c r="V1005" t="s">
        <v>214</v>
      </c>
      <c r="Z1005" t="s">
        <v>106</v>
      </c>
      <c r="AA1005" t="s">
        <v>107</v>
      </c>
      <c r="AB1005" t="s">
        <v>71</v>
      </c>
      <c r="AC1005" t="s">
        <v>72</v>
      </c>
      <c r="AD1005" t="s">
        <v>52</v>
      </c>
      <c r="AE1005" t="s">
        <v>53</v>
      </c>
      <c r="AF1005" t="s">
        <v>52</v>
      </c>
      <c r="AG1005" t="s">
        <v>52</v>
      </c>
      <c r="AH1005" t="s">
        <v>64</v>
      </c>
      <c r="AK1005">
        <v>4</v>
      </c>
      <c r="AL1005">
        <v>4</v>
      </c>
      <c r="AN1005">
        <v>516</v>
      </c>
      <c r="AO1005" t="s">
        <v>56</v>
      </c>
      <c r="AP1005">
        <v>36</v>
      </c>
      <c r="AQ1005" t="s">
        <v>57</v>
      </c>
      <c r="AR1005">
        <v>8.1</v>
      </c>
      <c r="AS1005" t="s">
        <v>56</v>
      </c>
      <c r="AT1005">
        <v>0.05</v>
      </c>
      <c r="AU1005">
        <v>1012</v>
      </c>
      <c r="AV1005" t="s">
        <v>56</v>
      </c>
      <c r="AW1005">
        <v>21</v>
      </c>
      <c r="AX1005">
        <v>7.85</v>
      </c>
      <c r="AY1005" t="s">
        <v>56</v>
      </c>
      <c r="AZ1005">
        <v>7.0000000000000007E-2</v>
      </c>
      <c r="BB1005">
        <f>LOG(AU1005)</f>
        <v>3.0051805125037805</v>
      </c>
      <c r="BC1005">
        <v>28.7</v>
      </c>
      <c r="BD1005" t="s">
        <v>56</v>
      </c>
      <c r="BE1005">
        <v>0.3</v>
      </c>
      <c r="BF1005">
        <v>31.1</v>
      </c>
      <c r="BG1005" t="s">
        <v>56</v>
      </c>
      <c r="BH1005">
        <v>0.2</v>
      </c>
      <c r="BI1005">
        <v>496</v>
      </c>
      <c r="BJ1005">
        <v>2.4</v>
      </c>
      <c r="BK1005" t="s">
        <v>56</v>
      </c>
      <c r="BL1005" t="s">
        <v>83</v>
      </c>
      <c r="BM1005" t="s">
        <v>83</v>
      </c>
      <c r="BN1005" t="s">
        <v>81</v>
      </c>
      <c r="BO1005" t="s">
        <v>82</v>
      </c>
      <c r="BP1005" t="s">
        <v>83</v>
      </c>
      <c r="BQ1005" t="s">
        <v>83</v>
      </c>
      <c r="BR1005" t="s">
        <v>84</v>
      </c>
      <c r="BT1005">
        <v>97.53</v>
      </c>
      <c r="BU1005">
        <v>97.53</v>
      </c>
      <c r="BV1005">
        <v>1.59</v>
      </c>
      <c r="BW1005">
        <f>BV1005*SQRT(AK1005)</f>
        <v>3.18</v>
      </c>
      <c r="BX1005">
        <v>96.79</v>
      </c>
      <c r="BY1005">
        <v>96.79</v>
      </c>
      <c r="BZ1005">
        <v>1.46</v>
      </c>
      <c r="CA1005">
        <f>BZ1005*SQRT(AL1005)</f>
        <v>2.92</v>
      </c>
      <c r="CB1005">
        <v>5</v>
      </c>
      <c r="CC1005">
        <v>4</v>
      </c>
      <c r="CD1005">
        <v>-7.6E-3</v>
      </c>
      <c r="CE1005">
        <v>5.0000000000000001E-4</v>
      </c>
    </row>
    <row r="1006" spans="1:84" s="8" customFormat="1" hidden="1" x14ac:dyDescent="0.2">
      <c r="B1006" t="str">
        <f>ROW()-1&amp;"_AltersInvert"</f>
        <v>1005_AltersInvert</v>
      </c>
      <c r="C1006" t="str">
        <f>D1006&amp;"_"&amp;
SUBSTITUTE(TRIM(V1006)," ","_")&amp;"_"&amp;
TRIM(AC1006)&amp;"_"&amp;
"CO2"&amp;TEXT(AN1006,"0.00")&amp;"_"&amp;
"pH"&amp;TEXT(AR1006,"0.00")&amp;"_"&amp;
"T"&amp;TEXT(BC1006,"0.##")</f>
        <v>104_Sterechinus_neumayeri_EMBRYO_CO2454.00_pH8.07_T-1.1</v>
      </c>
      <c r="D1006" s="8">
        <v>104</v>
      </c>
      <c r="G1006" s="8" t="s">
        <v>43</v>
      </c>
      <c r="H1006" s="8" t="s">
        <v>788</v>
      </c>
      <c r="I1006" s="8" t="s">
        <v>1130</v>
      </c>
      <c r="J1006" s="8">
        <v>2017</v>
      </c>
      <c r="M1006" s="8" t="s">
        <v>789</v>
      </c>
      <c r="P1006" t="s">
        <v>1135</v>
      </c>
      <c r="R1006" s="8" t="s">
        <v>1127</v>
      </c>
      <c r="S1006" t="s">
        <v>1128</v>
      </c>
      <c r="T1006" s="8" t="s">
        <v>46</v>
      </c>
      <c r="U1006" s="8" t="s">
        <v>797</v>
      </c>
      <c r="V1006" s="8" t="s">
        <v>798</v>
      </c>
      <c r="W1006" s="8" t="str">
        <f>IF(ISNUMBER(MATCH(V400,{"Doryteuthis pealeii","Loligo vulgaris","Leptuca thayeri","Stylocheilus striatus","Ophryotrocha labronica"},0)),"N","Y")</f>
        <v>Y</v>
      </c>
      <c r="Z1006" s="8" t="s">
        <v>475</v>
      </c>
      <c r="AA1006" s="8" t="s">
        <v>475</v>
      </c>
      <c r="AB1006" s="8" t="s">
        <v>71</v>
      </c>
      <c r="AC1006" s="8" t="s">
        <v>195</v>
      </c>
      <c r="AD1006" s="8" t="s">
        <v>52</v>
      </c>
      <c r="AE1006" s="8" t="s">
        <v>53</v>
      </c>
      <c r="AF1006" s="8" t="s">
        <v>52</v>
      </c>
      <c r="AG1006" s="8" t="s">
        <v>54</v>
      </c>
      <c r="AH1006" s="8" t="s">
        <v>55</v>
      </c>
      <c r="AK1006" s="8">
        <v>4</v>
      </c>
      <c r="AL1006" s="8">
        <v>4</v>
      </c>
      <c r="AN1006" s="8">
        <v>454</v>
      </c>
      <c r="AO1006" s="8" t="s">
        <v>56</v>
      </c>
      <c r="AP1006" s="8" t="s">
        <v>56</v>
      </c>
      <c r="AQ1006" s="8" t="s">
        <v>118</v>
      </c>
      <c r="AR1006" s="8">
        <v>8.07</v>
      </c>
      <c r="AS1006" s="8" t="s">
        <v>56</v>
      </c>
      <c r="AT1006" s="8" t="s">
        <v>56</v>
      </c>
      <c r="AU1006" s="8">
        <v>946</v>
      </c>
      <c r="AV1006" t="s">
        <v>56</v>
      </c>
      <c r="AW1006" t="s">
        <v>56</v>
      </c>
      <c r="AX1006">
        <v>7.77</v>
      </c>
      <c r="AY1006" t="s">
        <v>56</v>
      </c>
      <c r="AZ1006" t="s">
        <v>56</v>
      </c>
      <c r="BB1006" s="8">
        <f>LOG(AU1006)</f>
        <v>2.9758911364017928</v>
      </c>
      <c r="BC1006" s="8">
        <v>-1.1000000000000001</v>
      </c>
      <c r="BD1006" s="8" t="s">
        <v>56</v>
      </c>
      <c r="BE1006" s="8" t="s">
        <v>56</v>
      </c>
      <c r="BF1006" s="8">
        <v>-1.1000000000000001</v>
      </c>
      <c r="BG1006" s="8" t="s">
        <v>56</v>
      </c>
      <c r="BH1006" s="8" t="s">
        <v>56</v>
      </c>
      <c r="BI1006" s="8">
        <v>492</v>
      </c>
      <c r="BJ1006" s="8">
        <v>0</v>
      </c>
      <c r="BK1006" s="8" t="s">
        <v>56</v>
      </c>
      <c r="BL1006" s="8" t="s">
        <v>800</v>
      </c>
      <c r="BM1006" s="8" t="s">
        <v>473</v>
      </c>
      <c r="BN1006" s="8" t="s">
        <v>81</v>
      </c>
      <c r="BO1006" s="8" t="s">
        <v>82</v>
      </c>
      <c r="BP1006" s="8" t="s">
        <v>190</v>
      </c>
      <c r="BQ1006" s="8" t="s">
        <v>190</v>
      </c>
      <c r="BR1006" s="8" t="s">
        <v>84</v>
      </c>
      <c r="BT1006" s="8">
        <v>90.48</v>
      </c>
      <c r="BU1006" s="8">
        <v>90.476190000000003</v>
      </c>
      <c r="BV1006" s="8">
        <v>1.59</v>
      </c>
      <c r="BW1006" s="8">
        <f>BV1006*SQRT(AK1006)</f>
        <v>3.18</v>
      </c>
      <c r="BX1006" s="8">
        <v>88.1</v>
      </c>
      <c r="BY1006" s="8">
        <v>88.095238100000003</v>
      </c>
      <c r="BZ1006" s="8">
        <v>2.38</v>
      </c>
      <c r="CA1006" s="8">
        <f>BZ1006*SQRT(AL1006)</f>
        <v>4.76</v>
      </c>
      <c r="CB1006" s="8">
        <v>1</v>
      </c>
      <c r="CC1006" s="8">
        <v>4</v>
      </c>
      <c r="CD1006" s="8">
        <v>-2.7E-2</v>
      </c>
      <c r="CE1006" s="8">
        <v>1E-3</v>
      </c>
      <c r="CF1006" s="8" t="s">
        <v>1134</v>
      </c>
    </row>
    <row r="1007" spans="1:84" hidden="1" x14ac:dyDescent="0.2">
      <c r="A1007" s="8"/>
      <c r="B1007" t="str">
        <f>ROW()-1&amp;"_AltersInvert"</f>
        <v>1006_AltersInvert</v>
      </c>
      <c r="C1007" t="str">
        <f>D1007&amp;"_"&amp;
SUBSTITUTE(TRIM(V1007)," ","_")&amp;"_"&amp;
TRIM(AC1007)&amp;"_"&amp;
"CO2"&amp;TEXT(AN1007,"0.00")&amp;"_"&amp;
"pH"&amp;TEXT(AR1007,"0.00")&amp;"_"&amp;
"T"&amp;TEXT(BC1007,"0.##")</f>
        <v>104_Sterechinus_neumayeri_EMBRYO_CO2454.00_pH8.07_T-1.1</v>
      </c>
      <c r="D1007" s="8">
        <v>104</v>
      </c>
      <c r="E1007" s="8"/>
      <c r="F1007" s="8"/>
      <c r="G1007" s="8" t="s">
        <v>43</v>
      </c>
      <c r="H1007" s="8" t="s">
        <v>788</v>
      </c>
      <c r="I1007" s="8" t="s">
        <v>1130</v>
      </c>
      <c r="J1007" s="8">
        <v>2017</v>
      </c>
      <c r="K1007" s="8"/>
      <c r="L1007" s="8"/>
      <c r="M1007" s="8" t="s">
        <v>789</v>
      </c>
      <c r="N1007" s="8"/>
      <c r="O1007" s="8"/>
      <c r="P1007" t="s">
        <v>1135</v>
      </c>
      <c r="Q1007" s="8"/>
      <c r="R1007" s="8" t="s">
        <v>1127</v>
      </c>
      <c r="S1007" t="s">
        <v>1128</v>
      </c>
      <c r="T1007" s="8" t="s">
        <v>46</v>
      </c>
      <c r="U1007" s="8" t="s">
        <v>797</v>
      </c>
      <c r="V1007" s="8" t="s">
        <v>798</v>
      </c>
      <c r="W1007" s="8" t="str">
        <f>IF(ISNUMBER(MATCH(V401,{"Doryteuthis pealeii","Loligo vulgaris","Leptuca thayeri","Stylocheilus striatus","Ophryotrocha labronica"},0)),"N","Y")</f>
        <v>Y</v>
      </c>
      <c r="X1007" s="8"/>
      <c r="Y1007" s="8"/>
      <c r="Z1007" s="8" t="s">
        <v>475</v>
      </c>
      <c r="AA1007" s="8" t="s">
        <v>475</v>
      </c>
      <c r="AB1007" s="8" t="s">
        <v>71</v>
      </c>
      <c r="AC1007" s="8" t="s">
        <v>195</v>
      </c>
      <c r="AD1007" s="8" t="s">
        <v>52</v>
      </c>
      <c r="AE1007" s="8" t="s">
        <v>53</v>
      </c>
      <c r="AF1007" s="8" t="s">
        <v>54</v>
      </c>
      <c r="AG1007" s="8" t="s">
        <v>52</v>
      </c>
      <c r="AH1007" s="8" t="s">
        <v>65</v>
      </c>
      <c r="AI1007" s="8"/>
      <c r="AJ1007" s="8"/>
      <c r="AK1007" s="8">
        <v>4</v>
      </c>
      <c r="AL1007" s="8">
        <v>4</v>
      </c>
      <c r="AM1007" s="8"/>
      <c r="AN1007" s="8">
        <v>454</v>
      </c>
      <c r="AO1007" s="8" t="s">
        <v>56</v>
      </c>
      <c r="AP1007" s="8" t="s">
        <v>56</v>
      </c>
      <c r="AQ1007" s="8" t="s">
        <v>118</v>
      </c>
      <c r="AR1007" s="8">
        <v>8.07</v>
      </c>
      <c r="AS1007" s="8" t="s">
        <v>56</v>
      </c>
      <c r="AT1007" s="8" t="s">
        <v>56</v>
      </c>
      <c r="AU1007" s="8">
        <v>454</v>
      </c>
      <c r="AV1007" t="s">
        <v>56</v>
      </c>
      <c r="AW1007" t="s">
        <v>56</v>
      </c>
      <c r="AX1007">
        <v>8.1</v>
      </c>
      <c r="AY1007" t="s">
        <v>56</v>
      </c>
      <c r="AZ1007" t="s">
        <v>56</v>
      </c>
      <c r="BA1007" s="8"/>
      <c r="BB1007" s="8">
        <f>LOG(AU1007)</f>
        <v>2.6570558528571038</v>
      </c>
      <c r="BC1007" s="8">
        <v>-1.1000000000000001</v>
      </c>
      <c r="BD1007" s="8" t="s">
        <v>56</v>
      </c>
      <c r="BE1007" s="8" t="s">
        <v>56</v>
      </c>
      <c r="BF1007" s="8">
        <v>5.7</v>
      </c>
      <c r="BG1007" s="8" t="s">
        <v>56</v>
      </c>
      <c r="BH1007" s="8" t="s">
        <v>56</v>
      </c>
      <c r="BI1007" s="8">
        <v>0</v>
      </c>
      <c r="BJ1007" s="8">
        <v>6.8</v>
      </c>
      <c r="BK1007" s="8" t="s">
        <v>56</v>
      </c>
      <c r="BL1007" s="8" t="s">
        <v>800</v>
      </c>
      <c r="BM1007" s="8" t="s">
        <v>473</v>
      </c>
      <c r="BN1007" s="8" t="s">
        <v>81</v>
      </c>
      <c r="BO1007" s="8" t="s">
        <v>82</v>
      </c>
      <c r="BP1007" s="8" t="s">
        <v>190</v>
      </c>
      <c r="BQ1007" s="8" t="s">
        <v>194</v>
      </c>
      <c r="BR1007" s="8" t="s">
        <v>84</v>
      </c>
      <c r="BS1007" s="8"/>
      <c r="BT1007" s="8">
        <v>90.48</v>
      </c>
      <c r="BU1007" s="8">
        <v>90.476190000000003</v>
      </c>
      <c r="BV1007" s="8">
        <v>1.59</v>
      </c>
      <c r="BW1007" s="8">
        <f>BV1007*SQRT(AK1007)</f>
        <v>3.18</v>
      </c>
      <c r="BX1007" s="8">
        <v>57.14</v>
      </c>
      <c r="BY1007" s="8">
        <v>57.142857100000001</v>
      </c>
      <c r="BZ1007" s="8">
        <v>5.56</v>
      </c>
      <c r="CA1007" s="8">
        <f>BZ1007*SQRT(AL1007)</f>
        <v>11.12</v>
      </c>
      <c r="CB1007" s="8">
        <v>1</v>
      </c>
      <c r="CC1007" s="8">
        <v>4</v>
      </c>
      <c r="CD1007" s="8">
        <v>-0.46</v>
      </c>
      <c r="CE1007" s="8">
        <v>9.7999999999999997E-3</v>
      </c>
      <c r="CF1007" s="8" t="s">
        <v>1134</v>
      </c>
    </row>
    <row r="1008" spans="1:84" hidden="1" x14ac:dyDescent="0.2">
      <c r="A1008" s="8"/>
      <c r="B1008" t="str">
        <f>ROW()-1&amp;"_AltersInvert"</f>
        <v>1007_AltersInvert</v>
      </c>
      <c r="C1008" t="str">
        <f>D1008&amp;"_"&amp;
SUBSTITUTE(TRIM(V1008)," ","_")&amp;"_"&amp;
TRIM(AC1008)&amp;"_"&amp;
"CO2"&amp;TEXT(AN1008,"0.00")&amp;"_"&amp;
"pH"&amp;TEXT(AR1008,"0.00")&amp;"_"&amp;
"T"&amp;TEXT(BC1008,"0.##")</f>
        <v>104_Sterechinus_neumayeri_EMBRYO_CO2454.00_pH8.07_T-1.1</v>
      </c>
      <c r="D1008" s="8">
        <v>104</v>
      </c>
      <c r="E1008" s="8"/>
      <c r="F1008" s="8"/>
      <c r="G1008" s="8" t="s">
        <v>43</v>
      </c>
      <c r="H1008" s="8" t="s">
        <v>788</v>
      </c>
      <c r="I1008" s="8" t="s">
        <v>1130</v>
      </c>
      <c r="J1008" s="8">
        <v>2017</v>
      </c>
      <c r="K1008" s="8"/>
      <c r="L1008" s="8"/>
      <c r="M1008" s="8" t="s">
        <v>789</v>
      </c>
      <c r="N1008" s="8"/>
      <c r="O1008" s="8"/>
      <c r="P1008" t="s">
        <v>1135</v>
      </c>
      <c r="Q1008" s="8"/>
      <c r="R1008" s="8" t="s">
        <v>1127</v>
      </c>
      <c r="S1008" t="s">
        <v>1128</v>
      </c>
      <c r="T1008" s="8" t="s">
        <v>46</v>
      </c>
      <c r="U1008" s="8" t="s">
        <v>797</v>
      </c>
      <c r="V1008" s="8" t="s">
        <v>798</v>
      </c>
      <c r="W1008" s="8" t="str">
        <f>IF(ISNUMBER(MATCH(V402,{"Doryteuthis pealeii","Loligo vulgaris","Leptuca thayeri","Stylocheilus striatus","Ophryotrocha labronica"},0)),"N","Y")</f>
        <v>Y</v>
      </c>
      <c r="X1008" s="8"/>
      <c r="Y1008" s="8"/>
      <c r="Z1008" s="8" t="s">
        <v>475</v>
      </c>
      <c r="AA1008" s="8" t="s">
        <v>475</v>
      </c>
      <c r="AB1008" s="8" t="s">
        <v>71</v>
      </c>
      <c r="AC1008" s="8" t="s">
        <v>195</v>
      </c>
      <c r="AD1008" s="8" t="s">
        <v>52</v>
      </c>
      <c r="AE1008" s="8" t="s">
        <v>53</v>
      </c>
      <c r="AF1008" s="8" t="s">
        <v>54</v>
      </c>
      <c r="AG1008" s="8" t="s">
        <v>52</v>
      </c>
      <c r="AH1008" s="8" t="s">
        <v>65</v>
      </c>
      <c r="AI1008" s="8"/>
      <c r="AJ1008" s="8"/>
      <c r="AK1008" s="8">
        <v>4</v>
      </c>
      <c r="AL1008" s="8">
        <v>4</v>
      </c>
      <c r="AM1008" s="8"/>
      <c r="AN1008" s="8">
        <v>454</v>
      </c>
      <c r="AO1008" s="8" t="s">
        <v>56</v>
      </c>
      <c r="AP1008" s="8" t="s">
        <v>56</v>
      </c>
      <c r="AQ1008" s="8" t="s">
        <v>118</v>
      </c>
      <c r="AR1008" s="8">
        <v>8.07</v>
      </c>
      <c r="AS1008" s="8" t="s">
        <v>56</v>
      </c>
      <c r="AT1008" s="8" t="s">
        <v>56</v>
      </c>
      <c r="AU1008" s="8">
        <v>454</v>
      </c>
      <c r="AV1008" t="s">
        <v>56</v>
      </c>
      <c r="AW1008" t="s">
        <v>56</v>
      </c>
      <c r="AX1008">
        <v>8.09</v>
      </c>
      <c r="AY1008" t="s">
        <v>56</v>
      </c>
      <c r="AZ1008" t="s">
        <v>56</v>
      </c>
      <c r="BA1008" s="8"/>
      <c r="BB1008" s="8">
        <f>LOG(AU1008)</f>
        <v>2.6570558528571038</v>
      </c>
      <c r="BC1008" s="8">
        <v>-1.1000000000000001</v>
      </c>
      <c r="BD1008" s="8" t="s">
        <v>56</v>
      </c>
      <c r="BE1008" s="8" t="s">
        <v>56</v>
      </c>
      <c r="BF1008" s="8">
        <v>3.3</v>
      </c>
      <c r="BG1008" s="8" t="s">
        <v>56</v>
      </c>
      <c r="BH1008" s="8" t="s">
        <v>56</v>
      </c>
      <c r="BI1008" s="8">
        <v>0</v>
      </c>
      <c r="BJ1008" s="8">
        <v>4.4000000000000004</v>
      </c>
      <c r="BK1008" s="8" t="s">
        <v>56</v>
      </c>
      <c r="BL1008" s="8" t="s">
        <v>800</v>
      </c>
      <c r="BM1008" s="8" t="s">
        <v>473</v>
      </c>
      <c r="BN1008" s="8" t="s">
        <v>81</v>
      </c>
      <c r="BO1008" s="8" t="s">
        <v>82</v>
      </c>
      <c r="BP1008" s="8" t="s">
        <v>190</v>
      </c>
      <c r="BQ1008" s="8" t="s">
        <v>190</v>
      </c>
      <c r="BR1008" s="8" t="s">
        <v>84</v>
      </c>
      <c r="BS1008" s="8"/>
      <c r="BT1008" s="8">
        <v>90.48</v>
      </c>
      <c r="BU1008" s="8">
        <v>90.476190000000003</v>
      </c>
      <c r="BV1008" s="8">
        <v>1.59</v>
      </c>
      <c r="BW1008" s="8">
        <f>BV1008*SQRT(AK1008)</f>
        <v>3.18</v>
      </c>
      <c r="BX1008" s="8">
        <v>87.3</v>
      </c>
      <c r="BY1008" s="8">
        <v>87.301587299999994</v>
      </c>
      <c r="BZ1008" s="8">
        <v>5.56</v>
      </c>
      <c r="CA1008" s="8">
        <f>BZ1008*SQRT(AL1008)</f>
        <v>11.12</v>
      </c>
      <c r="CB1008" s="8">
        <v>1</v>
      </c>
      <c r="CC1008" s="8">
        <v>4</v>
      </c>
      <c r="CD1008" s="8">
        <v>-3.5999999999999997E-2</v>
      </c>
      <c r="CE1008" s="8">
        <v>4.4000000000000003E-3</v>
      </c>
      <c r="CF1008" s="8" t="s">
        <v>1134</v>
      </c>
    </row>
    <row r="1009" spans="1:84" s="8" customFormat="1" hidden="1" x14ac:dyDescent="0.2">
      <c r="B1009" t="str">
        <f>ROW()-1&amp;"_AltersInvert"</f>
        <v>1008_AltersInvert</v>
      </c>
      <c r="C1009" t="str">
        <f>D1009&amp;"_"&amp;
SUBSTITUTE(TRIM(V1009)," ","_")&amp;"_"&amp;
TRIM(AC1009)&amp;"_"&amp;
"CO2"&amp;TEXT(AN1009,"0.00")&amp;"_"&amp;
"pH"&amp;TEXT(AR1009,"0.00")&amp;"_"&amp;
"T"&amp;TEXT(BC1009,"0.##")</f>
        <v>104_Sterechinus_neumayeri_EMBRYO_CO2454.00_pH8.07_T-1.1</v>
      </c>
      <c r="D1009" s="8">
        <v>104</v>
      </c>
      <c r="G1009" s="8" t="s">
        <v>43</v>
      </c>
      <c r="H1009" s="8" t="s">
        <v>788</v>
      </c>
      <c r="I1009" s="8" t="s">
        <v>1130</v>
      </c>
      <c r="J1009" s="8">
        <v>2017</v>
      </c>
      <c r="M1009" s="8" t="s">
        <v>789</v>
      </c>
      <c r="P1009" t="s">
        <v>1135</v>
      </c>
      <c r="R1009" s="8" t="s">
        <v>1127</v>
      </c>
      <c r="S1009" t="s">
        <v>1128</v>
      </c>
      <c r="T1009" s="8" t="s">
        <v>46</v>
      </c>
      <c r="U1009" s="8" t="s">
        <v>797</v>
      </c>
      <c r="V1009" s="8" t="s">
        <v>798</v>
      </c>
      <c r="W1009" s="8" t="str">
        <f>IF(ISNUMBER(MATCH(V403,{"Doryteuthis pealeii","Loligo vulgaris","Leptuca thayeri","Stylocheilus striatus","Ophryotrocha labronica"},0)),"N","Y")</f>
        <v>Y</v>
      </c>
      <c r="Z1009" s="8" t="s">
        <v>475</v>
      </c>
      <c r="AA1009" s="8" t="s">
        <v>475</v>
      </c>
      <c r="AB1009" s="8" t="s">
        <v>71</v>
      </c>
      <c r="AC1009" s="8" t="s">
        <v>195</v>
      </c>
      <c r="AD1009" s="8" t="s">
        <v>52</v>
      </c>
      <c r="AE1009" s="8" t="s">
        <v>53</v>
      </c>
      <c r="AF1009" s="8" t="s">
        <v>52</v>
      </c>
      <c r="AG1009" s="8" t="s">
        <v>52</v>
      </c>
      <c r="AH1009" s="8" t="s">
        <v>64</v>
      </c>
      <c r="AK1009" s="8">
        <v>4</v>
      </c>
      <c r="AL1009" s="8">
        <v>4</v>
      </c>
      <c r="AN1009" s="8">
        <v>454</v>
      </c>
      <c r="AO1009" s="8" t="s">
        <v>56</v>
      </c>
      <c r="AP1009" s="8" t="s">
        <v>56</v>
      </c>
      <c r="AQ1009" s="8" t="s">
        <v>118</v>
      </c>
      <c r="AR1009" s="8">
        <v>8.07</v>
      </c>
      <c r="AS1009" s="8" t="s">
        <v>56</v>
      </c>
      <c r="AT1009" s="8" t="s">
        <v>56</v>
      </c>
      <c r="AU1009" s="8">
        <v>946</v>
      </c>
      <c r="AV1009" t="s">
        <v>56</v>
      </c>
      <c r="AW1009" t="s">
        <v>56</v>
      </c>
      <c r="AX1009">
        <v>7.8</v>
      </c>
      <c r="AY1009" t="s">
        <v>56</v>
      </c>
      <c r="AZ1009" t="s">
        <v>56</v>
      </c>
      <c r="BB1009" s="8">
        <f>LOG(AU1009)</f>
        <v>2.9758911364017928</v>
      </c>
      <c r="BC1009" s="8">
        <v>-1.1000000000000001</v>
      </c>
      <c r="BD1009" s="8" t="s">
        <v>56</v>
      </c>
      <c r="BE1009" s="8" t="s">
        <v>56</v>
      </c>
      <c r="BF1009" s="8">
        <v>5.7</v>
      </c>
      <c r="BG1009" s="8" t="s">
        <v>56</v>
      </c>
      <c r="BH1009" s="8" t="s">
        <v>56</v>
      </c>
      <c r="BI1009" s="8">
        <v>492</v>
      </c>
      <c r="BJ1009" s="8">
        <v>6.8</v>
      </c>
      <c r="BK1009" s="8" t="s">
        <v>56</v>
      </c>
      <c r="BL1009" s="8" t="s">
        <v>800</v>
      </c>
      <c r="BM1009" s="8" t="s">
        <v>473</v>
      </c>
      <c r="BN1009" s="8" t="s">
        <v>81</v>
      </c>
      <c r="BO1009" s="8" t="s">
        <v>82</v>
      </c>
      <c r="BP1009" s="8" t="s">
        <v>190</v>
      </c>
      <c r="BQ1009" s="8" t="s">
        <v>194</v>
      </c>
      <c r="BR1009" s="8" t="s">
        <v>84</v>
      </c>
      <c r="BT1009" s="8">
        <v>90.48</v>
      </c>
      <c r="BU1009" s="8">
        <v>90.476190000000003</v>
      </c>
      <c r="BV1009" s="8">
        <v>1.59</v>
      </c>
      <c r="BW1009" s="8">
        <f>BV1009*SQRT(AK1009)</f>
        <v>3.18</v>
      </c>
      <c r="BX1009" s="8">
        <v>47.62</v>
      </c>
      <c r="BY1009" s="8">
        <v>47.619047600000002</v>
      </c>
      <c r="BZ1009" s="8">
        <v>5.56</v>
      </c>
      <c r="CA1009" s="8">
        <f>BZ1009*SQRT(AL1009)</f>
        <v>11.12</v>
      </c>
      <c r="CB1009" s="8">
        <v>1</v>
      </c>
      <c r="CC1009" s="8">
        <v>4</v>
      </c>
      <c r="CD1009" s="8">
        <v>-0.64200000000000002</v>
      </c>
      <c r="CE1009" s="8">
        <v>1.3899999999999999E-2</v>
      </c>
      <c r="CF1009" s="8" t="s">
        <v>1134</v>
      </c>
    </row>
    <row r="1010" spans="1:84" hidden="1" x14ac:dyDescent="0.2">
      <c r="A1010" s="8"/>
      <c r="B1010" t="str">
        <f>ROW()-1&amp;"_AltersInvert"</f>
        <v>1009_AltersInvert</v>
      </c>
      <c r="C1010" t="str">
        <f>D1010&amp;"_"&amp;
SUBSTITUTE(TRIM(V1010)," ","_")&amp;"_"&amp;
TRIM(AC1010)&amp;"_"&amp;
"CO2"&amp;TEXT(AN1010,"0.00")&amp;"_"&amp;
"pH"&amp;TEXT(AR1010,"0.00")&amp;"_"&amp;
"T"&amp;TEXT(BC1010,"0.##")</f>
        <v>104_Sterechinus_neumayeri_EMBRYO_CO2454.00_pH8.07_T-1.1</v>
      </c>
      <c r="D1010" s="8">
        <v>104</v>
      </c>
      <c r="E1010" s="8"/>
      <c r="F1010" s="8"/>
      <c r="G1010" s="8" t="s">
        <v>43</v>
      </c>
      <c r="H1010" s="8" t="s">
        <v>788</v>
      </c>
      <c r="I1010" s="8" t="s">
        <v>1130</v>
      </c>
      <c r="J1010" s="8">
        <v>2017</v>
      </c>
      <c r="K1010" s="8"/>
      <c r="L1010" s="8"/>
      <c r="M1010" s="8" t="s">
        <v>789</v>
      </c>
      <c r="N1010" s="8"/>
      <c r="O1010" s="8"/>
      <c r="P1010" t="s">
        <v>1135</v>
      </c>
      <c r="Q1010" s="8"/>
      <c r="R1010" s="8" t="s">
        <v>1127</v>
      </c>
      <c r="S1010" t="s">
        <v>1128</v>
      </c>
      <c r="T1010" s="8" t="s">
        <v>46</v>
      </c>
      <c r="U1010" s="8" t="s">
        <v>797</v>
      </c>
      <c r="V1010" s="8" t="s">
        <v>798</v>
      </c>
      <c r="W1010" s="8" t="str">
        <f>IF(ISNUMBER(MATCH(V404,{"Doryteuthis pealeii","Loligo vulgaris","Leptuca thayeri","Stylocheilus striatus","Ophryotrocha labronica"},0)),"N","Y")</f>
        <v>Y</v>
      </c>
      <c r="X1010" s="8"/>
      <c r="Y1010" s="8"/>
      <c r="Z1010" s="8" t="s">
        <v>475</v>
      </c>
      <c r="AA1010" s="8" t="s">
        <v>475</v>
      </c>
      <c r="AB1010" s="8" t="s">
        <v>71</v>
      </c>
      <c r="AC1010" s="8" t="s">
        <v>195</v>
      </c>
      <c r="AD1010" s="8" t="s">
        <v>52</v>
      </c>
      <c r="AE1010" s="8" t="s">
        <v>53</v>
      </c>
      <c r="AF1010" s="8" t="s">
        <v>52</v>
      </c>
      <c r="AG1010" s="8" t="s">
        <v>52</v>
      </c>
      <c r="AH1010" s="8" t="s">
        <v>64</v>
      </c>
      <c r="AI1010" s="8"/>
      <c r="AJ1010" s="8"/>
      <c r="AK1010" s="8">
        <v>4</v>
      </c>
      <c r="AL1010" s="8">
        <v>4</v>
      </c>
      <c r="AM1010" s="8"/>
      <c r="AN1010" s="8">
        <v>454</v>
      </c>
      <c r="AO1010" s="8" t="s">
        <v>56</v>
      </c>
      <c r="AP1010" s="8" t="s">
        <v>56</v>
      </c>
      <c r="AQ1010" s="8" t="s">
        <v>118</v>
      </c>
      <c r="AR1010" s="8">
        <v>8.07</v>
      </c>
      <c r="AS1010" s="8" t="s">
        <v>56</v>
      </c>
      <c r="AT1010" s="8" t="s">
        <v>56</v>
      </c>
      <c r="AU1010" s="8">
        <v>946</v>
      </c>
      <c r="AV1010" t="s">
        <v>56</v>
      </c>
      <c r="AW1010" t="s">
        <v>56</v>
      </c>
      <c r="AX1010">
        <v>7.79</v>
      </c>
      <c r="AY1010" t="s">
        <v>56</v>
      </c>
      <c r="AZ1010" t="s">
        <v>56</v>
      </c>
      <c r="BA1010" s="8"/>
      <c r="BB1010" s="8">
        <f>LOG(AU1010)</f>
        <v>2.9758911364017928</v>
      </c>
      <c r="BC1010" s="8">
        <v>-1.1000000000000001</v>
      </c>
      <c r="BD1010" s="8" t="s">
        <v>56</v>
      </c>
      <c r="BE1010" s="8" t="s">
        <v>56</v>
      </c>
      <c r="BF1010" s="8">
        <v>3.3</v>
      </c>
      <c r="BG1010" s="8" t="s">
        <v>56</v>
      </c>
      <c r="BH1010" s="8" t="s">
        <v>56</v>
      </c>
      <c r="BI1010" s="8">
        <v>492</v>
      </c>
      <c r="BJ1010" s="8">
        <v>4.4000000000000004</v>
      </c>
      <c r="BK1010" s="8" t="s">
        <v>56</v>
      </c>
      <c r="BL1010" s="8" t="s">
        <v>800</v>
      </c>
      <c r="BM1010" s="8" t="s">
        <v>473</v>
      </c>
      <c r="BN1010" s="8" t="s">
        <v>81</v>
      </c>
      <c r="BO1010" s="8" t="s">
        <v>82</v>
      </c>
      <c r="BP1010" s="8" t="s">
        <v>190</v>
      </c>
      <c r="BQ1010" s="8" t="s">
        <v>9</v>
      </c>
      <c r="BR1010" s="8" t="s">
        <v>84</v>
      </c>
      <c r="BS1010" s="8"/>
      <c r="BT1010" s="8">
        <v>90.48</v>
      </c>
      <c r="BU1010" s="8">
        <v>90.476190000000003</v>
      </c>
      <c r="BV1010" s="8">
        <v>1.59</v>
      </c>
      <c r="BW1010" s="8">
        <f>BV1010*SQRT(AK1010)</f>
        <v>3.18</v>
      </c>
      <c r="BX1010" s="8">
        <v>84.92</v>
      </c>
      <c r="BY1010" s="8">
        <v>84.920634899999996</v>
      </c>
      <c r="BZ1010" s="8">
        <v>3.17</v>
      </c>
      <c r="CA1010" s="8">
        <f>BZ1010*SQRT(AL1010)</f>
        <v>6.34</v>
      </c>
      <c r="CB1010" s="8">
        <v>1</v>
      </c>
      <c r="CC1010" s="8">
        <v>4</v>
      </c>
      <c r="CD1010" s="8">
        <v>-6.3E-2</v>
      </c>
      <c r="CE1010" s="8">
        <v>1.6999999999999999E-3</v>
      </c>
      <c r="CF1010" s="8" t="s">
        <v>1134</v>
      </c>
    </row>
    <row r="1011" spans="1:84" s="8" customFormat="1" hidden="1" x14ac:dyDescent="0.2">
      <c r="B1011" t="str">
        <f>ROW()-1&amp;"_AltersInvert"</f>
        <v>1010_AltersInvert</v>
      </c>
      <c r="C1011" t="str">
        <f>D1011&amp;"_"&amp;
SUBSTITUTE(TRIM(V1011)," ","_")&amp;"_"&amp;
TRIM(AC1011)&amp;"_"&amp;
"CO2"&amp;TEXT(AN1011,"0.00")&amp;"_"&amp;
"pH"&amp;TEXT(AR1011,"0.00")&amp;"_"&amp;
"T"&amp;TEXT(BC1011,"0.##")</f>
        <v>201_Haliotis_coccoradiata_EMBRYO_CO2327.00_pH8.25_T20.</v>
      </c>
      <c r="D1011" s="8">
        <v>201</v>
      </c>
      <c r="G1011" s="8" t="s">
        <v>43</v>
      </c>
      <c r="H1011" s="8" t="s">
        <v>950</v>
      </c>
      <c r="J1011" s="8">
        <v>2010</v>
      </c>
      <c r="M1011" s="8" t="s">
        <v>67</v>
      </c>
      <c r="P1011" t="s">
        <v>1135</v>
      </c>
      <c r="R1011" s="8" t="s">
        <v>1127</v>
      </c>
      <c r="S1011" t="s">
        <v>1128</v>
      </c>
      <c r="T1011" s="8" t="s">
        <v>68</v>
      </c>
      <c r="U1011" s="8" t="s">
        <v>669</v>
      </c>
      <c r="V1011" s="8" t="s">
        <v>670</v>
      </c>
      <c r="W1011" s="8" t="str">
        <f>IF(ISNUMBER(MATCH(V405,{"Doryteuthis pealeii","Loligo vulgaris","Leptuca thayeri","Stylocheilus striatus","Ophryotrocha labronica"},0)),"N","Y")</f>
        <v>Y</v>
      </c>
      <c r="Z1011" s="8" t="s">
        <v>177</v>
      </c>
      <c r="AA1011" s="8" t="s">
        <v>177</v>
      </c>
      <c r="AB1011" s="8" t="s">
        <v>71</v>
      </c>
      <c r="AC1011" s="8" t="s">
        <v>195</v>
      </c>
      <c r="AD1011" s="8" t="s">
        <v>52</v>
      </c>
      <c r="AE1011" s="8" t="s">
        <v>53</v>
      </c>
      <c r="AF1011" s="8" t="s">
        <v>52</v>
      </c>
      <c r="AG1011" s="8" t="s">
        <v>54</v>
      </c>
      <c r="AH1011" s="8" t="s">
        <v>55</v>
      </c>
      <c r="AK1011" s="8">
        <v>3</v>
      </c>
      <c r="AL1011" s="8">
        <v>3</v>
      </c>
      <c r="AN1011" s="8">
        <v>327</v>
      </c>
      <c r="AO1011" s="8">
        <v>22</v>
      </c>
      <c r="AP1011" s="8" t="s">
        <v>56</v>
      </c>
      <c r="AQ1011" s="8" t="s">
        <v>57</v>
      </c>
      <c r="AR1011" s="8">
        <v>8.25</v>
      </c>
      <c r="AS1011" s="8" t="s">
        <v>56</v>
      </c>
      <c r="AT1011" s="8" t="s">
        <v>56</v>
      </c>
      <c r="AU1011" s="8">
        <v>814</v>
      </c>
      <c r="AV1011">
        <v>12</v>
      </c>
      <c r="AW1011" t="s">
        <v>56</v>
      </c>
      <c r="AX1011">
        <v>7.9</v>
      </c>
      <c r="AY1011" t="s">
        <v>56</v>
      </c>
      <c r="AZ1011" t="s">
        <v>56</v>
      </c>
      <c r="BB1011" s="8">
        <f>LOG(AU1011)</f>
        <v>2.9106244048892012</v>
      </c>
      <c r="BC1011" s="8">
        <v>20</v>
      </c>
      <c r="BD1011" s="8" t="s">
        <v>56</v>
      </c>
      <c r="BE1011" s="8" t="s">
        <v>56</v>
      </c>
      <c r="BF1011" s="8">
        <v>20</v>
      </c>
      <c r="BG1011" s="8" t="s">
        <v>56</v>
      </c>
      <c r="BH1011" s="8" t="s">
        <v>56</v>
      </c>
      <c r="BI1011" s="8">
        <v>487</v>
      </c>
      <c r="BJ1011" s="8">
        <v>0</v>
      </c>
      <c r="BK1011" s="8" t="s">
        <v>56</v>
      </c>
      <c r="BL1011" s="8" t="s">
        <v>933</v>
      </c>
      <c r="BM1011" s="8" t="s">
        <v>473</v>
      </c>
      <c r="BN1011" s="8" t="s">
        <v>81</v>
      </c>
      <c r="BO1011" s="8" t="s">
        <v>82</v>
      </c>
      <c r="BP1011" s="8" t="s">
        <v>190</v>
      </c>
      <c r="BQ1011" s="8" t="s">
        <v>190</v>
      </c>
      <c r="BR1011" s="8" t="s">
        <v>84</v>
      </c>
      <c r="BT1011" s="8">
        <v>97.55</v>
      </c>
      <c r="BU1011" s="8">
        <v>97.55</v>
      </c>
      <c r="BV1011" s="8">
        <v>1.85</v>
      </c>
      <c r="BW1011" s="8">
        <f>BV1011*SQRT(AK1011)</f>
        <v>3.2042939940024229</v>
      </c>
      <c r="BX1011" s="8">
        <v>99.49</v>
      </c>
      <c r="BY1011" s="8">
        <v>99.49</v>
      </c>
      <c r="BZ1011" s="8">
        <v>0.61</v>
      </c>
      <c r="CA1011" s="8">
        <f>BZ1011*SQRT(AL1011)</f>
        <v>1.0565509926170151</v>
      </c>
      <c r="CB1011" s="8">
        <v>1</v>
      </c>
      <c r="CC1011" s="8">
        <v>1</v>
      </c>
      <c r="CD1011" s="8">
        <v>0.02</v>
      </c>
      <c r="CE1011" s="8">
        <v>4.0000000000000002E-4</v>
      </c>
      <c r="CF1011" s="8" t="s">
        <v>1134</v>
      </c>
    </row>
    <row r="1012" spans="1:84" s="8" customFormat="1" hidden="1" x14ac:dyDescent="0.2">
      <c r="B1012" t="str">
        <f>ROW()-1&amp;"_AltersInvert"</f>
        <v>1011_AltersInvert</v>
      </c>
      <c r="C1012" t="str">
        <f>D1012&amp;"_"&amp;
SUBSTITUTE(TRIM(V1012)," ","_")&amp;"_"&amp;
TRIM(AC1012)&amp;"_"&amp;
"CO2"&amp;TEXT(AN1012,"0.00")&amp;"_"&amp;
"pH"&amp;TEXT(AR1012,"0.00")&amp;"_"&amp;
"T"&amp;TEXT(BC1012,"0.##")</f>
        <v>201_Haliotis_coccoradiata_EMBRYO_CO2327.00_pH8.25_T20.</v>
      </c>
      <c r="D1012" s="8">
        <v>201</v>
      </c>
      <c r="G1012" s="8" t="s">
        <v>43</v>
      </c>
      <c r="H1012" s="8" t="s">
        <v>950</v>
      </c>
      <c r="J1012" s="8">
        <v>2010</v>
      </c>
      <c r="M1012" s="8" t="s">
        <v>67</v>
      </c>
      <c r="P1012" t="s">
        <v>1135</v>
      </c>
      <c r="R1012" s="8" t="s">
        <v>1127</v>
      </c>
      <c r="S1012" t="s">
        <v>1128</v>
      </c>
      <c r="T1012" s="8" t="s">
        <v>68</v>
      </c>
      <c r="U1012" s="8" t="s">
        <v>669</v>
      </c>
      <c r="V1012" s="8" t="s">
        <v>670</v>
      </c>
      <c r="W1012" s="8" t="str">
        <f>IF(ISNUMBER(MATCH(V406,{"Doryteuthis pealeii","Loligo vulgaris","Leptuca thayeri","Stylocheilus striatus","Ophryotrocha labronica"},0)),"N","Y")</f>
        <v>Y</v>
      </c>
      <c r="Z1012" s="8" t="s">
        <v>177</v>
      </c>
      <c r="AA1012" s="8" t="s">
        <v>177</v>
      </c>
      <c r="AB1012" s="8" t="s">
        <v>71</v>
      </c>
      <c r="AC1012" s="8" t="s">
        <v>195</v>
      </c>
      <c r="AD1012" s="8" t="s">
        <v>52</v>
      </c>
      <c r="AE1012" s="8" t="s">
        <v>53</v>
      </c>
      <c r="AF1012" s="8" t="s">
        <v>52</v>
      </c>
      <c r="AG1012" s="8" t="s">
        <v>54</v>
      </c>
      <c r="AH1012" s="8" t="s">
        <v>55</v>
      </c>
      <c r="AK1012" s="8">
        <v>3</v>
      </c>
      <c r="AL1012" s="8">
        <v>3</v>
      </c>
      <c r="AN1012" s="8">
        <v>327</v>
      </c>
      <c r="AO1012" s="8">
        <v>22</v>
      </c>
      <c r="AP1012" s="8" t="s">
        <v>56</v>
      </c>
      <c r="AQ1012" s="8" t="s">
        <v>57</v>
      </c>
      <c r="AR1012" s="8">
        <v>8.25</v>
      </c>
      <c r="AS1012" s="8" t="s">
        <v>56</v>
      </c>
      <c r="AT1012" s="8" t="s">
        <v>56</v>
      </c>
      <c r="AU1012" s="8">
        <v>1051</v>
      </c>
      <c r="AV1012">
        <v>15</v>
      </c>
      <c r="AW1012" t="s">
        <v>56</v>
      </c>
      <c r="AX1012">
        <v>7.8</v>
      </c>
      <c r="AY1012" t="s">
        <v>56</v>
      </c>
      <c r="AZ1012" t="s">
        <v>56</v>
      </c>
      <c r="BB1012" s="8">
        <f>LOG(AU1012)</f>
        <v>3.0216027160282422</v>
      </c>
      <c r="BC1012" s="8">
        <v>20</v>
      </c>
      <c r="BD1012" s="8" t="s">
        <v>56</v>
      </c>
      <c r="BE1012" s="8" t="s">
        <v>56</v>
      </c>
      <c r="BF1012" s="8">
        <v>20</v>
      </c>
      <c r="BG1012" s="8" t="s">
        <v>56</v>
      </c>
      <c r="BH1012" s="8" t="s">
        <v>56</v>
      </c>
      <c r="BI1012" s="8">
        <v>724</v>
      </c>
      <c r="BJ1012" s="8">
        <v>0</v>
      </c>
      <c r="BK1012" s="8" t="s">
        <v>56</v>
      </c>
      <c r="BL1012" s="8" t="s">
        <v>933</v>
      </c>
      <c r="BM1012" s="8" t="s">
        <v>473</v>
      </c>
      <c r="BN1012" s="8" t="s">
        <v>81</v>
      </c>
      <c r="BO1012" s="8" t="s">
        <v>82</v>
      </c>
      <c r="BP1012" s="8" t="s">
        <v>190</v>
      </c>
      <c r="BQ1012" s="8" t="s">
        <v>190</v>
      </c>
      <c r="BR1012" s="8" t="s">
        <v>84</v>
      </c>
      <c r="BT1012" s="8">
        <v>97.55</v>
      </c>
      <c r="BU1012" s="8">
        <v>97.55</v>
      </c>
      <c r="BV1012" s="8">
        <v>1.85</v>
      </c>
      <c r="BW1012" s="8">
        <f>BV1012*SQRT(AK1012)</f>
        <v>3.2042939940024229</v>
      </c>
      <c r="BX1012" s="8">
        <v>99.58</v>
      </c>
      <c r="BY1012" s="8">
        <v>99.58</v>
      </c>
      <c r="BZ1012" s="8">
        <v>0.62</v>
      </c>
      <c r="CA1012" s="8">
        <f>BZ1012*SQRT(AL1012)</f>
        <v>1.0738715006927038</v>
      </c>
      <c r="CB1012" s="8">
        <v>1</v>
      </c>
      <c r="CC1012" s="8">
        <v>1</v>
      </c>
      <c r="CD1012" s="8">
        <v>2.1000000000000001E-2</v>
      </c>
      <c r="CE1012" s="8">
        <v>4.0000000000000002E-4</v>
      </c>
      <c r="CF1012" s="8" t="s">
        <v>1134</v>
      </c>
    </row>
    <row r="1013" spans="1:84" s="8" customFormat="1" hidden="1" x14ac:dyDescent="0.2">
      <c r="B1013" t="str">
        <f>ROW()-1&amp;"_AltersInvert"</f>
        <v>1012_AltersInvert</v>
      </c>
      <c r="C1013" t="str">
        <f>D1013&amp;"_"&amp;
SUBSTITUTE(TRIM(V1013)," ","_")&amp;"_"&amp;
TRIM(AC1013)&amp;"_"&amp;
"CO2"&amp;TEXT(AN1013,"0.00")&amp;"_"&amp;
"pH"&amp;TEXT(AR1013,"0.00")&amp;"_"&amp;
"T"&amp;TEXT(BC1013,"0.##")</f>
        <v>201_Haliotis_coccoradiata_EMBRYO_CO2327.00_pH8.25_T20.</v>
      </c>
      <c r="D1013" s="8">
        <v>201</v>
      </c>
      <c r="G1013" s="8" t="s">
        <v>43</v>
      </c>
      <c r="H1013" s="8" t="s">
        <v>950</v>
      </c>
      <c r="J1013" s="8">
        <v>2010</v>
      </c>
      <c r="M1013" s="8" t="s">
        <v>67</v>
      </c>
      <c r="P1013" t="s">
        <v>1135</v>
      </c>
      <c r="R1013" s="8" t="s">
        <v>1127</v>
      </c>
      <c r="S1013" t="s">
        <v>1128</v>
      </c>
      <c r="T1013" s="8" t="s">
        <v>68</v>
      </c>
      <c r="U1013" s="8" t="s">
        <v>669</v>
      </c>
      <c r="V1013" s="8" t="s">
        <v>670</v>
      </c>
      <c r="W1013" s="8" t="str">
        <f>IF(ISNUMBER(MATCH(V407,{"Doryteuthis pealeii","Loligo vulgaris","Leptuca thayeri","Stylocheilus striatus","Ophryotrocha labronica"},0)),"N","Y")</f>
        <v>Y</v>
      </c>
      <c r="Z1013" s="8" t="s">
        <v>177</v>
      </c>
      <c r="AA1013" s="8" t="s">
        <v>177</v>
      </c>
      <c r="AB1013" s="8" t="s">
        <v>71</v>
      </c>
      <c r="AC1013" s="8" t="s">
        <v>195</v>
      </c>
      <c r="AD1013" s="8" t="s">
        <v>52</v>
      </c>
      <c r="AE1013" s="8" t="s">
        <v>53</v>
      </c>
      <c r="AF1013" s="8" t="s">
        <v>52</v>
      </c>
      <c r="AG1013" s="8" t="s">
        <v>54</v>
      </c>
      <c r="AH1013" s="8" t="s">
        <v>55</v>
      </c>
      <c r="AK1013" s="8">
        <v>3</v>
      </c>
      <c r="AL1013" s="8">
        <v>3</v>
      </c>
      <c r="AN1013" s="8">
        <v>327</v>
      </c>
      <c r="AO1013" s="8">
        <v>22</v>
      </c>
      <c r="AP1013" s="8" t="s">
        <v>56</v>
      </c>
      <c r="AQ1013" s="8" t="s">
        <v>57</v>
      </c>
      <c r="AR1013" s="8">
        <v>8.25</v>
      </c>
      <c r="AS1013" s="8" t="s">
        <v>56</v>
      </c>
      <c r="AT1013" s="8" t="s">
        <v>56</v>
      </c>
      <c r="AU1013" s="8">
        <v>1729</v>
      </c>
      <c r="AV1013">
        <v>25</v>
      </c>
      <c r="AW1013" t="s">
        <v>56</v>
      </c>
      <c r="AX1013">
        <v>7.6</v>
      </c>
      <c r="AY1013" t="s">
        <v>56</v>
      </c>
      <c r="AZ1013" t="s">
        <v>56</v>
      </c>
      <c r="BB1013" s="8">
        <f>LOG(AU1013)</f>
        <v>3.2377949932739227</v>
      </c>
      <c r="BC1013" s="8">
        <v>20</v>
      </c>
      <c r="BD1013" s="8" t="s">
        <v>56</v>
      </c>
      <c r="BE1013" s="8" t="s">
        <v>56</v>
      </c>
      <c r="BF1013" s="8">
        <v>20</v>
      </c>
      <c r="BG1013" s="8" t="s">
        <v>56</v>
      </c>
      <c r="BH1013" s="8" t="s">
        <v>56</v>
      </c>
      <c r="BI1013" s="8">
        <v>1402</v>
      </c>
      <c r="BJ1013" s="8">
        <v>0</v>
      </c>
      <c r="BK1013" s="8" t="s">
        <v>56</v>
      </c>
      <c r="BL1013" s="8" t="s">
        <v>933</v>
      </c>
      <c r="BM1013" s="8" t="s">
        <v>473</v>
      </c>
      <c r="BN1013" s="8" t="s">
        <v>81</v>
      </c>
      <c r="BO1013" s="8" t="s">
        <v>82</v>
      </c>
      <c r="BP1013" s="8" t="s">
        <v>190</v>
      </c>
      <c r="BQ1013" s="8" t="s">
        <v>190</v>
      </c>
      <c r="BR1013" s="8" t="s">
        <v>84</v>
      </c>
      <c r="BT1013" s="8">
        <v>97.55</v>
      </c>
      <c r="BU1013" s="8">
        <v>97.55</v>
      </c>
      <c r="BV1013" s="8">
        <v>1.85</v>
      </c>
      <c r="BW1013" s="8">
        <f>BV1013*SQRT(AK1013)</f>
        <v>3.2042939940024229</v>
      </c>
      <c r="BX1013" s="8">
        <v>99.67</v>
      </c>
      <c r="BY1013" s="8">
        <v>99.67</v>
      </c>
      <c r="BZ1013" s="8">
        <v>0.63</v>
      </c>
      <c r="CA1013" s="8">
        <f>BZ1013*SQRT(AL1013)</f>
        <v>1.0911920087683926</v>
      </c>
      <c r="CB1013" s="8">
        <v>1</v>
      </c>
      <c r="CC1013" s="8">
        <v>1</v>
      </c>
      <c r="CD1013" s="8">
        <v>2.1000000000000001E-2</v>
      </c>
      <c r="CE1013" s="8">
        <v>4.0000000000000002E-4</v>
      </c>
      <c r="CF1013" s="8" t="s">
        <v>1134</v>
      </c>
    </row>
    <row r="1014" spans="1:84" s="8" customFormat="1" hidden="1" x14ac:dyDescent="0.2">
      <c r="B1014" t="str">
        <f>ROW()-1&amp;"_AltersInvert"</f>
        <v>1013_AltersInvert</v>
      </c>
      <c r="C1014" t="str">
        <f>D1014&amp;"_"&amp;
SUBSTITUTE(TRIM(V1014)," ","_")&amp;"_"&amp;
TRIM(AC1014)&amp;"_"&amp;
"CO2"&amp;TEXT(AN1014,"0.00")&amp;"_"&amp;
"pH"&amp;TEXT(AR1014,"0.00")&amp;"_"&amp;
"T"&amp;TEXT(BC1014,"0.##")</f>
        <v>201_Haliotis_coccoradiata_EMBRYO_CO2327.00_pH8.25_T20.</v>
      </c>
      <c r="D1014" s="8">
        <v>201</v>
      </c>
      <c r="G1014" s="8" t="s">
        <v>43</v>
      </c>
      <c r="H1014" s="8" t="s">
        <v>950</v>
      </c>
      <c r="J1014" s="8">
        <v>2010</v>
      </c>
      <c r="M1014" s="8" t="s">
        <v>67</v>
      </c>
      <c r="P1014" t="s">
        <v>1135</v>
      </c>
      <c r="R1014" s="8" t="s">
        <v>1127</v>
      </c>
      <c r="S1014" t="s">
        <v>1128</v>
      </c>
      <c r="T1014" s="8" t="s">
        <v>68</v>
      </c>
      <c r="U1014" s="8" t="s">
        <v>669</v>
      </c>
      <c r="V1014" s="8" t="s">
        <v>670</v>
      </c>
      <c r="W1014" s="8" t="str">
        <f>IF(ISNUMBER(MATCH(V408,{"Doryteuthis pealeii","Loligo vulgaris","Leptuca thayeri","Stylocheilus striatus","Ophryotrocha labronica"},0)),"N","Y")</f>
        <v>Y</v>
      </c>
      <c r="Z1014" s="8" t="s">
        <v>177</v>
      </c>
      <c r="AA1014" s="8" t="s">
        <v>177</v>
      </c>
      <c r="AB1014" s="8" t="s">
        <v>71</v>
      </c>
      <c r="AC1014" s="8" t="s">
        <v>195</v>
      </c>
      <c r="AD1014" s="8" t="s">
        <v>52</v>
      </c>
      <c r="AE1014" s="8" t="s">
        <v>53</v>
      </c>
      <c r="AF1014" s="8" t="s">
        <v>54</v>
      </c>
      <c r="AG1014" s="8" t="s">
        <v>52</v>
      </c>
      <c r="AH1014" s="8" t="s">
        <v>65</v>
      </c>
      <c r="AK1014" s="8">
        <v>3</v>
      </c>
      <c r="AL1014" s="8">
        <v>3</v>
      </c>
      <c r="AN1014" s="8">
        <v>327</v>
      </c>
      <c r="AO1014" s="8">
        <v>22</v>
      </c>
      <c r="AP1014" s="8" t="s">
        <v>56</v>
      </c>
      <c r="AQ1014" s="8" t="s">
        <v>57</v>
      </c>
      <c r="AR1014" s="8">
        <v>8.25</v>
      </c>
      <c r="AS1014" s="8" t="s">
        <v>56</v>
      </c>
      <c r="AT1014" s="8" t="s">
        <v>56</v>
      </c>
      <c r="AU1014" s="8">
        <v>335</v>
      </c>
      <c r="AV1014">
        <v>23</v>
      </c>
      <c r="AW1014" t="s">
        <v>56</v>
      </c>
      <c r="AX1014">
        <v>8.25</v>
      </c>
      <c r="AY1014" t="s">
        <v>56</v>
      </c>
      <c r="AZ1014" t="s">
        <v>56</v>
      </c>
      <c r="BB1014" s="8">
        <f>LOG(AU1014)</f>
        <v>2.5250448070368452</v>
      </c>
      <c r="BC1014" s="8">
        <v>20</v>
      </c>
      <c r="BD1014" s="8" t="s">
        <v>56</v>
      </c>
      <c r="BE1014" s="8" t="s">
        <v>56</v>
      </c>
      <c r="BF1014" s="8">
        <v>26</v>
      </c>
      <c r="BG1014" s="8" t="s">
        <v>56</v>
      </c>
      <c r="BH1014" s="8" t="s">
        <v>56</v>
      </c>
      <c r="BI1014" s="8">
        <v>8</v>
      </c>
      <c r="BJ1014" s="8">
        <v>6</v>
      </c>
      <c r="BK1014" s="8" t="s">
        <v>56</v>
      </c>
      <c r="BL1014" s="8" t="s">
        <v>933</v>
      </c>
      <c r="BM1014" s="8" t="s">
        <v>473</v>
      </c>
      <c r="BN1014" s="8" t="s">
        <v>81</v>
      </c>
      <c r="BO1014" s="8" t="s">
        <v>82</v>
      </c>
      <c r="BP1014" s="8" t="s">
        <v>190</v>
      </c>
      <c r="BQ1014" s="8" t="s">
        <v>190</v>
      </c>
      <c r="BR1014" s="8" t="s">
        <v>84</v>
      </c>
      <c r="BT1014" s="8">
        <v>97.55</v>
      </c>
      <c r="BU1014" s="8">
        <v>97.55</v>
      </c>
      <c r="BV1014" s="8">
        <v>1.85</v>
      </c>
      <c r="BW1014" s="8">
        <f>BV1014*SQRT(AK1014)</f>
        <v>3.2042939940024229</v>
      </c>
      <c r="BX1014" s="8">
        <v>97.59</v>
      </c>
      <c r="BY1014" s="8">
        <v>97.59</v>
      </c>
      <c r="BZ1014" s="8">
        <v>1.85</v>
      </c>
      <c r="CA1014" s="8">
        <f>BZ1014*SQRT(AL1014)</f>
        <v>3.2042939940024229</v>
      </c>
      <c r="CB1014" s="8">
        <v>1</v>
      </c>
      <c r="CC1014" s="8">
        <v>1</v>
      </c>
      <c r="CD1014" s="8">
        <v>0</v>
      </c>
      <c r="CE1014" s="8">
        <v>6.9999999999999999E-4</v>
      </c>
      <c r="CF1014" s="8" t="s">
        <v>1134</v>
      </c>
    </row>
    <row r="1015" spans="1:84" hidden="1" x14ac:dyDescent="0.2">
      <c r="A1015" s="8"/>
      <c r="B1015" t="str">
        <f>ROW()-1&amp;"_AltersInvert"</f>
        <v>1014_AltersInvert</v>
      </c>
      <c r="C1015" t="str">
        <f>D1015&amp;"_"&amp;
SUBSTITUTE(TRIM(V1015)," ","_")&amp;"_"&amp;
TRIM(AC1015)&amp;"_"&amp;
"CO2"&amp;TEXT(AN1015,"0.00")&amp;"_"&amp;
"pH"&amp;TEXT(AR1015,"0.00")&amp;"_"&amp;
"T"&amp;TEXT(BC1015,"0.##")</f>
        <v>201_Haliotis_coccoradiata_EMBRYO_CO2327.00_pH8.25_T20.</v>
      </c>
      <c r="D1015" s="8">
        <v>201</v>
      </c>
      <c r="E1015" s="8"/>
      <c r="F1015" s="8"/>
      <c r="G1015" s="8" t="s">
        <v>43</v>
      </c>
      <c r="H1015" s="8" t="s">
        <v>950</v>
      </c>
      <c r="I1015" s="8"/>
      <c r="J1015" s="8">
        <v>2010</v>
      </c>
      <c r="K1015" s="8"/>
      <c r="L1015" s="8"/>
      <c r="M1015" s="8" t="s">
        <v>67</v>
      </c>
      <c r="N1015" s="8"/>
      <c r="O1015" s="8"/>
      <c r="P1015" t="s">
        <v>1135</v>
      </c>
      <c r="Q1015" s="8"/>
      <c r="R1015" s="8" t="s">
        <v>1127</v>
      </c>
      <c r="S1015" t="s">
        <v>1128</v>
      </c>
      <c r="T1015" s="8" t="s">
        <v>68</v>
      </c>
      <c r="U1015" s="8" t="s">
        <v>669</v>
      </c>
      <c r="V1015" s="8" t="s">
        <v>670</v>
      </c>
      <c r="W1015" s="8" t="str">
        <f>IF(ISNUMBER(MATCH(V409,{"Doryteuthis pealeii","Loligo vulgaris","Leptuca thayeri","Stylocheilus striatus","Ophryotrocha labronica"},0)),"N","Y")</f>
        <v>Y</v>
      </c>
      <c r="X1015" s="8"/>
      <c r="Y1015" s="8"/>
      <c r="Z1015" s="8" t="s">
        <v>177</v>
      </c>
      <c r="AA1015" s="8" t="s">
        <v>177</v>
      </c>
      <c r="AB1015" s="8" t="s">
        <v>71</v>
      </c>
      <c r="AC1015" s="8" t="s">
        <v>195</v>
      </c>
      <c r="AD1015" s="8" t="s">
        <v>52</v>
      </c>
      <c r="AE1015" s="8" t="s">
        <v>53</v>
      </c>
      <c r="AF1015" s="8" t="s">
        <v>54</v>
      </c>
      <c r="AG1015" s="8" t="s">
        <v>52</v>
      </c>
      <c r="AH1015" s="8" t="s">
        <v>65</v>
      </c>
      <c r="AI1015" s="8"/>
      <c r="AJ1015" s="8"/>
      <c r="AK1015" s="8">
        <v>3</v>
      </c>
      <c r="AL1015" s="8">
        <v>3</v>
      </c>
      <c r="AM1015" s="8"/>
      <c r="AN1015" s="8">
        <v>327</v>
      </c>
      <c r="AO1015" s="8">
        <v>22</v>
      </c>
      <c r="AP1015" s="8" t="s">
        <v>56</v>
      </c>
      <c r="AQ1015" s="8" t="s">
        <v>57</v>
      </c>
      <c r="AR1015" s="8">
        <v>8.25</v>
      </c>
      <c r="AS1015" s="8" t="s">
        <v>56</v>
      </c>
      <c r="AT1015" s="8" t="s">
        <v>56</v>
      </c>
      <c r="AU1015" s="8">
        <v>330</v>
      </c>
      <c r="AV1015">
        <v>23</v>
      </c>
      <c r="AW1015" t="s">
        <v>56</v>
      </c>
      <c r="AX1015">
        <v>8.25</v>
      </c>
      <c r="AY1015" t="s">
        <v>56</v>
      </c>
      <c r="AZ1015" t="s">
        <v>56</v>
      </c>
      <c r="BA1015" s="8"/>
      <c r="BB1015" s="8">
        <f>LOG(AU1015)</f>
        <v>2.5185139398778875</v>
      </c>
      <c r="BC1015" s="8">
        <v>20</v>
      </c>
      <c r="BD1015" s="8" t="s">
        <v>56</v>
      </c>
      <c r="BE1015" s="8" t="s">
        <v>56</v>
      </c>
      <c r="BF1015" s="8">
        <v>22</v>
      </c>
      <c r="BG1015" s="8" t="s">
        <v>56</v>
      </c>
      <c r="BH1015" s="8" t="s">
        <v>56</v>
      </c>
      <c r="BI1015" s="8">
        <v>3</v>
      </c>
      <c r="BJ1015" s="8">
        <v>2</v>
      </c>
      <c r="BK1015" s="8" t="s">
        <v>56</v>
      </c>
      <c r="BL1015" s="8" t="s">
        <v>933</v>
      </c>
      <c r="BM1015" s="8" t="s">
        <v>473</v>
      </c>
      <c r="BN1015" s="8" t="s">
        <v>81</v>
      </c>
      <c r="BO1015" s="8" t="s">
        <v>82</v>
      </c>
      <c r="BP1015" s="8" t="s">
        <v>190</v>
      </c>
      <c r="BQ1015" s="8" t="s">
        <v>190</v>
      </c>
      <c r="BR1015" s="8" t="s">
        <v>84</v>
      </c>
      <c r="BS1015" s="8"/>
      <c r="BT1015" s="8">
        <v>97.55</v>
      </c>
      <c r="BU1015" s="8">
        <v>97.55</v>
      </c>
      <c r="BV1015" s="8">
        <v>1.85</v>
      </c>
      <c r="BW1015" s="8">
        <f>BV1015*SQRT(AK1015)</f>
        <v>3.2042939940024229</v>
      </c>
      <c r="BX1015" s="8">
        <v>99.42</v>
      </c>
      <c r="BY1015" s="8">
        <v>99.42</v>
      </c>
      <c r="BZ1015" s="8">
        <v>0.62</v>
      </c>
      <c r="CA1015" s="8">
        <f>BZ1015*SQRT(AL1015)</f>
        <v>1.0738715006927038</v>
      </c>
      <c r="CB1015" s="8">
        <v>1</v>
      </c>
      <c r="CC1015" s="8">
        <v>1</v>
      </c>
      <c r="CD1015" s="8">
        <v>1.9E-2</v>
      </c>
      <c r="CE1015" s="8">
        <v>4.0000000000000002E-4</v>
      </c>
      <c r="CF1015" s="8" t="s">
        <v>1134</v>
      </c>
    </row>
    <row r="1016" spans="1:84" s="11" customFormat="1" hidden="1" x14ac:dyDescent="0.2">
      <c r="A1016" s="8"/>
      <c r="B1016" t="str">
        <f>ROW()-1&amp;"_AltersInvert"</f>
        <v>1015_AltersInvert</v>
      </c>
      <c r="C1016" t="str">
        <f>D1016&amp;"_"&amp;
SUBSTITUTE(TRIM(V1016)," ","_")&amp;"_"&amp;
TRIM(AC1016)&amp;"_"&amp;
"CO2"&amp;TEXT(AN1016,"0.00")&amp;"_"&amp;
"pH"&amp;TEXT(AR1016,"0.00")&amp;"_"&amp;
"T"&amp;TEXT(BC1016,"0.##")</f>
        <v>201_Haliotis_coccoradiata_EMBRYO_CO2327.00_pH8.25_T20.</v>
      </c>
      <c r="D1016" s="8">
        <v>201</v>
      </c>
      <c r="E1016" s="8"/>
      <c r="F1016" s="8"/>
      <c r="G1016" s="8" t="s">
        <v>43</v>
      </c>
      <c r="H1016" s="8" t="s">
        <v>950</v>
      </c>
      <c r="I1016" s="8"/>
      <c r="J1016" s="8">
        <v>2010</v>
      </c>
      <c r="K1016" s="8"/>
      <c r="L1016" s="8"/>
      <c r="M1016" s="8" t="s">
        <v>67</v>
      </c>
      <c r="N1016" s="8"/>
      <c r="O1016" s="8"/>
      <c r="P1016" t="s">
        <v>1135</v>
      </c>
      <c r="Q1016" s="8"/>
      <c r="R1016" s="8" t="s">
        <v>1127</v>
      </c>
      <c r="S1016" t="s">
        <v>1128</v>
      </c>
      <c r="T1016" s="8" t="s">
        <v>68</v>
      </c>
      <c r="U1016" s="8" t="s">
        <v>669</v>
      </c>
      <c r="V1016" s="8" t="s">
        <v>670</v>
      </c>
      <c r="W1016" s="8" t="str">
        <f>IF(ISNUMBER(MATCH(V410,{"Doryteuthis pealeii","Loligo vulgaris","Leptuca thayeri","Stylocheilus striatus","Ophryotrocha labronica"},0)),"N","Y")</f>
        <v>Y</v>
      </c>
      <c r="X1016" s="8"/>
      <c r="Y1016" s="8"/>
      <c r="Z1016" s="8" t="s">
        <v>177</v>
      </c>
      <c r="AA1016" s="8" t="s">
        <v>177</v>
      </c>
      <c r="AB1016" s="8" t="s">
        <v>71</v>
      </c>
      <c r="AC1016" s="8" t="s">
        <v>195</v>
      </c>
      <c r="AD1016" s="8" t="s">
        <v>52</v>
      </c>
      <c r="AE1016" s="8" t="s">
        <v>53</v>
      </c>
      <c r="AF1016" s="8" t="s">
        <v>52</v>
      </c>
      <c r="AG1016" s="8" t="s">
        <v>52</v>
      </c>
      <c r="AH1016" s="8" t="s">
        <v>64</v>
      </c>
      <c r="AI1016" s="8"/>
      <c r="AJ1016" s="8"/>
      <c r="AK1016" s="8">
        <v>3</v>
      </c>
      <c r="AL1016" s="8">
        <v>3</v>
      </c>
      <c r="AM1016" s="8"/>
      <c r="AN1016" s="8">
        <v>327</v>
      </c>
      <c r="AO1016" s="8">
        <v>22</v>
      </c>
      <c r="AP1016" s="8" t="s">
        <v>56</v>
      </c>
      <c r="AQ1016" s="8" t="s">
        <v>57</v>
      </c>
      <c r="AR1016" s="8">
        <v>8.25</v>
      </c>
      <c r="AS1016" s="8" t="s">
        <v>56</v>
      </c>
      <c r="AT1016" s="8" t="s">
        <v>56</v>
      </c>
      <c r="AU1016" s="8">
        <v>1104</v>
      </c>
      <c r="AV1016">
        <v>16</v>
      </c>
      <c r="AW1016" t="s">
        <v>56</v>
      </c>
      <c r="AX1016">
        <v>7.8</v>
      </c>
      <c r="AY1016" t="s">
        <v>56</v>
      </c>
      <c r="AZ1016" t="s">
        <v>56</v>
      </c>
      <c r="BA1016" s="8"/>
      <c r="BB1016" s="8">
        <f>LOG(AU1016)</f>
        <v>3.0429690733931802</v>
      </c>
      <c r="BC1016" s="8">
        <v>20</v>
      </c>
      <c r="BD1016" s="8" t="s">
        <v>56</v>
      </c>
      <c r="BE1016" s="8" t="s">
        <v>56</v>
      </c>
      <c r="BF1016" s="8">
        <v>26</v>
      </c>
      <c r="BG1016" s="8" t="s">
        <v>56</v>
      </c>
      <c r="BH1016" s="8" t="s">
        <v>56</v>
      </c>
      <c r="BI1016" s="8">
        <v>777</v>
      </c>
      <c r="BJ1016" s="8">
        <v>6</v>
      </c>
      <c r="BK1016" s="8" t="s">
        <v>56</v>
      </c>
      <c r="BL1016" s="8" t="s">
        <v>933</v>
      </c>
      <c r="BM1016" s="8" t="s">
        <v>473</v>
      </c>
      <c r="BN1016" s="8" t="s">
        <v>81</v>
      </c>
      <c r="BO1016" s="8" t="s">
        <v>82</v>
      </c>
      <c r="BP1016" s="8" t="s">
        <v>190</v>
      </c>
      <c r="BQ1016" s="8" t="s">
        <v>190</v>
      </c>
      <c r="BR1016" s="8" t="s">
        <v>84</v>
      </c>
      <c r="BS1016" s="8"/>
      <c r="BT1016" s="8">
        <v>97.55</v>
      </c>
      <c r="BU1016" s="8">
        <v>97.55</v>
      </c>
      <c r="BV1016" s="8">
        <v>1.85</v>
      </c>
      <c r="BW1016" s="8">
        <f>BV1016*SQRT(AK1016)</f>
        <v>3.2042939940024229</v>
      </c>
      <c r="BX1016" s="8">
        <v>97.77</v>
      </c>
      <c r="BY1016" s="8">
        <v>97.77</v>
      </c>
      <c r="BZ1016" s="8">
        <v>1.83</v>
      </c>
      <c r="CA1016" s="8">
        <f>BZ1016*SQRT(AL1016)</f>
        <v>3.1696529778510456</v>
      </c>
      <c r="CB1016" s="8">
        <v>1</v>
      </c>
      <c r="CC1016" s="8">
        <v>1</v>
      </c>
      <c r="CD1016" s="8">
        <v>2E-3</v>
      </c>
      <c r="CE1016" s="8">
        <v>6.9999999999999999E-4</v>
      </c>
      <c r="CF1016" s="8" t="s">
        <v>1134</v>
      </c>
    </row>
    <row r="1017" spans="1:84" s="11" customFormat="1" hidden="1" x14ac:dyDescent="0.2">
      <c r="A1017" s="8"/>
      <c r="B1017" t="str">
        <f>ROW()-1&amp;"_AltersInvert"</f>
        <v>1016_AltersInvert</v>
      </c>
      <c r="C1017" t="str">
        <f>D1017&amp;"_"&amp;
SUBSTITUTE(TRIM(V1017)," ","_")&amp;"_"&amp;
TRIM(AC1017)&amp;"_"&amp;
"CO2"&amp;TEXT(AN1017,"0.00")&amp;"_"&amp;
"pH"&amp;TEXT(AR1017,"0.00")&amp;"_"&amp;
"T"&amp;TEXT(BC1017,"0.##")</f>
        <v>201_Haliotis_coccoradiata_EMBRYO_CO2327.00_pH8.25_T20.</v>
      </c>
      <c r="D1017" s="8">
        <v>201</v>
      </c>
      <c r="E1017" s="8"/>
      <c r="F1017" s="8"/>
      <c r="G1017" s="8" t="s">
        <v>43</v>
      </c>
      <c r="H1017" s="8" t="s">
        <v>950</v>
      </c>
      <c r="I1017" s="8"/>
      <c r="J1017" s="8">
        <v>2010</v>
      </c>
      <c r="K1017" s="8"/>
      <c r="L1017" s="8"/>
      <c r="M1017" s="8" t="s">
        <v>67</v>
      </c>
      <c r="N1017" s="8"/>
      <c r="O1017" s="8"/>
      <c r="P1017" t="s">
        <v>1135</v>
      </c>
      <c r="Q1017" s="8"/>
      <c r="R1017" s="8" t="s">
        <v>1127</v>
      </c>
      <c r="S1017" t="s">
        <v>1128</v>
      </c>
      <c r="T1017" s="8" t="s">
        <v>68</v>
      </c>
      <c r="U1017" s="8" t="s">
        <v>669</v>
      </c>
      <c r="V1017" s="8" t="s">
        <v>670</v>
      </c>
      <c r="W1017" s="8" t="str">
        <f>IF(ISNUMBER(MATCH(V411,{"Doryteuthis pealeii","Loligo vulgaris","Leptuca thayeri","Stylocheilus striatus","Ophryotrocha labronica"},0)),"N","Y")</f>
        <v>Y</v>
      </c>
      <c r="X1017" s="8"/>
      <c r="Y1017" s="8"/>
      <c r="Z1017" s="8" t="s">
        <v>177</v>
      </c>
      <c r="AA1017" s="8" t="s">
        <v>177</v>
      </c>
      <c r="AB1017" s="8" t="s">
        <v>71</v>
      </c>
      <c r="AC1017" s="8" t="s">
        <v>195</v>
      </c>
      <c r="AD1017" s="8" t="s">
        <v>52</v>
      </c>
      <c r="AE1017" s="8" t="s">
        <v>53</v>
      </c>
      <c r="AF1017" s="8" t="s">
        <v>52</v>
      </c>
      <c r="AG1017" s="8" t="s">
        <v>52</v>
      </c>
      <c r="AH1017" s="8" t="s">
        <v>64</v>
      </c>
      <c r="AI1017" s="8"/>
      <c r="AJ1017" s="8"/>
      <c r="AK1017" s="8">
        <v>3</v>
      </c>
      <c r="AL1017" s="8">
        <v>3</v>
      </c>
      <c r="AM1017" s="8"/>
      <c r="AN1017" s="8">
        <v>327</v>
      </c>
      <c r="AO1017" s="8">
        <v>22</v>
      </c>
      <c r="AP1017" s="8" t="s">
        <v>56</v>
      </c>
      <c r="AQ1017" s="8" t="s">
        <v>57</v>
      </c>
      <c r="AR1017" s="8">
        <v>8.25</v>
      </c>
      <c r="AS1017" s="8" t="s">
        <v>56</v>
      </c>
      <c r="AT1017" s="8" t="s">
        <v>56</v>
      </c>
      <c r="AU1017" s="8">
        <v>1828</v>
      </c>
      <c r="AV1017">
        <v>27</v>
      </c>
      <c r="AW1017" t="s">
        <v>56</v>
      </c>
      <c r="AX1017">
        <v>7.6</v>
      </c>
      <c r="AY1017" t="s">
        <v>56</v>
      </c>
      <c r="AZ1017" t="s">
        <v>56</v>
      </c>
      <c r="BA1017" s="8"/>
      <c r="BB1017" s="8">
        <f>LOG(AU1017)</f>
        <v>3.2619761913978125</v>
      </c>
      <c r="BC1017" s="8">
        <v>20</v>
      </c>
      <c r="BD1017" s="8" t="s">
        <v>56</v>
      </c>
      <c r="BE1017" s="8" t="s">
        <v>56</v>
      </c>
      <c r="BF1017" s="8">
        <v>26</v>
      </c>
      <c r="BG1017" s="8" t="s">
        <v>56</v>
      </c>
      <c r="BH1017" s="8" t="s">
        <v>56</v>
      </c>
      <c r="BI1017" s="8">
        <v>1501</v>
      </c>
      <c r="BJ1017" s="8">
        <v>6</v>
      </c>
      <c r="BK1017" s="8" t="s">
        <v>56</v>
      </c>
      <c r="BL1017" s="8" t="s">
        <v>933</v>
      </c>
      <c r="BM1017" s="8" t="s">
        <v>473</v>
      </c>
      <c r="BN1017" s="8" t="s">
        <v>81</v>
      </c>
      <c r="BO1017" s="8" t="s">
        <v>82</v>
      </c>
      <c r="BP1017" s="8" t="s">
        <v>190</v>
      </c>
      <c r="BQ1017" s="8" t="s">
        <v>190</v>
      </c>
      <c r="BR1017" s="8" t="s">
        <v>84</v>
      </c>
      <c r="BS1017" s="8"/>
      <c r="BT1017" s="8">
        <v>97.55</v>
      </c>
      <c r="BU1017" s="8">
        <v>97.55</v>
      </c>
      <c r="BV1017" s="8">
        <v>1.85</v>
      </c>
      <c r="BW1017" s="8">
        <f>BV1017*SQRT(AK1017)</f>
        <v>3.2042939940024229</v>
      </c>
      <c r="BX1017" s="8">
        <v>97.85</v>
      </c>
      <c r="BY1017" s="8">
        <v>97.85</v>
      </c>
      <c r="BZ1017" s="8">
        <v>1.86</v>
      </c>
      <c r="CA1017" s="8">
        <f>BZ1017*SQRT(AL1017)</f>
        <v>3.2216145020781117</v>
      </c>
      <c r="CB1017" s="8">
        <v>1</v>
      </c>
      <c r="CC1017" s="8">
        <v>1</v>
      </c>
      <c r="CD1017" s="8">
        <v>3.0000000000000001E-3</v>
      </c>
      <c r="CE1017" s="8">
        <v>6.9999999999999999E-4</v>
      </c>
      <c r="CF1017" s="8" t="s">
        <v>1134</v>
      </c>
    </row>
    <row r="1018" spans="1:84" s="11" customFormat="1" hidden="1" x14ac:dyDescent="0.2">
      <c r="A1018" s="8"/>
      <c r="B1018" t="str">
        <f>ROW()-1&amp;"_AltersInvert"</f>
        <v>1017_AltersInvert</v>
      </c>
      <c r="C1018" t="str">
        <f>D1018&amp;"_"&amp;
SUBSTITUTE(TRIM(V1018)," ","_")&amp;"_"&amp;
TRIM(AC1018)&amp;"_"&amp;
"CO2"&amp;TEXT(AN1018,"0.00")&amp;"_"&amp;
"pH"&amp;TEXT(AR1018,"0.00")&amp;"_"&amp;
"T"&amp;TEXT(BC1018,"0.##")</f>
        <v>201_Haliotis_coccoradiata_EMBRYO_CO2327.00_pH8.25_T20.</v>
      </c>
      <c r="D1018" s="8">
        <v>201</v>
      </c>
      <c r="E1018" s="8"/>
      <c r="F1018" s="8"/>
      <c r="G1018" s="8" t="s">
        <v>43</v>
      </c>
      <c r="H1018" s="8" t="s">
        <v>950</v>
      </c>
      <c r="I1018" s="8"/>
      <c r="J1018" s="8">
        <v>2010</v>
      </c>
      <c r="K1018" s="8"/>
      <c r="L1018" s="8"/>
      <c r="M1018" s="8" t="s">
        <v>67</v>
      </c>
      <c r="N1018" s="8"/>
      <c r="O1018" s="8"/>
      <c r="P1018" t="s">
        <v>1135</v>
      </c>
      <c r="Q1018" s="8"/>
      <c r="R1018" s="8" t="s">
        <v>1127</v>
      </c>
      <c r="S1018" t="s">
        <v>1128</v>
      </c>
      <c r="T1018" s="8" t="s">
        <v>68</v>
      </c>
      <c r="U1018" s="8" t="s">
        <v>669</v>
      </c>
      <c r="V1018" s="8" t="s">
        <v>670</v>
      </c>
      <c r="W1018" s="8" t="str">
        <f>IF(ISNUMBER(MATCH(V412,{"Doryteuthis pealeii","Loligo vulgaris","Leptuca thayeri","Stylocheilus striatus","Ophryotrocha labronica"},0)),"N","Y")</f>
        <v>Y</v>
      </c>
      <c r="X1018" s="8"/>
      <c r="Y1018" s="8"/>
      <c r="Z1018" s="8" t="s">
        <v>177</v>
      </c>
      <c r="AA1018" s="8" t="s">
        <v>177</v>
      </c>
      <c r="AB1018" s="8" t="s">
        <v>71</v>
      </c>
      <c r="AC1018" s="8" t="s">
        <v>195</v>
      </c>
      <c r="AD1018" s="8" t="s">
        <v>52</v>
      </c>
      <c r="AE1018" s="8" t="s">
        <v>53</v>
      </c>
      <c r="AF1018" s="8" t="s">
        <v>52</v>
      </c>
      <c r="AG1018" s="8" t="s">
        <v>52</v>
      </c>
      <c r="AH1018" s="8" t="s">
        <v>64</v>
      </c>
      <c r="AI1018" s="8"/>
      <c r="AJ1018" s="8"/>
      <c r="AK1018" s="8">
        <v>3</v>
      </c>
      <c r="AL1018" s="8">
        <v>3</v>
      </c>
      <c r="AM1018" s="8"/>
      <c r="AN1018" s="8">
        <v>327</v>
      </c>
      <c r="AO1018" s="8">
        <v>22</v>
      </c>
      <c r="AP1018" s="8" t="s">
        <v>56</v>
      </c>
      <c r="AQ1018" s="8" t="s">
        <v>57</v>
      </c>
      <c r="AR1018" s="8">
        <v>8.25</v>
      </c>
      <c r="AS1018" s="8" t="s">
        <v>56</v>
      </c>
      <c r="AT1018" s="8" t="s">
        <v>56</v>
      </c>
      <c r="AU1018" s="8">
        <v>1069</v>
      </c>
      <c r="AV1018">
        <v>16</v>
      </c>
      <c r="AW1018" t="s">
        <v>56</v>
      </c>
      <c r="AX1018">
        <v>7.8</v>
      </c>
      <c r="AY1018" t="s">
        <v>56</v>
      </c>
      <c r="AZ1018" t="s">
        <v>56</v>
      </c>
      <c r="BA1018" s="8"/>
      <c r="BB1018" s="8">
        <f>LOG(AU1018)</f>
        <v>3.0289777052087778</v>
      </c>
      <c r="BC1018" s="8">
        <v>20</v>
      </c>
      <c r="BD1018" s="8" t="s">
        <v>56</v>
      </c>
      <c r="BE1018" s="8" t="s">
        <v>56</v>
      </c>
      <c r="BF1018" s="8">
        <v>22</v>
      </c>
      <c r="BG1018" s="8" t="s">
        <v>56</v>
      </c>
      <c r="BH1018" s="8" t="s">
        <v>56</v>
      </c>
      <c r="BI1018" s="8">
        <v>742</v>
      </c>
      <c r="BJ1018" s="8">
        <v>2</v>
      </c>
      <c r="BK1018" s="8" t="s">
        <v>56</v>
      </c>
      <c r="BL1018" s="8" t="s">
        <v>933</v>
      </c>
      <c r="BM1018" s="8" t="s">
        <v>473</v>
      </c>
      <c r="BN1018" s="8" t="s">
        <v>81</v>
      </c>
      <c r="BO1018" s="8" t="s">
        <v>82</v>
      </c>
      <c r="BP1018" s="8" t="s">
        <v>190</v>
      </c>
      <c r="BQ1018" s="8" t="s">
        <v>190</v>
      </c>
      <c r="BR1018" s="8" t="s">
        <v>84</v>
      </c>
      <c r="BS1018" s="8"/>
      <c r="BT1018" s="8">
        <v>97.55</v>
      </c>
      <c r="BU1018" s="8">
        <v>97.55</v>
      </c>
      <c r="BV1018" s="8">
        <v>1.85</v>
      </c>
      <c r="BW1018" s="8">
        <f>BV1018*SQRT(AK1018)</f>
        <v>3.2042939940024229</v>
      </c>
      <c r="BX1018" s="8">
        <v>98.98</v>
      </c>
      <c r="BY1018" s="8">
        <v>98.98</v>
      </c>
      <c r="BZ1018" s="8">
        <v>0.62</v>
      </c>
      <c r="CA1018" s="8">
        <f>BZ1018*SQRT(AL1018)</f>
        <v>1.0738715006927038</v>
      </c>
      <c r="CB1018" s="8">
        <v>1</v>
      </c>
      <c r="CC1018" s="8">
        <v>1</v>
      </c>
      <c r="CD1018" s="8">
        <v>1.4999999999999999E-2</v>
      </c>
      <c r="CE1018" s="8">
        <v>4.0000000000000002E-4</v>
      </c>
      <c r="CF1018" s="8" t="s">
        <v>1134</v>
      </c>
    </row>
    <row r="1019" spans="1:84" s="11" customFormat="1" hidden="1" x14ac:dyDescent="0.2">
      <c r="A1019" s="8"/>
      <c r="B1019" t="str">
        <f>ROW()-1&amp;"_AltersInvert"</f>
        <v>1018_AltersInvert</v>
      </c>
      <c r="C1019" t="str">
        <f>D1019&amp;"_"&amp;
SUBSTITUTE(TRIM(V1019)," ","_")&amp;"_"&amp;
TRIM(AC1019)&amp;"_"&amp;
"CO2"&amp;TEXT(AN1019,"0.00")&amp;"_"&amp;
"pH"&amp;TEXT(AR1019,"0.00")&amp;"_"&amp;
"T"&amp;TEXT(BC1019,"0.##")</f>
        <v>201_Haliotis_coccoradiata_EMBRYO_CO2327.00_pH8.25_T20.</v>
      </c>
      <c r="D1019" s="8">
        <v>201</v>
      </c>
      <c r="E1019" s="8"/>
      <c r="F1019" s="8"/>
      <c r="G1019" s="8" t="s">
        <v>43</v>
      </c>
      <c r="H1019" s="8" t="s">
        <v>950</v>
      </c>
      <c r="I1019" s="8"/>
      <c r="J1019" s="8">
        <v>2010</v>
      </c>
      <c r="K1019" s="8"/>
      <c r="L1019" s="8"/>
      <c r="M1019" s="8" t="s">
        <v>67</v>
      </c>
      <c r="N1019" s="8"/>
      <c r="O1019" s="8"/>
      <c r="P1019" t="s">
        <v>1135</v>
      </c>
      <c r="Q1019" s="8"/>
      <c r="R1019" s="8" t="s">
        <v>1127</v>
      </c>
      <c r="S1019" t="s">
        <v>1128</v>
      </c>
      <c r="T1019" s="8" t="s">
        <v>68</v>
      </c>
      <c r="U1019" s="8" t="s">
        <v>669</v>
      </c>
      <c r="V1019" s="8" t="s">
        <v>670</v>
      </c>
      <c r="W1019" s="8" t="str">
        <f>IF(ISNUMBER(MATCH(V413,{"Doryteuthis pealeii","Loligo vulgaris","Leptuca thayeri","Stylocheilus striatus","Ophryotrocha labronica"},0)),"N","Y")</f>
        <v>Y</v>
      </c>
      <c r="X1019" s="8"/>
      <c r="Y1019" s="8"/>
      <c r="Z1019" s="8" t="s">
        <v>177</v>
      </c>
      <c r="AA1019" s="8" t="s">
        <v>177</v>
      </c>
      <c r="AB1019" s="8" t="s">
        <v>71</v>
      </c>
      <c r="AC1019" s="8" t="s">
        <v>195</v>
      </c>
      <c r="AD1019" s="8" t="s">
        <v>52</v>
      </c>
      <c r="AE1019" s="8" t="s">
        <v>53</v>
      </c>
      <c r="AF1019" s="8" t="s">
        <v>52</v>
      </c>
      <c r="AG1019" s="8" t="s">
        <v>52</v>
      </c>
      <c r="AH1019" s="8" t="s">
        <v>64</v>
      </c>
      <c r="AI1019" s="8"/>
      <c r="AJ1019" s="8"/>
      <c r="AK1019" s="8">
        <v>3</v>
      </c>
      <c r="AL1019" s="8">
        <v>3</v>
      </c>
      <c r="AM1019" s="8"/>
      <c r="AN1019" s="8">
        <v>327</v>
      </c>
      <c r="AO1019" s="8">
        <v>22</v>
      </c>
      <c r="AP1019" s="8" t="s">
        <v>56</v>
      </c>
      <c r="AQ1019" s="8" t="s">
        <v>57</v>
      </c>
      <c r="AR1019" s="8">
        <v>8.25</v>
      </c>
      <c r="AS1019" s="8" t="s">
        <v>56</v>
      </c>
      <c r="AT1019" s="8" t="s">
        <v>56</v>
      </c>
      <c r="AU1019" s="8">
        <v>1762</v>
      </c>
      <c r="AV1019">
        <v>26</v>
      </c>
      <c r="AW1019" t="s">
        <v>56</v>
      </c>
      <c r="AX1019">
        <v>7.6</v>
      </c>
      <c r="AY1019" t="s">
        <v>56</v>
      </c>
      <c r="AZ1019" t="s">
        <v>56</v>
      </c>
      <c r="BA1019" s="8"/>
      <c r="BB1019" s="8">
        <f>LOG(AU1019)</f>
        <v>3.246005904076029</v>
      </c>
      <c r="BC1019" s="8">
        <v>20</v>
      </c>
      <c r="BD1019" s="8" t="s">
        <v>56</v>
      </c>
      <c r="BE1019" s="8" t="s">
        <v>56</v>
      </c>
      <c r="BF1019" s="8">
        <v>22</v>
      </c>
      <c r="BG1019" s="8" t="s">
        <v>56</v>
      </c>
      <c r="BH1019" s="8" t="s">
        <v>56</v>
      </c>
      <c r="BI1019" s="8">
        <v>1435</v>
      </c>
      <c r="BJ1019" s="8">
        <v>2</v>
      </c>
      <c r="BK1019" s="8" t="s">
        <v>56</v>
      </c>
      <c r="BL1019" s="8" t="s">
        <v>933</v>
      </c>
      <c r="BM1019" s="8" t="s">
        <v>473</v>
      </c>
      <c r="BN1019" s="8" t="s">
        <v>81</v>
      </c>
      <c r="BO1019" s="8" t="s">
        <v>82</v>
      </c>
      <c r="BP1019" s="8" t="s">
        <v>190</v>
      </c>
      <c r="BQ1019" s="8" t="s">
        <v>190</v>
      </c>
      <c r="BR1019" s="8" t="s">
        <v>84</v>
      </c>
      <c r="BS1019" s="8"/>
      <c r="BT1019" s="8">
        <v>97.55</v>
      </c>
      <c r="BU1019" s="8">
        <v>97.55</v>
      </c>
      <c r="BV1019" s="8">
        <v>1.85</v>
      </c>
      <c r="BW1019" s="8">
        <f>BV1019*SQRT(AK1019)</f>
        <v>3.2042939940024229</v>
      </c>
      <c r="BX1019" s="8">
        <v>99.07</v>
      </c>
      <c r="BY1019" s="8">
        <v>99.07</v>
      </c>
      <c r="BZ1019" s="8">
        <v>1.23</v>
      </c>
      <c r="CA1019" s="8">
        <f>BZ1019*SQRT(AL1019)</f>
        <v>2.1304224933097191</v>
      </c>
      <c r="CB1019" s="8">
        <v>1</v>
      </c>
      <c r="CC1019" s="8">
        <v>1</v>
      </c>
      <c r="CD1019" s="8">
        <v>1.4999999999999999E-2</v>
      </c>
      <c r="CE1019" s="8">
        <v>5.0000000000000001E-4</v>
      </c>
      <c r="CF1019" s="8" t="s">
        <v>1134</v>
      </c>
    </row>
    <row r="1020" spans="1:84" hidden="1" x14ac:dyDescent="0.2">
      <c r="A1020" s="8"/>
      <c r="B1020" t="str">
        <f>ROW()-1&amp;"_AltersInvert"</f>
        <v>1019_AltersInvert</v>
      </c>
      <c r="C1020" t="str">
        <f>D1020&amp;"_"&amp;
SUBSTITUTE(TRIM(V1020)," ","_")&amp;"_"&amp;
TRIM(AC1020)&amp;"_"&amp;
"CO2"&amp;TEXT(AN1020,"0.00")&amp;"_"&amp;
"pH"&amp;TEXT(AR1020,"0.00")&amp;"_"&amp;
"T"&amp;TEXT(BC1020,"0.##")</f>
        <v>201_Haliotis_coccoradiata_EMBRYO_CO2327.00_pH8.25_T20.</v>
      </c>
      <c r="D1020" s="8">
        <v>201</v>
      </c>
      <c r="E1020" s="8"/>
      <c r="F1020" s="8"/>
      <c r="G1020" s="8" t="s">
        <v>43</v>
      </c>
      <c r="H1020" s="8" t="s">
        <v>950</v>
      </c>
      <c r="I1020" s="8"/>
      <c r="J1020" s="8">
        <v>2010</v>
      </c>
      <c r="K1020" s="8"/>
      <c r="L1020" s="8"/>
      <c r="M1020" s="8" t="s">
        <v>67</v>
      </c>
      <c r="N1020" s="8"/>
      <c r="O1020" s="8"/>
      <c r="P1020" t="s">
        <v>1135</v>
      </c>
      <c r="Q1020" s="8"/>
      <c r="R1020" s="8" t="s">
        <v>1127</v>
      </c>
      <c r="S1020" t="s">
        <v>1128</v>
      </c>
      <c r="T1020" s="8" t="s">
        <v>68</v>
      </c>
      <c r="U1020" s="8" t="s">
        <v>669</v>
      </c>
      <c r="V1020" s="8" t="s">
        <v>670</v>
      </c>
      <c r="W1020" s="8" t="str">
        <f>IF(ISNUMBER(MATCH(V414,{"Doryteuthis pealeii","Loligo vulgaris","Leptuca thayeri","Stylocheilus striatus","Ophryotrocha labronica"},0)),"N","Y")</f>
        <v>Y</v>
      </c>
      <c r="X1020" s="8"/>
      <c r="Y1020" s="8"/>
      <c r="Z1020" s="8" t="s">
        <v>177</v>
      </c>
      <c r="AA1020" s="8" t="s">
        <v>177</v>
      </c>
      <c r="AB1020" s="8" t="s">
        <v>71</v>
      </c>
      <c r="AC1020" s="8" t="s">
        <v>195</v>
      </c>
      <c r="AD1020" s="8" t="s">
        <v>52</v>
      </c>
      <c r="AE1020" s="8" t="s">
        <v>53</v>
      </c>
      <c r="AF1020" s="8" t="s">
        <v>52</v>
      </c>
      <c r="AG1020" s="8" t="s">
        <v>52</v>
      </c>
      <c r="AH1020" s="8" t="s">
        <v>64</v>
      </c>
      <c r="AI1020" s="8"/>
      <c r="AJ1020" s="8"/>
      <c r="AK1020" s="8">
        <v>3</v>
      </c>
      <c r="AL1020" s="8">
        <v>3</v>
      </c>
      <c r="AM1020" s="8"/>
      <c r="AN1020" s="8">
        <v>327</v>
      </c>
      <c r="AO1020" s="8">
        <v>22</v>
      </c>
      <c r="AP1020" s="8" t="s">
        <v>56</v>
      </c>
      <c r="AQ1020" s="8" t="s">
        <v>57</v>
      </c>
      <c r="AR1020" s="8">
        <v>8.25</v>
      </c>
      <c r="AS1020" s="8" t="s">
        <v>56</v>
      </c>
      <c r="AT1020" s="8" t="s">
        <v>56</v>
      </c>
      <c r="AU1020" s="8">
        <v>827</v>
      </c>
      <c r="AV1020">
        <v>12</v>
      </c>
      <c r="AW1020" t="s">
        <v>56</v>
      </c>
      <c r="AX1020">
        <v>7.9</v>
      </c>
      <c r="AY1020" t="s">
        <v>56</v>
      </c>
      <c r="AZ1020" t="s">
        <v>56</v>
      </c>
      <c r="BA1020" s="8"/>
      <c r="BB1020" s="8">
        <f>LOG(AU1020)</f>
        <v>2.9175055095525466</v>
      </c>
      <c r="BC1020" s="8">
        <v>20</v>
      </c>
      <c r="BD1020" s="8" t="s">
        <v>56</v>
      </c>
      <c r="BE1020" s="8" t="s">
        <v>56</v>
      </c>
      <c r="BF1020" s="8">
        <v>22</v>
      </c>
      <c r="BG1020" s="8" t="s">
        <v>56</v>
      </c>
      <c r="BH1020" s="8" t="s">
        <v>56</v>
      </c>
      <c r="BI1020" s="8">
        <v>500</v>
      </c>
      <c r="BJ1020" s="8">
        <v>2</v>
      </c>
      <c r="BK1020" s="8" t="s">
        <v>56</v>
      </c>
      <c r="BL1020" s="8" t="s">
        <v>933</v>
      </c>
      <c r="BM1020" s="8" t="s">
        <v>473</v>
      </c>
      <c r="BN1020" s="8" t="s">
        <v>81</v>
      </c>
      <c r="BO1020" s="8" t="s">
        <v>82</v>
      </c>
      <c r="BP1020" s="8" t="s">
        <v>190</v>
      </c>
      <c r="BQ1020" s="8" t="s">
        <v>190</v>
      </c>
      <c r="BR1020" s="8" t="s">
        <v>84</v>
      </c>
      <c r="BS1020" s="8"/>
      <c r="BT1020" s="8">
        <v>97.55</v>
      </c>
      <c r="BU1020" s="8">
        <v>97.55</v>
      </c>
      <c r="BV1020" s="8">
        <v>1.85</v>
      </c>
      <c r="BW1020" s="8">
        <f>BV1020*SQRT(AK1020)</f>
        <v>3.2042939940024229</v>
      </c>
      <c r="BX1020" s="8">
        <v>99.51</v>
      </c>
      <c r="BY1020" s="8">
        <v>99.51</v>
      </c>
      <c r="BZ1020" s="8">
        <v>0.59</v>
      </c>
      <c r="CA1020" s="8">
        <f>BZ1020*SQRT(AL1020)</f>
        <v>1.0219099764656374</v>
      </c>
      <c r="CB1020" s="8">
        <v>1</v>
      </c>
      <c r="CC1020" s="8">
        <v>1</v>
      </c>
      <c r="CD1020" s="8">
        <v>0.02</v>
      </c>
      <c r="CE1020" s="8">
        <v>4.0000000000000002E-4</v>
      </c>
      <c r="CF1020" s="8" t="s">
        <v>1134</v>
      </c>
    </row>
    <row r="1021" spans="1:84" hidden="1" x14ac:dyDescent="0.2">
      <c r="D1021">
        <v>65</v>
      </c>
      <c r="G1021" t="s">
        <v>43</v>
      </c>
      <c r="H1021" t="s">
        <v>609</v>
      </c>
      <c r="J1021">
        <v>2013</v>
      </c>
      <c r="M1021" t="s">
        <v>67</v>
      </c>
      <c r="T1021" t="s">
        <v>373</v>
      </c>
      <c r="U1021" t="s">
        <v>610</v>
      </c>
      <c r="V1021" t="s">
        <v>611</v>
      </c>
      <c r="Z1021" t="s">
        <v>106</v>
      </c>
      <c r="AA1021" t="s">
        <v>107</v>
      </c>
      <c r="AB1021" t="s">
        <v>50</v>
      </c>
      <c r="AC1021" t="s">
        <v>51</v>
      </c>
      <c r="AD1021" t="s">
        <v>52</v>
      </c>
      <c r="AE1021" t="s">
        <v>53</v>
      </c>
      <c r="AF1021" t="s">
        <v>52</v>
      </c>
      <c r="AG1021" t="s">
        <v>52</v>
      </c>
      <c r="AH1021" t="s">
        <v>64</v>
      </c>
      <c r="AK1021">
        <v>7</v>
      </c>
      <c r="AL1021">
        <v>7</v>
      </c>
      <c r="AN1021">
        <v>362</v>
      </c>
      <c r="AO1021" t="s">
        <v>56</v>
      </c>
      <c r="AP1021" t="s">
        <v>56</v>
      </c>
      <c r="AQ1021" t="s">
        <v>118</v>
      </c>
      <c r="AR1021">
        <v>8.06</v>
      </c>
      <c r="AS1021">
        <v>0.01</v>
      </c>
      <c r="AT1021" t="s">
        <v>56</v>
      </c>
      <c r="AU1021">
        <v>733</v>
      </c>
      <c r="AV1021" t="s">
        <v>56</v>
      </c>
      <c r="AW1021" t="s">
        <v>56</v>
      </c>
      <c r="AX1021">
        <v>7.79</v>
      </c>
      <c r="AY1021">
        <v>0.01</v>
      </c>
      <c r="AZ1021" t="s">
        <v>56</v>
      </c>
      <c r="BB1021">
        <f>LOG(AU1021)</f>
        <v>2.8651039746411278</v>
      </c>
      <c r="BC1021">
        <v>21.3</v>
      </c>
      <c r="BD1021">
        <v>0.1</v>
      </c>
      <c r="BE1021" t="s">
        <v>56</v>
      </c>
      <c r="BF1021">
        <v>23.7</v>
      </c>
      <c r="BG1021">
        <v>0.1</v>
      </c>
      <c r="BH1021" t="s">
        <v>56</v>
      </c>
      <c r="BI1021">
        <v>371</v>
      </c>
      <c r="BJ1021">
        <v>2.4</v>
      </c>
      <c r="BK1021" t="s">
        <v>56</v>
      </c>
      <c r="BL1021" t="s">
        <v>612</v>
      </c>
      <c r="BM1021" t="s">
        <v>262</v>
      </c>
      <c r="BN1021" t="s">
        <v>81</v>
      </c>
      <c r="BO1021" t="s">
        <v>82</v>
      </c>
      <c r="BP1021" t="s">
        <v>92</v>
      </c>
      <c r="BR1021" t="s">
        <v>63</v>
      </c>
      <c r="BT1021">
        <v>33.24</v>
      </c>
      <c r="BU1021">
        <v>33.24</v>
      </c>
      <c r="BV1021">
        <v>5.77</v>
      </c>
      <c r="BW1021">
        <f>BV1021*SQRT(AK1021)</f>
        <v>15.265985064842686</v>
      </c>
      <c r="BX1021">
        <v>20.02</v>
      </c>
      <c r="BY1021">
        <v>20.02</v>
      </c>
      <c r="BZ1021">
        <v>3</v>
      </c>
      <c r="CA1021">
        <f>BZ1021*SQRT(AL1021)</f>
        <v>7.9372539331937721</v>
      </c>
      <c r="CB1021">
        <v>12</v>
      </c>
      <c r="CC1021">
        <v>3</v>
      </c>
      <c r="CD1021">
        <v>-0.50700000000000001</v>
      </c>
      <c r="CE1021">
        <v>5.2600000000000001E-2</v>
      </c>
    </row>
    <row r="1022" spans="1:84" hidden="1" x14ac:dyDescent="0.2">
      <c r="D1022">
        <v>65</v>
      </c>
      <c r="G1022" t="s">
        <v>43</v>
      </c>
      <c r="H1022" t="s">
        <v>609</v>
      </c>
      <c r="J1022">
        <v>2013</v>
      </c>
      <c r="M1022" t="s">
        <v>67</v>
      </c>
      <c r="T1022" t="s">
        <v>373</v>
      </c>
      <c r="U1022" t="s">
        <v>610</v>
      </c>
      <c r="V1022" t="s">
        <v>611</v>
      </c>
      <c r="Z1022" t="s">
        <v>106</v>
      </c>
      <c r="AA1022" t="s">
        <v>107</v>
      </c>
      <c r="AB1022" t="s">
        <v>50</v>
      </c>
      <c r="AC1022" t="s">
        <v>51</v>
      </c>
      <c r="AD1022" t="s">
        <v>52</v>
      </c>
      <c r="AE1022" t="s">
        <v>53</v>
      </c>
      <c r="AF1022" t="s">
        <v>52</v>
      </c>
      <c r="AG1022" t="s">
        <v>52</v>
      </c>
      <c r="AH1022" t="s">
        <v>64</v>
      </c>
      <c r="AK1022">
        <v>7</v>
      </c>
      <c r="AL1022">
        <v>7</v>
      </c>
      <c r="AN1022">
        <v>362</v>
      </c>
      <c r="AO1022" t="s">
        <v>56</v>
      </c>
      <c r="AP1022" t="s">
        <v>56</v>
      </c>
      <c r="AQ1022" t="s">
        <v>118</v>
      </c>
      <c r="AR1022">
        <v>8.06</v>
      </c>
      <c r="AS1022">
        <v>0.01</v>
      </c>
      <c r="AT1022" t="s">
        <v>56</v>
      </c>
      <c r="AU1022">
        <v>1227</v>
      </c>
      <c r="AV1022" t="s">
        <v>56</v>
      </c>
      <c r="AW1022" t="s">
        <v>56</v>
      </c>
      <c r="AX1022">
        <v>7.59</v>
      </c>
      <c r="AY1022">
        <v>0.01</v>
      </c>
      <c r="AZ1022" t="s">
        <v>56</v>
      </c>
      <c r="BB1022">
        <f>LOG(AU1022)</f>
        <v>3.088844562727004</v>
      </c>
      <c r="BC1022">
        <v>21.3</v>
      </c>
      <c r="BD1022">
        <v>0.1</v>
      </c>
      <c r="BE1022" t="s">
        <v>56</v>
      </c>
      <c r="BF1022">
        <v>23.5</v>
      </c>
      <c r="BG1022">
        <v>0</v>
      </c>
      <c r="BH1022" t="s">
        <v>56</v>
      </c>
      <c r="BI1022">
        <v>865</v>
      </c>
      <c r="BJ1022">
        <v>2.2000000000000002</v>
      </c>
      <c r="BK1022" t="s">
        <v>56</v>
      </c>
      <c r="BL1022" t="s">
        <v>612</v>
      </c>
      <c r="BM1022" t="s">
        <v>262</v>
      </c>
      <c r="BN1022" t="s">
        <v>81</v>
      </c>
      <c r="BO1022" t="s">
        <v>82</v>
      </c>
      <c r="BP1022" t="s">
        <v>92</v>
      </c>
      <c r="BR1022" t="s">
        <v>63</v>
      </c>
      <c r="BT1022">
        <v>33.24</v>
      </c>
      <c r="BU1022">
        <v>33.24</v>
      </c>
      <c r="BV1022">
        <v>5.77</v>
      </c>
      <c r="BW1022">
        <f>BV1022*SQRT(AK1022)</f>
        <v>15.265985064842686</v>
      </c>
      <c r="BX1022">
        <v>21.44</v>
      </c>
      <c r="BY1022">
        <v>21.44</v>
      </c>
      <c r="BZ1022">
        <v>2.77</v>
      </c>
      <c r="CA1022">
        <f>BZ1022*SQRT(AL1022)</f>
        <v>7.3287311316489161</v>
      </c>
      <c r="CB1022">
        <v>12</v>
      </c>
      <c r="CC1022">
        <v>3</v>
      </c>
      <c r="CD1022">
        <v>-0.438</v>
      </c>
      <c r="CE1022">
        <v>4.6800000000000001E-2</v>
      </c>
    </row>
    <row r="1023" spans="1:84" hidden="1" x14ac:dyDescent="0.2">
      <c r="D1023">
        <v>65</v>
      </c>
      <c r="G1023" t="s">
        <v>43</v>
      </c>
      <c r="H1023" t="s">
        <v>609</v>
      </c>
      <c r="J1023">
        <v>2013</v>
      </c>
      <c r="M1023" t="s">
        <v>67</v>
      </c>
      <c r="T1023" t="s">
        <v>373</v>
      </c>
      <c r="U1023" t="s">
        <v>610</v>
      </c>
      <c r="V1023" t="s">
        <v>611</v>
      </c>
      <c r="Z1023" t="s">
        <v>106</v>
      </c>
      <c r="AA1023" t="s">
        <v>107</v>
      </c>
      <c r="AB1023" t="s">
        <v>50</v>
      </c>
      <c r="AC1023" t="s">
        <v>51</v>
      </c>
      <c r="AD1023" t="s">
        <v>52</v>
      </c>
      <c r="AE1023" t="s">
        <v>53</v>
      </c>
      <c r="AF1023" t="s">
        <v>52</v>
      </c>
      <c r="AG1023" t="s">
        <v>54</v>
      </c>
      <c r="AH1023" t="s">
        <v>55</v>
      </c>
      <c r="AK1023">
        <v>7</v>
      </c>
      <c r="AL1023">
        <v>7</v>
      </c>
      <c r="AN1023">
        <v>362</v>
      </c>
      <c r="AO1023" t="s">
        <v>56</v>
      </c>
      <c r="AP1023" t="s">
        <v>56</v>
      </c>
      <c r="AQ1023" t="s">
        <v>118</v>
      </c>
      <c r="AR1023">
        <v>8.06</v>
      </c>
      <c r="AS1023">
        <v>0.01</v>
      </c>
      <c r="AT1023" t="s">
        <v>56</v>
      </c>
      <c r="AU1023">
        <v>712</v>
      </c>
      <c r="AV1023" t="s">
        <v>56</v>
      </c>
      <c r="AW1023" t="s">
        <v>56</v>
      </c>
      <c r="AX1023">
        <v>7.81</v>
      </c>
      <c r="AY1023">
        <v>0.01</v>
      </c>
      <c r="AZ1023" t="s">
        <v>56</v>
      </c>
      <c r="BB1023">
        <f>LOG(AU1023)</f>
        <v>2.8524799936368566</v>
      </c>
      <c r="BC1023">
        <v>21.3</v>
      </c>
      <c r="BD1023">
        <v>0.1</v>
      </c>
      <c r="BE1023" t="s">
        <v>56</v>
      </c>
      <c r="BF1023">
        <v>21.2</v>
      </c>
      <c r="BG1023">
        <v>0.1</v>
      </c>
      <c r="BH1023" t="s">
        <v>56</v>
      </c>
      <c r="BI1023">
        <v>350</v>
      </c>
      <c r="BJ1023">
        <v>0</v>
      </c>
      <c r="BK1023" t="s">
        <v>56</v>
      </c>
      <c r="BL1023" t="s">
        <v>612</v>
      </c>
      <c r="BM1023" t="s">
        <v>262</v>
      </c>
      <c r="BN1023" t="s">
        <v>81</v>
      </c>
      <c r="BO1023" t="s">
        <v>82</v>
      </c>
      <c r="BP1023" t="s">
        <v>92</v>
      </c>
      <c r="BR1023" t="s">
        <v>63</v>
      </c>
      <c r="BT1023">
        <v>33.24</v>
      </c>
      <c r="BU1023">
        <v>33.24</v>
      </c>
      <c r="BV1023">
        <v>5.77</v>
      </c>
      <c r="BW1023">
        <f>BV1023*SQRT(AK1023)</f>
        <v>15.265985064842686</v>
      </c>
      <c r="BX1023">
        <v>24.04</v>
      </c>
      <c r="BY1023">
        <v>24.04</v>
      </c>
      <c r="BZ1023">
        <v>3.93</v>
      </c>
      <c r="CA1023">
        <f>BZ1023*SQRT(AL1023)</f>
        <v>10.397802652483842</v>
      </c>
      <c r="CB1023">
        <v>12</v>
      </c>
      <c r="CC1023">
        <v>3</v>
      </c>
      <c r="CD1023">
        <v>-0.32400000000000001</v>
      </c>
      <c r="CE1023">
        <v>5.6899999999999999E-2</v>
      </c>
    </row>
    <row r="1024" spans="1:84" hidden="1" x14ac:dyDescent="0.2">
      <c r="D1024">
        <v>65</v>
      </c>
      <c r="G1024" t="s">
        <v>43</v>
      </c>
      <c r="H1024" t="s">
        <v>609</v>
      </c>
      <c r="J1024">
        <v>2013</v>
      </c>
      <c r="M1024" t="s">
        <v>67</v>
      </c>
      <c r="T1024" t="s">
        <v>373</v>
      </c>
      <c r="U1024" t="s">
        <v>610</v>
      </c>
      <c r="V1024" t="s">
        <v>611</v>
      </c>
      <c r="Z1024" t="s">
        <v>106</v>
      </c>
      <c r="AA1024" t="s">
        <v>107</v>
      </c>
      <c r="AB1024" t="s">
        <v>50</v>
      </c>
      <c r="AC1024" t="s">
        <v>51</v>
      </c>
      <c r="AD1024" t="s">
        <v>52</v>
      </c>
      <c r="AE1024" t="s">
        <v>53</v>
      </c>
      <c r="AF1024" t="s">
        <v>54</v>
      </c>
      <c r="AG1024" t="s">
        <v>52</v>
      </c>
      <c r="AH1024" t="s">
        <v>65</v>
      </c>
      <c r="AK1024">
        <v>7</v>
      </c>
      <c r="AL1024">
        <v>7</v>
      </c>
      <c r="AN1024">
        <v>362</v>
      </c>
      <c r="AO1024" t="s">
        <v>56</v>
      </c>
      <c r="AP1024" t="s">
        <v>56</v>
      </c>
      <c r="AQ1024" t="s">
        <v>118</v>
      </c>
      <c r="AR1024">
        <v>8.06</v>
      </c>
      <c r="AS1024">
        <v>0.01</v>
      </c>
      <c r="AT1024" t="s">
        <v>56</v>
      </c>
      <c r="AU1024">
        <v>360</v>
      </c>
      <c r="AV1024" t="s">
        <v>56</v>
      </c>
      <c r="AW1024" t="s">
        <v>56</v>
      </c>
      <c r="AX1024">
        <v>8.06</v>
      </c>
      <c r="AY1024">
        <v>0.01</v>
      </c>
      <c r="AZ1024" t="s">
        <v>56</v>
      </c>
      <c r="BB1024">
        <f>LOG(AU1024)</f>
        <v>2.5563025007672873</v>
      </c>
      <c r="BC1024">
        <v>21.3</v>
      </c>
      <c r="BD1024">
        <v>0.1</v>
      </c>
      <c r="BE1024" t="s">
        <v>56</v>
      </c>
      <c r="BF1024">
        <v>23.4</v>
      </c>
      <c r="BG1024">
        <v>0.1</v>
      </c>
      <c r="BH1024" t="s">
        <v>56</v>
      </c>
      <c r="BI1024">
        <v>-2</v>
      </c>
      <c r="BJ1024">
        <v>2.2000000000000002</v>
      </c>
      <c r="BK1024" t="s">
        <v>56</v>
      </c>
      <c r="BL1024" t="s">
        <v>612</v>
      </c>
      <c r="BM1024" t="s">
        <v>262</v>
      </c>
      <c r="BN1024" t="s">
        <v>81</v>
      </c>
      <c r="BO1024" t="s">
        <v>82</v>
      </c>
      <c r="BP1024" t="s">
        <v>92</v>
      </c>
      <c r="BR1024" t="s">
        <v>63</v>
      </c>
      <c r="BT1024">
        <v>33.24</v>
      </c>
      <c r="BU1024">
        <v>33.24</v>
      </c>
      <c r="BV1024">
        <v>5.77</v>
      </c>
      <c r="BW1024">
        <f>BV1024*SQRT(AK1024)</f>
        <v>15.265985064842686</v>
      </c>
      <c r="BX1024">
        <v>29.68</v>
      </c>
      <c r="BY1024">
        <v>29.68</v>
      </c>
      <c r="BZ1024">
        <v>4.62</v>
      </c>
      <c r="CA1024">
        <f>BZ1024*SQRT(AL1024)</f>
        <v>12.22337105711841</v>
      </c>
      <c r="CB1024">
        <v>12</v>
      </c>
      <c r="CC1024">
        <v>3</v>
      </c>
      <c r="CD1024">
        <v>-0.113</v>
      </c>
      <c r="CE1024">
        <v>5.4399999999999997E-2</v>
      </c>
    </row>
    <row r="1025" spans="1:84" hidden="1" x14ac:dyDescent="0.2">
      <c r="D1025">
        <v>65</v>
      </c>
      <c r="G1025" t="s">
        <v>43</v>
      </c>
      <c r="H1025" t="s">
        <v>609</v>
      </c>
      <c r="J1025">
        <v>2013</v>
      </c>
      <c r="M1025" t="s">
        <v>67</v>
      </c>
      <c r="T1025" t="s">
        <v>373</v>
      </c>
      <c r="U1025" t="s">
        <v>610</v>
      </c>
      <c r="V1025" t="s">
        <v>611</v>
      </c>
      <c r="Z1025" t="s">
        <v>106</v>
      </c>
      <c r="AA1025" t="s">
        <v>107</v>
      </c>
      <c r="AB1025" t="s">
        <v>50</v>
      </c>
      <c r="AC1025" t="s">
        <v>51</v>
      </c>
      <c r="AD1025" t="s">
        <v>52</v>
      </c>
      <c r="AE1025" t="s">
        <v>53</v>
      </c>
      <c r="AF1025" t="s">
        <v>52</v>
      </c>
      <c r="AG1025" t="s">
        <v>54</v>
      </c>
      <c r="AH1025" t="s">
        <v>55</v>
      </c>
      <c r="AK1025">
        <v>7</v>
      </c>
      <c r="AL1025">
        <v>7</v>
      </c>
      <c r="AN1025">
        <v>362</v>
      </c>
      <c r="AO1025" t="s">
        <v>56</v>
      </c>
      <c r="AP1025" t="s">
        <v>56</v>
      </c>
      <c r="AQ1025" t="s">
        <v>118</v>
      </c>
      <c r="AR1025">
        <v>8.06</v>
      </c>
      <c r="AS1025">
        <v>0.01</v>
      </c>
      <c r="AT1025" t="s">
        <v>56</v>
      </c>
      <c r="AU1025">
        <v>1189</v>
      </c>
      <c r="AV1025" t="s">
        <v>56</v>
      </c>
      <c r="AW1025" t="s">
        <v>56</v>
      </c>
      <c r="AX1025">
        <v>7.61</v>
      </c>
      <c r="AY1025">
        <v>0.01</v>
      </c>
      <c r="AZ1025" t="s">
        <v>56</v>
      </c>
      <c r="BB1025">
        <f>LOG(AU1025)</f>
        <v>3.0751818546186915</v>
      </c>
      <c r="BC1025">
        <v>21.3</v>
      </c>
      <c r="BD1025">
        <v>0.1</v>
      </c>
      <c r="BE1025" t="s">
        <v>56</v>
      </c>
      <c r="BF1025">
        <v>21.2</v>
      </c>
      <c r="BG1025">
        <v>0.1</v>
      </c>
      <c r="BH1025" t="s">
        <v>56</v>
      </c>
      <c r="BI1025">
        <v>827</v>
      </c>
      <c r="BJ1025">
        <v>0</v>
      </c>
      <c r="BK1025" t="s">
        <v>56</v>
      </c>
      <c r="BL1025" t="s">
        <v>612</v>
      </c>
      <c r="BM1025" t="s">
        <v>262</v>
      </c>
      <c r="BN1025" t="s">
        <v>81</v>
      </c>
      <c r="BO1025" t="s">
        <v>82</v>
      </c>
      <c r="BP1025" t="s">
        <v>92</v>
      </c>
      <c r="BR1025" t="s">
        <v>63</v>
      </c>
      <c r="BT1025">
        <v>33.24</v>
      </c>
      <c r="BU1025">
        <v>33.24</v>
      </c>
      <c r="BV1025">
        <v>5.77</v>
      </c>
      <c r="BW1025">
        <f>BV1025*SQRT(AK1025)</f>
        <v>15.265985064842686</v>
      </c>
      <c r="BX1025">
        <v>32.619999999999997</v>
      </c>
      <c r="BY1025">
        <v>32.619999999999997</v>
      </c>
      <c r="BZ1025">
        <v>4.38</v>
      </c>
      <c r="CA1025">
        <f>BZ1025*SQRT(AL1025)</f>
        <v>11.588390742462908</v>
      </c>
      <c r="CB1025">
        <v>12</v>
      </c>
      <c r="CC1025">
        <v>3</v>
      </c>
      <c r="CD1025">
        <v>-1.9E-2</v>
      </c>
      <c r="CE1025">
        <v>4.82E-2</v>
      </c>
    </row>
    <row r="1026" spans="1:84" hidden="1" x14ac:dyDescent="0.2">
      <c r="D1026">
        <v>66</v>
      </c>
      <c r="G1026" t="s">
        <v>43</v>
      </c>
      <c r="H1026" t="s">
        <v>613</v>
      </c>
      <c r="J1026">
        <v>2020</v>
      </c>
      <c r="M1026" t="s">
        <v>614</v>
      </c>
      <c r="T1026" t="s">
        <v>68</v>
      </c>
      <c r="U1026" t="s">
        <v>392</v>
      </c>
      <c r="V1026" t="s">
        <v>615</v>
      </c>
      <c r="Z1026" t="s">
        <v>49</v>
      </c>
      <c r="AA1026" t="s">
        <v>49</v>
      </c>
      <c r="AB1026" t="s">
        <v>50</v>
      </c>
      <c r="AC1026" t="s">
        <v>51</v>
      </c>
      <c r="AD1026" t="s">
        <v>52</v>
      </c>
      <c r="AE1026" t="s">
        <v>53</v>
      </c>
      <c r="AF1026" t="s">
        <v>52</v>
      </c>
      <c r="AG1026" t="s">
        <v>52</v>
      </c>
      <c r="AH1026" t="s">
        <v>64</v>
      </c>
      <c r="AK1026">
        <v>5</v>
      </c>
      <c r="AL1026">
        <v>5</v>
      </c>
      <c r="AN1026">
        <v>465</v>
      </c>
      <c r="AO1026">
        <v>14</v>
      </c>
      <c r="AP1026" t="s">
        <v>56</v>
      </c>
      <c r="AQ1026" t="s">
        <v>57</v>
      </c>
      <c r="AR1026">
        <v>8.07</v>
      </c>
      <c r="AS1026">
        <v>0.01</v>
      </c>
      <c r="AT1026" t="s">
        <v>56</v>
      </c>
      <c r="AU1026">
        <v>874</v>
      </c>
      <c r="AV1026">
        <v>28</v>
      </c>
      <c r="AW1026" t="s">
        <v>56</v>
      </c>
      <c r="AX1026">
        <v>7.86</v>
      </c>
      <c r="AY1026">
        <v>0.01</v>
      </c>
      <c r="AZ1026" t="s">
        <v>56</v>
      </c>
      <c r="BB1026">
        <f>LOG(AU1026)</f>
        <v>2.9415114326344032</v>
      </c>
      <c r="BC1026">
        <v>21.1</v>
      </c>
      <c r="BD1026">
        <v>0</v>
      </c>
      <c r="BE1026" t="s">
        <v>56</v>
      </c>
      <c r="BF1026">
        <v>23.8</v>
      </c>
      <c r="BG1026">
        <v>0</v>
      </c>
      <c r="BH1026" t="s">
        <v>56</v>
      </c>
      <c r="BI1026">
        <v>409</v>
      </c>
      <c r="BJ1026">
        <v>2.7</v>
      </c>
      <c r="BK1026" t="s">
        <v>56</v>
      </c>
      <c r="BL1026" t="s">
        <v>616</v>
      </c>
      <c r="BM1026" t="s">
        <v>617</v>
      </c>
      <c r="BN1026" t="s">
        <v>81</v>
      </c>
      <c r="BO1026" t="s">
        <v>618</v>
      </c>
      <c r="BP1026" t="s">
        <v>92</v>
      </c>
      <c r="BR1026" t="s">
        <v>63</v>
      </c>
      <c r="BT1026">
        <v>13.74</v>
      </c>
      <c r="BU1026">
        <v>13.74</v>
      </c>
      <c r="BV1026">
        <v>1.33</v>
      </c>
      <c r="BW1026">
        <f>BV1026*SQRT(AK1026)</f>
        <v>2.9739704100747204</v>
      </c>
      <c r="BX1026">
        <v>7.48</v>
      </c>
      <c r="BY1026">
        <v>7.48</v>
      </c>
      <c r="BZ1026">
        <v>0.82</v>
      </c>
      <c r="CA1026">
        <f>BZ1026*SQRT(AL1026)</f>
        <v>1.8335757415498275</v>
      </c>
      <c r="CB1026">
        <v>56</v>
      </c>
      <c r="CC1026">
        <v>5</v>
      </c>
      <c r="CD1026">
        <v>-0.60799999999999998</v>
      </c>
      <c r="CE1026">
        <v>2.1399999999999999E-2</v>
      </c>
    </row>
    <row r="1027" spans="1:84" hidden="1" x14ac:dyDescent="0.2">
      <c r="D1027">
        <v>66</v>
      </c>
      <c r="G1027" t="s">
        <v>43</v>
      </c>
      <c r="H1027" t="s">
        <v>613</v>
      </c>
      <c r="J1027">
        <v>2020</v>
      </c>
      <c r="M1027" t="s">
        <v>614</v>
      </c>
      <c r="T1027" t="s">
        <v>68</v>
      </c>
      <c r="U1027" t="s">
        <v>392</v>
      </c>
      <c r="V1027" t="s">
        <v>615</v>
      </c>
      <c r="Z1027" t="s">
        <v>49</v>
      </c>
      <c r="AA1027" t="s">
        <v>49</v>
      </c>
      <c r="AB1027" t="s">
        <v>50</v>
      </c>
      <c r="AC1027" t="s">
        <v>51</v>
      </c>
      <c r="AD1027" t="s">
        <v>52</v>
      </c>
      <c r="AE1027" t="s">
        <v>53</v>
      </c>
      <c r="AF1027" t="s">
        <v>52</v>
      </c>
      <c r="AG1027" t="s">
        <v>54</v>
      </c>
      <c r="AH1027" t="s">
        <v>55</v>
      </c>
      <c r="AK1027">
        <v>5</v>
      </c>
      <c r="AL1027">
        <v>5</v>
      </c>
      <c r="AN1027">
        <v>465</v>
      </c>
      <c r="AO1027">
        <v>14</v>
      </c>
      <c r="AP1027" t="s">
        <v>56</v>
      </c>
      <c r="AQ1027" t="s">
        <v>57</v>
      </c>
      <c r="AR1027">
        <v>8.07</v>
      </c>
      <c r="AS1027">
        <v>0.01</v>
      </c>
      <c r="AT1027" t="s">
        <v>56</v>
      </c>
      <c r="AU1027">
        <v>915</v>
      </c>
      <c r="AV1027">
        <v>36</v>
      </c>
      <c r="AW1027" t="s">
        <v>56</v>
      </c>
      <c r="AX1027">
        <v>7.84</v>
      </c>
      <c r="AY1027">
        <v>0.01</v>
      </c>
      <c r="AZ1027" t="s">
        <v>56</v>
      </c>
      <c r="BB1027">
        <f>LOG(AU1027)</f>
        <v>2.9614210940664485</v>
      </c>
      <c r="BC1027">
        <v>21.1</v>
      </c>
      <c r="BD1027">
        <v>0</v>
      </c>
      <c r="BE1027" t="s">
        <v>56</v>
      </c>
      <c r="BF1027">
        <v>21.1</v>
      </c>
      <c r="BG1027">
        <v>0</v>
      </c>
      <c r="BH1027" t="s">
        <v>56</v>
      </c>
      <c r="BI1027">
        <v>450</v>
      </c>
      <c r="BJ1027">
        <v>0</v>
      </c>
      <c r="BK1027" t="s">
        <v>56</v>
      </c>
      <c r="BL1027" t="s">
        <v>616</v>
      </c>
      <c r="BM1027" t="s">
        <v>617</v>
      </c>
      <c r="BN1027" t="s">
        <v>81</v>
      </c>
      <c r="BO1027" t="s">
        <v>618</v>
      </c>
      <c r="BP1027" t="s">
        <v>92</v>
      </c>
      <c r="BR1027" t="s">
        <v>63</v>
      </c>
      <c r="BT1027">
        <v>13.74</v>
      </c>
      <c r="BU1027">
        <v>13.74</v>
      </c>
      <c r="BV1027">
        <v>1.33</v>
      </c>
      <c r="BW1027">
        <f>BV1027*SQRT(AK1027)</f>
        <v>2.9739704100747204</v>
      </c>
      <c r="BX1027">
        <v>10.15</v>
      </c>
      <c r="BY1027">
        <v>10.15</v>
      </c>
      <c r="BZ1027">
        <v>0.61</v>
      </c>
      <c r="CA1027">
        <f>BZ1027*SQRT(AL1027)</f>
        <v>1.3640014662748718</v>
      </c>
      <c r="CB1027">
        <v>56</v>
      </c>
      <c r="CC1027">
        <v>5</v>
      </c>
      <c r="CD1027">
        <v>-0.30299999999999999</v>
      </c>
      <c r="CE1027">
        <v>1.2999999999999999E-2</v>
      </c>
    </row>
    <row r="1028" spans="1:84" hidden="1" x14ac:dyDescent="0.2">
      <c r="D1028">
        <v>66</v>
      </c>
      <c r="G1028" t="s">
        <v>43</v>
      </c>
      <c r="H1028" t="s">
        <v>613</v>
      </c>
      <c r="J1028">
        <v>2020</v>
      </c>
      <c r="M1028" t="s">
        <v>614</v>
      </c>
      <c r="T1028" t="s">
        <v>68</v>
      </c>
      <c r="U1028" t="s">
        <v>392</v>
      </c>
      <c r="V1028" t="s">
        <v>615</v>
      </c>
      <c r="Z1028" t="s">
        <v>49</v>
      </c>
      <c r="AA1028" t="s">
        <v>49</v>
      </c>
      <c r="AB1028" t="s">
        <v>50</v>
      </c>
      <c r="AC1028" t="s">
        <v>51</v>
      </c>
      <c r="AD1028" t="s">
        <v>52</v>
      </c>
      <c r="AE1028" t="s">
        <v>53</v>
      </c>
      <c r="AF1028" t="s">
        <v>52</v>
      </c>
      <c r="AG1028" t="s">
        <v>52</v>
      </c>
      <c r="AH1028" t="s">
        <v>64</v>
      </c>
      <c r="AK1028">
        <v>5</v>
      </c>
      <c r="AL1028">
        <v>5</v>
      </c>
      <c r="AN1028">
        <v>465</v>
      </c>
      <c r="AO1028">
        <v>14</v>
      </c>
      <c r="AP1028" t="s">
        <v>56</v>
      </c>
      <c r="AQ1028" t="s">
        <v>57</v>
      </c>
      <c r="AR1028">
        <v>8.07</v>
      </c>
      <c r="AS1028">
        <v>0.01</v>
      </c>
      <c r="AT1028" t="s">
        <v>56</v>
      </c>
      <c r="AU1028">
        <v>874</v>
      </c>
      <c r="AV1028">
        <v>28</v>
      </c>
      <c r="AW1028" t="s">
        <v>56</v>
      </c>
      <c r="AX1028">
        <v>7.86</v>
      </c>
      <c r="AY1028">
        <v>0.01</v>
      </c>
      <c r="AZ1028" t="s">
        <v>56</v>
      </c>
      <c r="BB1028">
        <f>LOG(AU1028)</f>
        <v>2.9415114326344032</v>
      </c>
      <c r="BC1028">
        <v>21.1</v>
      </c>
      <c r="BD1028">
        <v>0</v>
      </c>
      <c r="BE1028" t="s">
        <v>56</v>
      </c>
      <c r="BF1028">
        <v>23.8</v>
      </c>
      <c r="BG1028">
        <v>0</v>
      </c>
      <c r="BH1028" t="s">
        <v>56</v>
      </c>
      <c r="BI1028">
        <v>409</v>
      </c>
      <c r="BJ1028">
        <v>2.7</v>
      </c>
      <c r="BK1028" t="s">
        <v>56</v>
      </c>
      <c r="BL1028" t="s">
        <v>619</v>
      </c>
      <c r="BM1028" t="s">
        <v>98</v>
      </c>
      <c r="BN1028" t="s">
        <v>81</v>
      </c>
      <c r="BO1028" t="s">
        <v>620</v>
      </c>
      <c r="BP1028" t="s">
        <v>100</v>
      </c>
      <c r="BR1028" t="s">
        <v>63</v>
      </c>
      <c r="BT1028">
        <v>0</v>
      </c>
      <c r="BU1028">
        <v>1.6000000000000001E-3</v>
      </c>
      <c r="BV1028">
        <v>0</v>
      </c>
      <c r="BW1028">
        <f>BV1028*SQRT(AK1028)</f>
        <v>0</v>
      </c>
      <c r="BX1028">
        <v>0</v>
      </c>
      <c r="BY1028">
        <v>1.2999999999999999E-3</v>
      </c>
      <c r="BZ1028">
        <v>0</v>
      </c>
      <c r="CA1028">
        <f>BZ1028*SQRT(AL1028)</f>
        <v>0</v>
      </c>
      <c r="CB1028">
        <v>56</v>
      </c>
      <c r="CC1028">
        <v>5</v>
      </c>
      <c r="CD1028">
        <v>-0.20799999999999999</v>
      </c>
      <c r="CE1028">
        <v>9.7999999999999997E-3</v>
      </c>
    </row>
    <row r="1029" spans="1:84" hidden="1" x14ac:dyDescent="0.2">
      <c r="D1029">
        <v>66</v>
      </c>
      <c r="G1029" t="s">
        <v>43</v>
      </c>
      <c r="H1029" t="s">
        <v>613</v>
      </c>
      <c r="J1029">
        <v>2020</v>
      </c>
      <c r="M1029" t="s">
        <v>614</v>
      </c>
      <c r="T1029" t="s">
        <v>68</v>
      </c>
      <c r="U1029" t="s">
        <v>392</v>
      </c>
      <c r="V1029" t="s">
        <v>615</v>
      </c>
      <c r="Z1029" t="s">
        <v>49</v>
      </c>
      <c r="AA1029" t="s">
        <v>49</v>
      </c>
      <c r="AB1029" t="s">
        <v>50</v>
      </c>
      <c r="AC1029" t="s">
        <v>51</v>
      </c>
      <c r="AD1029" t="s">
        <v>52</v>
      </c>
      <c r="AE1029" t="s">
        <v>53</v>
      </c>
      <c r="AF1029" t="s">
        <v>52</v>
      </c>
      <c r="AG1029" t="s">
        <v>54</v>
      </c>
      <c r="AH1029" t="s">
        <v>55</v>
      </c>
      <c r="AK1029">
        <v>5</v>
      </c>
      <c r="AL1029">
        <v>5</v>
      </c>
      <c r="AN1029">
        <v>465</v>
      </c>
      <c r="AO1029">
        <v>14</v>
      </c>
      <c r="AP1029" t="s">
        <v>56</v>
      </c>
      <c r="AQ1029" t="s">
        <v>57</v>
      </c>
      <c r="AR1029">
        <v>8.07</v>
      </c>
      <c r="AS1029">
        <v>0.01</v>
      </c>
      <c r="AT1029" t="s">
        <v>56</v>
      </c>
      <c r="AU1029">
        <v>915</v>
      </c>
      <c r="AV1029">
        <v>36</v>
      </c>
      <c r="AW1029" t="s">
        <v>56</v>
      </c>
      <c r="AX1029">
        <v>7.84</v>
      </c>
      <c r="AY1029">
        <v>0.01</v>
      </c>
      <c r="AZ1029" t="s">
        <v>56</v>
      </c>
      <c r="BB1029">
        <f>LOG(AU1029)</f>
        <v>2.9614210940664485</v>
      </c>
      <c r="BC1029">
        <v>21.1</v>
      </c>
      <c r="BD1029">
        <v>0</v>
      </c>
      <c r="BE1029" t="s">
        <v>56</v>
      </c>
      <c r="BF1029">
        <v>21.1</v>
      </c>
      <c r="BG1029">
        <v>0</v>
      </c>
      <c r="BH1029" t="s">
        <v>56</v>
      </c>
      <c r="BI1029">
        <v>450</v>
      </c>
      <c r="BJ1029">
        <v>0</v>
      </c>
      <c r="BK1029" t="s">
        <v>56</v>
      </c>
      <c r="BL1029" t="s">
        <v>619</v>
      </c>
      <c r="BM1029" t="s">
        <v>98</v>
      </c>
      <c r="BN1029" t="s">
        <v>81</v>
      </c>
      <c r="BO1029" t="s">
        <v>620</v>
      </c>
      <c r="BP1029" t="s">
        <v>100</v>
      </c>
      <c r="BR1029" t="s">
        <v>63</v>
      </c>
      <c r="BT1029">
        <v>0</v>
      </c>
      <c r="BU1029">
        <v>1.6000000000000001E-3</v>
      </c>
      <c r="BV1029">
        <v>0</v>
      </c>
      <c r="BW1029">
        <f>BV1029*SQRT(AK1029)</f>
        <v>0</v>
      </c>
      <c r="BX1029">
        <v>0</v>
      </c>
      <c r="BY1029">
        <v>2E-3</v>
      </c>
      <c r="BZ1029">
        <v>0</v>
      </c>
      <c r="CA1029">
        <f>BZ1029*SQRT(AL1029)</f>
        <v>0</v>
      </c>
      <c r="CB1029">
        <v>56</v>
      </c>
      <c r="CC1029">
        <v>5</v>
      </c>
      <c r="CD1029">
        <v>0.223</v>
      </c>
      <c r="CE1029">
        <v>1.3899999999999999E-2</v>
      </c>
    </row>
    <row r="1030" spans="1:84" hidden="1" x14ac:dyDescent="0.2">
      <c r="D1030">
        <v>66</v>
      </c>
      <c r="G1030" t="s">
        <v>43</v>
      </c>
      <c r="H1030" t="s">
        <v>613</v>
      </c>
      <c r="J1030">
        <v>2020</v>
      </c>
      <c r="M1030" t="s">
        <v>614</v>
      </c>
      <c r="T1030" t="s">
        <v>68</v>
      </c>
      <c r="U1030" t="s">
        <v>392</v>
      </c>
      <c r="V1030" t="s">
        <v>615</v>
      </c>
      <c r="Z1030" t="s">
        <v>49</v>
      </c>
      <c r="AA1030" t="s">
        <v>49</v>
      </c>
      <c r="AB1030" t="s">
        <v>50</v>
      </c>
      <c r="AC1030" t="s">
        <v>51</v>
      </c>
      <c r="AD1030" t="s">
        <v>52</v>
      </c>
      <c r="AE1030" t="s">
        <v>53</v>
      </c>
      <c r="AF1030" t="s">
        <v>54</v>
      </c>
      <c r="AG1030" t="s">
        <v>52</v>
      </c>
      <c r="AH1030" t="s">
        <v>65</v>
      </c>
      <c r="AK1030">
        <v>5</v>
      </c>
      <c r="AL1030">
        <v>5</v>
      </c>
      <c r="AN1030">
        <v>465</v>
      </c>
      <c r="AO1030">
        <v>14</v>
      </c>
      <c r="AP1030" t="s">
        <v>56</v>
      </c>
      <c r="AQ1030" t="s">
        <v>57</v>
      </c>
      <c r="AR1030">
        <v>8.07</v>
      </c>
      <c r="AS1030">
        <v>0.01</v>
      </c>
      <c r="AT1030" t="s">
        <v>56</v>
      </c>
      <c r="AU1030">
        <v>471</v>
      </c>
      <c r="AV1030">
        <v>11</v>
      </c>
      <c r="AW1030" t="s">
        <v>56</v>
      </c>
      <c r="AX1030">
        <v>8.08</v>
      </c>
      <c r="AY1030">
        <v>0.01</v>
      </c>
      <c r="AZ1030" t="s">
        <v>56</v>
      </c>
      <c r="BB1030">
        <f>LOG(AU1030)</f>
        <v>2.6730209071288962</v>
      </c>
      <c r="BC1030">
        <v>21.1</v>
      </c>
      <c r="BD1030">
        <v>0</v>
      </c>
      <c r="BE1030" t="s">
        <v>56</v>
      </c>
      <c r="BF1030">
        <v>23.7</v>
      </c>
      <c r="BG1030">
        <v>0</v>
      </c>
      <c r="BH1030" t="s">
        <v>56</v>
      </c>
      <c r="BI1030">
        <v>6</v>
      </c>
      <c r="BJ1030">
        <v>2.6</v>
      </c>
      <c r="BK1030" t="s">
        <v>56</v>
      </c>
      <c r="BL1030" t="s">
        <v>619</v>
      </c>
      <c r="BM1030" t="s">
        <v>98</v>
      </c>
      <c r="BN1030" t="s">
        <v>81</v>
      </c>
      <c r="BO1030" t="s">
        <v>620</v>
      </c>
      <c r="BP1030" t="s">
        <v>100</v>
      </c>
      <c r="BR1030" t="s">
        <v>63</v>
      </c>
      <c r="BT1030">
        <v>0</v>
      </c>
      <c r="BU1030">
        <v>1.6000000000000001E-3</v>
      </c>
      <c r="BV1030">
        <v>0</v>
      </c>
      <c r="BW1030">
        <f>BV1030*SQRT(AK1030)</f>
        <v>0</v>
      </c>
      <c r="BX1030">
        <v>0</v>
      </c>
      <c r="BY1030">
        <v>2E-3</v>
      </c>
      <c r="BZ1030">
        <v>0</v>
      </c>
      <c r="CA1030">
        <f>BZ1030*SQRT(AL1030)</f>
        <v>0</v>
      </c>
      <c r="CB1030">
        <v>56</v>
      </c>
      <c r="CC1030">
        <v>5</v>
      </c>
      <c r="CD1030">
        <v>0.223</v>
      </c>
      <c r="CE1030">
        <v>1.3899999999999999E-2</v>
      </c>
    </row>
    <row r="1031" spans="1:84" hidden="1" x14ac:dyDescent="0.2">
      <c r="D1031">
        <v>66</v>
      </c>
      <c r="G1031" t="s">
        <v>43</v>
      </c>
      <c r="H1031" t="s">
        <v>613</v>
      </c>
      <c r="J1031">
        <v>2020</v>
      </c>
      <c r="M1031" t="s">
        <v>614</v>
      </c>
      <c r="T1031" t="s">
        <v>68</v>
      </c>
      <c r="U1031" t="s">
        <v>392</v>
      </c>
      <c r="V1031" t="s">
        <v>615</v>
      </c>
      <c r="Z1031" t="s">
        <v>49</v>
      </c>
      <c r="AA1031" t="s">
        <v>49</v>
      </c>
      <c r="AB1031" t="s">
        <v>50</v>
      </c>
      <c r="AC1031" t="s">
        <v>51</v>
      </c>
      <c r="AD1031" t="s">
        <v>52</v>
      </c>
      <c r="AE1031" t="s">
        <v>53</v>
      </c>
      <c r="AF1031" t="s">
        <v>54</v>
      </c>
      <c r="AG1031" t="s">
        <v>52</v>
      </c>
      <c r="AH1031" t="s">
        <v>65</v>
      </c>
      <c r="AK1031">
        <v>5</v>
      </c>
      <c r="AL1031">
        <v>5</v>
      </c>
      <c r="AN1031">
        <v>465</v>
      </c>
      <c r="AO1031">
        <v>14</v>
      </c>
      <c r="AP1031" t="s">
        <v>56</v>
      </c>
      <c r="AQ1031" t="s">
        <v>57</v>
      </c>
      <c r="AR1031">
        <v>8.07</v>
      </c>
      <c r="AS1031">
        <v>0.01</v>
      </c>
      <c r="AT1031" t="s">
        <v>56</v>
      </c>
      <c r="AU1031">
        <v>471</v>
      </c>
      <c r="AV1031">
        <v>11</v>
      </c>
      <c r="AW1031" t="s">
        <v>56</v>
      </c>
      <c r="AX1031">
        <v>8.08</v>
      </c>
      <c r="AY1031">
        <v>0.01</v>
      </c>
      <c r="AZ1031" t="s">
        <v>56</v>
      </c>
      <c r="BB1031">
        <f>LOG(AU1031)</f>
        <v>2.6730209071288962</v>
      </c>
      <c r="BC1031">
        <v>21.1</v>
      </c>
      <c r="BD1031">
        <v>0</v>
      </c>
      <c r="BE1031" t="s">
        <v>56</v>
      </c>
      <c r="BF1031">
        <v>23.7</v>
      </c>
      <c r="BG1031">
        <v>0</v>
      </c>
      <c r="BH1031" t="s">
        <v>56</v>
      </c>
      <c r="BI1031">
        <v>6</v>
      </c>
      <c r="BJ1031">
        <v>2.6</v>
      </c>
      <c r="BK1031" t="s">
        <v>56</v>
      </c>
      <c r="BL1031" t="s">
        <v>616</v>
      </c>
      <c r="BM1031" t="s">
        <v>617</v>
      </c>
      <c r="BN1031" t="s">
        <v>81</v>
      </c>
      <c r="BO1031" t="s">
        <v>618</v>
      </c>
      <c r="BP1031" t="s">
        <v>92</v>
      </c>
      <c r="BR1031" t="s">
        <v>63</v>
      </c>
      <c r="BT1031">
        <v>13.74</v>
      </c>
      <c r="BU1031">
        <v>13.74</v>
      </c>
      <c r="BV1031">
        <v>1.33</v>
      </c>
      <c r="BW1031">
        <f>BV1031*SQRT(AK1031)</f>
        <v>2.9739704100747204</v>
      </c>
      <c r="BX1031">
        <v>17.329999999999998</v>
      </c>
      <c r="BY1031">
        <v>17.329999999999998</v>
      </c>
      <c r="BZ1031">
        <v>0.92</v>
      </c>
      <c r="CA1031">
        <f>BZ1031*SQRT(AL1031)</f>
        <v>2.0571825392998067</v>
      </c>
      <c r="CB1031">
        <v>56</v>
      </c>
      <c r="CC1031">
        <v>5</v>
      </c>
      <c r="CD1031">
        <v>0.23200000000000001</v>
      </c>
      <c r="CE1031">
        <v>1.2200000000000001E-2</v>
      </c>
    </row>
    <row r="1032" spans="1:84" hidden="1" x14ac:dyDescent="0.2">
      <c r="D1032">
        <v>66</v>
      </c>
      <c r="G1032" t="s">
        <v>43</v>
      </c>
      <c r="H1032" t="s">
        <v>613</v>
      </c>
      <c r="J1032">
        <v>2020</v>
      </c>
      <c r="M1032" t="s">
        <v>614</v>
      </c>
      <c r="T1032" t="s">
        <v>68</v>
      </c>
      <c r="U1032" t="s">
        <v>392</v>
      </c>
      <c r="V1032" t="s">
        <v>615</v>
      </c>
      <c r="Z1032" t="s">
        <v>49</v>
      </c>
      <c r="AA1032" t="s">
        <v>49</v>
      </c>
      <c r="AB1032" t="s">
        <v>50</v>
      </c>
      <c r="AC1032" t="s">
        <v>51</v>
      </c>
      <c r="AD1032" t="s">
        <v>52</v>
      </c>
      <c r="AE1032" t="s">
        <v>53</v>
      </c>
      <c r="AF1032" t="s">
        <v>52</v>
      </c>
      <c r="AG1032" t="s">
        <v>54</v>
      </c>
      <c r="AH1032" t="s">
        <v>55</v>
      </c>
      <c r="AK1032">
        <v>5</v>
      </c>
      <c r="AL1032">
        <v>5</v>
      </c>
      <c r="AN1032">
        <v>465</v>
      </c>
      <c r="AO1032">
        <v>14</v>
      </c>
      <c r="AP1032" t="s">
        <v>56</v>
      </c>
      <c r="AQ1032" t="s">
        <v>57</v>
      </c>
      <c r="AR1032">
        <v>8.07</v>
      </c>
      <c r="AS1032">
        <v>0.01</v>
      </c>
      <c r="AT1032" t="s">
        <v>56</v>
      </c>
      <c r="AU1032">
        <v>915</v>
      </c>
      <c r="AV1032">
        <v>36</v>
      </c>
      <c r="AW1032" t="s">
        <v>56</v>
      </c>
      <c r="AX1032">
        <v>7.84</v>
      </c>
      <c r="AY1032">
        <v>0.01</v>
      </c>
      <c r="AZ1032" t="s">
        <v>56</v>
      </c>
      <c r="BB1032">
        <f>LOG(AU1032)</f>
        <v>2.9614210940664485</v>
      </c>
      <c r="BC1032">
        <v>21.1</v>
      </c>
      <c r="BD1032">
        <v>0</v>
      </c>
      <c r="BE1032" t="s">
        <v>56</v>
      </c>
      <c r="BF1032">
        <v>21.1</v>
      </c>
      <c r="BG1032">
        <v>0</v>
      </c>
      <c r="BH1032" t="s">
        <v>56</v>
      </c>
      <c r="BI1032">
        <v>450</v>
      </c>
      <c r="BJ1032">
        <v>0</v>
      </c>
      <c r="BK1032" t="s">
        <v>56</v>
      </c>
      <c r="BL1032" t="s">
        <v>274</v>
      </c>
      <c r="BM1032" t="s">
        <v>59</v>
      </c>
      <c r="BN1032" t="s">
        <v>60</v>
      </c>
      <c r="BO1032" t="s">
        <v>621</v>
      </c>
      <c r="BP1032" t="s">
        <v>62</v>
      </c>
      <c r="BR1032" t="s">
        <v>63</v>
      </c>
      <c r="BT1032">
        <v>1.04</v>
      </c>
      <c r="BU1032">
        <v>1.04</v>
      </c>
      <c r="BV1032">
        <v>0.16</v>
      </c>
      <c r="BW1032">
        <f>BV1032*SQRT(AK1032)</f>
        <v>0.35777087639996635</v>
      </c>
      <c r="BX1032">
        <v>2.04</v>
      </c>
      <c r="BY1032">
        <v>2.04</v>
      </c>
      <c r="BZ1032">
        <v>0.36</v>
      </c>
      <c r="CA1032">
        <f>BZ1032*SQRT(AL1032)</f>
        <v>0.80498447189992428</v>
      </c>
      <c r="CB1032">
        <v>56</v>
      </c>
      <c r="CC1032">
        <v>5</v>
      </c>
      <c r="CD1032">
        <v>0.67400000000000004</v>
      </c>
      <c r="CE1032">
        <v>5.4800000000000001E-2</v>
      </c>
    </row>
    <row r="1033" spans="1:84" hidden="1" x14ac:dyDescent="0.2">
      <c r="D1033">
        <v>66</v>
      </c>
      <c r="G1033" t="s">
        <v>43</v>
      </c>
      <c r="H1033" t="s">
        <v>613</v>
      </c>
      <c r="J1033">
        <v>2020</v>
      </c>
      <c r="M1033" t="s">
        <v>614</v>
      </c>
      <c r="T1033" t="s">
        <v>68</v>
      </c>
      <c r="U1033" t="s">
        <v>392</v>
      </c>
      <c r="V1033" t="s">
        <v>615</v>
      </c>
      <c r="Z1033" t="s">
        <v>49</v>
      </c>
      <c r="AA1033" t="s">
        <v>49</v>
      </c>
      <c r="AB1033" t="s">
        <v>50</v>
      </c>
      <c r="AC1033" t="s">
        <v>51</v>
      </c>
      <c r="AD1033" t="s">
        <v>52</v>
      </c>
      <c r="AE1033" t="s">
        <v>53</v>
      </c>
      <c r="AF1033" t="s">
        <v>52</v>
      </c>
      <c r="AG1033" t="s">
        <v>52</v>
      </c>
      <c r="AH1033" t="s">
        <v>64</v>
      </c>
      <c r="AK1033">
        <v>5</v>
      </c>
      <c r="AL1033">
        <v>5</v>
      </c>
      <c r="AN1033">
        <v>465</v>
      </c>
      <c r="AO1033">
        <v>14</v>
      </c>
      <c r="AP1033" t="s">
        <v>56</v>
      </c>
      <c r="AQ1033" t="s">
        <v>57</v>
      </c>
      <c r="AR1033">
        <v>8.07</v>
      </c>
      <c r="AS1033">
        <v>0.01</v>
      </c>
      <c r="AT1033" t="s">
        <v>56</v>
      </c>
      <c r="AU1033">
        <v>874</v>
      </c>
      <c r="AV1033">
        <v>28</v>
      </c>
      <c r="AW1033" t="s">
        <v>56</v>
      </c>
      <c r="AX1033">
        <v>7.86</v>
      </c>
      <c r="AY1033">
        <v>0.01</v>
      </c>
      <c r="AZ1033" t="s">
        <v>56</v>
      </c>
      <c r="BB1033">
        <f>LOG(AU1033)</f>
        <v>2.9415114326344032</v>
      </c>
      <c r="BC1033">
        <v>21.1</v>
      </c>
      <c r="BD1033">
        <v>0</v>
      </c>
      <c r="BE1033" t="s">
        <v>56</v>
      </c>
      <c r="BF1033">
        <v>23.8</v>
      </c>
      <c r="BG1033">
        <v>0</v>
      </c>
      <c r="BH1033" t="s">
        <v>56</v>
      </c>
      <c r="BI1033">
        <v>409</v>
      </c>
      <c r="BJ1033">
        <v>2.7</v>
      </c>
      <c r="BK1033" t="s">
        <v>56</v>
      </c>
      <c r="BL1033" t="s">
        <v>274</v>
      </c>
      <c r="BM1033" t="s">
        <v>59</v>
      </c>
      <c r="BN1033" t="s">
        <v>60</v>
      </c>
      <c r="BO1033" t="s">
        <v>621</v>
      </c>
      <c r="BP1033" t="s">
        <v>62</v>
      </c>
      <c r="BR1033" t="s">
        <v>63</v>
      </c>
      <c r="BT1033">
        <v>1.04</v>
      </c>
      <c r="BU1033">
        <v>1.04</v>
      </c>
      <c r="BV1033">
        <v>0.16</v>
      </c>
      <c r="BW1033">
        <f>BV1033*SQRT(AK1033)</f>
        <v>0.35777087639996635</v>
      </c>
      <c r="BX1033">
        <v>2.06</v>
      </c>
      <c r="BY1033">
        <v>2.06</v>
      </c>
      <c r="BZ1033">
        <v>0.49</v>
      </c>
      <c r="CA1033">
        <f>BZ1033*SQRT(AL1033)</f>
        <v>1.0956733089748969</v>
      </c>
      <c r="CB1033">
        <v>56</v>
      </c>
      <c r="CC1033">
        <v>5</v>
      </c>
      <c r="CD1033">
        <v>0.68300000000000005</v>
      </c>
      <c r="CE1033">
        <v>8.0199999999999994E-2</v>
      </c>
    </row>
    <row r="1034" spans="1:84" hidden="1" x14ac:dyDescent="0.2">
      <c r="D1034">
        <v>66</v>
      </c>
      <c r="G1034" t="s">
        <v>43</v>
      </c>
      <c r="H1034" t="s">
        <v>613</v>
      </c>
      <c r="J1034">
        <v>2020</v>
      </c>
      <c r="M1034" t="s">
        <v>614</v>
      </c>
      <c r="T1034" t="s">
        <v>68</v>
      </c>
      <c r="U1034" t="s">
        <v>392</v>
      </c>
      <c r="V1034" t="s">
        <v>615</v>
      </c>
      <c r="Z1034" t="s">
        <v>49</v>
      </c>
      <c r="AA1034" t="s">
        <v>49</v>
      </c>
      <c r="AB1034" t="s">
        <v>50</v>
      </c>
      <c r="AC1034" t="s">
        <v>51</v>
      </c>
      <c r="AD1034" t="s">
        <v>52</v>
      </c>
      <c r="AE1034" t="s">
        <v>53</v>
      </c>
      <c r="AF1034" t="s">
        <v>54</v>
      </c>
      <c r="AG1034" t="s">
        <v>52</v>
      </c>
      <c r="AH1034" t="s">
        <v>65</v>
      </c>
      <c r="AK1034">
        <v>5</v>
      </c>
      <c r="AL1034">
        <v>5</v>
      </c>
      <c r="AN1034">
        <v>465</v>
      </c>
      <c r="AO1034">
        <v>14</v>
      </c>
      <c r="AP1034" t="s">
        <v>56</v>
      </c>
      <c r="AQ1034" t="s">
        <v>57</v>
      </c>
      <c r="AR1034">
        <v>8.07</v>
      </c>
      <c r="AS1034">
        <v>0.01</v>
      </c>
      <c r="AT1034" t="s">
        <v>56</v>
      </c>
      <c r="AU1034">
        <v>471</v>
      </c>
      <c r="AV1034">
        <v>11</v>
      </c>
      <c r="AW1034" t="s">
        <v>56</v>
      </c>
      <c r="AX1034">
        <v>8.08</v>
      </c>
      <c r="AY1034">
        <v>0.01</v>
      </c>
      <c r="AZ1034" t="s">
        <v>56</v>
      </c>
      <c r="BB1034">
        <f>LOG(AU1034)</f>
        <v>2.6730209071288962</v>
      </c>
      <c r="BC1034">
        <v>21.1</v>
      </c>
      <c r="BD1034">
        <v>0</v>
      </c>
      <c r="BE1034" t="s">
        <v>56</v>
      </c>
      <c r="BF1034">
        <v>23.7</v>
      </c>
      <c r="BG1034">
        <v>0</v>
      </c>
      <c r="BH1034" t="s">
        <v>56</v>
      </c>
      <c r="BI1034">
        <v>6</v>
      </c>
      <c r="BJ1034">
        <v>2.6</v>
      </c>
      <c r="BK1034" t="s">
        <v>56</v>
      </c>
      <c r="BL1034" t="s">
        <v>274</v>
      </c>
      <c r="BM1034" t="s">
        <v>59</v>
      </c>
      <c r="BN1034" t="s">
        <v>60</v>
      </c>
      <c r="BO1034" t="s">
        <v>621</v>
      </c>
      <c r="BP1034" t="s">
        <v>62</v>
      </c>
      <c r="BR1034" t="s">
        <v>63</v>
      </c>
      <c r="BT1034">
        <v>1.04</v>
      </c>
      <c r="BU1034">
        <v>1.04</v>
      </c>
      <c r="BV1034">
        <v>0.16</v>
      </c>
      <c r="BW1034">
        <f>BV1034*SQRT(AK1034)</f>
        <v>0.35777087639996635</v>
      </c>
      <c r="BX1034">
        <v>2.61</v>
      </c>
      <c r="BY1034">
        <v>2.61</v>
      </c>
      <c r="BZ1034">
        <v>0.24</v>
      </c>
      <c r="CA1034">
        <f>BZ1034*SQRT(AL1034)</f>
        <v>0.53665631459994956</v>
      </c>
      <c r="CB1034">
        <v>56</v>
      </c>
      <c r="CC1034">
        <v>5</v>
      </c>
      <c r="CD1034">
        <v>0.92</v>
      </c>
      <c r="CE1034">
        <v>3.2099999999999997E-2</v>
      </c>
    </row>
    <row r="1035" spans="1:84" hidden="1" x14ac:dyDescent="0.2">
      <c r="A1035" s="8"/>
      <c r="B1035" t="str">
        <f>ROW()-1&amp;"_AltersInvert"</f>
        <v>1034_AltersInvert</v>
      </c>
      <c r="C1035" t="str">
        <f>D1035&amp;"_"&amp;
SUBSTITUTE(TRIM(V1035)," ","_")&amp;"_"&amp;
TRIM(AC1035)&amp;"_"&amp;
"CO2"&amp;TEXT(AN1035,"0.00")&amp;"_"&amp;
"pH"&amp;TEXT(AR1035,"0.00")&amp;"_"&amp;
"T"&amp;TEXT(BC1035,"0.##")</f>
        <v>201_Haliotis_coccoradiata_EMBRYO_CO2327.00_pH8.25_T20.</v>
      </c>
      <c r="D1035" s="8">
        <v>201</v>
      </c>
      <c r="E1035" s="8"/>
      <c r="F1035" s="8"/>
      <c r="G1035" s="8" t="s">
        <v>43</v>
      </c>
      <c r="H1035" s="8" t="s">
        <v>950</v>
      </c>
      <c r="I1035" s="8"/>
      <c r="J1035" s="8">
        <v>2010</v>
      </c>
      <c r="K1035" s="8"/>
      <c r="L1035" s="8"/>
      <c r="M1035" s="8" t="s">
        <v>67</v>
      </c>
      <c r="N1035" s="8"/>
      <c r="O1035" s="8"/>
      <c r="P1035" t="s">
        <v>1135</v>
      </c>
      <c r="Q1035" s="8"/>
      <c r="R1035" s="8" t="s">
        <v>1127</v>
      </c>
      <c r="S1035" t="s">
        <v>1128</v>
      </c>
      <c r="T1035" s="8" t="s">
        <v>68</v>
      </c>
      <c r="U1035" s="8" t="s">
        <v>669</v>
      </c>
      <c r="V1035" s="8" t="s">
        <v>670</v>
      </c>
      <c r="W1035" s="8" t="str">
        <f>IF(ISNUMBER(MATCH(V429,{"Doryteuthis pealeii","Loligo vulgaris","Leptuca thayeri","Stylocheilus striatus","Ophryotrocha labronica"},0)),"N","Y")</f>
        <v>Y</v>
      </c>
      <c r="X1035" s="8"/>
      <c r="Y1035" s="8"/>
      <c r="Z1035" s="8" t="s">
        <v>177</v>
      </c>
      <c r="AA1035" s="8" t="s">
        <v>177</v>
      </c>
      <c r="AB1035" s="8" t="s">
        <v>71</v>
      </c>
      <c r="AC1035" s="8" t="s">
        <v>195</v>
      </c>
      <c r="AD1035" s="8" t="s">
        <v>52</v>
      </c>
      <c r="AE1035" s="8" t="s">
        <v>53</v>
      </c>
      <c r="AF1035" s="8" t="s">
        <v>52</v>
      </c>
      <c r="AG1035" s="8" t="s">
        <v>52</v>
      </c>
      <c r="AH1035" s="8" t="s">
        <v>64</v>
      </c>
      <c r="AI1035" s="8"/>
      <c r="AJ1035" s="8"/>
      <c r="AK1035" s="8">
        <v>3</v>
      </c>
      <c r="AL1035" s="8">
        <v>3</v>
      </c>
      <c r="AM1035" s="8"/>
      <c r="AN1035" s="8">
        <v>327</v>
      </c>
      <c r="AO1035" s="8">
        <v>22</v>
      </c>
      <c r="AP1035" s="8" t="s">
        <v>56</v>
      </c>
      <c r="AQ1035" s="8" t="s">
        <v>57</v>
      </c>
      <c r="AR1035" s="8">
        <v>8.25</v>
      </c>
      <c r="AS1035" s="8" t="s">
        <v>56</v>
      </c>
      <c r="AT1035" s="8" t="s">
        <v>56</v>
      </c>
      <c r="AU1035" s="8">
        <v>851</v>
      </c>
      <c r="AV1035">
        <v>12</v>
      </c>
      <c r="AW1035" t="s">
        <v>56</v>
      </c>
      <c r="AX1035">
        <v>7.9</v>
      </c>
      <c r="AY1035" t="s">
        <v>56</v>
      </c>
      <c r="AZ1035" t="s">
        <v>56</v>
      </c>
      <c r="BA1035" s="8"/>
      <c r="BB1035" s="8">
        <f>LOG(AU1035)</f>
        <v>2.929929560084588</v>
      </c>
      <c r="BC1035" s="8">
        <v>20</v>
      </c>
      <c r="BD1035" s="8" t="s">
        <v>56</v>
      </c>
      <c r="BE1035" s="8" t="s">
        <v>56</v>
      </c>
      <c r="BF1035" s="8">
        <v>26</v>
      </c>
      <c r="BG1035" s="8" t="s">
        <v>56</v>
      </c>
      <c r="BH1035" s="8" t="s">
        <v>56</v>
      </c>
      <c r="BI1035" s="8">
        <v>524</v>
      </c>
      <c r="BJ1035" s="8">
        <v>6</v>
      </c>
      <c r="BK1035" s="8" t="s">
        <v>56</v>
      </c>
      <c r="BL1035" s="8" t="s">
        <v>933</v>
      </c>
      <c r="BM1035" s="8" t="s">
        <v>473</v>
      </c>
      <c r="BN1035" s="8" t="s">
        <v>81</v>
      </c>
      <c r="BO1035" s="8" t="s">
        <v>82</v>
      </c>
      <c r="BP1035" s="8" t="s">
        <v>190</v>
      </c>
      <c r="BQ1035" s="8" t="s">
        <v>190</v>
      </c>
      <c r="BR1035" s="8" t="s">
        <v>84</v>
      </c>
      <c r="BS1035" s="8"/>
      <c r="BT1035" s="8">
        <v>97.55</v>
      </c>
      <c r="BU1035" s="8">
        <v>97.55</v>
      </c>
      <c r="BV1035" s="8">
        <v>1.85</v>
      </c>
      <c r="BW1035" s="8">
        <f>BV1035*SQRT(AK1035)</f>
        <v>3.2042939940024229</v>
      </c>
      <c r="BX1035" s="8">
        <v>99.53</v>
      </c>
      <c r="BY1035" s="8">
        <v>99.53</v>
      </c>
      <c r="BZ1035" s="8">
        <v>0.56999999999999995</v>
      </c>
      <c r="CA1035" s="8">
        <f>BZ1035*SQRT(AL1035)</f>
        <v>0.98726896031425992</v>
      </c>
      <c r="CB1035" s="8">
        <v>1</v>
      </c>
      <c r="CC1035" s="8">
        <v>1</v>
      </c>
      <c r="CD1035" s="8">
        <v>0.02</v>
      </c>
      <c r="CE1035" s="8">
        <v>4.0000000000000002E-4</v>
      </c>
      <c r="CF1035" s="8" t="s">
        <v>1134</v>
      </c>
    </row>
    <row r="1036" spans="1:84" hidden="1" x14ac:dyDescent="0.2">
      <c r="B1036" t="str">
        <f>ROW()-1&amp;"_AltersInvert"</f>
        <v>1035_AltersInvert</v>
      </c>
      <c r="C1036" t="str">
        <f>D1036&amp;"_"&amp;
SUBSTITUTE(TRIM(V1036)," ","_")&amp;"_"&amp;
TRIM(AC1036)&amp;"_"&amp;
"CO2"&amp;TEXT(AN1036,"0.00")&amp;"_"&amp;
"pH"&amp;TEXT(AR1036,"0.00")&amp;"_"&amp;
"T"&amp;TEXT(BC1036,"0.##")</f>
        <v>72_Crassostrea_gigas_LARVA_CO2437.00_pH8.07_T23.9</v>
      </c>
      <c r="D1036">
        <v>72</v>
      </c>
      <c r="G1036" t="s">
        <v>43</v>
      </c>
      <c r="H1036" t="s">
        <v>648</v>
      </c>
      <c r="J1036">
        <v>2014</v>
      </c>
      <c r="M1036" t="s">
        <v>314</v>
      </c>
      <c r="P1036" t="s">
        <v>1135</v>
      </c>
      <c r="R1036" t="s">
        <v>1127</v>
      </c>
      <c r="S1036" t="s">
        <v>1128</v>
      </c>
      <c r="T1036" t="s">
        <v>68</v>
      </c>
      <c r="U1036" t="s">
        <v>167</v>
      </c>
      <c r="V1036" t="s">
        <v>168</v>
      </c>
      <c r="Z1036" t="s">
        <v>49</v>
      </c>
      <c r="AA1036" t="s">
        <v>49</v>
      </c>
      <c r="AB1036" t="s">
        <v>71</v>
      </c>
      <c r="AC1036" t="s">
        <v>72</v>
      </c>
      <c r="AD1036" t="s">
        <v>54</v>
      </c>
      <c r="AE1036" t="s">
        <v>53</v>
      </c>
      <c r="AF1036" t="s">
        <v>52</v>
      </c>
      <c r="AG1036" t="s">
        <v>54</v>
      </c>
      <c r="AH1036" t="s">
        <v>55</v>
      </c>
      <c r="AK1036">
        <v>4</v>
      </c>
      <c r="AL1036">
        <v>4</v>
      </c>
      <c r="AN1036">
        <v>437</v>
      </c>
      <c r="AO1036" t="s">
        <v>56</v>
      </c>
      <c r="AP1036">
        <v>6</v>
      </c>
      <c r="AQ1036" t="s">
        <v>57</v>
      </c>
      <c r="AR1036">
        <v>8.07</v>
      </c>
      <c r="AS1036" t="s">
        <v>56</v>
      </c>
      <c r="AT1036">
        <v>0</v>
      </c>
      <c r="AU1036">
        <v>1848</v>
      </c>
      <c r="AV1036" t="s">
        <v>56</v>
      </c>
      <c r="AW1036">
        <v>11</v>
      </c>
      <c r="AX1036">
        <v>7.48</v>
      </c>
      <c r="AY1036" t="s">
        <v>56</v>
      </c>
      <c r="AZ1036">
        <v>0</v>
      </c>
      <c r="BB1036">
        <f>LOG(AU1036)</f>
        <v>3.2667019668840878</v>
      </c>
      <c r="BC1036">
        <v>23.9</v>
      </c>
      <c r="BD1036" t="s">
        <v>56</v>
      </c>
      <c r="BE1036">
        <v>0</v>
      </c>
      <c r="BF1036">
        <v>24</v>
      </c>
      <c r="BG1036" t="s">
        <v>56</v>
      </c>
      <c r="BH1036">
        <v>0</v>
      </c>
      <c r="BI1036">
        <v>1411</v>
      </c>
      <c r="BJ1036">
        <v>0.1</v>
      </c>
      <c r="BK1036" t="s">
        <v>56</v>
      </c>
      <c r="BL1036" t="s">
        <v>651</v>
      </c>
      <c r="BM1036" t="s">
        <v>651</v>
      </c>
      <c r="BN1036" t="s">
        <v>81</v>
      </c>
      <c r="BO1036" t="s">
        <v>82</v>
      </c>
      <c r="BP1036" t="s">
        <v>9</v>
      </c>
      <c r="BQ1036" t="s">
        <v>9</v>
      </c>
      <c r="BR1036" t="s">
        <v>84</v>
      </c>
      <c r="BT1036">
        <v>27.5</v>
      </c>
      <c r="BU1036">
        <v>27.5</v>
      </c>
      <c r="BV1036">
        <v>1.63</v>
      </c>
      <c r="BW1036">
        <f>BV1036*SQRT(AK1036)</f>
        <v>3.26</v>
      </c>
      <c r="BX1036">
        <v>19.5</v>
      </c>
      <c r="BY1036">
        <v>19.5</v>
      </c>
      <c r="BZ1036">
        <v>1.75</v>
      </c>
      <c r="CA1036">
        <f>BZ1036*SQRT(AL1036)</f>
        <v>3.5</v>
      </c>
      <c r="CB1036">
        <v>18</v>
      </c>
      <c r="CC1036">
        <v>4</v>
      </c>
      <c r="CD1036">
        <v>-0.34399999999999997</v>
      </c>
      <c r="CE1036">
        <v>1.15E-2</v>
      </c>
      <c r="CF1036" s="8"/>
    </row>
    <row r="1037" spans="1:84" hidden="1" x14ac:dyDescent="0.2">
      <c r="B1037" t="str">
        <f>ROW()-1&amp;"_AltersInvert"</f>
        <v>1036_AltersInvert</v>
      </c>
      <c r="C1037" t="str">
        <f>D1037&amp;"_"&amp;
SUBSTITUTE(TRIM(V1037)," ","_")&amp;"_"&amp;
TRIM(AC1037)&amp;"_"&amp;
"CO2"&amp;TEXT(AN1037,"0.00")&amp;"_"&amp;
"pH"&amp;TEXT(AR1037,"0.00")&amp;"_"&amp;
"T"&amp;TEXT(BC1037,"0.##")</f>
        <v>72_Crassostrea_gigas_LARVA_CO2437.00_pH8.07_T23.9</v>
      </c>
      <c r="D1037">
        <v>72</v>
      </c>
      <c r="G1037" t="s">
        <v>43</v>
      </c>
      <c r="H1037" t="s">
        <v>648</v>
      </c>
      <c r="J1037">
        <v>2014</v>
      </c>
      <c r="M1037" t="s">
        <v>314</v>
      </c>
      <c r="P1037" t="s">
        <v>1135</v>
      </c>
      <c r="R1037" t="s">
        <v>1127</v>
      </c>
      <c r="S1037" t="s">
        <v>1128</v>
      </c>
      <c r="T1037" t="s">
        <v>68</v>
      </c>
      <c r="U1037" t="s">
        <v>167</v>
      </c>
      <c r="V1037" t="s">
        <v>168</v>
      </c>
      <c r="Z1037" t="s">
        <v>49</v>
      </c>
      <c r="AA1037" t="s">
        <v>49</v>
      </c>
      <c r="AB1037" t="s">
        <v>71</v>
      </c>
      <c r="AC1037" t="s">
        <v>72</v>
      </c>
      <c r="AD1037" t="s">
        <v>54</v>
      </c>
      <c r="AE1037" t="s">
        <v>53</v>
      </c>
      <c r="AF1037" t="s">
        <v>54</v>
      </c>
      <c r="AG1037" t="s">
        <v>52</v>
      </c>
      <c r="AH1037" t="s">
        <v>65</v>
      </c>
      <c r="AK1037">
        <v>4</v>
      </c>
      <c r="AL1037">
        <v>4</v>
      </c>
      <c r="AN1037">
        <v>437</v>
      </c>
      <c r="AO1037" t="s">
        <v>56</v>
      </c>
      <c r="AP1037">
        <v>6</v>
      </c>
      <c r="AQ1037" t="s">
        <v>57</v>
      </c>
      <c r="AR1037">
        <v>8.07</v>
      </c>
      <c r="AS1037" t="s">
        <v>56</v>
      </c>
      <c r="AT1037">
        <v>0</v>
      </c>
      <c r="AU1037">
        <v>396</v>
      </c>
      <c r="AV1037" t="s">
        <v>56</v>
      </c>
      <c r="AW1037">
        <v>73</v>
      </c>
      <c r="AX1037">
        <v>8.1300000000000008</v>
      </c>
      <c r="AY1037" t="s">
        <v>56</v>
      </c>
      <c r="AZ1037">
        <v>0</v>
      </c>
      <c r="BB1037">
        <f>LOG(AU1037)</f>
        <v>2.5976951859255122</v>
      </c>
      <c r="BC1037">
        <v>23.9</v>
      </c>
      <c r="BD1037" t="s">
        <v>56</v>
      </c>
      <c r="BE1037">
        <v>0</v>
      </c>
      <c r="BF1037">
        <v>29.9</v>
      </c>
      <c r="BG1037" t="s">
        <v>56</v>
      </c>
      <c r="BH1037">
        <v>0.1</v>
      </c>
      <c r="BI1037">
        <v>-41</v>
      </c>
      <c r="BJ1037">
        <v>6</v>
      </c>
      <c r="BK1037" t="s">
        <v>56</v>
      </c>
      <c r="BL1037" t="s">
        <v>651</v>
      </c>
      <c r="BM1037" t="s">
        <v>651</v>
      </c>
      <c r="BN1037" t="s">
        <v>81</v>
      </c>
      <c r="BO1037" t="s">
        <v>82</v>
      </c>
      <c r="BP1037" t="s">
        <v>9</v>
      </c>
      <c r="BQ1037" t="s">
        <v>9</v>
      </c>
      <c r="BR1037" t="s">
        <v>84</v>
      </c>
      <c r="BT1037">
        <v>27.5</v>
      </c>
      <c r="BU1037">
        <v>27.5</v>
      </c>
      <c r="BV1037">
        <v>1.63</v>
      </c>
      <c r="BW1037">
        <f>BV1037*SQRT(AK1037)</f>
        <v>3.26</v>
      </c>
      <c r="BX1037">
        <v>49.25</v>
      </c>
      <c r="BY1037">
        <v>49.25</v>
      </c>
      <c r="BZ1037">
        <v>3.5</v>
      </c>
      <c r="CA1037">
        <f>BZ1037*SQRT(AL1037)</f>
        <v>7</v>
      </c>
      <c r="CB1037">
        <v>18</v>
      </c>
      <c r="CC1037">
        <v>4</v>
      </c>
      <c r="CD1037">
        <v>0.58299999999999996</v>
      </c>
      <c r="CE1037">
        <v>8.5000000000000006E-3</v>
      </c>
    </row>
    <row r="1038" spans="1:84" hidden="1" x14ac:dyDescent="0.2">
      <c r="B1038" t="str">
        <f>ROW()-1&amp;"_AltersInvert"</f>
        <v>1037_AltersInvert</v>
      </c>
      <c r="C1038" t="str">
        <f>D1038&amp;"_"&amp;
SUBSTITUTE(TRIM(V1038)," ","_")&amp;"_"&amp;
TRIM(AC1038)&amp;"_"&amp;
"CO2"&amp;TEXT(AN1038,"0.00")&amp;"_"&amp;
"pH"&amp;TEXT(AR1038,"0.00")&amp;"_"&amp;
"T"&amp;TEXT(BC1038,"0.##")</f>
        <v>72_Crassostrea_gigas_LARVA_CO2437.00_pH8.07_T23.9</v>
      </c>
      <c r="D1038">
        <v>72</v>
      </c>
      <c r="G1038" t="s">
        <v>43</v>
      </c>
      <c r="H1038" t="s">
        <v>648</v>
      </c>
      <c r="J1038">
        <v>2014</v>
      </c>
      <c r="M1038" t="s">
        <v>314</v>
      </c>
      <c r="P1038" t="s">
        <v>1135</v>
      </c>
      <c r="R1038" t="s">
        <v>1127</v>
      </c>
      <c r="S1038" t="s">
        <v>1128</v>
      </c>
      <c r="T1038" t="s">
        <v>68</v>
      </c>
      <c r="U1038" t="s">
        <v>167</v>
      </c>
      <c r="V1038" t="s">
        <v>168</v>
      </c>
      <c r="Z1038" t="s">
        <v>49</v>
      </c>
      <c r="AA1038" t="s">
        <v>49</v>
      </c>
      <c r="AB1038" t="s">
        <v>71</v>
      </c>
      <c r="AC1038" t="s">
        <v>72</v>
      </c>
      <c r="AD1038" t="s">
        <v>54</v>
      </c>
      <c r="AE1038" t="s">
        <v>53</v>
      </c>
      <c r="AF1038" t="s">
        <v>52</v>
      </c>
      <c r="AG1038" t="s">
        <v>52</v>
      </c>
      <c r="AH1038" t="s">
        <v>64</v>
      </c>
      <c r="AK1038">
        <v>4</v>
      </c>
      <c r="AL1038">
        <v>4</v>
      </c>
      <c r="AN1038">
        <v>437</v>
      </c>
      <c r="AO1038" t="s">
        <v>56</v>
      </c>
      <c r="AP1038">
        <v>6</v>
      </c>
      <c r="AQ1038" t="s">
        <v>57</v>
      </c>
      <c r="AR1038">
        <v>8.07</v>
      </c>
      <c r="AS1038" t="s">
        <v>56</v>
      </c>
      <c r="AT1038">
        <v>0</v>
      </c>
      <c r="AU1038">
        <v>2024</v>
      </c>
      <c r="AV1038" t="s">
        <v>56</v>
      </c>
      <c r="AW1038">
        <v>316</v>
      </c>
      <c r="AX1038">
        <v>7.52</v>
      </c>
      <c r="AY1038" t="s">
        <v>56</v>
      </c>
      <c r="AZ1038">
        <v>0</v>
      </c>
      <c r="BB1038">
        <f>LOG(AU1038)</f>
        <v>3.3062105081677613</v>
      </c>
      <c r="BC1038">
        <v>23.9</v>
      </c>
      <c r="BD1038" t="s">
        <v>56</v>
      </c>
      <c r="BE1038">
        <v>0</v>
      </c>
      <c r="BF1038">
        <v>29.8</v>
      </c>
      <c r="BG1038" t="s">
        <v>56</v>
      </c>
      <c r="BH1038">
        <v>0.1</v>
      </c>
      <c r="BI1038">
        <v>1587</v>
      </c>
      <c r="BJ1038">
        <v>5.9</v>
      </c>
      <c r="BK1038" t="s">
        <v>56</v>
      </c>
      <c r="BL1038" t="s">
        <v>651</v>
      </c>
      <c r="BM1038" t="s">
        <v>651</v>
      </c>
      <c r="BN1038" t="s">
        <v>81</v>
      </c>
      <c r="BO1038" t="s">
        <v>82</v>
      </c>
      <c r="BP1038" t="s">
        <v>9</v>
      </c>
      <c r="BQ1038" t="s">
        <v>9</v>
      </c>
      <c r="BR1038" t="s">
        <v>84</v>
      </c>
      <c r="BT1038">
        <v>27.5</v>
      </c>
      <c r="BU1038">
        <v>27.5</v>
      </c>
      <c r="BV1038">
        <v>1.63</v>
      </c>
      <c r="BW1038">
        <f>BV1038*SQRT(AK1038)</f>
        <v>3.26</v>
      </c>
      <c r="BX1038">
        <v>20.5</v>
      </c>
      <c r="BY1038">
        <v>20.5</v>
      </c>
      <c r="BZ1038">
        <v>1.38</v>
      </c>
      <c r="CA1038">
        <f>BZ1038*SQRT(AL1038)</f>
        <v>2.76</v>
      </c>
      <c r="CB1038">
        <v>18</v>
      </c>
      <c r="CC1038">
        <v>4</v>
      </c>
      <c r="CD1038">
        <v>-0.29399999999999998</v>
      </c>
      <c r="CE1038">
        <v>8.0000000000000002E-3</v>
      </c>
      <c r="CF1038" s="8"/>
    </row>
    <row r="1039" spans="1:84" hidden="1" x14ac:dyDescent="0.2">
      <c r="B1039" t="str">
        <f>ROW()-1&amp;"_AltersInvert"</f>
        <v>1038_AltersInvert</v>
      </c>
      <c r="C1039" t="str">
        <f>D1039&amp;"_"&amp;
SUBSTITUTE(TRIM(V1039)," ","_")&amp;"_"&amp;
TRIM(AC1039)&amp;"_"&amp;
"CO2"&amp;TEXT(AN1039,"0.00")&amp;"_"&amp;
"pH"&amp;TEXT(AR1039,"0.00")&amp;"_"&amp;
"T"&amp;TEXT(BC1039,"0.##")</f>
        <v>10_Pocillopora_damicornis _LARVA_CO2420.00_pH8.03_T25.3</v>
      </c>
      <c r="D1039">
        <v>10</v>
      </c>
      <c r="G1039" t="s">
        <v>43</v>
      </c>
      <c r="H1039" t="s">
        <v>199</v>
      </c>
      <c r="J1039">
        <v>2013</v>
      </c>
      <c r="M1039" t="s">
        <v>200</v>
      </c>
      <c r="P1039" t="s">
        <v>1135</v>
      </c>
      <c r="R1039" t="s">
        <v>1127</v>
      </c>
      <c r="S1039" t="s">
        <v>1128</v>
      </c>
      <c r="T1039" t="s">
        <v>103</v>
      </c>
      <c r="U1039" t="s">
        <v>201</v>
      </c>
      <c r="V1039" t="s">
        <v>202</v>
      </c>
      <c r="Z1039" t="s">
        <v>106</v>
      </c>
      <c r="AA1039" t="s">
        <v>107</v>
      </c>
      <c r="AB1039" t="s">
        <v>71</v>
      </c>
      <c r="AC1039" t="s">
        <v>72</v>
      </c>
      <c r="AD1039" t="s">
        <v>52</v>
      </c>
      <c r="AE1039" t="s">
        <v>53</v>
      </c>
      <c r="AF1039" t="s">
        <v>52</v>
      </c>
      <c r="AG1039" t="s">
        <v>54</v>
      </c>
      <c r="AH1039" t="s">
        <v>55</v>
      </c>
      <c r="AK1039">
        <v>4</v>
      </c>
      <c r="AL1039">
        <v>4</v>
      </c>
      <c r="AN1039">
        <v>420</v>
      </c>
      <c r="AO1039">
        <v>13</v>
      </c>
      <c r="AP1039" t="s">
        <v>56</v>
      </c>
      <c r="AQ1039" t="s">
        <v>109</v>
      </c>
      <c r="AR1039">
        <v>8.0299999999999994</v>
      </c>
      <c r="AS1039">
        <v>0.01</v>
      </c>
      <c r="AT1039" t="s">
        <v>56</v>
      </c>
      <c r="AU1039">
        <v>607</v>
      </c>
      <c r="AV1039">
        <v>15</v>
      </c>
      <c r="AW1039" t="s">
        <v>56</v>
      </c>
      <c r="AX1039">
        <v>7.9</v>
      </c>
      <c r="AY1039">
        <v>0.01</v>
      </c>
      <c r="AZ1039" t="s">
        <v>56</v>
      </c>
      <c r="BB1039">
        <f>LOG(AU1039)</f>
        <v>2.7831886910752575</v>
      </c>
      <c r="BC1039">
        <v>25.3</v>
      </c>
      <c r="BD1039">
        <v>0.1</v>
      </c>
      <c r="BE1039" t="s">
        <v>56</v>
      </c>
      <c r="BF1039">
        <v>25.5</v>
      </c>
      <c r="BG1039">
        <v>0.1</v>
      </c>
      <c r="BH1039" t="s">
        <v>56</v>
      </c>
      <c r="BI1039">
        <v>187</v>
      </c>
      <c r="BJ1039">
        <v>0.2</v>
      </c>
      <c r="BK1039" t="s">
        <v>56</v>
      </c>
      <c r="BL1039" t="s">
        <v>83</v>
      </c>
      <c r="BM1039" t="s">
        <v>83</v>
      </c>
      <c r="BN1039" t="s">
        <v>81</v>
      </c>
      <c r="BO1039" t="s">
        <v>82</v>
      </c>
      <c r="BP1039" t="s">
        <v>204</v>
      </c>
      <c r="BQ1039" t="s">
        <v>83</v>
      </c>
      <c r="BR1039" t="s">
        <v>84</v>
      </c>
      <c r="BT1039">
        <v>87.18</v>
      </c>
      <c r="BU1039">
        <v>87.184466</v>
      </c>
      <c r="BV1039">
        <v>1.65</v>
      </c>
      <c r="BW1039">
        <f>BV1039*SQRT(AK1039)</f>
        <v>3.3</v>
      </c>
      <c r="BX1039">
        <v>72.52</v>
      </c>
      <c r="BY1039">
        <v>72.524271799999994</v>
      </c>
      <c r="BZ1039">
        <v>8.35</v>
      </c>
      <c r="CA1039">
        <f>BZ1039*SQRT(AL1039)</f>
        <v>16.7</v>
      </c>
      <c r="CB1039">
        <v>9</v>
      </c>
      <c r="CC1039">
        <v>4</v>
      </c>
      <c r="CD1039">
        <v>-0.184</v>
      </c>
      <c r="CE1039">
        <v>1.3599999999999999E-2</v>
      </c>
    </row>
    <row r="1040" spans="1:84" hidden="1" x14ac:dyDescent="0.2">
      <c r="B1040" t="str">
        <f>ROW()-1&amp;"_AltersInvert"</f>
        <v>1039_AltersInvert</v>
      </c>
      <c r="C1040" t="str">
        <f>D1040&amp;"_"&amp;
SUBSTITUTE(TRIM(V1040)," ","_")&amp;"_"&amp;
TRIM(AC1040)&amp;"_"&amp;
"CO2"&amp;TEXT(AN1040,"0.00")&amp;"_"&amp;
"pH"&amp;TEXT(AR1040,"0.00")&amp;"_"&amp;
"T"&amp;TEXT(BC1040,"0.##")</f>
        <v>10_Pocillopora_damicornis _LARVA_CO2420.00_pH8.03_T25.3</v>
      </c>
      <c r="D1040">
        <v>10</v>
      </c>
      <c r="G1040" t="s">
        <v>43</v>
      </c>
      <c r="H1040" t="s">
        <v>199</v>
      </c>
      <c r="J1040">
        <v>2013</v>
      </c>
      <c r="M1040" t="s">
        <v>200</v>
      </c>
      <c r="P1040" t="s">
        <v>1135</v>
      </c>
      <c r="R1040" t="s">
        <v>1127</v>
      </c>
      <c r="S1040" t="s">
        <v>1128</v>
      </c>
      <c r="T1040" t="s">
        <v>103</v>
      </c>
      <c r="U1040" t="s">
        <v>201</v>
      </c>
      <c r="V1040" t="s">
        <v>202</v>
      </c>
      <c r="Z1040" t="s">
        <v>106</v>
      </c>
      <c r="AA1040" t="s">
        <v>107</v>
      </c>
      <c r="AB1040" t="s">
        <v>71</v>
      </c>
      <c r="AC1040" t="s">
        <v>72</v>
      </c>
      <c r="AD1040" t="s">
        <v>52</v>
      </c>
      <c r="AE1040" t="s">
        <v>53</v>
      </c>
      <c r="AF1040" t="s">
        <v>54</v>
      </c>
      <c r="AG1040" t="s">
        <v>52</v>
      </c>
      <c r="AH1040" t="s">
        <v>65</v>
      </c>
      <c r="AK1040">
        <v>4</v>
      </c>
      <c r="AL1040">
        <v>4</v>
      </c>
      <c r="AN1040">
        <v>420</v>
      </c>
      <c r="AO1040">
        <v>13</v>
      </c>
      <c r="AP1040" t="s">
        <v>56</v>
      </c>
      <c r="AQ1040" t="s">
        <v>109</v>
      </c>
      <c r="AR1040">
        <v>8.0299999999999994</v>
      </c>
      <c r="AS1040">
        <v>0.01</v>
      </c>
      <c r="AT1040" t="s">
        <v>56</v>
      </c>
      <c r="AU1040">
        <v>413</v>
      </c>
      <c r="AV1040">
        <v>16</v>
      </c>
      <c r="AW1040" t="s">
        <v>56</v>
      </c>
      <c r="AX1040">
        <v>8.0500000000000007</v>
      </c>
      <c r="AY1040">
        <v>0.02</v>
      </c>
      <c r="AZ1040" t="s">
        <v>56</v>
      </c>
      <c r="BB1040">
        <f>LOG(AU1040)</f>
        <v>2.6159500516564012</v>
      </c>
      <c r="BC1040">
        <v>25.3</v>
      </c>
      <c r="BD1040">
        <v>0.1</v>
      </c>
      <c r="BE1040" t="s">
        <v>56</v>
      </c>
      <c r="BF1040">
        <v>29</v>
      </c>
      <c r="BG1040">
        <v>0.2</v>
      </c>
      <c r="BH1040" t="s">
        <v>56</v>
      </c>
      <c r="BI1040">
        <v>-7</v>
      </c>
      <c r="BJ1040">
        <v>3.7</v>
      </c>
      <c r="BK1040" t="s">
        <v>56</v>
      </c>
      <c r="BL1040" t="s">
        <v>83</v>
      </c>
      <c r="BM1040" t="s">
        <v>83</v>
      </c>
      <c r="BN1040" t="s">
        <v>81</v>
      </c>
      <c r="BO1040" t="s">
        <v>82</v>
      </c>
      <c r="BP1040" t="s">
        <v>204</v>
      </c>
      <c r="BQ1040" t="s">
        <v>83</v>
      </c>
      <c r="BR1040" t="s">
        <v>84</v>
      </c>
      <c r="BT1040">
        <v>87.18</v>
      </c>
      <c r="BU1040">
        <v>87.184466</v>
      </c>
      <c r="BV1040">
        <v>1.65</v>
      </c>
      <c r="BW1040">
        <f>BV1040*SQRT(AK1040)</f>
        <v>3.3</v>
      </c>
      <c r="BX1040">
        <v>73.88</v>
      </c>
      <c r="BY1040">
        <v>73.883495100000005</v>
      </c>
      <c r="BZ1040">
        <v>0.78</v>
      </c>
      <c r="CA1040">
        <f>BZ1040*SQRT(AL1040)</f>
        <v>1.56</v>
      </c>
      <c r="CB1040">
        <v>9</v>
      </c>
      <c r="CC1040">
        <v>4</v>
      </c>
      <c r="CD1040">
        <v>-0.16600000000000001</v>
      </c>
      <c r="CE1040">
        <v>5.0000000000000001E-4</v>
      </c>
    </row>
    <row r="1041" spans="1:84" hidden="1" x14ac:dyDescent="0.2">
      <c r="B1041" t="str">
        <f>ROW()-1&amp;"_AltersInvert"</f>
        <v>1040_AltersInvert</v>
      </c>
      <c r="C1041" t="str">
        <f>D1041&amp;"_"&amp;
SUBSTITUTE(TRIM(V1041)," ","_")&amp;"_"&amp;
TRIM(AC1041)&amp;"_"&amp;
"CO2"&amp;TEXT(AN1041,"0.00")&amp;"_"&amp;
"pH"&amp;TEXT(AR1041,"0.00")&amp;"_"&amp;
"T"&amp;TEXT(BC1041,"0.##")</f>
        <v>10_Pocillopora_damicornis _LARVA_CO2420.00_pH8.03_T25.3</v>
      </c>
      <c r="D1041">
        <v>10</v>
      </c>
      <c r="G1041" t="s">
        <v>43</v>
      </c>
      <c r="H1041" t="s">
        <v>199</v>
      </c>
      <c r="J1041">
        <v>2013</v>
      </c>
      <c r="M1041" t="s">
        <v>200</v>
      </c>
      <c r="P1041" t="s">
        <v>1135</v>
      </c>
      <c r="R1041" t="s">
        <v>1127</v>
      </c>
      <c r="S1041" t="s">
        <v>1128</v>
      </c>
      <c r="T1041" t="s">
        <v>103</v>
      </c>
      <c r="U1041" t="s">
        <v>201</v>
      </c>
      <c r="V1041" t="s">
        <v>202</v>
      </c>
      <c r="Z1041" t="s">
        <v>106</v>
      </c>
      <c r="AA1041" t="s">
        <v>107</v>
      </c>
      <c r="AB1041" t="s">
        <v>71</v>
      </c>
      <c r="AC1041" t="s">
        <v>72</v>
      </c>
      <c r="AD1041" t="s">
        <v>52</v>
      </c>
      <c r="AE1041" t="s">
        <v>53</v>
      </c>
      <c r="AF1041" t="s">
        <v>52</v>
      </c>
      <c r="AG1041" t="s">
        <v>52</v>
      </c>
      <c r="AH1041" t="s">
        <v>64</v>
      </c>
      <c r="AK1041">
        <v>4</v>
      </c>
      <c r="AL1041">
        <v>4</v>
      </c>
      <c r="AN1041">
        <v>420</v>
      </c>
      <c r="AO1041">
        <v>13</v>
      </c>
      <c r="AP1041" t="s">
        <v>56</v>
      </c>
      <c r="AQ1041" t="s">
        <v>109</v>
      </c>
      <c r="AR1041">
        <v>8.0299999999999994</v>
      </c>
      <c r="AS1041">
        <v>0.01</v>
      </c>
      <c r="AT1041" t="s">
        <v>56</v>
      </c>
      <c r="AU1041">
        <v>656</v>
      </c>
      <c r="AV1041">
        <v>18</v>
      </c>
      <c r="AW1041" t="s">
        <v>56</v>
      </c>
      <c r="AX1041">
        <v>7.88</v>
      </c>
      <c r="AY1041">
        <v>0.01</v>
      </c>
      <c r="AZ1041" t="s">
        <v>56</v>
      </c>
      <c r="BB1041">
        <f>LOG(AU1041)</f>
        <v>2.8169038393756605</v>
      </c>
      <c r="BC1041">
        <v>25.3</v>
      </c>
      <c r="BD1041">
        <v>0.1</v>
      </c>
      <c r="BE1041" t="s">
        <v>56</v>
      </c>
      <c r="BF1041">
        <v>29.1</v>
      </c>
      <c r="BG1041">
        <v>0.1</v>
      </c>
      <c r="BH1041" t="s">
        <v>56</v>
      </c>
      <c r="BI1041">
        <v>236</v>
      </c>
      <c r="BJ1041">
        <v>3.9</v>
      </c>
      <c r="BK1041" t="s">
        <v>56</v>
      </c>
      <c r="BL1041" t="s">
        <v>83</v>
      </c>
      <c r="BM1041" t="s">
        <v>83</v>
      </c>
      <c r="BN1041" t="s">
        <v>81</v>
      </c>
      <c r="BO1041" t="s">
        <v>82</v>
      </c>
      <c r="BP1041" t="s">
        <v>204</v>
      </c>
      <c r="BQ1041" t="s">
        <v>83</v>
      </c>
      <c r="BR1041" t="s">
        <v>84</v>
      </c>
      <c r="BT1041">
        <v>87.18</v>
      </c>
      <c r="BU1041">
        <v>87.184466</v>
      </c>
      <c r="BV1041">
        <v>1.65</v>
      </c>
      <c r="BW1041">
        <f>BV1041*SQRT(AK1041)</f>
        <v>3.3</v>
      </c>
      <c r="BX1041">
        <v>85.34</v>
      </c>
      <c r="BY1041">
        <v>85.339805799999993</v>
      </c>
      <c r="BZ1041">
        <v>3.3</v>
      </c>
      <c r="CA1041">
        <f>BZ1041*SQRT(AL1041)</f>
        <v>6.6</v>
      </c>
      <c r="CB1041">
        <v>9</v>
      </c>
      <c r="CC1041">
        <v>4</v>
      </c>
      <c r="CD1041">
        <v>-2.1000000000000001E-2</v>
      </c>
      <c r="CE1041">
        <v>1.9E-3</v>
      </c>
    </row>
    <row r="1042" spans="1:84" hidden="1" x14ac:dyDescent="0.2">
      <c r="A1042" s="8"/>
      <c r="B1042" t="str">
        <f>ROW()-1&amp;"_AltersInvert"</f>
        <v>1041_AltersInvert</v>
      </c>
      <c r="C1042" t="str">
        <f>D1042&amp;"_"&amp;
SUBSTITUTE(TRIM(V1042)," ","_")&amp;"_"&amp;
TRIM(AC1042)&amp;"_"&amp;
"CO2"&amp;TEXT(AN1042,"0.00")&amp;"_"&amp;
"pH"&amp;TEXT(AR1042,"0.00")&amp;"_"&amp;
"T"&amp;TEXT(BC1042,"0.##")</f>
        <v>114_Acropora_millepora_EMBRYO_CO2439.00_pH8.15_T25.97</v>
      </c>
      <c r="D1042" s="8">
        <v>114</v>
      </c>
      <c r="E1042" s="8"/>
      <c r="F1042" s="8"/>
      <c r="G1042" s="8" t="s">
        <v>43</v>
      </c>
      <c r="H1042" s="8" t="s">
        <v>841</v>
      </c>
      <c r="I1042" s="8"/>
      <c r="J1042" s="8">
        <v>2013</v>
      </c>
      <c r="K1042" s="8"/>
      <c r="L1042" s="8"/>
      <c r="M1042" s="8" t="s">
        <v>257</v>
      </c>
      <c r="N1042" s="8"/>
      <c r="O1042" s="8"/>
      <c r="P1042" t="s">
        <v>1135</v>
      </c>
      <c r="Q1042" s="8"/>
      <c r="R1042" s="8" t="s">
        <v>1127</v>
      </c>
      <c r="S1042" t="s">
        <v>1128</v>
      </c>
      <c r="T1042" s="8" t="s">
        <v>103</v>
      </c>
      <c r="U1042" s="8" t="s">
        <v>228</v>
      </c>
      <c r="V1042" s="8" t="s">
        <v>842</v>
      </c>
      <c r="W1042" s="8" t="str">
        <f>IF(ISNUMBER(MATCH(V436,{"Doryteuthis pealeii","Loligo vulgaris","Leptuca thayeri","Stylocheilus striatus","Ophryotrocha labronica"},0)),"N","Y")</f>
        <v>Y</v>
      </c>
      <c r="X1042" s="8"/>
      <c r="Y1042" s="8"/>
      <c r="Z1042" s="8" t="s">
        <v>106</v>
      </c>
      <c r="AA1042" s="8" t="s">
        <v>107</v>
      </c>
      <c r="AB1042" s="8" t="s">
        <v>71</v>
      </c>
      <c r="AC1042" s="8" t="s">
        <v>195</v>
      </c>
      <c r="AD1042" s="8" t="s">
        <v>52</v>
      </c>
      <c r="AE1042" s="8" t="s">
        <v>53</v>
      </c>
      <c r="AF1042" s="8" t="s">
        <v>52</v>
      </c>
      <c r="AG1042" s="8" t="s">
        <v>54</v>
      </c>
      <c r="AH1042" s="8" t="s">
        <v>55</v>
      </c>
      <c r="AI1042" s="8"/>
      <c r="AJ1042" s="8"/>
      <c r="AK1042" s="8">
        <v>9</v>
      </c>
      <c r="AL1042" s="8">
        <v>9</v>
      </c>
      <c r="AM1042" s="8"/>
      <c r="AN1042" s="8">
        <v>439</v>
      </c>
      <c r="AO1042" s="8" t="s">
        <v>56</v>
      </c>
      <c r="AP1042" s="8" t="s">
        <v>56</v>
      </c>
      <c r="AQ1042" s="8" t="s">
        <v>57</v>
      </c>
      <c r="AR1042" s="8">
        <v>8.15</v>
      </c>
      <c r="AS1042" s="8" t="s">
        <v>56</v>
      </c>
      <c r="AT1042" s="8" t="s">
        <v>56</v>
      </c>
      <c r="AU1042" s="8">
        <v>670</v>
      </c>
      <c r="AV1042" t="s">
        <v>56</v>
      </c>
      <c r="AW1042" t="s">
        <v>56</v>
      </c>
      <c r="AX1042">
        <v>8.0299999999999994</v>
      </c>
      <c r="AY1042" t="s">
        <v>56</v>
      </c>
      <c r="AZ1042" t="s">
        <v>56</v>
      </c>
      <c r="BA1042" s="8"/>
      <c r="BB1042" s="8">
        <f>LOG(AU1042)</f>
        <v>2.8260748027008264</v>
      </c>
      <c r="BC1042" s="8">
        <v>25.97</v>
      </c>
      <c r="BD1042" s="8" t="s">
        <v>56</v>
      </c>
      <c r="BE1042" s="8" t="s">
        <v>56</v>
      </c>
      <c r="BF1042" s="8">
        <v>26</v>
      </c>
      <c r="BG1042" s="8" t="s">
        <v>56</v>
      </c>
      <c r="BH1042" s="8" t="s">
        <v>56</v>
      </c>
      <c r="BI1042" s="8">
        <v>231</v>
      </c>
      <c r="BJ1042" s="8">
        <v>0</v>
      </c>
      <c r="BK1042" s="8" t="s">
        <v>846</v>
      </c>
      <c r="BL1042" s="8" t="s">
        <v>473</v>
      </c>
      <c r="BM1042" s="8" t="s">
        <v>473</v>
      </c>
      <c r="BN1042" s="8" t="s">
        <v>81</v>
      </c>
      <c r="BO1042" s="8" t="s">
        <v>82</v>
      </c>
      <c r="BP1042" s="8" t="s">
        <v>190</v>
      </c>
      <c r="BQ1042" s="8" t="s">
        <v>190</v>
      </c>
      <c r="BR1042" s="8" t="s">
        <v>84</v>
      </c>
      <c r="BS1042" s="8"/>
      <c r="BT1042" s="8">
        <v>91.15</v>
      </c>
      <c r="BU1042" s="8">
        <v>91.152263000000005</v>
      </c>
      <c r="BV1042" s="8">
        <v>1.1000000000000001</v>
      </c>
      <c r="BW1042" s="8">
        <f>BV1042*SQRT(AK1042)</f>
        <v>3.3000000000000003</v>
      </c>
      <c r="BX1042" s="8">
        <v>87.86</v>
      </c>
      <c r="BY1042" s="8">
        <v>87.860082300000002</v>
      </c>
      <c r="BZ1042" s="8">
        <v>0.92</v>
      </c>
      <c r="CA1042" s="8">
        <f>BZ1042*SQRT(AL1042)</f>
        <v>2.7600000000000002</v>
      </c>
      <c r="CB1042" s="8">
        <v>0</v>
      </c>
      <c r="CC1042" s="8">
        <v>3</v>
      </c>
      <c r="CD1042" s="8">
        <v>-3.6999999999999998E-2</v>
      </c>
      <c r="CE1042" s="8">
        <v>2.9999999999999997E-4</v>
      </c>
      <c r="CF1042" s="8" t="s">
        <v>1134</v>
      </c>
    </row>
    <row r="1043" spans="1:84" hidden="1" x14ac:dyDescent="0.2">
      <c r="A1043" s="8"/>
      <c r="B1043" t="str">
        <f>ROW()-1&amp;"_AltersInvert"</f>
        <v>1042_AltersInvert</v>
      </c>
      <c r="C1043" t="str">
        <f>D1043&amp;"_"&amp;
SUBSTITUTE(TRIM(V1043)," ","_")&amp;"_"&amp;
TRIM(AC1043)&amp;"_"&amp;
"CO2"&amp;TEXT(AN1043,"0.00")&amp;"_"&amp;
"pH"&amp;TEXT(AR1043,"0.00")&amp;"_"&amp;
"T"&amp;TEXT(BC1043,"0.##")</f>
        <v>114_Acropora_millepora_EMBRYO_CO2439.00_pH8.15_T25.97</v>
      </c>
      <c r="D1043" s="8">
        <v>114</v>
      </c>
      <c r="E1043" s="8"/>
      <c r="F1043" s="8"/>
      <c r="G1043" s="8" t="s">
        <v>43</v>
      </c>
      <c r="H1043" s="8" t="s">
        <v>841</v>
      </c>
      <c r="I1043" s="8"/>
      <c r="J1043" s="8">
        <v>2013</v>
      </c>
      <c r="K1043" s="8"/>
      <c r="L1043" s="8"/>
      <c r="M1043" s="8" t="s">
        <v>257</v>
      </c>
      <c r="N1043" s="8"/>
      <c r="O1043" s="8"/>
      <c r="P1043" t="s">
        <v>1135</v>
      </c>
      <c r="Q1043" s="8"/>
      <c r="R1043" s="8" t="s">
        <v>1127</v>
      </c>
      <c r="S1043" t="s">
        <v>1128</v>
      </c>
      <c r="T1043" s="8" t="s">
        <v>103</v>
      </c>
      <c r="U1043" s="8" t="s">
        <v>228</v>
      </c>
      <c r="V1043" s="8" t="s">
        <v>842</v>
      </c>
      <c r="W1043" s="8" t="str">
        <f>IF(ISNUMBER(MATCH(V437,{"Doryteuthis pealeii","Loligo vulgaris","Leptuca thayeri","Stylocheilus striatus","Ophryotrocha labronica"},0)),"N","Y")</f>
        <v>Y</v>
      </c>
      <c r="X1043" s="8"/>
      <c r="Y1043" s="8"/>
      <c r="Z1043" s="8" t="s">
        <v>106</v>
      </c>
      <c r="AA1043" s="8" t="s">
        <v>107</v>
      </c>
      <c r="AB1043" s="8" t="s">
        <v>71</v>
      </c>
      <c r="AC1043" s="8" t="s">
        <v>195</v>
      </c>
      <c r="AD1043" s="8" t="s">
        <v>52</v>
      </c>
      <c r="AE1043" s="8" t="s">
        <v>53</v>
      </c>
      <c r="AF1043" s="8" t="s">
        <v>54</v>
      </c>
      <c r="AG1043" s="8" t="s">
        <v>52</v>
      </c>
      <c r="AH1043" s="8" t="s">
        <v>65</v>
      </c>
      <c r="AI1043" s="8"/>
      <c r="AJ1043" s="8"/>
      <c r="AK1043" s="8">
        <v>9</v>
      </c>
      <c r="AL1043" s="8">
        <v>9</v>
      </c>
      <c r="AM1043" s="8"/>
      <c r="AN1043" s="8">
        <v>439</v>
      </c>
      <c r="AO1043" s="8" t="s">
        <v>56</v>
      </c>
      <c r="AP1043" s="8" t="s">
        <v>56</v>
      </c>
      <c r="AQ1043" s="8" t="s">
        <v>57</v>
      </c>
      <c r="AR1043" s="8">
        <v>8.15</v>
      </c>
      <c r="AS1043" s="8" t="s">
        <v>56</v>
      </c>
      <c r="AT1043" s="8" t="s">
        <v>56</v>
      </c>
      <c r="AU1043" s="8">
        <v>506</v>
      </c>
      <c r="AV1043" t="s">
        <v>56</v>
      </c>
      <c r="AW1043" t="s">
        <v>56</v>
      </c>
      <c r="AX1043">
        <v>8.16</v>
      </c>
      <c r="AY1043" t="s">
        <v>56</v>
      </c>
      <c r="AZ1043" t="s">
        <v>56</v>
      </c>
      <c r="BA1043" s="8"/>
      <c r="BB1043" s="8">
        <f>LOG(AU1043)</f>
        <v>2.7041505168397992</v>
      </c>
      <c r="BC1043" s="8">
        <v>25.97</v>
      </c>
      <c r="BD1043" s="8" t="s">
        <v>56</v>
      </c>
      <c r="BE1043" s="8" t="s">
        <v>56</v>
      </c>
      <c r="BF1043" s="8">
        <v>28.6</v>
      </c>
      <c r="BG1043" s="8" t="s">
        <v>56</v>
      </c>
      <c r="BH1043" s="8" t="s">
        <v>56</v>
      </c>
      <c r="BI1043" s="8">
        <v>68</v>
      </c>
      <c r="BJ1043" s="8">
        <v>2.7</v>
      </c>
      <c r="BK1043" s="8" t="s">
        <v>846</v>
      </c>
      <c r="BL1043" s="8" t="s">
        <v>473</v>
      </c>
      <c r="BM1043" s="8" t="s">
        <v>473</v>
      </c>
      <c r="BN1043" s="8" t="s">
        <v>81</v>
      </c>
      <c r="BO1043" s="8" t="s">
        <v>82</v>
      </c>
      <c r="BP1043" s="8" t="s">
        <v>190</v>
      </c>
      <c r="BQ1043" s="8" t="s">
        <v>190</v>
      </c>
      <c r="BR1043" s="8" t="s">
        <v>84</v>
      </c>
      <c r="BS1043" s="8"/>
      <c r="BT1043" s="8">
        <v>91.15</v>
      </c>
      <c r="BU1043" s="8">
        <v>91.152263000000005</v>
      </c>
      <c r="BV1043" s="8">
        <v>1.1000000000000001</v>
      </c>
      <c r="BW1043" s="8">
        <f>BV1043*SQRT(AK1043)</f>
        <v>3.3000000000000003</v>
      </c>
      <c r="BX1043" s="8">
        <v>93.62</v>
      </c>
      <c r="BY1043" s="8">
        <v>93.621399199999999</v>
      </c>
      <c r="BZ1043" s="8">
        <v>0.51</v>
      </c>
      <c r="CA1043" s="8">
        <f>BZ1043*SQRT(AL1043)</f>
        <v>1.53</v>
      </c>
      <c r="CB1043" s="8">
        <v>0</v>
      </c>
      <c r="CC1043" s="8">
        <v>3</v>
      </c>
      <c r="CD1043" s="8">
        <v>2.7E-2</v>
      </c>
      <c r="CE1043" s="8">
        <v>2.0000000000000001E-4</v>
      </c>
      <c r="CF1043" s="8" t="s">
        <v>1134</v>
      </c>
    </row>
    <row r="1044" spans="1:84" hidden="1" x14ac:dyDescent="0.2">
      <c r="A1044" s="8"/>
      <c r="B1044" t="str">
        <f>ROW()-1&amp;"_AltersInvert"</f>
        <v>1043_AltersInvert</v>
      </c>
      <c r="C1044" t="str">
        <f>D1044&amp;"_"&amp;
SUBSTITUTE(TRIM(V1044)," ","_")&amp;"_"&amp;
TRIM(AC1044)&amp;"_"&amp;
"CO2"&amp;TEXT(AN1044,"0.00")&amp;"_"&amp;
"pH"&amp;TEXT(AR1044,"0.00")&amp;"_"&amp;
"T"&amp;TEXT(BC1044,"0.##")</f>
        <v>114_Acropora_millepora_EMBRYO_CO2439.00_pH8.15_T25.97</v>
      </c>
      <c r="D1044" s="8">
        <v>114</v>
      </c>
      <c r="E1044" s="8"/>
      <c r="F1044" s="8"/>
      <c r="G1044" s="8" t="s">
        <v>43</v>
      </c>
      <c r="H1044" s="8" t="s">
        <v>841</v>
      </c>
      <c r="I1044" s="8"/>
      <c r="J1044" s="8">
        <v>2013</v>
      </c>
      <c r="K1044" s="8"/>
      <c r="L1044" s="8"/>
      <c r="M1044" s="8" t="s">
        <v>257</v>
      </c>
      <c r="N1044" s="8"/>
      <c r="O1044" s="8"/>
      <c r="P1044" t="s">
        <v>1135</v>
      </c>
      <c r="Q1044" s="8"/>
      <c r="R1044" s="8" t="s">
        <v>1127</v>
      </c>
      <c r="S1044" t="s">
        <v>1128</v>
      </c>
      <c r="T1044" s="8" t="s">
        <v>103</v>
      </c>
      <c r="U1044" s="8" t="s">
        <v>228</v>
      </c>
      <c r="V1044" s="8" t="s">
        <v>842</v>
      </c>
      <c r="W1044" s="8" t="str">
        <f>IF(ISNUMBER(MATCH(V438,{"Doryteuthis pealeii","Loligo vulgaris","Leptuca thayeri","Stylocheilus striatus","Ophryotrocha labronica"},0)),"N","Y")</f>
        <v>Y</v>
      </c>
      <c r="X1044" s="8"/>
      <c r="Y1044" s="8"/>
      <c r="Z1044" s="8" t="s">
        <v>106</v>
      </c>
      <c r="AA1044" s="8" t="s">
        <v>107</v>
      </c>
      <c r="AB1044" s="8" t="s">
        <v>71</v>
      </c>
      <c r="AC1044" s="8" t="s">
        <v>195</v>
      </c>
      <c r="AD1044" s="8" t="s">
        <v>52</v>
      </c>
      <c r="AE1044" s="8" t="s">
        <v>53</v>
      </c>
      <c r="AF1044" s="8" t="s">
        <v>52</v>
      </c>
      <c r="AG1044" s="8" t="s">
        <v>52</v>
      </c>
      <c r="AH1044" s="8" t="s">
        <v>64</v>
      </c>
      <c r="AI1044" s="8"/>
      <c r="AJ1044" s="8"/>
      <c r="AK1044" s="8">
        <v>9</v>
      </c>
      <c r="AL1044" s="8">
        <v>9</v>
      </c>
      <c r="AM1044" s="8"/>
      <c r="AN1044" s="8">
        <v>439</v>
      </c>
      <c r="AO1044" s="8" t="s">
        <v>56</v>
      </c>
      <c r="AP1044" s="8" t="s">
        <v>56</v>
      </c>
      <c r="AQ1044" s="8" t="s">
        <v>57</v>
      </c>
      <c r="AR1044" s="8">
        <v>8.15</v>
      </c>
      <c r="AS1044" s="8" t="s">
        <v>56</v>
      </c>
      <c r="AT1044" s="8" t="s">
        <v>56</v>
      </c>
      <c r="AU1044" s="8">
        <v>695</v>
      </c>
      <c r="AV1044" t="s">
        <v>56</v>
      </c>
      <c r="AW1044" t="s">
        <v>56</v>
      </c>
      <c r="AX1044">
        <v>8.0399999999999991</v>
      </c>
      <c r="AY1044" t="s">
        <v>56</v>
      </c>
      <c r="AZ1044" t="s">
        <v>56</v>
      </c>
      <c r="BA1044" s="8"/>
      <c r="BB1044" s="8">
        <f>LOG(AU1044)</f>
        <v>2.8419848045901137</v>
      </c>
      <c r="BC1044" s="8">
        <v>25.97</v>
      </c>
      <c r="BD1044" s="8" t="s">
        <v>56</v>
      </c>
      <c r="BE1044" s="8" t="s">
        <v>56</v>
      </c>
      <c r="BF1044" s="8">
        <v>29</v>
      </c>
      <c r="BG1044" s="8" t="s">
        <v>56</v>
      </c>
      <c r="BH1044" s="8" t="s">
        <v>56</v>
      </c>
      <c r="BI1044" s="8">
        <v>256</v>
      </c>
      <c r="BJ1044" s="8">
        <v>3</v>
      </c>
      <c r="BK1044" s="8" t="s">
        <v>846</v>
      </c>
      <c r="BL1044" s="8" t="s">
        <v>473</v>
      </c>
      <c r="BM1044" s="8" t="s">
        <v>473</v>
      </c>
      <c r="BN1044" s="8" t="s">
        <v>81</v>
      </c>
      <c r="BO1044" s="8" t="s">
        <v>82</v>
      </c>
      <c r="BP1044" s="8" t="s">
        <v>190</v>
      </c>
      <c r="BQ1044" s="8" t="s">
        <v>190</v>
      </c>
      <c r="BR1044" s="8" t="s">
        <v>84</v>
      </c>
      <c r="BS1044" s="8"/>
      <c r="BT1044" s="8">
        <v>91.15</v>
      </c>
      <c r="BU1044" s="8">
        <v>91.152263000000005</v>
      </c>
      <c r="BV1044" s="8">
        <v>1.1000000000000001</v>
      </c>
      <c r="BW1044" s="8">
        <f>BV1044*SQRT(AK1044)</f>
        <v>3.3000000000000003</v>
      </c>
      <c r="BX1044" s="8">
        <v>87.04</v>
      </c>
      <c r="BY1044" s="8">
        <v>87.037036999999998</v>
      </c>
      <c r="BZ1044" s="8">
        <v>1.07</v>
      </c>
      <c r="CA1044" s="8">
        <f>BZ1044*SQRT(AL1044)</f>
        <v>3.21</v>
      </c>
      <c r="CB1044" s="8">
        <v>0</v>
      </c>
      <c r="CC1044" s="8">
        <v>3</v>
      </c>
      <c r="CD1044" s="8">
        <v>-4.5999999999999999E-2</v>
      </c>
      <c r="CE1044" s="8">
        <v>2.9999999999999997E-4</v>
      </c>
      <c r="CF1044" s="8" t="s">
        <v>1134</v>
      </c>
    </row>
    <row r="1045" spans="1:84" hidden="1" x14ac:dyDescent="0.2">
      <c r="A1045" s="8"/>
      <c r="B1045" t="str">
        <f>ROW()-1&amp;"_AltersInvert"</f>
        <v>1044_AltersInvert</v>
      </c>
      <c r="C1045" t="str">
        <f>D1045&amp;"_"&amp;
SUBSTITUTE(TRIM(V1045)," ","_")&amp;"_"&amp;
TRIM(AC1045)&amp;"_"&amp;
"CO2"&amp;TEXT(AN1045,"0.00")&amp;"_"&amp;
"pH"&amp;TEXT(AR1045,"0.00")&amp;"_"&amp;
"T"&amp;TEXT(BC1045,"0.##")</f>
        <v>49_Limecola_balthica_EMBRYO_CO2681.00_pH7.87_T15.</v>
      </c>
      <c r="D1045" s="8">
        <v>49</v>
      </c>
      <c r="E1045" s="8"/>
      <c r="F1045" s="8"/>
      <c r="G1045" s="8" t="s">
        <v>43</v>
      </c>
      <c r="H1045" s="8" t="s">
        <v>512</v>
      </c>
      <c r="I1045" s="8" t="s">
        <v>1130</v>
      </c>
      <c r="J1045" s="8">
        <v>2018</v>
      </c>
      <c r="K1045" s="8"/>
      <c r="L1045" s="8"/>
      <c r="M1045" s="8" t="s">
        <v>513</v>
      </c>
      <c r="N1045" s="8"/>
      <c r="O1045" s="8"/>
      <c r="P1045" t="s">
        <v>1135</v>
      </c>
      <c r="Q1045" s="8"/>
      <c r="R1045" s="8" t="s">
        <v>1127</v>
      </c>
      <c r="S1045" t="s">
        <v>1128</v>
      </c>
      <c r="T1045" s="8" t="s">
        <v>68</v>
      </c>
      <c r="U1045" s="8" t="s">
        <v>514</v>
      </c>
      <c r="V1045" s="8" t="s">
        <v>515</v>
      </c>
      <c r="W1045" s="8" t="str">
        <f>IF(ISNUMBER(MATCH(#REF!,{"Doryteuthis pealeii","Loligo vulgaris","Leptuca thayeri","Stylocheilus striatus","Ophryotrocha labronica"},0)),"N","Y")</f>
        <v>Y</v>
      </c>
      <c r="X1045" s="8"/>
      <c r="Y1045" s="8"/>
      <c r="Z1045" s="8" t="s">
        <v>49</v>
      </c>
      <c r="AA1045" s="8" t="s">
        <v>49</v>
      </c>
      <c r="AB1045" s="8" t="s">
        <v>71</v>
      </c>
      <c r="AC1045" s="8" t="s">
        <v>195</v>
      </c>
      <c r="AD1045" s="8" t="s">
        <v>52</v>
      </c>
      <c r="AE1045" s="8" t="s">
        <v>53</v>
      </c>
      <c r="AF1045" s="8" t="s">
        <v>52</v>
      </c>
      <c r="AG1045" s="8" t="s">
        <v>54</v>
      </c>
      <c r="AH1045" s="8" t="s">
        <v>55</v>
      </c>
      <c r="AI1045" s="8"/>
      <c r="AJ1045" s="8"/>
      <c r="AK1045" s="8">
        <v>5</v>
      </c>
      <c r="AL1045" s="8">
        <v>5</v>
      </c>
      <c r="AM1045" s="8"/>
      <c r="AN1045" s="8">
        <v>681</v>
      </c>
      <c r="AO1045" s="8" t="s">
        <v>56</v>
      </c>
      <c r="AP1045" s="8" t="s">
        <v>56</v>
      </c>
      <c r="AQ1045" s="8" t="s">
        <v>57</v>
      </c>
      <c r="AR1045" s="8">
        <v>7.87</v>
      </c>
      <c r="AS1045" s="8" t="s">
        <v>56</v>
      </c>
      <c r="AT1045" s="8" t="s">
        <v>56</v>
      </c>
      <c r="AU1045" s="8">
        <v>1970</v>
      </c>
      <c r="AV1045" t="s">
        <v>56</v>
      </c>
      <c r="AW1045" t="s">
        <v>56</v>
      </c>
      <c r="AX1045">
        <v>7.44</v>
      </c>
      <c r="AY1045" t="s">
        <v>56</v>
      </c>
      <c r="AZ1045" t="s">
        <v>56</v>
      </c>
      <c r="BA1045" s="8"/>
      <c r="BB1045" s="8">
        <f>LOG(AU1045)</f>
        <v>3.2944662261615929</v>
      </c>
      <c r="BC1045" s="8">
        <v>15</v>
      </c>
      <c r="BD1045" s="8" t="s">
        <v>56</v>
      </c>
      <c r="BE1045" s="8" t="s">
        <v>56</v>
      </c>
      <c r="BF1045" s="8">
        <v>15</v>
      </c>
      <c r="BG1045" s="8" t="s">
        <v>56</v>
      </c>
      <c r="BH1045" s="8" t="s">
        <v>56</v>
      </c>
      <c r="BI1045" s="8">
        <v>1289</v>
      </c>
      <c r="BJ1045" s="8">
        <v>0</v>
      </c>
      <c r="BK1045" s="8" t="s">
        <v>516</v>
      </c>
      <c r="BL1045" s="8" t="s">
        <v>196</v>
      </c>
      <c r="BM1045" s="8" t="s">
        <v>197</v>
      </c>
      <c r="BN1045" s="8" t="s">
        <v>81</v>
      </c>
      <c r="BO1045" s="8" t="s">
        <v>82</v>
      </c>
      <c r="BP1045" s="8" t="s">
        <v>83</v>
      </c>
      <c r="BQ1045" s="8" t="s">
        <v>92</v>
      </c>
      <c r="BR1045" s="8" t="s">
        <v>84</v>
      </c>
      <c r="BS1045" s="8"/>
      <c r="BT1045" s="8">
        <v>38.97</v>
      </c>
      <c r="BU1045" s="8">
        <v>38.965516999999998</v>
      </c>
      <c r="BV1045" s="8">
        <v>1.55</v>
      </c>
      <c r="BW1045" s="8">
        <f>BV1045*SQRT(AK1045)</f>
        <v>3.4659053651246743</v>
      </c>
      <c r="BX1045" s="8">
        <v>12.76</v>
      </c>
      <c r="BY1045" s="8">
        <v>12.7586207</v>
      </c>
      <c r="BZ1045" s="8">
        <v>1.72</v>
      </c>
      <c r="CA1045" s="8">
        <f>BZ1045*SQRT(AL1045)</f>
        <v>3.8460369212996386</v>
      </c>
      <c r="CB1045" s="8">
        <v>3</v>
      </c>
      <c r="CC1045" s="8">
        <v>5</v>
      </c>
      <c r="CD1045" s="8">
        <v>-1.1160000000000001</v>
      </c>
      <c r="CE1045" s="8">
        <v>1.9800000000000002E-2</v>
      </c>
      <c r="CF1045" s="8" t="s">
        <v>1134</v>
      </c>
    </row>
    <row r="1046" spans="1:84" s="11" customFormat="1" hidden="1" x14ac:dyDescent="0.2">
      <c r="A1046" s="8"/>
      <c r="B1046" t="str">
        <f>ROW()-1&amp;"_AltersInvert"</f>
        <v>1045_AltersInvert</v>
      </c>
      <c r="C1046" t="str">
        <f>D1046&amp;"_"&amp;
SUBSTITUTE(TRIM(V1046)," ","_")&amp;"_"&amp;
TRIM(AC1046)&amp;"_"&amp;
"CO2"&amp;TEXT(AN1046,"0.00")&amp;"_"&amp;
"pH"&amp;TEXT(AR1046,"0.00")&amp;"_"&amp;
"T"&amp;TEXT(BC1046,"0.##")</f>
        <v>49_Limecola_balthica_EMBRYO_CO2681.00_pH7.87_T15.</v>
      </c>
      <c r="D1046" s="8">
        <v>49</v>
      </c>
      <c r="E1046" s="8"/>
      <c r="F1046" s="8"/>
      <c r="G1046" s="8" t="s">
        <v>43</v>
      </c>
      <c r="H1046" s="8" t="s">
        <v>512</v>
      </c>
      <c r="I1046" s="8" t="s">
        <v>1130</v>
      </c>
      <c r="J1046" s="8">
        <v>2018</v>
      </c>
      <c r="K1046" s="8"/>
      <c r="L1046" s="8"/>
      <c r="M1046" s="8" t="s">
        <v>513</v>
      </c>
      <c r="N1046" s="8"/>
      <c r="O1046" s="8"/>
      <c r="P1046" t="s">
        <v>1135</v>
      </c>
      <c r="Q1046" s="8"/>
      <c r="R1046" s="8" t="s">
        <v>1127</v>
      </c>
      <c r="S1046" t="s">
        <v>1128</v>
      </c>
      <c r="T1046" s="8" t="s">
        <v>68</v>
      </c>
      <c r="U1046" s="8" t="s">
        <v>514</v>
      </c>
      <c r="V1046" s="8" t="s">
        <v>515</v>
      </c>
      <c r="W1046" s="8" t="str">
        <f>IF(ISNUMBER(MATCH(#REF!,{"Doryteuthis pealeii","Loligo vulgaris","Leptuca thayeri","Stylocheilus striatus","Ophryotrocha labronica"},0)),"N","Y")</f>
        <v>Y</v>
      </c>
      <c r="X1046" s="8"/>
      <c r="Y1046" s="8"/>
      <c r="Z1046" s="8" t="s">
        <v>49</v>
      </c>
      <c r="AA1046" s="8" t="s">
        <v>49</v>
      </c>
      <c r="AB1046" s="8" t="s">
        <v>71</v>
      </c>
      <c r="AC1046" s="8" t="s">
        <v>195</v>
      </c>
      <c r="AD1046" s="8" t="s">
        <v>52</v>
      </c>
      <c r="AE1046" s="8" t="s">
        <v>53</v>
      </c>
      <c r="AF1046" s="8" t="s">
        <v>52</v>
      </c>
      <c r="AG1046" s="8" t="s">
        <v>54</v>
      </c>
      <c r="AH1046" s="8" t="s">
        <v>55</v>
      </c>
      <c r="AI1046" s="8"/>
      <c r="AJ1046" s="8"/>
      <c r="AK1046" s="8">
        <v>5</v>
      </c>
      <c r="AL1046" s="8">
        <v>5</v>
      </c>
      <c r="AM1046" s="8"/>
      <c r="AN1046" s="8">
        <v>681</v>
      </c>
      <c r="AO1046" s="8" t="s">
        <v>56</v>
      </c>
      <c r="AP1046" s="8" t="s">
        <v>56</v>
      </c>
      <c r="AQ1046" s="8" t="s">
        <v>57</v>
      </c>
      <c r="AR1046" s="8">
        <v>7.87</v>
      </c>
      <c r="AS1046" s="8" t="s">
        <v>56</v>
      </c>
      <c r="AT1046" s="8" t="s">
        <v>56</v>
      </c>
      <c r="AU1046" s="8">
        <v>1633</v>
      </c>
      <c r="AV1046" t="s">
        <v>56</v>
      </c>
      <c r="AW1046" t="s">
        <v>56</v>
      </c>
      <c r="AX1046">
        <v>7.52</v>
      </c>
      <c r="AY1046" t="s">
        <v>56</v>
      </c>
      <c r="AZ1046" t="s">
        <v>56</v>
      </c>
      <c r="BA1046" s="8"/>
      <c r="BB1046" s="8">
        <f>LOG(AU1046)</f>
        <v>3.2129861847366681</v>
      </c>
      <c r="BC1046" s="8">
        <v>15</v>
      </c>
      <c r="BD1046" s="8" t="s">
        <v>56</v>
      </c>
      <c r="BE1046" s="8" t="s">
        <v>56</v>
      </c>
      <c r="BF1046" s="8">
        <v>15</v>
      </c>
      <c r="BG1046" s="8" t="s">
        <v>56</v>
      </c>
      <c r="BH1046" s="8" t="s">
        <v>56</v>
      </c>
      <c r="BI1046" s="8">
        <v>952</v>
      </c>
      <c r="BJ1046" s="8">
        <v>0</v>
      </c>
      <c r="BK1046" s="8" t="s">
        <v>516</v>
      </c>
      <c r="BL1046" s="8" t="s">
        <v>196</v>
      </c>
      <c r="BM1046" s="8" t="s">
        <v>197</v>
      </c>
      <c r="BN1046" s="8" t="s">
        <v>81</v>
      </c>
      <c r="BO1046" s="8" t="s">
        <v>82</v>
      </c>
      <c r="BP1046" s="8" t="s">
        <v>83</v>
      </c>
      <c r="BQ1046" s="8" t="s">
        <v>92</v>
      </c>
      <c r="BR1046" s="8" t="s">
        <v>84</v>
      </c>
      <c r="BS1046" s="8"/>
      <c r="BT1046" s="8">
        <v>38.97</v>
      </c>
      <c r="BU1046" s="8">
        <v>38.965516999999998</v>
      </c>
      <c r="BV1046" s="8">
        <v>1.55</v>
      </c>
      <c r="BW1046" s="8">
        <f>BV1046*SQRT(AK1046)</f>
        <v>3.4659053651246743</v>
      </c>
      <c r="BX1046" s="8">
        <v>15.86</v>
      </c>
      <c r="BY1046" s="8">
        <v>15.862069</v>
      </c>
      <c r="BZ1046" s="8">
        <v>2.0699999999999998</v>
      </c>
      <c r="CA1046" s="8">
        <f>BZ1046*SQRT(AL1046)</f>
        <v>4.6286607134245648</v>
      </c>
      <c r="CB1046" s="8">
        <v>3</v>
      </c>
      <c r="CC1046" s="8">
        <v>5</v>
      </c>
      <c r="CD1046" s="8">
        <v>-0.89900000000000002</v>
      </c>
      <c r="CE1046" s="8">
        <v>1.8599999999999998E-2</v>
      </c>
      <c r="CF1046" s="8" t="s">
        <v>1134</v>
      </c>
    </row>
    <row r="1047" spans="1:84" hidden="1" x14ac:dyDescent="0.2">
      <c r="D1047">
        <v>68</v>
      </c>
      <c r="G1047" t="s">
        <v>43</v>
      </c>
      <c r="H1047" t="s">
        <v>629</v>
      </c>
      <c r="J1047">
        <v>2009</v>
      </c>
      <c r="M1047" t="s">
        <v>630</v>
      </c>
      <c r="T1047" t="s">
        <v>46</v>
      </c>
      <c r="U1047" t="s">
        <v>631</v>
      </c>
      <c r="V1047" t="s">
        <v>632</v>
      </c>
      <c r="Z1047" t="s">
        <v>49</v>
      </c>
      <c r="AA1047" t="s">
        <v>49</v>
      </c>
      <c r="AB1047" t="s">
        <v>50</v>
      </c>
      <c r="AC1047" t="s">
        <v>108</v>
      </c>
      <c r="AD1047" t="s">
        <v>52</v>
      </c>
      <c r="AE1047" t="s">
        <v>53</v>
      </c>
      <c r="AF1047" t="s">
        <v>54</v>
      </c>
      <c r="AG1047" t="s">
        <v>52</v>
      </c>
      <c r="AH1047" t="s">
        <v>65</v>
      </c>
      <c r="AK1047">
        <v>6</v>
      </c>
      <c r="AL1047">
        <v>6</v>
      </c>
      <c r="AN1047">
        <v>380</v>
      </c>
      <c r="AO1047" t="s">
        <v>56</v>
      </c>
      <c r="AP1047" t="s">
        <v>56</v>
      </c>
      <c r="AQ1047" t="s">
        <v>56</v>
      </c>
      <c r="AR1047">
        <v>7.85</v>
      </c>
      <c r="AS1047">
        <v>0.02</v>
      </c>
      <c r="AT1047" t="s">
        <v>56</v>
      </c>
      <c r="AU1047">
        <v>380</v>
      </c>
      <c r="AV1047" t="s">
        <v>56</v>
      </c>
      <c r="AW1047" t="s">
        <v>56</v>
      </c>
      <c r="AX1047">
        <v>7.88</v>
      </c>
      <c r="AY1047">
        <v>0.02</v>
      </c>
      <c r="AZ1047" t="s">
        <v>56</v>
      </c>
      <c r="BB1047">
        <f>LOG(AU1047)</f>
        <v>2.5797835966168101</v>
      </c>
      <c r="BC1047">
        <v>12</v>
      </c>
      <c r="BD1047">
        <v>0.5</v>
      </c>
      <c r="BE1047" t="s">
        <v>56</v>
      </c>
      <c r="BF1047">
        <v>15</v>
      </c>
      <c r="BG1047">
        <v>0.5</v>
      </c>
      <c r="BH1047" t="s">
        <v>56</v>
      </c>
      <c r="BI1047">
        <v>0</v>
      </c>
      <c r="BJ1047">
        <v>3</v>
      </c>
      <c r="BK1047" t="s">
        <v>56</v>
      </c>
      <c r="BL1047" t="s">
        <v>633</v>
      </c>
      <c r="BM1047" t="s">
        <v>633</v>
      </c>
      <c r="BN1047" t="s">
        <v>60</v>
      </c>
      <c r="BO1047" t="s">
        <v>82</v>
      </c>
      <c r="BP1047" t="s">
        <v>234</v>
      </c>
      <c r="BR1047" t="s">
        <v>63</v>
      </c>
      <c r="BT1047">
        <v>12.24</v>
      </c>
      <c r="BU1047">
        <v>12.24</v>
      </c>
      <c r="BV1047">
        <v>0.28999999999999998</v>
      </c>
      <c r="BW1047">
        <f>BV1047*SQRT(AK1047)</f>
        <v>0.7103520254071215</v>
      </c>
      <c r="BX1047">
        <v>10.97</v>
      </c>
      <c r="BY1047">
        <v>10.97</v>
      </c>
      <c r="BZ1047">
        <v>0.47</v>
      </c>
      <c r="CA1047">
        <f>BZ1047*SQRT(AL1047)</f>
        <v>1.1512601791080936</v>
      </c>
      <c r="CB1047">
        <v>70</v>
      </c>
      <c r="CC1047">
        <v>6</v>
      </c>
      <c r="CD1047">
        <v>-0.11</v>
      </c>
      <c r="CE1047">
        <v>2.3999999999999998E-3</v>
      </c>
    </row>
    <row r="1048" spans="1:84" hidden="1" x14ac:dyDescent="0.2">
      <c r="D1048">
        <v>68</v>
      </c>
      <c r="G1048" t="s">
        <v>43</v>
      </c>
      <c r="H1048" t="s">
        <v>629</v>
      </c>
      <c r="J1048">
        <v>2009</v>
      </c>
      <c r="M1048" t="s">
        <v>630</v>
      </c>
      <c r="T1048" t="s">
        <v>46</v>
      </c>
      <c r="U1048" t="s">
        <v>631</v>
      </c>
      <c r="V1048" t="s">
        <v>632</v>
      </c>
      <c r="Z1048" t="s">
        <v>49</v>
      </c>
      <c r="AA1048" t="s">
        <v>49</v>
      </c>
      <c r="AB1048" t="s">
        <v>50</v>
      </c>
      <c r="AC1048" t="s">
        <v>108</v>
      </c>
      <c r="AD1048" t="s">
        <v>52</v>
      </c>
      <c r="AE1048" t="s">
        <v>53</v>
      </c>
      <c r="AF1048" t="s">
        <v>52</v>
      </c>
      <c r="AG1048" t="s">
        <v>52</v>
      </c>
      <c r="AH1048" t="s">
        <v>64</v>
      </c>
      <c r="AK1048">
        <v>6</v>
      </c>
      <c r="AL1048">
        <v>6</v>
      </c>
      <c r="AN1048">
        <v>380</v>
      </c>
      <c r="AO1048" t="s">
        <v>56</v>
      </c>
      <c r="AP1048" t="s">
        <v>56</v>
      </c>
      <c r="AQ1048" t="s">
        <v>56</v>
      </c>
      <c r="AR1048">
        <v>7.85</v>
      </c>
      <c r="AS1048">
        <v>0.02</v>
      </c>
      <c r="AT1048" t="s">
        <v>56</v>
      </c>
      <c r="AU1048">
        <v>780</v>
      </c>
      <c r="AV1048" t="s">
        <v>56</v>
      </c>
      <c r="AW1048" t="s">
        <v>56</v>
      </c>
      <c r="AX1048">
        <v>7.82</v>
      </c>
      <c r="AY1048">
        <v>0.04</v>
      </c>
      <c r="AZ1048" t="s">
        <v>56</v>
      </c>
      <c r="BB1048">
        <f>LOG(AU1048)</f>
        <v>2.8920946026904804</v>
      </c>
      <c r="BC1048">
        <v>12</v>
      </c>
      <c r="BD1048">
        <v>0.5</v>
      </c>
      <c r="BE1048" t="s">
        <v>56</v>
      </c>
      <c r="BF1048">
        <v>15</v>
      </c>
      <c r="BG1048">
        <v>0.5</v>
      </c>
      <c r="BH1048" t="s">
        <v>56</v>
      </c>
      <c r="BI1048">
        <v>400</v>
      </c>
      <c r="BJ1048">
        <v>3</v>
      </c>
      <c r="BK1048" t="s">
        <v>56</v>
      </c>
      <c r="BL1048" t="s">
        <v>633</v>
      </c>
      <c r="BM1048" t="s">
        <v>633</v>
      </c>
      <c r="BN1048" t="s">
        <v>60</v>
      </c>
      <c r="BO1048" t="s">
        <v>82</v>
      </c>
      <c r="BP1048" t="s">
        <v>234</v>
      </c>
      <c r="BR1048" t="s">
        <v>63</v>
      </c>
      <c r="BT1048">
        <v>12.24</v>
      </c>
      <c r="BU1048">
        <v>12.24</v>
      </c>
      <c r="BV1048">
        <v>0.28999999999999998</v>
      </c>
      <c r="BW1048">
        <f>BV1048*SQRT(AK1048)</f>
        <v>0.7103520254071215</v>
      </c>
      <c r="BX1048">
        <v>10.99</v>
      </c>
      <c r="BY1048">
        <v>10.99</v>
      </c>
      <c r="BZ1048">
        <v>0.53</v>
      </c>
      <c r="CA1048">
        <f>BZ1048*SQRT(AL1048)</f>
        <v>1.2982295636750842</v>
      </c>
      <c r="CB1048">
        <v>70</v>
      </c>
      <c r="CC1048">
        <v>6</v>
      </c>
      <c r="CD1048">
        <v>-0.108</v>
      </c>
      <c r="CE1048">
        <v>2.8999999999999998E-3</v>
      </c>
    </row>
    <row r="1049" spans="1:84" hidden="1" x14ac:dyDescent="0.2">
      <c r="D1049">
        <v>68</v>
      </c>
      <c r="G1049" t="s">
        <v>43</v>
      </c>
      <c r="H1049" t="s">
        <v>629</v>
      </c>
      <c r="J1049">
        <v>2009</v>
      </c>
      <c r="M1049" t="s">
        <v>630</v>
      </c>
      <c r="T1049" t="s">
        <v>46</v>
      </c>
      <c r="U1049" t="s">
        <v>631</v>
      </c>
      <c r="V1049" t="s">
        <v>632</v>
      </c>
      <c r="Z1049" t="s">
        <v>49</v>
      </c>
      <c r="AA1049" t="s">
        <v>49</v>
      </c>
      <c r="AB1049" t="s">
        <v>50</v>
      </c>
      <c r="AC1049" t="s">
        <v>108</v>
      </c>
      <c r="AD1049" t="s">
        <v>52</v>
      </c>
      <c r="AE1049" t="s">
        <v>53</v>
      </c>
      <c r="AF1049" t="s">
        <v>52</v>
      </c>
      <c r="AG1049" t="s">
        <v>54</v>
      </c>
      <c r="AH1049" t="s">
        <v>55</v>
      </c>
      <c r="AK1049">
        <v>6</v>
      </c>
      <c r="AL1049">
        <v>6</v>
      </c>
      <c r="AN1049">
        <v>380</v>
      </c>
      <c r="AO1049" t="s">
        <v>56</v>
      </c>
      <c r="AP1049" t="s">
        <v>56</v>
      </c>
      <c r="AQ1049" t="s">
        <v>56</v>
      </c>
      <c r="AR1049">
        <v>7.85</v>
      </c>
      <c r="AS1049">
        <v>0.02</v>
      </c>
      <c r="AT1049" t="s">
        <v>56</v>
      </c>
      <c r="AU1049">
        <v>780</v>
      </c>
      <c r="AV1049" t="s">
        <v>56</v>
      </c>
      <c r="AW1049" t="s">
        <v>56</v>
      </c>
      <c r="AX1049">
        <v>7.79</v>
      </c>
      <c r="AY1049">
        <v>0.01</v>
      </c>
      <c r="AZ1049" t="s">
        <v>56</v>
      </c>
      <c r="BB1049">
        <f>LOG(AU1049)</f>
        <v>2.8920946026904804</v>
      </c>
      <c r="BC1049">
        <v>12</v>
      </c>
      <c r="BD1049">
        <v>0.5</v>
      </c>
      <c r="BE1049" t="s">
        <v>56</v>
      </c>
      <c r="BF1049">
        <v>12</v>
      </c>
      <c r="BG1049">
        <v>0.5</v>
      </c>
      <c r="BH1049" t="s">
        <v>56</v>
      </c>
      <c r="BI1049">
        <v>400</v>
      </c>
      <c r="BJ1049">
        <v>0</v>
      </c>
      <c r="BK1049" t="s">
        <v>56</v>
      </c>
      <c r="BL1049" t="s">
        <v>633</v>
      </c>
      <c r="BM1049" t="s">
        <v>633</v>
      </c>
      <c r="BN1049" t="s">
        <v>60</v>
      </c>
      <c r="BO1049" t="s">
        <v>82</v>
      </c>
      <c r="BP1049" t="s">
        <v>234</v>
      </c>
      <c r="BR1049" t="s">
        <v>63</v>
      </c>
      <c r="BT1049">
        <v>12.24</v>
      </c>
      <c r="BU1049">
        <v>12.24</v>
      </c>
      <c r="BV1049">
        <v>0.28999999999999998</v>
      </c>
      <c r="BW1049">
        <f>BV1049*SQRT(AK1049)</f>
        <v>0.7103520254071215</v>
      </c>
      <c r="BX1049">
        <v>11.02</v>
      </c>
      <c r="BY1049">
        <v>11.02</v>
      </c>
      <c r="BZ1049">
        <v>0.64</v>
      </c>
      <c r="CA1049">
        <f>BZ1049*SQRT(AL1049)</f>
        <v>1.5676734353812338</v>
      </c>
      <c r="CB1049">
        <v>70</v>
      </c>
      <c r="CC1049">
        <v>6</v>
      </c>
      <c r="CD1049">
        <v>-0.105</v>
      </c>
      <c r="CE1049">
        <v>3.8999999999999998E-3</v>
      </c>
    </row>
    <row r="1050" spans="1:84" hidden="1" x14ac:dyDescent="0.2">
      <c r="D1050">
        <v>68</v>
      </c>
      <c r="G1050" t="s">
        <v>43</v>
      </c>
      <c r="H1050" t="s">
        <v>629</v>
      </c>
      <c r="J1050">
        <v>2009</v>
      </c>
      <c r="M1050" t="s">
        <v>630</v>
      </c>
      <c r="T1050" t="s">
        <v>46</v>
      </c>
      <c r="U1050" t="s">
        <v>631</v>
      </c>
      <c r="V1050" t="s">
        <v>632</v>
      </c>
      <c r="Z1050" t="s">
        <v>49</v>
      </c>
      <c r="AA1050" t="s">
        <v>49</v>
      </c>
      <c r="AB1050" t="s">
        <v>50</v>
      </c>
      <c r="AC1050" t="s">
        <v>108</v>
      </c>
      <c r="AD1050" t="s">
        <v>52</v>
      </c>
      <c r="AE1050" t="s">
        <v>53</v>
      </c>
      <c r="AF1050" t="s">
        <v>52</v>
      </c>
      <c r="AG1050" t="s">
        <v>54</v>
      </c>
      <c r="AH1050" t="s">
        <v>55</v>
      </c>
      <c r="AK1050">
        <v>6</v>
      </c>
      <c r="AL1050">
        <v>6</v>
      </c>
      <c r="AN1050">
        <v>380</v>
      </c>
      <c r="AO1050" t="s">
        <v>56</v>
      </c>
      <c r="AP1050" t="s">
        <v>56</v>
      </c>
      <c r="AQ1050" t="s">
        <v>56</v>
      </c>
      <c r="AR1050">
        <v>7.85</v>
      </c>
      <c r="AS1050">
        <v>0.02</v>
      </c>
      <c r="AT1050" t="s">
        <v>56</v>
      </c>
      <c r="AU1050">
        <v>780</v>
      </c>
      <c r="AV1050" t="s">
        <v>56</v>
      </c>
      <c r="AW1050" t="s">
        <v>56</v>
      </c>
      <c r="AX1050">
        <v>7.79</v>
      </c>
      <c r="AY1050">
        <v>0.01</v>
      </c>
      <c r="AZ1050" t="s">
        <v>56</v>
      </c>
      <c r="BB1050">
        <f>LOG(AU1050)</f>
        <v>2.8920946026904804</v>
      </c>
      <c r="BC1050">
        <v>12</v>
      </c>
      <c r="BD1050">
        <v>0.5</v>
      </c>
      <c r="BE1050" t="s">
        <v>56</v>
      </c>
      <c r="BF1050">
        <v>12</v>
      </c>
      <c r="BG1050">
        <v>0.5</v>
      </c>
      <c r="BH1050" t="s">
        <v>56</v>
      </c>
      <c r="BI1050">
        <v>400</v>
      </c>
      <c r="BJ1050">
        <v>0</v>
      </c>
      <c r="BK1050" t="s">
        <v>56</v>
      </c>
      <c r="BL1050" t="s">
        <v>634</v>
      </c>
      <c r="BM1050" t="s">
        <v>75</v>
      </c>
      <c r="BN1050" t="s">
        <v>60</v>
      </c>
      <c r="BO1050" t="s">
        <v>635</v>
      </c>
      <c r="BP1050" t="s">
        <v>77</v>
      </c>
      <c r="BR1050" t="s">
        <v>63</v>
      </c>
      <c r="BT1050">
        <v>0.86</v>
      </c>
      <c r="BU1050">
        <v>0.86</v>
      </c>
      <c r="BV1050">
        <v>0.06</v>
      </c>
      <c r="BW1050">
        <f>BV1050*SQRT(AK1050)</f>
        <v>0.14696938456699066</v>
      </c>
      <c r="BX1050">
        <v>1.01</v>
      </c>
      <c r="BY1050">
        <v>1.01</v>
      </c>
      <c r="BZ1050">
        <v>0.09</v>
      </c>
      <c r="CA1050">
        <f>BZ1050*SQRT(AL1050)</f>
        <v>0.22045407685048601</v>
      </c>
      <c r="CB1050">
        <v>70</v>
      </c>
      <c r="CC1050">
        <v>6</v>
      </c>
      <c r="CD1050">
        <v>0.161</v>
      </c>
      <c r="CE1050">
        <v>1.2800000000000001E-2</v>
      </c>
    </row>
    <row r="1051" spans="1:84" hidden="1" x14ac:dyDescent="0.2">
      <c r="D1051">
        <v>68</v>
      </c>
      <c r="G1051" t="s">
        <v>43</v>
      </c>
      <c r="H1051" t="s">
        <v>629</v>
      </c>
      <c r="J1051">
        <v>2009</v>
      </c>
      <c r="M1051" t="s">
        <v>630</v>
      </c>
      <c r="T1051" t="s">
        <v>46</v>
      </c>
      <c r="U1051" t="s">
        <v>631</v>
      </c>
      <c r="V1051" t="s">
        <v>632</v>
      </c>
      <c r="Z1051" t="s">
        <v>49</v>
      </c>
      <c r="AA1051" t="s">
        <v>49</v>
      </c>
      <c r="AB1051" t="s">
        <v>50</v>
      </c>
      <c r="AC1051" t="s">
        <v>108</v>
      </c>
      <c r="AD1051" t="s">
        <v>52</v>
      </c>
      <c r="AE1051" t="s">
        <v>53</v>
      </c>
      <c r="AF1051" t="s">
        <v>52</v>
      </c>
      <c r="AG1051" t="s">
        <v>54</v>
      </c>
      <c r="AH1051" t="s">
        <v>55</v>
      </c>
      <c r="AK1051">
        <v>6</v>
      </c>
      <c r="AL1051">
        <v>6</v>
      </c>
      <c r="AN1051">
        <v>380</v>
      </c>
      <c r="AO1051" t="s">
        <v>56</v>
      </c>
      <c r="AP1051" t="s">
        <v>56</v>
      </c>
      <c r="AQ1051" t="s">
        <v>56</v>
      </c>
      <c r="AR1051">
        <v>7.85</v>
      </c>
      <c r="AS1051">
        <v>0.02</v>
      </c>
      <c r="AT1051" t="s">
        <v>56</v>
      </c>
      <c r="AU1051">
        <v>780</v>
      </c>
      <c r="AV1051" t="s">
        <v>56</v>
      </c>
      <c r="AW1051" t="s">
        <v>56</v>
      </c>
      <c r="AX1051">
        <v>7.79</v>
      </c>
      <c r="AY1051">
        <v>0.01</v>
      </c>
      <c r="AZ1051" t="s">
        <v>56</v>
      </c>
      <c r="BB1051">
        <f>LOG(AU1051)</f>
        <v>2.8920946026904804</v>
      </c>
      <c r="BC1051">
        <v>12</v>
      </c>
      <c r="BD1051">
        <v>0.5</v>
      </c>
      <c r="BE1051" t="s">
        <v>56</v>
      </c>
      <c r="BF1051">
        <v>12</v>
      </c>
      <c r="BG1051">
        <v>0.5</v>
      </c>
      <c r="BH1051" t="s">
        <v>56</v>
      </c>
      <c r="BI1051">
        <v>400</v>
      </c>
      <c r="BJ1051">
        <v>0</v>
      </c>
      <c r="BK1051" t="s">
        <v>56</v>
      </c>
      <c r="BL1051" t="s">
        <v>262</v>
      </c>
      <c r="BM1051" t="s">
        <v>262</v>
      </c>
      <c r="BN1051" t="s">
        <v>81</v>
      </c>
      <c r="BO1051" t="s">
        <v>82</v>
      </c>
      <c r="BP1051" t="s">
        <v>92</v>
      </c>
      <c r="BR1051" t="s">
        <v>63</v>
      </c>
      <c r="BT1051">
        <v>139.72999999999999</v>
      </c>
      <c r="BU1051">
        <v>139.72999999999999</v>
      </c>
      <c r="BV1051">
        <v>14.93</v>
      </c>
      <c r="BW1051">
        <f>BV1051*SQRT(AK1051)</f>
        <v>36.570881859752845</v>
      </c>
      <c r="BX1051">
        <v>192</v>
      </c>
      <c r="BY1051">
        <v>192</v>
      </c>
      <c r="BZ1051">
        <v>14.94</v>
      </c>
      <c r="CA1051">
        <f>BZ1051*SQRT(AL1051)</f>
        <v>36.595376757180674</v>
      </c>
      <c r="CB1051">
        <v>70</v>
      </c>
      <c r="CC1051">
        <v>6</v>
      </c>
      <c r="CD1051">
        <v>0.318</v>
      </c>
      <c r="CE1051">
        <v>1.7500000000000002E-2</v>
      </c>
    </row>
    <row r="1052" spans="1:84" hidden="1" x14ac:dyDescent="0.2">
      <c r="D1052">
        <v>68</v>
      </c>
      <c r="G1052" t="s">
        <v>43</v>
      </c>
      <c r="H1052" t="s">
        <v>629</v>
      </c>
      <c r="J1052">
        <v>2009</v>
      </c>
      <c r="M1052" t="s">
        <v>630</v>
      </c>
      <c r="T1052" t="s">
        <v>46</v>
      </c>
      <c r="U1052" t="s">
        <v>631</v>
      </c>
      <c r="V1052" t="s">
        <v>632</v>
      </c>
      <c r="Z1052" t="s">
        <v>49</v>
      </c>
      <c r="AA1052" t="s">
        <v>49</v>
      </c>
      <c r="AB1052" t="s">
        <v>50</v>
      </c>
      <c r="AC1052" t="s">
        <v>108</v>
      </c>
      <c r="AD1052" t="s">
        <v>52</v>
      </c>
      <c r="AE1052" t="s">
        <v>53</v>
      </c>
      <c r="AF1052" t="s">
        <v>54</v>
      </c>
      <c r="AG1052" t="s">
        <v>52</v>
      </c>
      <c r="AH1052" t="s">
        <v>65</v>
      </c>
      <c r="AK1052">
        <v>6</v>
      </c>
      <c r="AL1052">
        <v>6</v>
      </c>
      <c r="AN1052">
        <v>380</v>
      </c>
      <c r="AO1052" t="s">
        <v>56</v>
      </c>
      <c r="AP1052" t="s">
        <v>56</v>
      </c>
      <c r="AQ1052" t="s">
        <v>56</v>
      </c>
      <c r="AR1052">
        <v>7.85</v>
      </c>
      <c r="AS1052">
        <v>0.02</v>
      </c>
      <c r="AT1052" t="s">
        <v>56</v>
      </c>
      <c r="AU1052">
        <v>380</v>
      </c>
      <c r="AV1052" t="s">
        <v>56</v>
      </c>
      <c r="AW1052" t="s">
        <v>56</v>
      </c>
      <c r="AX1052">
        <v>7.88</v>
      </c>
      <c r="AY1052">
        <v>0.02</v>
      </c>
      <c r="AZ1052" t="s">
        <v>56</v>
      </c>
      <c r="BB1052">
        <f>LOG(AU1052)</f>
        <v>2.5797835966168101</v>
      </c>
      <c r="BC1052">
        <v>12</v>
      </c>
      <c r="BD1052">
        <v>0.5</v>
      </c>
      <c r="BE1052" t="s">
        <v>56</v>
      </c>
      <c r="BF1052">
        <v>15</v>
      </c>
      <c r="BG1052">
        <v>0.5</v>
      </c>
      <c r="BH1052" t="s">
        <v>56</v>
      </c>
      <c r="BI1052">
        <v>0</v>
      </c>
      <c r="BJ1052">
        <v>3</v>
      </c>
      <c r="BK1052" t="s">
        <v>56</v>
      </c>
      <c r="BL1052" t="s">
        <v>634</v>
      </c>
      <c r="BM1052" t="s">
        <v>75</v>
      </c>
      <c r="BN1052" t="s">
        <v>60</v>
      </c>
      <c r="BO1052" t="s">
        <v>635</v>
      </c>
      <c r="BP1052" t="s">
        <v>77</v>
      </c>
      <c r="BR1052" t="s">
        <v>63</v>
      </c>
      <c r="BT1052">
        <v>0.86</v>
      </c>
      <c r="BU1052">
        <v>0.86</v>
      </c>
      <c r="BV1052">
        <v>0.06</v>
      </c>
      <c r="BW1052">
        <f>BV1052*SQRT(AK1052)</f>
        <v>0.14696938456699066</v>
      </c>
      <c r="BX1052">
        <v>1.25</v>
      </c>
      <c r="BY1052">
        <v>1.25</v>
      </c>
      <c r="BZ1052">
        <v>0.14000000000000001</v>
      </c>
      <c r="CA1052">
        <f>BZ1052*SQRT(AL1052)</f>
        <v>0.34292856398964494</v>
      </c>
      <c r="CB1052">
        <v>70</v>
      </c>
      <c r="CC1052">
        <v>6</v>
      </c>
      <c r="CD1052">
        <v>0.374</v>
      </c>
      <c r="CE1052">
        <v>1.7399999999999999E-2</v>
      </c>
    </row>
    <row r="1053" spans="1:84" hidden="1" x14ac:dyDescent="0.2">
      <c r="D1053">
        <v>68</v>
      </c>
      <c r="G1053" t="s">
        <v>43</v>
      </c>
      <c r="H1053" t="s">
        <v>629</v>
      </c>
      <c r="J1053">
        <v>2009</v>
      </c>
      <c r="M1053" t="s">
        <v>630</v>
      </c>
      <c r="T1053" t="s">
        <v>46</v>
      </c>
      <c r="U1053" t="s">
        <v>631</v>
      </c>
      <c r="V1053" t="s">
        <v>632</v>
      </c>
      <c r="Z1053" t="s">
        <v>49</v>
      </c>
      <c r="AA1053" t="s">
        <v>49</v>
      </c>
      <c r="AB1053" t="s">
        <v>50</v>
      </c>
      <c r="AC1053" t="s">
        <v>108</v>
      </c>
      <c r="AD1053" t="s">
        <v>52</v>
      </c>
      <c r="AE1053" t="s">
        <v>53</v>
      </c>
      <c r="AF1053" t="s">
        <v>54</v>
      </c>
      <c r="AG1053" t="s">
        <v>52</v>
      </c>
      <c r="AH1053" t="s">
        <v>65</v>
      </c>
      <c r="AK1053">
        <v>6</v>
      </c>
      <c r="AL1053">
        <v>6</v>
      </c>
      <c r="AN1053">
        <v>380</v>
      </c>
      <c r="AO1053" t="s">
        <v>56</v>
      </c>
      <c r="AP1053" t="s">
        <v>56</v>
      </c>
      <c r="AQ1053" t="s">
        <v>56</v>
      </c>
      <c r="AR1053">
        <v>7.85</v>
      </c>
      <c r="AS1053">
        <v>0.02</v>
      </c>
      <c r="AT1053" t="s">
        <v>56</v>
      </c>
      <c r="AU1053">
        <v>380</v>
      </c>
      <c r="AV1053" t="s">
        <v>56</v>
      </c>
      <c r="AW1053" t="s">
        <v>56</v>
      </c>
      <c r="AX1053">
        <v>7.88</v>
      </c>
      <c r="AY1053">
        <v>0.02</v>
      </c>
      <c r="AZ1053" t="s">
        <v>56</v>
      </c>
      <c r="BB1053">
        <f>LOG(AU1053)</f>
        <v>2.5797835966168101</v>
      </c>
      <c r="BC1053">
        <v>12</v>
      </c>
      <c r="BD1053">
        <v>0.5</v>
      </c>
      <c r="BE1053" t="s">
        <v>56</v>
      </c>
      <c r="BF1053">
        <v>15</v>
      </c>
      <c r="BG1053">
        <v>0.5</v>
      </c>
      <c r="BH1053" t="s">
        <v>56</v>
      </c>
      <c r="BI1053">
        <v>0</v>
      </c>
      <c r="BJ1053">
        <v>3</v>
      </c>
      <c r="BK1053" t="s">
        <v>56</v>
      </c>
      <c r="BL1053" t="s">
        <v>262</v>
      </c>
      <c r="BM1053" t="s">
        <v>262</v>
      </c>
      <c r="BN1053" t="s">
        <v>81</v>
      </c>
      <c r="BO1053" t="s">
        <v>82</v>
      </c>
      <c r="BP1053" t="s">
        <v>92</v>
      </c>
      <c r="BR1053" t="s">
        <v>63</v>
      </c>
      <c r="BT1053">
        <v>139.72999999999999</v>
      </c>
      <c r="BU1053">
        <v>139.72999999999999</v>
      </c>
      <c r="BV1053">
        <v>14.93</v>
      </c>
      <c r="BW1053">
        <f>BV1053*SQRT(AK1053)</f>
        <v>36.570881859752845</v>
      </c>
      <c r="BX1053">
        <v>233.6</v>
      </c>
      <c r="BY1053">
        <v>233.6</v>
      </c>
      <c r="BZ1053">
        <v>42.67</v>
      </c>
      <c r="CA1053">
        <f>BZ1053*SQRT(AL1053)</f>
        <v>104.5197273245582</v>
      </c>
      <c r="CB1053">
        <v>70</v>
      </c>
      <c r="CC1053">
        <v>6</v>
      </c>
      <c r="CD1053">
        <v>0.51400000000000001</v>
      </c>
      <c r="CE1053">
        <v>4.48E-2</v>
      </c>
    </row>
    <row r="1054" spans="1:84" hidden="1" x14ac:dyDescent="0.2">
      <c r="D1054">
        <v>68</v>
      </c>
      <c r="G1054" t="s">
        <v>43</v>
      </c>
      <c r="H1054" t="s">
        <v>629</v>
      </c>
      <c r="J1054">
        <v>2009</v>
      </c>
      <c r="M1054" t="s">
        <v>630</v>
      </c>
      <c r="T1054" t="s">
        <v>46</v>
      </c>
      <c r="U1054" t="s">
        <v>631</v>
      </c>
      <c r="V1054" t="s">
        <v>632</v>
      </c>
      <c r="Z1054" t="s">
        <v>49</v>
      </c>
      <c r="AA1054" t="s">
        <v>49</v>
      </c>
      <c r="AB1054" t="s">
        <v>50</v>
      </c>
      <c r="AC1054" t="s">
        <v>108</v>
      </c>
      <c r="AD1054" t="s">
        <v>52</v>
      </c>
      <c r="AE1054" t="s">
        <v>53</v>
      </c>
      <c r="AF1054" t="s">
        <v>52</v>
      </c>
      <c r="AG1054" t="s">
        <v>52</v>
      </c>
      <c r="AH1054" t="s">
        <v>64</v>
      </c>
      <c r="AK1054">
        <v>6</v>
      </c>
      <c r="AL1054">
        <v>6</v>
      </c>
      <c r="AN1054">
        <v>380</v>
      </c>
      <c r="AO1054" t="s">
        <v>56</v>
      </c>
      <c r="AP1054" t="s">
        <v>56</v>
      </c>
      <c r="AQ1054" t="s">
        <v>56</v>
      </c>
      <c r="AR1054">
        <v>7.85</v>
      </c>
      <c r="AS1054">
        <v>0.02</v>
      </c>
      <c r="AT1054" t="s">
        <v>56</v>
      </c>
      <c r="AU1054">
        <v>780</v>
      </c>
      <c r="AV1054" t="s">
        <v>56</v>
      </c>
      <c r="AW1054" t="s">
        <v>56</v>
      </c>
      <c r="AX1054">
        <v>7.82</v>
      </c>
      <c r="AY1054">
        <v>0.04</v>
      </c>
      <c r="AZ1054" t="s">
        <v>56</v>
      </c>
      <c r="BB1054">
        <f>LOG(AU1054)</f>
        <v>2.8920946026904804</v>
      </c>
      <c r="BC1054">
        <v>12</v>
      </c>
      <c r="BD1054">
        <v>0.5</v>
      </c>
      <c r="BE1054" t="s">
        <v>56</v>
      </c>
      <c r="BF1054">
        <v>15</v>
      </c>
      <c r="BG1054">
        <v>0.5</v>
      </c>
      <c r="BH1054" t="s">
        <v>56</v>
      </c>
      <c r="BI1054">
        <v>400</v>
      </c>
      <c r="BJ1054">
        <v>3</v>
      </c>
      <c r="BK1054" t="s">
        <v>56</v>
      </c>
      <c r="BL1054" t="s">
        <v>634</v>
      </c>
      <c r="BM1054" t="s">
        <v>75</v>
      </c>
      <c r="BN1054" t="s">
        <v>60</v>
      </c>
      <c r="BO1054" t="s">
        <v>635</v>
      </c>
      <c r="BP1054" t="s">
        <v>77</v>
      </c>
      <c r="BR1054" t="s">
        <v>63</v>
      </c>
      <c r="BT1054">
        <v>0.86</v>
      </c>
      <c r="BU1054">
        <v>0.86</v>
      </c>
      <c r="BV1054">
        <v>0.06</v>
      </c>
      <c r="BW1054">
        <f>BV1054*SQRT(AK1054)</f>
        <v>0.14696938456699066</v>
      </c>
      <c r="BX1054">
        <v>1.59</v>
      </c>
      <c r="BY1054">
        <v>1.59</v>
      </c>
      <c r="BZ1054">
        <v>0.23</v>
      </c>
      <c r="CA1054">
        <f>BZ1054*SQRT(AL1054)</f>
        <v>0.5633826408401309</v>
      </c>
      <c r="CB1054">
        <v>70</v>
      </c>
      <c r="CC1054">
        <v>6</v>
      </c>
      <c r="CD1054">
        <v>0.61499999999999999</v>
      </c>
      <c r="CE1054">
        <v>2.58E-2</v>
      </c>
    </row>
    <row r="1055" spans="1:84" hidden="1" x14ac:dyDescent="0.2">
      <c r="D1055">
        <v>68</v>
      </c>
      <c r="G1055" t="s">
        <v>43</v>
      </c>
      <c r="H1055" t="s">
        <v>629</v>
      </c>
      <c r="J1055">
        <v>2009</v>
      </c>
      <c r="M1055" t="s">
        <v>630</v>
      </c>
      <c r="T1055" t="s">
        <v>46</v>
      </c>
      <c r="U1055" t="s">
        <v>631</v>
      </c>
      <c r="V1055" t="s">
        <v>632</v>
      </c>
      <c r="Z1055" t="s">
        <v>49</v>
      </c>
      <c r="AA1055" t="s">
        <v>49</v>
      </c>
      <c r="AB1055" t="s">
        <v>50</v>
      </c>
      <c r="AC1055" t="s">
        <v>108</v>
      </c>
      <c r="AD1055" t="s">
        <v>52</v>
      </c>
      <c r="AE1055" t="s">
        <v>53</v>
      </c>
      <c r="AF1055" t="s">
        <v>52</v>
      </c>
      <c r="AG1055" t="s">
        <v>52</v>
      </c>
      <c r="AH1055" t="s">
        <v>64</v>
      </c>
      <c r="AK1055">
        <v>6</v>
      </c>
      <c r="AL1055">
        <v>6</v>
      </c>
      <c r="AN1055">
        <v>380</v>
      </c>
      <c r="AO1055" t="s">
        <v>56</v>
      </c>
      <c r="AP1055" t="s">
        <v>56</v>
      </c>
      <c r="AQ1055" t="s">
        <v>56</v>
      </c>
      <c r="AR1055">
        <v>7.85</v>
      </c>
      <c r="AS1055">
        <v>0.02</v>
      </c>
      <c r="AT1055" t="s">
        <v>56</v>
      </c>
      <c r="AU1055">
        <v>780</v>
      </c>
      <c r="AV1055" t="s">
        <v>56</v>
      </c>
      <c r="AW1055" t="s">
        <v>56</v>
      </c>
      <c r="AX1055">
        <v>7.82</v>
      </c>
      <c r="AY1055">
        <v>0.04</v>
      </c>
      <c r="AZ1055" t="s">
        <v>56</v>
      </c>
      <c r="BB1055">
        <f>LOG(AU1055)</f>
        <v>2.8920946026904804</v>
      </c>
      <c r="BC1055">
        <v>12</v>
      </c>
      <c r="BD1055">
        <v>0.5</v>
      </c>
      <c r="BE1055" t="s">
        <v>56</v>
      </c>
      <c r="BF1055">
        <v>15</v>
      </c>
      <c r="BG1055">
        <v>0.5</v>
      </c>
      <c r="BH1055" t="s">
        <v>56</v>
      </c>
      <c r="BI1055">
        <v>400</v>
      </c>
      <c r="BJ1055">
        <v>3</v>
      </c>
      <c r="BK1055" t="s">
        <v>56</v>
      </c>
      <c r="BL1055" t="s">
        <v>262</v>
      </c>
      <c r="BM1055" t="s">
        <v>262</v>
      </c>
      <c r="BN1055" t="s">
        <v>81</v>
      </c>
      <c r="BO1055" t="s">
        <v>82</v>
      </c>
      <c r="BP1055" t="s">
        <v>92</v>
      </c>
      <c r="BR1055" t="s">
        <v>63</v>
      </c>
      <c r="BT1055">
        <v>139.72999999999999</v>
      </c>
      <c r="BU1055">
        <v>139.72999999999999</v>
      </c>
      <c r="BV1055">
        <v>14.93</v>
      </c>
      <c r="BW1055">
        <f>BV1055*SQRT(AK1055)</f>
        <v>36.570881859752845</v>
      </c>
      <c r="BX1055">
        <v>317.87</v>
      </c>
      <c r="BY1055">
        <v>317.87</v>
      </c>
      <c r="BZ1055">
        <v>50.13</v>
      </c>
      <c r="CA1055">
        <f>BZ1055*SQRT(AL1055)</f>
        <v>122.79292080572071</v>
      </c>
      <c r="CB1055">
        <v>70</v>
      </c>
      <c r="CC1055">
        <v>6</v>
      </c>
      <c r="CD1055">
        <v>0.82199999999999995</v>
      </c>
      <c r="CE1055">
        <v>3.6299999999999999E-2</v>
      </c>
    </row>
    <row r="1056" spans="1:84" s="11" customFormat="1" hidden="1" x14ac:dyDescent="0.2">
      <c r="A1056" s="8"/>
      <c r="B1056" t="str">
        <f>ROW()-1&amp;"_AltersInvert"</f>
        <v>1055_AltersInvert</v>
      </c>
      <c r="C1056" t="str">
        <f>D1056&amp;"_"&amp;
SUBSTITUTE(TRIM(V1056)," ","_")&amp;"_"&amp;
TRIM(AC1056)&amp;"_"&amp;
"CO2"&amp;TEXT(AN1056,"0.00")&amp;"_"&amp;
"pH"&amp;TEXT(AR1056,"0.00")&amp;"_"&amp;
"T"&amp;TEXT(BC1056,"0.##")</f>
        <v>49_Limecola_balthica_EMBRYO_CO2681.00_pH7.87_T15.</v>
      </c>
      <c r="D1056" s="8">
        <v>49</v>
      </c>
      <c r="E1056" s="8"/>
      <c r="F1056" s="8"/>
      <c r="G1056" s="8" t="s">
        <v>43</v>
      </c>
      <c r="H1056" s="8" t="s">
        <v>512</v>
      </c>
      <c r="I1056" s="8" t="s">
        <v>1130</v>
      </c>
      <c r="J1056" s="8">
        <v>2018</v>
      </c>
      <c r="K1056" s="8"/>
      <c r="L1056" s="8"/>
      <c r="M1056" s="8" t="s">
        <v>513</v>
      </c>
      <c r="N1056" s="8"/>
      <c r="O1056" s="8"/>
      <c r="P1056" t="s">
        <v>1135</v>
      </c>
      <c r="Q1056" s="8"/>
      <c r="R1056" s="8" t="s">
        <v>1127</v>
      </c>
      <c r="S1056" t="s">
        <v>1128</v>
      </c>
      <c r="T1056" s="8" t="s">
        <v>68</v>
      </c>
      <c r="U1056" s="8" t="s">
        <v>514</v>
      </c>
      <c r="V1056" s="8" t="s">
        <v>515</v>
      </c>
      <c r="W1056" s="8" t="str">
        <f>IF(ISNUMBER(MATCH(#REF!,{"Doryteuthis pealeii","Loligo vulgaris","Leptuca thayeri","Stylocheilus striatus","Ophryotrocha labronica"},0)),"N","Y")</f>
        <v>Y</v>
      </c>
      <c r="X1056" s="8"/>
      <c r="Y1056" s="8"/>
      <c r="Z1056" s="8" t="s">
        <v>49</v>
      </c>
      <c r="AA1056" s="8" t="s">
        <v>49</v>
      </c>
      <c r="AB1056" s="8" t="s">
        <v>71</v>
      </c>
      <c r="AC1056" s="8" t="s">
        <v>195</v>
      </c>
      <c r="AD1056" s="8" t="s">
        <v>52</v>
      </c>
      <c r="AE1056" s="8" t="s">
        <v>53</v>
      </c>
      <c r="AF1056" s="8" t="s">
        <v>52</v>
      </c>
      <c r="AG1056" s="8" t="s">
        <v>54</v>
      </c>
      <c r="AH1056" s="8" t="s">
        <v>55</v>
      </c>
      <c r="AI1056" s="8"/>
      <c r="AJ1056" s="8"/>
      <c r="AK1056" s="8">
        <v>5</v>
      </c>
      <c r="AL1056" s="8">
        <v>5</v>
      </c>
      <c r="AM1056" s="8"/>
      <c r="AN1056" s="8">
        <v>681</v>
      </c>
      <c r="AO1056" s="8" t="s">
        <v>56</v>
      </c>
      <c r="AP1056" s="8" t="s">
        <v>56</v>
      </c>
      <c r="AQ1056" s="8" t="s">
        <v>57</v>
      </c>
      <c r="AR1056" s="8">
        <v>7.87</v>
      </c>
      <c r="AS1056" s="8" t="s">
        <v>56</v>
      </c>
      <c r="AT1056" s="8" t="s">
        <v>56</v>
      </c>
      <c r="AU1056" s="8">
        <v>1410</v>
      </c>
      <c r="AV1056" t="s">
        <v>56</v>
      </c>
      <c r="AW1056" t="s">
        <v>56</v>
      </c>
      <c r="AX1056">
        <v>7.58</v>
      </c>
      <c r="AY1056" t="s">
        <v>56</v>
      </c>
      <c r="AZ1056" t="s">
        <v>56</v>
      </c>
      <c r="BA1056" s="8"/>
      <c r="BB1056" s="8">
        <f>LOG(AU1056)</f>
        <v>3.1492191126553797</v>
      </c>
      <c r="BC1056" s="8">
        <v>15</v>
      </c>
      <c r="BD1056" s="8" t="s">
        <v>56</v>
      </c>
      <c r="BE1056" s="8" t="s">
        <v>56</v>
      </c>
      <c r="BF1056" s="8">
        <v>15</v>
      </c>
      <c r="BG1056" s="8" t="s">
        <v>56</v>
      </c>
      <c r="BH1056" s="8" t="s">
        <v>56</v>
      </c>
      <c r="BI1056" s="8">
        <v>730</v>
      </c>
      <c r="BJ1056" s="8">
        <v>0</v>
      </c>
      <c r="BK1056" s="8" t="s">
        <v>516</v>
      </c>
      <c r="BL1056" s="8" t="s">
        <v>196</v>
      </c>
      <c r="BM1056" s="8" t="s">
        <v>197</v>
      </c>
      <c r="BN1056" s="8" t="s">
        <v>81</v>
      </c>
      <c r="BO1056" s="8" t="s">
        <v>82</v>
      </c>
      <c r="BP1056" s="8" t="s">
        <v>83</v>
      </c>
      <c r="BQ1056" s="8" t="s">
        <v>92</v>
      </c>
      <c r="BR1056" s="8" t="s">
        <v>84</v>
      </c>
      <c r="BS1056" s="8"/>
      <c r="BT1056" s="8">
        <v>38.97</v>
      </c>
      <c r="BU1056" s="8">
        <v>38.965516999999998</v>
      </c>
      <c r="BV1056" s="8">
        <v>1.55</v>
      </c>
      <c r="BW1056" s="8">
        <f>BV1056*SQRT(AK1056)</f>
        <v>3.4659053651246743</v>
      </c>
      <c r="BX1056" s="8">
        <v>16.21</v>
      </c>
      <c r="BY1056" s="8">
        <v>16.2068966</v>
      </c>
      <c r="BZ1056" s="8">
        <v>2.93</v>
      </c>
      <c r="CA1056" s="8">
        <f>BZ1056*SQRT(AL1056)</f>
        <v>6.5516791740743843</v>
      </c>
      <c r="CB1056" s="8">
        <v>3</v>
      </c>
      <c r="CC1056" s="8">
        <v>5</v>
      </c>
      <c r="CD1056" s="8">
        <v>-0.877</v>
      </c>
      <c r="CE1056" s="8">
        <v>3.4299999999999997E-2</v>
      </c>
      <c r="CF1056" s="8" t="s">
        <v>1134</v>
      </c>
    </row>
    <row r="1057" spans="1:84" s="11" customFormat="1" hidden="1" x14ac:dyDescent="0.2">
      <c r="A1057" s="8"/>
      <c r="B1057" t="str">
        <f>ROW()-1&amp;"_AltersInvert"</f>
        <v>1056_AltersInvert</v>
      </c>
      <c r="C1057" t="str">
        <f>D1057&amp;"_"&amp;
SUBSTITUTE(TRIM(V1057)," ","_")&amp;"_"&amp;
TRIM(AC1057)&amp;"_"&amp;
"CO2"&amp;TEXT(AN1057,"0.00")&amp;"_"&amp;
"pH"&amp;TEXT(AR1057,"0.00")&amp;"_"&amp;
"T"&amp;TEXT(BC1057,"0.##")</f>
        <v>49_Limecola_balthica_EMBRYO_CO2681.00_pH7.87_T15.</v>
      </c>
      <c r="D1057" s="8">
        <v>49</v>
      </c>
      <c r="E1057" s="8"/>
      <c r="F1057" s="8"/>
      <c r="G1057" s="8" t="s">
        <v>43</v>
      </c>
      <c r="H1057" s="8" t="s">
        <v>512</v>
      </c>
      <c r="I1057" s="8" t="s">
        <v>1130</v>
      </c>
      <c r="J1057" s="8">
        <v>2018</v>
      </c>
      <c r="K1057" s="8"/>
      <c r="L1057" s="8"/>
      <c r="M1057" s="8" t="s">
        <v>513</v>
      </c>
      <c r="N1057" s="8"/>
      <c r="O1057" s="8"/>
      <c r="P1057" t="s">
        <v>1135</v>
      </c>
      <c r="Q1057" s="8"/>
      <c r="R1057" s="8" t="s">
        <v>1127</v>
      </c>
      <c r="S1057" t="s">
        <v>1128</v>
      </c>
      <c r="T1057" s="8" t="s">
        <v>68</v>
      </c>
      <c r="U1057" s="8" t="s">
        <v>514</v>
      </c>
      <c r="V1057" s="8" t="s">
        <v>515</v>
      </c>
      <c r="W1057" s="8" t="str">
        <f>IF(ISNUMBER(MATCH(#REF!,{"Doryteuthis pealeii","Loligo vulgaris","Leptuca thayeri","Stylocheilus striatus","Ophryotrocha labronica"},0)),"N","Y")</f>
        <v>Y</v>
      </c>
      <c r="X1057" s="8"/>
      <c r="Y1057" s="8"/>
      <c r="Z1057" s="8" t="s">
        <v>49</v>
      </c>
      <c r="AA1057" s="8" t="s">
        <v>49</v>
      </c>
      <c r="AB1057" s="8" t="s">
        <v>71</v>
      </c>
      <c r="AC1057" s="8" t="s">
        <v>195</v>
      </c>
      <c r="AD1057" s="8" t="s">
        <v>52</v>
      </c>
      <c r="AE1057" s="8" t="s">
        <v>53</v>
      </c>
      <c r="AF1057" s="8" t="s">
        <v>52</v>
      </c>
      <c r="AG1057" s="8" t="s">
        <v>54</v>
      </c>
      <c r="AH1057" s="8" t="s">
        <v>55</v>
      </c>
      <c r="AI1057" s="8"/>
      <c r="AJ1057" s="8"/>
      <c r="AK1057" s="8">
        <v>5</v>
      </c>
      <c r="AL1057" s="8">
        <v>5</v>
      </c>
      <c r="AM1057" s="8"/>
      <c r="AN1057" s="8">
        <v>681</v>
      </c>
      <c r="AO1057" s="8" t="s">
        <v>56</v>
      </c>
      <c r="AP1057" s="8" t="s">
        <v>56</v>
      </c>
      <c r="AQ1057" s="8" t="s">
        <v>57</v>
      </c>
      <c r="AR1057" s="8">
        <v>7.87</v>
      </c>
      <c r="AS1057" s="8" t="s">
        <v>56</v>
      </c>
      <c r="AT1057" s="8" t="s">
        <v>56</v>
      </c>
      <c r="AU1057" s="8">
        <v>1123</v>
      </c>
      <c r="AV1057" t="s">
        <v>56</v>
      </c>
      <c r="AW1057" t="s">
        <v>56</v>
      </c>
      <c r="AX1057">
        <v>7.67</v>
      </c>
      <c r="AY1057" t="s">
        <v>56</v>
      </c>
      <c r="AZ1057" t="s">
        <v>56</v>
      </c>
      <c r="BA1057" s="8"/>
      <c r="BB1057" s="8">
        <f>LOG(AU1057)</f>
        <v>3.0503797562614579</v>
      </c>
      <c r="BC1057" s="8">
        <v>15</v>
      </c>
      <c r="BD1057" s="8" t="s">
        <v>56</v>
      </c>
      <c r="BE1057" s="8" t="s">
        <v>56</v>
      </c>
      <c r="BF1057" s="8">
        <v>15</v>
      </c>
      <c r="BG1057" s="8" t="s">
        <v>56</v>
      </c>
      <c r="BH1057" s="8" t="s">
        <v>56</v>
      </c>
      <c r="BI1057" s="8">
        <v>442</v>
      </c>
      <c r="BJ1057" s="8">
        <v>0</v>
      </c>
      <c r="BK1057" s="8" t="s">
        <v>516</v>
      </c>
      <c r="BL1057" s="8" t="s">
        <v>196</v>
      </c>
      <c r="BM1057" s="8" t="s">
        <v>197</v>
      </c>
      <c r="BN1057" s="8" t="s">
        <v>81</v>
      </c>
      <c r="BO1057" s="8" t="s">
        <v>82</v>
      </c>
      <c r="BP1057" s="8" t="s">
        <v>83</v>
      </c>
      <c r="BQ1057" s="8" t="s">
        <v>92</v>
      </c>
      <c r="BR1057" s="8" t="s">
        <v>84</v>
      </c>
      <c r="BS1057" s="8"/>
      <c r="BT1057" s="8">
        <v>38.97</v>
      </c>
      <c r="BU1057" s="8">
        <v>38.965516999999998</v>
      </c>
      <c r="BV1057" s="8">
        <v>1.55</v>
      </c>
      <c r="BW1057" s="8">
        <f>BV1057*SQRT(AK1057)</f>
        <v>3.4659053651246743</v>
      </c>
      <c r="BX1057" s="8">
        <v>24.48</v>
      </c>
      <c r="BY1057" s="8">
        <v>24.4827586</v>
      </c>
      <c r="BZ1057" s="8">
        <v>2.59</v>
      </c>
      <c r="CA1057" s="8">
        <f>BZ1057*SQRT(AL1057)</f>
        <v>5.7914160617244557</v>
      </c>
      <c r="CB1057" s="8">
        <v>3</v>
      </c>
      <c r="CC1057" s="8">
        <v>5</v>
      </c>
      <c r="CD1057" s="8">
        <v>-0.46500000000000002</v>
      </c>
      <c r="CE1057" s="8">
        <v>1.2699999999999999E-2</v>
      </c>
      <c r="CF1057" s="8" t="s">
        <v>1134</v>
      </c>
    </row>
    <row r="1058" spans="1:84" s="11" customFormat="1" hidden="1" x14ac:dyDescent="0.2">
      <c r="A1058" s="8"/>
      <c r="B1058" t="str">
        <f>ROW()-1&amp;"_AltersInvert"</f>
        <v>1057_AltersInvert</v>
      </c>
      <c r="C1058" t="str">
        <f>D1058&amp;"_"&amp;
SUBSTITUTE(TRIM(V1058)," ","_")&amp;"_"&amp;
TRIM(AC1058)&amp;"_"&amp;
"CO2"&amp;TEXT(AN1058,"0.00")&amp;"_"&amp;
"pH"&amp;TEXT(AR1058,"0.00")&amp;"_"&amp;
"T"&amp;TEXT(BC1058,"0.##")</f>
        <v>49_Limecola_balthica_EMBRYO_CO2681.00_pH7.87_T15.</v>
      </c>
      <c r="D1058" s="8">
        <v>49</v>
      </c>
      <c r="E1058" s="8"/>
      <c r="F1058" s="8"/>
      <c r="G1058" s="8" t="s">
        <v>43</v>
      </c>
      <c r="H1058" s="8" t="s">
        <v>512</v>
      </c>
      <c r="I1058" s="8" t="s">
        <v>1130</v>
      </c>
      <c r="J1058" s="8">
        <v>2018</v>
      </c>
      <c r="K1058" s="8"/>
      <c r="L1058" s="8"/>
      <c r="M1058" s="8" t="s">
        <v>513</v>
      </c>
      <c r="N1058" s="8"/>
      <c r="O1058" s="8"/>
      <c r="P1058" t="s">
        <v>1135</v>
      </c>
      <c r="Q1058" s="8"/>
      <c r="R1058" s="8" t="s">
        <v>1127</v>
      </c>
      <c r="S1058" t="s">
        <v>1128</v>
      </c>
      <c r="T1058" s="8" t="s">
        <v>68</v>
      </c>
      <c r="U1058" s="8" t="s">
        <v>514</v>
      </c>
      <c r="V1058" s="8" t="s">
        <v>515</v>
      </c>
      <c r="W1058" s="8" t="str">
        <f>IF(ISNUMBER(MATCH(V452,{"Doryteuthis pealeii","Loligo vulgaris","Leptuca thayeri","Stylocheilus striatus","Ophryotrocha labronica"},0)),"N","Y")</f>
        <v>Y</v>
      </c>
      <c r="X1058" s="8"/>
      <c r="Y1058" s="8"/>
      <c r="Z1058" s="8" t="s">
        <v>49</v>
      </c>
      <c r="AA1058" s="8" t="s">
        <v>49</v>
      </c>
      <c r="AB1058" s="8" t="s">
        <v>71</v>
      </c>
      <c r="AC1058" s="8" t="s">
        <v>195</v>
      </c>
      <c r="AD1058" s="8" t="s">
        <v>52</v>
      </c>
      <c r="AE1058" s="8" t="s">
        <v>53</v>
      </c>
      <c r="AF1058" s="8" t="s">
        <v>54</v>
      </c>
      <c r="AG1058" s="8" t="s">
        <v>52</v>
      </c>
      <c r="AH1058" s="8" t="s">
        <v>65</v>
      </c>
      <c r="AI1058" s="8"/>
      <c r="AJ1058" s="8"/>
      <c r="AK1058" s="8">
        <v>5</v>
      </c>
      <c r="AL1058" s="8">
        <v>5</v>
      </c>
      <c r="AM1058" s="8"/>
      <c r="AN1058" s="8">
        <v>681</v>
      </c>
      <c r="AO1058" s="8" t="s">
        <v>56</v>
      </c>
      <c r="AP1058" s="8" t="s">
        <v>56</v>
      </c>
      <c r="AQ1058" s="8" t="s">
        <v>57</v>
      </c>
      <c r="AR1058" s="8">
        <v>7.87</v>
      </c>
      <c r="AS1058" s="8" t="s">
        <v>56</v>
      </c>
      <c r="AT1058" s="8" t="s">
        <v>56</v>
      </c>
      <c r="AU1058" s="8">
        <v>805</v>
      </c>
      <c r="AV1058" t="s">
        <v>56</v>
      </c>
      <c r="AW1058" t="s">
        <v>56</v>
      </c>
      <c r="AX1058">
        <v>7.84</v>
      </c>
      <c r="AY1058" t="s">
        <v>56</v>
      </c>
      <c r="AZ1058" t="s">
        <v>56</v>
      </c>
      <c r="BA1058" s="8"/>
      <c r="BB1058" s="8">
        <f>LOG(AU1058)</f>
        <v>2.9057958803678687</v>
      </c>
      <c r="BC1058" s="8">
        <v>15</v>
      </c>
      <c r="BD1058" s="8" t="s">
        <v>56</v>
      </c>
      <c r="BE1058" s="8" t="s">
        <v>56</v>
      </c>
      <c r="BF1058" s="8">
        <v>18</v>
      </c>
      <c r="BG1058" s="8" t="s">
        <v>56</v>
      </c>
      <c r="BH1058" s="8" t="s">
        <v>56</v>
      </c>
      <c r="BI1058" s="8">
        <v>125</v>
      </c>
      <c r="BJ1058" s="8">
        <v>3</v>
      </c>
      <c r="BK1058" s="8" t="s">
        <v>516</v>
      </c>
      <c r="BL1058" s="8" t="s">
        <v>196</v>
      </c>
      <c r="BM1058" s="8" t="s">
        <v>197</v>
      </c>
      <c r="BN1058" s="8" t="s">
        <v>81</v>
      </c>
      <c r="BO1058" s="8" t="s">
        <v>82</v>
      </c>
      <c r="BP1058" s="8" t="s">
        <v>83</v>
      </c>
      <c r="BQ1058" s="8" t="s">
        <v>9</v>
      </c>
      <c r="BR1058" s="8" t="s">
        <v>84</v>
      </c>
      <c r="BS1058" s="8"/>
      <c r="BT1058" s="8">
        <v>38.97</v>
      </c>
      <c r="BU1058" s="8">
        <v>38.965516999999998</v>
      </c>
      <c r="BV1058" s="8">
        <v>1.55</v>
      </c>
      <c r="BW1058" s="8">
        <f>BV1058*SQRT(AK1058)</f>
        <v>3.4659053651246743</v>
      </c>
      <c r="BX1058" s="8">
        <v>29.66</v>
      </c>
      <c r="BY1058" s="8">
        <v>29.655172400000001</v>
      </c>
      <c r="BZ1058" s="8">
        <v>1.38</v>
      </c>
      <c r="CA1058" s="8">
        <f>BZ1058*SQRT(AL1058)</f>
        <v>3.0857738089497095</v>
      </c>
      <c r="CB1058" s="8">
        <v>3</v>
      </c>
      <c r="CC1058" s="8">
        <v>5</v>
      </c>
      <c r="CD1058" s="8">
        <v>-0.27300000000000002</v>
      </c>
      <c r="CE1058" s="8">
        <v>3.7000000000000002E-3</v>
      </c>
      <c r="CF1058" s="8" t="s">
        <v>1134</v>
      </c>
    </row>
    <row r="1059" spans="1:84" hidden="1" x14ac:dyDescent="0.2">
      <c r="A1059" s="8"/>
      <c r="B1059" t="str">
        <f>ROW()-1&amp;"_AltersInvert"</f>
        <v>1058_AltersInvert</v>
      </c>
      <c r="C1059" t="str">
        <f>D1059&amp;"_"&amp;
SUBSTITUTE(TRIM(V1059)," ","_")&amp;"_"&amp;
TRIM(AC1059)&amp;"_"&amp;
"CO2"&amp;TEXT(AN1059,"0.00")&amp;"_"&amp;
"pH"&amp;TEXT(AR1059,"0.00")&amp;"_"&amp;
"T"&amp;TEXT(BC1059,"0.##")</f>
        <v>49_Limecola_balthica_EMBRYO_CO2681.00_pH7.87_T15.</v>
      </c>
      <c r="D1059" s="8">
        <v>49</v>
      </c>
      <c r="E1059" s="8"/>
      <c r="F1059" s="8"/>
      <c r="G1059" s="8" t="s">
        <v>43</v>
      </c>
      <c r="H1059" s="8" t="s">
        <v>512</v>
      </c>
      <c r="I1059" s="8" t="s">
        <v>1130</v>
      </c>
      <c r="J1059" s="8">
        <v>2018</v>
      </c>
      <c r="K1059" s="8"/>
      <c r="L1059" s="8"/>
      <c r="M1059" s="8" t="s">
        <v>513</v>
      </c>
      <c r="N1059" s="8"/>
      <c r="O1059" s="8"/>
      <c r="P1059" t="s">
        <v>1135</v>
      </c>
      <c r="Q1059" s="8"/>
      <c r="R1059" s="8" t="s">
        <v>1127</v>
      </c>
      <c r="S1059" t="s">
        <v>1128</v>
      </c>
      <c r="T1059" s="8" t="s">
        <v>68</v>
      </c>
      <c r="U1059" s="8" t="s">
        <v>514</v>
      </c>
      <c r="V1059" s="8" t="s">
        <v>515</v>
      </c>
      <c r="W1059" s="8" t="str">
        <f>IF(ISNUMBER(MATCH(V453,{"Doryteuthis pealeii","Loligo vulgaris","Leptuca thayeri","Stylocheilus striatus","Ophryotrocha labronica"},0)),"N","Y")</f>
        <v>Y</v>
      </c>
      <c r="X1059" s="8"/>
      <c r="Y1059" s="8"/>
      <c r="Z1059" s="8" t="s">
        <v>49</v>
      </c>
      <c r="AA1059" s="8" t="s">
        <v>49</v>
      </c>
      <c r="AB1059" s="8" t="s">
        <v>71</v>
      </c>
      <c r="AC1059" s="8" t="s">
        <v>195</v>
      </c>
      <c r="AD1059" s="8" t="s">
        <v>52</v>
      </c>
      <c r="AE1059" s="8" t="s">
        <v>53</v>
      </c>
      <c r="AF1059" s="8" t="s">
        <v>52</v>
      </c>
      <c r="AG1059" s="8" t="s">
        <v>52</v>
      </c>
      <c r="AH1059" s="8" t="s">
        <v>64</v>
      </c>
      <c r="AI1059" s="8"/>
      <c r="AJ1059" s="8"/>
      <c r="AK1059" s="8">
        <v>5</v>
      </c>
      <c r="AL1059" s="8">
        <v>5</v>
      </c>
      <c r="AM1059" s="8"/>
      <c r="AN1059" s="8">
        <v>681</v>
      </c>
      <c r="AO1059" s="8" t="s">
        <v>56</v>
      </c>
      <c r="AP1059" s="8" t="s">
        <v>56</v>
      </c>
      <c r="AQ1059" s="8" t="s">
        <v>57</v>
      </c>
      <c r="AR1059" s="8">
        <v>7.87</v>
      </c>
      <c r="AS1059" s="8" t="s">
        <v>56</v>
      </c>
      <c r="AT1059" s="8" t="s">
        <v>56</v>
      </c>
      <c r="AU1059" s="8">
        <v>1905</v>
      </c>
      <c r="AV1059" t="s">
        <v>56</v>
      </c>
      <c r="AW1059" t="s">
        <v>56</v>
      </c>
      <c r="AX1059">
        <v>7.49</v>
      </c>
      <c r="AY1059" t="s">
        <v>56</v>
      </c>
      <c r="AZ1059" t="s">
        <v>56</v>
      </c>
      <c r="BA1059" s="8"/>
      <c r="BB1059" s="8">
        <f>LOG(AU1059)</f>
        <v>3.2798949800116382</v>
      </c>
      <c r="BC1059" s="8">
        <v>15</v>
      </c>
      <c r="BD1059" s="8" t="s">
        <v>56</v>
      </c>
      <c r="BE1059" s="8" t="s">
        <v>56</v>
      </c>
      <c r="BF1059" s="8">
        <v>18</v>
      </c>
      <c r="BG1059" s="8" t="s">
        <v>56</v>
      </c>
      <c r="BH1059" s="8" t="s">
        <v>56</v>
      </c>
      <c r="BI1059" s="8">
        <v>1225</v>
      </c>
      <c r="BJ1059" s="8">
        <v>3</v>
      </c>
      <c r="BK1059" s="8" t="s">
        <v>516</v>
      </c>
      <c r="BL1059" s="8" t="s">
        <v>196</v>
      </c>
      <c r="BM1059" s="8" t="s">
        <v>197</v>
      </c>
      <c r="BN1059" s="8" t="s">
        <v>81</v>
      </c>
      <c r="BO1059" s="8" t="s">
        <v>82</v>
      </c>
      <c r="BP1059" s="8" t="s">
        <v>83</v>
      </c>
      <c r="BQ1059" s="8" t="s">
        <v>92</v>
      </c>
      <c r="BR1059" s="8" t="s">
        <v>84</v>
      </c>
      <c r="BS1059" s="8"/>
      <c r="BT1059" s="8">
        <v>38.97</v>
      </c>
      <c r="BU1059" s="8">
        <v>38.965516999999998</v>
      </c>
      <c r="BV1059" s="8">
        <v>1.55</v>
      </c>
      <c r="BW1059" s="8">
        <f>BV1059*SQRT(AK1059)</f>
        <v>3.4659053651246743</v>
      </c>
      <c r="BX1059" s="8">
        <v>12.76</v>
      </c>
      <c r="BY1059" s="8">
        <v>12.7586207</v>
      </c>
      <c r="BZ1059" s="8">
        <v>2.59</v>
      </c>
      <c r="CA1059" s="8">
        <f>BZ1059*SQRT(AL1059)</f>
        <v>5.7914160617244557</v>
      </c>
      <c r="CB1059" s="8">
        <v>3</v>
      </c>
      <c r="CC1059" s="8">
        <v>5</v>
      </c>
      <c r="CD1059" s="8">
        <v>-1.1160000000000001</v>
      </c>
      <c r="CE1059" s="8">
        <v>4.2700000000000002E-2</v>
      </c>
      <c r="CF1059" s="8" t="s">
        <v>1134</v>
      </c>
    </row>
    <row r="1060" spans="1:84" hidden="1" x14ac:dyDescent="0.2">
      <c r="A1060" s="8"/>
      <c r="B1060" t="str">
        <f>ROW()-1&amp;"_AltersInvert"</f>
        <v>1059_AltersInvert</v>
      </c>
      <c r="C1060" t="str">
        <f>D1060&amp;"_"&amp;
SUBSTITUTE(TRIM(V1060)," ","_")&amp;"_"&amp;
TRIM(AC1060)&amp;"_"&amp;
"CO2"&amp;TEXT(AN1060,"0.00")&amp;"_"&amp;
"pH"&amp;TEXT(AR1060,"0.00")&amp;"_"&amp;
"T"&amp;TEXT(BC1060,"0.##")</f>
        <v>49_Limecola_balthica_EMBRYO_CO2681.00_pH7.87_T15.</v>
      </c>
      <c r="D1060" s="8">
        <v>49</v>
      </c>
      <c r="E1060" s="8"/>
      <c r="F1060" s="8"/>
      <c r="G1060" s="8" t="s">
        <v>43</v>
      </c>
      <c r="H1060" s="8" t="s">
        <v>512</v>
      </c>
      <c r="I1060" s="8" t="s">
        <v>1130</v>
      </c>
      <c r="J1060" s="8">
        <v>2018</v>
      </c>
      <c r="K1060" s="8"/>
      <c r="L1060" s="8"/>
      <c r="M1060" s="8" t="s">
        <v>513</v>
      </c>
      <c r="N1060" s="8"/>
      <c r="O1060" s="8"/>
      <c r="P1060" t="s">
        <v>1135</v>
      </c>
      <c r="Q1060" s="8"/>
      <c r="R1060" s="8" t="s">
        <v>1127</v>
      </c>
      <c r="S1060" t="s">
        <v>1128</v>
      </c>
      <c r="T1060" s="8" t="s">
        <v>68</v>
      </c>
      <c r="U1060" s="8" t="s">
        <v>514</v>
      </c>
      <c r="V1060" s="8" t="s">
        <v>515</v>
      </c>
      <c r="W1060" s="8" t="str">
        <f>IF(ISNUMBER(MATCH(V454,{"Doryteuthis pealeii","Loligo vulgaris","Leptuca thayeri","Stylocheilus striatus","Ophryotrocha labronica"},0)),"N","Y")</f>
        <v>Y</v>
      </c>
      <c r="X1060" s="8"/>
      <c r="Y1060" s="8"/>
      <c r="Z1060" s="8" t="s">
        <v>49</v>
      </c>
      <c r="AA1060" s="8" t="s">
        <v>49</v>
      </c>
      <c r="AB1060" s="8" t="s">
        <v>71</v>
      </c>
      <c r="AC1060" s="8" t="s">
        <v>195</v>
      </c>
      <c r="AD1060" s="8" t="s">
        <v>52</v>
      </c>
      <c r="AE1060" s="8" t="s">
        <v>53</v>
      </c>
      <c r="AF1060" s="8" t="s">
        <v>52</v>
      </c>
      <c r="AG1060" s="8" t="s">
        <v>52</v>
      </c>
      <c r="AH1060" s="8" t="s">
        <v>64</v>
      </c>
      <c r="AI1060" s="8"/>
      <c r="AJ1060" s="8"/>
      <c r="AK1060" s="8">
        <v>5</v>
      </c>
      <c r="AL1060" s="8">
        <v>5</v>
      </c>
      <c r="AM1060" s="8"/>
      <c r="AN1060" s="8">
        <v>681</v>
      </c>
      <c r="AO1060" s="8" t="s">
        <v>56</v>
      </c>
      <c r="AP1060" s="8" t="s">
        <v>56</v>
      </c>
      <c r="AQ1060" s="8" t="s">
        <v>57</v>
      </c>
      <c r="AR1060" s="8">
        <v>7.87</v>
      </c>
      <c r="AS1060" s="8" t="s">
        <v>56</v>
      </c>
      <c r="AT1060" s="8" t="s">
        <v>56</v>
      </c>
      <c r="AU1060" s="8">
        <v>1630</v>
      </c>
      <c r="AV1060" t="s">
        <v>56</v>
      </c>
      <c r="AW1060" t="s">
        <v>56</v>
      </c>
      <c r="AX1060">
        <v>7.56</v>
      </c>
      <c r="AY1060" t="s">
        <v>56</v>
      </c>
      <c r="AZ1060" t="s">
        <v>56</v>
      </c>
      <c r="BA1060" s="8"/>
      <c r="BB1060" s="8">
        <f>LOG(AU1060)</f>
        <v>3.2121876044039577</v>
      </c>
      <c r="BC1060" s="8">
        <v>15</v>
      </c>
      <c r="BD1060" s="8" t="s">
        <v>56</v>
      </c>
      <c r="BE1060" s="8" t="s">
        <v>56</v>
      </c>
      <c r="BF1060" s="8">
        <v>18</v>
      </c>
      <c r="BG1060" s="8" t="s">
        <v>56</v>
      </c>
      <c r="BH1060" s="8" t="s">
        <v>56</v>
      </c>
      <c r="BI1060" s="8">
        <v>949</v>
      </c>
      <c r="BJ1060" s="8">
        <v>3</v>
      </c>
      <c r="BK1060" s="8" t="s">
        <v>516</v>
      </c>
      <c r="BL1060" s="8" t="s">
        <v>196</v>
      </c>
      <c r="BM1060" s="8" t="s">
        <v>197</v>
      </c>
      <c r="BN1060" s="8" t="s">
        <v>81</v>
      </c>
      <c r="BO1060" s="8" t="s">
        <v>82</v>
      </c>
      <c r="BP1060" s="8" t="s">
        <v>83</v>
      </c>
      <c r="BQ1060" s="8" t="s">
        <v>92</v>
      </c>
      <c r="BR1060" s="8" t="s">
        <v>84</v>
      </c>
      <c r="BS1060" s="8"/>
      <c r="BT1060" s="8">
        <v>38.97</v>
      </c>
      <c r="BU1060" s="8">
        <v>38.965516999999998</v>
      </c>
      <c r="BV1060" s="8">
        <v>1.55</v>
      </c>
      <c r="BW1060" s="8">
        <f>BV1060*SQRT(AK1060)</f>
        <v>3.4659053651246743</v>
      </c>
      <c r="BX1060" s="8">
        <v>20.52</v>
      </c>
      <c r="BY1060" s="8">
        <v>20.5172414</v>
      </c>
      <c r="BZ1060" s="8">
        <v>2.59</v>
      </c>
      <c r="CA1060" s="8">
        <f>BZ1060*SQRT(AL1060)</f>
        <v>5.7914160617244557</v>
      </c>
      <c r="CB1060" s="8">
        <v>3</v>
      </c>
      <c r="CC1060" s="8">
        <v>5</v>
      </c>
      <c r="CD1060" s="8">
        <v>-0.64100000000000001</v>
      </c>
      <c r="CE1060" s="8">
        <v>1.7500000000000002E-2</v>
      </c>
      <c r="CF1060" s="8" t="s">
        <v>1134</v>
      </c>
    </row>
    <row r="1061" spans="1:84" hidden="1" x14ac:dyDescent="0.2">
      <c r="A1061" s="8"/>
      <c r="B1061" t="str">
        <f>ROW()-1&amp;"_AltersInvert"</f>
        <v>1060_AltersInvert</v>
      </c>
      <c r="C1061" t="str">
        <f>D1061&amp;"_"&amp;
SUBSTITUTE(TRIM(V1061)," ","_")&amp;"_"&amp;
TRIM(AC1061)&amp;"_"&amp;
"CO2"&amp;TEXT(AN1061,"0.00")&amp;"_"&amp;
"pH"&amp;TEXT(AR1061,"0.00")&amp;"_"&amp;
"T"&amp;TEXT(BC1061,"0.##")</f>
        <v>49_Limecola_balthica_EMBRYO_CO2681.00_pH7.87_T15.</v>
      </c>
      <c r="D1061" s="8">
        <v>49</v>
      </c>
      <c r="E1061" s="8"/>
      <c r="F1061" s="8"/>
      <c r="G1061" s="8" t="s">
        <v>43</v>
      </c>
      <c r="H1061" s="8" t="s">
        <v>512</v>
      </c>
      <c r="I1061" s="8" t="s">
        <v>1130</v>
      </c>
      <c r="J1061" s="8">
        <v>2018</v>
      </c>
      <c r="K1061" s="8"/>
      <c r="L1061" s="8"/>
      <c r="M1061" s="8" t="s">
        <v>513</v>
      </c>
      <c r="N1061" s="8"/>
      <c r="O1061" s="8"/>
      <c r="P1061" t="s">
        <v>1135</v>
      </c>
      <c r="Q1061" s="8"/>
      <c r="R1061" s="8" t="s">
        <v>1127</v>
      </c>
      <c r="S1061" t="s">
        <v>1128</v>
      </c>
      <c r="T1061" s="8" t="s">
        <v>68</v>
      </c>
      <c r="U1061" s="8" t="s">
        <v>514</v>
      </c>
      <c r="V1061" s="8" t="s">
        <v>515</v>
      </c>
      <c r="W1061" s="8" t="str">
        <f>IF(ISNUMBER(MATCH(V455,{"Doryteuthis pealeii","Loligo vulgaris","Leptuca thayeri","Stylocheilus striatus","Ophryotrocha labronica"},0)),"N","Y")</f>
        <v>Y</v>
      </c>
      <c r="X1061" s="8"/>
      <c r="Y1061" s="8"/>
      <c r="Z1061" s="8" t="s">
        <v>49</v>
      </c>
      <c r="AA1061" s="8" t="s">
        <v>49</v>
      </c>
      <c r="AB1061" s="8" t="s">
        <v>71</v>
      </c>
      <c r="AC1061" s="8" t="s">
        <v>195</v>
      </c>
      <c r="AD1061" s="8" t="s">
        <v>52</v>
      </c>
      <c r="AE1061" s="8" t="s">
        <v>53</v>
      </c>
      <c r="AF1061" s="8" t="s">
        <v>52</v>
      </c>
      <c r="AG1061" s="8" t="s">
        <v>52</v>
      </c>
      <c r="AH1061" s="8" t="s">
        <v>64</v>
      </c>
      <c r="AI1061" s="8"/>
      <c r="AJ1061" s="8"/>
      <c r="AK1061" s="8">
        <v>5</v>
      </c>
      <c r="AL1061" s="8">
        <v>5</v>
      </c>
      <c r="AM1061" s="8"/>
      <c r="AN1061" s="8">
        <v>681</v>
      </c>
      <c r="AO1061" s="8" t="s">
        <v>56</v>
      </c>
      <c r="AP1061" s="8" t="s">
        <v>56</v>
      </c>
      <c r="AQ1061" s="8" t="s">
        <v>57</v>
      </c>
      <c r="AR1061" s="8">
        <v>7.87</v>
      </c>
      <c r="AS1061" s="8" t="s">
        <v>56</v>
      </c>
      <c r="AT1061" s="8" t="s">
        <v>56</v>
      </c>
      <c r="AU1061" s="8">
        <v>1367</v>
      </c>
      <c r="AV1061" t="s">
        <v>56</v>
      </c>
      <c r="AW1061" t="s">
        <v>56</v>
      </c>
      <c r="AX1061">
        <v>7.63</v>
      </c>
      <c r="AY1061" t="s">
        <v>56</v>
      </c>
      <c r="AZ1061" t="s">
        <v>56</v>
      </c>
      <c r="BA1061" s="8"/>
      <c r="BB1061" s="8">
        <f>LOG(AU1061)</f>
        <v>3.1357685145678222</v>
      </c>
      <c r="BC1061" s="8">
        <v>15</v>
      </c>
      <c r="BD1061" s="8" t="s">
        <v>56</v>
      </c>
      <c r="BE1061" s="8" t="s">
        <v>56</v>
      </c>
      <c r="BF1061" s="8">
        <v>18</v>
      </c>
      <c r="BG1061" s="8" t="s">
        <v>56</v>
      </c>
      <c r="BH1061" s="8" t="s">
        <v>56</v>
      </c>
      <c r="BI1061" s="8">
        <v>687</v>
      </c>
      <c r="BJ1061" s="8">
        <v>3</v>
      </c>
      <c r="BK1061" s="8" t="s">
        <v>516</v>
      </c>
      <c r="BL1061" s="8" t="s">
        <v>196</v>
      </c>
      <c r="BM1061" s="8" t="s">
        <v>197</v>
      </c>
      <c r="BN1061" s="8" t="s">
        <v>81</v>
      </c>
      <c r="BO1061" s="8" t="s">
        <v>82</v>
      </c>
      <c r="BP1061" s="8" t="s">
        <v>83</v>
      </c>
      <c r="BQ1061" s="8" t="s">
        <v>92</v>
      </c>
      <c r="BR1061" s="8" t="s">
        <v>84</v>
      </c>
      <c r="BS1061" s="8"/>
      <c r="BT1061" s="8">
        <v>38.97</v>
      </c>
      <c r="BU1061" s="8">
        <v>38.965516999999998</v>
      </c>
      <c r="BV1061" s="8">
        <v>1.55</v>
      </c>
      <c r="BW1061" s="8">
        <f>BV1061*SQRT(AK1061)</f>
        <v>3.4659053651246743</v>
      </c>
      <c r="BX1061" s="8">
        <v>22.59</v>
      </c>
      <c r="BY1061" s="8">
        <v>22.586206900000001</v>
      </c>
      <c r="BZ1061" s="8">
        <v>2.59</v>
      </c>
      <c r="CA1061" s="8">
        <f>BZ1061*SQRT(AL1061)</f>
        <v>5.7914160617244557</v>
      </c>
      <c r="CB1061" s="8">
        <v>3</v>
      </c>
      <c r="CC1061" s="8">
        <v>5</v>
      </c>
      <c r="CD1061" s="8">
        <v>-0.54500000000000004</v>
      </c>
      <c r="CE1061" s="8">
        <v>1.47E-2</v>
      </c>
      <c r="CF1061" s="8" t="s">
        <v>1134</v>
      </c>
    </row>
    <row r="1062" spans="1:84" hidden="1" x14ac:dyDescent="0.2">
      <c r="A1062" s="8"/>
      <c r="B1062" t="str">
        <f>ROW()-1&amp;"_AltersInvert"</f>
        <v>1061_AltersInvert</v>
      </c>
      <c r="C1062" t="str">
        <f>D1062&amp;"_"&amp;
SUBSTITUTE(TRIM(V1062)," ","_")&amp;"_"&amp;
TRIM(AC1062)&amp;"_"&amp;
"CO2"&amp;TEXT(AN1062,"0.00")&amp;"_"&amp;
"pH"&amp;TEXT(AR1062,"0.00")&amp;"_"&amp;
"T"&amp;TEXT(BC1062,"0.##")</f>
        <v>49_Limecola_balthica_EMBRYO_CO2681.00_pH7.87_T15.</v>
      </c>
      <c r="D1062" s="8">
        <v>49</v>
      </c>
      <c r="E1062" s="8"/>
      <c r="F1062" s="8"/>
      <c r="G1062" s="8" t="s">
        <v>43</v>
      </c>
      <c r="H1062" s="8" t="s">
        <v>512</v>
      </c>
      <c r="I1062" s="8" t="s">
        <v>1130</v>
      </c>
      <c r="J1062" s="8">
        <v>2018</v>
      </c>
      <c r="K1062" s="8"/>
      <c r="L1062" s="8"/>
      <c r="M1062" s="8" t="s">
        <v>513</v>
      </c>
      <c r="N1062" s="8"/>
      <c r="O1062" s="8"/>
      <c r="P1062" t="s">
        <v>1135</v>
      </c>
      <c r="Q1062" s="8"/>
      <c r="R1062" s="8" t="s">
        <v>1127</v>
      </c>
      <c r="S1062" t="s">
        <v>1128</v>
      </c>
      <c r="T1062" s="8" t="s">
        <v>68</v>
      </c>
      <c r="U1062" s="8" t="s">
        <v>514</v>
      </c>
      <c r="V1062" s="8" t="s">
        <v>515</v>
      </c>
      <c r="W1062" s="8" t="str">
        <f>IF(ISNUMBER(MATCH(V456,{"Doryteuthis pealeii","Loligo vulgaris","Leptuca thayeri","Stylocheilus striatus","Ophryotrocha labronica"},0)),"N","Y")</f>
        <v>Y</v>
      </c>
      <c r="X1062" s="8"/>
      <c r="Y1062" s="8"/>
      <c r="Z1062" s="8" t="s">
        <v>49</v>
      </c>
      <c r="AA1062" s="8" t="s">
        <v>49</v>
      </c>
      <c r="AB1062" s="8" t="s">
        <v>71</v>
      </c>
      <c r="AC1062" s="8" t="s">
        <v>195</v>
      </c>
      <c r="AD1062" s="8" t="s">
        <v>52</v>
      </c>
      <c r="AE1062" s="8" t="s">
        <v>53</v>
      </c>
      <c r="AF1062" s="8" t="s">
        <v>52</v>
      </c>
      <c r="AG1062" s="8" t="s">
        <v>52</v>
      </c>
      <c r="AH1062" s="8" t="s">
        <v>64</v>
      </c>
      <c r="AI1062" s="8"/>
      <c r="AJ1062" s="8"/>
      <c r="AK1062" s="8">
        <v>5</v>
      </c>
      <c r="AL1062" s="8">
        <v>5</v>
      </c>
      <c r="AM1062" s="8"/>
      <c r="AN1062" s="8">
        <v>681</v>
      </c>
      <c r="AO1062" s="8" t="s">
        <v>56</v>
      </c>
      <c r="AP1062" s="8" t="s">
        <v>56</v>
      </c>
      <c r="AQ1062" s="8" t="s">
        <v>57</v>
      </c>
      <c r="AR1062" s="8">
        <v>7.87</v>
      </c>
      <c r="AS1062" s="8" t="s">
        <v>56</v>
      </c>
      <c r="AT1062" s="8" t="s">
        <v>56</v>
      </c>
      <c r="AU1062" s="8">
        <v>1056</v>
      </c>
      <c r="AV1062" t="s">
        <v>56</v>
      </c>
      <c r="AW1062" t="s">
        <v>56</v>
      </c>
      <c r="AX1062">
        <v>7.73</v>
      </c>
      <c r="AY1062" t="s">
        <v>56</v>
      </c>
      <c r="AZ1062" t="s">
        <v>56</v>
      </c>
      <c r="BA1062" s="8"/>
      <c r="BB1062" s="8">
        <f>LOG(AU1062)</f>
        <v>3.0236639181977933</v>
      </c>
      <c r="BC1062" s="8">
        <v>15</v>
      </c>
      <c r="BD1062" s="8" t="s">
        <v>56</v>
      </c>
      <c r="BE1062" s="8" t="s">
        <v>56</v>
      </c>
      <c r="BF1062" s="8">
        <v>18</v>
      </c>
      <c r="BG1062" s="8" t="s">
        <v>56</v>
      </c>
      <c r="BH1062" s="8" t="s">
        <v>56</v>
      </c>
      <c r="BI1062" s="8">
        <v>376</v>
      </c>
      <c r="BJ1062" s="8">
        <v>3</v>
      </c>
      <c r="BK1062" s="8" t="s">
        <v>516</v>
      </c>
      <c r="BL1062" s="8" t="s">
        <v>196</v>
      </c>
      <c r="BM1062" s="8" t="s">
        <v>197</v>
      </c>
      <c r="BN1062" s="8" t="s">
        <v>81</v>
      </c>
      <c r="BO1062" s="8" t="s">
        <v>82</v>
      </c>
      <c r="BP1062" s="8" t="s">
        <v>83</v>
      </c>
      <c r="BQ1062" s="8" t="s">
        <v>83</v>
      </c>
      <c r="BR1062" s="8" t="s">
        <v>84</v>
      </c>
      <c r="BS1062" s="8"/>
      <c r="BT1062" s="8">
        <v>38.97</v>
      </c>
      <c r="BU1062" s="8">
        <v>38.965516999999998</v>
      </c>
      <c r="BV1062" s="8">
        <v>1.55</v>
      </c>
      <c r="BW1062" s="8">
        <f>BV1062*SQRT(AK1062)</f>
        <v>3.4659053651246743</v>
      </c>
      <c r="BX1062" s="8">
        <v>29.48</v>
      </c>
      <c r="BY1062" s="8">
        <v>29.4827586</v>
      </c>
      <c r="BZ1062" s="8">
        <v>1.21</v>
      </c>
      <c r="CA1062" s="8">
        <f>BZ1062*SQRT(AL1062)</f>
        <v>2.7056422527747457</v>
      </c>
      <c r="CB1062" s="8">
        <v>3</v>
      </c>
      <c r="CC1062" s="8">
        <v>5</v>
      </c>
      <c r="CD1062" s="8">
        <v>-0.27900000000000003</v>
      </c>
      <c r="CE1062" s="8">
        <v>3.3E-3</v>
      </c>
      <c r="CF1062" s="8" t="s">
        <v>1134</v>
      </c>
    </row>
    <row r="1063" spans="1:84" hidden="1" x14ac:dyDescent="0.2">
      <c r="A1063" s="8"/>
      <c r="B1063" t="str">
        <f>ROW()-1&amp;"_AltersInvert"</f>
        <v>1062_AltersInvert</v>
      </c>
      <c r="C1063" t="str">
        <f>D1063&amp;"_"&amp;
SUBSTITUTE(TRIM(V1063)," ","_")&amp;"_"&amp;
TRIM(AC1063)&amp;"_"&amp;
"CO2"&amp;TEXT(AN1063,"0.00")&amp;"_"&amp;
"pH"&amp;TEXT(AR1063,"0.00")&amp;"_"&amp;
"T"&amp;TEXT(BC1063,"0.##")</f>
        <v>63_Heliocidaris_tuberculata_EMBRYO_CO2338.00_pH8.13_T20.</v>
      </c>
      <c r="D1063" s="8">
        <v>63</v>
      </c>
      <c r="E1063" s="8"/>
      <c r="F1063" s="8"/>
      <c r="G1063" s="8" t="s">
        <v>43</v>
      </c>
      <c r="H1063" s="8" t="s">
        <v>604</v>
      </c>
      <c r="I1063" s="8" t="s">
        <v>1130</v>
      </c>
      <c r="J1063" s="8">
        <v>2013</v>
      </c>
      <c r="K1063" s="8"/>
      <c r="L1063" s="8"/>
      <c r="M1063" s="8" t="s">
        <v>45</v>
      </c>
      <c r="N1063" s="8"/>
      <c r="O1063" s="8"/>
      <c r="P1063" t="s">
        <v>1135</v>
      </c>
      <c r="Q1063" s="8"/>
      <c r="R1063" s="8" t="s">
        <v>1127</v>
      </c>
      <c r="S1063" t="s">
        <v>1128</v>
      </c>
      <c r="T1063" s="8" t="s">
        <v>46</v>
      </c>
      <c r="U1063" s="8" t="s">
        <v>605</v>
      </c>
      <c r="V1063" s="8" t="s">
        <v>606</v>
      </c>
      <c r="W1063" s="8" t="str">
        <f>IF(ISNUMBER(MATCH(#REF!,{"Doryteuthis pealeii","Loligo vulgaris","Leptuca thayeri","Stylocheilus striatus","Ophryotrocha labronica"},0)),"N","Y")</f>
        <v>Y</v>
      </c>
      <c r="X1063" s="8"/>
      <c r="Y1063" s="8"/>
      <c r="Z1063" s="8" t="s">
        <v>49</v>
      </c>
      <c r="AA1063" s="8" t="s">
        <v>49</v>
      </c>
      <c r="AB1063" s="8" t="s">
        <v>71</v>
      </c>
      <c r="AC1063" s="8" t="s">
        <v>195</v>
      </c>
      <c r="AD1063" s="8" t="s">
        <v>52</v>
      </c>
      <c r="AE1063" s="8" t="s">
        <v>53</v>
      </c>
      <c r="AF1063" s="8" t="s">
        <v>52</v>
      </c>
      <c r="AG1063" s="8" t="s">
        <v>54</v>
      </c>
      <c r="AH1063" s="8" t="s">
        <v>55</v>
      </c>
      <c r="AI1063" s="8"/>
      <c r="AJ1063" s="8"/>
      <c r="AK1063" s="8">
        <v>8</v>
      </c>
      <c r="AL1063" s="8">
        <v>8</v>
      </c>
      <c r="AM1063" s="8"/>
      <c r="AN1063" s="8">
        <v>338</v>
      </c>
      <c r="AO1063" s="8">
        <v>1</v>
      </c>
      <c r="AP1063" s="8" t="s">
        <v>56</v>
      </c>
      <c r="AQ1063" s="8" t="s">
        <v>118</v>
      </c>
      <c r="AR1063" s="8">
        <v>8.1300000000000008</v>
      </c>
      <c r="AS1063" s="8">
        <v>0.02</v>
      </c>
      <c r="AT1063" s="8" t="s">
        <v>56</v>
      </c>
      <c r="AU1063" s="8">
        <v>1257</v>
      </c>
      <c r="AV1063">
        <v>4</v>
      </c>
      <c r="AW1063" t="s">
        <v>56</v>
      </c>
      <c r="AX1063">
        <v>7.63</v>
      </c>
      <c r="AY1063">
        <v>0.01</v>
      </c>
      <c r="AZ1063" t="s">
        <v>56</v>
      </c>
      <c r="BA1063" s="8"/>
      <c r="BB1063" s="8">
        <f>LOG(AU1063)</f>
        <v>3.0993352776859577</v>
      </c>
      <c r="BC1063" s="8">
        <v>20</v>
      </c>
      <c r="BD1063" s="8" t="s">
        <v>56</v>
      </c>
      <c r="BE1063" s="8" t="s">
        <v>56</v>
      </c>
      <c r="BF1063" s="8">
        <v>20</v>
      </c>
      <c r="BG1063" s="8" t="s">
        <v>56</v>
      </c>
      <c r="BH1063" s="8" t="s">
        <v>56</v>
      </c>
      <c r="BI1063" s="8">
        <v>919</v>
      </c>
      <c r="BJ1063" s="8">
        <v>0</v>
      </c>
      <c r="BK1063" s="8" t="s">
        <v>56</v>
      </c>
      <c r="BL1063" s="8" t="s">
        <v>608</v>
      </c>
      <c r="BM1063" s="8" t="s">
        <v>86</v>
      </c>
      <c r="BN1063" s="8" t="s">
        <v>81</v>
      </c>
      <c r="BO1063" s="8" t="s">
        <v>82</v>
      </c>
      <c r="BP1063" s="8" t="s">
        <v>9</v>
      </c>
      <c r="BQ1063" s="8" t="s">
        <v>190</v>
      </c>
      <c r="BR1063" s="8" t="s">
        <v>84</v>
      </c>
      <c r="BS1063" s="8"/>
      <c r="BT1063" s="8">
        <v>95.25</v>
      </c>
      <c r="BU1063" s="8">
        <v>95.25</v>
      </c>
      <c r="BV1063" s="8">
        <v>1.26</v>
      </c>
      <c r="BW1063" s="8">
        <f>BV1063*SQRT(AK1063)</f>
        <v>3.5638181771801998</v>
      </c>
      <c r="BX1063" s="8">
        <v>82.91</v>
      </c>
      <c r="BY1063" s="8">
        <v>82.91</v>
      </c>
      <c r="BZ1063" s="8">
        <v>5.38</v>
      </c>
      <c r="CA1063" s="8">
        <f>BZ1063*SQRT(AL1063)</f>
        <v>15.216937931134504</v>
      </c>
      <c r="CB1063" s="8">
        <v>1</v>
      </c>
      <c r="CC1063" s="8">
        <v>8</v>
      </c>
      <c r="CD1063" s="8">
        <v>-0.13900000000000001</v>
      </c>
      <c r="CE1063" s="8">
        <v>4.4000000000000003E-3</v>
      </c>
      <c r="CF1063" s="8" t="s">
        <v>1134</v>
      </c>
    </row>
    <row r="1064" spans="1:84" hidden="1" x14ac:dyDescent="0.2">
      <c r="A1064" s="8"/>
      <c r="B1064" t="str">
        <f>ROW()-1&amp;"_AltersInvert"</f>
        <v>1063_AltersInvert</v>
      </c>
      <c r="C1064" t="str">
        <f>D1064&amp;"_"&amp;
SUBSTITUTE(TRIM(V1064)," ","_")&amp;"_"&amp;
TRIM(AC1064)&amp;"_"&amp;
"CO2"&amp;TEXT(AN1064,"0.00")&amp;"_"&amp;
"pH"&amp;TEXT(AR1064,"0.00")&amp;"_"&amp;
"T"&amp;TEXT(BC1064,"0.##")</f>
        <v>63_Heliocidaris_tuberculata_EMBRYO_CO2338.00_pH8.13_T20.</v>
      </c>
      <c r="D1064" s="8">
        <v>63</v>
      </c>
      <c r="E1064" s="8"/>
      <c r="F1064" s="8"/>
      <c r="G1064" s="8" t="s">
        <v>43</v>
      </c>
      <c r="H1064" s="8" t="s">
        <v>604</v>
      </c>
      <c r="I1064" s="8" t="s">
        <v>1130</v>
      </c>
      <c r="J1064" s="8">
        <v>2013</v>
      </c>
      <c r="K1064" s="8"/>
      <c r="L1064" s="8"/>
      <c r="M1064" s="8" t="s">
        <v>45</v>
      </c>
      <c r="N1064" s="8"/>
      <c r="O1064" s="8"/>
      <c r="P1064" t="s">
        <v>1135</v>
      </c>
      <c r="Q1064" s="8"/>
      <c r="R1064" s="8" t="s">
        <v>1127</v>
      </c>
      <c r="S1064" t="s">
        <v>1128</v>
      </c>
      <c r="T1064" s="8" t="s">
        <v>46</v>
      </c>
      <c r="U1064" s="8" t="s">
        <v>605</v>
      </c>
      <c r="V1064" s="8" t="s">
        <v>606</v>
      </c>
      <c r="W1064" s="8" t="str">
        <f>IF(ISNUMBER(MATCH(#REF!,{"Doryteuthis pealeii","Loligo vulgaris","Leptuca thayeri","Stylocheilus striatus","Ophryotrocha labronica"},0)),"N","Y")</f>
        <v>Y</v>
      </c>
      <c r="X1064" s="8"/>
      <c r="Y1064" s="8"/>
      <c r="Z1064" s="8" t="s">
        <v>49</v>
      </c>
      <c r="AA1064" s="8" t="s">
        <v>49</v>
      </c>
      <c r="AB1064" s="8" t="s">
        <v>71</v>
      </c>
      <c r="AC1064" s="8" t="s">
        <v>195</v>
      </c>
      <c r="AD1064" s="8" t="s">
        <v>52</v>
      </c>
      <c r="AE1064" s="8" t="s">
        <v>53</v>
      </c>
      <c r="AF1064" s="8" t="s">
        <v>52</v>
      </c>
      <c r="AG1064" s="8" t="s">
        <v>54</v>
      </c>
      <c r="AH1064" s="8" t="s">
        <v>55</v>
      </c>
      <c r="AI1064" s="8"/>
      <c r="AJ1064" s="8"/>
      <c r="AK1064" s="8">
        <v>8</v>
      </c>
      <c r="AL1064" s="8">
        <v>8</v>
      </c>
      <c r="AM1064" s="8"/>
      <c r="AN1064" s="8">
        <v>338</v>
      </c>
      <c r="AO1064" s="8">
        <v>1</v>
      </c>
      <c r="AP1064" s="8" t="s">
        <v>56</v>
      </c>
      <c r="AQ1064" s="8" t="s">
        <v>118</v>
      </c>
      <c r="AR1064" s="8">
        <v>8.1300000000000008</v>
      </c>
      <c r="AS1064" s="8">
        <v>0.02</v>
      </c>
      <c r="AT1064" s="8" t="s">
        <v>56</v>
      </c>
      <c r="AU1064" s="8">
        <v>2054</v>
      </c>
      <c r="AV1064">
        <v>7</v>
      </c>
      <c r="AW1064" t="s">
        <v>56</v>
      </c>
      <c r="AX1064">
        <v>7.48</v>
      </c>
      <c r="AY1064">
        <v>0.02</v>
      </c>
      <c r="AZ1064" t="s">
        <v>56</v>
      </c>
      <c r="BA1064" s="8"/>
      <c r="BB1064" s="8">
        <f>LOG(AU1064)</f>
        <v>3.3126004392612596</v>
      </c>
      <c r="BC1064" s="8">
        <v>20</v>
      </c>
      <c r="BD1064" s="8" t="s">
        <v>56</v>
      </c>
      <c r="BE1064" s="8" t="s">
        <v>56</v>
      </c>
      <c r="BF1064" s="8">
        <v>20</v>
      </c>
      <c r="BG1064" s="8" t="s">
        <v>56</v>
      </c>
      <c r="BH1064" s="8" t="s">
        <v>56</v>
      </c>
      <c r="BI1064" s="8">
        <v>1716</v>
      </c>
      <c r="BJ1064" s="8">
        <v>0</v>
      </c>
      <c r="BK1064" s="8" t="s">
        <v>56</v>
      </c>
      <c r="BL1064" s="8" t="s">
        <v>608</v>
      </c>
      <c r="BM1064" s="8" t="s">
        <v>86</v>
      </c>
      <c r="BN1064" s="8" t="s">
        <v>81</v>
      </c>
      <c r="BO1064" s="8" t="s">
        <v>82</v>
      </c>
      <c r="BP1064" s="8" t="s">
        <v>9</v>
      </c>
      <c r="BQ1064" s="8" t="s">
        <v>190</v>
      </c>
      <c r="BR1064" s="8" t="s">
        <v>84</v>
      </c>
      <c r="BS1064" s="8"/>
      <c r="BT1064" s="8">
        <v>95.25</v>
      </c>
      <c r="BU1064" s="8">
        <v>95.25</v>
      </c>
      <c r="BV1064" s="8">
        <v>1.26</v>
      </c>
      <c r="BW1064" s="8">
        <f>BV1064*SQRT(AK1064)</f>
        <v>3.5638181771801998</v>
      </c>
      <c r="BX1064" s="8">
        <v>84.49</v>
      </c>
      <c r="BY1064" s="8">
        <v>84.49</v>
      </c>
      <c r="BZ1064" s="8">
        <v>4.43</v>
      </c>
      <c r="CA1064" s="8">
        <f>BZ1064*SQRT(AL1064)</f>
        <v>12.529932162625622</v>
      </c>
      <c r="CB1064" s="8">
        <v>1</v>
      </c>
      <c r="CC1064" s="8">
        <v>8</v>
      </c>
      <c r="CD1064" s="8">
        <v>-0.12</v>
      </c>
      <c r="CE1064" s="8">
        <v>2.8999999999999998E-3</v>
      </c>
      <c r="CF1064" s="8" t="s">
        <v>1134</v>
      </c>
    </row>
    <row r="1065" spans="1:84" hidden="1" x14ac:dyDescent="0.2">
      <c r="A1065" s="8"/>
      <c r="B1065" t="str">
        <f>ROW()-1&amp;"_AltersInvert"</f>
        <v>1064_AltersInvert</v>
      </c>
      <c r="C1065" t="str">
        <f>D1065&amp;"_"&amp;
SUBSTITUTE(TRIM(V1065)," ","_")&amp;"_"&amp;
TRIM(AC1065)&amp;"_"&amp;
"CO2"&amp;TEXT(AN1065,"0.00")&amp;"_"&amp;
"pH"&amp;TEXT(AR1065,"0.00")&amp;"_"&amp;
"T"&amp;TEXT(BC1065,"0.##")</f>
        <v>63_Heliocidaris_tuberculata_EMBRYO_CO2338.00_pH8.13_T20.</v>
      </c>
      <c r="D1065" s="8">
        <v>63</v>
      </c>
      <c r="E1065" s="8"/>
      <c r="F1065" s="8"/>
      <c r="G1065" s="8" t="s">
        <v>43</v>
      </c>
      <c r="H1065" s="8" t="s">
        <v>604</v>
      </c>
      <c r="I1065" s="8" t="s">
        <v>1130</v>
      </c>
      <c r="J1065" s="8">
        <v>2013</v>
      </c>
      <c r="K1065" s="8"/>
      <c r="L1065" s="8"/>
      <c r="M1065" s="8" t="s">
        <v>45</v>
      </c>
      <c r="N1065" s="8"/>
      <c r="O1065" s="8"/>
      <c r="P1065" t="s">
        <v>1135</v>
      </c>
      <c r="Q1065" s="8"/>
      <c r="R1065" s="8" t="s">
        <v>1127</v>
      </c>
      <c r="S1065" t="s">
        <v>1128</v>
      </c>
      <c r="T1065" s="8" t="s">
        <v>46</v>
      </c>
      <c r="U1065" s="8" t="s">
        <v>605</v>
      </c>
      <c r="V1065" s="8" t="s">
        <v>606</v>
      </c>
      <c r="W1065" s="8" t="str">
        <f>IF(ISNUMBER(MATCH(#REF!,{"Doryteuthis pealeii","Loligo vulgaris","Leptuca thayeri","Stylocheilus striatus","Ophryotrocha labronica"},0)),"N","Y")</f>
        <v>Y</v>
      </c>
      <c r="X1065" s="8"/>
      <c r="Y1065" s="8"/>
      <c r="Z1065" s="8" t="s">
        <v>49</v>
      </c>
      <c r="AA1065" s="8" t="s">
        <v>49</v>
      </c>
      <c r="AB1065" s="8" t="s">
        <v>71</v>
      </c>
      <c r="AC1065" s="8" t="s">
        <v>195</v>
      </c>
      <c r="AD1065" s="8" t="s">
        <v>52</v>
      </c>
      <c r="AE1065" s="8" t="s">
        <v>53</v>
      </c>
      <c r="AF1065" s="8" t="s">
        <v>52</v>
      </c>
      <c r="AG1065" s="8" t="s">
        <v>54</v>
      </c>
      <c r="AH1065" s="8" t="s">
        <v>55</v>
      </c>
      <c r="AI1065" s="8"/>
      <c r="AJ1065" s="8"/>
      <c r="AK1065" s="8">
        <v>8</v>
      </c>
      <c r="AL1065" s="8">
        <v>8</v>
      </c>
      <c r="AM1065" s="8"/>
      <c r="AN1065" s="8">
        <v>338</v>
      </c>
      <c r="AO1065" s="8">
        <v>1</v>
      </c>
      <c r="AP1065" s="8" t="s">
        <v>56</v>
      </c>
      <c r="AQ1065" s="8" t="s">
        <v>118</v>
      </c>
      <c r="AR1065" s="8">
        <v>8.1300000000000008</v>
      </c>
      <c r="AS1065" s="8">
        <v>0.02</v>
      </c>
      <c r="AT1065" s="8" t="s">
        <v>56</v>
      </c>
      <c r="AU1065" s="8">
        <v>757</v>
      </c>
      <c r="AV1065">
        <v>3</v>
      </c>
      <c r="AW1065" t="s">
        <v>56</v>
      </c>
      <c r="AX1065">
        <v>7.8</v>
      </c>
      <c r="AY1065">
        <v>0.01</v>
      </c>
      <c r="AZ1065" t="s">
        <v>56</v>
      </c>
      <c r="BA1065" s="8"/>
      <c r="BB1065" s="8">
        <f>LOG(AU1065)</f>
        <v>2.8790958795000727</v>
      </c>
      <c r="BC1065" s="8">
        <v>20</v>
      </c>
      <c r="BD1065" s="8" t="s">
        <v>56</v>
      </c>
      <c r="BE1065" s="8" t="s">
        <v>56</v>
      </c>
      <c r="BF1065" s="8">
        <v>20</v>
      </c>
      <c r="BG1065" s="8" t="s">
        <v>56</v>
      </c>
      <c r="BH1065" s="8" t="s">
        <v>56</v>
      </c>
      <c r="BI1065" s="8">
        <v>419</v>
      </c>
      <c r="BJ1065" s="8">
        <v>0</v>
      </c>
      <c r="BK1065" s="8" t="s">
        <v>56</v>
      </c>
      <c r="BL1065" s="8" t="s">
        <v>608</v>
      </c>
      <c r="BM1065" s="8" t="s">
        <v>86</v>
      </c>
      <c r="BN1065" s="8" t="s">
        <v>81</v>
      </c>
      <c r="BO1065" s="8" t="s">
        <v>82</v>
      </c>
      <c r="BP1065" s="8" t="s">
        <v>9</v>
      </c>
      <c r="BQ1065" s="8" t="s">
        <v>190</v>
      </c>
      <c r="BR1065" s="8" t="s">
        <v>84</v>
      </c>
      <c r="BS1065" s="8"/>
      <c r="BT1065" s="8">
        <v>95.25</v>
      </c>
      <c r="BU1065" s="8">
        <v>95.25</v>
      </c>
      <c r="BV1065" s="8">
        <v>1.26</v>
      </c>
      <c r="BW1065" s="8">
        <f>BV1065*SQRT(AK1065)</f>
        <v>3.5638181771801998</v>
      </c>
      <c r="BX1065" s="8">
        <v>89.55</v>
      </c>
      <c r="BY1065" s="8">
        <v>89.55</v>
      </c>
      <c r="BZ1065" s="8">
        <v>2.85</v>
      </c>
      <c r="CA1065" s="8">
        <f>BZ1065*SQRT(AL1065)</f>
        <v>8.0610173055266419</v>
      </c>
      <c r="CB1065" s="8">
        <v>1</v>
      </c>
      <c r="CC1065" s="8">
        <v>8</v>
      </c>
      <c r="CD1065" s="8">
        <v>-6.2E-2</v>
      </c>
      <c r="CE1065" s="8">
        <v>1.1999999999999999E-3</v>
      </c>
      <c r="CF1065" s="8" t="s">
        <v>1134</v>
      </c>
    </row>
    <row r="1066" spans="1:84" hidden="1" x14ac:dyDescent="0.2">
      <c r="A1066" s="8"/>
      <c r="B1066" t="str">
        <f>ROW()-1&amp;"_AltersInvert"</f>
        <v>1065_AltersInvert</v>
      </c>
      <c r="C1066" t="str">
        <f>D1066&amp;"_"&amp;
SUBSTITUTE(TRIM(V1066)," ","_")&amp;"_"&amp;
TRIM(AC1066)&amp;"_"&amp;
"CO2"&amp;TEXT(AN1066,"0.00")&amp;"_"&amp;
"pH"&amp;TEXT(AR1066,"0.00")&amp;"_"&amp;
"T"&amp;TEXT(BC1066,"0.##")</f>
        <v>63_Heliocidaris_tuberculata_EMBRYO_CO2338.00_pH8.13_T20.</v>
      </c>
      <c r="D1066" s="8">
        <v>63</v>
      </c>
      <c r="E1066" s="8"/>
      <c r="F1066" s="8"/>
      <c r="G1066" s="8" t="s">
        <v>43</v>
      </c>
      <c r="H1066" s="8" t="s">
        <v>604</v>
      </c>
      <c r="I1066" s="8" t="s">
        <v>1130</v>
      </c>
      <c r="J1066" s="8">
        <v>2013</v>
      </c>
      <c r="K1066" s="8"/>
      <c r="L1066" s="8"/>
      <c r="M1066" s="8" t="s">
        <v>45</v>
      </c>
      <c r="N1066" s="8"/>
      <c r="O1066" s="8"/>
      <c r="P1066" t="s">
        <v>1135</v>
      </c>
      <c r="Q1066" s="8"/>
      <c r="R1066" s="8" t="s">
        <v>1127</v>
      </c>
      <c r="S1066" t="s">
        <v>1128</v>
      </c>
      <c r="T1066" s="8" t="s">
        <v>46</v>
      </c>
      <c r="U1066" s="8" t="s">
        <v>605</v>
      </c>
      <c r="V1066" s="8" t="s">
        <v>606</v>
      </c>
      <c r="W1066" s="8" t="str">
        <f>IF(ISNUMBER(MATCH(#REF!,{"Doryteuthis pealeii","Loligo vulgaris","Leptuca thayeri","Stylocheilus striatus","Ophryotrocha labronica"},0)),"N","Y")</f>
        <v>Y</v>
      </c>
      <c r="X1066" s="8"/>
      <c r="Y1066" s="8"/>
      <c r="Z1066" s="8" t="s">
        <v>49</v>
      </c>
      <c r="AA1066" s="8" t="s">
        <v>49</v>
      </c>
      <c r="AB1066" s="8" t="s">
        <v>71</v>
      </c>
      <c r="AC1066" s="8" t="s">
        <v>195</v>
      </c>
      <c r="AD1066" s="8" t="s">
        <v>52</v>
      </c>
      <c r="AE1066" s="8" t="s">
        <v>53</v>
      </c>
      <c r="AF1066" s="8" t="s">
        <v>54</v>
      </c>
      <c r="AG1066" s="8" t="s">
        <v>52</v>
      </c>
      <c r="AH1066" s="8" t="s">
        <v>65</v>
      </c>
      <c r="AI1066" s="8"/>
      <c r="AJ1066" s="8"/>
      <c r="AK1066" s="8">
        <v>8</v>
      </c>
      <c r="AL1066" s="8">
        <v>8</v>
      </c>
      <c r="AM1066" s="8"/>
      <c r="AN1066" s="8">
        <v>338</v>
      </c>
      <c r="AO1066" s="8">
        <v>1</v>
      </c>
      <c r="AP1066" s="8" t="s">
        <v>56</v>
      </c>
      <c r="AQ1066" s="8" t="s">
        <v>118</v>
      </c>
      <c r="AR1066" s="8">
        <v>8.1300000000000008</v>
      </c>
      <c r="AS1066" s="8">
        <v>0.02</v>
      </c>
      <c r="AT1066" s="8" t="s">
        <v>56</v>
      </c>
      <c r="AU1066" s="8">
        <v>335</v>
      </c>
      <c r="AV1066">
        <v>1</v>
      </c>
      <c r="AW1066" t="s">
        <v>56</v>
      </c>
      <c r="AX1066">
        <v>8.1</v>
      </c>
      <c r="AY1066">
        <v>0.02</v>
      </c>
      <c r="AZ1066" t="s">
        <v>56</v>
      </c>
      <c r="BA1066" s="8"/>
      <c r="BB1066" s="8">
        <f>LOG(AU1066)</f>
        <v>2.5250448070368452</v>
      </c>
      <c r="BC1066" s="8">
        <v>20</v>
      </c>
      <c r="BD1066" s="8" t="s">
        <v>56</v>
      </c>
      <c r="BE1066" s="8" t="s">
        <v>56</v>
      </c>
      <c r="BF1066" s="8">
        <v>24</v>
      </c>
      <c r="BG1066" s="8" t="s">
        <v>56</v>
      </c>
      <c r="BH1066" s="8" t="s">
        <v>56</v>
      </c>
      <c r="BI1066" s="8">
        <v>-4</v>
      </c>
      <c r="BJ1066" s="8">
        <v>4</v>
      </c>
      <c r="BK1066" s="8" t="s">
        <v>56</v>
      </c>
      <c r="BL1066" s="8" t="s">
        <v>608</v>
      </c>
      <c r="BM1066" s="8" t="s">
        <v>86</v>
      </c>
      <c r="BN1066" s="8" t="s">
        <v>81</v>
      </c>
      <c r="BO1066" s="8" t="s">
        <v>82</v>
      </c>
      <c r="BP1066" s="8" t="s">
        <v>9</v>
      </c>
      <c r="BQ1066" s="8" t="s">
        <v>190</v>
      </c>
      <c r="BR1066" s="8" t="s">
        <v>84</v>
      </c>
      <c r="BS1066" s="8"/>
      <c r="BT1066" s="8">
        <v>95.25</v>
      </c>
      <c r="BU1066" s="8">
        <v>95.25</v>
      </c>
      <c r="BV1066" s="8">
        <v>1.26</v>
      </c>
      <c r="BW1066" s="8">
        <f>BV1066*SQRT(AK1066)</f>
        <v>3.5638181771801998</v>
      </c>
      <c r="BX1066" s="8">
        <v>87.02</v>
      </c>
      <c r="BY1066" s="8">
        <v>87.02</v>
      </c>
      <c r="BZ1066" s="8">
        <v>3.48</v>
      </c>
      <c r="CA1066" s="8">
        <f>BZ1066*SQRT(AL1066)</f>
        <v>9.8429263941167413</v>
      </c>
      <c r="CB1066" s="8">
        <v>1</v>
      </c>
      <c r="CC1066" s="8">
        <v>8</v>
      </c>
      <c r="CD1066" s="8">
        <v>-0.09</v>
      </c>
      <c r="CE1066" s="8">
        <v>1.8E-3</v>
      </c>
      <c r="CF1066" s="8" t="s">
        <v>1134</v>
      </c>
    </row>
    <row r="1067" spans="1:84" hidden="1" x14ac:dyDescent="0.2">
      <c r="A1067" s="8"/>
      <c r="B1067" t="str">
        <f>ROW()-1&amp;"_AltersInvert"</f>
        <v>1066_AltersInvert</v>
      </c>
      <c r="C1067" t="str">
        <f>D1067&amp;"_"&amp;
SUBSTITUTE(TRIM(V1067)," ","_")&amp;"_"&amp;
TRIM(AC1067)&amp;"_"&amp;
"CO2"&amp;TEXT(AN1067,"0.00")&amp;"_"&amp;
"pH"&amp;TEXT(AR1067,"0.00")&amp;"_"&amp;
"T"&amp;TEXT(BC1067,"0.##")</f>
        <v>63_Heliocidaris_tuberculata_EMBRYO_CO2338.00_pH8.13_T20.</v>
      </c>
      <c r="D1067" s="8">
        <v>63</v>
      </c>
      <c r="E1067" s="8"/>
      <c r="F1067" s="8"/>
      <c r="G1067" s="8" t="s">
        <v>43</v>
      </c>
      <c r="H1067" s="8" t="s">
        <v>604</v>
      </c>
      <c r="I1067" s="8" t="s">
        <v>1130</v>
      </c>
      <c r="J1067" s="8">
        <v>2013</v>
      </c>
      <c r="K1067" s="8"/>
      <c r="L1067" s="8"/>
      <c r="M1067" s="8" t="s">
        <v>45</v>
      </c>
      <c r="N1067" s="8"/>
      <c r="O1067" s="8"/>
      <c r="P1067" t="s">
        <v>1135</v>
      </c>
      <c r="Q1067" s="8"/>
      <c r="R1067" s="8" t="s">
        <v>1127</v>
      </c>
      <c r="S1067" t="s">
        <v>1128</v>
      </c>
      <c r="T1067" s="8" t="s">
        <v>46</v>
      </c>
      <c r="U1067" s="8" t="s">
        <v>605</v>
      </c>
      <c r="V1067" s="8" t="s">
        <v>606</v>
      </c>
      <c r="W1067" s="8" t="str">
        <f>IF(ISNUMBER(MATCH(#REF!,{"Doryteuthis pealeii","Loligo vulgaris","Leptuca thayeri","Stylocheilus striatus","Ophryotrocha labronica"},0)),"N","Y")</f>
        <v>Y</v>
      </c>
      <c r="X1067" s="8"/>
      <c r="Y1067" s="8"/>
      <c r="Z1067" s="8" t="s">
        <v>49</v>
      </c>
      <c r="AA1067" s="8" t="s">
        <v>49</v>
      </c>
      <c r="AB1067" s="8" t="s">
        <v>71</v>
      </c>
      <c r="AC1067" s="8" t="s">
        <v>195</v>
      </c>
      <c r="AD1067" s="8" t="s">
        <v>52</v>
      </c>
      <c r="AE1067" s="8" t="s">
        <v>53</v>
      </c>
      <c r="AF1067" s="8" t="s">
        <v>52</v>
      </c>
      <c r="AG1067" s="8" t="s">
        <v>52</v>
      </c>
      <c r="AH1067" s="8" t="s">
        <v>64</v>
      </c>
      <c r="AI1067" s="8"/>
      <c r="AJ1067" s="8"/>
      <c r="AK1067" s="8">
        <v>8</v>
      </c>
      <c r="AL1067" s="8">
        <v>8</v>
      </c>
      <c r="AM1067" s="8"/>
      <c r="AN1067" s="8">
        <v>338</v>
      </c>
      <c r="AO1067" s="8">
        <v>1</v>
      </c>
      <c r="AP1067" s="8" t="s">
        <v>56</v>
      </c>
      <c r="AQ1067" s="8" t="s">
        <v>118</v>
      </c>
      <c r="AR1067" s="8">
        <v>8.1300000000000008</v>
      </c>
      <c r="AS1067" s="8">
        <v>0.02</v>
      </c>
      <c r="AT1067" s="8" t="s">
        <v>56</v>
      </c>
      <c r="AU1067" s="8">
        <v>2092</v>
      </c>
      <c r="AV1067">
        <v>7</v>
      </c>
      <c r="AW1067" t="s">
        <v>56</v>
      </c>
      <c r="AX1067">
        <v>7.48</v>
      </c>
      <c r="AY1067">
        <v>0.01</v>
      </c>
      <c r="AZ1067" t="s">
        <v>56</v>
      </c>
      <c r="BA1067" s="8"/>
      <c r="BB1067" s="8">
        <f>LOG(AU1067)</f>
        <v>3.3205616801952367</v>
      </c>
      <c r="BC1067" s="8">
        <v>20</v>
      </c>
      <c r="BD1067" s="8" t="s">
        <v>56</v>
      </c>
      <c r="BE1067" s="8" t="s">
        <v>56</v>
      </c>
      <c r="BF1067" s="8">
        <v>24</v>
      </c>
      <c r="BG1067" s="8" t="s">
        <v>56</v>
      </c>
      <c r="BH1067" s="8" t="s">
        <v>56</v>
      </c>
      <c r="BI1067" s="8">
        <v>1753</v>
      </c>
      <c r="BJ1067" s="8">
        <v>4</v>
      </c>
      <c r="BK1067" s="8" t="s">
        <v>56</v>
      </c>
      <c r="BL1067" s="8" t="s">
        <v>608</v>
      </c>
      <c r="BM1067" s="8" t="s">
        <v>86</v>
      </c>
      <c r="BN1067" s="8" t="s">
        <v>81</v>
      </c>
      <c r="BO1067" s="8" t="s">
        <v>82</v>
      </c>
      <c r="BP1067" s="8" t="s">
        <v>9</v>
      </c>
      <c r="BQ1067" s="8" t="s">
        <v>190</v>
      </c>
      <c r="BR1067" s="8" t="s">
        <v>84</v>
      </c>
      <c r="BS1067" s="8"/>
      <c r="BT1067" s="8">
        <v>95.25</v>
      </c>
      <c r="BU1067" s="8">
        <v>95.25</v>
      </c>
      <c r="BV1067" s="8">
        <v>1.26</v>
      </c>
      <c r="BW1067" s="8">
        <f>BV1067*SQRT(AK1067)</f>
        <v>3.5638181771801998</v>
      </c>
      <c r="BX1067" s="8">
        <v>72.78</v>
      </c>
      <c r="BY1067" s="8">
        <v>72.78</v>
      </c>
      <c r="BZ1067" s="8">
        <v>2.5299999999999998</v>
      </c>
      <c r="CA1067" s="8">
        <f>BZ1067*SQRT(AL1067)</f>
        <v>7.1559206256078607</v>
      </c>
      <c r="CB1067" s="8">
        <v>1</v>
      </c>
      <c r="CC1067" s="8">
        <v>8</v>
      </c>
      <c r="CD1067" s="8">
        <v>-0.26900000000000002</v>
      </c>
      <c r="CE1067" s="8">
        <v>1.4E-3</v>
      </c>
      <c r="CF1067" s="8" t="s">
        <v>1134</v>
      </c>
    </row>
    <row r="1068" spans="1:84" hidden="1" x14ac:dyDescent="0.2">
      <c r="A1068" s="8"/>
      <c r="B1068" t="str">
        <f>ROW()-1&amp;"_AltersInvert"</f>
        <v>1067_AltersInvert</v>
      </c>
      <c r="C1068" t="str">
        <f>D1068&amp;"_"&amp;
SUBSTITUTE(TRIM(V1068)," ","_")&amp;"_"&amp;
TRIM(AC1068)&amp;"_"&amp;
"CO2"&amp;TEXT(AN1068,"0.00")&amp;"_"&amp;
"pH"&amp;TEXT(AR1068,"0.00")&amp;"_"&amp;
"T"&amp;TEXT(BC1068,"0.##")</f>
        <v>63_Heliocidaris_tuberculata_EMBRYO_CO2338.00_pH8.13_T20.</v>
      </c>
      <c r="D1068" s="8">
        <v>63</v>
      </c>
      <c r="E1068" s="8"/>
      <c r="F1068" s="8"/>
      <c r="G1068" s="8" t="s">
        <v>43</v>
      </c>
      <c r="H1068" s="8" t="s">
        <v>604</v>
      </c>
      <c r="I1068" s="8" t="s">
        <v>1130</v>
      </c>
      <c r="J1068" s="8">
        <v>2013</v>
      </c>
      <c r="K1068" s="8"/>
      <c r="L1068" s="8"/>
      <c r="M1068" s="8" t="s">
        <v>45</v>
      </c>
      <c r="N1068" s="8"/>
      <c r="O1068" s="8"/>
      <c r="P1068" t="s">
        <v>1135</v>
      </c>
      <c r="Q1068" s="8"/>
      <c r="R1068" s="8" t="s">
        <v>1127</v>
      </c>
      <c r="S1068" t="s">
        <v>1128</v>
      </c>
      <c r="T1068" s="8" t="s">
        <v>46</v>
      </c>
      <c r="U1068" s="8" t="s">
        <v>605</v>
      </c>
      <c r="V1068" s="8" t="s">
        <v>606</v>
      </c>
      <c r="W1068" s="8" t="str">
        <f>IF(ISNUMBER(MATCH(#REF!,{"Doryteuthis pealeii","Loligo vulgaris","Leptuca thayeri","Stylocheilus striatus","Ophryotrocha labronica"},0)),"N","Y")</f>
        <v>Y</v>
      </c>
      <c r="X1068" s="8"/>
      <c r="Y1068" s="8"/>
      <c r="Z1068" s="8" t="s">
        <v>49</v>
      </c>
      <c r="AA1068" s="8" t="s">
        <v>49</v>
      </c>
      <c r="AB1068" s="8" t="s">
        <v>71</v>
      </c>
      <c r="AC1068" s="8" t="s">
        <v>195</v>
      </c>
      <c r="AD1068" s="8" t="s">
        <v>52</v>
      </c>
      <c r="AE1068" s="8" t="s">
        <v>53</v>
      </c>
      <c r="AF1068" s="8" t="s">
        <v>52</v>
      </c>
      <c r="AG1068" s="8" t="s">
        <v>52</v>
      </c>
      <c r="AH1068" s="8" t="s">
        <v>64</v>
      </c>
      <c r="AI1068" s="8"/>
      <c r="AJ1068" s="8"/>
      <c r="AK1068" s="8">
        <v>8</v>
      </c>
      <c r="AL1068" s="8">
        <v>8</v>
      </c>
      <c r="AM1068" s="8"/>
      <c r="AN1068" s="8">
        <v>338</v>
      </c>
      <c r="AO1068" s="8">
        <v>1</v>
      </c>
      <c r="AP1068" s="8" t="s">
        <v>56</v>
      </c>
      <c r="AQ1068" s="8" t="s">
        <v>118</v>
      </c>
      <c r="AR1068" s="8">
        <v>8.1300000000000008</v>
      </c>
      <c r="AS1068" s="8">
        <v>0.02</v>
      </c>
      <c r="AT1068" s="8" t="s">
        <v>56</v>
      </c>
      <c r="AU1068" s="8">
        <v>1274</v>
      </c>
      <c r="AV1068">
        <v>4</v>
      </c>
      <c r="AW1068" t="s">
        <v>56</v>
      </c>
      <c r="AX1068">
        <v>7.61</v>
      </c>
      <c r="AY1068">
        <v>0.01</v>
      </c>
      <c r="AZ1068" t="s">
        <v>56</v>
      </c>
      <c r="BA1068" s="8"/>
      <c r="BB1068" s="8">
        <f>LOG(AU1068)</f>
        <v>3.1051694279993316</v>
      </c>
      <c r="BC1068" s="8">
        <v>20</v>
      </c>
      <c r="BD1068" s="8" t="s">
        <v>56</v>
      </c>
      <c r="BE1068" s="8" t="s">
        <v>56</v>
      </c>
      <c r="BF1068" s="8">
        <v>24</v>
      </c>
      <c r="BG1068" s="8" t="s">
        <v>56</v>
      </c>
      <c r="BH1068" s="8" t="s">
        <v>56</v>
      </c>
      <c r="BI1068" s="8">
        <v>936</v>
      </c>
      <c r="BJ1068" s="8">
        <v>4</v>
      </c>
      <c r="BK1068" s="8" t="s">
        <v>56</v>
      </c>
      <c r="BL1068" s="8" t="s">
        <v>608</v>
      </c>
      <c r="BM1068" s="8" t="s">
        <v>86</v>
      </c>
      <c r="BN1068" s="8" t="s">
        <v>81</v>
      </c>
      <c r="BO1068" s="8" t="s">
        <v>82</v>
      </c>
      <c r="BP1068" s="8" t="s">
        <v>9</v>
      </c>
      <c r="BQ1068" s="8" t="s">
        <v>190</v>
      </c>
      <c r="BR1068" s="8" t="s">
        <v>84</v>
      </c>
      <c r="BS1068" s="8"/>
      <c r="BT1068" s="8">
        <v>95.25</v>
      </c>
      <c r="BU1068" s="8">
        <v>95.25</v>
      </c>
      <c r="BV1068" s="8">
        <v>1.26</v>
      </c>
      <c r="BW1068" s="8">
        <f>BV1068*SQRT(AK1068)</f>
        <v>3.5638181771801998</v>
      </c>
      <c r="BX1068" s="8">
        <v>76.89</v>
      </c>
      <c r="BY1068" s="8">
        <v>76.89</v>
      </c>
      <c r="BZ1068" s="8">
        <v>4.43</v>
      </c>
      <c r="CA1068" s="8">
        <f>BZ1068*SQRT(AL1068)</f>
        <v>12.529932162625622</v>
      </c>
      <c r="CB1068" s="8">
        <v>1</v>
      </c>
      <c r="CC1068" s="8">
        <v>8</v>
      </c>
      <c r="CD1068" s="8">
        <v>-0.214</v>
      </c>
      <c r="CE1068" s="8">
        <v>3.5000000000000001E-3</v>
      </c>
      <c r="CF1068" s="8" t="s">
        <v>1134</v>
      </c>
    </row>
    <row r="1069" spans="1:84" hidden="1" x14ac:dyDescent="0.2">
      <c r="A1069" s="8"/>
      <c r="B1069" t="str">
        <f>ROW()-1&amp;"_AltersInvert"</f>
        <v>1068_AltersInvert</v>
      </c>
      <c r="C1069" t="str">
        <f>D1069&amp;"_"&amp;
SUBSTITUTE(TRIM(V1069)," ","_")&amp;"_"&amp;
TRIM(AC1069)&amp;"_"&amp;
"CO2"&amp;TEXT(AN1069,"0.00")&amp;"_"&amp;
"pH"&amp;TEXT(AR1069,"0.00")&amp;"_"&amp;
"T"&amp;TEXT(BC1069,"0.##")</f>
        <v>63_Heliocidaris_tuberculata_EMBRYO_CO2338.00_pH8.13_T20.</v>
      </c>
      <c r="D1069" s="8">
        <v>63</v>
      </c>
      <c r="E1069" s="8"/>
      <c r="F1069" s="8"/>
      <c r="G1069" s="8" t="s">
        <v>43</v>
      </c>
      <c r="H1069" s="8" t="s">
        <v>604</v>
      </c>
      <c r="I1069" s="8" t="s">
        <v>1130</v>
      </c>
      <c r="J1069" s="8">
        <v>2013</v>
      </c>
      <c r="K1069" s="8"/>
      <c r="L1069" s="8"/>
      <c r="M1069" s="8" t="s">
        <v>45</v>
      </c>
      <c r="N1069" s="8"/>
      <c r="O1069" s="8"/>
      <c r="P1069" t="s">
        <v>1135</v>
      </c>
      <c r="Q1069" s="8"/>
      <c r="R1069" s="8" t="s">
        <v>1127</v>
      </c>
      <c r="S1069" t="s">
        <v>1128</v>
      </c>
      <c r="T1069" s="8" t="s">
        <v>46</v>
      </c>
      <c r="U1069" s="8" t="s">
        <v>605</v>
      </c>
      <c r="V1069" s="8" t="s">
        <v>606</v>
      </c>
      <c r="W1069" s="8" t="str">
        <f>IF(ISNUMBER(MATCH(#REF!,{"Doryteuthis pealeii","Loligo vulgaris","Leptuca thayeri","Stylocheilus striatus","Ophryotrocha labronica"},0)),"N","Y")</f>
        <v>Y</v>
      </c>
      <c r="X1069" s="8"/>
      <c r="Y1069" s="8"/>
      <c r="Z1069" s="8" t="s">
        <v>49</v>
      </c>
      <c r="AA1069" s="8" t="s">
        <v>49</v>
      </c>
      <c r="AB1069" s="8" t="s">
        <v>71</v>
      </c>
      <c r="AC1069" s="8" t="s">
        <v>195</v>
      </c>
      <c r="AD1069" s="8" t="s">
        <v>52</v>
      </c>
      <c r="AE1069" s="8" t="s">
        <v>53</v>
      </c>
      <c r="AF1069" s="8" t="s">
        <v>52</v>
      </c>
      <c r="AG1069" s="8" t="s">
        <v>52</v>
      </c>
      <c r="AH1069" s="8" t="s">
        <v>64</v>
      </c>
      <c r="AI1069" s="8"/>
      <c r="AJ1069" s="8"/>
      <c r="AK1069" s="8">
        <v>8</v>
      </c>
      <c r="AL1069" s="8">
        <v>8</v>
      </c>
      <c r="AM1069" s="8"/>
      <c r="AN1069" s="8">
        <v>338</v>
      </c>
      <c r="AO1069" s="8">
        <v>1</v>
      </c>
      <c r="AP1069" s="8" t="s">
        <v>56</v>
      </c>
      <c r="AQ1069" s="8" t="s">
        <v>118</v>
      </c>
      <c r="AR1069" s="8">
        <v>8.1300000000000008</v>
      </c>
      <c r="AS1069" s="8">
        <v>0.02</v>
      </c>
      <c r="AT1069" s="8" t="s">
        <v>56</v>
      </c>
      <c r="AU1069" s="8">
        <v>762</v>
      </c>
      <c r="AV1069">
        <v>3</v>
      </c>
      <c r="AW1069" t="s">
        <v>56</v>
      </c>
      <c r="AX1069">
        <v>7.78</v>
      </c>
      <c r="AY1069">
        <v>0.01</v>
      </c>
      <c r="AZ1069" t="s">
        <v>56</v>
      </c>
      <c r="BA1069" s="8"/>
      <c r="BB1069" s="8">
        <f>LOG(AU1069)</f>
        <v>2.8819549713396007</v>
      </c>
      <c r="BC1069" s="8">
        <v>20</v>
      </c>
      <c r="BD1069" s="8" t="s">
        <v>56</v>
      </c>
      <c r="BE1069" s="8" t="s">
        <v>56</v>
      </c>
      <c r="BF1069" s="8">
        <v>24</v>
      </c>
      <c r="BG1069" s="8" t="s">
        <v>56</v>
      </c>
      <c r="BH1069" s="8" t="s">
        <v>56</v>
      </c>
      <c r="BI1069" s="8">
        <v>424</v>
      </c>
      <c r="BJ1069" s="8">
        <v>4</v>
      </c>
      <c r="BK1069" s="8" t="s">
        <v>56</v>
      </c>
      <c r="BL1069" s="8" t="s">
        <v>608</v>
      </c>
      <c r="BM1069" s="8" t="s">
        <v>86</v>
      </c>
      <c r="BN1069" s="8" t="s">
        <v>81</v>
      </c>
      <c r="BO1069" s="8" t="s">
        <v>82</v>
      </c>
      <c r="BP1069" s="8" t="s">
        <v>9</v>
      </c>
      <c r="BQ1069" s="8" t="s">
        <v>190</v>
      </c>
      <c r="BR1069" s="8" t="s">
        <v>84</v>
      </c>
      <c r="BS1069" s="8"/>
      <c r="BT1069" s="8">
        <v>95.25</v>
      </c>
      <c r="BU1069" s="8">
        <v>95.25</v>
      </c>
      <c r="BV1069" s="8">
        <v>1.26</v>
      </c>
      <c r="BW1069" s="8">
        <f>BV1069*SQRT(AK1069)</f>
        <v>3.5638181771801998</v>
      </c>
      <c r="BX1069" s="8">
        <v>88.29</v>
      </c>
      <c r="BY1069" s="8">
        <v>88.29</v>
      </c>
      <c r="BZ1069" s="8">
        <v>2.21</v>
      </c>
      <c r="CA1069" s="8">
        <f>BZ1069*SQRT(AL1069)</f>
        <v>6.2508239456890804</v>
      </c>
      <c r="CB1069" s="8">
        <v>1</v>
      </c>
      <c r="CC1069" s="8">
        <v>8</v>
      </c>
      <c r="CD1069" s="8">
        <v>-7.5999999999999998E-2</v>
      </c>
      <c r="CE1069" s="8">
        <v>8.0000000000000004E-4</v>
      </c>
      <c r="CF1069" s="8" t="s">
        <v>1134</v>
      </c>
    </row>
    <row r="1070" spans="1:84" hidden="1" x14ac:dyDescent="0.2">
      <c r="A1070" s="8"/>
      <c r="B1070" t="str">
        <f>ROW()-1&amp;"_AltersInvert"</f>
        <v>1069_AltersInvert</v>
      </c>
      <c r="C1070" t="str">
        <f>D1070&amp;"_"&amp;
SUBSTITUTE(TRIM(V1070)," ","_")&amp;"_"&amp;
TRIM(AC1070)&amp;"_"&amp;
"CO2"&amp;TEXT(AN1070,"0.00")&amp;"_"&amp;
"pH"&amp;TEXT(AR1070,"0.00")&amp;"_"&amp;
"T"&amp;TEXT(BC1070,"0.##")</f>
        <v>62_Patiriella_regularis_EMBRYO_CO2423.00_pH8.15_T19.</v>
      </c>
      <c r="D1070" s="8">
        <v>62</v>
      </c>
      <c r="E1070" s="8"/>
      <c r="F1070" s="8"/>
      <c r="G1070" s="8" t="s">
        <v>43</v>
      </c>
      <c r="H1070" s="8" t="s">
        <v>601</v>
      </c>
      <c r="I1070" s="8" t="s">
        <v>1130</v>
      </c>
      <c r="J1070" s="8">
        <v>2013</v>
      </c>
      <c r="K1070" s="8"/>
      <c r="L1070" s="8"/>
      <c r="M1070" s="8" t="s">
        <v>257</v>
      </c>
      <c r="N1070" s="8"/>
      <c r="O1070" s="8"/>
      <c r="P1070" t="s">
        <v>1135</v>
      </c>
      <c r="Q1070" s="8"/>
      <c r="R1070" s="8" t="s">
        <v>1127</v>
      </c>
      <c r="S1070" t="s">
        <v>1128</v>
      </c>
      <c r="T1070" s="8" t="s">
        <v>46</v>
      </c>
      <c r="U1070" s="8" t="s">
        <v>602</v>
      </c>
      <c r="V1070" s="8" t="s">
        <v>603</v>
      </c>
      <c r="W1070" s="8" t="str">
        <f>IF(ISNUMBER(MATCH(#REF!,{"Doryteuthis pealeii","Loligo vulgaris","Leptuca thayeri","Stylocheilus striatus","Ophryotrocha labronica"},0)),"N","Y")</f>
        <v>Y</v>
      </c>
      <c r="X1070" s="8"/>
      <c r="Y1070" s="8"/>
      <c r="Z1070" s="8" t="s">
        <v>49</v>
      </c>
      <c r="AA1070" s="8" t="s">
        <v>49</v>
      </c>
      <c r="AB1070" s="8" t="s">
        <v>71</v>
      </c>
      <c r="AC1070" s="8" t="s">
        <v>195</v>
      </c>
      <c r="AD1070" s="8" t="s">
        <v>52</v>
      </c>
      <c r="AE1070" s="8" t="s">
        <v>53</v>
      </c>
      <c r="AF1070" s="8" t="s">
        <v>52</v>
      </c>
      <c r="AG1070" s="8" t="s">
        <v>54</v>
      </c>
      <c r="AH1070" s="8" t="s">
        <v>55</v>
      </c>
      <c r="AI1070" s="8"/>
      <c r="AJ1070" s="8"/>
      <c r="AK1070" s="8">
        <v>9</v>
      </c>
      <c r="AL1070" s="8">
        <v>9</v>
      </c>
      <c r="AM1070" s="8"/>
      <c r="AN1070" s="8">
        <v>423</v>
      </c>
      <c r="AO1070" s="8">
        <v>2</v>
      </c>
      <c r="AP1070" s="8" t="s">
        <v>56</v>
      </c>
      <c r="AQ1070" s="8" t="s">
        <v>118</v>
      </c>
      <c r="AR1070" s="8">
        <v>8.15</v>
      </c>
      <c r="AS1070" s="8" t="s">
        <v>56</v>
      </c>
      <c r="AT1070" s="8" t="s">
        <v>56</v>
      </c>
      <c r="AU1070" s="8">
        <v>1738</v>
      </c>
      <c r="AV1070">
        <v>6</v>
      </c>
      <c r="AW1070" t="s">
        <v>56</v>
      </c>
      <c r="AX1070">
        <v>7.6</v>
      </c>
      <c r="AY1070" t="s">
        <v>56</v>
      </c>
      <c r="AZ1070" t="s">
        <v>56</v>
      </c>
      <c r="BA1070" s="8"/>
      <c r="BB1070" s="8">
        <f>LOG(AU1070)</f>
        <v>3.2400497721126476</v>
      </c>
      <c r="BC1070" s="8">
        <v>19</v>
      </c>
      <c r="BD1070" s="8" t="s">
        <v>56</v>
      </c>
      <c r="BE1070" s="8" t="s">
        <v>56</v>
      </c>
      <c r="BF1070" s="8">
        <v>19</v>
      </c>
      <c r="BG1070" s="8" t="s">
        <v>56</v>
      </c>
      <c r="BH1070" s="8" t="s">
        <v>56</v>
      </c>
      <c r="BI1070" s="8">
        <v>1315</v>
      </c>
      <c r="BJ1070" s="8">
        <v>0</v>
      </c>
      <c r="BK1070" s="8" t="s">
        <v>56</v>
      </c>
      <c r="BL1070" s="8" t="s">
        <v>79</v>
      </c>
      <c r="BM1070" s="8" t="s">
        <v>83</v>
      </c>
      <c r="BN1070" s="8" t="s">
        <v>81</v>
      </c>
      <c r="BO1070" s="8" t="s">
        <v>82</v>
      </c>
      <c r="BP1070" s="8" t="s">
        <v>204</v>
      </c>
      <c r="BQ1070" s="8" t="s">
        <v>190</v>
      </c>
      <c r="BR1070" s="8" t="s">
        <v>84</v>
      </c>
      <c r="BS1070" s="8"/>
      <c r="BT1070" s="8">
        <v>35.130000000000003</v>
      </c>
      <c r="BU1070" s="8">
        <v>64.87</v>
      </c>
      <c r="BV1070" s="8">
        <v>1.25</v>
      </c>
      <c r="BW1070" s="8">
        <f>BV1070*SQRT(AK1070)</f>
        <v>3.75</v>
      </c>
      <c r="BX1070" s="8">
        <v>62.66</v>
      </c>
      <c r="BY1070" s="8">
        <v>37.340000000000003</v>
      </c>
      <c r="BZ1070" s="8">
        <v>3.18</v>
      </c>
      <c r="CA1070" s="8">
        <f>BZ1070*SQRT(AL1070)</f>
        <v>9.5400000000000009</v>
      </c>
      <c r="CB1070" s="8">
        <v>1</v>
      </c>
      <c r="CC1070" s="8">
        <v>6</v>
      </c>
      <c r="CD1070" s="8">
        <v>-0.55200000000000005</v>
      </c>
      <c r="CE1070" s="8">
        <v>7.6E-3</v>
      </c>
      <c r="CF1070" s="8" t="s">
        <v>1134</v>
      </c>
    </row>
    <row r="1071" spans="1:84" hidden="1" x14ac:dyDescent="0.2">
      <c r="A1071" s="8"/>
      <c r="B1071" t="str">
        <f>ROW()-1&amp;"_AltersInvert"</f>
        <v>1070_AltersInvert</v>
      </c>
      <c r="C1071" t="str">
        <f>D1071&amp;"_"&amp;
SUBSTITUTE(TRIM(V1071)," ","_")&amp;"_"&amp;
TRIM(AC1071)&amp;"_"&amp;
"CO2"&amp;TEXT(AN1071,"0.00")&amp;"_"&amp;
"pH"&amp;TEXT(AR1071,"0.00")&amp;"_"&amp;
"T"&amp;TEXT(BC1071,"0.##")</f>
        <v>62_Patiriella_regularis_EMBRYO_CO2423.00_pH8.15_T19.</v>
      </c>
      <c r="D1071" s="8">
        <v>62</v>
      </c>
      <c r="E1071" s="8"/>
      <c r="F1071" s="8"/>
      <c r="G1071" s="8" t="s">
        <v>43</v>
      </c>
      <c r="H1071" s="8" t="s">
        <v>601</v>
      </c>
      <c r="I1071" s="8" t="s">
        <v>1130</v>
      </c>
      <c r="J1071" s="8">
        <v>2013</v>
      </c>
      <c r="K1071" s="8"/>
      <c r="L1071" s="8"/>
      <c r="M1071" s="8" t="s">
        <v>257</v>
      </c>
      <c r="N1071" s="8"/>
      <c r="O1071" s="8"/>
      <c r="P1071" s="8"/>
      <c r="Q1071" s="8"/>
      <c r="R1071" s="8"/>
      <c r="S1071" s="8"/>
      <c r="T1071" s="8" t="s">
        <v>46</v>
      </c>
      <c r="U1071" s="8" t="s">
        <v>602</v>
      </c>
      <c r="V1071" s="8" t="s">
        <v>603</v>
      </c>
      <c r="W1071" s="8" t="str">
        <f>IF(ISNUMBER(MATCH(#REF!,{"Doryteuthis pealeii","Loligo vulgaris","Leptuca thayeri","Stylocheilus striatus","Ophryotrocha labronica"},0)),"N","Y")</f>
        <v>Y</v>
      </c>
      <c r="X1071" s="8"/>
      <c r="Y1071" s="8"/>
      <c r="Z1071" s="8" t="s">
        <v>49</v>
      </c>
      <c r="AA1071" s="8" t="s">
        <v>49</v>
      </c>
      <c r="AB1071" s="8" t="s">
        <v>71</v>
      </c>
      <c r="AC1071" s="8" t="s">
        <v>195</v>
      </c>
      <c r="AD1071" s="8" t="s">
        <v>52</v>
      </c>
      <c r="AE1071" s="8" t="s">
        <v>53</v>
      </c>
      <c r="AF1071" s="8" t="s">
        <v>52</v>
      </c>
      <c r="AG1071" s="8" t="s">
        <v>54</v>
      </c>
      <c r="AH1071" s="8" t="s">
        <v>55</v>
      </c>
      <c r="AI1071" s="8"/>
      <c r="AJ1071" s="8"/>
      <c r="AK1071" s="8">
        <v>9</v>
      </c>
      <c r="AL1071" s="8">
        <v>9</v>
      </c>
      <c r="AM1071" s="8"/>
      <c r="AN1071" s="8">
        <v>423</v>
      </c>
      <c r="AO1071" s="8">
        <v>2</v>
      </c>
      <c r="AP1071" s="8" t="s">
        <v>56</v>
      </c>
      <c r="AQ1071" s="8" t="s">
        <v>118</v>
      </c>
      <c r="AR1071" s="8">
        <v>8.15</v>
      </c>
      <c r="AS1071" s="8" t="s">
        <v>56</v>
      </c>
      <c r="AT1071" s="8" t="s">
        <v>56</v>
      </c>
      <c r="AU1071" s="8">
        <v>1058</v>
      </c>
      <c r="AV1071">
        <v>4</v>
      </c>
      <c r="AW1071" t="s">
        <v>56</v>
      </c>
      <c r="AX1071">
        <v>7.8</v>
      </c>
      <c r="AY1071" t="s">
        <v>56</v>
      </c>
      <c r="AZ1071" t="s">
        <v>56</v>
      </c>
      <c r="BA1071" s="8"/>
      <c r="BB1071" s="8">
        <f>LOG(AU1071)</f>
        <v>3.0244856676991669</v>
      </c>
      <c r="BC1071" s="8">
        <v>19</v>
      </c>
      <c r="BD1071" s="8" t="s">
        <v>56</v>
      </c>
      <c r="BE1071" s="8" t="s">
        <v>56</v>
      </c>
      <c r="BF1071" s="8">
        <v>19</v>
      </c>
      <c r="BG1071" s="8" t="s">
        <v>56</v>
      </c>
      <c r="BH1071" s="8" t="s">
        <v>56</v>
      </c>
      <c r="BI1071" s="8">
        <v>635</v>
      </c>
      <c r="BJ1071" s="8">
        <v>0</v>
      </c>
      <c r="BK1071" s="8" t="s">
        <v>56</v>
      </c>
      <c r="BL1071" s="8" t="s">
        <v>79</v>
      </c>
      <c r="BM1071" s="8" t="s">
        <v>83</v>
      </c>
      <c r="BN1071" s="8" t="s">
        <v>81</v>
      </c>
      <c r="BO1071" s="8" t="s">
        <v>82</v>
      </c>
      <c r="BP1071" s="8" t="s">
        <v>204</v>
      </c>
      <c r="BQ1071" s="8"/>
      <c r="BR1071" s="8" t="s">
        <v>84</v>
      </c>
      <c r="BS1071" s="8"/>
      <c r="BT1071" s="8">
        <v>35.130000000000003</v>
      </c>
      <c r="BU1071" s="8">
        <v>64.87</v>
      </c>
      <c r="BV1071" s="8">
        <v>1.25</v>
      </c>
      <c r="BW1071" s="8">
        <f>BV1071*SQRT(AK1071)</f>
        <v>3.75</v>
      </c>
      <c r="BX1071" s="8">
        <v>40.67</v>
      </c>
      <c r="BY1071" s="8">
        <v>59.33</v>
      </c>
      <c r="BZ1071" s="8">
        <v>2.52</v>
      </c>
      <c r="CA1071" s="8">
        <f>BZ1071*SQRT(AL1071)</f>
        <v>7.5600000000000005</v>
      </c>
      <c r="CB1071" s="8">
        <v>1</v>
      </c>
      <c r="CC1071" s="8">
        <v>6</v>
      </c>
      <c r="CD1071" s="8">
        <v>-8.8999999999999996E-2</v>
      </c>
      <c r="CE1071" s="8">
        <v>2.2000000000000001E-3</v>
      </c>
      <c r="CF1071" s="8"/>
    </row>
    <row r="1072" spans="1:84" s="11" customFormat="1" hidden="1" x14ac:dyDescent="0.2">
      <c r="A1072" s="8"/>
      <c r="B1072" t="str">
        <f>ROW()-1&amp;"_AltersInvert"</f>
        <v>1071_AltersInvert</v>
      </c>
      <c r="C1072" t="str">
        <f>D1072&amp;"_"&amp;
SUBSTITUTE(TRIM(V1072)," ","_")&amp;"_"&amp;
TRIM(AC1072)&amp;"_"&amp;
"CO2"&amp;TEXT(AN1072,"0.00")&amp;"_"&amp;
"pH"&amp;TEXT(AR1072,"0.00")&amp;"_"&amp;
"T"&amp;TEXT(BC1072,"0.##")</f>
        <v>62_Patiriella_regularis_EMBRYO_CO2423.00_pH8.15_T19.</v>
      </c>
      <c r="D1072" s="8">
        <v>62</v>
      </c>
      <c r="E1072" s="8"/>
      <c r="F1072" s="8"/>
      <c r="G1072" s="8" t="s">
        <v>43</v>
      </c>
      <c r="H1072" s="8" t="s">
        <v>601</v>
      </c>
      <c r="I1072" s="8" t="s">
        <v>1130</v>
      </c>
      <c r="J1072" s="8">
        <v>2013</v>
      </c>
      <c r="K1072" s="8"/>
      <c r="L1072" s="8"/>
      <c r="M1072" s="8" t="s">
        <v>257</v>
      </c>
      <c r="N1072" s="8"/>
      <c r="O1072" s="8"/>
      <c r="P1072" t="s">
        <v>1135</v>
      </c>
      <c r="Q1072" s="8"/>
      <c r="R1072" s="8" t="s">
        <v>1127</v>
      </c>
      <c r="S1072" t="s">
        <v>1128</v>
      </c>
      <c r="T1072" s="8" t="s">
        <v>46</v>
      </c>
      <c r="U1072" s="8" t="s">
        <v>602</v>
      </c>
      <c r="V1072" s="8" t="s">
        <v>603</v>
      </c>
      <c r="W1072" s="8" t="str">
        <f>IF(ISNUMBER(MATCH(#REF!,{"Doryteuthis pealeii","Loligo vulgaris","Leptuca thayeri","Stylocheilus striatus","Ophryotrocha labronica"},0)),"N","Y")</f>
        <v>Y</v>
      </c>
      <c r="X1072" s="8"/>
      <c r="Y1072" s="8"/>
      <c r="Z1072" s="8" t="s">
        <v>49</v>
      </c>
      <c r="AA1072" s="8" t="s">
        <v>49</v>
      </c>
      <c r="AB1072" s="8" t="s">
        <v>71</v>
      </c>
      <c r="AC1072" s="8" t="s">
        <v>195</v>
      </c>
      <c r="AD1072" s="8" t="s">
        <v>52</v>
      </c>
      <c r="AE1072" s="8" t="s">
        <v>53</v>
      </c>
      <c r="AF1072" s="8" t="s">
        <v>54</v>
      </c>
      <c r="AG1072" s="8" t="s">
        <v>52</v>
      </c>
      <c r="AH1072" s="8" t="s">
        <v>65</v>
      </c>
      <c r="AI1072" s="8"/>
      <c r="AJ1072" s="8"/>
      <c r="AK1072" s="8">
        <v>9</v>
      </c>
      <c r="AL1072" s="8">
        <v>9</v>
      </c>
      <c r="AM1072" s="8"/>
      <c r="AN1072" s="8">
        <v>423</v>
      </c>
      <c r="AO1072" s="8">
        <v>2</v>
      </c>
      <c r="AP1072" s="8" t="s">
        <v>56</v>
      </c>
      <c r="AQ1072" s="8" t="s">
        <v>118</v>
      </c>
      <c r="AR1072" s="8">
        <v>8.15</v>
      </c>
      <c r="AS1072" s="8" t="s">
        <v>56</v>
      </c>
      <c r="AT1072" s="8" t="s">
        <v>56</v>
      </c>
      <c r="AU1072" s="8">
        <v>432</v>
      </c>
      <c r="AV1072">
        <v>2</v>
      </c>
      <c r="AW1072" t="s">
        <v>56</v>
      </c>
      <c r="AX1072">
        <v>8.15</v>
      </c>
      <c r="AY1072" t="s">
        <v>56</v>
      </c>
      <c r="AZ1072" t="s">
        <v>56</v>
      </c>
      <c r="BA1072" s="8"/>
      <c r="BB1072" s="8">
        <f>LOG(AU1072)</f>
        <v>2.6354837468149119</v>
      </c>
      <c r="BC1072" s="8">
        <v>19</v>
      </c>
      <c r="BD1072" s="8" t="s">
        <v>56</v>
      </c>
      <c r="BE1072" s="8" t="s">
        <v>56</v>
      </c>
      <c r="BF1072" s="8">
        <v>23</v>
      </c>
      <c r="BG1072" s="8" t="s">
        <v>56</v>
      </c>
      <c r="BH1072" s="8" t="s">
        <v>56</v>
      </c>
      <c r="BI1072" s="8">
        <v>9</v>
      </c>
      <c r="BJ1072" s="8">
        <v>4</v>
      </c>
      <c r="BK1072" s="8" t="s">
        <v>56</v>
      </c>
      <c r="BL1072" s="8" t="s">
        <v>79</v>
      </c>
      <c r="BM1072" s="8" t="s">
        <v>83</v>
      </c>
      <c r="BN1072" s="8" t="s">
        <v>81</v>
      </c>
      <c r="BO1072" s="8" t="s">
        <v>82</v>
      </c>
      <c r="BP1072" s="8" t="s">
        <v>204</v>
      </c>
      <c r="BQ1072" s="8" t="s">
        <v>190</v>
      </c>
      <c r="BR1072" s="8" t="s">
        <v>84</v>
      </c>
      <c r="BS1072" s="8"/>
      <c r="BT1072" s="8">
        <v>35.130000000000003</v>
      </c>
      <c r="BU1072" s="8">
        <v>64.87</v>
      </c>
      <c r="BV1072" s="8">
        <v>1.25</v>
      </c>
      <c r="BW1072" s="8">
        <f>BV1072*SQRT(AK1072)</f>
        <v>3.75</v>
      </c>
      <c r="BX1072" s="8">
        <v>48.83</v>
      </c>
      <c r="BY1072" s="8">
        <v>51.17</v>
      </c>
      <c r="BZ1072" s="8">
        <v>2.9</v>
      </c>
      <c r="CA1072" s="8">
        <f>BZ1072*SQRT(AL1072)</f>
        <v>8.6999999999999993</v>
      </c>
      <c r="CB1072" s="8">
        <v>1</v>
      </c>
      <c r="CC1072" s="8">
        <v>6</v>
      </c>
      <c r="CD1072" s="8">
        <v>-0.23699999999999999</v>
      </c>
      <c r="CE1072" s="8">
        <v>3.5999999999999999E-3</v>
      </c>
      <c r="CF1072" s="8" t="s">
        <v>1134</v>
      </c>
    </row>
    <row r="1073" spans="1:84" s="11" customFormat="1" hidden="1" x14ac:dyDescent="0.2">
      <c r="A1073" s="8"/>
      <c r="B1073" t="str">
        <f>ROW()-1&amp;"_AltersInvert"</f>
        <v>1072_AltersInvert</v>
      </c>
      <c r="C1073" t="str">
        <f>D1073&amp;"_"&amp;
SUBSTITUTE(TRIM(V1073)," ","_")&amp;"_"&amp;
TRIM(AC1073)&amp;"_"&amp;
"CO2"&amp;TEXT(AN1073,"0.00")&amp;"_"&amp;
"pH"&amp;TEXT(AR1073,"0.00")&amp;"_"&amp;
"T"&amp;TEXT(BC1073,"0.##")</f>
        <v>62_Patiriella_regularis_EMBRYO_CO2423.00_pH8.15_T19.</v>
      </c>
      <c r="D1073" s="8">
        <v>62</v>
      </c>
      <c r="E1073" s="8"/>
      <c r="F1073" s="8"/>
      <c r="G1073" s="8" t="s">
        <v>43</v>
      </c>
      <c r="H1073" s="8" t="s">
        <v>601</v>
      </c>
      <c r="I1073" s="8" t="s">
        <v>1130</v>
      </c>
      <c r="J1073" s="8">
        <v>2013</v>
      </c>
      <c r="K1073" s="8"/>
      <c r="L1073" s="8"/>
      <c r="M1073" s="8" t="s">
        <v>257</v>
      </c>
      <c r="N1073" s="8"/>
      <c r="O1073" s="8"/>
      <c r="P1073" s="8"/>
      <c r="Q1073" s="8"/>
      <c r="R1073" s="8"/>
      <c r="S1073" s="8"/>
      <c r="T1073" s="8" t="s">
        <v>46</v>
      </c>
      <c r="U1073" s="8" t="s">
        <v>602</v>
      </c>
      <c r="V1073" s="8" t="s">
        <v>603</v>
      </c>
      <c r="W1073" s="8" t="str">
        <f>IF(ISNUMBER(MATCH(#REF!,{"Doryteuthis pealeii","Loligo vulgaris","Leptuca thayeri","Stylocheilus striatus","Ophryotrocha labronica"},0)),"N","Y")</f>
        <v>Y</v>
      </c>
      <c r="X1073" s="8"/>
      <c r="Y1073" s="8"/>
      <c r="Z1073" s="8" t="s">
        <v>49</v>
      </c>
      <c r="AA1073" s="8" t="s">
        <v>49</v>
      </c>
      <c r="AB1073" s="8" t="s">
        <v>71</v>
      </c>
      <c r="AC1073" s="8" t="s">
        <v>195</v>
      </c>
      <c r="AD1073" s="8" t="s">
        <v>52</v>
      </c>
      <c r="AE1073" s="8" t="s">
        <v>53</v>
      </c>
      <c r="AF1073" s="8" t="s">
        <v>54</v>
      </c>
      <c r="AG1073" s="8" t="s">
        <v>52</v>
      </c>
      <c r="AH1073" s="8" t="s">
        <v>65</v>
      </c>
      <c r="AI1073" s="8"/>
      <c r="AJ1073" s="8"/>
      <c r="AK1073" s="8">
        <v>9</v>
      </c>
      <c r="AL1073" s="8">
        <v>9</v>
      </c>
      <c r="AM1073" s="8"/>
      <c r="AN1073" s="8">
        <v>423</v>
      </c>
      <c r="AO1073" s="8">
        <v>2</v>
      </c>
      <c r="AP1073" s="8" t="s">
        <v>56</v>
      </c>
      <c r="AQ1073" s="8" t="s">
        <v>118</v>
      </c>
      <c r="AR1073" s="8">
        <v>8.15</v>
      </c>
      <c r="AS1073" s="8" t="s">
        <v>56</v>
      </c>
      <c r="AT1073" s="8" t="s">
        <v>56</v>
      </c>
      <c r="AU1073" s="8">
        <v>427</v>
      </c>
      <c r="AV1073">
        <v>2</v>
      </c>
      <c r="AW1073" t="s">
        <v>56</v>
      </c>
      <c r="AX1073">
        <v>8.15</v>
      </c>
      <c r="AY1073" t="s">
        <v>56</v>
      </c>
      <c r="AZ1073" t="s">
        <v>56</v>
      </c>
      <c r="BA1073" s="8"/>
      <c r="BB1073" s="8">
        <f>LOG(AU1073)</f>
        <v>2.6304278750250241</v>
      </c>
      <c r="BC1073" s="8">
        <v>19</v>
      </c>
      <c r="BD1073" s="8" t="s">
        <v>56</v>
      </c>
      <c r="BE1073" s="8" t="s">
        <v>56</v>
      </c>
      <c r="BF1073" s="8">
        <v>21</v>
      </c>
      <c r="BG1073" s="8" t="s">
        <v>56</v>
      </c>
      <c r="BH1073" s="8" t="s">
        <v>56</v>
      </c>
      <c r="BI1073" s="8">
        <v>4</v>
      </c>
      <c r="BJ1073" s="8">
        <v>2</v>
      </c>
      <c r="BK1073" s="8" t="s">
        <v>56</v>
      </c>
      <c r="BL1073" s="8" t="s">
        <v>79</v>
      </c>
      <c r="BM1073" s="8" t="s">
        <v>83</v>
      </c>
      <c r="BN1073" s="8" t="s">
        <v>81</v>
      </c>
      <c r="BO1073" s="8" t="s">
        <v>82</v>
      </c>
      <c r="BP1073" s="8" t="s">
        <v>204</v>
      </c>
      <c r="BQ1073" s="8"/>
      <c r="BR1073" s="8" t="s">
        <v>84</v>
      </c>
      <c r="BS1073" s="8"/>
      <c r="BT1073" s="8">
        <v>35.130000000000003</v>
      </c>
      <c r="BU1073" s="8">
        <v>64.87</v>
      </c>
      <c r="BV1073" s="8">
        <v>1.25</v>
      </c>
      <c r="BW1073" s="8">
        <f>BV1073*SQRT(AK1073)</f>
        <v>3.75</v>
      </c>
      <c r="BX1073" s="8">
        <v>41.08</v>
      </c>
      <c r="BY1073" s="8">
        <v>58.92</v>
      </c>
      <c r="BZ1073" s="8">
        <v>3.18</v>
      </c>
      <c r="CA1073" s="8">
        <f>BZ1073*SQRT(AL1073)</f>
        <v>9.5400000000000009</v>
      </c>
      <c r="CB1073" s="8">
        <v>1</v>
      </c>
      <c r="CC1073" s="8">
        <v>6</v>
      </c>
      <c r="CD1073" s="8">
        <v>-9.6000000000000002E-2</v>
      </c>
      <c r="CE1073" s="8">
        <v>3.3E-3</v>
      </c>
      <c r="CF1073" s="8"/>
    </row>
    <row r="1074" spans="1:84" s="11" customFormat="1" hidden="1" x14ac:dyDescent="0.2">
      <c r="A1074" s="8"/>
      <c r="B1074" t="str">
        <f>ROW()-1&amp;"_AltersInvert"</f>
        <v>1073_AltersInvert</v>
      </c>
      <c r="C1074" t="str">
        <f>D1074&amp;"_"&amp;
SUBSTITUTE(TRIM(V1074)," ","_")&amp;"_"&amp;
TRIM(AC1074)&amp;"_"&amp;
"CO2"&amp;TEXT(AN1074,"0.00")&amp;"_"&amp;
"pH"&amp;TEXT(AR1074,"0.00")&amp;"_"&amp;
"T"&amp;TEXT(BC1074,"0.##")</f>
        <v>62_Patiriella_regularis_EMBRYO_CO2423.00_pH8.15_T19.</v>
      </c>
      <c r="D1074" s="8">
        <v>62</v>
      </c>
      <c r="E1074" s="8"/>
      <c r="F1074" s="8"/>
      <c r="G1074" s="8" t="s">
        <v>43</v>
      </c>
      <c r="H1074" s="8" t="s">
        <v>601</v>
      </c>
      <c r="I1074" s="8" t="s">
        <v>1130</v>
      </c>
      <c r="J1074" s="8">
        <v>2013</v>
      </c>
      <c r="K1074" s="8"/>
      <c r="L1074" s="8"/>
      <c r="M1074" s="8" t="s">
        <v>257</v>
      </c>
      <c r="N1074" s="8"/>
      <c r="O1074" s="8"/>
      <c r="P1074" t="s">
        <v>1135</v>
      </c>
      <c r="Q1074" s="8"/>
      <c r="R1074" s="8" t="s">
        <v>1127</v>
      </c>
      <c r="S1074" t="s">
        <v>1128</v>
      </c>
      <c r="T1074" s="8" t="s">
        <v>46</v>
      </c>
      <c r="U1074" s="8" t="s">
        <v>602</v>
      </c>
      <c r="V1074" s="8" t="s">
        <v>603</v>
      </c>
      <c r="W1074" s="8" t="str">
        <f>IF(ISNUMBER(MATCH(#REF!,{"Doryteuthis pealeii","Loligo vulgaris","Leptuca thayeri","Stylocheilus striatus","Ophryotrocha labronica"},0)),"N","Y")</f>
        <v>Y</v>
      </c>
      <c r="X1074" s="8"/>
      <c r="Y1074" s="8"/>
      <c r="Z1074" s="8" t="s">
        <v>49</v>
      </c>
      <c r="AA1074" s="8" t="s">
        <v>49</v>
      </c>
      <c r="AB1074" s="8" t="s">
        <v>71</v>
      </c>
      <c r="AC1074" s="8" t="s">
        <v>195</v>
      </c>
      <c r="AD1074" s="8" t="s">
        <v>52</v>
      </c>
      <c r="AE1074" s="8" t="s">
        <v>53</v>
      </c>
      <c r="AF1074" s="8" t="s">
        <v>52</v>
      </c>
      <c r="AG1074" s="8" t="s">
        <v>52</v>
      </c>
      <c r="AH1074" s="8" t="s">
        <v>64</v>
      </c>
      <c r="AI1074" s="8"/>
      <c r="AJ1074" s="8"/>
      <c r="AK1074" s="8">
        <v>9</v>
      </c>
      <c r="AL1074" s="8">
        <v>9</v>
      </c>
      <c r="AM1074" s="8"/>
      <c r="AN1074" s="8">
        <v>423</v>
      </c>
      <c r="AO1074" s="8">
        <v>2</v>
      </c>
      <c r="AP1074" s="8" t="s">
        <v>56</v>
      </c>
      <c r="AQ1074" s="8" t="s">
        <v>118</v>
      </c>
      <c r="AR1074" s="8">
        <v>8.15</v>
      </c>
      <c r="AS1074" s="8" t="s">
        <v>56</v>
      </c>
      <c r="AT1074" s="8" t="s">
        <v>56</v>
      </c>
      <c r="AU1074" s="8">
        <v>1772</v>
      </c>
      <c r="AV1074">
        <v>6</v>
      </c>
      <c r="AW1074" t="s">
        <v>56</v>
      </c>
      <c r="AX1074">
        <v>7.6</v>
      </c>
      <c r="AY1074" t="s">
        <v>56</v>
      </c>
      <c r="AZ1074" t="s">
        <v>56</v>
      </c>
      <c r="BA1074" s="8"/>
      <c r="BB1074" s="8">
        <f>LOG(AU1074)</f>
        <v>3.248463717551032</v>
      </c>
      <c r="BC1074" s="8">
        <v>19</v>
      </c>
      <c r="BD1074" s="8" t="s">
        <v>56</v>
      </c>
      <c r="BE1074" s="8" t="s">
        <v>56</v>
      </c>
      <c r="BF1074" s="8">
        <v>21</v>
      </c>
      <c r="BG1074" s="8" t="s">
        <v>56</v>
      </c>
      <c r="BH1074" s="8" t="s">
        <v>56</v>
      </c>
      <c r="BI1074" s="8">
        <v>1349</v>
      </c>
      <c r="BJ1074" s="8">
        <v>2</v>
      </c>
      <c r="BK1074" s="8" t="s">
        <v>56</v>
      </c>
      <c r="BL1074" s="8" t="s">
        <v>88</v>
      </c>
      <c r="BM1074" s="8" t="s">
        <v>83</v>
      </c>
      <c r="BN1074" s="8" t="s">
        <v>81</v>
      </c>
      <c r="BO1074" s="8" t="s">
        <v>82</v>
      </c>
      <c r="BP1074" s="8" t="s">
        <v>204</v>
      </c>
      <c r="BQ1074" s="8" t="s">
        <v>190</v>
      </c>
      <c r="BR1074" s="8" t="s">
        <v>84</v>
      </c>
      <c r="BS1074" s="8"/>
      <c r="BT1074" s="8">
        <v>35.130000000000003</v>
      </c>
      <c r="BU1074" s="8">
        <v>64.87</v>
      </c>
      <c r="BV1074" s="8">
        <v>1.25</v>
      </c>
      <c r="BW1074" s="8">
        <f>BV1074*SQRT(AK1074)</f>
        <v>3.75</v>
      </c>
      <c r="BX1074" s="8">
        <v>62.39</v>
      </c>
      <c r="BY1074" s="8">
        <v>37.61</v>
      </c>
      <c r="BZ1074" s="8">
        <v>3.32</v>
      </c>
      <c r="CA1074" s="8">
        <f>BZ1074*SQRT(AL1074)</f>
        <v>9.9599999999999991</v>
      </c>
      <c r="CB1074" s="8">
        <v>1</v>
      </c>
      <c r="CC1074" s="8">
        <v>6</v>
      </c>
      <c r="CD1074" s="8">
        <v>-0.54500000000000004</v>
      </c>
      <c r="CE1074" s="8">
        <v>8.2000000000000007E-3</v>
      </c>
      <c r="CF1074" s="8" t="s">
        <v>1134</v>
      </c>
    </row>
    <row r="1075" spans="1:84" s="11" customFormat="1" hidden="1" x14ac:dyDescent="0.2">
      <c r="A1075" s="8"/>
      <c r="B1075" t="str">
        <f>ROW()-1&amp;"_AltersInvert"</f>
        <v>1074_AltersInvert</v>
      </c>
      <c r="C1075" t="str">
        <f>D1075&amp;"_"&amp;
SUBSTITUTE(TRIM(V1075)," ","_")&amp;"_"&amp;
TRIM(AC1075)&amp;"_"&amp;
"CO2"&amp;TEXT(AN1075,"0.00")&amp;"_"&amp;
"pH"&amp;TEXT(AR1075,"0.00")&amp;"_"&amp;
"T"&amp;TEXT(BC1075,"0.##")</f>
        <v>62_Patiriella_regularis_EMBRYO_CO2423.00_pH8.15_T19.</v>
      </c>
      <c r="D1075" s="8">
        <v>62</v>
      </c>
      <c r="E1075" s="8"/>
      <c r="F1075" s="8"/>
      <c r="G1075" s="8" t="s">
        <v>43</v>
      </c>
      <c r="H1075" s="8" t="s">
        <v>601</v>
      </c>
      <c r="I1075" s="8" t="s">
        <v>1130</v>
      </c>
      <c r="J1075" s="8">
        <v>2013</v>
      </c>
      <c r="K1075" s="8"/>
      <c r="L1075" s="8"/>
      <c r="M1075" s="8" t="s">
        <v>257</v>
      </c>
      <c r="N1075" s="8"/>
      <c r="O1075" s="8"/>
      <c r="P1075" t="s">
        <v>1135</v>
      </c>
      <c r="Q1075" s="8"/>
      <c r="R1075" s="8" t="s">
        <v>1127</v>
      </c>
      <c r="S1075" t="s">
        <v>1128</v>
      </c>
      <c r="T1075" s="8" t="s">
        <v>46</v>
      </c>
      <c r="U1075" s="8" t="s">
        <v>602</v>
      </c>
      <c r="V1075" s="8" t="s">
        <v>603</v>
      </c>
      <c r="W1075" s="8" t="str">
        <f>IF(ISNUMBER(MATCH(#REF!,{"Doryteuthis pealeii","Loligo vulgaris","Leptuca thayeri","Stylocheilus striatus","Ophryotrocha labronica"},0)),"N","Y")</f>
        <v>Y</v>
      </c>
      <c r="X1075" s="8"/>
      <c r="Y1075" s="8"/>
      <c r="Z1075" s="8" t="s">
        <v>49</v>
      </c>
      <c r="AA1075" s="8" t="s">
        <v>49</v>
      </c>
      <c r="AB1075" s="8" t="s">
        <v>71</v>
      </c>
      <c r="AC1075" s="8" t="s">
        <v>195</v>
      </c>
      <c r="AD1075" s="8" t="s">
        <v>52</v>
      </c>
      <c r="AE1075" s="8" t="s">
        <v>53</v>
      </c>
      <c r="AF1075" s="8" t="s">
        <v>52</v>
      </c>
      <c r="AG1075" s="8" t="s">
        <v>52</v>
      </c>
      <c r="AH1075" s="8" t="s">
        <v>64</v>
      </c>
      <c r="AI1075" s="8"/>
      <c r="AJ1075" s="8"/>
      <c r="AK1075" s="8">
        <v>9</v>
      </c>
      <c r="AL1075" s="8">
        <v>9</v>
      </c>
      <c r="AM1075" s="8"/>
      <c r="AN1075" s="8">
        <v>423</v>
      </c>
      <c r="AO1075" s="8">
        <v>2</v>
      </c>
      <c r="AP1075" s="8" t="s">
        <v>56</v>
      </c>
      <c r="AQ1075" s="8" t="s">
        <v>118</v>
      </c>
      <c r="AR1075" s="8">
        <v>8.15</v>
      </c>
      <c r="AS1075" s="8" t="s">
        <v>56</v>
      </c>
      <c r="AT1075" s="8" t="s">
        <v>56</v>
      </c>
      <c r="AU1075" s="8">
        <v>1805</v>
      </c>
      <c r="AV1075">
        <v>6</v>
      </c>
      <c r="AW1075" t="s">
        <v>56</v>
      </c>
      <c r="AX1075">
        <v>7.6</v>
      </c>
      <c r="AY1075" t="s">
        <v>56</v>
      </c>
      <c r="AZ1075" t="s">
        <v>56</v>
      </c>
      <c r="BA1075" s="8"/>
      <c r="BB1075" s="8">
        <f>LOG(AU1075)</f>
        <v>3.2564772062416769</v>
      </c>
      <c r="BC1075" s="8">
        <v>19</v>
      </c>
      <c r="BD1075" s="8" t="s">
        <v>56</v>
      </c>
      <c r="BE1075" s="8" t="s">
        <v>56</v>
      </c>
      <c r="BF1075" s="8">
        <v>23</v>
      </c>
      <c r="BG1075" s="8" t="s">
        <v>56</v>
      </c>
      <c r="BH1075" s="8" t="s">
        <v>56</v>
      </c>
      <c r="BI1075" s="8">
        <v>1382</v>
      </c>
      <c r="BJ1075" s="8">
        <v>4</v>
      </c>
      <c r="BK1075" s="8" t="s">
        <v>56</v>
      </c>
      <c r="BL1075" s="8" t="s">
        <v>88</v>
      </c>
      <c r="BM1075" s="8" t="s">
        <v>83</v>
      </c>
      <c r="BN1075" s="8" t="s">
        <v>81</v>
      </c>
      <c r="BO1075" s="8" t="s">
        <v>82</v>
      </c>
      <c r="BP1075" s="8" t="s">
        <v>204</v>
      </c>
      <c r="BQ1075" s="8" t="s">
        <v>190</v>
      </c>
      <c r="BR1075" s="8" t="s">
        <v>84</v>
      </c>
      <c r="BS1075" s="8"/>
      <c r="BT1075" s="8">
        <v>35.130000000000003</v>
      </c>
      <c r="BU1075" s="8">
        <v>64.87</v>
      </c>
      <c r="BV1075" s="8">
        <v>1.25</v>
      </c>
      <c r="BW1075" s="8">
        <f>BV1075*SQRT(AK1075)</f>
        <v>3.75</v>
      </c>
      <c r="BX1075" s="8">
        <v>60.31</v>
      </c>
      <c r="BY1075" s="8">
        <v>39.69</v>
      </c>
      <c r="BZ1075" s="8">
        <v>3.18</v>
      </c>
      <c r="CA1075" s="8">
        <f>BZ1075*SQRT(AL1075)</f>
        <v>9.5400000000000009</v>
      </c>
      <c r="CB1075" s="8">
        <v>1</v>
      </c>
      <c r="CC1075" s="8">
        <v>6</v>
      </c>
      <c r="CD1075" s="8">
        <v>-0.49099999999999999</v>
      </c>
      <c r="CE1075" s="8">
        <v>6.7999999999999996E-3</v>
      </c>
      <c r="CF1075" s="8" t="s">
        <v>1134</v>
      </c>
    </row>
    <row r="1076" spans="1:84" s="11" customFormat="1" hidden="1" x14ac:dyDescent="0.2">
      <c r="A1076" s="8"/>
      <c r="B1076" t="str">
        <f>ROW()-1&amp;"_AltersInvert"</f>
        <v>1075_AltersInvert</v>
      </c>
      <c r="C1076" t="str">
        <f>D1076&amp;"_"&amp;
SUBSTITUTE(TRIM(V1076)," ","_")&amp;"_"&amp;
TRIM(AC1076)&amp;"_"&amp;
"CO2"&amp;TEXT(AN1076,"0.00")&amp;"_"&amp;
"pH"&amp;TEXT(AR1076,"0.00")&amp;"_"&amp;
"T"&amp;TEXT(BC1076,"0.##")</f>
        <v>62_Patiriella_regularis_EMBRYO_CO2423.00_pH8.15_T19.</v>
      </c>
      <c r="D1076" s="8">
        <v>62</v>
      </c>
      <c r="E1076" s="8"/>
      <c r="F1076" s="8"/>
      <c r="G1076" s="8" t="s">
        <v>43</v>
      </c>
      <c r="H1076" s="8" t="s">
        <v>601</v>
      </c>
      <c r="I1076" s="8" t="s">
        <v>1130</v>
      </c>
      <c r="J1076" s="8">
        <v>2013</v>
      </c>
      <c r="K1076" s="8"/>
      <c r="L1076" s="8"/>
      <c r="M1076" s="8" t="s">
        <v>257</v>
      </c>
      <c r="N1076" s="8"/>
      <c r="O1076" s="8"/>
      <c r="P1076" t="s">
        <v>1135</v>
      </c>
      <c r="Q1076" s="8"/>
      <c r="R1076" s="8" t="s">
        <v>1127</v>
      </c>
      <c r="S1076" t="s">
        <v>1128</v>
      </c>
      <c r="T1076" s="8" t="s">
        <v>46</v>
      </c>
      <c r="U1076" s="8" t="s">
        <v>602</v>
      </c>
      <c r="V1076" s="8" t="s">
        <v>603</v>
      </c>
      <c r="W1076" s="8" t="str">
        <f>IF(ISNUMBER(MATCH(#REF!,{"Doryteuthis pealeii","Loligo vulgaris","Leptuca thayeri","Stylocheilus striatus","Ophryotrocha labronica"},0)),"N","Y")</f>
        <v>Y</v>
      </c>
      <c r="X1076" s="8"/>
      <c r="Y1076" s="8"/>
      <c r="Z1076" s="8" t="s">
        <v>49</v>
      </c>
      <c r="AA1076" s="8" t="s">
        <v>49</v>
      </c>
      <c r="AB1076" s="8" t="s">
        <v>71</v>
      </c>
      <c r="AC1076" s="8" t="s">
        <v>195</v>
      </c>
      <c r="AD1076" s="8" t="s">
        <v>52</v>
      </c>
      <c r="AE1076" s="8" t="s">
        <v>53</v>
      </c>
      <c r="AF1076" s="8" t="s">
        <v>52</v>
      </c>
      <c r="AG1076" s="8" t="s">
        <v>52</v>
      </c>
      <c r="AH1076" s="8" t="s">
        <v>64</v>
      </c>
      <c r="AI1076" s="8"/>
      <c r="AJ1076" s="8"/>
      <c r="AK1076" s="8">
        <v>9</v>
      </c>
      <c r="AL1076" s="8">
        <v>9</v>
      </c>
      <c r="AM1076" s="8"/>
      <c r="AN1076" s="8">
        <v>423</v>
      </c>
      <c r="AO1076" s="8">
        <v>2</v>
      </c>
      <c r="AP1076" s="8" t="s">
        <v>56</v>
      </c>
      <c r="AQ1076" s="8" t="s">
        <v>118</v>
      </c>
      <c r="AR1076" s="8">
        <v>8.15</v>
      </c>
      <c r="AS1076" s="8" t="s">
        <v>56</v>
      </c>
      <c r="AT1076" s="8" t="s">
        <v>56</v>
      </c>
      <c r="AU1076" s="8">
        <v>1094</v>
      </c>
      <c r="AV1076">
        <v>4</v>
      </c>
      <c r="AW1076" t="s">
        <v>56</v>
      </c>
      <c r="AX1076">
        <v>7.8</v>
      </c>
      <c r="AY1076" t="s">
        <v>56</v>
      </c>
      <c r="AZ1076" t="s">
        <v>56</v>
      </c>
      <c r="BA1076" s="8"/>
      <c r="BB1076" s="8">
        <f>LOG(AU1076)</f>
        <v>3.0390173219974121</v>
      </c>
      <c r="BC1076" s="8">
        <v>19</v>
      </c>
      <c r="BD1076" s="8" t="s">
        <v>56</v>
      </c>
      <c r="BE1076" s="8" t="s">
        <v>56</v>
      </c>
      <c r="BF1076" s="8">
        <v>23</v>
      </c>
      <c r="BG1076" s="8" t="s">
        <v>56</v>
      </c>
      <c r="BH1076" s="8" t="s">
        <v>56</v>
      </c>
      <c r="BI1076" s="8">
        <v>671</v>
      </c>
      <c r="BJ1076" s="8">
        <v>4</v>
      </c>
      <c r="BK1076" s="8" t="s">
        <v>56</v>
      </c>
      <c r="BL1076" s="8" t="s">
        <v>88</v>
      </c>
      <c r="BM1076" s="8" t="s">
        <v>83</v>
      </c>
      <c r="BN1076" s="8" t="s">
        <v>81</v>
      </c>
      <c r="BO1076" s="8" t="s">
        <v>82</v>
      </c>
      <c r="BP1076" s="8" t="s">
        <v>204</v>
      </c>
      <c r="BQ1076" s="8" t="s">
        <v>190</v>
      </c>
      <c r="BR1076" s="8" t="s">
        <v>84</v>
      </c>
      <c r="BS1076" s="8"/>
      <c r="BT1076" s="8">
        <v>35.130000000000003</v>
      </c>
      <c r="BU1076" s="8">
        <v>64.87</v>
      </c>
      <c r="BV1076" s="8">
        <v>1.25</v>
      </c>
      <c r="BW1076" s="8">
        <f>BV1076*SQRT(AK1076)</f>
        <v>3.75</v>
      </c>
      <c r="BX1076" s="8">
        <v>51.87</v>
      </c>
      <c r="BY1076" s="8">
        <v>48.13</v>
      </c>
      <c r="BZ1076" s="8">
        <v>3.6</v>
      </c>
      <c r="CA1076" s="8">
        <f>BZ1076*SQRT(AL1076)</f>
        <v>10.8</v>
      </c>
      <c r="CB1076" s="8">
        <v>1</v>
      </c>
      <c r="CC1076" s="8">
        <v>6</v>
      </c>
      <c r="CD1076" s="8">
        <v>-0.29799999999999999</v>
      </c>
      <c r="CE1076" s="8">
        <v>6.0000000000000001E-3</v>
      </c>
      <c r="CF1076" s="8" t="s">
        <v>1134</v>
      </c>
    </row>
    <row r="1077" spans="1:84" s="11" customFormat="1" hidden="1" x14ac:dyDescent="0.2">
      <c r="A1077" s="8"/>
      <c r="B1077" t="str">
        <f>ROW()-1&amp;"_AltersInvert"</f>
        <v>1076_AltersInvert</v>
      </c>
      <c r="C1077" t="str">
        <f>D1077&amp;"_"&amp;
SUBSTITUTE(TRIM(V1077)," ","_")&amp;"_"&amp;
TRIM(AC1077)&amp;"_"&amp;
"CO2"&amp;TEXT(AN1077,"0.00")&amp;"_"&amp;
"pH"&amp;TEXT(AR1077,"0.00")&amp;"_"&amp;
"T"&amp;TEXT(BC1077,"0.##")</f>
        <v>62_Patiriella_regularis_EMBRYO_CO2423.00_pH8.15_T19.</v>
      </c>
      <c r="D1077" s="8">
        <v>62</v>
      </c>
      <c r="E1077" s="8"/>
      <c r="F1077" s="8"/>
      <c r="G1077" s="8" t="s">
        <v>43</v>
      </c>
      <c r="H1077" s="8" t="s">
        <v>601</v>
      </c>
      <c r="I1077" s="8" t="s">
        <v>1130</v>
      </c>
      <c r="J1077" s="8">
        <v>2013</v>
      </c>
      <c r="K1077" s="8"/>
      <c r="L1077" s="8"/>
      <c r="M1077" s="8" t="s">
        <v>257</v>
      </c>
      <c r="N1077" s="8"/>
      <c r="O1077" s="8"/>
      <c r="P1077" s="8"/>
      <c r="Q1077" s="8"/>
      <c r="R1077" s="8"/>
      <c r="S1077" s="8"/>
      <c r="T1077" s="8" t="s">
        <v>46</v>
      </c>
      <c r="U1077" s="8" t="s">
        <v>602</v>
      </c>
      <c r="V1077" s="8" t="s">
        <v>603</v>
      </c>
      <c r="W1077" s="8" t="str">
        <f>IF(ISNUMBER(MATCH(#REF!,{"Doryteuthis pealeii","Loligo vulgaris","Leptuca thayeri","Stylocheilus striatus","Ophryotrocha labronica"},0)),"N","Y")</f>
        <v>Y</v>
      </c>
      <c r="X1077" s="8"/>
      <c r="Y1077" s="8"/>
      <c r="Z1077" s="8" t="s">
        <v>49</v>
      </c>
      <c r="AA1077" s="8" t="s">
        <v>49</v>
      </c>
      <c r="AB1077" s="8" t="s">
        <v>71</v>
      </c>
      <c r="AC1077" s="8" t="s">
        <v>195</v>
      </c>
      <c r="AD1077" s="8" t="s">
        <v>52</v>
      </c>
      <c r="AE1077" s="8" t="s">
        <v>53</v>
      </c>
      <c r="AF1077" s="8" t="s">
        <v>52</v>
      </c>
      <c r="AG1077" s="8" t="s">
        <v>52</v>
      </c>
      <c r="AH1077" s="8" t="s">
        <v>64</v>
      </c>
      <c r="AI1077" s="8"/>
      <c r="AJ1077" s="8"/>
      <c r="AK1077" s="8">
        <v>9</v>
      </c>
      <c r="AL1077" s="8">
        <v>9</v>
      </c>
      <c r="AM1077" s="8"/>
      <c r="AN1077" s="8">
        <v>423</v>
      </c>
      <c r="AO1077" s="8">
        <v>2</v>
      </c>
      <c r="AP1077" s="8" t="s">
        <v>56</v>
      </c>
      <c r="AQ1077" s="8" t="s">
        <v>118</v>
      </c>
      <c r="AR1077" s="8">
        <v>8.15</v>
      </c>
      <c r="AS1077" s="8" t="s">
        <v>56</v>
      </c>
      <c r="AT1077" s="8" t="s">
        <v>56</v>
      </c>
      <c r="AU1077" s="8">
        <v>1076</v>
      </c>
      <c r="AV1077">
        <v>4</v>
      </c>
      <c r="AW1077" t="s">
        <v>56</v>
      </c>
      <c r="AX1077">
        <v>7.8</v>
      </c>
      <c r="AY1077" t="s">
        <v>56</v>
      </c>
      <c r="AZ1077" t="s">
        <v>56</v>
      </c>
      <c r="BA1077" s="8"/>
      <c r="BB1077" s="8">
        <f>LOG(AU1077)</f>
        <v>3.0318122713303706</v>
      </c>
      <c r="BC1077" s="8">
        <v>19</v>
      </c>
      <c r="BD1077" s="8" t="s">
        <v>56</v>
      </c>
      <c r="BE1077" s="8" t="s">
        <v>56</v>
      </c>
      <c r="BF1077" s="8">
        <v>21</v>
      </c>
      <c r="BG1077" s="8" t="s">
        <v>56</v>
      </c>
      <c r="BH1077" s="8" t="s">
        <v>56</v>
      </c>
      <c r="BI1077" s="8">
        <v>653</v>
      </c>
      <c r="BJ1077" s="8">
        <v>2</v>
      </c>
      <c r="BK1077" s="8" t="s">
        <v>56</v>
      </c>
      <c r="BL1077" s="8" t="s">
        <v>88</v>
      </c>
      <c r="BM1077" s="8" t="s">
        <v>83</v>
      </c>
      <c r="BN1077" s="8" t="s">
        <v>81</v>
      </c>
      <c r="BO1077" s="8" t="s">
        <v>82</v>
      </c>
      <c r="BP1077" s="8" t="s">
        <v>204</v>
      </c>
      <c r="BQ1077" s="8"/>
      <c r="BR1077" s="8" t="s">
        <v>84</v>
      </c>
      <c r="BS1077" s="8"/>
      <c r="BT1077" s="8">
        <v>35.130000000000003</v>
      </c>
      <c r="BU1077" s="8">
        <v>64.87</v>
      </c>
      <c r="BV1077" s="8">
        <v>1.25</v>
      </c>
      <c r="BW1077" s="8">
        <f>BV1077*SQRT(AK1077)</f>
        <v>3.75</v>
      </c>
      <c r="BX1077" s="8">
        <v>43.71</v>
      </c>
      <c r="BY1077" s="8">
        <v>56.29</v>
      </c>
      <c r="BZ1077" s="8">
        <v>1.25</v>
      </c>
      <c r="CA1077" s="8">
        <f>BZ1077*SQRT(AL1077)</f>
        <v>3.75</v>
      </c>
      <c r="CB1077" s="8">
        <v>1</v>
      </c>
      <c r="CC1077" s="8">
        <v>6</v>
      </c>
      <c r="CD1077" s="8">
        <v>-0.14199999999999999</v>
      </c>
      <c r="CE1077" s="8">
        <v>8.9999999999999998E-4</v>
      </c>
      <c r="CF1077" s="8"/>
    </row>
    <row r="1078" spans="1:84" hidden="1" x14ac:dyDescent="0.2">
      <c r="D1078">
        <v>70</v>
      </c>
      <c r="G1078" t="s">
        <v>43</v>
      </c>
      <c r="H1078" t="s">
        <v>638</v>
      </c>
      <c r="J1078">
        <v>2017</v>
      </c>
      <c r="M1078" t="s">
        <v>257</v>
      </c>
      <c r="T1078" t="s">
        <v>68</v>
      </c>
      <c r="U1078" t="s">
        <v>639</v>
      </c>
      <c r="V1078" t="s">
        <v>640</v>
      </c>
      <c r="Z1078" t="s">
        <v>49</v>
      </c>
      <c r="AA1078" t="s">
        <v>49</v>
      </c>
      <c r="AB1078" t="s">
        <v>50</v>
      </c>
      <c r="AC1078" t="s">
        <v>108</v>
      </c>
      <c r="AD1078" t="s">
        <v>52</v>
      </c>
      <c r="AE1078" t="s">
        <v>53</v>
      </c>
      <c r="AF1078" t="s">
        <v>54</v>
      </c>
      <c r="AG1078" t="s">
        <v>52</v>
      </c>
      <c r="AH1078" t="s">
        <v>65</v>
      </c>
      <c r="AK1078">
        <v>5</v>
      </c>
      <c r="AL1078">
        <v>5</v>
      </c>
      <c r="AN1078">
        <v>411</v>
      </c>
      <c r="AO1078" t="s">
        <v>56</v>
      </c>
      <c r="AP1078">
        <v>14</v>
      </c>
      <c r="AQ1078" t="s">
        <v>57</v>
      </c>
      <c r="AR1078">
        <v>8.11</v>
      </c>
      <c r="AS1078" t="s">
        <v>56</v>
      </c>
      <c r="AT1078">
        <v>0.02</v>
      </c>
      <c r="AU1078">
        <v>409</v>
      </c>
      <c r="AV1078" t="s">
        <v>56</v>
      </c>
      <c r="AW1078">
        <v>14</v>
      </c>
      <c r="AX1078">
        <v>8.15</v>
      </c>
      <c r="AY1078" t="s">
        <v>56</v>
      </c>
      <c r="AZ1078">
        <v>0.02</v>
      </c>
      <c r="BB1078">
        <f>LOG(AU1078)</f>
        <v>2.6117233080073419</v>
      </c>
      <c r="BC1078">
        <v>14.2</v>
      </c>
      <c r="BD1078" t="s">
        <v>56</v>
      </c>
      <c r="BE1078">
        <v>0.1</v>
      </c>
      <c r="BF1078">
        <v>18</v>
      </c>
      <c r="BG1078" t="s">
        <v>56</v>
      </c>
      <c r="BH1078">
        <v>0.1</v>
      </c>
      <c r="BI1078">
        <v>-2</v>
      </c>
      <c r="BJ1078">
        <v>3.8</v>
      </c>
      <c r="BK1078" t="s">
        <v>56</v>
      </c>
      <c r="BL1078" t="s">
        <v>641</v>
      </c>
      <c r="BM1078" t="s">
        <v>262</v>
      </c>
      <c r="BN1078" t="s">
        <v>81</v>
      </c>
      <c r="BO1078" t="s">
        <v>642</v>
      </c>
      <c r="BP1078" t="s">
        <v>450</v>
      </c>
      <c r="BR1078" t="s">
        <v>63</v>
      </c>
      <c r="BT1078">
        <v>2.06</v>
      </c>
      <c r="BU1078">
        <v>2.06</v>
      </c>
      <c r="BV1078">
        <v>0.15</v>
      </c>
      <c r="BW1078">
        <f>BV1078*SQRT(AK1078)</f>
        <v>0.33541019662496846</v>
      </c>
      <c r="BX1078">
        <v>1.06</v>
      </c>
      <c r="BY1078">
        <v>1.06</v>
      </c>
      <c r="BZ1078">
        <v>0.26</v>
      </c>
      <c r="CA1078">
        <f>BZ1078*SQRT(AL1078)</f>
        <v>0.58137767414994534</v>
      </c>
      <c r="CB1078">
        <v>80</v>
      </c>
      <c r="CC1078">
        <v>5</v>
      </c>
      <c r="CD1078">
        <v>-0.66400000000000003</v>
      </c>
      <c r="CE1078">
        <v>6.5500000000000003E-2</v>
      </c>
    </row>
    <row r="1079" spans="1:84" hidden="1" x14ac:dyDescent="0.2">
      <c r="D1079">
        <v>70</v>
      </c>
      <c r="G1079" t="s">
        <v>43</v>
      </c>
      <c r="H1079" t="s">
        <v>638</v>
      </c>
      <c r="J1079">
        <v>2017</v>
      </c>
      <c r="M1079" t="s">
        <v>257</v>
      </c>
      <c r="T1079" t="s">
        <v>68</v>
      </c>
      <c r="U1079" t="s">
        <v>639</v>
      </c>
      <c r="V1079" t="s">
        <v>640</v>
      </c>
      <c r="Z1079" t="s">
        <v>49</v>
      </c>
      <c r="AA1079" t="s">
        <v>49</v>
      </c>
      <c r="AB1079" t="s">
        <v>50</v>
      </c>
      <c r="AC1079" t="s">
        <v>108</v>
      </c>
      <c r="AD1079" t="s">
        <v>52</v>
      </c>
      <c r="AE1079" t="s">
        <v>53</v>
      </c>
      <c r="AF1079" t="s">
        <v>52</v>
      </c>
      <c r="AG1079" t="s">
        <v>54</v>
      </c>
      <c r="AH1079" t="s">
        <v>55</v>
      </c>
      <c r="AK1079">
        <v>5</v>
      </c>
      <c r="AL1079">
        <v>5</v>
      </c>
      <c r="AN1079">
        <v>411</v>
      </c>
      <c r="AO1079" t="s">
        <v>56</v>
      </c>
      <c r="AP1079">
        <v>14</v>
      </c>
      <c r="AQ1079" t="s">
        <v>57</v>
      </c>
      <c r="AR1079">
        <v>8.11</v>
      </c>
      <c r="AS1079" t="s">
        <v>56</v>
      </c>
      <c r="AT1079">
        <v>0.02</v>
      </c>
      <c r="AU1079">
        <v>1034</v>
      </c>
      <c r="AV1079" t="s">
        <v>56</v>
      </c>
      <c r="AW1079">
        <v>26</v>
      </c>
      <c r="AX1079">
        <v>7.76</v>
      </c>
      <c r="AY1079" t="s">
        <v>56</v>
      </c>
      <c r="AZ1079">
        <v>0.01</v>
      </c>
      <c r="BB1079">
        <f>LOG(AU1079)</f>
        <v>3.0145205387579237</v>
      </c>
      <c r="BC1079">
        <v>14.2</v>
      </c>
      <c r="BD1079" t="s">
        <v>56</v>
      </c>
      <c r="BE1079">
        <v>0.1</v>
      </c>
      <c r="BF1079">
        <v>14</v>
      </c>
      <c r="BG1079" t="s">
        <v>56</v>
      </c>
      <c r="BH1079">
        <v>0.2</v>
      </c>
      <c r="BI1079">
        <v>623</v>
      </c>
      <c r="BJ1079">
        <v>-0.2</v>
      </c>
      <c r="BK1079" t="s">
        <v>56</v>
      </c>
      <c r="BL1079" t="s">
        <v>641</v>
      </c>
      <c r="BM1079" t="s">
        <v>262</v>
      </c>
      <c r="BN1079" t="s">
        <v>81</v>
      </c>
      <c r="BO1079" t="s">
        <v>642</v>
      </c>
      <c r="BP1079" t="s">
        <v>450</v>
      </c>
      <c r="BR1079" t="s">
        <v>63</v>
      </c>
      <c r="BT1079">
        <v>2.06</v>
      </c>
      <c r="BU1079">
        <v>2.06</v>
      </c>
      <c r="BV1079">
        <v>0.15</v>
      </c>
      <c r="BW1079">
        <f>BV1079*SQRT(AK1079)</f>
        <v>0.33541019662496846</v>
      </c>
      <c r="BX1079">
        <v>1.1499999999999999</v>
      </c>
      <c r="BY1079">
        <v>1.1499999999999999</v>
      </c>
      <c r="BZ1079">
        <v>0.17</v>
      </c>
      <c r="CA1079">
        <f>BZ1079*SQRT(AL1079)</f>
        <v>0.3801315561749643</v>
      </c>
      <c r="CB1079">
        <v>80</v>
      </c>
      <c r="CC1079">
        <v>5</v>
      </c>
      <c r="CD1079">
        <v>-0.58299999999999996</v>
      </c>
      <c r="CE1079">
        <v>2.7199999999999998E-2</v>
      </c>
    </row>
    <row r="1080" spans="1:84" hidden="1" x14ac:dyDescent="0.2">
      <c r="D1080">
        <v>70</v>
      </c>
      <c r="G1080" t="s">
        <v>43</v>
      </c>
      <c r="H1080" t="s">
        <v>638</v>
      </c>
      <c r="J1080">
        <v>2017</v>
      </c>
      <c r="M1080" t="s">
        <v>257</v>
      </c>
      <c r="T1080" t="s">
        <v>68</v>
      </c>
      <c r="U1080" t="s">
        <v>639</v>
      </c>
      <c r="V1080" t="s">
        <v>640</v>
      </c>
      <c r="Z1080" t="s">
        <v>49</v>
      </c>
      <c r="AA1080" t="s">
        <v>49</v>
      </c>
      <c r="AB1080" t="s">
        <v>50</v>
      </c>
      <c r="AC1080" t="s">
        <v>108</v>
      </c>
      <c r="AD1080" t="s">
        <v>52</v>
      </c>
      <c r="AE1080" t="s">
        <v>53</v>
      </c>
      <c r="AF1080" t="s">
        <v>52</v>
      </c>
      <c r="AG1080" t="s">
        <v>52</v>
      </c>
      <c r="AH1080" t="s">
        <v>64</v>
      </c>
      <c r="AK1080">
        <v>5</v>
      </c>
      <c r="AL1080">
        <v>5</v>
      </c>
      <c r="AN1080">
        <v>411</v>
      </c>
      <c r="AO1080" t="s">
        <v>56</v>
      </c>
      <c r="AP1080">
        <v>14</v>
      </c>
      <c r="AQ1080" t="s">
        <v>57</v>
      </c>
      <c r="AR1080">
        <v>8.11</v>
      </c>
      <c r="AS1080" t="s">
        <v>56</v>
      </c>
      <c r="AT1080">
        <v>0.02</v>
      </c>
      <c r="AU1080">
        <v>754</v>
      </c>
      <c r="AV1080" t="s">
        <v>56</v>
      </c>
      <c r="AW1080">
        <v>28</v>
      </c>
      <c r="AX1080">
        <v>7.94</v>
      </c>
      <c r="AY1080" t="s">
        <v>56</v>
      </c>
      <c r="AZ1080">
        <v>0.02</v>
      </c>
      <c r="BB1080">
        <f>LOG(AU1080)</f>
        <v>2.8773713458697738</v>
      </c>
      <c r="BC1080">
        <v>14.2</v>
      </c>
      <c r="BD1080" t="s">
        <v>56</v>
      </c>
      <c r="BE1080">
        <v>0.1</v>
      </c>
      <c r="BF1080">
        <v>17.899999999999999</v>
      </c>
      <c r="BG1080" t="s">
        <v>56</v>
      </c>
      <c r="BH1080">
        <v>0.2</v>
      </c>
      <c r="BI1080">
        <v>343</v>
      </c>
      <c r="BJ1080">
        <v>3.7</v>
      </c>
      <c r="BK1080" t="s">
        <v>56</v>
      </c>
      <c r="BL1080" t="s">
        <v>641</v>
      </c>
      <c r="BM1080" t="s">
        <v>262</v>
      </c>
      <c r="BN1080" t="s">
        <v>81</v>
      </c>
      <c r="BO1080" t="s">
        <v>642</v>
      </c>
      <c r="BP1080" t="s">
        <v>450</v>
      </c>
      <c r="BR1080" t="s">
        <v>63</v>
      </c>
      <c r="BT1080">
        <v>2.06</v>
      </c>
      <c r="BU1080">
        <v>2.06</v>
      </c>
      <c r="BV1080">
        <v>0.15</v>
      </c>
      <c r="BW1080">
        <f>BV1080*SQRT(AK1080)</f>
        <v>0.33541019662496846</v>
      </c>
      <c r="BX1080">
        <v>1.75</v>
      </c>
      <c r="BY1080">
        <v>1.75</v>
      </c>
      <c r="BZ1080">
        <v>0.15</v>
      </c>
      <c r="CA1080">
        <f>BZ1080*SQRT(AL1080)</f>
        <v>0.33541019662496846</v>
      </c>
      <c r="CB1080">
        <v>80</v>
      </c>
      <c r="CC1080">
        <v>5</v>
      </c>
      <c r="CD1080">
        <v>-0.16300000000000001</v>
      </c>
      <c r="CE1080">
        <v>1.26E-2</v>
      </c>
    </row>
    <row r="1081" spans="1:84" hidden="1" x14ac:dyDescent="0.2">
      <c r="D1081">
        <v>70</v>
      </c>
      <c r="G1081" t="s">
        <v>43</v>
      </c>
      <c r="H1081" t="s">
        <v>638</v>
      </c>
      <c r="J1081">
        <v>2017</v>
      </c>
      <c r="M1081" t="s">
        <v>257</v>
      </c>
      <c r="T1081" t="s">
        <v>68</v>
      </c>
      <c r="U1081" t="s">
        <v>639</v>
      </c>
      <c r="V1081" t="s">
        <v>640</v>
      </c>
      <c r="Z1081" t="s">
        <v>49</v>
      </c>
      <c r="AA1081" t="s">
        <v>49</v>
      </c>
      <c r="AB1081" t="s">
        <v>50</v>
      </c>
      <c r="AC1081" t="s">
        <v>108</v>
      </c>
      <c r="AD1081" t="s">
        <v>52</v>
      </c>
      <c r="AE1081" t="s">
        <v>53</v>
      </c>
      <c r="AF1081" t="s">
        <v>52</v>
      </c>
      <c r="AG1081" t="s">
        <v>54</v>
      </c>
      <c r="AH1081" t="s">
        <v>55</v>
      </c>
      <c r="AK1081">
        <v>5</v>
      </c>
      <c r="AL1081">
        <v>5</v>
      </c>
      <c r="AN1081">
        <v>411</v>
      </c>
      <c r="AO1081" t="s">
        <v>56</v>
      </c>
      <c r="AP1081">
        <v>14</v>
      </c>
      <c r="AQ1081" t="s">
        <v>57</v>
      </c>
      <c r="AR1081">
        <v>8.11</v>
      </c>
      <c r="AS1081" t="s">
        <v>56</v>
      </c>
      <c r="AT1081">
        <v>0.02</v>
      </c>
      <c r="AU1081">
        <v>765</v>
      </c>
      <c r="AV1081" t="s">
        <v>56</v>
      </c>
      <c r="AW1081">
        <v>28</v>
      </c>
      <c r="AX1081">
        <v>7.88</v>
      </c>
      <c r="AY1081" t="s">
        <v>56</v>
      </c>
      <c r="AZ1081">
        <v>0.02</v>
      </c>
      <c r="BB1081">
        <f>LOG(AU1081)</f>
        <v>2.8836614351536176</v>
      </c>
      <c r="BC1081">
        <v>14.2</v>
      </c>
      <c r="BD1081" t="s">
        <v>56</v>
      </c>
      <c r="BE1081">
        <v>0.1</v>
      </c>
      <c r="BF1081">
        <v>14.2</v>
      </c>
      <c r="BG1081" t="s">
        <v>56</v>
      </c>
      <c r="BH1081">
        <v>0.1</v>
      </c>
      <c r="BI1081">
        <v>354</v>
      </c>
      <c r="BJ1081">
        <v>0</v>
      </c>
      <c r="BK1081" t="s">
        <v>56</v>
      </c>
      <c r="BL1081" t="s">
        <v>641</v>
      </c>
      <c r="BM1081" t="s">
        <v>262</v>
      </c>
      <c r="BN1081" t="s">
        <v>81</v>
      </c>
      <c r="BO1081" t="s">
        <v>642</v>
      </c>
      <c r="BP1081" t="s">
        <v>450</v>
      </c>
      <c r="BR1081" t="s">
        <v>63</v>
      </c>
      <c r="BT1081">
        <v>2.06</v>
      </c>
      <c r="BU1081">
        <v>2.06</v>
      </c>
      <c r="BV1081">
        <v>0.15</v>
      </c>
      <c r="BW1081">
        <f>BV1081*SQRT(AK1081)</f>
        <v>0.33541019662496846</v>
      </c>
      <c r="BX1081">
        <v>1.95</v>
      </c>
      <c r="BY1081">
        <v>1.95</v>
      </c>
      <c r="BZ1081">
        <v>0.16</v>
      </c>
      <c r="CA1081">
        <f>BZ1081*SQRT(AL1081)</f>
        <v>0.35777087639996635</v>
      </c>
      <c r="CB1081">
        <v>80</v>
      </c>
      <c r="CC1081">
        <v>5</v>
      </c>
      <c r="CD1081">
        <v>-5.5E-2</v>
      </c>
      <c r="CE1081">
        <v>1.2E-2</v>
      </c>
    </row>
    <row r="1082" spans="1:84" hidden="1" x14ac:dyDescent="0.2">
      <c r="D1082">
        <v>70</v>
      </c>
      <c r="G1082" t="s">
        <v>114</v>
      </c>
      <c r="H1082" t="s">
        <v>638</v>
      </c>
      <c r="J1082">
        <v>2017</v>
      </c>
      <c r="M1082" t="s">
        <v>257</v>
      </c>
      <c r="T1082" t="s">
        <v>68</v>
      </c>
      <c r="U1082" t="s">
        <v>639</v>
      </c>
      <c r="V1082" t="s">
        <v>640</v>
      </c>
      <c r="Z1082" t="s">
        <v>49</v>
      </c>
      <c r="AA1082" t="s">
        <v>49</v>
      </c>
      <c r="AB1082" t="s">
        <v>50</v>
      </c>
      <c r="AC1082" t="s">
        <v>108</v>
      </c>
      <c r="AD1082" t="s">
        <v>52</v>
      </c>
      <c r="AE1082" t="s">
        <v>53</v>
      </c>
      <c r="AF1082" t="s">
        <v>52</v>
      </c>
      <c r="AG1082" t="s">
        <v>52</v>
      </c>
      <c r="AH1082" t="s">
        <v>64</v>
      </c>
      <c r="AK1082">
        <v>5</v>
      </c>
      <c r="AL1082">
        <v>5</v>
      </c>
      <c r="AM1082" t="s">
        <v>263</v>
      </c>
      <c r="AN1082">
        <v>411</v>
      </c>
      <c r="AO1082" t="s">
        <v>56</v>
      </c>
      <c r="AP1082">
        <v>14</v>
      </c>
      <c r="AQ1082" t="s">
        <v>57</v>
      </c>
      <c r="AR1082">
        <v>8.11</v>
      </c>
      <c r="AS1082" t="s">
        <v>56</v>
      </c>
      <c r="AT1082">
        <v>0.02</v>
      </c>
      <c r="AU1082">
        <v>1012</v>
      </c>
      <c r="AV1082" t="s">
        <v>56</v>
      </c>
      <c r="AW1082">
        <v>33</v>
      </c>
      <c r="AX1082">
        <v>7.81</v>
      </c>
      <c r="AY1082" t="s">
        <v>56</v>
      </c>
      <c r="AZ1082">
        <v>0.02</v>
      </c>
      <c r="BB1082">
        <f>LOG(AU1082)</f>
        <v>3.0051805125037805</v>
      </c>
      <c r="BC1082">
        <v>14.2</v>
      </c>
      <c r="BD1082" t="s">
        <v>56</v>
      </c>
      <c r="BE1082">
        <v>0.1</v>
      </c>
      <c r="BF1082">
        <v>18.100000000000001</v>
      </c>
      <c r="BG1082" t="s">
        <v>56</v>
      </c>
      <c r="BH1082">
        <v>0.1</v>
      </c>
      <c r="BI1082">
        <v>601</v>
      </c>
      <c r="BJ1082">
        <v>4</v>
      </c>
      <c r="BK1082" t="s">
        <v>56</v>
      </c>
      <c r="BL1082" t="s">
        <v>641</v>
      </c>
      <c r="BM1082" t="s">
        <v>262</v>
      </c>
      <c r="BN1082" t="s">
        <v>81</v>
      </c>
      <c r="BO1082" t="s">
        <v>642</v>
      </c>
      <c r="BP1082" t="s">
        <v>450</v>
      </c>
      <c r="BR1082" t="s">
        <v>63</v>
      </c>
      <c r="BT1082">
        <v>2.06</v>
      </c>
      <c r="BU1082">
        <v>3.14</v>
      </c>
      <c r="BV1082">
        <v>0.15</v>
      </c>
      <c r="BW1082">
        <f>BV1082*SQRT(AK1082)</f>
        <v>0.33541019662496846</v>
      </c>
      <c r="BX1082">
        <v>-0.54</v>
      </c>
      <c r="BY1082">
        <v>0.54</v>
      </c>
      <c r="BZ1082">
        <v>0.25</v>
      </c>
      <c r="CA1082">
        <f>BZ1082*SQRT(AL1082)</f>
        <v>0.55901699437494745</v>
      </c>
      <c r="CB1082">
        <v>80</v>
      </c>
      <c r="CC1082">
        <v>5</v>
      </c>
      <c r="CE1082">
        <v>0.21659999999999999</v>
      </c>
    </row>
    <row r="1083" spans="1:84" hidden="1" x14ac:dyDescent="0.2">
      <c r="D1083">
        <v>71</v>
      </c>
      <c r="G1083" t="s">
        <v>43</v>
      </c>
      <c r="H1083" t="s">
        <v>643</v>
      </c>
      <c r="J1083">
        <v>2012</v>
      </c>
      <c r="M1083" t="s">
        <v>644</v>
      </c>
      <c r="T1083" t="s">
        <v>131</v>
      </c>
      <c r="U1083" t="s">
        <v>237</v>
      </c>
      <c r="V1083" t="s">
        <v>645</v>
      </c>
      <c r="Z1083" t="s">
        <v>49</v>
      </c>
      <c r="AA1083" t="s">
        <v>49</v>
      </c>
      <c r="AB1083" t="s">
        <v>50</v>
      </c>
      <c r="AC1083" t="s">
        <v>117</v>
      </c>
      <c r="AD1083" t="s">
        <v>52</v>
      </c>
      <c r="AE1083" t="s">
        <v>53</v>
      </c>
      <c r="AF1083" t="s">
        <v>54</v>
      </c>
      <c r="AG1083" t="s">
        <v>52</v>
      </c>
      <c r="AH1083" t="s">
        <v>65</v>
      </c>
      <c r="AK1083">
        <v>5</v>
      </c>
      <c r="AL1083">
        <v>5</v>
      </c>
      <c r="AM1083" t="s">
        <v>342</v>
      </c>
      <c r="AN1083">
        <v>510</v>
      </c>
      <c r="AO1083">
        <v>15</v>
      </c>
      <c r="AP1083" t="s">
        <v>56</v>
      </c>
      <c r="AQ1083" t="s">
        <v>109</v>
      </c>
      <c r="AR1083">
        <v>8</v>
      </c>
      <c r="AS1083">
        <v>0.01</v>
      </c>
      <c r="AT1083" t="s">
        <v>56</v>
      </c>
      <c r="AU1083">
        <v>567</v>
      </c>
      <c r="AV1083">
        <v>3</v>
      </c>
      <c r="AW1083" t="s">
        <v>56</v>
      </c>
      <c r="AX1083">
        <v>7.9</v>
      </c>
      <c r="AY1083">
        <v>0.01</v>
      </c>
      <c r="AZ1083" t="s">
        <v>56</v>
      </c>
      <c r="BB1083">
        <f>LOG(AU1083)</f>
        <v>2.7535830588929064</v>
      </c>
      <c r="BC1083">
        <v>13.6</v>
      </c>
      <c r="BD1083">
        <v>0.4</v>
      </c>
      <c r="BE1083" t="s">
        <v>56</v>
      </c>
      <c r="BF1083">
        <v>15.8</v>
      </c>
      <c r="BG1083">
        <v>0.2</v>
      </c>
      <c r="BH1083" t="s">
        <v>56</v>
      </c>
      <c r="BI1083">
        <v>57</v>
      </c>
      <c r="BJ1083">
        <v>2</v>
      </c>
      <c r="BK1083" t="s">
        <v>56</v>
      </c>
      <c r="BL1083" t="s">
        <v>646</v>
      </c>
      <c r="BM1083" t="s">
        <v>646</v>
      </c>
      <c r="BN1083" t="s">
        <v>340</v>
      </c>
      <c r="BO1083" t="s">
        <v>82</v>
      </c>
      <c r="BP1083" t="s">
        <v>194</v>
      </c>
      <c r="BR1083" t="s">
        <v>63</v>
      </c>
      <c r="BT1083">
        <v>7.99</v>
      </c>
      <c r="BU1083">
        <v>7.99</v>
      </c>
      <c r="BV1083">
        <v>1.08</v>
      </c>
      <c r="BW1083">
        <f>BV1083*SQRT(AK1083)</f>
        <v>2.414953415699773</v>
      </c>
      <c r="BX1083">
        <v>24.51</v>
      </c>
      <c r="BY1083">
        <v>24.51</v>
      </c>
      <c r="BZ1083">
        <v>4.32</v>
      </c>
      <c r="CA1083">
        <f>BZ1083*SQRT(AL1083)</f>
        <v>9.6598136627990918</v>
      </c>
      <c r="CB1083">
        <v>120</v>
      </c>
      <c r="CC1083">
        <v>12</v>
      </c>
      <c r="CD1083">
        <v>-1.121</v>
      </c>
      <c r="CE1083">
        <v>4.9299999999999997E-2</v>
      </c>
    </row>
    <row r="1084" spans="1:84" hidden="1" x14ac:dyDescent="0.2">
      <c r="D1084">
        <v>71</v>
      </c>
      <c r="G1084" t="s">
        <v>43</v>
      </c>
      <c r="H1084" t="s">
        <v>643</v>
      </c>
      <c r="J1084">
        <v>2012</v>
      </c>
      <c r="M1084" t="s">
        <v>644</v>
      </c>
      <c r="T1084" t="s">
        <v>131</v>
      </c>
      <c r="U1084" t="s">
        <v>237</v>
      </c>
      <c r="V1084" t="s">
        <v>645</v>
      </c>
      <c r="Z1084" t="s">
        <v>49</v>
      </c>
      <c r="AA1084" t="s">
        <v>49</v>
      </c>
      <c r="AB1084" t="s">
        <v>50</v>
      </c>
      <c r="AC1084" t="s">
        <v>117</v>
      </c>
      <c r="AD1084" t="s">
        <v>52</v>
      </c>
      <c r="AE1084" t="s">
        <v>53</v>
      </c>
      <c r="AF1084" t="s">
        <v>52</v>
      </c>
      <c r="AG1084" t="s">
        <v>52</v>
      </c>
      <c r="AH1084" t="s">
        <v>64</v>
      </c>
      <c r="AK1084">
        <v>5</v>
      </c>
      <c r="AL1084">
        <v>5</v>
      </c>
      <c r="AM1084" t="s">
        <v>342</v>
      </c>
      <c r="AN1084">
        <v>510</v>
      </c>
      <c r="AO1084">
        <v>15</v>
      </c>
      <c r="AP1084" t="s">
        <v>56</v>
      </c>
      <c r="AQ1084" t="s">
        <v>109</v>
      </c>
      <c r="AR1084">
        <v>8</v>
      </c>
      <c r="AS1084">
        <v>0.01</v>
      </c>
      <c r="AT1084" t="s">
        <v>56</v>
      </c>
      <c r="AU1084">
        <v>1725</v>
      </c>
      <c r="AV1084">
        <v>34</v>
      </c>
      <c r="AW1084" t="s">
        <v>56</v>
      </c>
      <c r="AX1084">
        <v>7.5</v>
      </c>
      <c r="AY1084">
        <v>0.02</v>
      </c>
      <c r="AZ1084" t="s">
        <v>56</v>
      </c>
      <c r="BB1084">
        <f>LOG(AU1084)</f>
        <v>3.2367890994092927</v>
      </c>
      <c r="BC1084">
        <v>13.6</v>
      </c>
      <c r="BD1084">
        <v>0.4</v>
      </c>
      <c r="BE1084" t="s">
        <v>56</v>
      </c>
      <c r="BF1084">
        <v>17.899999999999999</v>
      </c>
      <c r="BG1084">
        <v>0.3</v>
      </c>
      <c r="BH1084" t="s">
        <v>56</v>
      </c>
      <c r="BI1084">
        <v>1215</v>
      </c>
      <c r="BJ1084">
        <v>4</v>
      </c>
      <c r="BK1084" t="s">
        <v>56</v>
      </c>
      <c r="BL1084" t="s">
        <v>646</v>
      </c>
      <c r="BM1084" t="s">
        <v>646</v>
      </c>
      <c r="BN1084" t="s">
        <v>340</v>
      </c>
      <c r="BO1084" t="s">
        <v>82</v>
      </c>
      <c r="BP1084" t="s">
        <v>194</v>
      </c>
      <c r="BR1084" t="s">
        <v>63</v>
      </c>
      <c r="BT1084">
        <v>7.99</v>
      </c>
      <c r="BU1084">
        <v>7.99</v>
      </c>
      <c r="BV1084">
        <v>1.08</v>
      </c>
      <c r="BW1084">
        <f>BV1084*SQRT(AK1084)</f>
        <v>2.414953415699773</v>
      </c>
      <c r="BX1084">
        <v>22.8</v>
      </c>
      <c r="BY1084">
        <v>22.8</v>
      </c>
      <c r="BZ1084">
        <v>4.59</v>
      </c>
      <c r="CA1084">
        <f>BZ1084*SQRT(AL1084)</f>
        <v>10.263552016724034</v>
      </c>
      <c r="CB1084">
        <v>120</v>
      </c>
      <c r="CC1084">
        <v>12</v>
      </c>
      <c r="CD1084">
        <v>-1.0489999999999999</v>
      </c>
      <c r="CE1084">
        <v>5.8799999999999998E-2</v>
      </c>
    </row>
    <row r="1085" spans="1:84" hidden="1" x14ac:dyDescent="0.2">
      <c r="D1085">
        <v>71</v>
      </c>
      <c r="G1085" t="s">
        <v>43</v>
      </c>
      <c r="H1085" t="s">
        <v>643</v>
      </c>
      <c r="J1085">
        <v>2012</v>
      </c>
      <c r="M1085" t="s">
        <v>644</v>
      </c>
      <c r="T1085" t="s">
        <v>131</v>
      </c>
      <c r="U1085" t="s">
        <v>237</v>
      </c>
      <c r="V1085" t="s">
        <v>645</v>
      </c>
      <c r="Z1085" t="s">
        <v>49</v>
      </c>
      <c r="AA1085" t="s">
        <v>49</v>
      </c>
      <c r="AB1085" t="s">
        <v>50</v>
      </c>
      <c r="AC1085" t="s">
        <v>117</v>
      </c>
      <c r="AD1085" t="s">
        <v>52</v>
      </c>
      <c r="AE1085" t="s">
        <v>53</v>
      </c>
      <c r="AF1085" t="s">
        <v>52</v>
      </c>
      <c r="AG1085" t="s">
        <v>52</v>
      </c>
      <c r="AH1085" t="s">
        <v>64</v>
      </c>
      <c r="AK1085">
        <v>5</v>
      </c>
      <c r="AL1085">
        <v>5</v>
      </c>
      <c r="AM1085" t="s">
        <v>342</v>
      </c>
      <c r="AN1085">
        <v>510</v>
      </c>
      <c r="AO1085">
        <v>15</v>
      </c>
      <c r="AP1085" t="s">
        <v>56</v>
      </c>
      <c r="AQ1085" t="s">
        <v>109</v>
      </c>
      <c r="AR1085">
        <v>8</v>
      </c>
      <c r="AS1085">
        <v>0.01</v>
      </c>
      <c r="AT1085" t="s">
        <v>56</v>
      </c>
      <c r="AU1085">
        <v>1437</v>
      </c>
      <c r="AV1085">
        <v>15</v>
      </c>
      <c r="AW1085" t="s">
        <v>56</v>
      </c>
      <c r="AX1085">
        <v>7.5</v>
      </c>
      <c r="AY1085">
        <v>0.03</v>
      </c>
      <c r="AZ1085" t="s">
        <v>56</v>
      </c>
      <c r="BB1085">
        <f>LOG(AU1085)</f>
        <v>3.1574567681342258</v>
      </c>
      <c r="BC1085">
        <v>13.6</v>
      </c>
      <c r="BD1085">
        <v>0.4</v>
      </c>
      <c r="BE1085" t="s">
        <v>56</v>
      </c>
      <c r="BF1085">
        <v>15.7</v>
      </c>
      <c r="BG1085">
        <v>0.2</v>
      </c>
      <c r="BH1085" t="s">
        <v>56</v>
      </c>
      <c r="BI1085">
        <v>927</v>
      </c>
      <c r="BJ1085">
        <v>2</v>
      </c>
      <c r="BK1085" t="s">
        <v>56</v>
      </c>
      <c r="BL1085" t="s">
        <v>646</v>
      </c>
      <c r="BM1085" t="s">
        <v>646</v>
      </c>
      <c r="BN1085" t="s">
        <v>340</v>
      </c>
      <c r="BO1085" t="s">
        <v>82</v>
      </c>
      <c r="BP1085" t="s">
        <v>194</v>
      </c>
      <c r="BR1085" t="s">
        <v>63</v>
      </c>
      <c r="BT1085">
        <v>7.99</v>
      </c>
      <c r="BU1085">
        <v>7.99</v>
      </c>
      <c r="BV1085">
        <v>1.08</v>
      </c>
      <c r="BW1085">
        <f>BV1085*SQRT(AK1085)</f>
        <v>2.414953415699773</v>
      </c>
      <c r="BX1085">
        <v>19.260000000000002</v>
      </c>
      <c r="BY1085">
        <v>19.260000000000002</v>
      </c>
      <c r="BZ1085">
        <v>2.62</v>
      </c>
      <c r="CA1085">
        <f>BZ1085*SQRT(AL1085)</f>
        <v>5.8584981010494497</v>
      </c>
      <c r="CB1085">
        <v>120</v>
      </c>
      <c r="CC1085">
        <v>12</v>
      </c>
      <c r="CD1085">
        <v>-0.88</v>
      </c>
      <c r="CE1085">
        <v>3.6799999999999999E-2</v>
      </c>
    </row>
    <row r="1086" spans="1:84" hidden="1" x14ac:dyDescent="0.2">
      <c r="D1086">
        <v>71</v>
      </c>
      <c r="G1086" t="s">
        <v>43</v>
      </c>
      <c r="H1086" t="s">
        <v>643</v>
      </c>
      <c r="J1086">
        <v>2012</v>
      </c>
      <c r="M1086" t="s">
        <v>644</v>
      </c>
      <c r="T1086" t="s">
        <v>131</v>
      </c>
      <c r="U1086" t="s">
        <v>237</v>
      </c>
      <c r="V1086" t="s">
        <v>645</v>
      </c>
      <c r="Z1086" t="s">
        <v>49</v>
      </c>
      <c r="AA1086" t="s">
        <v>49</v>
      </c>
      <c r="AB1086" t="s">
        <v>50</v>
      </c>
      <c r="AC1086" t="s">
        <v>117</v>
      </c>
      <c r="AD1086" t="s">
        <v>52</v>
      </c>
      <c r="AE1086" t="s">
        <v>53</v>
      </c>
      <c r="AF1086" t="s">
        <v>52</v>
      </c>
      <c r="AG1086" t="s">
        <v>54</v>
      </c>
      <c r="AH1086" t="s">
        <v>55</v>
      </c>
      <c r="AK1086">
        <v>12</v>
      </c>
      <c r="AL1086">
        <v>12</v>
      </c>
      <c r="AN1086">
        <v>510</v>
      </c>
      <c r="AO1086">
        <v>15</v>
      </c>
      <c r="AP1086" t="s">
        <v>56</v>
      </c>
      <c r="AQ1086" t="s">
        <v>109</v>
      </c>
      <c r="AR1086">
        <v>8</v>
      </c>
      <c r="AS1086">
        <v>0.01</v>
      </c>
      <c r="AT1086" t="s">
        <v>56</v>
      </c>
      <c r="AU1086">
        <v>1358</v>
      </c>
      <c r="AV1086">
        <v>119</v>
      </c>
      <c r="AW1086" t="s">
        <v>56</v>
      </c>
      <c r="AX1086">
        <v>7.6</v>
      </c>
      <c r="AY1086">
        <v>0.02</v>
      </c>
      <c r="AZ1086" t="s">
        <v>56</v>
      </c>
      <c r="BB1086">
        <f>LOG(AU1086)</f>
        <v>3.1328997699444829</v>
      </c>
      <c r="BC1086">
        <v>13.6</v>
      </c>
      <c r="BD1086">
        <v>0.4</v>
      </c>
      <c r="BE1086" t="s">
        <v>56</v>
      </c>
      <c r="BF1086">
        <v>13.6</v>
      </c>
      <c r="BG1086">
        <v>0.4</v>
      </c>
      <c r="BH1086" t="s">
        <v>56</v>
      </c>
      <c r="BI1086">
        <v>848</v>
      </c>
      <c r="BJ1086">
        <v>0</v>
      </c>
      <c r="BK1086" t="s">
        <v>56</v>
      </c>
      <c r="BL1086" t="s">
        <v>647</v>
      </c>
      <c r="BM1086" t="s">
        <v>647</v>
      </c>
      <c r="BN1086" t="s">
        <v>60</v>
      </c>
      <c r="BO1086" t="s">
        <v>56</v>
      </c>
      <c r="BP1086" t="s">
        <v>194</v>
      </c>
      <c r="BR1086" t="s">
        <v>63</v>
      </c>
      <c r="BT1086">
        <v>17.260000000000002</v>
      </c>
      <c r="BU1086">
        <v>17.259776800000001</v>
      </c>
      <c r="BV1086">
        <v>1.56</v>
      </c>
      <c r="BW1086">
        <f>BV1086*SQRT(AK1086)</f>
        <v>5.4039985196148974</v>
      </c>
      <c r="BX1086">
        <v>7.86</v>
      </c>
      <c r="BY1086">
        <v>7.8598034999999999</v>
      </c>
      <c r="BZ1086">
        <v>1</v>
      </c>
      <c r="CA1086">
        <f>BZ1086*SQRT(AL1086)</f>
        <v>3.4641016151377544</v>
      </c>
      <c r="CB1086">
        <v>120</v>
      </c>
      <c r="CC1086">
        <v>12</v>
      </c>
      <c r="CD1086">
        <v>-0.78700000000000003</v>
      </c>
      <c r="CE1086">
        <v>2.4400000000000002E-2</v>
      </c>
    </row>
    <row r="1087" spans="1:84" hidden="1" x14ac:dyDescent="0.2">
      <c r="D1087">
        <v>71</v>
      </c>
      <c r="G1087" t="s">
        <v>43</v>
      </c>
      <c r="H1087" t="s">
        <v>643</v>
      </c>
      <c r="J1087">
        <v>2012</v>
      </c>
      <c r="M1087" t="s">
        <v>644</v>
      </c>
      <c r="T1087" t="s">
        <v>131</v>
      </c>
      <c r="U1087" t="s">
        <v>237</v>
      </c>
      <c r="V1087" t="s">
        <v>645</v>
      </c>
      <c r="Z1087" t="s">
        <v>49</v>
      </c>
      <c r="AA1087" t="s">
        <v>49</v>
      </c>
      <c r="AB1087" t="s">
        <v>50</v>
      </c>
      <c r="AC1087" t="s">
        <v>117</v>
      </c>
      <c r="AD1087" t="s">
        <v>52</v>
      </c>
      <c r="AE1087" t="s">
        <v>53</v>
      </c>
      <c r="AF1087" t="s">
        <v>52</v>
      </c>
      <c r="AG1087" t="s">
        <v>52</v>
      </c>
      <c r="AH1087" t="s">
        <v>64</v>
      </c>
      <c r="AK1087">
        <v>12</v>
      </c>
      <c r="AL1087">
        <v>11</v>
      </c>
      <c r="AN1087">
        <v>510</v>
      </c>
      <c r="AO1087">
        <v>15</v>
      </c>
      <c r="AP1087" t="s">
        <v>56</v>
      </c>
      <c r="AQ1087" t="s">
        <v>109</v>
      </c>
      <c r="AR1087">
        <v>8</v>
      </c>
      <c r="AS1087">
        <v>0.01</v>
      </c>
      <c r="AT1087" t="s">
        <v>56</v>
      </c>
      <c r="AU1087">
        <v>1725</v>
      </c>
      <c r="AV1087">
        <v>34</v>
      </c>
      <c r="AW1087" t="s">
        <v>56</v>
      </c>
      <c r="AX1087">
        <v>7.5</v>
      </c>
      <c r="AY1087">
        <v>0.02</v>
      </c>
      <c r="AZ1087" t="s">
        <v>56</v>
      </c>
      <c r="BB1087">
        <f>LOG(AU1087)</f>
        <v>3.2367890994092927</v>
      </c>
      <c r="BC1087">
        <v>13.6</v>
      </c>
      <c r="BD1087">
        <v>0.4</v>
      </c>
      <c r="BE1087" t="s">
        <v>56</v>
      </c>
      <c r="BF1087">
        <v>17.899999999999999</v>
      </c>
      <c r="BG1087">
        <v>0.3</v>
      </c>
      <c r="BH1087" t="s">
        <v>56</v>
      </c>
      <c r="BI1087">
        <v>1215</v>
      </c>
      <c r="BJ1087">
        <v>4</v>
      </c>
      <c r="BK1087" t="s">
        <v>56</v>
      </c>
      <c r="BL1087" t="s">
        <v>647</v>
      </c>
      <c r="BM1087" t="s">
        <v>647</v>
      </c>
      <c r="BN1087" t="s">
        <v>60</v>
      </c>
      <c r="BO1087" t="s">
        <v>56</v>
      </c>
      <c r="BP1087" t="s">
        <v>194</v>
      </c>
      <c r="BR1087" t="s">
        <v>63</v>
      </c>
      <c r="BT1087">
        <v>17.260000000000002</v>
      </c>
      <c r="BU1087">
        <v>17.259776800000001</v>
      </c>
      <c r="BV1087">
        <v>1.56</v>
      </c>
      <c r="BW1087">
        <f>BV1087*SQRT(AK1087)</f>
        <v>5.4039985196148974</v>
      </c>
      <c r="BX1087">
        <v>8.2100000000000009</v>
      </c>
      <c r="BY1087">
        <v>8.2062532000000008</v>
      </c>
      <c r="BZ1087">
        <v>0.88</v>
      </c>
      <c r="CA1087">
        <f>BZ1087*SQRT(AL1087)</f>
        <v>2.9186298155127517</v>
      </c>
      <c r="CB1087">
        <v>120</v>
      </c>
      <c r="CC1087">
        <v>12</v>
      </c>
      <c r="CD1087">
        <v>-0.74299999999999999</v>
      </c>
      <c r="CE1087">
        <v>1.9699999999999999E-2</v>
      </c>
    </row>
    <row r="1088" spans="1:84" hidden="1" x14ac:dyDescent="0.2">
      <c r="D1088">
        <v>71</v>
      </c>
      <c r="G1088" t="s">
        <v>43</v>
      </c>
      <c r="H1088" t="s">
        <v>643</v>
      </c>
      <c r="J1088">
        <v>2012</v>
      </c>
      <c r="M1088" t="s">
        <v>644</v>
      </c>
      <c r="T1088" t="s">
        <v>131</v>
      </c>
      <c r="U1088" t="s">
        <v>237</v>
      </c>
      <c r="V1088" t="s">
        <v>645</v>
      </c>
      <c r="Z1088" t="s">
        <v>49</v>
      </c>
      <c r="AA1088" t="s">
        <v>49</v>
      </c>
      <c r="AB1088" t="s">
        <v>50</v>
      </c>
      <c r="AC1088" t="s">
        <v>117</v>
      </c>
      <c r="AD1088" t="s">
        <v>52</v>
      </c>
      <c r="AE1088" t="s">
        <v>53</v>
      </c>
      <c r="AF1088" t="s">
        <v>54</v>
      </c>
      <c r="AG1088" t="s">
        <v>52</v>
      </c>
      <c r="AH1088" t="s">
        <v>65</v>
      </c>
      <c r="AK1088">
        <v>5</v>
      </c>
      <c r="AL1088">
        <v>5</v>
      </c>
      <c r="AM1088" t="s">
        <v>342</v>
      </c>
      <c r="AN1088">
        <v>510</v>
      </c>
      <c r="AO1088">
        <v>15</v>
      </c>
      <c r="AP1088" t="s">
        <v>56</v>
      </c>
      <c r="AQ1088" t="s">
        <v>109</v>
      </c>
      <c r="AR1088">
        <v>8</v>
      </c>
      <c r="AS1088">
        <v>0.01</v>
      </c>
      <c r="AT1088" t="s">
        <v>56</v>
      </c>
      <c r="AU1088">
        <v>622</v>
      </c>
      <c r="AV1088">
        <v>0</v>
      </c>
      <c r="AW1088" t="s">
        <v>56</v>
      </c>
      <c r="AX1088">
        <v>7.9</v>
      </c>
      <c r="AY1088">
        <v>0.01</v>
      </c>
      <c r="AZ1088" t="s">
        <v>56</v>
      </c>
      <c r="BB1088">
        <f>LOG(AU1088)</f>
        <v>2.7937903846908188</v>
      </c>
      <c r="BC1088">
        <v>13.6</v>
      </c>
      <c r="BD1088">
        <v>0.4</v>
      </c>
      <c r="BE1088" t="s">
        <v>56</v>
      </c>
      <c r="BF1088">
        <v>17.899999999999999</v>
      </c>
      <c r="BG1088">
        <v>0.1</v>
      </c>
      <c r="BH1088" t="s">
        <v>56</v>
      </c>
      <c r="BI1088">
        <v>112</v>
      </c>
      <c r="BJ1088">
        <v>4</v>
      </c>
      <c r="BK1088" t="s">
        <v>56</v>
      </c>
      <c r="BL1088" t="s">
        <v>646</v>
      </c>
      <c r="BM1088" t="s">
        <v>646</v>
      </c>
      <c r="BN1088" t="s">
        <v>340</v>
      </c>
      <c r="BO1088" t="s">
        <v>82</v>
      </c>
      <c r="BP1088" t="s">
        <v>194</v>
      </c>
      <c r="BR1088" t="s">
        <v>63</v>
      </c>
      <c r="BT1088">
        <v>7.99</v>
      </c>
      <c r="BU1088">
        <v>7.99</v>
      </c>
      <c r="BV1088">
        <v>1.08</v>
      </c>
      <c r="BW1088">
        <f>BV1088*SQRT(AK1088)</f>
        <v>2.414953415699773</v>
      </c>
      <c r="BX1088">
        <v>16.12</v>
      </c>
      <c r="BY1088">
        <v>16.12</v>
      </c>
      <c r="BZ1088">
        <v>1.44</v>
      </c>
      <c r="CA1088">
        <f>BZ1088*SQRT(AL1088)</f>
        <v>3.2199378875996971</v>
      </c>
      <c r="CB1088">
        <v>120</v>
      </c>
      <c r="CC1088">
        <v>12</v>
      </c>
      <c r="CD1088">
        <v>-0.70199999999999996</v>
      </c>
      <c r="CE1088">
        <v>2.63E-2</v>
      </c>
    </row>
    <row r="1089" spans="1:84" hidden="1" x14ac:dyDescent="0.2">
      <c r="D1089">
        <v>71</v>
      </c>
      <c r="G1089" t="s">
        <v>43</v>
      </c>
      <c r="H1089" t="s">
        <v>643</v>
      </c>
      <c r="J1089">
        <v>2012</v>
      </c>
      <c r="M1089" t="s">
        <v>644</v>
      </c>
      <c r="T1089" t="s">
        <v>131</v>
      </c>
      <c r="U1089" t="s">
        <v>237</v>
      </c>
      <c r="V1089" t="s">
        <v>645</v>
      </c>
      <c r="Z1089" t="s">
        <v>49</v>
      </c>
      <c r="AA1089" t="s">
        <v>49</v>
      </c>
      <c r="AB1089" t="s">
        <v>50</v>
      </c>
      <c r="AC1089" t="s">
        <v>117</v>
      </c>
      <c r="AD1089" t="s">
        <v>52</v>
      </c>
      <c r="AE1089" t="s">
        <v>53</v>
      </c>
      <c r="AF1089" t="s">
        <v>52</v>
      </c>
      <c r="AG1089" t="s">
        <v>52</v>
      </c>
      <c r="AH1089" t="s">
        <v>64</v>
      </c>
      <c r="AK1089">
        <v>12</v>
      </c>
      <c r="AL1089">
        <v>11</v>
      </c>
      <c r="AN1089">
        <v>510</v>
      </c>
      <c r="AO1089">
        <v>15</v>
      </c>
      <c r="AP1089" t="s">
        <v>56</v>
      </c>
      <c r="AQ1089" t="s">
        <v>109</v>
      </c>
      <c r="AR1089">
        <v>8</v>
      </c>
      <c r="AS1089">
        <v>0.01</v>
      </c>
      <c r="AT1089" t="s">
        <v>56</v>
      </c>
      <c r="AU1089">
        <v>1437</v>
      </c>
      <c r="AV1089">
        <v>15</v>
      </c>
      <c r="AW1089" t="s">
        <v>56</v>
      </c>
      <c r="AX1089">
        <v>7.5</v>
      </c>
      <c r="AY1089">
        <v>0.03</v>
      </c>
      <c r="AZ1089" t="s">
        <v>56</v>
      </c>
      <c r="BB1089">
        <f>LOG(AU1089)</f>
        <v>3.1574567681342258</v>
      </c>
      <c r="BC1089">
        <v>13.6</v>
      </c>
      <c r="BD1089">
        <v>0.4</v>
      </c>
      <c r="BE1089" t="s">
        <v>56</v>
      </c>
      <c r="BF1089">
        <v>15.7</v>
      </c>
      <c r="BG1089">
        <v>0.2</v>
      </c>
      <c r="BH1089" t="s">
        <v>56</v>
      </c>
      <c r="BI1089">
        <v>927</v>
      </c>
      <c r="BJ1089">
        <v>2</v>
      </c>
      <c r="BK1089" t="s">
        <v>56</v>
      </c>
      <c r="BL1089" t="s">
        <v>647</v>
      </c>
      <c r="BM1089" t="s">
        <v>647</v>
      </c>
      <c r="BN1089" t="s">
        <v>60</v>
      </c>
      <c r="BO1089" t="s">
        <v>56</v>
      </c>
      <c r="BP1089" t="s">
        <v>194</v>
      </c>
      <c r="BR1089" t="s">
        <v>63</v>
      </c>
      <c r="BT1089">
        <v>17.260000000000002</v>
      </c>
      <c r="BU1089">
        <v>17.259776800000001</v>
      </c>
      <c r="BV1089">
        <v>1.56</v>
      </c>
      <c r="BW1089">
        <f>BV1089*SQRT(AK1089)</f>
        <v>5.4039985196148974</v>
      </c>
      <c r="BX1089">
        <v>9.75</v>
      </c>
      <c r="BY1089">
        <v>9.7530894999999997</v>
      </c>
      <c r="BZ1089">
        <v>1.1599999999999999</v>
      </c>
      <c r="CA1089">
        <f>BZ1089*SQRT(AL1089)</f>
        <v>3.8472847568122637</v>
      </c>
      <c r="CB1089">
        <v>120</v>
      </c>
      <c r="CC1089">
        <v>12</v>
      </c>
      <c r="CD1089">
        <v>-0.57099999999999995</v>
      </c>
      <c r="CE1089">
        <v>2.23E-2</v>
      </c>
    </row>
    <row r="1090" spans="1:84" hidden="1" x14ac:dyDescent="0.2">
      <c r="D1090">
        <v>71</v>
      </c>
      <c r="G1090" t="s">
        <v>43</v>
      </c>
      <c r="H1090" t="s">
        <v>643</v>
      </c>
      <c r="J1090">
        <v>2012</v>
      </c>
      <c r="M1090" t="s">
        <v>644</v>
      </c>
      <c r="T1090" t="s">
        <v>131</v>
      </c>
      <c r="U1090" t="s">
        <v>237</v>
      </c>
      <c r="V1090" t="s">
        <v>645</v>
      </c>
      <c r="Z1090" t="s">
        <v>49</v>
      </c>
      <c r="AA1090" t="s">
        <v>49</v>
      </c>
      <c r="AB1090" t="s">
        <v>50</v>
      </c>
      <c r="AC1090" t="s">
        <v>117</v>
      </c>
      <c r="AD1090" t="s">
        <v>52</v>
      </c>
      <c r="AE1090" t="s">
        <v>53</v>
      </c>
      <c r="AF1090" t="s">
        <v>54</v>
      </c>
      <c r="AG1090" t="s">
        <v>52</v>
      </c>
      <c r="AH1090" t="s">
        <v>65</v>
      </c>
      <c r="AK1090">
        <v>12</v>
      </c>
      <c r="AL1090">
        <v>12</v>
      </c>
      <c r="AN1090">
        <v>510</v>
      </c>
      <c r="AO1090">
        <v>15</v>
      </c>
      <c r="AP1090" t="s">
        <v>56</v>
      </c>
      <c r="AQ1090" t="s">
        <v>109</v>
      </c>
      <c r="AR1090">
        <v>8</v>
      </c>
      <c r="AS1090">
        <v>0.01</v>
      </c>
      <c r="AT1090" t="s">
        <v>56</v>
      </c>
      <c r="AU1090">
        <v>567</v>
      </c>
      <c r="AV1090">
        <v>3</v>
      </c>
      <c r="AW1090" t="s">
        <v>56</v>
      </c>
      <c r="AX1090">
        <v>7.9</v>
      </c>
      <c r="AY1090">
        <v>0.01</v>
      </c>
      <c r="AZ1090" t="s">
        <v>56</v>
      </c>
      <c r="BB1090">
        <f>LOG(AU1090)</f>
        <v>2.7535830588929064</v>
      </c>
      <c r="BC1090">
        <v>13.6</v>
      </c>
      <c r="BD1090">
        <v>0.4</v>
      </c>
      <c r="BE1090" t="s">
        <v>56</v>
      </c>
      <c r="BF1090">
        <v>15.8</v>
      </c>
      <c r="BG1090">
        <v>0.2</v>
      </c>
      <c r="BH1090" t="s">
        <v>56</v>
      </c>
      <c r="BI1090">
        <v>57</v>
      </c>
      <c r="BJ1090">
        <v>2</v>
      </c>
      <c r="BK1090" t="s">
        <v>56</v>
      </c>
      <c r="BL1090" t="s">
        <v>647</v>
      </c>
      <c r="BM1090" t="s">
        <v>647</v>
      </c>
      <c r="BN1090" t="s">
        <v>60</v>
      </c>
      <c r="BO1090" t="s">
        <v>56</v>
      </c>
      <c r="BP1090" t="s">
        <v>194</v>
      </c>
      <c r="BR1090" t="s">
        <v>63</v>
      </c>
      <c r="BT1090">
        <v>17.260000000000002</v>
      </c>
      <c r="BU1090">
        <v>17.259776800000001</v>
      </c>
      <c r="BV1090">
        <v>1.56</v>
      </c>
      <c r="BW1090">
        <f>BV1090*SQRT(AK1090)</f>
        <v>5.4039985196148974</v>
      </c>
      <c r="BX1090">
        <v>16.07</v>
      </c>
      <c r="BY1090">
        <v>16.073035699999998</v>
      </c>
      <c r="BZ1090">
        <v>2.3199999999999998</v>
      </c>
      <c r="CA1090">
        <f>BZ1090*SQRT(AL1090)</f>
        <v>8.0367157471195902</v>
      </c>
      <c r="CB1090">
        <v>120</v>
      </c>
      <c r="CC1090">
        <v>12</v>
      </c>
      <c r="CD1090">
        <v>-7.0999999999999994E-2</v>
      </c>
      <c r="CE1090">
        <v>2.9000000000000001E-2</v>
      </c>
    </row>
    <row r="1091" spans="1:84" hidden="1" x14ac:dyDescent="0.2">
      <c r="D1091">
        <v>71</v>
      </c>
      <c r="G1091" t="s">
        <v>43</v>
      </c>
      <c r="H1091" t="s">
        <v>643</v>
      </c>
      <c r="J1091">
        <v>2012</v>
      </c>
      <c r="M1091" t="s">
        <v>644</v>
      </c>
      <c r="T1091" t="s">
        <v>131</v>
      </c>
      <c r="U1091" t="s">
        <v>237</v>
      </c>
      <c r="V1091" t="s">
        <v>645</v>
      </c>
      <c r="Z1091" t="s">
        <v>49</v>
      </c>
      <c r="AA1091" t="s">
        <v>49</v>
      </c>
      <c r="AB1091" t="s">
        <v>50</v>
      </c>
      <c r="AC1091" t="s">
        <v>117</v>
      </c>
      <c r="AD1091" t="s">
        <v>52</v>
      </c>
      <c r="AE1091" t="s">
        <v>53</v>
      </c>
      <c r="AF1091" t="s">
        <v>54</v>
      </c>
      <c r="AG1091" t="s">
        <v>52</v>
      </c>
      <c r="AH1091" t="s">
        <v>65</v>
      </c>
      <c r="AK1091">
        <v>12</v>
      </c>
      <c r="AL1091">
        <v>12</v>
      </c>
      <c r="AN1091">
        <v>510</v>
      </c>
      <c r="AO1091">
        <v>15</v>
      </c>
      <c r="AP1091" t="s">
        <v>56</v>
      </c>
      <c r="AQ1091" t="s">
        <v>109</v>
      </c>
      <c r="AR1091">
        <v>8</v>
      </c>
      <c r="AS1091">
        <v>0.01</v>
      </c>
      <c r="AT1091" t="s">
        <v>56</v>
      </c>
      <c r="AU1091">
        <v>622</v>
      </c>
      <c r="AV1091">
        <v>0</v>
      </c>
      <c r="AW1091" t="s">
        <v>56</v>
      </c>
      <c r="AX1091">
        <v>7.9</v>
      </c>
      <c r="AY1091">
        <v>0.01</v>
      </c>
      <c r="AZ1091" t="s">
        <v>56</v>
      </c>
      <c r="BB1091">
        <f>LOG(AU1091)</f>
        <v>2.7937903846908188</v>
      </c>
      <c r="BC1091">
        <v>13.6</v>
      </c>
      <c r="BD1091">
        <v>0.4</v>
      </c>
      <c r="BE1091" t="s">
        <v>56</v>
      </c>
      <c r="BF1091">
        <v>17.899999999999999</v>
      </c>
      <c r="BG1091">
        <v>0.1</v>
      </c>
      <c r="BH1091" t="s">
        <v>56</v>
      </c>
      <c r="BI1091">
        <v>112</v>
      </c>
      <c r="BJ1091">
        <v>4</v>
      </c>
      <c r="BK1091" t="s">
        <v>56</v>
      </c>
      <c r="BL1091" t="s">
        <v>647</v>
      </c>
      <c r="BM1091" t="s">
        <v>647</v>
      </c>
      <c r="BN1091" t="s">
        <v>60</v>
      </c>
      <c r="BO1091" t="s">
        <v>56</v>
      </c>
      <c r="BP1091" t="s">
        <v>194</v>
      </c>
      <c r="BR1091" t="s">
        <v>63</v>
      </c>
      <c r="BT1091">
        <v>17.260000000000002</v>
      </c>
      <c r="BU1091">
        <v>17.259776800000001</v>
      </c>
      <c r="BV1091">
        <v>1.56</v>
      </c>
      <c r="BW1091">
        <f>BV1091*SQRT(AK1091)</f>
        <v>5.4039985196148974</v>
      </c>
      <c r="BX1091">
        <v>16.41</v>
      </c>
      <c r="BY1091">
        <v>16.406152299999999</v>
      </c>
      <c r="BZ1091">
        <v>1.1200000000000001</v>
      </c>
      <c r="CA1091">
        <f>BZ1091*SQRT(AL1091)</f>
        <v>3.8797938089542852</v>
      </c>
      <c r="CB1091">
        <v>120</v>
      </c>
      <c r="CC1091">
        <v>12</v>
      </c>
      <c r="CD1091">
        <v>-5.0999999999999997E-2</v>
      </c>
      <c r="CE1091">
        <v>1.2800000000000001E-2</v>
      </c>
    </row>
    <row r="1092" spans="1:84" hidden="1" x14ac:dyDescent="0.2">
      <c r="D1092">
        <v>71</v>
      </c>
      <c r="G1092" t="s">
        <v>43</v>
      </c>
      <c r="H1092" t="s">
        <v>643</v>
      </c>
      <c r="J1092">
        <v>2012</v>
      </c>
      <c r="M1092" t="s">
        <v>644</v>
      </c>
      <c r="T1092" t="s">
        <v>131</v>
      </c>
      <c r="U1092" t="s">
        <v>237</v>
      </c>
      <c r="V1092" t="s">
        <v>645</v>
      </c>
      <c r="Z1092" t="s">
        <v>49</v>
      </c>
      <c r="AA1092" t="s">
        <v>49</v>
      </c>
      <c r="AB1092" t="s">
        <v>50</v>
      </c>
      <c r="AC1092" t="s">
        <v>117</v>
      </c>
      <c r="AD1092" t="s">
        <v>52</v>
      </c>
      <c r="AE1092" t="s">
        <v>53</v>
      </c>
      <c r="AF1092" t="s">
        <v>52</v>
      </c>
      <c r="AG1092" t="s">
        <v>54</v>
      </c>
      <c r="AH1092" t="s">
        <v>55</v>
      </c>
      <c r="AK1092">
        <v>5</v>
      </c>
      <c r="AL1092">
        <v>5</v>
      </c>
      <c r="AM1092" t="s">
        <v>342</v>
      </c>
      <c r="AN1092">
        <v>510</v>
      </c>
      <c r="AO1092">
        <v>15</v>
      </c>
      <c r="AP1092" t="s">
        <v>56</v>
      </c>
      <c r="AQ1092" t="s">
        <v>109</v>
      </c>
      <c r="AR1092">
        <v>8</v>
      </c>
      <c r="AS1092">
        <v>0.01</v>
      </c>
      <c r="AT1092" t="s">
        <v>56</v>
      </c>
      <c r="AU1092">
        <v>1358</v>
      </c>
      <c r="AV1092">
        <v>119</v>
      </c>
      <c r="AW1092" t="s">
        <v>56</v>
      </c>
      <c r="AX1092">
        <v>7.6</v>
      </c>
      <c r="AY1092">
        <v>0.02</v>
      </c>
      <c r="AZ1092" t="s">
        <v>56</v>
      </c>
      <c r="BB1092">
        <f>LOG(AU1092)</f>
        <v>3.1328997699444829</v>
      </c>
      <c r="BC1092">
        <v>13.6</v>
      </c>
      <c r="BD1092">
        <v>0.4</v>
      </c>
      <c r="BE1092" t="s">
        <v>56</v>
      </c>
      <c r="BF1092">
        <v>13.6</v>
      </c>
      <c r="BG1092">
        <v>0.4</v>
      </c>
      <c r="BH1092" t="s">
        <v>56</v>
      </c>
      <c r="BI1092">
        <v>848</v>
      </c>
      <c r="BJ1092">
        <v>0</v>
      </c>
      <c r="BK1092" t="s">
        <v>56</v>
      </c>
      <c r="BL1092" t="s">
        <v>646</v>
      </c>
      <c r="BM1092" t="s">
        <v>646</v>
      </c>
      <c r="BN1092" t="s">
        <v>340</v>
      </c>
      <c r="BO1092" t="s">
        <v>82</v>
      </c>
      <c r="BP1092" t="s">
        <v>194</v>
      </c>
      <c r="BR1092" t="s">
        <v>63</v>
      </c>
      <c r="BT1092">
        <v>7.99</v>
      </c>
      <c r="BU1092">
        <v>7.99</v>
      </c>
      <c r="BV1092">
        <v>1.08</v>
      </c>
      <c r="BW1092">
        <f>BV1092*SQRT(AK1092)</f>
        <v>2.414953415699773</v>
      </c>
      <c r="BX1092">
        <v>6.94</v>
      </c>
      <c r="BY1092">
        <v>6.94</v>
      </c>
      <c r="BZ1092">
        <v>1.05</v>
      </c>
      <c r="CA1092">
        <f>BZ1092*SQRT(AL1092)</f>
        <v>2.3478713763747794</v>
      </c>
      <c r="CB1092">
        <v>120</v>
      </c>
      <c r="CC1092">
        <v>12</v>
      </c>
      <c r="CD1092">
        <v>0.14099999999999999</v>
      </c>
      <c r="CE1092">
        <v>4.1200000000000001E-2</v>
      </c>
    </row>
    <row r="1093" spans="1:84" hidden="1" x14ac:dyDescent="0.2">
      <c r="D1093">
        <v>72</v>
      </c>
      <c r="G1093" t="s">
        <v>43</v>
      </c>
      <c r="H1093" t="s">
        <v>648</v>
      </c>
      <c r="J1093">
        <v>2014</v>
      </c>
      <c r="M1093" t="s">
        <v>314</v>
      </c>
      <c r="T1093" t="s">
        <v>68</v>
      </c>
      <c r="U1093" t="s">
        <v>167</v>
      </c>
      <c r="V1093" t="s">
        <v>168</v>
      </c>
      <c r="Z1093" t="s">
        <v>49</v>
      </c>
      <c r="AA1093" t="s">
        <v>49</v>
      </c>
      <c r="AB1093" t="s">
        <v>71</v>
      </c>
      <c r="AC1093" t="s">
        <v>108</v>
      </c>
      <c r="AD1093" t="s">
        <v>54</v>
      </c>
      <c r="AE1093" t="s">
        <v>53</v>
      </c>
      <c r="AF1093" t="s">
        <v>54</v>
      </c>
      <c r="AG1093" t="s">
        <v>52</v>
      </c>
      <c r="AH1093" t="s">
        <v>65</v>
      </c>
      <c r="AK1093">
        <v>4</v>
      </c>
      <c r="AL1093">
        <v>4</v>
      </c>
      <c r="AN1093">
        <v>437</v>
      </c>
      <c r="AO1093" t="s">
        <v>56</v>
      </c>
      <c r="AP1093">
        <v>6</v>
      </c>
      <c r="AQ1093" t="s">
        <v>57</v>
      </c>
      <c r="AR1093">
        <v>8.07</v>
      </c>
      <c r="AS1093" t="s">
        <v>56</v>
      </c>
      <c r="AT1093">
        <v>0</v>
      </c>
      <c r="AU1093">
        <v>396</v>
      </c>
      <c r="AV1093" t="s">
        <v>56</v>
      </c>
      <c r="AW1093">
        <v>73</v>
      </c>
      <c r="AX1093">
        <v>8.1300000000000008</v>
      </c>
      <c r="AY1093" t="s">
        <v>56</v>
      </c>
      <c r="AZ1093">
        <v>0</v>
      </c>
      <c r="BB1093">
        <f>LOG(AU1093)</f>
        <v>2.5976951859255122</v>
      </c>
      <c r="BC1093">
        <v>23.9</v>
      </c>
      <c r="BD1093" t="s">
        <v>56</v>
      </c>
      <c r="BE1093">
        <v>0</v>
      </c>
      <c r="BF1093">
        <v>29.9</v>
      </c>
      <c r="BG1093" t="s">
        <v>56</v>
      </c>
      <c r="BH1093">
        <v>0.1</v>
      </c>
      <c r="BI1093">
        <v>-41</v>
      </c>
      <c r="BJ1093">
        <v>6</v>
      </c>
      <c r="BK1093" t="s">
        <v>56</v>
      </c>
      <c r="BL1093" t="s">
        <v>262</v>
      </c>
      <c r="BM1093" t="s">
        <v>262</v>
      </c>
      <c r="BN1093" t="s">
        <v>81</v>
      </c>
      <c r="BO1093" t="s">
        <v>649</v>
      </c>
      <c r="BP1093" t="s">
        <v>450</v>
      </c>
      <c r="BR1093" t="s">
        <v>63</v>
      </c>
      <c r="BT1093">
        <v>0.94</v>
      </c>
      <c r="BU1093">
        <v>0.94</v>
      </c>
      <c r="BV1093">
        <v>0.25</v>
      </c>
      <c r="BW1093">
        <f>BV1093*SQRT(AK1093)</f>
        <v>0.5</v>
      </c>
      <c r="BX1093">
        <v>0.24</v>
      </c>
      <c r="BY1093">
        <v>0.24</v>
      </c>
      <c r="BZ1093">
        <v>0.03</v>
      </c>
      <c r="CA1093">
        <f>BZ1093*SQRT(AL1093)</f>
        <v>0.06</v>
      </c>
      <c r="CB1093">
        <v>61</v>
      </c>
      <c r="CC1093">
        <v>4</v>
      </c>
      <c r="CD1093">
        <v>-1.365</v>
      </c>
      <c r="CE1093">
        <v>8.1600000000000006E-2</v>
      </c>
    </row>
    <row r="1094" spans="1:84" s="11" customFormat="1" hidden="1" x14ac:dyDescent="0.2">
      <c r="A1094" s="8"/>
      <c r="B1094" t="str">
        <f>ROW()-1&amp;"_AltersInvert"</f>
        <v>1093_AltersInvert</v>
      </c>
      <c r="C1094" t="str">
        <f>D1094&amp;"_"&amp;
SUBSTITUTE(TRIM(V1094)," ","_")&amp;"_"&amp;
TRIM(AC1094)&amp;"_"&amp;
"CO2"&amp;TEXT(AN1094,"0.00")&amp;"_"&amp;
"pH"&amp;TEXT(AR1094,"0.00")&amp;"_"&amp;
"T"&amp;TEXT(BC1094,"0.##")</f>
        <v>89_Arbacia_lixula_EMBRYO_CO2541.00_pH8.08_T23.</v>
      </c>
      <c r="D1094" s="8">
        <v>89</v>
      </c>
      <c r="E1094" s="8"/>
      <c r="F1094" s="8"/>
      <c r="G1094" s="8" t="s">
        <v>43</v>
      </c>
      <c r="H1094" s="8" t="s">
        <v>739</v>
      </c>
      <c r="I1094" s="8" t="s">
        <v>1130</v>
      </c>
      <c r="J1094" s="8">
        <v>2018</v>
      </c>
      <c r="K1094" s="8"/>
      <c r="L1094" s="8"/>
      <c r="M1094" s="8" t="s">
        <v>740</v>
      </c>
      <c r="N1094" s="8"/>
      <c r="O1094" s="8"/>
      <c r="P1094" t="s">
        <v>1135</v>
      </c>
      <c r="Q1094" s="8"/>
      <c r="R1094" s="8" t="s">
        <v>1127</v>
      </c>
      <c r="S1094" t="s">
        <v>1128</v>
      </c>
      <c r="T1094" s="8" t="s">
        <v>46</v>
      </c>
      <c r="U1094" s="8" t="s">
        <v>507</v>
      </c>
      <c r="V1094" s="8" t="s">
        <v>508</v>
      </c>
      <c r="W1094" s="8" t="str">
        <f>IF(ISNUMBER(MATCH(V488,{"Doryteuthis pealeii","Loligo vulgaris","Leptuca thayeri","Stylocheilus striatus","Ophryotrocha labronica"},0)),"N","Y")</f>
        <v>Y</v>
      </c>
      <c r="X1094" s="8"/>
      <c r="Y1094" s="8"/>
      <c r="Z1094" s="8" t="s">
        <v>177</v>
      </c>
      <c r="AA1094" s="8" t="s">
        <v>177</v>
      </c>
      <c r="AB1094" s="8" t="s">
        <v>71</v>
      </c>
      <c r="AC1094" s="8" t="s">
        <v>195</v>
      </c>
      <c r="AD1094" s="8" t="s">
        <v>52</v>
      </c>
      <c r="AE1094" s="8" t="s">
        <v>53</v>
      </c>
      <c r="AF1094" s="8" t="s">
        <v>52</v>
      </c>
      <c r="AG1094" s="8" t="s">
        <v>54</v>
      </c>
      <c r="AH1094" s="8" t="s">
        <v>55</v>
      </c>
      <c r="AI1094" s="8"/>
      <c r="AJ1094" s="8"/>
      <c r="AK1094" s="8">
        <v>3</v>
      </c>
      <c r="AL1094" s="8">
        <v>3</v>
      </c>
      <c r="AM1094" s="8"/>
      <c r="AN1094" s="8">
        <v>541</v>
      </c>
      <c r="AO1094" s="8" t="s">
        <v>56</v>
      </c>
      <c r="AP1094" s="8" t="s">
        <v>56</v>
      </c>
      <c r="AQ1094" s="8" t="s">
        <v>56</v>
      </c>
      <c r="AR1094" s="8">
        <v>8.08</v>
      </c>
      <c r="AS1094" s="8" t="s">
        <v>56</v>
      </c>
      <c r="AT1094" s="8">
        <v>0.01</v>
      </c>
      <c r="AU1094" s="8">
        <v>2919</v>
      </c>
      <c r="AV1094" t="s">
        <v>56</v>
      </c>
      <c r="AW1094" t="s">
        <v>56</v>
      </c>
      <c r="AX1094">
        <v>7.41</v>
      </c>
      <c r="AY1094"/>
      <c r="AZ1094">
        <v>0.03</v>
      </c>
      <c r="BA1094" s="8"/>
      <c r="BB1094" s="8">
        <f>LOG(AU1094)</f>
        <v>3.4652340949880145</v>
      </c>
      <c r="BC1094" s="8">
        <v>23</v>
      </c>
      <c r="BD1094" s="8" t="s">
        <v>56</v>
      </c>
      <c r="BE1094" s="8">
        <v>0.1</v>
      </c>
      <c r="BF1094" s="8">
        <v>23</v>
      </c>
      <c r="BG1094" s="8" t="s">
        <v>56</v>
      </c>
      <c r="BH1094" s="8">
        <v>0.1</v>
      </c>
      <c r="BI1094" s="8">
        <v>2378</v>
      </c>
      <c r="BJ1094" s="8">
        <v>0</v>
      </c>
      <c r="BK1094" s="8" t="s">
        <v>56</v>
      </c>
      <c r="BL1094" s="8" t="s">
        <v>473</v>
      </c>
      <c r="BM1094" s="8" t="s">
        <v>473</v>
      </c>
      <c r="BN1094" s="8" t="s">
        <v>81</v>
      </c>
      <c r="BO1094" s="8" t="s">
        <v>82</v>
      </c>
      <c r="BP1094" s="8" t="s">
        <v>190</v>
      </c>
      <c r="BQ1094" s="8" t="s">
        <v>190</v>
      </c>
      <c r="BR1094" s="8" t="s">
        <v>84</v>
      </c>
      <c r="BS1094" s="8"/>
      <c r="BT1094" s="8">
        <v>97.65</v>
      </c>
      <c r="BU1094" s="8">
        <v>97.652582199999998</v>
      </c>
      <c r="BV1094" s="8">
        <v>2.17</v>
      </c>
      <c r="BW1094" s="8">
        <f>BV1094*SQRT(AK1094)</f>
        <v>3.7585502524244632</v>
      </c>
      <c r="BX1094" s="8">
        <v>88.26</v>
      </c>
      <c r="BY1094" s="8">
        <v>88.2629108</v>
      </c>
      <c r="BZ1094" s="8">
        <v>1.63</v>
      </c>
      <c r="CA1094" s="8">
        <f>BZ1094*SQRT(AL1094)</f>
        <v>2.8232428163372698</v>
      </c>
      <c r="CB1094" s="8">
        <v>0</v>
      </c>
      <c r="CC1094" s="8">
        <v>12</v>
      </c>
      <c r="CD1094" s="8">
        <v>-0.10100000000000001</v>
      </c>
      <c r="CE1094" s="8">
        <v>8.0000000000000004E-4</v>
      </c>
      <c r="CF1094" s="8" t="s">
        <v>1134</v>
      </c>
    </row>
    <row r="1095" spans="1:84" s="11" customFormat="1" hidden="1" x14ac:dyDescent="0.2">
      <c r="A1095" s="8"/>
      <c r="B1095" t="str">
        <f>ROW()-1&amp;"_AltersInvert"</f>
        <v>1094_AltersInvert</v>
      </c>
      <c r="C1095" t="str">
        <f>D1095&amp;"_"&amp;
SUBSTITUTE(TRIM(V1095)," ","_")&amp;"_"&amp;
TRIM(AC1095)&amp;"_"&amp;
"CO2"&amp;TEXT(AN1095,"0.00")&amp;"_"&amp;
"pH"&amp;TEXT(AR1095,"0.00")&amp;"_"&amp;
"T"&amp;TEXT(BC1095,"0.##")</f>
        <v>89_Arbacia_lixula_EMBRYO_CO2541.00_pH8.08_T23.</v>
      </c>
      <c r="D1095" s="8">
        <v>89</v>
      </c>
      <c r="E1095" s="8"/>
      <c r="F1095" s="8"/>
      <c r="G1095" s="8" t="s">
        <v>43</v>
      </c>
      <c r="H1095" s="8" t="s">
        <v>739</v>
      </c>
      <c r="I1095" s="8" t="s">
        <v>1130</v>
      </c>
      <c r="J1095" s="8">
        <v>2018</v>
      </c>
      <c r="K1095" s="8"/>
      <c r="L1095" s="8"/>
      <c r="M1095" s="8" t="s">
        <v>740</v>
      </c>
      <c r="N1095" s="8"/>
      <c r="O1095" s="8"/>
      <c r="P1095" t="s">
        <v>1135</v>
      </c>
      <c r="Q1095" s="8"/>
      <c r="R1095" s="8" t="s">
        <v>1127</v>
      </c>
      <c r="S1095" t="s">
        <v>1128</v>
      </c>
      <c r="T1095" s="8" t="s">
        <v>46</v>
      </c>
      <c r="U1095" s="8" t="s">
        <v>507</v>
      </c>
      <c r="V1095" s="8" t="s">
        <v>508</v>
      </c>
      <c r="W1095" s="8" t="str">
        <f>IF(ISNUMBER(MATCH(V489,{"Doryteuthis pealeii","Loligo vulgaris","Leptuca thayeri","Stylocheilus striatus","Ophryotrocha labronica"},0)),"N","Y")</f>
        <v>Y</v>
      </c>
      <c r="X1095" s="8"/>
      <c r="Y1095" s="8"/>
      <c r="Z1095" s="8" t="s">
        <v>177</v>
      </c>
      <c r="AA1095" s="8" t="s">
        <v>177</v>
      </c>
      <c r="AB1095" s="8" t="s">
        <v>71</v>
      </c>
      <c r="AC1095" s="8" t="s">
        <v>195</v>
      </c>
      <c r="AD1095" s="8" t="s">
        <v>52</v>
      </c>
      <c r="AE1095" s="8" t="s">
        <v>53</v>
      </c>
      <c r="AF1095" s="8" t="s">
        <v>52</v>
      </c>
      <c r="AG1095" s="8" t="s">
        <v>54</v>
      </c>
      <c r="AH1095" s="8" t="s">
        <v>55</v>
      </c>
      <c r="AI1095" s="8"/>
      <c r="AJ1095" s="8"/>
      <c r="AK1095" s="8">
        <v>3</v>
      </c>
      <c r="AL1095" s="8">
        <v>3</v>
      </c>
      <c r="AM1095" s="8"/>
      <c r="AN1095" s="8">
        <v>541</v>
      </c>
      <c r="AO1095" s="8" t="s">
        <v>56</v>
      </c>
      <c r="AP1095" s="8" t="s">
        <v>56</v>
      </c>
      <c r="AQ1095" s="8" t="s">
        <v>56</v>
      </c>
      <c r="AR1095" s="8">
        <v>8.08</v>
      </c>
      <c r="AS1095" s="8" t="s">
        <v>56</v>
      </c>
      <c r="AT1095" s="8">
        <v>0.01</v>
      </c>
      <c r="AU1095" s="8">
        <v>1484</v>
      </c>
      <c r="AV1095" t="s">
        <v>56</v>
      </c>
      <c r="AW1095" t="s">
        <v>56</v>
      </c>
      <c r="AX1095">
        <v>7.69</v>
      </c>
      <c r="AY1095"/>
      <c r="AZ1095">
        <v>0.02</v>
      </c>
      <c r="BA1095" s="8"/>
      <c r="BB1095" s="8">
        <f>LOG(AU1095)</f>
        <v>3.1714339009430081</v>
      </c>
      <c r="BC1095" s="8">
        <v>23</v>
      </c>
      <c r="BD1095" s="8" t="s">
        <v>56</v>
      </c>
      <c r="BE1095" s="8">
        <v>0.1</v>
      </c>
      <c r="BF1095" s="8">
        <v>22.9</v>
      </c>
      <c r="BG1095" s="8" t="s">
        <v>56</v>
      </c>
      <c r="BH1095" s="8">
        <v>0.1</v>
      </c>
      <c r="BI1095" s="8">
        <v>943</v>
      </c>
      <c r="BJ1095" s="8">
        <v>0</v>
      </c>
      <c r="BK1095" s="8" t="s">
        <v>56</v>
      </c>
      <c r="BL1095" s="8" t="s">
        <v>473</v>
      </c>
      <c r="BM1095" s="8" t="s">
        <v>473</v>
      </c>
      <c r="BN1095" s="8" t="s">
        <v>81</v>
      </c>
      <c r="BO1095" s="8" t="s">
        <v>82</v>
      </c>
      <c r="BP1095" s="8" t="s">
        <v>190</v>
      </c>
      <c r="BQ1095" s="8" t="s">
        <v>190</v>
      </c>
      <c r="BR1095" s="8" t="s">
        <v>84</v>
      </c>
      <c r="BS1095" s="8"/>
      <c r="BT1095" s="8">
        <v>97.65</v>
      </c>
      <c r="BU1095" s="8">
        <v>97.652582199999998</v>
      </c>
      <c r="BV1095" s="8">
        <v>2.17</v>
      </c>
      <c r="BW1095" s="8">
        <f>BV1095*SQRT(AK1095)</f>
        <v>3.7585502524244632</v>
      </c>
      <c r="BX1095" s="8">
        <v>91.08</v>
      </c>
      <c r="BY1095" s="8">
        <v>91.079812200000006</v>
      </c>
      <c r="BZ1095" s="8">
        <v>1.63</v>
      </c>
      <c r="CA1095" s="8">
        <f>BZ1095*SQRT(AL1095)</f>
        <v>2.8232428163372698</v>
      </c>
      <c r="CB1095" s="8">
        <v>0</v>
      </c>
      <c r="CC1095" s="8">
        <v>12</v>
      </c>
      <c r="CD1095" s="8">
        <v>-7.0000000000000007E-2</v>
      </c>
      <c r="CE1095" s="8">
        <v>8.0000000000000004E-4</v>
      </c>
      <c r="CF1095" s="8" t="s">
        <v>1134</v>
      </c>
    </row>
    <row r="1096" spans="1:84" hidden="1" x14ac:dyDescent="0.2">
      <c r="A1096" s="8"/>
      <c r="B1096" t="str">
        <f>ROW()-1&amp;"_AltersInvert"</f>
        <v>1095_AltersInvert</v>
      </c>
      <c r="C1096" t="str">
        <f>D1096&amp;"_"&amp;
SUBSTITUTE(TRIM(V1096)," ","_")&amp;"_"&amp;
TRIM(AC1096)&amp;"_"&amp;
"CO2"&amp;TEXT(AN1096,"0.00")&amp;"_"&amp;
"pH"&amp;TEXT(AR1096,"0.00")&amp;"_"&amp;
"T"&amp;TEXT(BC1096,"0.##")</f>
        <v>89_Arbacia_lixula_EMBRYO_CO2541.00_pH8.08_T23.</v>
      </c>
      <c r="D1096" s="8">
        <v>89</v>
      </c>
      <c r="E1096" s="8"/>
      <c r="F1096" s="8"/>
      <c r="G1096" s="8" t="s">
        <v>43</v>
      </c>
      <c r="H1096" s="8" t="s">
        <v>739</v>
      </c>
      <c r="I1096" s="8" t="s">
        <v>1130</v>
      </c>
      <c r="J1096" s="8">
        <v>2018</v>
      </c>
      <c r="K1096" s="8"/>
      <c r="L1096" s="8"/>
      <c r="M1096" s="8" t="s">
        <v>740</v>
      </c>
      <c r="N1096" s="8"/>
      <c r="O1096" s="8"/>
      <c r="P1096" t="s">
        <v>1135</v>
      </c>
      <c r="Q1096" s="8"/>
      <c r="R1096" s="8" t="s">
        <v>1127</v>
      </c>
      <c r="S1096" t="s">
        <v>1128</v>
      </c>
      <c r="T1096" s="8" t="s">
        <v>46</v>
      </c>
      <c r="U1096" s="8" t="s">
        <v>507</v>
      </c>
      <c r="V1096" s="8" t="s">
        <v>508</v>
      </c>
      <c r="W1096" s="8" t="str">
        <f>IF(ISNUMBER(MATCH(V490,{"Doryteuthis pealeii","Loligo vulgaris","Leptuca thayeri","Stylocheilus striatus","Ophryotrocha labronica"},0)),"N","Y")</f>
        <v>Y</v>
      </c>
      <c r="X1096" s="8"/>
      <c r="Y1096" s="8"/>
      <c r="Z1096" s="8" t="s">
        <v>177</v>
      </c>
      <c r="AA1096" s="8" t="s">
        <v>177</v>
      </c>
      <c r="AB1096" s="8" t="s">
        <v>71</v>
      </c>
      <c r="AC1096" s="8" t="s">
        <v>195</v>
      </c>
      <c r="AD1096" s="8" t="s">
        <v>52</v>
      </c>
      <c r="AE1096" s="8" t="s">
        <v>53</v>
      </c>
      <c r="AF1096" s="8" t="s">
        <v>54</v>
      </c>
      <c r="AG1096" s="8" t="s">
        <v>52</v>
      </c>
      <c r="AH1096" s="8" t="s">
        <v>65</v>
      </c>
      <c r="AI1096" s="8"/>
      <c r="AJ1096" s="8"/>
      <c r="AK1096" s="8">
        <v>3</v>
      </c>
      <c r="AL1096" s="8">
        <v>3</v>
      </c>
      <c r="AM1096" s="8"/>
      <c r="AN1096" s="8">
        <v>541</v>
      </c>
      <c r="AO1096" s="8" t="s">
        <v>56</v>
      </c>
      <c r="AP1096" s="8" t="s">
        <v>56</v>
      </c>
      <c r="AQ1096" s="8" t="s">
        <v>56</v>
      </c>
      <c r="AR1096" s="8">
        <v>8.08</v>
      </c>
      <c r="AS1096" s="8" t="s">
        <v>56</v>
      </c>
      <c r="AT1096" s="8">
        <v>0.01</v>
      </c>
      <c r="AU1096" s="8">
        <v>561</v>
      </c>
      <c r="AV1096" t="s">
        <v>56</v>
      </c>
      <c r="AW1096" t="s">
        <v>56</v>
      </c>
      <c r="AX1096">
        <v>8.08</v>
      </c>
      <c r="AZ1096">
        <v>0.01</v>
      </c>
      <c r="BA1096" s="8"/>
      <c r="BB1096" s="8">
        <f>LOG(AU1096)</f>
        <v>2.7489628612561616</v>
      </c>
      <c r="BC1096" s="8">
        <v>23</v>
      </c>
      <c r="BD1096" s="8" t="s">
        <v>56</v>
      </c>
      <c r="BE1096" s="8">
        <v>0.1</v>
      </c>
      <c r="BF1096" s="8">
        <v>25.1</v>
      </c>
      <c r="BG1096" s="8" t="s">
        <v>56</v>
      </c>
      <c r="BH1096" s="8">
        <v>0.1</v>
      </c>
      <c r="BI1096" s="8">
        <v>20</v>
      </c>
      <c r="BJ1096" s="8">
        <v>2.2000000000000002</v>
      </c>
      <c r="BK1096" s="8" t="s">
        <v>56</v>
      </c>
      <c r="BL1096" s="8" t="s">
        <v>473</v>
      </c>
      <c r="BM1096" s="8" t="s">
        <v>473</v>
      </c>
      <c r="BN1096" s="8" t="s">
        <v>81</v>
      </c>
      <c r="BO1096" s="8" t="s">
        <v>82</v>
      </c>
      <c r="BP1096" s="8" t="s">
        <v>190</v>
      </c>
      <c r="BQ1096" s="8" t="s">
        <v>190</v>
      </c>
      <c r="BR1096" s="8" t="s">
        <v>84</v>
      </c>
      <c r="BS1096" s="8"/>
      <c r="BT1096" s="8">
        <v>97.65</v>
      </c>
      <c r="BU1096" s="8">
        <v>97.652582199999998</v>
      </c>
      <c r="BV1096" s="8">
        <v>2.17</v>
      </c>
      <c r="BW1096" s="8">
        <f>BV1096*SQRT(AK1096)</f>
        <v>3.7585502524244632</v>
      </c>
      <c r="BX1096" s="8">
        <v>92.02</v>
      </c>
      <c r="BY1096" s="8">
        <v>92.018779300000006</v>
      </c>
      <c r="BZ1096" s="8">
        <v>1.9</v>
      </c>
      <c r="CA1096" s="8">
        <f>BZ1096*SQRT(AL1096)</f>
        <v>3.2908965343808667</v>
      </c>
      <c r="CB1096" s="8">
        <v>0</v>
      </c>
      <c r="CC1096" s="8">
        <v>12</v>
      </c>
      <c r="CD1096" s="8">
        <v>-5.8999999999999997E-2</v>
      </c>
      <c r="CE1096" s="8">
        <v>8.9999999999999998E-4</v>
      </c>
      <c r="CF1096" s="8" t="s">
        <v>1134</v>
      </c>
    </row>
    <row r="1097" spans="1:84" hidden="1" x14ac:dyDescent="0.2">
      <c r="A1097" s="8"/>
      <c r="B1097" t="str">
        <f>ROW()-1&amp;"_AltersInvert"</f>
        <v>1096_AltersInvert</v>
      </c>
      <c r="C1097" t="str">
        <f>D1097&amp;"_"&amp;
SUBSTITUTE(TRIM(V1097)," ","_")&amp;"_"&amp;
TRIM(AC1097)&amp;"_"&amp;
"CO2"&amp;TEXT(AN1097,"0.00")&amp;"_"&amp;
"pH"&amp;TEXT(AR1097,"0.00")&amp;"_"&amp;
"T"&amp;TEXT(BC1097,"0.##")</f>
        <v>89_Arbacia_lixula_EMBRYO_CO2541.00_pH8.08_T23.</v>
      </c>
      <c r="D1097" s="8">
        <v>89</v>
      </c>
      <c r="E1097" s="8"/>
      <c r="F1097" s="8"/>
      <c r="G1097" s="8" t="s">
        <v>43</v>
      </c>
      <c r="H1097" s="8" t="s">
        <v>739</v>
      </c>
      <c r="I1097" s="8" t="s">
        <v>1130</v>
      </c>
      <c r="J1097" s="8">
        <v>2018</v>
      </c>
      <c r="K1097" s="8"/>
      <c r="L1097" s="8"/>
      <c r="M1097" s="8" t="s">
        <v>740</v>
      </c>
      <c r="N1097" s="8"/>
      <c r="O1097" s="8"/>
      <c r="P1097" t="s">
        <v>1135</v>
      </c>
      <c r="Q1097" s="8"/>
      <c r="R1097" s="8" t="s">
        <v>1127</v>
      </c>
      <c r="S1097" t="s">
        <v>1128</v>
      </c>
      <c r="T1097" s="8" t="s">
        <v>46</v>
      </c>
      <c r="U1097" s="8" t="s">
        <v>507</v>
      </c>
      <c r="V1097" s="8" t="s">
        <v>508</v>
      </c>
      <c r="W1097" s="8" t="str">
        <f>IF(ISNUMBER(MATCH(V491,{"Doryteuthis pealeii","Loligo vulgaris","Leptuca thayeri","Stylocheilus striatus","Ophryotrocha labronica"},0)),"N","Y")</f>
        <v>Y</v>
      </c>
      <c r="X1097" s="8"/>
      <c r="Y1097" s="8"/>
      <c r="Z1097" s="8" t="s">
        <v>177</v>
      </c>
      <c r="AA1097" s="8" t="s">
        <v>177</v>
      </c>
      <c r="AB1097" s="8" t="s">
        <v>71</v>
      </c>
      <c r="AC1097" s="8" t="s">
        <v>195</v>
      </c>
      <c r="AD1097" s="8" t="s">
        <v>52</v>
      </c>
      <c r="AE1097" s="8" t="s">
        <v>53</v>
      </c>
      <c r="AF1097" s="8" t="s">
        <v>52</v>
      </c>
      <c r="AG1097" s="8" t="s">
        <v>52</v>
      </c>
      <c r="AH1097" s="8" t="s">
        <v>64</v>
      </c>
      <c r="AI1097" s="8"/>
      <c r="AJ1097" s="8"/>
      <c r="AK1097" s="8">
        <v>3</v>
      </c>
      <c r="AL1097" s="8">
        <v>3</v>
      </c>
      <c r="AM1097" s="8"/>
      <c r="AN1097" s="8">
        <v>541</v>
      </c>
      <c r="AO1097" s="8" t="s">
        <v>56</v>
      </c>
      <c r="AP1097" s="8" t="s">
        <v>56</v>
      </c>
      <c r="AQ1097" s="8" t="s">
        <v>56</v>
      </c>
      <c r="AR1097" s="8">
        <v>8.08</v>
      </c>
      <c r="AS1097" s="8" t="s">
        <v>56</v>
      </c>
      <c r="AT1097" s="8">
        <v>0.01</v>
      </c>
      <c r="AU1097" s="8">
        <v>2865</v>
      </c>
      <c r="AV1097" t="s">
        <v>56</v>
      </c>
      <c r="AW1097" t="s">
        <v>56</v>
      </c>
      <c r="AX1097">
        <v>7.43</v>
      </c>
      <c r="AZ1097">
        <v>0</v>
      </c>
      <c r="BA1097" s="8"/>
      <c r="BB1097" s="8">
        <f>LOG(AU1097)</f>
        <v>3.457124626303409</v>
      </c>
      <c r="BC1097" s="8">
        <v>23</v>
      </c>
      <c r="BD1097" s="8" t="s">
        <v>56</v>
      </c>
      <c r="BE1097" s="8">
        <v>0.1</v>
      </c>
      <c r="BF1097" s="8">
        <v>25.1</v>
      </c>
      <c r="BG1097" s="8" t="s">
        <v>56</v>
      </c>
      <c r="BH1097" s="8">
        <v>0.2</v>
      </c>
      <c r="BI1097" s="8">
        <v>2324</v>
      </c>
      <c r="BJ1097" s="8">
        <v>2.2000000000000002</v>
      </c>
      <c r="BK1097" s="8" t="s">
        <v>56</v>
      </c>
      <c r="BL1097" s="8" t="s">
        <v>473</v>
      </c>
      <c r="BM1097" s="8" t="s">
        <v>473</v>
      </c>
      <c r="BN1097" s="8" t="s">
        <v>81</v>
      </c>
      <c r="BO1097" s="8" t="s">
        <v>82</v>
      </c>
      <c r="BP1097" s="8" t="s">
        <v>190</v>
      </c>
      <c r="BQ1097" s="8" t="s">
        <v>190</v>
      </c>
      <c r="BR1097" s="8" t="s">
        <v>84</v>
      </c>
      <c r="BS1097" s="8"/>
      <c r="BT1097" s="8">
        <v>97.65</v>
      </c>
      <c r="BU1097" s="8">
        <v>97.652582199999998</v>
      </c>
      <c r="BV1097" s="8">
        <v>2.17</v>
      </c>
      <c r="BW1097" s="8">
        <f>BV1097*SQRT(AK1097)</f>
        <v>3.7585502524244632</v>
      </c>
      <c r="BX1097" s="8">
        <v>86.85</v>
      </c>
      <c r="BY1097" s="8">
        <v>86.854460099999997</v>
      </c>
      <c r="BZ1097" s="8">
        <v>1.9</v>
      </c>
      <c r="CA1097" s="8">
        <f>BZ1097*SQRT(AL1097)</f>
        <v>3.2908965343808667</v>
      </c>
      <c r="CB1097" s="8">
        <v>0</v>
      </c>
      <c r="CC1097" s="8">
        <v>12</v>
      </c>
      <c r="CD1097" s="8">
        <v>-0.11700000000000001</v>
      </c>
      <c r="CE1097" s="8">
        <v>1E-3</v>
      </c>
      <c r="CF1097" s="8" t="s">
        <v>1134</v>
      </c>
    </row>
    <row r="1098" spans="1:84" hidden="1" x14ac:dyDescent="0.2">
      <c r="A1098" s="8"/>
      <c r="B1098" t="str">
        <f>ROW()-1&amp;"_AltersInvert"</f>
        <v>1097_AltersInvert</v>
      </c>
      <c r="C1098" t="str">
        <f>D1098&amp;"_"&amp;
SUBSTITUTE(TRIM(V1098)," ","_")&amp;"_"&amp;
TRIM(AC1098)&amp;"_"&amp;
"CO2"&amp;TEXT(AN1098,"0.00")&amp;"_"&amp;
"pH"&amp;TEXT(AR1098,"0.00")&amp;"_"&amp;
"T"&amp;TEXT(BC1098,"0.##")</f>
        <v>89_Arbacia_lixula_EMBRYO_CO2541.00_pH8.08_T23.</v>
      </c>
      <c r="D1098" s="8">
        <v>89</v>
      </c>
      <c r="E1098" s="8"/>
      <c r="F1098" s="8"/>
      <c r="G1098" s="8" t="s">
        <v>43</v>
      </c>
      <c r="H1098" s="8" t="s">
        <v>739</v>
      </c>
      <c r="I1098" s="8" t="s">
        <v>1130</v>
      </c>
      <c r="J1098" s="8">
        <v>2018</v>
      </c>
      <c r="K1098" s="8"/>
      <c r="L1098" s="8"/>
      <c r="M1098" s="8" t="s">
        <v>740</v>
      </c>
      <c r="N1098" s="8"/>
      <c r="O1098" s="8"/>
      <c r="P1098" t="s">
        <v>1135</v>
      </c>
      <c r="Q1098" s="8"/>
      <c r="R1098" s="8" t="s">
        <v>1127</v>
      </c>
      <c r="S1098" t="s">
        <v>1128</v>
      </c>
      <c r="T1098" s="8" t="s">
        <v>46</v>
      </c>
      <c r="U1098" s="8" t="s">
        <v>507</v>
      </c>
      <c r="V1098" s="8" t="s">
        <v>508</v>
      </c>
      <c r="W1098" s="8" t="str">
        <f>IF(ISNUMBER(MATCH(V492,{"Doryteuthis pealeii","Loligo vulgaris","Leptuca thayeri","Stylocheilus striatus","Ophryotrocha labronica"},0)),"N","Y")</f>
        <v>Y</v>
      </c>
      <c r="X1098" s="8"/>
      <c r="Y1098" s="8"/>
      <c r="Z1098" s="8" t="s">
        <v>177</v>
      </c>
      <c r="AA1098" s="8" t="s">
        <v>177</v>
      </c>
      <c r="AB1098" s="8" t="s">
        <v>71</v>
      </c>
      <c r="AC1098" s="8" t="s">
        <v>195</v>
      </c>
      <c r="AD1098" s="8" t="s">
        <v>52</v>
      </c>
      <c r="AE1098" s="8" t="s">
        <v>53</v>
      </c>
      <c r="AF1098" s="8" t="s">
        <v>52</v>
      </c>
      <c r="AG1098" s="8" t="s">
        <v>52</v>
      </c>
      <c r="AH1098" s="8" t="s">
        <v>64</v>
      </c>
      <c r="AI1098" s="8"/>
      <c r="AJ1098" s="8"/>
      <c r="AK1098" s="8">
        <v>3</v>
      </c>
      <c r="AL1098" s="8">
        <v>3</v>
      </c>
      <c r="AM1098" s="8"/>
      <c r="AN1098" s="8">
        <v>541</v>
      </c>
      <c r="AO1098" s="8" t="s">
        <v>56</v>
      </c>
      <c r="AP1098" s="8" t="s">
        <v>56</v>
      </c>
      <c r="AQ1098" s="8" t="s">
        <v>56</v>
      </c>
      <c r="AR1098" s="8">
        <v>8.08</v>
      </c>
      <c r="AS1098" s="8" t="s">
        <v>56</v>
      </c>
      <c r="AT1098" s="8">
        <v>0.01</v>
      </c>
      <c r="AU1098" s="8">
        <v>1599</v>
      </c>
      <c r="AV1098" t="s">
        <v>56</v>
      </c>
      <c r="AW1098" t="s">
        <v>56</v>
      </c>
      <c r="AX1098">
        <v>7.67</v>
      </c>
      <c r="AZ1098">
        <v>0.03</v>
      </c>
      <c r="BA1098" s="8"/>
      <c r="BB1098" s="8">
        <f>LOG(AU1098)</f>
        <v>3.2038484637462346</v>
      </c>
      <c r="BC1098" s="8">
        <v>23</v>
      </c>
      <c r="BD1098" s="8" t="s">
        <v>56</v>
      </c>
      <c r="BE1098" s="8">
        <v>0.1</v>
      </c>
      <c r="BF1098" s="8">
        <v>25.2</v>
      </c>
      <c r="BG1098" s="8" t="s">
        <v>56</v>
      </c>
      <c r="BH1098" s="8">
        <v>0.1</v>
      </c>
      <c r="BI1098" s="8">
        <v>1058</v>
      </c>
      <c r="BJ1098" s="8">
        <v>2.2000000000000002</v>
      </c>
      <c r="BK1098" s="8" t="s">
        <v>56</v>
      </c>
      <c r="BL1098" s="8" t="s">
        <v>473</v>
      </c>
      <c r="BM1098" s="8" t="s">
        <v>473</v>
      </c>
      <c r="BN1098" s="8" t="s">
        <v>81</v>
      </c>
      <c r="BO1098" s="8" t="s">
        <v>82</v>
      </c>
      <c r="BP1098" s="8" t="s">
        <v>190</v>
      </c>
      <c r="BQ1098" s="8" t="s">
        <v>190</v>
      </c>
      <c r="BR1098" s="8" t="s">
        <v>84</v>
      </c>
      <c r="BS1098" s="8"/>
      <c r="BT1098" s="8">
        <v>97.65</v>
      </c>
      <c r="BU1098" s="8">
        <v>97.652582199999998</v>
      </c>
      <c r="BV1098" s="8">
        <v>2.17</v>
      </c>
      <c r="BW1098" s="8">
        <f>BV1098*SQRT(AK1098)</f>
        <v>3.7585502524244632</v>
      </c>
      <c r="BX1098" s="8">
        <v>88.26</v>
      </c>
      <c r="BY1098" s="8">
        <v>88.2629108</v>
      </c>
      <c r="BZ1098" s="8">
        <v>1.08</v>
      </c>
      <c r="CA1098" s="8">
        <f>BZ1098*SQRT(AL1098)</f>
        <v>1.8706148721743876</v>
      </c>
      <c r="CB1098" s="8">
        <v>0</v>
      </c>
      <c r="CC1098" s="8">
        <v>12</v>
      </c>
      <c r="CD1098" s="8">
        <v>-0.10100000000000001</v>
      </c>
      <c r="CE1098" s="8">
        <v>5.9999999999999995E-4</v>
      </c>
      <c r="CF1098" s="8" t="s">
        <v>1134</v>
      </c>
    </row>
    <row r="1099" spans="1:84" hidden="1" x14ac:dyDescent="0.2">
      <c r="A1099" s="8"/>
      <c r="B1099" t="str">
        <f>ROW()-1&amp;"_AltersInvert"</f>
        <v>1098_AltersInvert</v>
      </c>
      <c r="C1099" t="str">
        <f>D1099&amp;"_"&amp;
SUBSTITUTE(TRIM(V1099)," ","_")&amp;"_"&amp;
TRIM(AC1099)&amp;"_"&amp;
"CO2"&amp;TEXT(AN1099,"0.00")&amp;"_"&amp;
"pH"&amp;TEXT(AR1099,"0.00")&amp;"_"&amp;
"T"&amp;TEXT(BC1099,"0.##")</f>
        <v>114_Acropora_tenuis_EMBRYO_CO2421.00_pH8.17_T25.7</v>
      </c>
      <c r="D1099" s="8">
        <v>114</v>
      </c>
      <c r="E1099" s="8"/>
      <c r="F1099" s="8"/>
      <c r="G1099" s="8" t="s">
        <v>43</v>
      </c>
      <c r="H1099" s="8" t="s">
        <v>841</v>
      </c>
      <c r="I1099" s="8"/>
      <c r="J1099" s="8">
        <v>2013</v>
      </c>
      <c r="K1099" s="8"/>
      <c r="L1099" s="8"/>
      <c r="M1099" s="8" t="s">
        <v>257</v>
      </c>
      <c r="N1099" s="8"/>
      <c r="O1099" s="8"/>
      <c r="P1099" t="s">
        <v>1135</v>
      </c>
      <c r="Q1099" s="8"/>
      <c r="R1099" s="8" t="s">
        <v>1127</v>
      </c>
      <c r="S1099" t="s">
        <v>1128</v>
      </c>
      <c r="T1099" s="8" t="s">
        <v>103</v>
      </c>
      <c r="U1099" s="8" t="s">
        <v>228</v>
      </c>
      <c r="V1099" s="8" t="s">
        <v>843</v>
      </c>
      <c r="W1099" s="8" t="str">
        <f>IF(ISNUMBER(MATCH(V493,{"Doryteuthis pealeii","Loligo vulgaris","Leptuca thayeri","Stylocheilus striatus","Ophryotrocha labronica"},0)),"N","Y")</f>
        <v>Y</v>
      </c>
      <c r="X1099" s="8"/>
      <c r="Y1099" s="8"/>
      <c r="Z1099" s="8" t="s">
        <v>106</v>
      </c>
      <c r="AA1099" s="8" t="s">
        <v>107</v>
      </c>
      <c r="AB1099" s="8" t="s">
        <v>71</v>
      </c>
      <c r="AC1099" s="8" t="s">
        <v>195</v>
      </c>
      <c r="AD1099" s="8" t="s">
        <v>52</v>
      </c>
      <c r="AE1099" s="8" t="s">
        <v>53</v>
      </c>
      <c r="AF1099" s="8" t="s">
        <v>52</v>
      </c>
      <c r="AG1099" s="8" t="s">
        <v>54</v>
      </c>
      <c r="AH1099" s="8" t="s">
        <v>55</v>
      </c>
      <c r="AI1099" s="8"/>
      <c r="AJ1099" s="8"/>
      <c r="AK1099" s="8">
        <v>3</v>
      </c>
      <c r="AL1099" s="8">
        <v>3</v>
      </c>
      <c r="AM1099" s="8"/>
      <c r="AN1099" s="8">
        <v>421</v>
      </c>
      <c r="AO1099" s="8">
        <v>10</v>
      </c>
      <c r="AP1099" s="8" t="s">
        <v>56</v>
      </c>
      <c r="AQ1099" s="8" t="s">
        <v>57</v>
      </c>
      <c r="AR1099" s="8">
        <v>8.17</v>
      </c>
      <c r="AS1099" s="8">
        <v>0.01</v>
      </c>
      <c r="AT1099" s="8" t="s">
        <v>56</v>
      </c>
      <c r="AU1099" s="8">
        <v>655</v>
      </c>
      <c r="AV1099">
        <v>41</v>
      </c>
      <c r="AW1099" t="s">
        <v>56</v>
      </c>
      <c r="AX1099">
        <v>8.06</v>
      </c>
      <c r="AY1099">
        <v>0.02</v>
      </c>
      <c r="AZ1099" t="s">
        <v>56</v>
      </c>
      <c r="BA1099" s="8"/>
      <c r="BB1099" s="8">
        <f>LOG(AU1099)</f>
        <v>2.8162412999917832</v>
      </c>
      <c r="BC1099" s="8">
        <v>25.7</v>
      </c>
      <c r="BD1099" s="8">
        <v>0.1</v>
      </c>
      <c r="BE1099" s="8" t="s">
        <v>56</v>
      </c>
      <c r="BF1099" s="8">
        <v>25.6</v>
      </c>
      <c r="BG1099" s="8">
        <v>0.1</v>
      </c>
      <c r="BH1099" s="8" t="s">
        <v>56</v>
      </c>
      <c r="BI1099" s="8">
        <v>234</v>
      </c>
      <c r="BJ1099" s="8">
        <v>-0.1</v>
      </c>
      <c r="BK1099" s="8" t="s">
        <v>56</v>
      </c>
      <c r="BL1099" s="8" t="s">
        <v>844</v>
      </c>
      <c r="BM1099" s="8" t="s">
        <v>249</v>
      </c>
      <c r="BN1099" s="8" t="s">
        <v>60</v>
      </c>
      <c r="BO1099" s="8" t="s">
        <v>845</v>
      </c>
      <c r="BP1099" s="8" t="s">
        <v>9</v>
      </c>
      <c r="BQ1099" s="8" t="s">
        <v>83</v>
      </c>
      <c r="BR1099" s="8" t="s">
        <v>63</v>
      </c>
      <c r="BS1099" s="8"/>
      <c r="BT1099" s="8">
        <v>81.28</v>
      </c>
      <c r="BU1099" s="8">
        <v>81.276073999999994</v>
      </c>
      <c r="BV1099" s="8">
        <v>2.21</v>
      </c>
      <c r="BW1099" s="8">
        <f>BV1099*SQRT(AK1099)</f>
        <v>3.8278322847272186</v>
      </c>
      <c r="BX1099" s="8">
        <v>90.48</v>
      </c>
      <c r="BY1099" s="8">
        <v>90.478527600000007</v>
      </c>
      <c r="BZ1099" s="8">
        <v>1.47</v>
      </c>
      <c r="CA1099" s="8">
        <f>BZ1099*SQRT(AL1099)</f>
        <v>2.5461146871262494</v>
      </c>
      <c r="CB1099" s="8">
        <v>3</v>
      </c>
      <c r="CC1099" s="8">
        <v>3</v>
      </c>
      <c r="CD1099" s="8">
        <v>0.107</v>
      </c>
      <c r="CE1099" s="8">
        <v>1E-3</v>
      </c>
      <c r="CF1099" s="8" t="s">
        <v>1134</v>
      </c>
    </row>
    <row r="1100" spans="1:84" hidden="1" x14ac:dyDescent="0.2">
      <c r="A1100" s="8"/>
      <c r="B1100" t="str">
        <f>ROW()-1&amp;"_AltersInvert"</f>
        <v>1099_AltersInvert</v>
      </c>
      <c r="C1100" t="str">
        <f>D1100&amp;"_"&amp;
SUBSTITUTE(TRIM(V1100)," ","_")&amp;"_"&amp;
TRIM(AC1100)&amp;"_"&amp;
"CO2"&amp;TEXT(AN1100,"0.00")&amp;"_"&amp;
"pH"&amp;TEXT(AR1100,"0.00")&amp;"_"&amp;
"T"&amp;TEXT(BC1100,"0.##")</f>
        <v>114_Acropora_tenuis_EMBRYO_CO2421.00_pH8.17_T25.7</v>
      </c>
      <c r="D1100" s="8">
        <v>114</v>
      </c>
      <c r="E1100" s="8"/>
      <c r="F1100" s="8"/>
      <c r="G1100" s="8" t="s">
        <v>43</v>
      </c>
      <c r="H1100" s="8" t="s">
        <v>841</v>
      </c>
      <c r="I1100" s="8"/>
      <c r="J1100" s="8">
        <v>2013</v>
      </c>
      <c r="K1100" s="8"/>
      <c r="L1100" s="8"/>
      <c r="M1100" s="8" t="s">
        <v>257</v>
      </c>
      <c r="N1100" s="8"/>
      <c r="O1100" s="8"/>
      <c r="P1100" t="s">
        <v>1135</v>
      </c>
      <c r="Q1100" s="8"/>
      <c r="R1100" s="8" t="s">
        <v>1127</v>
      </c>
      <c r="S1100" t="s">
        <v>1128</v>
      </c>
      <c r="T1100" s="8" t="s">
        <v>103</v>
      </c>
      <c r="U1100" s="8" t="s">
        <v>228</v>
      </c>
      <c r="V1100" s="8" t="s">
        <v>843</v>
      </c>
      <c r="W1100" s="8" t="str">
        <f>IF(ISNUMBER(MATCH(V494,{"Doryteuthis pealeii","Loligo vulgaris","Leptuca thayeri","Stylocheilus striatus","Ophryotrocha labronica"},0)),"N","Y")</f>
        <v>Y</v>
      </c>
      <c r="X1100" s="8"/>
      <c r="Y1100" s="8"/>
      <c r="Z1100" s="8" t="s">
        <v>106</v>
      </c>
      <c r="AA1100" s="8" t="s">
        <v>107</v>
      </c>
      <c r="AB1100" s="8" t="s">
        <v>71</v>
      </c>
      <c r="AC1100" s="8" t="s">
        <v>195</v>
      </c>
      <c r="AD1100" s="8" t="s">
        <v>52</v>
      </c>
      <c r="AE1100" s="8" t="s">
        <v>53</v>
      </c>
      <c r="AF1100" s="8" t="s">
        <v>54</v>
      </c>
      <c r="AG1100" s="8" t="s">
        <v>52</v>
      </c>
      <c r="AH1100" s="8" t="s">
        <v>65</v>
      </c>
      <c r="AI1100" s="8"/>
      <c r="AJ1100" s="8"/>
      <c r="AK1100" s="8">
        <v>3</v>
      </c>
      <c r="AL1100" s="8">
        <v>3</v>
      </c>
      <c r="AM1100" s="8"/>
      <c r="AN1100" s="8">
        <v>421</v>
      </c>
      <c r="AO1100" s="8">
        <v>10</v>
      </c>
      <c r="AP1100" s="8" t="s">
        <v>56</v>
      </c>
      <c r="AQ1100" s="8" t="s">
        <v>57</v>
      </c>
      <c r="AR1100" s="8">
        <v>8.17</v>
      </c>
      <c r="AS1100" s="8">
        <v>0.01</v>
      </c>
      <c r="AT1100" s="8" t="s">
        <v>56</v>
      </c>
      <c r="AU1100" s="8">
        <v>499</v>
      </c>
      <c r="AV1100">
        <v>9</v>
      </c>
      <c r="AW1100" t="s">
        <v>56</v>
      </c>
      <c r="AX1100">
        <v>8.18</v>
      </c>
      <c r="AY1100">
        <v>0.01</v>
      </c>
      <c r="AZ1100" t="s">
        <v>56</v>
      </c>
      <c r="BA1100" s="8"/>
      <c r="BB1100" s="8">
        <f>LOG(AU1100)</f>
        <v>2.6981005456233897</v>
      </c>
      <c r="BC1100" s="8">
        <v>25.7</v>
      </c>
      <c r="BD1100" s="8">
        <v>0.1</v>
      </c>
      <c r="BE1100" s="8" t="s">
        <v>56</v>
      </c>
      <c r="BF1100" s="8">
        <v>28.5</v>
      </c>
      <c r="BG1100" s="8">
        <v>0.1</v>
      </c>
      <c r="BH1100" s="8" t="s">
        <v>56</v>
      </c>
      <c r="BI1100" s="8">
        <v>78</v>
      </c>
      <c r="BJ1100" s="8">
        <v>2.8</v>
      </c>
      <c r="BK1100" s="8" t="s">
        <v>56</v>
      </c>
      <c r="BL1100" s="8" t="s">
        <v>844</v>
      </c>
      <c r="BM1100" s="8" t="s">
        <v>249</v>
      </c>
      <c r="BN1100" s="8" t="s">
        <v>60</v>
      </c>
      <c r="BO1100" s="8" t="s">
        <v>845</v>
      </c>
      <c r="BP1100" s="8" t="s">
        <v>9</v>
      </c>
      <c r="BQ1100" s="8" t="s">
        <v>190</v>
      </c>
      <c r="BR1100" s="8" t="s">
        <v>63</v>
      </c>
      <c r="BS1100" s="8"/>
      <c r="BT1100" s="8">
        <v>81.28</v>
      </c>
      <c r="BU1100" s="8">
        <v>81.276073999999994</v>
      </c>
      <c r="BV1100" s="8">
        <v>2.21</v>
      </c>
      <c r="BW1100" s="8">
        <f>BV1100*SQRT(AK1100)</f>
        <v>3.8278322847272186</v>
      </c>
      <c r="BX1100" s="8">
        <v>62.5</v>
      </c>
      <c r="BY1100" s="8">
        <v>62.5030675</v>
      </c>
      <c r="BZ1100" s="8">
        <v>1.84</v>
      </c>
      <c r="CA1100" s="8">
        <f>BZ1100*SQRT(AL1100)</f>
        <v>3.186973485926734</v>
      </c>
      <c r="CB1100" s="8">
        <v>3</v>
      </c>
      <c r="CC1100" s="8">
        <v>3</v>
      </c>
      <c r="CD1100" s="8">
        <v>-0.26300000000000001</v>
      </c>
      <c r="CE1100" s="8">
        <v>1.6000000000000001E-3</v>
      </c>
      <c r="CF1100" s="8" t="s">
        <v>1134</v>
      </c>
    </row>
    <row r="1101" spans="1:84" hidden="1" x14ac:dyDescent="0.2">
      <c r="A1101" s="8"/>
      <c r="B1101" t="str">
        <f>ROW()-1&amp;"_AltersInvert"</f>
        <v>1100_AltersInvert</v>
      </c>
      <c r="C1101" t="str">
        <f>D1101&amp;"_"&amp;
SUBSTITUTE(TRIM(V1101)," ","_")&amp;"_"&amp;
TRIM(AC1101)&amp;"_"&amp;
"CO2"&amp;TEXT(AN1101,"0.00")&amp;"_"&amp;
"pH"&amp;TEXT(AR1101,"0.00")&amp;"_"&amp;
"T"&amp;TEXT(BC1101,"0.##")</f>
        <v>114_Acropora_tenuis_EMBRYO_CO2421.00_pH8.17_T25.7</v>
      </c>
      <c r="D1101" s="8">
        <v>114</v>
      </c>
      <c r="E1101" s="8"/>
      <c r="F1101" s="8"/>
      <c r="G1101" s="8" t="s">
        <v>43</v>
      </c>
      <c r="H1101" s="8" t="s">
        <v>841</v>
      </c>
      <c r="I1101" s="8"/>
      <c r="J1101" s="8">
        <v>2013</v>
      </c>
      <c r="K1101" s="8"/>
      <c r="L1101" s="8"/>
      <c r="M1101" s="8" t="s">
        <v>257</v>
      </c>
      <c r="N1101" s="8"/>
      <c r="O1101" s="8"/>
      <c r="P1101" t="s">
        <v>1135</v>
      </c>
      <c r="Q1101" s="8"/>
      <c r="R1101" s="8" t="s">
        <v>1127</v>
      </c>
      <c r="S1101" t="s">
        <v>1128</v>
      </c>
      <c r="T1101" s="8" t="s">
        <v>103</v>
      </c>
      <c r="U1101" s="8" t="s">
        <v>228</v>
      </c>
      <c r="V1101" s="8" t="s">
        <v>843</v>
      </c>
      <c r="W1101" s="8" t="str">
        <f>IF(ISNUMBER(MATCH(V495,{"Doryteuthis pealeii","Loligo vulgaris","Leptuca thayeri","Stylocheilus striatus","Ophryotrocha labronica"},0)),"N","Y")</f>
        <v>Y</v>
      </c>
      <c r="X1101" s="8"/>
      <c r="Y1101" s="8"/>
      <c r="Z1101" s="8" t="s">
        <v>106</v>
      </c>
      <c r="AA1101" s="8" t="s">
        <v>107</v>
      </c>
      <c r="AB1101" s="8" t="s">
        <v>71</v>
      </c>
      <c r="AC1101" s="8" t="s">
        <v>195</v>
      </c>
      <c r="AD1101" s="8" t="s">
        <v>52</v>
      </c>
      <c r="AE1101" s="8" t="s">
        <v>53</v>
      </c>
      <c r="AF1101" s="8" t="s">
        <v>52</v>
      </c>
      <c r="AG1101" s="8" t="s">
        <v>52</v>
      </c>
      <c r="AH1101" s="8" t="s">
        <v>64</v>
      </c>
      <c r="AI1101" s="8"/>
      <c r="AJ1101" s="8"/>
      <c r="AK1101" s="8">
        <v>3</v>
      </c>
      <c r="AL1101" s="8">
        <v>3</v>
      </c>
      <c r="AM1101" s="8"/>
      <c r="AN1101" s="8">
        <v>421</v>
      </c>
      <c r="AO1101" s="8">
        <v>10</v>
      </c>
      <c r="AP1101" s="8" t="s">
        <v>56</v>
      </c>
      <c r="AQ1101" s="8" t="s">
        <v>57</v>
      </c>
      <c r="AR1101" s="8">
        <v>8.17</v>
      </c>
      <c r="AS1101" s="8">
        <v>0.01</v>
      </c>
      <c r="AT1101" s="8" t="s">
        <v>56</v>
      </c>
      <c r="AU1101" s="8">
        <v>663</v>
      </c>
      <c r="AV1101">
        <v>20</v>
      </c>
      <c r="AW1101" t="s">
        <v>56</v>
      </c>
      <c r="AX1101">
        <v>8.06</v>
      </c>
      <c r="AY1101">
        <v>0.01</v>
      </c>
      <c r="AZ1101" t="s">
        <v>56</v>
      </c>
      <c r="BA1101" s="8"/>
      <c r="BB1101" s="8">
        <f>LOG(AU1101)</f>
        <v>2.8215135284047732</v>
      </c>
      <c r="BC1101" s="8">
        <v>25.7</v>
      </c>
      <c r="BD1101" s="8">
        <v>0.1</v>
      </c>
      <c r="BE1101" s="8" t="s">
        <v>56</v>
      </c>
      <c r="BF1101" s="8">
        <v>28.9</v>
      </c>
      <c r="BG1101" s="8">
        <v>0</v>
      </c>
      <c r="BH1101" s="8" t="s">
        <v>56</v>
      </c>
      <c r="BI1101" s="8">
        <v>242</v>
      </c>
      <c r="BJ1101" s="8">
        <v>3.2</v>
      </c>
      <c r="BK1101" s="8" t="s">
        <v>56</v>
      </c>
      <c r="BL1101" s="8" t="s">
        <v>844</v>
      </c>
      <c r="BM1101" s="8" t="s">
        <v>249</v>
      </c>
      <c r="BN1101" s="8" t="s">
        <v>60</v>
      </c>
      <c r="BO1101" s="8" t="s">
        <v>845</v>
      </c>
      <c r="BP1101" s="8" t="s">
        <v>9</v>
      </c>
      <c r="BQ1101" s="8" t="s">
        <v>190</v>
      </c>
      <c r="BR1101" s="8" t="s">
        <v>63</v>
      </c>
      <c r="BS1101" s="8"/>
      <c r="BT1101" s="8">
        <v>81.28</v>
      </c>
      <c r="BU1101" s="8">
        <v>81.276073999999994</v>
      </c>
      <c r="BV1101" s="8">
        <v>2.21</v>
      </c>
      <c r="BW1101" s="8">
        <f>BV1101*SQRT(AK1101)</f>
        <v>3.8278322847272186</v>
      </c>
      <c r="BX1101" s="8">
        <v>50.72</v>
      </c>
      <c r="BY1101" s="8">
        <v>50.723926400000003</v>
      </c>
      <c r="BZ1101" s="8">
        <v>1.47</v>
      </c>
      <c r="CA1101" s="8">
        <f>BZ1101*SQRT(AL1101)</f>
        <v>2.5461146871262494</v>
      </c>
      <c r="CB1101" s="8">
        <v>3</v>
      </c>
      <c r="CC1101" s="8">
        <v>3</v>
      </c>
      <c r="CD1101" s="8">
        <v>-0.47099999999999997</v>
      </c>
      <c r="CE1101" s="8">
        <v>1.6000000000000001E-3</v>
      </c>
      <c r="CF1101" s="8" t="s">
        <v>1134</v>
      </c>
    </row>
    <row r="1102" spans="1:84" hidden="1" x14ac:dyDescent="0.2">
      <c r="A1102" s="8"/>
      <c r="B1102" t="str">
        <f>ROW()-1&amp;"_AltersInvert"</f>
        <v>1101_AltersInvert</v>
      </c>
      <c r="C1102" t="str">
        <f>D1102&amp;"_"&amp;
SUBSTITUTE(TRIM(V1102)," ","_")&amp;"_"&amp;
TRIM(AC1102)&amp;"_"&amp;
"CO2"&amp;TEXT(AN1102,"0.00")&amp;"_"&amp;
"pH"&amp;TEXT(AR1102,"0.00")&amp;"_"&amp;
"T"&amp;TEXT(BC1102,"0.##")</f>
        <v>212_Saccostrea_glomerata_EMBRYO_CO2375.00_pH0.00_T18.</v>
      </c>
      <c r="D1102" s="8">
        <v>212</v>
      </c>
      <c r="E1102" s="8"/>
      <c r="F1102" s="8"/>
      <c r="G1102" s="8" t="s">
        <v>43</v>
      </c>
      <c r="H1102" s="8" t="s">
        <v>1063</v>
      </c>
      <c r="I1102" s="8"/>
      <c r="J1102" s="8">
        <v>2010</v>
      </c>
      <c r="K1102" s="8" t="s">
        <v>1062</v>
      </c>
      <c r="L1102" s="8"/>
      <c r="M1102" s="8" t="s">
        <v>67</v>
      </c>
      <c r="N1102" s="8"/>
      <c r="O1102" s="8"/>
      <c r="P1102" t="s">
        <v>1135</v>
      </c>
      <c r="Q1102" s="8"/>
      <c r="R1102" s="8" t="s">
        <v>1127</v>
      </c>
      <c r="S1102" t="s">
        <v>1128</v>
      </c>
      <c r="T1102" s="8" t="s">
        <v>68</v>
      </c>
      <c r="U1102" s="8" t="s">
        <v>167</v>
      </c>
      <c r="V1102" s="8" t="s">
        <v>442</v>
      </c>
      <c r="W1102" s="8" t="str">
        <f>IF(ISNUMBER(MATCH(V496,{"Doryteuthis pealeii","Loligo vulgaris","Leptuca thayeri","Stylocheilus striatus","Ophryotrocha labronica"},0)),"N","Y")</f>
        <v>Y</v>
      </c>
      <c r="X1102" s="8"/>
      <c r="Y1102" s="8"/>
      <c r="Z1102" s="8"/>
      <c r="AA1102" s="8"/>
      <c r="AB1102" s="8"/>
      <c r="AC1102" s="8" t="s">
        <v>195</v>
      </c>
      <c r="AD1102" s="8"/>
      <c r="AE1102" s="8"/>
      <c r="AF1102" s="8" t="s">
        <v>52</v>
      </c>
      <c r="AG1102" s="8" t="s">
        <v>54</v>
      </c>
      <c r="AH1102" s="8" t="s">
        <v>55</v>
      </c>
      <c r="AI1102" s="8"/>
      <c r="AJ1102" s="8"/>
      <c r="AK1102" s="8">
        <v>3</v>
      </c>
      <c r="AL1102" s="8">
        <v>3</v>
      </c>
      <c r="AM1102" s="8"/>
      <c r="AN1102" s="8">
        <v>375</v>
      </c>
      <c r="AO1102" s="8"/>
      <c r="AP1102" s="8"/>
      <c r="AQ1102" s="8"/>
      <c r="AR1102" s="8"/>
      <c r="AS1102" s="8"/>
      <c r="AT1102" s="8"/>
      <c r="AU1102" s="8">
        <v>1000</v>
      </c>
      <c r="BA1102" s="8"/>
      <c r="BB1102" s="8">
        <f>LOG(AU1102)</f>
        <v>3</v>
      </c>
      <c r="BC1102" s="8">
        <v>18</v>
      </c>
      <c r="BD1102" s="8"/>
      <c r="BE1102" s="8"/>
      <c r="BF1102" s="8">
        <v>18</v>
      </c>
      <c r="BG1102" s="8"/>
      <c r="BH1102" s="8"/>
      <c r="BI1102" s="8">
        <v>625</v>
      </c>
      <c r="BJ1102" s="8">
        <v>0</v>
      </c>
      <c r="BK1102" s="8" t="s">
        <v>1064</v>
      </c>
      <c r="BL1102" s="8" t="s">
        <v>933</v>
      </c>
      <c r="BM1102" s="8" t="s">
        <v>473</v>
      </c>
      <c r="BN1102" s="8" t="s">
        <v>81</v>
      </c>
      <c r="BO1102" s="8" t="s">
        <v>82</v>
      </c>
      <c r="BP1102" s="8" t="s">
        <v>190</v>
      </c>
      <c r="BQ1102" s="8" t="s">
        <v>190</v>
      </c>
      <c r="BR1102" s="8" t="s">
        <v>84</v>
      </c>
      <c r="BS1102" s="8"/>
      <c r="BT1102" s="8">
        <v>55.2</v>
      </c>
      <c r="BU1102" s="8">
        <v>55.198999999999998</v>
      </c>
      <c r="BV1102" s="8">
        <v>2.25</v>
      </c>
      <c r="BW1102" s="8">
        <f>BV1102*SQRT(AK1102)</f>
        <v>3.8971143170299736</v>
      </c>
      <c r="BX1102" s="8">
        <v>39.369999999999997</v>
      </c>
      <c r="BY1102" s="8">
        <v>39.372</v>
      </c>
      <c r="BZ1102" s="8">
        <v>4.51</v>
      </c>
      <c r="CA1102" s="8">
        <f>BZ1102*SQRT(AL1102)</f>
        <v>7.811549142135636</v>
      </c>
      <c r="CB1102" s="8">
        <v>0</v>
      </c>
      <c r="CC1102" s="8">
        <v>3</v>
      </c>
      <c r="CD1102" s="8">
        <v>-0.33800000000000002</v>
      </c>
      <c r="CE1102" s="8">
        <v>1.4800000000000001E-2</v>
      </c>
      <c r="CF1102" s="8" t="s">
        <v>1134</v>
      </c>
    </row>
    <row r="1103" spans="1:84" hidden="1" x14ac:dyDescent="0.2">
      <c r="D1103">
        <v>72</v>
      </c>
      <c r="G1103" t="s">
        <v>43</v>
      </c>
      <c r="H1103" t="s">
        <v>648</v>
      </c>
      <c r="J1103">
        <v>2014</v>
      </c>
      <c r="M1103" t="s">
        <v>314</v>
      </c>
      <c r="T1103" t="s">
        <v>68</v>
      </c>
      <c r="U1103" t="s">
        <v>167</v>
      </c>
      <c r="V1103" t="s">
        <v>168</v>
      </c>
      <c r="Z1103" t="s">
        <v>49</v>
      </c>
      <c r="AA1103" t="s">
        <v>49</v>
      </c>
      <c r="AB1103" t="s">
        <v>71</v>
      </c>
      <c r="AC1103" t="s">
        <v>108</v>
      </c>
      <c r="AD1103" t="s">
        <v>54</v>
      </c>
      <c r="AE1103" t="s">
        <v>53</v>
      </c>
      <c r="AF1103" t="s">
        <v>52</v>
      </c>
      <c r="AG1103" t="s">
        <v>52</v>
      </c>
      <c r="AH1103" t="s">
        <v>64</v>
      </c>
      <c r="AK1103">
        <v>4</v>
      </c>
      <c r="AL1103">
        <v>4</v>
      </c>
      <c r="AN1103">
        <v>437</v>
      </c>
      <c r="AO1103" t="s">
        <v>56</v>
      </c>
      <c r="AP1103">
        <v>6</v>
      </c>
      <c r="AQ1103" t="s">
        <v>57</v>
      </c>
      <c r="AR1103">
        <v>8.07</v>
      </c>
      <c r="AS1103" t="s">
        <v>56</v>
      </c>
      <c r="AT1103">
        <v>0</v>
      </c>
      <c r="AU1103">
        <v>2024</v>
      </c>
      <c r="AV1103" t="s">
        <v>56</v>
      </c>
      <c r="AW1103">
        <v>316</v>
      </c>
      <c r="AX1103">
        <v>7.52</v>
      </c>
      <c r="AY1103" t="s">
        <v>56</v>
      </c>
      <c r="AZ1103">
        <v>0</v>
      </c>
      <c r="BB1103">
        <f>LOG(AU1103)</f>
        <v>3.3062105081677613</v>
      </c>
      <c r="BC1103">
        <v>23.9</v>
      </c>
      <c r="BD1103" t="s">
        <v>56</v>
      </c>
      <c r="BE1103">
        <v>0</v>
      </c>
      <c r="BF1103">
        <v>29.8</v>
      </c>
      <c r="BG1103" t="s">
        <v>56</v>
      </c>
      <c r="BH1103">
        <v>0.1</v>
      </c>
      <c r="BI1103">
        <v>1587</v>
      </c>
      <c r="BJ1103">
        <v>5.9</v>
      </c>
      <c r="BK1103" t="s">
        <v>56</v>
      </c>
      <c r="BL1103" t="s">
        <v>262</v>
      </c>
      <c r="BM1103" t="s">
        <v>262</v>
      </c>
      <c r="BN1103" t="s">
        <v>81</v>
      </c>
      <c r="BO1103" t="s">
        <v>649</v>
      </c>
      <c r="BP1103" t="s">
        <v>450</v>
      </c>
      <c r="BR1103" t="s">
        <v>63</v>
      </c>
      <c r="BT1103">
        <v>0.94</v>
      </c>
      <c r="BU1103">
        <v>0.94</v>
      </c>
      <c r="BV1103">
        <v>0.25</v>
      </c>
      <c r="BW1103">
        <f>BV1103*SQRT(AK1103)</f>
        <v>0.5</v>
      </c>
      <c r="BX1103">
        <v>3.92</v>
      </c>
      <c r="BY1103">
        <v>3.92</v>
      </c>
      <c r="BZ1103">
        <v>0.77</v>
      </c>
      <c r="CA1103">
        <f>BZ1103*SQRT(AL1103)</f>
        <v>1.54</v>
      </c>
      <c r="CB1103">
        <v>61</v>
      </c>
      <c r="CC1103">
        <v>4</v>
      </c>
      <c r="CD1103">
        <v>1.4279999999999999</v>
      </c>
      <c r="CE1103">
        <v>0.10929999999999999</v>
      </c>
    </row>
    <row r="1104" spans="1:84" hidden="1" x14ac:dyDescent="0.2">
      <c r="D1104">
        <v>72</v>
      </c>
      <c r="G1104" t="s">
        <v>43</v>
      </c>
      <c r="H1104" t="s">
        <v>648</v>
      </c>
      <c r="J1104">
        <v>2014</v>
      </c>
      <c r="M1104" t="s">
        <v>314</v>
      </c>
      <c r="T1104" t="s">
        <v>68</v>
      </c>
      <c r="U1104" t="s">
        <v>167</v>
      </c>
      <c r="V1104" t="s">
        <v>168</v>
      </c>
      <c r="Z1104" t="s">
        <v>49</v>
      </c>
      <c r="AA1104" t="s">
        <v>49</v>
      </c>
      <c r="AB1104" t="s">
        <v>71</v>
      </c>
      <c r="AC1104" t="s">
        <v>108</v>
      </c>
      <c r="AD1104" t="s">
        <v>54</v>
      </c>
      <c r="AE1104" t="s">
        <v>53</v>
      </c>
      <c r="AF1104" t="s">
        <v>52</v>
      </c>
      <c r="AG1104" t="s">
        <v>54</v>
      </c>
      <c r="AH1104" t="s">
        <v>55</v>
      </c>
      <c r="AK1104">
        <v>4</v>
      </c>
      <c r="AL1104">
        <v>4</v>
      </c>
      <c r="AN1104">
        <v>437</v>
      </c>
      <c r="AO1104" t="s">
        <v>56</v>
      </c>
      <c r="AP1104">
        <v>6</v>
      </c>
      <c r="AQ1104" t="s">
        <v>57</v>
      </c>
      <c r="AR1104">
        <v>8.07</v>
      </c>
      <c r="AS1104" t="s">
        <v>56</v>
      </c>
      <c r="AT1104">
        <v>0</v>
      </c>
      <c r="AU1104">
        <v>1848</v>
      </c>
      <c r="AV1104" t="s">
        <v>56</v>
      </c>
      <c r="AW1104">
        <v>11</v>
      </c>
      <c r="AX1104">
        <v>7.48</v>
      </c>
      <c r="AY1104" t="s">
        <v>56</v>
      </c>
      <c r="AZ1104">
        <v>0</v>
      </c>
      <c r="BB1104">
        <f>LOG(AU1104)</f>
        <v>3.2667019668840878</v>
      </c>
      <c r="BC1104">
        <v>23.9</v>
      </c>
      <c r="BD1104" t="s">
        <v>56</v>
      </c>
      <c r="BE1104">
        <v>0</v>
      </c>
      <c r="BF1104">
        <v>24</v>
      </c>
      <c r="BG1104" t="s">
        <v>56</v>
      </c>
      <c r="BH1104">
        <v>0</v>
      </c>
      <c r="BI1104">
        <v>1411</v>
      </c>
      <c r="BJ1104">
        <v>0.1</v>
      </c>
      <c r="BK1104" t="s">
        <v>56</v>
      </c>
      <c r="BL1104" t="s">
        <v>262</v>
      </c>
      <c r="BM1104" t="s">
        <v>262</v>
      </c>
      <c r="BN1104" t="s">
        <v>81</v>
      </c>
      <c r="BO1104" t="s">
        <v>649</v>
      </c>
      <c r="BP1104" t="s">
        <v>450</v>
      </c>
      <c r="BR1104" t="s">
        <v>63</v>
      </c>
      <c r="BT1104">
        <v>0.94</v>
      </c>
      <c r="BU1104">
        <v>0.94</v>
      </c>
      <c r="BV1104">
        <v>0.25</v>
      </c>
      <c r="BW1104">
        <f>BV1104*SQRT(AK1104)</f>
        <v>0.5</v>
      </c>
      <c r="BX1104">
        <v>8.44</v>
      </c>
      <c r="BY1104">
        <v>8.44</v>
      </c>
      <c r="BZ1104">
        <v>0.37</v>
      </c>
      <c r="CA1104">
        <f>BZ1104*SQRT(AL1104)</f>
        <v>0.74</v>
      </c>
      <c r="CB1104">
        <v>61</v>
      </c>
      <c r="CC1104">
        <v>4</v>
      </c>
      <c r="CD1104">
        <v>2.1949999999999998</v>
      </c>
      <c r="CE1104">
        <v>7.2700000000000001E-2</v>
      </c>
    </row>
    <row r="1105" spans="1:84" hidden="1" x14ac:dyDescent="0.2">
      <c r="D1105">
        <v>73</v>
      </c>
      <c r="G1105" t="s">
        <v>43</v>
      </c>
      <c r="H1105" t="s">
        <v>653</v>
      </c>
      <c r="J1105">
        <v>2016</v>
      </c>
      <c r="M1105" t="s">
        <v>654</v>
      </c>
      <c r="T1105" t="s">
        <v>68</v>
      </c>
      <c r="U1105" t="s">
        <v>428</v>
      </c>
      <c r="V1105" t="s">
        <v>429</v>
      </c>
      <c r="Z1105" t="s">
        <v>49</v>
      </c>
      <c r="AA1105" t="s">
        <v>49</v>
      </c>
      <c r="AB1105" t="s">
        <v>50</v>
      </c>
      <c r="AC1105" t="s">
        <v>108</v>
      </c>
      <c r="AD1105" t="s">
        <v>54</v>
      </c>
      <c r="AE1105" t="s">
        <v>53</v>
      </c>
      <c r="AF1105" t="s">
        <v>52</v>
      </c>
      <c r="AG1105" t="s">
        <v>54</v>
      </c>
      <c r="AH1105" t="s">
        <v>55</v>
      </c>
      <c r="AK1105">
        <v>5</v>
      </c>
      <c r="AL1105">
        <v>5</v>
      </c>
      <c r="AN1105">
        <v>368</v>
      </c>
      <c r="AO1105">
        <v>62</v>
      </c>
      <c r="AP1105" t="s">
        <v>56</v>
      </c>
      <c r="AQ1105" t="s">
        <v>57</v>
      </c>
      <c r="AR1105">
        <v>8.06</v>
      </c>
      <c r="AS1105">
        <v>0.02</v>
      </c>
      <c r="AT1105" t="s">
        <v>56</v>
      </c>
      <c r="AU1105">
        <v>891</v>
      </c>
      <c r="AV1105">
        <v>78</v>
      </c>
      <c r="AW1105" t="s">
        <v>56</v>
      </c>
      <c r="AX1105">
        <v>7.75</v>
      </c>
      <c r="AY1105">
        <v>0.03</v>
      </c>
      <c r="AZ1105" t="s">
        <v>56</v>
      </c>
      <c r="BB1105">
        <f>LOG(AU1105)</f>
        <v>2.9498777040368749</v>
      </c>
      <c r="BC1105">
        <v>14.1</v>
      </c>
      <c r="BD1105">
        <v>0.2</v>
      </c>
      <c r="BE1105" t="s">
        <v>56</v>
      </c>
      <c r="BF1105">
        <v>14.1</v>
      </c>
      <c r="BG1105">
        <v>0.1</v>
      </c>
      <c r="BH1105" t="s">
        <v>56</v>
      </c>
      <c r="BI1105">
        <v>523</v>
      </c>
      <c r="BJ1105">
        <v>-0.1</v>
      </c>
      <c r="BK1105" t="s">
        <v>56</v>
      </c>
      <c r="BL1105" t="s">
        <v>262</v>
      </c>
      <c r="BM1105" t="s">
        <v>262</v>
      </c>
      <c r="BN1105" t="s">
        <v>81</v>
      </c>
      <c r="BO1105" t="s">
        <v>655</v>
      </c>
      <c r="BP1105" t="s">
        <v>92</v>
      </c>
      <c r="BR1105" t="s">
        <v>63</v>
      </c>
      <c r="BT1105">
        <v>0.18</v>
      </c>
      <c r="BU1105">
        <v>0.18</v>
      </c>
      <c r="BV1105">
        <v>0.02</v>
      </c>
      <c r="BW1105">
        <f>BV1105*SQRT(AK1105)</f>
        <v>4.4721359549995794E-2</v>
      </c>
      <c r="BX1105">
        <v>0.11</v>
      </c>
      <c r="BY1105">
        <v>0.11</v>
      </c>
      <c r="BZ1105">
        <v>0.01</v>
      </c>
      <c r="CA1105">
        <f>BZ1105*SQRT(AL1105)</f>
        <v>2.2360679774997897E-2</v>
      </c>
      <c r="CB1105">
        <v>18</v>
      </c>
      <c r="CC1105">
        <v>5</v>
      </c>
      <c r="CD1105">
        <v>-0.49199999999999999</v>
      </c>
      <c r="CE1105">
        <v>2.06E-2</v>
      </c>
    </row>
    <row r="1106" spans="1:84" hidden="1" x14ac:dyDescent="0.2">
      <c r="D1106">
        <v>73</v>
      </c>
      <c r="G1106" t="s">
        <v>43</v>
      </c>
      <c r="H1106" t="s">
        <v>653</v>
      </c>
      <c r="J1106">
        <v>2016</v>
      </c>
      <c r="M1106" t="s">
        <v>654</v>
      </c>
      <c r="T1106" t="s">
        <v>68</v>
      </c>
      <c r="U1106" t="s">
        <v>428</v>
      </c>
      <c r="V1106" t="s">
        <v>429</v>
      </c>
      <c r="Z1106" t="s">
        <v>49</v>
      </c>
      <c r="AA1106" t="s">
        <v>49</v>
      </c>
      <c r="AB1106" t="s">
        <v>50</v>
      </c>
      <c r="AC1106" t="s">
        <v>108</v>
      </c>
      <c r="AD1106" t="s">
        <v>54</v>
      </c>
      <c r="AE1106" t="s">
        <v>53</v>
      </c>
      <c r="AF1106" t="s">
        <v>52</v>
      </c>
      <c r="AG1106" t="s">
        <v>52</v>
      </c>
      <c r="AH1106" t="s">
        <v>64</v>
      </c>
      <c r="AK1106">
        <v>5</v>
      </c>
      <c r="AL1106">
        <v>5</v>
      </c>
      <c r="AN1106">
        <v>368</v>
      </c>
      <c r="AO1106">
        <v>62</v>
      </c>
      <c r="AP1106" t="s">
        <v>56</v>
      </c>
      <c r="AQ1106" t="s">
        <v>57</v>
      </c>
      <c r="AR1106">
        <v>8.06</v>
      </c>
      <c r="AS1106">
        <v>0.02</v>
      </c>
      <c r="AT1106" t="s">
        <v>56</v>
      </c>
      <c r="AU1106">
        <v>969</v>
      </c>
      <c r="AV1106">
        <v>74</v>
      </c>
      <c r="AW1106" t="s">
        <v>56</v>
      </c>
      <c r="AX1106">
        <v>7.72</v>
      </c>
      <c r="AY1106">
        <v>0.02</v>
      </c>
      <c r="AZ1106" t="s">
        <v>56</v>
      </c>
      <c r="BB1106">
        <f>LOG(AU1106)</f>
        <v>2.9863237770507651</v>
      </c>
      <c r="BC1106">
        <v>14.1</v>
      </c>
      <c r="BD1106">
        <v>0.2</v>
      </c>
      <c r="BE1106" t="s">
        <v>56</v>
      </c>
      <c r="BF1106">
        <v>18.100000000000001</v>
      </c>
      <c r="BG1106">
        <v>0.1</v>
      </c>
      <c r="BH1106" t="s">
        <v>56</v>
      </c>
      <c r="BI1106">
        <v>602</v>
      </c>
      <c r="BJ1106">
        <v>4</v>
      </c>
      <c r="BK1106" t="s">
        <v>56</v>
      </c>
      <c r="BL1106" t="s">
        <v>262</v>
      </c>
      <c r="BM1106" t="s">
        <v>262</v>
      </c>
      <c r="BN1106" t="s">
        <v>81</v>
      </c>
      <c r="BO1106" t="s">
        <v>655</v>
      </c>
      <c r="BP1106" t="s">
        <v>92</v>
      </c>
      <c r="BR1106" t="s">
        <v>63</v>
      </c>
      <c r="BT1106">
        <v>0.18</v>
      </c>
      <c r="BU1106">
        <v>0.18</v>
      </c>
      <c r="BV1106">
        <v>0.02</v>
      </c>
      <c r="BW1106">
        <f>BV1106*SQRT(AK1106)</f>
        <v>4.4721359549995794E-2</v>
      </c>
      <c r="BX1106">
        <v>0.19</v>
      </c>
      <c r="BY1106">
        <v>0.19</v>
      </c>
      <c r="BZ1106">
        <v>0.01</v>
      </c>
      <c r="CA1106">
        <f>BZ1106*SQRT(AL1106)</f>
        <v>2.2360679774997897E-2</v>
      </c>
      <c r="CB1106">
        <v>18</v>
      </c>
      <c r="CC1106">
        <v>5</v>
      </c>
      <c r="CD1106">
        <v>5.3999999999999999E-2</v>
      </c>
      <c r="CE1106">
        <v>1.5100000000000001E-2</v>
      </c>
    </row>
    <row r="1107" spans="1:84" hidden="1" x14ac:dyDescent="0.2">
      <c r="D1107">
        <v>73</v>
      </c>
      <c r="G1107" t="s">
        <v>43</v>
      </c>
      <c r="H1107" t="s">
        <v>653</v>
      </c>
      <c r="J1107">
        <v>2016</v>
      </c>
      <c r="M1107" t="s">
        <v>654</v>
      </c>
      <c r="T1107" t="s">
        <v>68</v>
      </c>
      <c r="U1107" t="s">
        <v>428</v>
      </c>
      <c r="V1107" t="s">
        <v>429</v>
      </c>
      <c r="Z1107" t="s">
        <v>49</v>
      </c>
      <c r="AA1107" t="s">
        <v>49</v>
      </c>
      <c r="AB1107" t="s">
        <v>50</v>
      </c>
      <c r="AC1107" t="s">
        <v>108</v>
      </c>
      <c r="AD1107" t="s">
        <v>54</v>
      </c>
      <c r="AE1107" t="s">
        <v>53</v>
      </c>
      <c r="AF1107" t="s">
        <v>54</v>
      </c>
      <c r="AG1107" t="s">
        <v>52</v>
      </c>
      <c r="AH1107" t="s">
        <v>65</v>
      </c>
      <c r="AK1107">
        <v>5</v>
      </c>
      <c r="AL1107">
        <v>5</v>
      </c>
      <c r="AN1107">
        <v>368</v>
      </c>
      <c r="AO1107">
        <v>62</v>
      </c>
      <c r="AP1107" t="s">
        <v>56</v>
      </c>
      <c r="AQ1107" t="s">
        <v>57</v>
      </c>
      <c r="AR1107">
        <v>8.06</v>
      </c>
      <c r="AS1107">
        <v>0.02</v>
      </c>
      <c r="AT1107" t="s">
        <v>56</v>
      </c>
      <c r="AU1107">
        <v>436</v>
      </c>
      <c r="AV1107">
        <v>74</v>
      </c>
      <c r="AW1107" t="s">
        <v>56</v>
      </c>
      <c r="AX1107">
        <v>8.0299999999999994</v>
      </c>
      <c r="AY1107">
        <v>0.04</v>
      </c>
      <c r="AZ1107" t="s">
        <v>56</v>
      </c>
      <c r="BB1107">
        <f>LOG(AU1107)</f>
        <v>2.6394864892685859</v>
      </c>
      <c r="BC1107">
        <v>14.1</v>
      </c>
      <c r="BD1107">
        <v>0.2</v>
      </c>
      <c r="BE1107" t="s">
        <v>56</v>
      </c>
      <c r="BF1107">
        <v>18.100000000000001</v>
      </c>
      <c r="BG1107">
        <v>0.1</v>
      </c>
      <c r="BH1107" t="s">
        <v>56</v>
      </c>
      <c r="BI1107">
        <v>68</v>
      </c>
      <c r="BJ1107">
        <v>4</v>
      </c>
      <c r="BK1107" t="s">
        <v>56</v>
      </c>
      <c r="BL1107" t="s">
        <v>262</v>
      </c>
      <c r="BM1107" t="s">
        <v>262</v>
      </c>
      <c r="BN1107" t="s">
        <v>81</v>
      </c>
      <c r="BO1107" t="s">
        <v>655</v>
      </c>
      <c r="BP1107" t="s">
        <v>92</v>
      </c>
      <c r="BR1107" t="s">
        <v>63</v>
      </c>
      <c r="BT1107">
        <v>0.18</v>
      </c>
      <c r="BU1107">
        <v>0.18</v>
      </c>
      <c r="BV1107">
        <v>0.02</v>
      </c>
      <c r="BW1107">
        <f>BV1107*SQRT(AK1107)</f>
        <v>4.4721359549995794E-2</v>
      </c>
      <c r="BX1107">
        <v>0.2</v>
      </c>
      <c r="BY1107">
        <v>0.2</v>
      </c>
      <c r="BZ1107">
        <v>0.02</v>
      </c>
      <c r="CA1107">
        <f>BZ1107*SQRT(AL1107)</f>
        <v>4.4721359549995794E-2</v>
      </c>
      <c r="CB1107">
        <v>18</v>
      </c>
      <c r="CC1107">
        <v>5</v>
      </c>
      <c r="CD1107">
        <v>0.105</v>
      </c>
      <c r="CE1107">
        <v>2.23E-2</v>
      </c>
    </row>
    <row r="1108" spans="1:84" hidden="1" x14ac:dyDescent="0.2">
      <c r="D1108">
        <v>73</v>
      </c>
      <c r="G1108" t="s">
        <v>43</v>
      </c>
      <c r="H1108" t="s">
        <v>653</v>
      </c>
      <c r="J1108">
        <v>2016</v>
      </c>
      <c r="M1108" t="s">
        <v>654</v>
      </c>
      <c r="T1108" t="s">
        <v>68</v>
      </c>
      <c r="U1108" t="s">
        <v>428</v>
      </c>
      <c r="V1108" t="s">
        <v>429</v>
      </c>
      <c r="Z1108" t="s">
        <v>49</v>
      </c>
      <c r="AA1108" t="s">
        <v>49</v>
      </c>
      <c r="AB1108" t="s">
        <v>50</v>
      </c>
      <c r="AC1108" t="s">
        <v>108</v>
      </c>
      <c r="AD1108" t="s">
        <v>54</v>
      </c>
      <c r="AE1108" t="s">
        <v>53</v>
      </c>
      <c r="AF1108" t="s">
        <v>52</v>
      </c>
      <c r="AG1108" t="s">
        <v>54</v>
      </c>
      <c r="AH1108" t="s">
        <v>55</v>
      </c>
      <c r="AK1108">
        <v>5</v>
      </c>
      <c r="AL1108">
        <v>5</v>
      </c>
      <c r="AN1108">
        <v>368</v>
      </c>
      <c r="AO1108">
        <v>62</v>
      </c>
      <c r="AP1108" t="s">
        <v>56</v>
      </c>
      <c r="AQ1108" t="s">
        <v>57</v>
      </c>
      <c r="AR1108">
        <v>8.06</v>
      </c>
      <c r="AS1108">
        <v>0.02</v>
      </c>
      <c r="AT1108" t="s">
        <v>56</v>
      </c>
      <c r="AU1108">
        <v>891</v>
      </c>
      <c r="AV1108">
        <v>78</v>
      </c>
      <c r="AW1108" t="s">
        <v>56</v>
      </c>
      <c r="AX1108">
        <v>7.75</v>
      </c>
      <c r="AY1108">
        <v>0.03</v>
      </c>
      <c r="AZ1108" t="s">
        <v>56</v>
      </c>
      <c r="BB1108">
        <f>LOG(AU1108)</f>
        <v>2.9498777040368749</v>
      </c>
      <c r="BC1108">
        <v>14.1</v>
      </c>
      <c r="BD1108">
        <v>0.2</v>
      </c>
      <c r="BE1108" t="s">
        <v>56</v>
      </c>
      <c r="BF1108">
        <v>14.1</v>
      </c>
      <c r="BG1108">
        <v>0.1</v>
      </c>
      <c r="BH1108" t="s">
        <v>56</v>
      </c>
      <c r="BI1108">
        <v>523</v>
      </c>
      <c r="BJ1108">
        <v>-0.1</v>
      </c>
      <c r="BK1108" t="s">
        <v>56</v>
      </c>
      <c r="BL1108" t="s">
        <v>231</v>
      </c>
      <c r="BM1108" t="s">
        <v>232</v>
      </c>
      <c r="BN1108" t="s">
        <v>81</v>
      </c>
      <c r="BO1108" t="s">
        <v>434</v>
      </c>
      <c r="BP1108" t="s">
        <v>352</v>
      </c>
      <c r="BR1108" t="s">
        <v>63</v>
      </c>
      <c r="BT1108">
        <v>0.01</v>
      </c>
      <c r="BU1108">
        <v>8.0000000000000002E-3</v>
      </c>
      <c r="BV1108">
        <v>0</v>
      </c>
      <c r="BW1108">
        <f>BV1108*SQRT(AK1108)</f>
        <v>0</v>
      </c>
      <c r="BX1108">
        <v>0.02</v>
      </c>
      <c r="BY1108">
        <v>1.6E-2</v>
      </c>
      <c r="BZ1108">
        <v>0</v>
      </c>
      <c r="CA1108">
        <f>BZ1108*SQRT(AL1108)</f>
        <v>0</v>
      </c>
      <c r="CB1108">
        <v>18</v>
      </c>
      <c r="CC1108">
        <v>5</v>
      </c>
      <c r="CD1108">
        <v>0.69299999999999995</v>
      </c>
      <c r="CE1108">
        <v>0.28520000000000001</v>
      </c>
    </row>
    <row r="1109" spans="1:84" hidden="1" x14ac:dyDescent="0.2">
      <c r="D1109">
        <v>73</v>
      </c>
      <c r="G1109" t="s">
        <v>43</v>
      </c>
      <c r="H1109" t="s">
        <v>653</v>
      </c>
      <c r="J1109">
        <v>2016</v>
      </c>
      <c r="M1109" t="s">
        <v>654</v>
      </c>
      <c r="T1109" t="s">
        <v>68</v>
      </c>
      <c r="U1109" t="s">
        <v>428</v>
      </c>
      <c r="V1109" t="s">
        <v>429</v>
      </c>
      <c r="Z1109" t="s">
        <v>49</v>
      </c>
      <c r="AA1109" t="s">
        <v>49</v>
      </c>
      <c r="AB1109" t="s">
        <v>50</v>
      </c>
      <c r="AC1109" t="s">
        <v>108</v>
      </c>
      <c r="AD1109" t="s">
        <v>54</v>
      </c>
      <c r="AE1109" t="s">
        <v>53</v>
      </c>
      <c r="AF1109" t="s">
        <v>52</v>
      </c>
      <c r="AG1109" t="s">
        <v>52</v>
      </c>
      <c r="AH1109" t="s">
        <v>64</v>
      </c>
      <c r="AK1109">
        <v>5</v>
      </c>
      <c r="AL1109">
        <v>5</v>
      </c>
      <c r="AN1109">
        <v>368</v>
      </c>
      <c r="AO1109">
        <v>62</v>
      </c>
      <c r="AP1109" t="s">
        <v>56</v>
      </c>
      <c r="AQ1109" t="s">
        <v>57</v>
      </c>
      <c r="AR1109">
        <v>8.06</v>
      </c>
      <c r="AS1109">
        <v>0.02</v>
      </c>
      <c r="AT1109" t="s">
        <v>56</v>
      </c>
      <c r="AU1109">
        <v>969</v>
      </c>
      <c r="AV1109">
        <v>74</v>
      </c>
      <c r="AW1109" t="s">
        <v>56</v>
      </c>
      <c r="AX1109">
        <v>7.72</v>
      </c>
      <c r="AY1109">
        <v>0.02</v>
      </c>
      <c r="AZ1109" t="s">
        <v>56</v>
      </c>
      <c r="BB1109">
        <f>LOG(AU1109)</f>
        <v>2.9863237770507651</v>
      </c>
      <c r="BC1109">
        <v>14.1</v>
      </c>
      <c r="BD1109">
        <v>0.2</v>
      </c>
      <c r="BE1109" t="s">
        <v>56</v>
      </c>
      <c r="BF1109">
        <v>18.100000000000001</v>
      </c>
      <c r="BG1109">
        <v>0.1</v>
      </c>
      <c r="BH1109" t="s">
        <v>56</v>
      </c>
      <c r="BI1109">
        <v>602</v>
      </c>
      <c r="BJ1109">
        <v>4</v>
      </c>
      <c r="BK1109" t="s">
        <v>56</v>
      </c>
      <c r="BL1109" t="s">
        <v>231</v>
      </c>
      <c r="BM1109" t="s">
        <v>232</v>
      </c>
      <c r="BN1109" t="s">
        <v>81</v>
      </c>
      <c r="BO1109" t="s">
        <v>434</v>
      </c>
      <c r="BP1109" t="s">
        <v>352</v>
      </c>
      <c r="BR1109" t="s">
        <v>63</v>
      </c>
      <c r="BT1109">
        <v>0.01</v>
      </c>
      <c r="BU1109">
        <v>8.0000000000000002E-3</v>
      </c>
      <c r="BV1109">
        <v>0</v>
      </c>
      <c r="BW1109">
        <f>BV1109*SQRT(AK1109)</f>
        <v>0</v>
      </c>
      <c r="BX1109">
        <v>0.02</v>
      </c>
      <c r="BY1109">
        <v>2.3E-2</v>
      </c>
      <c r="BZ1109">
        <v>0</v>
      </c>
      <c r="CA1109">
        <f>BZ1109*SQRT(AL1109)</f>
        <v>0</v>
      </c>
      <c r="CB1109">
        <v>18</v>
      </c>
      <c r="CC1109">
        <v>5</v>
      </c>
      <c r="CD1109">
        <v>1.056</v>
      </c>
      <c r="CE1109">
        <v>0.25190000000000001</v>
      </c>
    </row>
    <row r="1110" spans="1:84" hidden="1" x14ac:dyDescent="0.2">
      <c r="D1110">
        <v>73</v>
      </c>
      <c r="G1110" t="s">
        <v>43</v>
      </c>
      <c r="H1110" t="s">
        <v>653</v>
      </c>
      <c r="J1110">
        <v>2016</v>
      </c>
      <c r="M1110" t="s">
        <v>654</v>
      </c>
      <c r="T1110" t="s">
        <v>68</v>
      </c>
      <c r="U1110" t="s">
        <v>428</v>
      </c>
      <c r="V1110" t="s">
        <v>429</v>
      </c>
      <c r="Z1110" t="s">
        <v>49</v>
      </c>
      <c r="AA1110" t="s">
        <v>49</v>
      </c>
      <c r="AB1110" t="s">
        <v>50</v>
      </c>
      <c r="AC1110" t="s">
        <v>108</v>
      </c>
      <c r="AD1110" t="s">
        <v>54</v>
      </c>
      <c r="AE1110" t="s">
        <v>53</v>
      </c>
      <c r="AF1110" t="s">
        <v>54</v>
      </c>
      <c r="AG1110" t="s">
        <v>52</v>
      </c>
      <c r="AH1110" t="s">
        <v>65</v>
      </c>
      <c r="AK1110">
        <v>5</v>
      </c>
      <c r="AL1110">
        <v>5</v>
      </c>
      <c r="AN1110">
        <v>368</v>
      </c>
      <c r="AO1110">
        <v>62</v>
      </c>
      <c r="AP1110" t="s">
        <v>56</v>
      </c>
      <c r="AQ1110" t="s">
        <v>57</v>
      </c>
      <c r="AR1110">
        <v>8.06</v>
      </c>
      <c r="AS1110">
        <v>0.02</v>
      </c>
      <c r="AT1110" t="s">
        <v>56</v>
      </c>
      <c r="AU1110">
        <v>436</v>
      </c>
      <c r="AV1110">
        <v>74</v>
      </c>
      <c r="AW1110" t="s">
        <v>56</v>
      </c>
      <c r="AX1110">
        <v>8.0299999999999994</v>
      </c>
      <c r="AY1110">
        <v>0.04</v>
      </c>
      <c r="AZ1110" t="s">
        <v>56</v>
      </c>
      <c r="BB1110">
        <f>LOG(AU1110)</f>
        <v>2.6394864892685859</v>
      </c>
      <c r="BC1110">
        <v>14.1</v>
      </c>
      <c r="BD1110">
        <v>0.2</v>
      </c>
      <c r="BE1110" t="s">
        <v>56</v>
      </c>
      <c r="BF1110">
        <v>18.100000000000001</v>
      </c>
      <c r="BG1110">
        <v>0.1</v>
      </c>
      <c r="BH1110" t="s">
        <v>56</v>
      </c>
      <c r="BI1110">
        <v>68</v>
      </c>
      <c r="BJ1110">
        <v>4</v>
      </c>
      <c r="BK1110" t="s">
        <v>56</v>
      </c>
      <c r="BL1110" t="s">
        <v>231</v>
      </c>
      <c r="BM1110" t="s">
        <v>232</v>
      </c>
      <c r="BN1110" t="s">
        <v>81</v>
      </c>
      <c r="BO1110" t="s">
        <v>434</v>
      </c>
      <c r="BP1110" t="s">
        <v>352</v>
      </c>
      <c r="BR1110" t="s">
        <v>63</v>
      </c>
      <c r="BT1110">
        <v>0.01</v>
      </c>
      <c r="BU1110">
        <v>8.0000000000000002E-3</v>
      </c>
      <c r="BV1110">
        <v>0</v>
      </c>
      <c r="BW1110">
        <f>BV1110*SQRT(AK1110)</f>
        <v>0</v>
      </c>
      <c r="BX1110">
        <v>0.03</v>
      </c>
      <c r="BY1110">
        <v>2.5999999999999999E-2</v>
      </c>
      <c r="BZ1110">
        <v>0</v>
      </c>
      <c r="CA1110">
        <f>BZ1110*SQRT(AL1110)</f>
        <v>0</v>
      </c>
      <c r="CB1110">
        <v>18</v>
      </c>
      <c r="CC1110">
        <v>5</v>
      </c>
      <c r="CD1110">
        <v>1.179</v>
      </c>
      <c r="CE1110">
        <v>0.2515</v>
      </c>
    </row>
    <row r="1111" spans="1:84" hidden="1" x14ac:dyDescent="0.2">
      <c r="A1111" s="8"/>
      <c r="B1111" t="str">
        <f>ROW()-1&amp;"_AltersInvert"</f>
        <v>1110_AltersInvert</v>
      </c>
      <c r="C1111" t="str">
        <f>D1111&amp;"_"&amp;
SUBSTITUTE(TRIM(V1111)," ","_")&amp;"_"&amp;
TRIM(AC1111)&amp;"_"&amp;
"CO2"&amp;TEXT(AN1111,"0.00")&amp;"_"&amp;
"pH"&amp;TEXT(AR1111,"0.00")&amp;"_"&amp;
"T"&amp;TEXT(BC1111,"0.##")</f>
        <v>212_Saccostrea_glomerata_EMBRYO_CO2375.00_pH0.00_T18.</v>
      </c>
      <c r="D1111" s="8">
        <v>212</v>
      </c>
      <c r="E1111" s="8"/>
      <c r="F1111" s="8"/>
      <c r="G1111" s="8" t="s">
        <v>43</v>
      </c>
      <c r="H1111" s="8" t="s">
        <v>1063</v>
      </c>
      <c r="I1111" s="8"/>
      <c r="J1111" s="8">
        <v>2010</v>
      </c>
      <c r="K1111" s="8" t="s">
        <v>1062</v>
      </c>
      <c r="L1111" s="8"/>
      <c r="M1111" s="8" t="s">
        <v>67</v>
      </c>
      <c r="N1111" s="8"/>
      <c r="O1111" s="8"/>
      <c r="P1111" t="s">
        <v>1135</v>
      </c>
      <c r="Q1111" s="8"/>
      <c r="R1111" s="8" t="s">
        <v>1127</v>
      </c>
      <c r="S1111" t="s">
        <v>1128</v>
      </c>
      <c r="T1111" s="8" t="s">
        <v>68</v>
      </c>
      <c r="U1111" s="8" t="s">
        <v>167</v>
      </c>
      <c r="V1111" s="8" t="s">
        <v>442</v>
      </c>
      <c r="W1111" s="8" t="str">
        <f>IF(ISNUMBER(MATCH(V505,{"Doryteuthis pealeii","Loligo vulgaris","Leptuca thayeri","Stylocheilus striatus","Ophryotrocha labronica"},0)),"N","Y")</f>
        <v>Y</v>
      </c>
      <c r="X1111" s="8"/>
      <c r="Y1111" s="8"/>
      <c r="Z1111" s="8"/>
      <c r="AA1111" s="8"/>
      <c r="AB1111" s="8"/>
      <c r="AC1111" s="8" t="s">
        <v>195</v>
      </c>
      <c r="AD1111" s="8"/>
      <c r="AE1111" s="8"/>
      <c r="AF1111" s="8" t="s">
        <v>52</v>
      </c>
      <c r="AG1111" s="8" t="s">
        <v>54</v>
      </c>
      <c r="AH1111" s="8" t="s">
        <v>55</v>
      </c>
      <c r="AI1111" s="8"/>
      <c r="AJ1111" s="8"/>
      <c r="AK1111" s="8">
        <v>3</v>
      </c>
      <c r="AL1111" s="8">
        <v>3</v>
      </c>
      <c r="AM1111" s="8"/>
      <c r="AN1111" s="8">
        <v>375</v>
      </c>
      <c r="AO1111" s="8"/>
      <c r="AP1111" s="8"/>
      <c r="AQ1111" s="8"/>
      <c r="AR1111" s="8"/>
      <c r="AS1111" s="8"/>
      <c r="AT1111" s="8"/>
      <c r="AU1111" s="8">
        <v>750</v>
      </c>
      <c r="BA1111" s="8"/>
      <c r="BB1111" s="8">
        <f>LOG(AU1111)</f>
        <v>2.8750612633917001</v>
      </c>
      <c r="BC1111" s="8">
        <v>18</v>
      </c>
      <c r="BD1111" s="8"/>
      <c r="BE1111" s="8"/>
      <c r="BF1111" s="8">
        <v>18</v>
      </c>
      <c r="BG1111" s="8"/>
      <c r="BH1111" s="8"/>
      <c r="BI1111" s="8">
        <v>375</v>
      </c>
      <c r="BJ1111" s="8">
        <v>0</v>
      </c>
      <c r="BK1111" s="8" t="s">
        <v>1064</v>
      </c>
      <c r="BL1111" s="8" t="s">
        <v>933</v>
      </c>
      <c r="BM1111" s="8" t="s">
        <v>473</v>
      </c>
      <c r="BN1111" s="8" t="s">
        <v>81</v>
      </c>
      <c r="BO1111" s="8" t="s">
        <v>82</v>
      </c>
      <c r="BP1111" s="8" t="s">
        <v>190</v>
      </c>
      <c r="BQ1111" s="8" t="s">
        <v>190</v>
      </c>
      <c r="BR1111" s="8" t="s">
        <v>84</v>
      </c>
      <c r="BS1111" s="8"/>
      <c r="BT1111" s="8">
        <v>55.2</v>
      </c>
      <c r="BU1111" s="8">
        <v>55.198999999999998</v>
      </c>
      <c r="BV1111" s="8">
        <v>2.25</v>
      </c>
      <c r="BW1111" s="8">
        <f>BV1111*SQRT(AK1111)</f>
        <v>3.8971143170299736</v>
      </c>
      <c r="BX1111" s="8">
        <v>43.9</v>
      </c>
      <c r="BY1111" s="8">
        <v>43.896000000000001</v>
      </c>
      <c r="BZ1111" s="8">
        <v>0.84</v>
      </c>
      <c r="CA1111" s="8">
        <f>BZ1111*SQRT(AL1111)</f>
        <v>1.4549226783578568</v>
      </c>
      <c r="CB1111" s="8">
        <v>0</v>
      </c>
      <c r="CC1111" s="8">
        <v>3</v>
      </c>
      <c r="CD1111" s="8">
        <v>-0.22900000000000001</v>
      </c>
      <c r="CE1111" s="8">
        <v>2E-3</v>
      </c>
      <c r="CF1111" s="8" t="s">
        <v>1134</v>
      </c>
    </row>
    <row r="1112" spans="1:84" hidden="1" x14ac:dyDescent="0.2">
      <c r="A1112" s="8"/>
      <c r="B1112" t="str">
        <f>ROW()-1&amp;"_AltersInvert"</f>
        <v>1111_AltersInvert</v>
      </c>
      <c r="C1112" t="str">
        <f>D1112&amp;"_"&amp;
SUBSTITUTE(TRIM(V1112)," ","_")&amp;"_"&amp;
TRIM(AC1112)&amp;"_"&amp;
"CO2"&amp;TEXT(AN1112,"0.00")&amp;"_"&amp;
"pH"&amp;TEXT(AR1112,"0.00")&amp;"_"&amp;
"T"&amp;TEXT(BC1112,"0.##")</f>
        <v>212_Saccostrea_glomerata_EMBRYO_CO2375.00_pH0.00_T18.</v>
      </c>
      <c r="D1112" s="8">
        <v>212</v>
      </c>
      <c r="E1112" s="8"/>
      <c r="F1112" s="8"/>
      <c r="G1112" s="8" t="s">
        <v>43</v>
      </c>
      <c r="H1112" s="8" t="s">
        <v>1063</v>
      </c>
      <c r="I1112" s="8"/>
      <c r="J1112" s="8">
        <v>2010</v>
      </c>
      <c r="K1112" s="8" t="s">
        <v>1062</v>
      </c>
      <c r="L1112" s="8"/>
      <c r="M1112" s="8" t="s">
        <v>67</v>
      </c>
      <c r="N1112" s="8"/>
      <c r="O1112" s="8"/>
      <c r="P1112" t="s">
        <v>1135</v>
      </c>
      <c r="Q1112" s="8"/>
      <c r="R1112" s="8" t="s">
        <v>1127</v>
      </c>
      <c r="S1112" t="s">
        <v>1128</v>
      </c>
      <c r="T1112" s="8" t="s">
        <v>68</v>
      </c>
      <c r="U1112" s="8" t="s">
        <v>167</v>
      </c>
      <c r="V1112" s="8" t="s">
        <v>442</v>
      </c>
      <c r="W1112" s="8" t="str">
        <f>IF(ISNUMBER(MATCH(V506,{"Doryteuthis pealeii","Loligo vulgaris","Leptuca thayeri","Stylocheilus striatus","Ophryotrocha labronica"},0)),"N","Y")</f>
        <v>Y</v>
      </c>
      <c r="X1112" s="8"/>
      <c r="Y1112" s="8"/>
      <c r="Z1112" s="8"/>
      <c r="AA1112" s="8"/>
      <c r="AB1112" s="8"/>
      <c r="AC1112" s="8" t="s">
        <v>195</v>
      </c>
      <c r="AD1112" s="8"/>
      <c r="AE1112" s="8"/>
      <c r="AF1112" s="8" t="s">
        <v>52</v>
      </c>
      <c r="AG1112" s="8" t="s">
        <v>54</v>
      </c>
      <c r="AH1112" s="8" t="s">
        <v>55</v>
      </c>
      <c r="AI1112" s="8"/>
      <c r="AJ1112" s="8"/>
      <c r="AK1112" s="8">
        <v>3</v>
      </c>
      <c r="AL1112" s="8">
        <v>3</v>
      </c>
      <c r="AM1112" s="8"/>
      <c r="AN1112" s="8">
        <v>375</v>
      </c>
      <c r="AO1112" s="8"/>
      <c r="AP1112" s="8"/>
      <c r="AQ1112" s="8"/>
      <c r="AR1112" s="8"/>
      <c r="AS1112" s="8"/>
      <c r="AT1112" s="8"/>
      <c r="AU1112" s="8">
        <v>600</v>
      </c>
      <c r="BA1112" s="8"/>
      <c r="BB1112" s="8">
        <f>LOG(AU1112)</f>
        <v>2.7781512503836434</v>
      </c>
      <c r="BC1112" s="8">
        <v>18</v>
      </c>
      <c r="BD1112" s="8"/>
      <c r="BE1112" s="8"/>
      <c r="BF1112" s="8">
        <v>18</v>
      </c>
      <c r="BG1112" s="8"/>
      <c r="BH1112" s="8"/>
      <c r="BI1112" s="8">
        <v>225</v>
      </c>
      <c r="BJ1112" s="8">
        <v>0</v>
      </c>
      <c r="BK1112" s="8" t="s">
        <v>1064</v>
      </c>
      <c r="BL1112" s="8" t="s">
        <v>933</v>
      </c>
      <c r="BM1112" s="8" t="s">
        <v>473</v>
      </c>
      <c r="BN1112" s="8" t="s">
        <v>81</v>
      </c>
      <c r="BO1112" s="8" t="s">
        <v>82</v>
      </c>
      <c r="BP1112" s="8" t="s">
        <v>190</v>
      </c>
      <c r="BQ1112" s="8" t="s">
        <v>190</v>
      </c>
      <c r="BR1112" s="8" t="s">
        <v>84</v>
      </c>
      <c r="BS1112" s="8"/>
      <c r="BT1112" s="8">
        <v>55.2</v>
      </c>
      <c r="BU1112" s="8">
        <v>55.198999999999998</v>
      </c>
      <c r="BV1112" s="8">
        <v>2.25</v>
      </c>
      <c r="BW1112" s="8">
        <f>BV1112*SQRT(AK1112)</f>
        <v>3.8971143170299736</v>
      </c>
      <c r="BX1112" s="8">
        <v>45.32</v>
      </c>
      <c r="BY1112" s="8">
        <v>45.322000000000003</v>
      </c>
      <c r="BZ1112" s="8">
        <v>1.69</v>
      </c>
      <c r="CA1112" s="8">
        <f>BZ1112*SQRT(AL1112)</f>
        <v>2.9271658647914025</v>
      </c>
      <c r="CB1112" s="8">
        <v>0</v>
      </c>
      <c r="CC1112" s="8">
        <v>3</v>
      </c>
      <c r="CD1112" s="8">
        <v>-0.19700000000000001</v>
      </c>
      <c r="CE1112" s="8">
        <v>3.0999999999999999E-3</v>
      </c>
      <c r="CF1112" s="8" t="s">
        <v>1134</v>
      </c>
    </row>
    <row r="1113" spans="1:84" hidden="1" x14ac:dyDescent="0.2">
      <c r="A1113" s="8"/>
      <c r="B1113" t="str">
        <f>ROW()-1&amp;"_AltersInvert"</f>
        <v>1112_AltersInvert</v>
      </c>
      <c r="C1113" t="str">
        <f>D1113&amp;"_"&amp;
SUBSTITUTE(TRIM(V1113)," ","_")&amp;"_"&amp;
TRIM(AC1113)&amp;"_"&amp;
"CO2"&amp;TEXT(AN1113,"0.00")&amp;"_"&amp;
"pH"&amp;TEXT(AR1113,"0.00")&amp;"_"&amp;
"T"&amp;TEXT(BC1113,"0.##")</f>
        <v>212_Saccostrea_glomerata_EMBRYO_CO2375.00_pH0.00_T18.</v>
      </c>
      <c r="D1113" s="8">
        <v>212</v>
      </c>
      <c r="E1113" s="8"/>
      <c r="F1113" s="8"/>
      <c r="G1113" s="8" t="s">
        <v>43</v>
      </c>
      <c r="H1113" s="8" t="s">
        <v>1063</v>
      </c>
      <c r="I1113" s="8"/>
      <c r="J1113" s="8">
        <v>2010</v>
      </c>
      <c r="K1113" s="8" t="s">
        <v>1062</v>
      </c>
      <c r="L1113" s="8"/>
      <c r="M1113" s="8" t="s">
        <v>67</v>
      </c>
      <c r="N1113" s="8"/>
      <c r="O1113" s="8"/>
      <c r="P1113" t="s">
        <v>1135</v>
      </c>
      <c r="Q1113" s="8"/>
      <c r="R1113" s="8" t="s">
        <v>1127</v>
      </c>
      <c r="S1113" t="s">
        <v>1128</v>
      </c>
      <c r="T1113" s="8" t="s">
        <v>68</v>
      </c>
      <c r="U1113" s="8" t="s">
        <v>167</v>
      </c>
      <c r="V1113" s="8" t="s">
        <v>442</v>
      </c>
      <c r="W1113" s="8" t="str">
        <f>IF(ISNUMBER(MATCH(V507,{"Doryteuthis pealeii","Loligo vulgaris","Leptuca thayeri","Stylocheilus striatus","Ophryotrocha labronica"},0)),"N","Y")</f>
        <v>Y</v>
      </c>
      <c r="X1113" s="8"/>
      <c r="Y1113" s="8"/>
      <c r="Z1113" s="8"/>
      <c r="AA1113" s="8"/>
      <c r="AB1113" s="8"/>
      <c r="AC1113" s="8" t="s">
        <v>195</v>
      </c>
      <c r="AD1113" s="8"/>
      <c r="AE1113" s="8"/>
      <c r="AF1113" s="8" t="s">
        <v>54</v>
      </c>
      <c r="AG1113" s="8" t="s">
        <v>52</v>
      </c>
      <c r="AH1113" s="8" t="s">
        <v>65</v>
      </c>
      <c r="AI1113" s="8"/>
      <c r="AJ1113" s="8"/>
      <c r="AK1113" s="8">
        <v>3</v>
      </c>
      <c r="AL1113" s="8">
        <v>3</v>
      </c>
      <c r="AM1113" s="8"/>
      <c r="AN1113" s="8">
        <v>375</v>
      </c>
      <c r="AO1113" s="8"/>
      <c r="AP1113" s="8"/>
      <c r="AQ1113" s="8"/>
      <c r="AR1113" s="8"/>
      <c r="AS1113" s="8"/>
      <c r="AT1113" s="8"/>
      <c r="AU1113" s="8">
        <v>375</v>
      </c>
      <c r="BA1113" s="8"/>
      <c r="BB1113" s="8">
        <f>LOG(AU1113)</f>
        <v>2.5740312677277188</v>
      </c>
      <c r="BC1113" s="8">
        <v>18</v>
      </c>
      <c r="BD1113" s="8"/>
      <c r="BE1113" s="8"/>
      <c r="BF1113" s="8">
        <v>22</v>
      </c>
      <c r="BG1113" s="8"/>
      <c r="BH1113" s="8"/>
      <c r="BI1113" s="8">
        <v>0</v>
      </c>
      <c r="BJ1113" s="8">
        <v>4</v>
      </c>
      <c r="BK1113" s="8" t="s">
        <v>1064</v>
      </c>
      <c r="BL1113" s="8" t="s">
        <v>933</v>
      </c>
      <c r="BM1113" s="8" t="s">
        <v>473</v>
      </c>
      <c r="BN1113" s="8" t="s">
        <v>81</v>
      </c>
      <c r="BO1113" s="8" t="s">
        <v>82</v>
      </c>
      <c r="BP1113" s="8" t="s">
        <v>190</v>
      </c>
      <c r="BQ1113" s="8" t="s">
        <v>190</v>
      </c>
      <c r="BR1113" s="8" t="s">
        <v>84</v>
      </c>
      <c r="BS1113" s="8"/>
      <c r="BT1113" s="8">
        <v>55.2</v>
      </c>
      <c r="BU1113" s="8">
        <v>55.198999999999998</v>
      </c>
      <c r="BV1113" s="8">
        <v>2.25</v>
      </c>
      <c r="BW1113" s="8">
        <f>BV1113*SQRT(AK1113)</f>
        <v>3.8971143170299736</v>
      </c>
      <c r="BX1113" s="8">
        <v>67.81</v>
      </c>
      <c r="BY1113" s="8">
        <v>67.805999999999997</v>
      </c>
      <c r="BZ1113" s="8">
        <v>4.51</v>
      </c>
      <c r="CA1113" s="8">
        <f>BZ1113*SQRT(AL1113)</f>
        <v>7.811549142135636</v>
      </c>
      <c r="CB1113" s="8">
        <v>0</v>
      </c>
      <c r="CC1113" s="8">
        <v>3</v>
      </c>
      <c r="CD1113" s="8">
        <v>0.20599999999999999</v>
      </c>
      <c r="CE1113" s="8">
        <v>6.1000000000000004E-3</v>
      </c>
      <c r="CF1113" s="8" t="s">
        <v>1134</v>
      </c>
    </row>
    <row r="1114" spans="1:84" hidden="1" x14ac:dyDescent="0.2">
      <c r="A1114" s="8"/>
      <c r="B1114" t="str">
        <f>ROW()-1&amp;"_AltersInvert"</f>
        <v>1113_AltersInvert</v>
      </c>
      <c r="C1114" t="str">
        <f>D1114&amp;"_"&amp;
SUBSTITUTE(TRIM(V1114)," ","_")&amp;"_"&amp;
TRIM(AC1114)&amp;"_"&amp;
"CO2"&amp;TEXT(AN1114,"0.00")&amp;"_"&amp;
"pH"&amp;TEXT(AR1114,"0.00")&amp;"_"&amp;
"T"&amp;TEXT(BC1114,"0.##")</f>
        <v>212_Saccostrea_glomerata_EMBRYO_CO2375.00_pH0.00_T18.</v>
      </c>
      <c r="D1114" s="8">
        <v>212</v>
      </c>
      <c r="E1114" s="8"/>
      <c r="F1114" s="8"/>
      <c r="G1114" s="8" t="s">
        <v>43</v>
      </c>
      <c r="H1114" s="8" t="s">
        <v>1063</v>
      </c>
      <c r="I1114" s="8"/>
      <c r="J1114" s="8">
        <v>2010</v>
      </c>
      <c r="K1114" s="8" t="s">
        <v>1062</v>
      </c>
      <c r="L1114" s="8"/>
      <c r="M1114" s="8" t="s">
        <v>67</v>
      </c>
      <c r="N1114" s="8"/>
      <c r="O1114" s="8"/>
      <c r="P1114" t="s">
        <v>1135</v>
      </c>
      <c r="Q1114" s="8"/>
      <c r="R1114" s="8" t="s">
        <v>1127</v>
      </c>
      <c r="S1114" t="s">
        <v>1128</v>
      </c>
      <c r="T1114" s="8" t="s">
        <v>68</v>
      </c>
      <c r="U1114" s="8" t="s">
        <v>167</v>
      </c>
      <c r="V1114" s="8" t="s">
        <v>442</v>
      </c>
      <c r="W1114" s="8" t="str">
        <f>IF(ISNUMBER(MATCH(V508,{"Doryteuthis pealeii","Loligo vulgaris","Leptuca thayeri","Stylocheilus striatus","Ophryotrocha labronica"},0)),"N","Y")</f>
        <v>Y</v>
      </c>
      <c r="X1114" s="8"/>
      <c r="Y1114" s="8"/>
      <c r="Z1114" s="8"/>
      <c r="AA1114" s="8"/>
      <c r="AB1114" s="8"/>
      <c r="AC1114" s="8" t="s">
        <v>195</v>
      </c>
      <c r="AD1114" s="8"/>
      <c r="AE1114" s="8"/>
      <c r="AF1114" s="8" t="s">
        <v>54</v>
      </c>
      <c r="AG1114" s="8" t="s">
        <v>52</v>
      </c>
      <c r="AH1114" s="8" t="s">
        <v>65</v>
      </c>
      <c r="AI1114" s="8"/>
      <c r="AJ1114" s="8"/>
      <c r="AK1114" s="8">
        <v>3</v>
      </c>
      <c r="AL1114" s="8">
        <v>3</v>
      </c>
      <c r="AM1114" s="8"/>
      <c r="AN1114" s="8">
        <v>375</v>
      </c>
      <c r="AO1114" s="8"/>
      <c r="AP1114" s="8"/>
      <c r="AQ1114" s="8"/>
      <c r="AR1114" s="8"/>
      <c r="AS1114" s="8"/>
      <c r="AT1114" s="8"/>
      <c r="AU1114" s="8">
        <v>375</v>
      </c>
      <c r="BA1114" s="8"/>
      <c r="BB1114" s="8">
        <f>LOG(AU1114)</f>
        <v>2.5740312677277188</v>
      </c>
      <c r="BC1114" s="8">
        <v>18</v>
      </c>
      <c r="BD1114" s="8"/>
      <c r="BE1114" s="8"/>
      <c r="BF1114" s="8">
        <v>30</v>
      </c>
      <c r="BG1114" s="8"/>
      <c r="BH1114" s="8"/>
      <c r="BI1114" s="8">
        <v>0</v>
      </c>
      <c r="BJ1114" s="8">
        <v>12</v>
      </c>
      <c r="BK1114" s="8" t="s">
        <v>1064</v>
      </c>
      <c r="BL1114" s="8" t="s">
        <v>933</v>
      </c>
      <c r="BM1114" s="8" t="s">
        <v>473</v>
      </c>
      <c r="BN1114" s="8" t="s">
        <v>81</v>
      </c>
      <c r="BO1114" s="8" t="s">
        <v>82</v>
      </c>
      <c r="BP1114" s="8" t="s">
        <v>190</v>
      </c>
      <c r="BQ1114" s="8" t="s">
        <v>190</v>
      </c>
      <c r="BR1114" s="8" t="s">
        <v>84</v>
      </c>
      <c r="BS1114" s="8"/>
      <c r="BT1114" s="8">
        <v>55.2</v>
      </c>
      <c r="BU1114" s="8">
        <v>55.198999999999998</v>
      </c>
      <c r="BV1114" s="8">
        <v>2.25</v>
      </c>
      <c r="BW1114" s="8">
        <f>BV1114*SQRT(AK1114)</f>
        <v>3.8971143170299736</v>
      </c>
      <c r="BX1114" s="8">
        <v>74.14</v>
      </c>
      <c r="BY1114" s="8">
        <v>74.141000000000005</v>
      </c>
      <c r="BZ1114" s="8">
        <v>1.97</v>
      </c>
      <c r="CA1114" s="8">
        <f>BZ1114*SQRT(AL1114)</f>
        <v>3.4121400909106878</v>
      </c>
      <c r="CB1114" s="8">
        <v>0</v>
      </c>
      <c r="CC1114" s="8">
        <v>3</v>
      </c>
      <c r="CD1114" s="8">
        <v>0.29499999999999998</v>
      </c>
      <c r="CE1114" s="8">
        <v>2.3999999999999998E-3</v>
      </c>
      <c r="CF1114" s="8" t="s">
        <v>1134</v>
      </c>
    </row>
    <row r="1115" spans="1:84" hidden="1" x14ac:dyDescent="0.2">
      <c r="A1115" s="8"/>
      <c r="B1115" t="str">
        <f>ROW()-1&amp;"_AltersInvert"</f>
        <v>1114_AltersInvert</v>
      </c>
      <c r="C1115" t="str">
        <f>D1115&amp;"_"&amp;
SUBSTITUTE(TRIM(V1115)," ","_")&amp;"_"&amp;
TRIM(AC1115)&amp;"_"&amp;
"CO2"&amp;TEXT(AN1115,"0.00")&amp;"_"&amp;
"pH"&amp;TEXT(AR1115,"0.00")&amp;"_"&amp;
"T"&amp;TEXT(BC1115,"0.##")</f>
        <v>212_Saccostrea_glomerata_EMBRYO_CO2375.00_pH0.00_T18.</v>
      </c>
      <c r="D1115" s="8">
        <v>212</v>
      </c>
      <c r="E1115" s="8"/>
      <c r="F1115" s="8"/>
      <c r="G1115" s="8" t="s">
        <v>43</v>
      </c>
      <c r="H1115" s="8" t="s">
        <v>1063</v>
      </c>
      <c r="I1115" s="8"/>
      <c r="J1115" s="8">
        <v>2010</v>
      </c>
      <c r="K1115" s="8" t="s">
        <v>1062</v>
      </c>
      <c r="L1115" s="8"/>
      <c r="M1115" s="8" t="s">
        <v>67</v>
      </c>
      <c r="N1115" s="8"/>
      <c r="O1115" s="8"/>
      <c r="P1115" t="s">
        <v>1135</v>
      </c>
      <c r="Q1115" s="8"/>
      <c r="R1115" s="8" t="s">
        <v>1127</v>
      </c>
      <c r="S1115" t="s">
        <v>1128</v>
      </c>
      <c r="T1115" s="8" t="s">
        <v>68</v>
      </c>
      <c r="U1115" s="8" t="s">
        <v>167</v>
      </c>
      <c r="V1115" s="8" t="s">
        <v>442</v>
      </c>
      <c r="W1115" s="8" t="str">
        <f>IF(ISNUMBER(MATCH(V509,{"Doryteuthis pealeii","Loligo vulgaris","Leptuca thayeri","Stylocheilus striatus","Ophryotrocha labronica"},0)),"N","Y")</f>
        <v>Y</v>
      </c>
      <c r="X1115" s="8"/>
      <c r="Y1115" s="8"/>
      <c r="Z1115" s="8"/>
      <c r="AA1115" s="8"/>
      <c r="AB1115" s="8"/>
      <c r="AC1115" s="8" t="s">
        <v>195</v>
      </c>
      <c r="AD1115" s="8"/>
      <c r="AE1115" s="8"/>
      <c r="AF1115" s="8" t="s">
        <v>54</v>
      </c>
      <c r="AG1115" s="8" t="s">
        <v>52</v>
      </c>
      <c r="AH1115" s="8" t="s">
        <v>65</v>
      </c>
      <c r="AI1115" s="8"/>
      <c r="AJ1115" s="8"/>
      <c r="AK1115" s="8">
        <v>3</v>
      </c>
      <c r="AL1115" s="8">
        <v>3</v>
      </c>
      <c r="AM1115" s="8"/>
      <c r="AN1115" s="8">
        <v>375</v>
      </c>
      <c r="AO1115" s="8"/>
      <c r="AP1115" s="8"/>
      <c r="AQ1115" s="8"/>
      <c r="AR1115" s="8"/>
      <c r="AS1115" s="8"/>
      <c r="AT1115" s="8"/>
      <c r="AU1115" s="8">
        <v>375</v>
      </c>
      <c r="BA1115" s="8"/>
      <c r="BB1115" s="8">
        <f>LOG(AU1115)</f>
        <v>2.5740312677277188</v>
      </c>
      <c r="BC1115" s="8">
        <v>18</v>
      </c>
      <c r="BD1115" s="8"/>
      <c r="BE1115" s="8"/>
      <c r="BF1115" s="8">
        <v>26</v>
      </c>
      <c r="BG1115" s="8"/>
      <c r="BH1115" s="8"/>
      <c r="BI1115" s="8">
        <v>0</v>
      </c>
      <c r="BJ1115" s="8">
        <v>8</v>
      </c>
      <c r="BK1115" s="8" t="s">
        <v>1064</v>
      </c>
      <c r="BL1115" s="8" t="s">
        <v>933</v>
      </c>
      <c r="BM1115" s="8" t="s">
        <v>473</v>
      </c>
      <c r="BN1115" s="8" t="s">
        <v>81</v>
      </c>
      <c r="BO1115" s="8" t="s">
        <v>82</v>
      </c>
      <c r="BP1115" s="8" t="s">
        <v>190</v>
      </c>
      <c r="BQ1115" s="8" t="s">
        <v>190</v>
      </c>
      <c r="BR1115" s="8" t="s">
        <v>84</v>
      </c>
      <c r="BS1115" s="8"/>
      <c r="BT1115" s="8">
        <v>55.2</v>
      </c>
      <c r="BU1115" s="8">
        <v>55.198999999999998</v>
      </c>
      <c r="BV1115" s="8">
        <v>2.25</v>
      </c>
      <c r="BW1115" s="8">
        <f>BV1115*SQRT(AK1115)</f>
        <v>3.8971143170299736</v>
      </c>
      <c r="BX1115" s="8">
        <v>89.7</v>
      </c>
      <c r="BY1115" s="8">
        <v>89.703999999999994</v>
      </c>
      <c r="BZ1115" s="8">
        <v>1.41</v>
      </c>
      <c r="CA1115" s="8">
        <f>BZ1115*SQRT(AL1115)</f>
        <v>2.4421916386721167</v>
      </c>
      <c r="CB1115" s="8">
        <v>0</v>
      </c>
      <c r="CC1115" s="8">
        <v>3</v>
      </c>
      <c r="CD1115" s="8">
        <v>0.48599999999999999</v>
      </c>
      <c r="CE1115" s="8">
        <v>1.9E-3</v>
      </c>
      <c r="CF1115" s="8" t="s">
        <v>1134</v>
      </c>
    </row>
    <row r="1116" spans="1:84" s="8" customFormat="1" hidden="1" x14ac:dyDescent="0.2">
      <c r="B1116" t="str">
        <f>ROW()-1&amp;"_AltersInvert"</f>
        <v>1115_AltersInvert</v>
      </c>
      <c r="C1116" t="str">
        <f>D1116&amp;"_"&amp;
SUBSTITUTE(TRIM(V1116)," ","_")&amp;"_"&amp;
TRIM(AC1116)&amp;"_"&amp;
"CO2"&amp;TEXT(AN1116,"0.00")&amp;"_"&amp;
"pH"&amp;TEXT(AR1116,"0.00")&amp;"_"&amp;
"T"&amp;TEXT(BC1116,"0.##")</f>
        <v>212_Saccostrea_glomerata_EMBRYO_CO2375.00_pH0.00_T18.</v>
      </c>
      <c r="D1116" s="8">
        <v>212</v>
      </c>
      <c r="G1116" s="8" t="s">
        <v>43</v>
      </c>
      <c r="H1116" s="8" t="s">
        <v>1063</v>
      </c>
      <c r="J1116" s="8">
        <v>2010</v>
      </c>
      <c r="K1116" s="8" t="s">
        <v>1062</v>
      </c>
      <c r="M1116" s="8" t="s">
        <v>67</v>
      </c>
      <c r="P1116" t="s">
        <v>1135</v>
      </c>
      <c r="R1116" s="8" t="s">
        <v>1127</v>
      </c>
      <c r="S1116" t="s">
        <v>1128</v>
      </c>
      <c r="T1116" s="8" t="s">
        <v>68</v>
      </c>
      <c r="U1116" s="8" t="s">
        <v>167</v>
      </c>
      <c r="V1116" s="8" t="s">
        <v>442</v>
      </c>
      <c r="W1116" s="8" t="str">
        <f>IF(ISNUMBER(MATCH(V510,{"Doryteuthis pealeii","Loligo vulgaris","Leptuca thayeri","Stylocheilus striatus","Ophryotrocha labronica"},0)),"N","Y")</f>
        <v>Y</v>
      </c>
      <c r="AC1116" s="8" t="s">
        <v>195</v>
      </c>
      <c r="AF1116" s="8" t="s">
        <v>52</v>
      </c>
      <c r="AG1116" s="8" t="s">
        <v>52</v>
      </c>
      <c r="AH1116" s="8" t="s">
        <v>64</v>
      </c>
      <c r="AK1116" s="8">
        <v>3</v>
      </c>
      <c r="AL1116" s="8">
        <v>3</v>
      </c>
      <c r="AN1116" s="8">
        <v>375</v>
      </c>
      <c r="AU1116" s="8">
        <v>1000</v>
      </c>
      <c r="AV1116"/>
      <c r="AW1116"/>
      <c r="AX1116"/>
      <c r="AY1116"/>
      <c r="AZ1116"/>
      <c r="BB1116" s="8">
        <f>LOG(AU1116)</f>
        <v>3</v>
      </c>
      <c r="BC1116" s="8">
        <v>18</v>
      </c>
      <c r="BF1116" s="8">
        <v>22</v>
      </c>
      <c r="BI1116" s="8">
        <v>625</v>
      </c>
      <c r="BJ1116" s="8">
        <v>4</v>
      </c>
      <c r="BK1116" s="8" t="s">
        <v>1064</v>
      </c>
      <c r="BL1116" s="8" t="s">
        <v>933</v>
      </c>
      <c r="BM1116" s="8" t="s">
        <v>473</v>
      </c>
      <c r="BN1116" s="8" t="s">
        <v>81</v>
      </c>
      <c r="BO1116" s="8" t="s">
        <v>82</v>
      </c>
      <c r="BP1116" s="8" t="s">
        <v>190</v>
      </c>
      <c r="BQ1116" s="8" t="s">
        <v>190</v>
      </c>
      <c r="BR1116" s="8" t="s">
        <v>84</v>
      </c>
      <c r="BT1116" s="8">
        <v>55.2</v>
      </c>
      <c r="BU1116" s="8">
        <v>55.198999999999998</v>
      </c>
      <c r="BV1116" s="8">
        <v>2.25</v>
      </c>
      <c r="BW1116" s="8">
        <f>BV1116*SQRT(AK1116)</f>
        <v>3.8971143170299736</v>
      </c>
      <c r="BX1116" s="8">
        <v>49.16</v>
      </c>
      <c r="BY1116" s="8">
        <v>49.158000000000001</v>
      </c>
      <c r="BZ1116" s="8">
        <v>1.1299999999999999</v>
      </c>
      <c r="CA1116" s="8">
        <f>BZ1116*SQRT(AL1116)</f>
        <v>1.957217412552831</v>
      </c>
      <c r="CB1116" s="8">
        <v>0</v>
      </c>
      <c r="CC1116" s="8">
        <v>3</v>
      </c>
      <c r="CD1116" s="8">
        <v>-0.11600000000000001</v>
      </c>
      <c r="CE1116" s="8">
        <v>2.2000000000000001E-3</v>
      </c>
      <c r="CF1116" s="8" t="s">
        <v>1134</v>
      </c>
    </row>
    <row r="1117" spans="1:84" hidden="1" x14ac:dyDescent="0.2">
      <c r="A1117" s="8"/>
      <c r="B1117" t="str">
        <f>ROW()-1&amp;"_AltersInvert"</f>
        <v>1116_AltersInvert</v>
      </c>
      <c r="C1117" t="str">
        <f>D1117&amp;"_"&amp;
SUBSTITUTE(TRIM(V1117)," ","_")&amp;"_"&amp;
TRIM(AC1117)&amp;"_"&amp;
"CO2"&amp;TEXT(AN1117,"0.00")&amp;"_"&amp;
"pH"&amp;TEXT(AR1117,"0.00")&amp;"_"&amp;
"T"&amp;TEXT(BC1117,"0.##")</f>
        <v>212_Saccostrea_glomerata_EMBRYO_CO2375.00_pH0.00_T18.</v>
      </c>
      <c r="D1117" s="8">
        <v>212</v>
      </c>
      <c r="E1117" s="8"/>
      <c r="F1117" s="8"/>
      <c r="G1117" s="8" t="s">
        <v>43</v>
      </c>
      <c r="H1117" s="8" t="s">
        <v>1063</v>
      </c>
      <c r="I1117" s="8"/>
      <c r="J1117" s="8">
        <v>2010</v>
      </c>
      <c r="K1117" s="8" t="s">
        <v>1062</v>
      </c>
      <c r="L1117" s="8"/>
      <c r="M1117" s="8" t="s">
        <v>67</v>
      </c>
      <c r="N1117" s="8"/>
      <c r="O1117" s="8"/>
      <c r="P1117" t="s">
        <v>1135</v>
      </c>
      <c r="Q1117" s="8"/>
      <c r="R1117" s="8" t="s">
        <v>1127</v>
      </c>
      <c r="S1117" t="s">
        <v>1128</v>
      </c>
      <c r="T1117" s="8" t="s">
        <v>68</v>
      </c>
      <c r="U1117" s="8" t="s">
        <v>167</v>
      </c>
      <c r="V1117" s="8" t="s">
        <v>442</v>
      </c>
      <c r="W1117" s="8" t="str">
        <f>IF(ISNUMBER(MATCH(V511,{"Doryteuthis pealeii","Loligo vulgaris","Leptuca thayeri","Stylocheilus striatus","Ophryotrocha labronica"},0)),"N","Y")</f>
        <v>Y</v>
      </c>
      <c r="X1117" s="8"/>
      <c r="Y1117" s="8"/>
      <c r="Z1117" s="8"/>
      <c r="AA1117" s="8"/>
      <c r="AB1117" s="8"/>
      <c r="AC1117" s="8" t="s">
        <v>195</v>
      </c>
      <c r="AD1117" s="8"/>
      <c r="AE1117" s="8"/>
      <c r="AF1117" s="8" t="s">
        <v>52</v>
      </c>
      <c r="AG1117" s="8" t="s">
        <v>52</v>
      </c>
      <c r="AH1117" s="8" t="s">
        <v>64</v>
      </c>
      <c r="AI1117" s="8"/>
      <c r="AJ1117" s="8"/>
      <c r="AK1117" s="8">
        <v>3</v>
      </c>
      <c r="AL1117" s="8">
        <v>3</v>
      </c>
      <c r="AM1117" s="8"/>
      <c r="AN1117" s="8">
        <v>375</v>
      </c>
      <c r="AO1117" s="8"/>
      <c r="AP1117" s="8"/>
      <c r="AQ1117" s="8"/>
      <c r="AR1117" s="8"/>
      <c r="AS1117" s="8"/>
      <c r="AT1117" s="8"/>
      <c r="AU1117" s="8">
        <v>1000</v>
      </c>
      <c r="BA1117" s="8"/>
      <c r="BB1117" s="8">
        <f>LOG(AU1117)</f>
        <v>3</v>
      </c>
      <c r="BC1117" s="8">
        <v>18</v>
      </c>
      <c r="BD1117" s="8"/>
      <c r="BE1117" s="8"/>
      <c r="BF1117" s="8">
        <v>30</v>
      </c>
      <c r="BG1117" s="8"/>
      <c r="BH1117" s="8"/>
      <c r="BI1117" s="8">
        <v>625</v>
      </c>
      <c r="BJ1117" s="8">
        <v>12</v>
      </c>
      <c r="BK1117" s="8" t="s">
        <v>1064</v>
      </c>
      <c r="BL1117" s="8" t="s">
        <v>933</v>
      </c>
      <c r="BM1117" s="8" t="s">
        <v>473</v>
      </c>
      <c r="BN1117" s="8" t="s">
        <v>81</v>
      </c>
      <c r="BO1117" s="8" t="s">
        <v>82</v>
      </c>
      <c r="BP1117" s="8" t="s">
        <v>190</v>
      </c>
      <c r="BQ1117" s="8" t="s">
        <v>190</v>
      </c>
      <c r="BR1117" s="8" t="s">
        <v>84</v>
      </c>
      <c r="BS1117" s="8"/>
      <c r="BT1117" s="8">
        <v>55.2</v>
      </c>
      <c r="BU1117" s="8">
        <v>55.198999999999998</v>
      </c>
      <c r="BV1117" s="8">
        <v>2.25</v>
      </c>
      <c r="BW1117" s="8">
        <f>BV1117*SQRT(AK1117)</f>
        <v>3.8971143170299736</v>
      </c>
      <c r="BX1117" s="8">
        <v>49.58</v>
      </c>
      <c r="BY1117" s="8">
        <v>49.581000000000003</v>
      </c>
      <c r="BZ1117" s="8">
        <v>1.41</v>
      </c>
      <c r="CA1117" s="8">
        <f>BZ1117*SQRT(AL1117)</f>
        <v>2.4421916386721167</v>
      </c>
      <c r="CB1117" s="8">
        <v>0</v>
      </c>
      <c r="CC1117" s="8">
        <v>3</v>
      </c>
      <c r="CD1117" s="8">
        <v>-0.107</v>
      </c>
      <c r="CE1117" s="8">
        <v>2.5000000000000001E-3</v>
      </c>
      <c r="CF1117" s="8" t="s">
        <v>1134</v>
      </c>
    </row>
    <row r="1118" spans="1:84" s="8" customFormat="1" hidden="1" x14ac:dyDescent="0.2">
      <c r="B1118" t="str">
        <f>ROW()-1&amp;"_AltersInvert"</f>
        <v>1117_AltersInvert</v>
      </c>
      <c r="C1118" t="str">
        <f>D1118&amp;"_"&amp;
SUBSTITUTE(TRIM(V1118)," ","_")&amp;"_"&amp;
TRIM(AC1118)&amp;"_"&amp;
"CO2"&amp;TEXT(AN1118,"0.00")&amp;"_"&amp;
"pH"&amp;TEXT(AR1118,"0.00")&amp;"_"&amp;
"T"&amp;TEXT(BC1118,"0.##")</f>
        <v>212_Saccostrea_glomerata_EMBRYO_CO2375.00_pH0.00_T18.</v>
      </c>
      <c r="D1118" s="8">
        <v>212</v>
      </c>
      <c r="G1118" s="8" t="s">
        <v>43</v>
      </c>
      <c r="H1118" s="8" t="s">
        <v>1063</v>
      </c>
      <c r="J1118" s="8">
        <v>2010</v>
      </c>
      <c r="K1118" s="8" t="s">
        <v>1062</v>
      </c>
      <c r="M1118" s="8" t="s">
        <v>67</v>
      </c>
      <c r="P1118" t="s">
        <v>1135</v>
      </c>
      <c r="R1118" s="8" t="s">
        <v>1127</v>
      </c>
      <c r="S1118" t="s">
        <v>1128</v>
      </c>
      <c r="T1118" s="8" t="s">
        <v>68</v>
      </c>
      <c r="U1118" s="8" t="s">
        <v>167</v>
      </c>
      <c r="V1118" s="8" t="s">
        <v>442</v>
      </c>
      <c r="W1118" s="8" t="str">
        <f>IF(ISNUMBER(MATCH(V512,{"Doryteuthis pealeii","Loligo vulgaris","Leptuca thayeri","Stylocheilus striatus","Ophryotrocha labronica"},0)),"N","Y")</f>
        <v>Y</v>
      </c>
      <c r="AC1118" s="8" t="s">
        <v>195</v>
      </c>
      <c r="AF1118" s="8" t="s">
        <v>52</v>
      </c>
      <c r="AG1118" s="8" t="s">
        <v>52</v>
      </c>
      <c r="AH1118" s="8" t="s">
        <v>64</v>
      </c>
      <c r="AK1118" s="8">
        <v>3</v>
      </c>
      <c r="AL1118" s="8">
        <v>3</v>
      </c>
      <c r="AN1118" s="8">
        <v>375</v>
      </c>
      <c r="AU1118" s="8">
        <v>750</v>
      </c>
      <c r="AV1118"/>
      <c r="AW1118"/>
      <c r="AX1118"/>
      <c r="AY1118"/>
      <c r="AZ1118"/>
      <c r="BB1118" s="8">
        <f>LOG(AU1118)</f>
        <v>2.8750612633917001</v>
      </c>
      <c r="BC1118" s="8">
        <v>18</v>
      </c>
      <c r="BF1118" s="8">
        <v>22</v>
      </c>
      <c r="BI1118" s="8">
        <v>375</v>
      </c>
      <c r="BJ1118" s="8">
        <v>4</v>
      </c>
      <c r="BK1118" s="8" t="s">
        <v>1064</v>
      </c>
      <c r="BL1118" s="8" t="s">
        <v>933</v>
      </c>
      <c r="BM1118" s="8" t="s">
        <v>473</v>
      </c>
      <c r="BN1118" s="8" t="s">
        <v>81</v>
      </c>
      <c r="BO1118" s="8" t="s">
        <v>82</v>
      </c>
      <c r="BP1118" s="8" t="s">
        <v>190</v>
      </c>
      <c r="BQ1118" s="8" t="s">
        <v>190</v>
      </c>
      <c r="BR1118" s="8" t="s">
        <v>84</v>
      </c>
      <c r="BT1118" s="8">
        <v>55.2</v>
      </c>
      <c r="BU1118" s="8">
        <v>55.198999999999998</v>
      </c>
      <c r="BV1118" s="8">
        <v>2.25</v>
      </c>
      <c r="BW1118" s="8">
        <f>BV1118*SQRT(AK1118)</f>
        <v>3.8971143170299736</v>
      </c>
      <c r="BX1118" s="8">
        <v>52.84</v>
      </c>
      <c r="BY1118" s="8">
        <v>52.837000000000003</v>
      </c>
      <c r="BZ1118" s="8">
        <v>2.82</v>
      </c>
      <c r="CA1118" s="8">
        <f>BZ1118*SQRT(AL1118)</f>
        <v>4.8843832773442335</v>
      </c>
      <c r="CB1118" s="8">
        <v>0</v>
      </c>
      <c r="CC1118" s="8">
        <v>3</v>
      </c>
      <c r="CD1118" s="8">
        <v>-4.3999999999999997E-2</v>
      </c>
      <c r="CE1118" s="8">
        <v>4.4999999999999997E-3</v>
      </c>
      <c r="CF1118" s="8" t="s">
        <v>1134</v>
      </c>
    </row>
    <row r="1119" spans="1:84" s="8" customFormat="1" hidden="1" x14ac:dyDescent="0.2">
      <c r="B1119" t="str">
        <f>ROW()-1&amp;"_AltersInvert"</f>
        <v>1118_AltersInvert</v>
      </c>
      <c r="C1119" t="str">
        <f>D1119&amp;"_"&amp;
SUBSTITUTE(TRIM(V1119)," ","_")&amp;"_"&amp;
TRIM(AC1119)&amp;"_"&amp;
"CO2"&amp;TEXT(AN1119,"0.00")&amp;"_"&amp;
"pH"&amp;TEXT(AR1119,"0.00")&amp;"_"&amp;
"T"&amp;TEXT(BC1119,"0.##")</f>
        <v>212_Saccostrea_glomerata_EMBRYO_CO2375.00_pH0.00_T18.</v>
      </c>
      <c r="D1119" s="8">
        <v>212</v>
      </c>
      <c r="G1119" s="8" t="s">
        <v>43</v>
      </c>
      <c r="H1119" s="8" t="s">
        <v>1063</v>
      </c>
      <c r="J1119" s="8">
        <v>2010</v>
      </c>
      <c r="K1119" s="8" t="s">
        <v>1062</v>
      </c>
      <c r="M1119" s="8" t="s">
        <v>67</v>
      </c>
      <c r="P1119" t="s">
        <v>1135</v>
      </c>
      <c r="R1119" s="8" t="s">
        <v>1127</v>
      </c>
      <c r="S1119" t="s">
        <v>1128</v>
      </c>
      <c r="T1119" s="8" t="s">
        <v>68</v>
      </c>
      <c r="U1119" s="8" t="s">
        <v>167</v>
      </c>
      <c r="V1119" s="8" t="s">
        <v>442</v>
      </c>
      <c r="W1119" s="8" t="str">
        <f>IF(ISNUMBER(MATCH(V513,{"Doryteuthis pealeii","Loligo vulgaris","Leptuca thayeri","Stylocheilus striatus","Ophryotrocha labronica"},0)),"N","Y")</f>
        <v>Y</v>
      </c>
      <c r="AC1119" s="8" t="s">
        <v>195</v>
      </c>
      <c r="AF1119" s="8" t="s">
        <v>52</v>
      </c>
      <c r="AG1119" s="8" t="s">
        <v>52</v>
      </c>
      <c r="AH1119" s="8" t="s">
        <v>64</v>
      </c>
      <c r="AK1119" s="8">
        <v>3</v>
      </c>
      <c r="AL1119" s="8">
        <v>3</v>
      </c>
      <c r="AN1119" s="8">
        <v>375</v>
      </c>
      <c r="AU1119" s="8">
        <v>600</v>
      </c>
      <c r="AV1119"/>
      <c r="AW1119"/>
      <c r="AX1119"/>
      <c r="AY1119"/>
      <c r="AZ1119"/>
      <c r="BB1119" s="8">
        <f>LOG(AU1119)</f>
        <v>2.7781512503836434</v>
      </c>
      <c r="BC1119" s="8">
        <v>18</v>
      </c>
      <c r="BF1119" s="8">
        <v>22</v>
      </c>
      <c r="BI1119" s="8">
        <v>225</v>
      </c>
      <c r="BJ1119" s="8">
        <v>4</v>
      </c>
      <c r="BK1119" s="8" t="s">
        <v>1064</v>
      </c>
      <c r="BL1119" s="8" t="s">
        <v>933</v>
      </c>
      <c r="BM1119" s="8" t="s">
        <v>473</v>
      </c>
      <c r="BN1119" s="8" t="s">
        <v>81</v>
      </c>
      <c r="BO1119" s="8" t="s">
        <v>82</v>
      </c>
      <c r="BP1119" s="8" t="s">
        <v>190</v>
      </c>
      <c r="BQ1119" s="8" t="s">
        <v>190</v>
      </c>
      <c r="BR1119" s="8" t="s">
        <v>84</v>
      </c>
      <c r="BT1119" s="8">
        <v>55.2</v>
      </c>
      <c r="BU1119" s="8">
        <v>55.198999999999998</v>
      </c>
      <c r="BV1119" s="8">
        <v>2.25</v>
      </c>
      <c r="BW1119" s="8">
        <f>BV1119*SQRT(AK1119)</f>
        <v>3.8971143170299736</v>
      </c>
      <c r="BX1119" s="8">
        <v>55.67</v>
      </c>
      <c r="BY1119" s="8">
        <v>55.673000000000002</v>
      </c>
      <c r="BZ1119" s="8">
        <v>3.94</v>
      </c>
      <c r="CA1119" s="8">
        <f>BZ1119*SQRT(AL1119)</f>
        <v>6.8242801818213756</v>
      </c>
      <c r="CB1119" s="8">
        <v>0</v>
      </c>
      <c r="CC1119" s="8">
        <v>3</v>
      </c>
      <c r="CD1119" s="8">
        <v>8.9999999999999993E-3</v>
      </c>
      <c r="CE1119" s="8">
        <v>6.7000000000000002E-3</v>
      </c>
      <c r="CF1119" s="8" t="s">
        <v>1134</v>
      </c>
    </row>
    <row r="1120" spans="1:84" hidden="1" x14ac:dyDescent="0.2">
      <c r="A1120" s="8"/>
      <c r="B1120" t="str">
        <f>ROW()-1&amp;"_AltersInvert"</f>
        <v>1119_AltersInvert</v>
      </c>
      <c r="C1120" t="str">
        <f>D1120&amp;"_"&amp;
SUBSTITUTE(TRIM(V1120)," ","_")&amp;"_"&amp;
TRIM(AC1120)&amp;"_"&amp;
"CO2"&amp;TEXT(AN1120,"0.00")&amp;"_"&amp;
"pH"&amp;TEXT(AR1120,"0.00")&amp;"_"&amp;
"T"&amp;TEXT(BC1120,"0.##")</f>
        <v>212_Saccostrea_glomerata_EMBRYO_CO2375.00_pH0.00_T18.</v>
      </c>
      <c r="D1120" s="8">
        <v>212</v>
      </c>
      <c r="E1120" s="8"/>
      <c r="F1120" s="8"/>
      <c r="G1120" s="8" t="s">
        <v>43</v>
      </c>
      <c r="H1120" s="8" t="s">
        <v>1063</v>
      </c>
      <c r="I1120" s="8"/>
      <c r="J1120" s="8">
        <v>2010</v>
      </c>
      <c r="K1120" s="8" t="s">
        <v>1062</v>
      </c>
      <c r="L1120" s="8"/>
      <c r="M1120" s="8" t="s">
        <v>67</v>
      </c>
      <c r="N1120" s="8"/>
      <c r="O1120" s="8"/>
      <c r="P1120" t="s">
        <v>1135</v>
      </c>
      <c r="Q1120" s="8"/>
      <c r="R1120" s="8" t="s">
        <v>1127</v>
      </c>
      <c r="S1120" t="s">
        <v>1128</v>
      </c>
      <c r="T1120" s="8" t="s">
        <v>68</v>
      </c>
      <c r="U1120" s="8" t="s">
        <v>167</v>
      </c>
      <c r="V1120" s="8" t="s">
        <v>442</v>
      </c>
      <c r="W1120" s="8" t="str">
        <f>IF(ISNUMBER(MATCH(V514,{"Doryteuthis pealeii","Loligo vulgaris","Leptuca thayeri","Stylocheilus striatus","Ophryotrocha labronica"},0)),"N","Y")</f>
        <v>Y</v>
      </c>
      <c r="X1120" s="8"/>
      <c r="Y1120" s="8"/>
      <c r="Z1120" s="8"/>
      <c r="AA1120" s="8"/>
      <c r="AB1120" s="8"/>
      <c r="AC1120" s="8" t="s">
        <v>195</v>
      </c>
      <c r="AD1120" s="8"/>
      <c r="AE1120" s="8"/>
      <c r="AF1120" s="8" t="s">
        <v>52</v>
      </c>
      <c r="AG1120" s="8" t="s">
        <v>52</v>
      </c>
      <c r="AH1120" s="8" t="s">
        <v>64</v>
      </c>
      <c r="AI1120" s="8"/>
      <c r="AJ1120" s="8"/>
      <c r="AK1120" s="8">
        <v>3</v>
      </c>
      <c r="AL1120" s="8">
        <v>3</v>
      </c>
      <c r="AM1120" s="8"/>
      <c r="AN1120" s="8">
        <v>375</v>
      </c>
      <c r="AO1120" s="8"/>
      <c r="AP1120" s="8"/>
      <c r="AQ1120" s="8"/>
      <c r="AR1120" s="8"/>
      <c r="AS1120" s="8"/>
      <c r="AT1120" s="8"/>
      <c r="AU1120" s="8">
        <v>750</v>
      </c>
      <c r="BA1120" s="8"/>
      <c r="BB1120" s="8">
        <f>LOG(AU1120)</f>
        <v>2.8750612633917001</v>
      </c>
      <c r="BC1120" s="8">
        <v>18</v>
      </c>
      <c r="BD1120" s="8"/>
      <c r="BE1120" s="8"/>
      <c r="BF1120" s="8">
        <v>30</v>
      </c>
      <c r="BG1120" s="8"/>
      <c r="BH1120" s="8"/>
      <c r="BI1120" s="8">
        <v>375</v>
      </c>
      <c r="BJ1120" s="8">
        <v>12</v>
      </c>
      <c r="BK1120" s="8" t="s">
        <v>1064</v>
      </c>
      <c r="BL1120" s="8" t="s">
        <v>933</v>
      </c>
      <c r="BM1120" s="8" t="s">
        <v>473</v>
      </c>
      <c r="BN1120" s="8" t="s">
        <v>81</v>
      </c>
      <c r="BO1120" s="8" t="s">
        <v>82</v>
      </c>
      <c r="BP1120" s="8" t="s">
        <v>190</v>
      </c>
      <c r="BQ1120" s="8" t="s">
        <v>190</v>
      </c>
      <c r="BR1120" s="8" t="s">
        <v>84</v>
      </c>
      <c r="BS1120" s="8"/>
      <c r="BT1120" s="8">
        <v>55.2</v>
      </c>
      <c r="BU1120" s="8">
        <v>55.198999999999998</v>
      </c>
      <c r="BV1120" s="8">
        <v>2.25</v>
      </c>
      <c r="BW1120" s="8">
        <f>BV1120*SQRT(AK1120)</f>
        <v>3.8971143170299736</v>
      </c>
      <c r="BX1120" s="8">
        <v>57.77</v>
      </c>
      <c r="BY1120" s="8">
        <v>57.768000000000001</v>
      </c>
      <c r="BZ1120" s="8">
        <v>0.84</v>
      </c>
      <c r="CA1120" s="8">
        <f>BZ1120*SQRT(AL1120)</f>
        <v>1.4549226783578568</v>
      </c>
      <c r="CB1120" s="8">
        <v>0</v>
      </c>
      <c r="CC1120" s="8">
        <v>3</v>
      </c>
      <c r="CD1120" s="8">
        <v>4.4999999999999998E-2</v>
      </c>
      <c r="CE1120" s="8">
        <v>1.9E-3</v>
      </c>
      <c r="CF1120" s="8" t="s">
        <v>1134</v>
      </c>
    </row>
    <row r="1121" spans="1:84" hidden="1" x14ac:dyDescent="0.2">
      <c r="A1121" s="8"/>
      <c r="B1121" t="str">
        <f>ROW()-1&amp;"_AltersInvert"</f>
        <v>1120_AltersInvert</v>
      </c>
      <c r="C1121" t="str">
        <f>D1121&amp;"_"&amp;
SUBSTITUTE(TRIM(V1121)," ","_")&amp;"_"&amp;
TRIM(AC1121)&amp;"_"&amp;
"CO2"&amp;TEXT(AN1121,"0.00")&amp;"_"&amp;
"pH"&amp;TEXT(AR1121,"0.00")&amp;"_"&amp;
"T"&amp;TEXT(BC1121,"0.##")</f>
        <v>212_Saccostrea_glomerata_EMBRYO_CO2375.00_pH0.00_T18.</v>
      </c>
      <c r="D1121" s="8">
        <v>212</v>
      </c>
      <c r="E1121" s="8"/>
      <c r="F1121" s="8"/>
      <c r="G1121" s="8" t="s">
        <v>43</v>
      </c>
      <c r="H1121" s="8" t="s">
        <v>1063</v>
      </c>
      <c r="I1121" s="8"/>
      <c r="J1121" s="8">
        <v>2010</v>
      </c>
      <c r="K1121" s="8" t="s">
        <v>1062</v>
      </c>
      <c r="L1121" s="8"/>
      <c r="M1121" s="8" t="s">
        <v>67</v>
      </c>
      <c r="N1121" s="8"/>
      <c r="O1121" s="8"/>
      <c r="P1121" t="s">
        <v>1135</v>
      </c>
      <c r="Q1121" s="8"/>
      <c r="R1121" s="8" t="s">
        <v>1127</v>
      </c>
      <c r="S1121" t="s">
        <v>1128</v>
      </c>
      <c r="T1121" s="8" t="s">
        <v>68</v>
      </c>
      <c r="U1121" s="8" t="s">
        <v>167</v>
      </c>
      <c r="V1121" s="8" t="s">
        <v>442</v>
      </c>
      <c r="W1121" s="8" t="str">
        <f>IF(ISNUMBER(MATCH(V515,{"Doryteuthis pealeii","Loligo vulgaris","Leptuca thayeri","Stylocheilus striatus","Ophryotrocha labronica"},0)),"N","Y")</f>
        <v>Y</v>
      </c>
      <c r="X1121" s="8"/>
      <c r="Y1121" s="8"/>
      <c r="Z1121" s="8"/>
      <c r="AA1121" s="8"/>
      <c r="AB1121" s="8"/>
      <c r="AC1121" s="8" t="s">
        <v>195</v>
      </c>
      <c r="AD1121" s="8"/>
      <c r="AE1121" s="8"/>
      <c r="AF1121" s="8" t="s">
        <v>52</v>
      </c>
      <c r="AG1121" s="8" t="s">
        <v>52</v>
      </c>
      <c r="AH1121" s="8" t="s">
        <v>64</v>
      </c>
      <c r="AI1121" s="8"/>
      <c r="AJ1121" s="8"/>
      <c r="AK1121" s="8">
        <v>3</v>
      </c>
      <c r="AL1121" s="8">
        <v>3</v>
      </c>
      <c r="AM1121" s="8"/>
      <c r="AN1121" s="8">
        <v>375</v>
      </c>
      <c r="AO1121" s="8"/>
      <c r="AP1121" s="8"/>
      <c r="AQ1121" s="8"/>
      <c r="AR1121" s="8"/>
      <c r="AS1121" s="8"/>
      <c r="AT1121" s="8"/>
      <c r="AU1121" s="8">
        <v>1000</v>
      </c>
      <c r="BA1121" s="8"/>
      <c r="BB1121" s="8">
        <f>LOG(AU1121)</f>
        <v>3</v>
      </c>
      <c r="BC1121" s="8">
        <v>18</v>
      </c>
      <c r="BD1121" s="8"/>
      <c r="BE1121" s="8"/>
      <c r="BF1121" s="8">
        <v>26</v>
      </c>
      <c r="BG1121" s="8"/>
      <c r="BH1121" s="8"/>
      <c r="BI1121" s="8">
        <v>625</v>
      </c>
      <c r="BJ1121" s="8">
        <v>8</v>
      </c>
      <c r="BK1121" s="8" t="s">
        <v>1064</v>
      </c>
      <c r="BL1121" s="8" t="s">
        <v>933</v>
      </c>
      <c r="BM1121" s="8" t="s">
        <v>473</v>
      </c>
      <c r="BN1121" s="8" t="s">
        <v>81</v>
      </c>
      <c r="BO1121" s="8" t="s">
        <v>82</v>
      </c>
      <c r="BP1121" s="8" t="s">
        <v>190</v>
      </c>
      <c r="BQ1121" s="8" t="s">
        <v>190</v>
      </c>
      <c r="BR1121" s="8" t="s">
        <v>84</v>
      </c>
      <c r="BS1121" s="8"/>
      <c r="BT1121" s="8">
        <v>55.2</v>
      </c>
      <c r="BU1121" s="8">
        <v>55.198999999999998</v>
      </c>
      <c r="BV1121" s="8">
        <v>2.25</v>
      </c>
      <c r="BW1121" s="8">
        <f>BV1121*SQRT(AK1121)</f>
        <v>3.8971143170299736</v>
      </c>
      <c r="BX1121" s="8">
        <v>60.36</v>
      </c>
      <c r="BY1121" s="8">
        <v>60.356000000000002</v>
      </c>
      <c r="BZ1121" s="8">
        <v>1.97</v>
      </c>
      <c r="CA1121" s="8">
        <f>BZ1121*SQRT(AL1121)</f>
        <v>3.4121400909106878</v>
      </c>
      <c r="CB1121" s="8">
        <v>0</v>
      </c>
      <c r="CC1121" s="8">
        <v>3</v>
      </c>
      <c r="CD1121" s="8">
        <v>8.8999999999999996E-2</v>
      </c>
      <c r="CE1121" s="8">
        <v>2.7000000000000001E-3</v>
      </c>
      <c r="CF1121" s="8" t="s">
        <v>1134</v>
      </c>
    </row>
    <row r="1122" spans="1:84" hidden="1" x14ac:dyDescent="0.2">
      <c r="A1122" s="8"/>
      <c r="B1122" t="str">
        <f>ROW()-1&amp;"_AltersInvert"</f>
        <v>1121_AltersInvert</v>
      </c>
      <c r="C1122" t="str">
        <f>D1122&amp;"_"&amp;
SUBSTITUTE(TRIM(V1122)," ","_")&amp;"_"&amp;
TRIM(AC1122)&amp;"_"&amp;
"CO2"&amp;TEXT(AN1122,"0.00")&amp;"_"&amp;
"pH"&amp;TEXT(AR1122,"0.00")&amp;"_"&amp;
"T"&amp;TEXT(BC1122,"0.##")</f>
        <v>212_Saccostrea_glomerata_EMBRYO_CO2375.00_pH0.00_T18.</v>
      </c>
      <c r="D1122" s="8">
        <v>212</v>
      </c>
      <c r="E1122" s="8"/>
      <c r="F1122" s="8"/>
      <c r="G1122" s="8" t="s">
        <v>43</v>
      </c>
      <c r="H1122" s="8" t="s">
        <v>1063</v>
      </c>
      <c r="I1122" s="8"/>
      <c r="J1122" s="8">
        <v>2010</v>
      </c>
      <c r="K1122" s="8" t="s">
        <v>1062</v>
      </c>
      <c r="L1122" s="8"/>
      <c r="M1122" s="8" t="s">
        <v>67</v>
      </c>
      <c r="N1122" s="8"/>
      <c r="O1122" s="8"/>
      <c r="P1122" t="s">
        <v>1135</v>
      </c>
      <c r="Q1122" s="8"/>
      <c r="R1122" s="8" t="s">
        <v>1127</v>
      </c>
      <c r="S1122" t="s">
        <v>1128</v>
      </c>
      <c r="T1122" s="8" t="s">
        <v>68</v>
      </c>
      <c r="U1122" s="8" t="s">
        <v>167</v>
      </c>
      <c r="V1122" s="8" t="s">
        <v>442</v>
      </c>
      <c r="W1122" s="8" t="str">
        <f>IF(ISNUMBER(MATCH(V516,{"Doryteuthis pealeii","Loligo vulgaris","Leptuca thayeri","Stylocheilus striatus","Ophryotrocha labronica"},0)),"N","Y")</f>
        <v>Y</v>
      </c>
      <c r="X1122" s="8"/>
      <c r="Y1122" s="8"/>
      <c r="Z1122" s="8"/>
      <c r="AA1122" s="8"/>
      <c r="AB1122" s="8"/>
      <c r="AC1122" s="8" t="s">
        <v>195</v>
      </c>
      <c r="AD1122" s="8"/>
      <c r="AE1122" s="8"/>
      <c r="AF1122" s="8" t="s">
        <v>52</v>
      </c>
      <c r="AG1122" s="8" t="s">
        <v>52</v>
      </c>
      <c r="AH1122" s="8" t="s">
        <v>64</v>
      </c>
      <c r="AI1122" s="8"/>
      <c r="AJ1122" s="8"/>
      <c r="AK1122" s="8">
        <v>3</v>
      </c>
      <c r="AL1122" s="8">
        <v>3</v>
      </c>
      <c r="AM1122" s="8"/>
      <c r="AN1122" s="8">
        <v>375</v>
      </c>
      <c r="AO1122" s="8"/>
      <c r="AP1122" s="8"/>
      <c r="AQ1122" s="8"/>
      <c r="AR1122" s="8"/>
      <c r="AS1122" s="8"/>
      <c r="AT1122" s="8"/>
      <c r="AU1122" s="8">
        <v>600</v>
      </c>
      <c r="BA1122" s="8"/>
      <c r="BB1122" s="8">
        <f>LOG(AU1122)</f>
        <v>2.7781512503836434</v>
      </c>
      <c r="BC1122" s="8">
        <v>18</v>
      </c>
      <c r="BD1122" s="8"/>
      <c r="BE1122" s="8"/>
      <c r="BF1122" s="8">
        <v>30</v>
      </c>
      <c r="BG1122" s="8"/>
      <c r="BH1122" s="8"/>
      <c r="BI1122" s="8">
        <v>225</v>
      </c>
      <c r="BJ1122" s="8">
        <v>12</v>
      </c>
      <c r="BK1122" s="8" t="s">
        <v>1064</v>
      </c>
      <c r="BL1122" s="8" t="s">
        <v>933</v>
      </c>
      <c r="BM1122" s="8" t="s">
        <v>473</v>
      </c>
      <c r="BN1122" s="8" t="s">
        <v>81</v>
      </c>
      <c r="BO1122" s="8" t="s">
        <v>82</v>
      </c>
      <c r="BP1122" s="8" t="s">
        <v>190</v>
      </c>
      <c r="BQ1122" s="8" t="s">
        <v>190</v>
      </c>
      <c r="BR1122" s="8" t="s">
        <v>84</v>
      </c>
      <c r="BS1122" s="8"/>
      <c r="BT1122" s="8">
        <v>55.2</v>
      </c>
      <c r="BU1122" s="8">
        <v>55.198999999999998</v>
      </c>
      <c r="BV1122" s="8">
        <v>2.25</v>
      </c>
      <c r="BW1122" s="8">
        <f>BV1122*SQRT(AK1122)</f>
        <v>3.8971143170299736</v>
      </c>
      <c r="BX1122" s="8">
        <v>60.6</v>
      </c>
      <c r="BY1122" s="8">
        <v>60.600999999999999</v>
      </c>
      <c r="BZ1122" s="8">
        <v>2.25</v>
      </c>
      <c r="CA1122" s="8">
        <f>BZ1122*SQRT(AL1122)</f>
        <v>3.8971143170299736</v>
      </c>
      <c r="CB1122" s="8">
        <v>0</v>
      </c>
      <c r="CC1122" s="8">
        <v>3</v>
      </c>
      <c r="CD1122" s="8">
        <v>9.2999999999999999E-2</v>
      </c>
      <c r="CE1122" s="8">
        <v>3.0999999999999999E-3</v>
      </c>
      <c r="CF1122" s="8" t="s">
        <v>1134</v>
      </c>
    </row>
    <row r="1123" spans="1:84" hidden="1" x14ac:dyDescent="0.2">
      <c r="A1123" s="8"/>
      <c r="B1123" t="str">
        <f>ROW()-1&amp;"_AltersInvert"</f>
        <v>1122_AltersInvert</v>
      </c>
      <c r="C1123" t="str">
        <f>D1123&amp;"_"&amp;
SUBSTITUTE(TRIM(V1123)," ","_")&amp;"_"&amp;
TRIM(AC1123)&amp;"_"&amp;
"CO2"&amp;TEXT(AN1123,"0.00")&amp;"_"&amp;
"pH"&amp;TEXT(AR1123,"0.00")&amp;"_"&amp;
"T"&amp;TEXT(BC1123,"0.##")</f>
        <v>212_Saccostrea_glomerata_EMBRYO_CO2375.00_pH0.00_T18.</v>
      </c>
      <c r="D1123" s="8">
        <v>212</v>
      </c>
      <c r="E1123" s="8"/>
      <c r="F1123" s="8"/>
      <c r="G1123" s="8" t="s">
        <v>43</v>
      </c>
      <c r="H1123" s="8" t="s">
        <v>1063</v>
      </c>
      <c r="I1123" s="8"/>
      <c r="J1123" s="8">
        <v>2010</v>
      </c>
      <c r="K1123" s="8" t="s">
        <v>1062</v>
      </c>
      <c r="L1123" s="8"/>
      <c r="M1123" s="8" t="s">
        <v>67</v>
      </c>
      <c r="N1123" s="8"/>
      <c r="O1123" s="8"/>
      <c r="P1123" t="s">
        <v>1135</v>
      </c>
      <c r="Q1123" s="8"/>
      <c r="R1123" s="8" t="s">
        <v>1127</v>
      </c>
      <c r="S1123" t="s">
        <v>1128</v>
      </c>
      <c r="T1123" s="8" t="s">
        <v>68</v>
      </c>
      <c r="U1123" s="8" t="s">
        <v>167</v>
      </c>
      <c r="V1123" s="8" t="s">
        <v>442</v>
      </c>
      <c r="W1123" s="8" t="str">
        <f>IF(ISNUMBER(MATCH(V517,{"Doryteuthis pealeii","Loligo vulgaris","Leptuca thayeri","Stylocheilus striatus","Ophryotrocha labronica"},0)),"N","Y")</f>
        <v>Y</v>
      </c>
      <c r="X1123" s="8"/>
      <c r="Y1123" s="8"/>
      <c r="Z1123" s="8"/>
      <c r="AA1123" s="8"/>
      <c r="AB1123" s="8"/>
      <c r="AC1123" s="8" t="s">
        <v>195</v>
      </c>
      <c r="AD1123" s="8"/>
      <c r="AE1123" s="8"/>
      <c r="AF1123" s="8" t="s">
        <v>52</v>
      </c>
      <c r="AG1123" s="8" t="s">
        <v>52</v>
      </c>
      <c r="AH1123" s="8" t="s">
        <v>64</v>
      </c>
      <c r="AI1123" s="8"/>
      <c r="AJ1123" s="8"/>
      <c r="AK1123" s="8">
        <v>3</v>
      </c>
      <c r="AL1123" s="8">
        <v>3</v>
      </c>
      <c r="AM1123" s="8"/>
      <c r="AN1123" s="8">
        <v>375</v>
      </c>
      <c r="AO1123" s="8"/>
      <c r="AP1123" s="8"/>
      <c r="AQ1123" s="8"/>
      <c r="AR1123" s="8"/>
      <c r="AS1123" s="8"/>
      <c r="AT1123" s="8"/>
      <c r="AU1123" s="8">
        <v>750</v>
      </c>
      <c r="BA1123" s="8"/>
      <c r="BB1123" s="8">
        <f>LOG(AU1123)</f>
        <v>2.8750612633917001</v>
      </c>
      <c r="BC1123" s="8">
        <v>18</v>
      </c>
      <c r="BD1123" s="8"/>
      <c r="BE1123" s="8"/>
      <c r="BF1123" s="8">
        <v>26</v>
      </c>
      <c r="BG1123" s="8"/>
      <c r="BH1123" s="8"/>
      <c r="BI1123" s="8">
        <v>375</v>
      </c>
      <c r="BJ1123" s="8">
        <v>8</v>
      </c>
      <c r="BK1123" s="8" t="s">
        <v>1064</v>
      </c>
      <c r="BL1123" s="8" t="s">
        <v>933</v>
      </c>
      <c r="BM1123" s="8" t="s">
        <v>473</v>
      </c>
      <c r="BN1123" s="8" t="s">
        <v>81</v>
      </c>
      <c r="BO1123" s="8" t="s">
        <v>82</v>
      </c>
      <c r="BP1123" s="8" t="s">
        <v>190</v>
      </c>
      <c r="BQ1123" s="8" t="s">
        <v>190</v>
      </c>
      <c r="BR1123" s="8" t="s">
        <v>84</v>
      </c>
      <c r="BS1123" s="8"/>
      <c r="BT1123" s="8">
        <v>55.2</v>
      </c>
      <c r="BU1123" s="8">
        <v>55.198999999999998</v>
      </c>
      <c r="BV1123" s="8">
        <v>2.25</v>
      </c>
      <c r="BW1123" s="8">
        <f>BV1123*SQRT(AK1123)</f>
        <v>3.8971143170299736</v>
      </c>
      <c r="BX1123" s="8">
        <v>65.73</v>
      </c>
      <c r="BY1123" s="8">
        <v>65.724999999999994</v>
      </c>
      <c r="BZ1123" s="8">
        <v>1.69</v>
      </c>
      <c r="CA1123" s="8">
        <f>BZ1123*SQRT(AL1123)</f>
        <v>2.9271658647914025</v>
      </c>
      <c r="CB1123" s="8">
        <v>0</v>
      </c>
      <c r="CC1123" s="8">
        <v>3</v>
      </c>
      <c r="CD1123" s="8">
        <v>0.17499999999999999</v>
      </c>
      <c r="CE1123" s="8">
        <v>2.3E-3</v>
      </c>
      <c r="CF1123" s="8" t="s">
        <v>1134</v>
      </c>
    </row>
    <row r="1124" spans="1:84" hidden="1" x14ac:dyDescent="0.2">
      <c r="A1124" s="8"/>
      <c r="B1124" t="str">
        <f>ROW()-1&amp;"_AltersInvert"</f>
        <v>1123_AltersInvert</v>
      </c>
      <c r="C1124" t="str">
        <f>D1124&amp;"_"&amp;
SUBSTITUTE(TRIM(V1124)," ","_")&amp;"_"&amp;
TRIM(AC1124)&amp;"_"&amp;
"CO2"&amp;TEXT(AN1124,"0.00")&amp;"_"&amp;
"pH"&amp;TEXT(AR1124,"0.00")&amp;"_"&amp;
"T"&amp;TEXT(BC1124,"0.##")</f>
        <v>212_Saccostrea_glomerata_EMBRYO_CO2375.00_pH0.00_T18.</v>
      </c>
      <c r="D1124" s="8">
        <v>212</v>
      </c>
      <c r="E1124" s="8"/>
      <c r="F1124" s="8"/>
      <c r="G1124" s="8" t="s">
        <v>43</v>
      </c>
      <c r="H1124" s="8" t="s">
        <v>1063</v>
      </c>
      <c r="I1124" s="8"/>
      <c r="J1124" s="8">
        <v>2010</v>
      </c>
      <c r="K1124" s="8" t="s">
        <v>1062</v>
      </c>
      <c r="L1124" s="8"/>
      <c r="M1124" s="8" t="s">
        <v>67</v>
      </c>
      <c r="N1124" s="8"/>
      <c r="O1124" s="8"/>
      <c r="P1124" t="s">
        <v>1135</v>
      </c>
      <c r="Q1124" s="8"/>
      <c r="R1124" s="8" t="s">
        <v>1127</v>
      </c>
      <c r="S1124" t="s">
        <v>1128</v>
      </c>
      <c r="T1124" s="8" t="s">
        <v>68</v>
      </c>
      <c r="U1124" s="8" t="s">
        <v>167</v>
      </c>
      <c r="V1124" s="8" t="s">
        <v>442</v>
      </c>
      <c r="W1124" s="8" t="str">
        <f>IF(ISNUMBER(MATCH(V518,{"Doryteuthis pealeii","Loligo vulgaris","Leptuca thayeri","Stylocheilus striatus","Ophryotrocha labronica"},0)),"N","Y")</f>
        <v>Y</v>
      </c>
      <c r="X1124" s="8"/>
      <c r="Y1124" s="8"/>
      <c r="Z1124" s="8"/>
      <c r="AA1124" s="8"/>
      <c r="AB1124" s="8"/>
      <c r="AC1124" s="8" t="s">
        <v>195</v>
      </c>
      <c r="AD1124" s="8"/>
      <c r="AE1124" s="8"/>
      <c r="AF1124" s="8" t="s">
        <v>52</v>
      </c>
      <c r="AG1124" s="8" t="s">
        <v>52</v>
      </c>
      <c r="AH1124" s="8" t="s">
        <v>64</v>
      </c>
      <c r="AI1124" s="8"/>
      <c r="AJ1124" s="8"/>
      <c r="AK1124" s="8">
        <v>3</v>
      </c>
      <c r="AL1124" s="8">
        <v>3</v>
      </c>
      <c r="AM1124" s="8"/>
      <c r="AN1124" s="8">
        <v>375</v>
      </c>
      <c r="AO1124" s="8"/>
      <c r="AP1124" s="8"/>
      <c r="AQ1124" s="8"/>
      <c r="AR1124" s="8"/>
      <c r="AS1124" s="8"/>
      <c r="AT1124" s="8"/>
      <c r="AU1124" s="8">
        <v>600</v>
      </c>
      <c r="BA1124" s="8"/>
      <c r="BB1124" s="8">
        <f>LOG(AU1124)</f>
        <v>2.7781512503836434</v>
      </c>
      <c r="BC1124" s="8">
        <v>18</v>
      </c>
      <c r="BD1124" s="8"/>
      <c r="BE1124" s="8"/>
      <c r="BF1124" s="8">
        <v>26</v>
      </c>
      <c r="BG1124" s="8"/>
      <c r="BH1124" s="8"/>
      <c r="BI1124" s="8">
        <v>225</v>
      </c>
      <c r="BJ1124" s="8">
        <v>8</v>
      </c>
      <c r="BK1124" s="8" t="s">
        <v>1064</v>
      </c>
      <c r="BL1124" s="8" t="s">
        <v>933</v>
      </c>
      <c r="BM1124" s="8" t="s">
        <v>473</v>
      </c>
      <c r="BN1124" s="8" t="s">
        <v>81</v>
      </c>
      <c r="BO1124" s="8" t="s">
        <v>82</v>
      </c>
      <c r="BP1124" s="8" t="s">
        <v>190</v>
      </c>
      <c r="BQ1124" s="8" t="s">
        <v>190</v>
      </c>
      <c r="BR1124" s="8" t="s">
        <v>84</v>
      </c>
      <c r="BS1124" s="8"/>
      <c r="BT1124" s="8">
        <v>55.2</v>
      </c>
      <c r="BU1124" s="8">
        <v>55.198999999999998</v>
      </c>
      <c r="BV1124" s="8">
        <v>2.25</v>
      </c>
      <c r="BW1124" s="8">
        <f>BV1124*SQRT(AK1124)</f>
        <v>3.8971143170299736</v>
      </c>
      <c r="BX1124" s="8">
        <v>74.19</v>
      </c>
      <c r="BY1124" s="8">
        <v>74.192999999999998</v>
      </c>
      <c r="BZ1124" s="8">
        <v>2.25</v>
      </c>
      <c r="CA1124" s="8">
        <f>BZ1124*SQRT(AL1124)</f>
        <v>3.8971143170299736</v>
      </c>
      <c r="CB1124" s="8">
        <v>0</v>
      </c>
      <c r="CC1124" s="8">
        <v>3</v>
      </c>
      <c r="CD1124" s="8">
        <v>0.29599999999999999</v>
      </c>
      <c r="CE1124" s="8">
        <v>2.5999999999999999E-3</v>
      </c>
      <c r="CF1124" s="8" t="s">
        <v>1134</v>
      </c>
    </row>
    <row r="1125" spans="1:84" hidden="1" x14ac:dyDescent="0.2">
      <c r="B1125" t="str">
        <f>ROW()-1&amp;"_AltersInvert"</f>
        <v>1124_AltersInvert</v>
      </c>
      <c r="C1125" t="str">
        <f>D1125&amp;"_"&amp;
SUBSTITUTE(TRIM(V1125)," ","_")&amp;"_"&amp;
TRIM(AC1125)&amp;"_"&amp;
"CO2"&amp;TEXT(AN1125,"0.00")&amp;"_"&amp;
"pH"&amp;TEXT(AR1125,"0.00")&amp;"_"&amp;
"T"&amp;TEXT(BC1125,"0.##")</f>
        <v>212_Saccostrea_glomerata_LARVA_CO2375.00_pH0.00_T18.</v>
      </c>
      <c r="D1125">
        <v>212</v>
      </c>
      <c r="G1125" t="s">
        <v>43</v>
      </c>
      <c r="H1125" t="s">
        <v>1063</v>
      </c>
      <c r="J1125">
        <v>2010</v>
      </c>
      <c r="K1125" t="s">
        <v>1062</v>
      </c>
      <c r="M1125" t="s">
        <v>67</v>
      </c>
      <c r="P1125" t="s">
        <v>1135</v>
      </c>
      <c r="R1125" t="s">
        <v>1127</v>
      </c>
      <c r="S1125" t="s">
        <v>1128</v>
      </c>
      <c r="T1125" t="s">
        <v>68</v>
      </c>
      <c r="U1125" t="s">
        <v>167</v>
      </c>
      <c r="V1125" t="s">
        <v>442</v>
      </c>
      <c r="AC1125" t="s">
        <v>72</v>
      </c>
      <c r="AF1125" t="s">
        <v>52</v>
      </c>
      <c r="AG1125" t="s">
        <v>54</v>
      </c>
      <c r="AH1125" t="s">
        <v>55</v>
      </c>
      <c r="AK1125">
        <v>3</v>
      </c>
      <c r="AL1125">
        <v>3</v>
      </c>
      <c r="AM1125" t="s">
        <v>1076</v>
      </c>
      <c r="AN1125">
        <v>375</v>
      </c>
      <c r="AU1125">
        <v>1000</v>
      </c>
      <c r="BB1125">
        <f>LOG(AU1125)</f>
        <v>3</v>
      </c>
      <c r="BC1125">
        <v>18</v>
      </c>
      <c r="BF1125">
        <v>18</v>
      </c>
      <c r="BI1125">
        <v>625</v>
      </c>
      <c r="BJ1125">
        <v>0</v>
      </c>
      <c r="BK1125" t="s">
        <v>1064</v>
      </c>
      <c r="BL1125" t="s">
        <v>85</v>
      </c>
      <c r="BM1125" t="s">
        <v>86</v>
      </c>
      <c r="BN1125" t="s">
        <v>81</v>
      </c>
      <c r="BO1125" t="s">
        <v>82</v>
      </c>
      <c r="BP1125" t="s">
        <v>9</v>
      </c>
      <c r="BQ1125" t="s">
        <v>9</v>
      </c>
      <c r="BR1125" t="s">
        <v>84</v>
      </c>
      <c r="BT1125">
        <v>40.869999999999997</v>
      </c>
      <c r="BU1125">
        <v>59.13</v>
      </c>
      <c r="BV1125">
        <v>2.286</v>
      </c>
      <c r="BW1125">
        <f>BV1125*SQRT(AK1125)</f>
        <v>3.9594681461024535</v>
      </c>
      <c r="BX1125">
        <v>100</v>
      </c>
      <c r="BY1125">
        <v>1</v>
      </c>
      <c r="BZ1125">
        <v>0</v>
      </c>
      <c r="CA1125">
        <f>BZ1125*SQRT(AL1125)</f>
        <v>0</v>
      </c>
      <c r="CB1125">
        <v>2</v>
      </c>
      <c r="CC1125">
        <v>3</v>
      </c>
      <c r="CD1125">
        <v>-4.08</v>
      </c>
      <c r="CE1125">
        <v>1.5E-3</v>
      </c>
    </row>
    <row r="1126" spans="1:84" hidden="1" x14ac:dyDescent="0.2">
      <c r="B1126" t="str">
        <f>ROW()-1&amp;"_AltersInvert"</f>
        <v>1125_AltersInvert</v>
      </c>
      <c r="C1126" t="str">
        <f>D1126&amp;"_"&amp;
SUBSTITUTE(TRIM(V1126)," ","_")&amp;"_"&amp;
TRIM(AC1126)&amp;"_"&amp;
"CO2"&amp;TEXT(AN1126,"0.00")&amp;"_"&amp;
"pH"&amp;TEXT(AR1126,"0.00")&amp;"_"&amp;
"T"&amp;TEXT(BC1126,"0.##")</f>
        <v>212_Saccostrea_glomerata_LARVA_CO2375.00_pH0.00_T18.</v>
      </c>
      <c r="D1126">
        <v>212</v>
      </c>
      <c r="G1126" t="s">
        <v>43</v>
      </c>
      <c r="H1126" t="s">
        <v>1063</v>
      </c>
      <c r="J1126">
        <v>2010</v>
      </c>
      <c r="K1126" t="s">
        <v>1062</v>
      </c>
      <c r="M1126" t="s">
        <v>67</v>
      </c>
      <c r="P1126" t="s">
        <v>1135</v>
      </c>
      <c r="R1126" t="s">
        <v>1127</v>
      </c>
      <c r="S1126" t="s">
        <v>1128</v>
      </c>
      <c r="T1126" t="s">
        <v>68</v>
      </c>
      <c r="U1126" t="s">
        <v>167</v>
      </c>
      <c r="V1126" t="s">
        <v>442</v>
      </c>
      <c r="AC1126" t="s">
        <v>72</v>
      </c>
      <c r="AF1126" t="s">
        <v>52</v>
      </c>
      <c r="AG1126" t="s">
        <v>54</v>
      </c>
      <c r="AH1126" t="s">
        <v>55</v>
      </c>
      <c r="AK1126">
        <v>3</v>
      </c>
      <c r="AL1126">
        <v>3</v>
      </c>
      <c r="AN1126">
        <v>375</v>
      </c>
      <c r="AU1126">
        <v>600</v>
      </c>
      <c r="BB1126">
        <f>LOG(AU1126)</f>
        <v>2.7781512503836434</v>
      </c>
      <c r="BC1126">
        <v>18</v>
      </c>
      <c r="BF1126">
        <v>18</v>
      </c>
      <c r="BI1126">
        <v>225</v>
      </c>
      <c r="BJ1126">
        <v>0</v>
      </c>
      <c r="BK1126" t="s">
        <v>1064</v>
      </c>
      <c r="BL1126" t="s">
        <v>85</v>
      </c>
      <c r="BM1126" t="s">
        <v>86</v>
      </c>
      <c r="BN1126" t="s">
        <v>81</v>
      </c>
      <c r="BO1126" t="s">
        <v>82</v>
      </c>
      <c r="BP1126" t="s">
        <v>9</v>
      </c>
      <c r="BQ1126" t="s">
        <v>9</v>
      </c>
      <c r="BR1126" t="s">
        <v>84</v>
      </c>
      <c r="BT1126">
        <v>40.869999999999997</v>
      </c>
      <c r="BU1126">
        <v>59.13</v>
      </c>
      <c r="BV1126">
        <v>2.29</v>
      </c>
      <c r="BW1126">
        <f>BV1126*SQRT(AK1126)</f>
        <v>3.966396349332729</v>
      </c>
      <c r="BX1126">
        <v>97.46</v>
      </c>
      <c r="BY1126">
        <v>2.54</v>
      </c>
      <c r="BZ1126">
        <v>2.86</v>
      </c>
      <c r="CA1126">
        <f>BZ1126*SQRT(AL1126)</f>
        <v>4.9536653096469889</v>
      </c>
      <c r="CB1126">
        <v>2</v>
      </c>
      <c r="CC1126">
        <v>3</v>
      </c>
      <c r="CD1126">
        <v>-3.1480000000000001</v>
      </c>
      <c r="CE1126">
        <v>1.2658</v>
      </c>
    </row>
    <row r="1127" spans="1:84" hidden="1" x14ac:dyDescent="0.2">
      <c r="B1127" t="str">
        <f>ROW()-1&amp;"_AltersInvert"</f>
        <v>1126_AltersInvert</v>
      </c>
      <c r="C1127" t="str">
        <f>D1127&amp;"_"&amp;
SUBSTITUTE(TRIM(V1127)," ","_")&amp;"_"&amp;
TRIM(AC1127)&amp;"_"&amp;
"CO2"&amp;TEXT(AN1127,"0.00")&amp;"_"&amp;
"pH"&amp;TEXT(AR1127,"0.00")&amp;"_"&amp;
"T"&amp;TEXT(BC1127,"0.##")</f>
        <v>212_Saccostrea_glomerata_LARVA_CO2375.00_pH0.00_T18.</v>
      </c>
      <c r="D1127">
        <v>212</v>
      </c>
      <c r="G1127" t="s">
        <v>43</v>
      </c>
      <c r="H1127" t="s">
        <v>1063</v>
      </c>
      <c r="J1127">
        <v>2010</v>
      </c>
      <c r="K1127" t="s">
        <v>1062</v>
      </c>
      <c r="M1127" t="s">
        <v>67</v>
      </c>
      <c r="P1127" t="s">
        <v>1135</v>
      </c>
      <c r="R1127" t="s">
        <v>1127</v>
      </c>
      <c r="S1127" t="s">
        <v>1128</v>
      </c>
      <c r="T1127" t="s">
        <v>68</v>
      </c>
      <c r="U1127" t="s">
        <v>167</v>
      </c>
      <c r="V1127" t="s">
        <v>442</v>
      </c>
      <c r="AC1127" t="s">
        <v>72</v>
      </c>
      <c r="AF1127" t="s">
        <v>52</v>
      </c>
      <c r="AG1127" t="s">
        <v>54</v>
      </c>
      <c r="AH1127" t="s">
        <v>55</v>
      </c>
      <c r="AK1127">
        <v>3</v>
      </c>
      <c r="AL1127">
        <v>3</v>
      </c>
      <c r="AN1127">
        <v>375</v>
      </c>
      <c r="AU1127">
        <v>750</v>
      </c>
      <c r="BB1127">
        <f>LOG(AU1127)</f>
        <v>2.8750612633917001</v>
      </c>
      <c r="BC1127">
        <v>18</v>
      </c>
      <c r="BF1127">
        <v>18</v>
      </c>
      <c r="BI1127">
        <v>375</v>
      </c>
      <c r="BJ1127">
        <v>0</v>
      </c>
      <c r="BK1127" t="s">
        <v>1064</v>
      </c>
      <c r="BL1127" t="s">
        <v>85</v>
      </c>
      <c r="BM1127" t="s">
        <v>86</v>
      </c>
      <c r="BN1127" t="s">
        <v>81</v>
      </c>
      <c r="BO1127" t="s">
        <v>82</v>
      </c>
      <c r="BP1127" t="s">
        <v>9</v>
      </c>
      <c r="BQ1127" t="s">
        <v>9</v>
      </c>
      <c r="BR1127" t="s">
        <v>84</v>
      </c>
      <c r="BT1127">
        <v>40.869999999999997</v>
      </c>
      <c r="BU1127">
        <v>59.13</v>
      </c>
      <c r="BV1127">
        <v>2.29</v>
      </c>
      <c r="BW1127">
        <f>BV1127*SQRT(AK1127)</f>
        <v>3.966396349332729</v>
      </c>
      <c r="BX1127">
        <v>98.05</v>
      </c>
      <c r="BY1127">
        <v>1.952</v>
      </c>
      <c r="BZ1127">
        <v>2.57</v>
      </c>
      <c r="CA1127">
        <f>BZ1127*SQRT(AL1127)</f>
        <v>4.4513705754520139</v>
      </c>
      <c r="CB1127">
        <v>2</v>
      </c>
      <c r="CC1127">
        <v>3</v>
      </c>
      <c r="CD1127">
        <v>-3.411</v>
      </c>
      <c r="CE1127">
        <v>1.7363</v>
      </c>
    </row>
    <row r="1128" spans="1:84" hidden="1" x14ac:dyDescent="0.2">
      <c r="B1128" t="str">
        <f>ROW()-1&amp;"_AltersInvert"</f>
        <v>1127_AltersInvert</v>
      </c>
      <c r="C1128" t="str">
        <f>D1128&amp;"_"&amp;
SUBSTITUTE(TRIM(V1128)," ","_")&amp;"_"&amp;
TRIM(AC1128)&amp;"_"&amp;
"CO2"&amp;TEXT(AN1128,"0.00")&amp;"_"&amp;
"pH"&amp;TEXT(AR1128,"0.00")&amp;"_"&amp;
"T"&amp;TEXT(BC1128,"0.##")</f>
        <v>212_Saccostrea_glomerata_LARVA_CO2375.00_pH0.00_T18.</v>
      </c>
      <c r="D1128">
        <v>212</v>
      </c>
      <c r="G1128" t="s">
        <v>43</v>
      </c>
      <c r="H1128" t="s">
        <v>1063</v>
      </c>
      <c r="J1128">
        <v>2010</v>
      </c>
      <c r="K1128" t="s">
        <v>1062</v>
      </c>
      <c r="M1128" t="s">
        <v>67</v>
      </c>
      <c r="P1128" t="s">
        <v>1135</v>
      </c>
      <c r="R1128" t="s">
        <v>1127</v>
      </c>
      <c r="S1128" t="s">
        <v>1128</v>
      </c>
      <c r="T1128" t="s">
        <v>68</v>
      </c>
      <c r="U1128" t="s">
        <v>167</v>
      </c>
      <c r="V1128" t="s">
        <v>442</v>
      </c>
      <c r="AC1128" t="s">
        <v>72</v>
      </c>
      <c r="AF1128" t="s">
        <v>54</v>
      </c>
      <c r="AG1128" t="s">
        <v>52</v>
      </c>
      <c r="AH1128" t="s">
        <v>65</v>
      </c>
      <c r="AK1128">
        <v>3</v>
      </c>
      <c r="AL1128">
        <v>3</v>
      </c>
      <c r="AN1128">
        <v>375</v>
      </c>
      <c r="AU1128">
        <v>375</v>
      </c>
      <c r="BB1128">
        <f>LOG(AU1128)</f>
        <v>2.5740312677277188</v>
      </c>
      <c r="BC1128">
        <v>18</v>
      </c>
      <c r="BF1128">
        <v>26</v>
      </c>
      <c r="BI1128">
        <v>0</v>
      </c>
      <c r="BJ1128">
        <v>8</v>
      </c>
      <c r="BK1128" t="s">
        <v>1064</v>
      </c>
      <c r="BL1128" t="s">
        <v>85</v>
      </c>
      <c r="BM1128" t="s">
        <v>86</v>
      </c>
      <c r="BN1128" t="s">
        <v>81</v>
      </c>
      <c r="BO1128" t="s">
        <v>82</v>
      </c>
      <c r="BP1128" t="s">
        <v>9</v>
      </c>
      <c r="BQ1128" t="s">
        <v>9</v>
      </c>
      <c r="BR1128" t="s">
        <v>84</v>
      </c>
      <c r="BT1128">
        <v>40.869999999999997</v>
      </c>
      <c r="BU1128">
        <v>59.13</v>
      </c>
      <c r="BV1128">
        <v>2.29</v>
      </c>
      <c r="BW1128">
        <f>BV1128*SQRT(AK1128)</f>
        <v>3.966396349332729</v>
      </c>
      <c r="BX1128">
        <v>5.01</v>
      </c>
      <c r="BY1128">
        <v>94.986999999999995</v>
      </c>
      <c r="BZ1128">
        <v>1.43</v>
      </c>
      <c r="CA1128">
        <f>BZ1128*SQRT(AL1128)</f>
        <v>2.4768326548234945</v>
      </c>
      <c r="CB1128">
        <v>2</v>
      </c>
      <c r="CC1128">
        <v>3</v>
      </c>
      <c r="CD1128">
        <v>0.47399999999999998</v>
      </c>
      <c r="CE1128">
        <v>1.6999999999999999E-3</v>
      </c>
    </row>
    <row r="1129" spans="1:84" hidden="1" x14ac:dyDescent="0.2">
      <c r="B1129" t="str">
        <f>ROW()-1&amp;"_AltersInvert"</f>
        <v>1128_AltersInvert</v>
      </c>
      <c r="C1129" t="str">
        <f>D1129&amp;"_"&amp;
SUBSTITUTE(TRIM(V1129)," ","_")&amp;"_"&amp;
TRIM(AC1129)&amp;"_"&amp;
"CO2"&amp;TEXT(AN1129,"0.00")&amp;"_"&amp;
"pH"&amp;TEXT(AR1129,"0.00")&amp;"_"&amp;
"T"&amp;TEXT(BC1129,"0.##")</f>
        <v>212_Saccostrea_glomerata_LARVA_CO2375.00_pH0.00_T18.</v>
      </c>
      <c r="D1129">
        <v>212</v>
      </c>
      <c r="G1129" t="s">
        <v>43</v>
      </c>
      <c r="H1129" t="s">
        <v>1063</v>
      </c>
      <c r="J1129">
        <v>2010</v>
      </c>
      <c r="K1129" t="s">
        <v>1062</v>
      </c>
      <c r="M1129" t="s">
        <v>67</v>
      </c>
      <c r="P1129" t="s">
        <v>1135</v>
      </c>
      <c r="R1129" t="s">
        <v>1127</v>
      </c>
      <c r="S1129" t="s">
        <v>1128</v>
      </c>
      <c r="T1129" t="s">
        <v>68</v>
      </c>
      <c r="U1129" t="s">
        <v>167</v>
      </c>
      <c r="V1129" t="s">
        <v>442</v>
      </c>
      <c r="AC1129" t="s">
        <v>72</v>
      </c>
      <c r="AF1129" t="s">
        <v>54</v>
      </c>
      <c r="AG1129" t="s">
        <v>52</v>
      </c>
      <c r="AH1129" t="s">
        <v>65</v>
      </c>
      <c r="AK1129">
        <v>3</v>
      </c>
      <c r="AL1129">
        <v>3</v>
      </c>
      <c r="AN1129">
        <v>375</v>
      </c>
      <c r="AU1129">
        <v>375</v>
      </c>
      <c r="BB1129">
        <f>LOG(AU1129)</f>
        <v>2.5740312677277188</v>
      </c>
      <c r="BC1129">
        <v>18</v>
      </c>
      <c r="BF1129">
        <v>22</v>
      </c>
      <c r="BI1129">
        <v>0</v>
      </c>
      <c r="BJ1129">
        <v>4</v>
      </c>
      <c r="BK1129" t="s">
        <v>1064</v>
      </c>
      <c r="BL1129" t="s">
        <v>85</v>
      </c>
      <c r="BM1129" t="s">
        <v>86</v>
      </c>
      <c r="BN1129" t="s">
        <v>81</v>
      </c>
      <c r="BO1129" t="s">
        <v>82</v>
      </c>
      <c r="BP1129" t="s">
        <v>9</v>
      </c>
      <c r="BQ1129" t="s">
        <v>9</v>
      </c>
      <c r="BR1129" t="s">
        <v>84</v>
      </c>
      <c r="BT1129">
        <v>40.869999999999997</v>
      </c>
      <c r="BU1129">
        <v>59.13</v>
      </c>
      <c r="BV1129">
        <v>2.29</v>
      </c>
      <c r="BW1129">
        <f>BV1129*SQRT(AK1129)</f>
        <v>3.966396349332729</v>
      </c>
      <c r="BX1129">
        <v>6.08</v>
      </c>
      <c r="BY1129">
        <v>93.915999999999997</v>
      </c>
      <c r="BZ1129">
        <v>1.71</v>
      </c>
      <c r="CA1129">
        <f>BZ1129*SQRT(AL1129)</f>
        <v>2.9618068809427798</v>
      </c>
      <c r="CB1129">
        <v>2</v>
      </c>
      <c r="CC1129">
        <v>3</v>
      </c>
      <c r="CD1129">
        <v>0.46300000000000002</v>
      </c>
      <c r="CE1129">
        <v>1.8E-3</v>
      </c>
    </row>
    <row r="1130" spans="1:84" hidden="1" x14ac:dyDescent="0.2">
      <c r="B1130" t="str">
        <f>ROW()-1&amp;"_AltersInvert"</f>
        <v>1129_AltersInvert</v>
      </c>
      <c r="C1130" t="str">
        <f>D1130&amp;"_"&amp;
SUBSTITUTE(TRIM(V1130)," ","_")&amp;"_"&amp;
TRIM(AC1130)&amp;"_"&amp;
"CO2"&amp;TEXT(AN1130,"0.00")&amp;"_"&amp;
"pH"&amp;TEXT(AR1130,"0.00")&amp;"_"&amp;
"T"&amp;TEXT(BC1130,"0.##")</f>
        <v>212_Saccostrea_glomerata_LARVA_CO2375.00_pH0.00_T18.</v>
      </c>
      <c r="D1130">
        <v>212</v>
      </c>
      <c r="G1130" t="s">
        <v>43</v>
      </c>
      <c r="H1130" t="s">
        <v>1063</v>
      </c>
      <c r="J1130">
        <v>2010</v>
      </c>
      <c r="K1130" t="s">
        <v>1062</v>
      </c>
      <c r="M1130" t="s">
        <v>67</v>
      </c>
      <c r="P1130" t="s">
        <v>1135</v>
      </c>
      <c r="R1130" t="s">
        <v>1127</v>
      </c>
      <c r="S1130" t="s">
        <v>1128</v>
      </c>
      <c r="T1130" t="s">
        <v>68</v>
      </c>
      <c r="U1130" t="s">
        <v>167</v>
      </c>
      <c r="V1130" t="s">
        <v>442</v>
      </c>
      <c r="AC1130" t="s">
        <v>72</v>
      </c>
      <c r="AF1130" t="s">
        <v>54</v>
      </c>
      <c r="AG1130" t="s">
        <v>52</v>
      </c>
      <c r="AH1130" t="s">
        <v>65</v>
      </c>
      <c r="AK1130">
        <v>3</v>
      </c>
      <c r="AL1130">
        <v>3</v>
      </c>
      <c r="AN1130">
        <v>375</v>
      </c>
      <c r="AU1130">
        <v>375</v>
      </c>
      <c r="BB1130">
        <f>LOG(AU1130)</f>
        <v>2.5740312677277188</v>
      </c>
      <c r="BC1130">
        <v>18</v>
      </c>
      <c r="BF1130">
        <v>30</v>
      </c>
      <c r="BI1130">
        <v>0</v>
      </c>
      <c r="BJ1130">
        <v>12</v>
      </c>
      <c r="BK1130" t="s">
        <v>1064</v>
      </c>
      <c r="BL1130" t="s">
        <v>85</v>
      </c>
      <c r="BM1130" t="s">
        <v>86</v>
      </c>
      <c r="BN1130" t="s">
        <v>81</v>
      </c>
      <c r="BO1130" t="s">
        <v>82</v>
      </c>
      <c r="BP1130" t="s">
        <v>9</v>
      </c>
      <c r="BQ1130" t="s">
        <v>9</v>
      </c>
      <c r="BR1130" t="s">
        <v>84</v>
      </c>
      <c r="BT1130">
        <v>40.869999999999997</v>
      </c>
      <c r="BU1130">
        <v>59.13</v>
      </c>
      <c r="BV1130">
        <v>2.29</v>
      </c>
      <c r="BW1130">
        <f>BV1130*SQRT(AK1130)</f>
        <v>3.966396349332729</v>
      </c>
      <c r="BX1130">
        <v>27.94</v>
      </c>
      <c r="BY1130">
        <v>72.06</v>
      </c>
      <c r="BZ1130">
        <v>1.43</v>
      </c>
      <c r="CA1130">
        <f>BZ1130*SQRT(AL1130)</f>
        <v>2.4768326548234945</v>
      </c>
      <c r="CB1130">
        <v>2</v>
      </c>
      <c r="CC1130">
        <v>3</v>
      </c>
      <c r="CD1130">
        <v>0.19800000000000001</v>
      </c>
      <c r="CE1130">
        <v>1.9E-3</v>
      </c>
    </row>
    <row r="1131" spans="1:84" hidden="1" x14ac:dyDescent="0.2">
      <c r="B1131" t="str">
        <f>ROW()-1&amp;"_AltersInvert"</f>
        <v>1130_AltersInvert</v>
      </c>
      <c r="C1131" t="str">
        <f>D1131&amp;"_"&amp;
SUBSTITUTE(TRIM(V1131)," ","_")&amp;"_"&amp;
TRIM(AC1131)&amp;"_"&amp;
"CO2"&amp;TEXT(AN1131,"0.00")&amp;"_"&amp;
"pH"&amp;TEXT(AR1131,"0.00")&amp;"_"&amp;
"T"&amp;TEXT(BC1131,"0.##")</f>
        <v>212_Saccostrea_glomerata_LARVA_CO2375.00_pH0.00_T18.</v>
      </c>
      <c r="D1131">
        <v>212</v>
      </c>
      <c r="G1131" t="s">
        <v>43</v>
      </c>
      <c r="H1131" t="s">
        <v>1063</v>
      </c>
      <c r="J1131">
        <v>2010</v>
      </c>
      <c r="K1131" t="s">
        <v>1062</v>
      </c>
      <c r="M1131" t="s">
        <v>67</v>
      </c>
      <c r="P1131" t="s">
        <v>1135</v>
      </c>
      <c r="R1131" t="s">
        <v>1127</v>
      </c>
      <c r="S1131" t="s">
        <v>1128</v>
      </c>
      <c r="T1131" t="s">
        <v>68</v>
      </c>
      <c r="U1131" t="s">
        <v>167</v>
      </c>
      <c r="V1131" t="s">
        <v>442</v>
      </c>
      <c r="AC1131" t="s">
        <v>72</v>
      </c>
      <c r="AF1131" t="s">
        <v>52</v>
      </c>
      <c r="AG1131" t="s">
        <v>52</v>
      </c>
      <c r="AH1131" t="s">
        <v>64</v>
      </c>
      <c r="AK1131">
        <v>3</v>
      </c>
      <c r="AL1131">
        <v>3</v>
      </c>
      <c r="AN1131">
        <v>375</v>
      </c>
      <c r="AU1131">
        <v>600</v>
      </c>
      <c r="BB1131">
        <f>LOG(AU1131)</f>
        <v>2.7781512503836434</v>
      </c>
      <c r="BC1131">
        <v>18</v>
      </c>
      <c r="BF1131">
        <v>26</v>
      </c>
      <c r="BI1131">
        <v>225</v>
      </c>
      <c r="BJ1131">
        <v>8</v>
      </c>
      <c r="BK1131" t="s">
        <v>1064</v>
      </c>
      <c r="BL1131" t="s">
        <v>85</v>
      </c>
      <c r="BM1131" t="s">
        <v>86</v>
      </c>
      <c r="BN1131" t="s">
        <v>81</v>
      </c>
      <c r="BO1131" t="s">
        <v>82</v>
      </c>
      <c r="BP1131" t="s">
        <v>9</v>
      </c>
      <c r="BQ1131" t="s">
        <v>9</v>
      </c>
      <c r="BR1131" t="s">
        <v>84</v>
      </c>
      <c r="BT1131">
        <v>40.869999999999997</v>
      </c>
      <c r="BU1131">
        <v>59.13</v>
      </c>
      <c r="BV1131">
        <v>2.29</v>
      </c>
      <c r="BW1131">
        <f>BV1131*SQRT(AK1131)</f>
        <v>3.966396349332729</v>
      </c>
      <c r="BX1131">
        <v>41.03</v>
      </c>
      <c r="BY1131">
        <v>58.97</v>
      </c>
      <c r="BZ1131">
        <v>1.1399999999999999</v>
      </c>
      <c r="CA1131">
        <f>BZ1131*SQRT(AL1131)</f>
        <v>1.9745379206285198</v>
      </c>
      <c r="CB1131">
        <v>2</v>
      </c>
      <c r="CC1131">
        <v>3</v>
      </c>
      <c r="CD1131">
        <v>-3.0000000000000001E-3</v>
      </c>
      <c r="CE1131">
        <v>1.9E-3</v>
      </c>
      <c r="CF1131" s="8"/>
    </row>
    <row r="1132" spans="1:84" hidden="1" x14ac:dyDescent="0.2">
      <c r="B1132" t="str">
        <f>ROW()-1&amp;"_AltersInvert"</f>
        <v>1131_AltersInvert</v>
      </c>
      <c r="C1132" t="str">
        <f>D1132&amp;"_"&amp;
SUBSTITUTE(TRIM(V1132)," ","_")&amp;"_"&amp;
TRIM(AC1132)&amp;"_"&amp;
"CO2"&amp;TEXT(AN1132,"0.00")&amp;"_"&amp;
"pH"&amp;TEXT(AR1132,"0.00")&amp;"_"&amp;
"T"&amp;TEXT(BC1132,"0.##")</f>
        <v>212_Saccostrea_glomerata_LARVA_CO2375.00_pH0.00_T18.</v>
      </c>
      <c r="D1132">
        <v>212</v>
      </c>
      <c r="G1132" t="s">
        <v>43</v>
      </c>
      <c r="H1132" t="s">
        <v>1063</v>
      </c>
      <c r="J1132">
        <v>2010</v>
      </c>
      <c r="K1132" t="s">
        <v>1062</v>
      </c>
      <c r="M1132" t="s">
        <v>67</v>
      </c>
      <c r="P1132" t="s">
        <v>1135</v>
      </c>
      <c r="R1132" t="s">
        <v>1127</v>
      </c>
      <c r="S1132" t="s">
        <v>1128</v>
      </c>
      <c r="T1132" t="s">
        <v>68</v>
      </c>
      <c r="U1132" t="s">
        <v>167</v>
      </c>
      <c r="V1132" t="s">
        <v>442</v>
      </c>
      <c r="AC1132" t="s">
        <v>72</v>
      </c>
      <c r="AF1132" t="s">
        <v>52</v>
      </c>
      <c r="AG1132" t="s">
        <v>52</v>
      </c>
      <c r="AH1132" t="s">
        <v>64</v>
      </c>
      <c r="AK1132">
        <v>3</v>
      </c>
      <c r="AL1132">
        <v>3</v>
      </c>
      <c r="AN1132">
        <v>375</v>
      </c>
      <c r="AU1132">
        <v>600</v>
      </c>
      <c r="BB1132">
        <f>LOG(AU1132)</f>
        <v>2.7781512503836434</v>
      </c>
      <c r="BC1132">
        <v>18</v>
      </c>
      <c r="BF1132">
        <v>22</v>
      </c>
      <c r="BI1132">
        <v>225</v>
      </c>
      <c r="BJ1132">
        <v>4</v>
      </c>
      <c r="BK1132" t="s">
        <v>1064</v>
      </c>
      <c r="BL1132" t="s">
        <v>85</v>
      </c>
      <c r="BM1132" t="s">
        <v>86</v>
      </c>
      <c r="BN1132" t="s">
        <v>81</v>
      </c>
      <c r="BO1132" t="s">
        <v>82</v>
      </c>
      <c r="BP1132" t="s">
        <v>9</v>
      </c>
      <c r="BQ1132" t="s">
        <v>9</v>
      </c>
      <c r="BR1132" t="s">
        <v>84</v>
      </c>
      <c r="BT1132">
        <v>40.869999999999997</v>
      </c>
      <c r="BU1132">
        <v>59.13</v>
      </c>
      <c r="BV1132">
        <v>2.29</v>
      </c>
      <c r="BW1132">
        <f>BV1132*SQRT(AK1132)</f>
        <v>3.966396349332729</v>
      </c>
      <c r="BX1132">
        <v>46.67</v>
      </c>
      <c r="BY1132">
        <v>53.328000000000003</v>
      </c>
      <c r="BZ1132">
        <v>2</v>
      </c>
      <c r="CA1132">
        <f>BZ1132*SQRT(AL1132)</f>
        <v>3.4641016151377544</v>
      </c>
      <c r="CB1132">
        <v>2</v>
      </c>
      <c r="CC1132">
        <v>3</v>
      </c>
      <c r="CD1132">
        <v>-0.10299999999999999</v>
      </c>
      <c r="CE1132">
        <v>2.8999999999999998E-3</v>
      </c>
      <c r="CF1132" s="8"/>
    </row>
    <row r="1133" spans="1:84" hidden="1" x14ac:dyDescent="0.2">
      <c r="B1133" t="str">
        <f>ROW()-1&amp;"_AltersInvert"</f>
        <v>1132_AltersInvert</v>
      </c>
      <c r="C1133" t="str">
        <f>D1133&amp;"_"&amp;
SUBSTITUTE(TRIM(V1133)," ","_")&amp;"_"&amp;
TRIM(AC1133)&amp;"_"&amp;
"CO2"&amp;TEXT(AN1133,"0.00")&amp;"_"&amp;
"pH"&amp;TEXT(AR1133,"0.00")&amp;"_"&amp;
"T"&amp;TEXT(BC1133,"0.##")</f>
        <v>212_Saccostrea_glomerata_LARVA_CO2375.00_pH0.00_T18.</v>
      </c>
      <c r="D1133">
        <v>212</v>
      </c>
      <c r="G1133" t="s">
        <v>43</v>
      </c>
      <c r="H1133" t="s">
        <v>1063</v>
      </c>
      <c r="J1133">
        <v>2010</v>
      </c>
      <c r="K1133" t="s">
        <v>1062</v>
      </c>
      <c r="M1133" t="s">
        <v>67</v>
      </c>
      <c r="P1133" t="s">
        <v>1135</v>
      </c>
      <c r="R1133" t="s">
        <v>1127</v>
      </c>
      <c r="S1133" t="s">
        <v>1128</v>
      </c>
      <c r="T1133" t="s">
        <v>68</v>
      </c>
      <c r="U1133" t="s">
        <v>167</v>
      </c>
      <c r="V1133" t="s">
        <v>442</v>
      </c>
      <c r="AC1133" t="s">
        <v>72</v>
      </c>
      <c r="AF1133" t="s">
        <v>52</v>
      </c>
      <c r="AG1133" t="s">
        <v>52</v>
      </c>
      <c r="AH1133" t="s">
        <v>64</v>
      </c>
      <c r="AK1133">
        <v>3</v>
      </c>
      <c r="AL1133">
        <v>3</v>
      </c>
      <c r="AN1133">
        <v>375</v>
      </c>
      <c r="AU1133">
        <v>600</v>
      </c>
      <c r="BB1133">
        <f>LOG(AU1133)</f>
        <v>2.7781512503836434</v>
      </c>
      <c r="BC1133">
        <v>18</v>
      </c>
      <c r="BF1133">
        <v>30</v>
      </c>
      <c r="BI1133">
        <v>225</v>
      </c>
      <c r="BJ1133">
        <v>12</v>
      </c>
      <c r="BK1133" t="s">
        <v>1064</v>
      </c>
      <c r="BL1133" t="s">
        <v>85</v>
      </c>
      <c r="BM1133" t="s">
        <v>86</v>
      </c>
      <c r="BN1133" t="s">
        <v>81</v>
      </c>
      <c r="BO1133" t="s">
        <v>82</v>
      </c>
      <c r="BP1133" t="s">
        <v>9</v>
      </c>
      <c r="BQ1133" t="s">
        <v>9</v>
      </c>
      <c r="BR1133" t="s">
        <v>84</v>
      </c>
      <c r="BT1133">
        <v>40.869999999999997</v>
      </c>
      <c r="BU1133">
        <v>59.13</v>
      </c>
      <c r="BV1133">
        <v>2.29</v>
      </c>
      <c r="BW1133">
        <f>BV1133*SQRT(AK1133)</f>
        <v>3.966396349332729</v>
      </c>
      <c r="BX1133">
        <v>48.24</v>
      </c>
      <c r="BY1133">
        <v>51.756</v>
      </c>
      <c r="BZ1133">
        <v>4</v>
      </c>
      <c r="CA1133">
        <f>BZ1133*SQRT(AL1133)</f>
        <v>6.9282032302755088</v>
      </c>
      <c r="CB1133">
        <v>2</v>
      </c>
      <c r="CC1133">
        <v>3</v>
      </c>
      <c r="CD1133">
        <v>-0.13300000000000001</v>
      </c>
      <c r="CE1133">
        <v>7.4999999999999997E-3</v>
      </c>
      <c r="CF1133" s="8"/>
    </row>
    <row r="1134" spans="1:84" hidden="1" x14ac:dyDescent="0.2">
      <c r="B1134" t="str">
        <f>ROW()-1&amp;"_AltersInvert"</f>
        <v>1133_AltersInvert</v>
      </c>
      <c r="C1134" t="str">
        <f>D1134&amp;"_"&amp;
SUBSTITUTE(TRIM(V1134)," ","_")&amp;"_"&amp;
TRIM(AC1134)&amp;"_"&amp;
"CO2"&amp;TEXT(AN1134,"0.00")&amp;"_"&amp;
"pH"&amp;TEXT(AR1134,"0.00")&amp;"_"&amp;
"T"&amp;TEXT(BC1134,"0.##")</f>
        <v>212_Saccostrea_glomerata_LARVA_CO2375.00_pH0.00_T18.</v>
      </c>
      <c r="D1134">
        <v>212</v>
      </c>
      <c r="G1134" t="s">
        <v>43</v>
      </c>
      <c r="H1134" t="s">
        <v>1063</v>
      </c>
      <c r="J1134">
        <v>2010</v>
      </c>
      <c r="K1134" t="s">
        <v>1062</v>
      </c>
      <c r="M1134" t="s">
        <v>67</v>
      </c>
      <c r="P1134" t="s">
        <v>1135</v>
      </c>
      <c r="R1134" t="s">
        <v>1127</v>
      </c>
      <c r="S1134" t="s">
        <v>1128</v>
      </c>
      <c r="T1134" t="s">
        <v>68</v>
      </c>
      <c r="U1134" t="s">
        <v>167</v>
      </c>
      <c r="V1134" t="s">
        <v>442</v>
      </c>
      <c r="AC1134" t="s">
        <v>72</v>
      </c>
      <c r="AF1134" t="s">
        <v>52</v>
      </c>
      <c r="AG1134" t="s">
        <v>52</v>
      </c>
      <c r="AH1134" t="s">
        <v>64</v>
      </c>
      <c r="AK1134">
        <v>3</v>
      </c>
      <c r="AL1134">
        <v>3</v>
      </c>
      <c r="AN1134">
        <v>375</v>
      </c>
      <c r="AU1134">
        <v>750</v>
      </c>
      <c r="BB1134">
        <f>LOG(AU1134)</f>
        <v>2.8750612633917001</v>
      </c>
      <c r="BC1134">
        <v>18</v>
      </c>
      <c r="BF1134">
        <v>22</v>
      </c>
      <c r="BI1134">
        <v>375</v>
      </c>
      <c r="BJ1134">
        <v>4</v>
      </c>
      <c r="BK1134" t="s">
        <v>1064</v>
      </c>
      <c r="BL1134" t="s">
        <v>85</v>
      </c>
      <c r="BM1134" t="s">
        <v>86</v>
      </c>
      <c r="BN1134" t="s">
        <v>81</v>
      </c>
      <c r="BO1134" t="s">
        <v>82</v>
      </c>
      <c r="BP1134" t="s">
        <v>9</v>
      </c>
      <c r="BQ1134" t="s">
        <v>9</v>
      </c>
      <c r="BR1134" t="s">
        <v>84</v>
      </c>
      <c r="BT1134">
        <v>40.869999999999997</v>
      </c>
      <c r="BU1134">
        <v>59.13</v>
      </c>
      <c r="BV1134">
        <v>2.29</v>
      </c>
      <c r="BW1134">
        <f>BV1134*SQRT(AK1134)</f>
        <v>3.966396349332729</v>
      </c>
      <c r="BX1134">
        <v>55.83</v>
      </c>
      <c r="BY1134">
        <v>44.165999999999997</v>
      </c>
      <c r="BZ1134">
        <v>1.43</v>
      </c>
      <c r="CA1134">
        <f>BZ1134*SQRT(AL1134)</f>
        <v>2.4768326548234945</v>
      </c>
      <c r="CB1134">
        <v>2</v>
      </c>
      <c r="CC1134">
        <v>3</v>
      </c>
      <c r="CD1134">
        <v>-0.29199999999999998</v>
      </c>
      <c r="CE1134">
        <v>2.5000000000000001E-3</v>
      </c>
      <c r="CF1134" s="8"/>
    </row>
    <row r="1135" spans="1:84" hidden="1" x14ac:dyDescent="0.2">
      <c r="B1135" t="str">
        <f>ROW()-1&amp;"_AltersInvert"</f>
        <v>1134_AltersInvert</v>
      </c>
      <c r="C1135" t="str">
        <f>D1135&amp;"_"&amp;
SUBSTITUTE(TRIM(V1135)," ","_")&amp;"_"&amp;
TRIM(AC1135)&amp;"_"&amp;
"CO2"&amp;TEXT(AN1135,"0.00")&amp;"_"&amp;
"pH"&amp;TEXT(AR1135,"0.00")&amp;"_"&amp;
"T"&amp;TEXT(BC1135,"0.##")</f>
        <v>212_Saccostrea_glomerata_LARVA_CO2375.00_pH0.00_T18.</v>
      </c>
      <c r="D1135">
        <v>212</v>
      </c>
      <c r="G1135" t="s">
        <v>43</v>
      </c>
      <c r="H1135" t="s">
        <v>1063</v>
      </c>
      <c r="J1135">
        <v>2010</v>
      </c>
      <c r="K1135" t="s">
        <v>1062</v>
      </c>
      <c r="M1135" t="s">
        <v>67</v>
      </c>
      <c r="P1135" t="s">
        <v>1135</v>
      </c>
      <c r="R1135" t="s">
        <v>1127</v>
      </c>
      <c r="S1135" t="s">
        <v>1128</v>
      </c>
      <c r="T1135" t="s">
        <v>68</v>
      </c>
      <c r="U1135" t="s">
        <v>167</v>
      </c>
      <c r="V1135" t="s">
        <v>442</v>
      </c>
      <c r="AC1135" t="s">
        <v>72</v>
      </c>
      <c r="AF1135" t="s">
        <v>52</v>
      </c>
      <c r="AG1135" t="s">
        <v>52</v>
      </c>
      <c r="AH1135" t="s">
        <v>64</v>
      </c>
      <c r="AK1135">
        <v>3</v>
      </c>
      <c r="AL1135">
        <v>3</v>
      </c>
      <c r="AN1135">
        <v>375</v>
      </c>
      <c r="AU1135">
        <v>750</v>
      </c>
      <c r="BB1135">
        <f>LOG(AU1135)</f>
        <v>2.8750612633917001</v>
      </c>
      <c r="BC1135">
        <v>18</v>
      </c>
      <c r="BF1135">
        <v>26</v>
      </c>
      <c r="BI1135">
        <v>375</v>
      </c>
      <c r="BJ1135">
        <v>8</v>
      </c>
      <c r="BK1135" t="s">
        <v>1064</v>
      </c>
      <c r="BL1135" t="s">
        <v>85</v>
      </c>
      <c r="BM1135" t="s">
        <v>86</v>
      </c>
      <c r="BN1135" t="s">
        <v>81</v>
      </c>
      <c r="BO1135" t="s">
        <v>82</v>
      </c>
      <c r="BP1135" t="s">
        <v>9</v>
      </c>
      <c r="BQ1135" t="s">
        <v>9</v>
      </c>
      <c r="BR1135" t="s">
        <v>84</v>
      </c>
      <c r="BT1135">
        <v>40.869999999999997</v>
      </c>
      <c r="BU1135">
        <v>59.13</v>
      </c>
      <c r="BV1135">
        <v>2.29</v>
      </c>
      <c r="BW1135">
        <f>BV1135*SQRT(AK1135)</f>
        <v>3.966396349332729</v>
      </c>
      <c r="BX1135">
        <v>55.91</v>
      </c>
      <c r="BY1135">
        <v>44.094999999999999</v>
      </c>
      <c r="BZ1135">
        <v>2.86</v>
      </c>
      <c r="CA1135">
        <f>BZ1135*SQRT(AL1135)</f>
        <v>4.9536653096469889</v>
      </c>
      <c r="CB1135">
        <v>2</v>
      </c>
      <c r="CC1135">
        <v>3</v>
      </c>
      <c r="CD1135">
        <v>-0.29299999999999998</v>
      </c>
      <c r="CE1135">
        <v>5.7000000000000002E-3</v>
      </c>
      <c r="CF1135" s="8"/>
    </row>
    <row r="1136" spans="1:84" hidden="1" x14ac:dyDescent="0.2">
      <c r="B1136" t="str">
        <f>ROW()-1&amp;"_AltersInvert"</f>
        <v>1135_AltersInvert</v>
      </c>
      <c r="C1136" t="str">
        <f>D1136&amp;"_"&amp;
SUBSTITUTE(TRIM(V1136)," ","_")&amp;"_"&amp;
TRIM(AC1136)&amp;"_"&amp;
"CO2"&amp;TEXT(AN1136,"0.00")&amp;"_"&amp;
"pH"&amp;TEXT(AR1136,"0.00")&amp;"_"&amp;
"T"&amp;TEXT(BC1136,"0.##")</f>
        <v>212_Saccostrea_glomerata_LARVA_CO2375.00_pH0.00_T18.</v>
      </c>
      <c r="D1136">
        <v>212</v>
      </c>
      <c r="G1136" t="s">
        <v>43</v>
      </c>
      <c r="H1136" t="s">
        <v>1063</v>
      </c>
      <c r="J1136">
        <v>2010</v>
      </c>
      <c r="K1136" t="s">
        <v>1062</v>
      </c>
      <c r="M1136" t="s">
        <v>67</v>
      </c>
      <c r="P1136" t="s">
        <v>1135</v>
      </c>
      <c r="R1136" t="s">
        <v>1127</v>
      </c>
      <c r="S1136" t="s">
        <v>1128</v>
      </c>
      <c r="T1136" t="s">
        <v>68</v>
      </c>
      <c r="U1136" t="s">
        <v>167</v>
      </c>
      <c r="V1136" t="s">
        <v>442</v>
      </c>
      <c r="AC1136" t="s">
        <v>72</v>
      </c>
      <c r="AF1136" t="s">
        <v>52</v>
      </c>
      <c r="AG1136" t="s">
        <v>52</v>
      </c>
      <c r="AH1136" t="s">
        <v>64</v>
      </c>
      <c r="AK1136">
        <v>3</v>
      </c>
      <c r="AL1136">
        <v>3</v>
      </c>
      <c r="AN1136">
        <v>375</v>
      </c>
      <c r="AU1136">
        <v>1000</v>
      </c>
      <c r="BB1136">
        <f>LOG(AU1136)</f>
        <v>3</v>
      </c>
      <c r="BC1136">
        <v>18</v>
      </c>
      <c r="BF1136">
        <v>26</v>
      </c>
      <c r="BI1136">
        <v>625</v>
      </c>
      <c r="BJ1136">
        <v>8</v>
      </c>
      <c r="BK1136" t="s">
        <v>1064</v>
      </c>
      <c r="BL1136" t="s">
        <v>85</v>
      </c>
      <c r="BM1136" t="s">
        <v>86</v>
      </c>
      <c r="BN1136" t="s">
        <v>81</v>
      </c>
      <c r="BO1136" t="s">
        <v>82</v>
      </c>
      <c r="BP1136" t="s">
        <v>9</v>
      </c>
      <c r="BQ1136" t="s">
        <v>9</v>
      </c>
      <c r="BR1136" t="s">
        <v>84</v>
      </c>
      <c r="BT1136">
        <v>40.869999999999997</v>
      </c>
      <c r="BU1136">
        <v>59.13</v>
      </c>
      <c r="BV1136">
        <v>2.29</v>
      </c>
      <c r="BW1136">
        <f>BV1136*SQRT(AK1136)</f>
        <v>3.966396349332729</v>
      </c>
      <c r="BX1136">
        <v>61.07</v>
      </c>
      <c r="BY1136">
        <v>38.935000000000002</v>
      </c>
      <c r="BZ1136">
        <v>1.72</v>
      </c>
      <c r="CA1136">
        <f>BZ1136*SQRT(AL1136)</f>
        <v>2.9791273890184686</v>
      </c>
      <c r="CB1136">
        <v>2</v>
      </c>
      <c r="CC1136">
        <v>3</v>
      </c>
      <c r="CD1136">
        <v>-0.41799999999999998</v>
      </c>
      <c r="CE1136">
        <v>3.3999999999999998E-3</v>
      </c>
    </row>
    <row r="1137" spans="2:84" hidden="1" x14ac:dyDescent="0.2">
      <c r="B1137" t="str">
        <f>ROW()-1&amp;"_AltersInvert"</f>
        <v>1136_AltersInvert</v>
      </c>
      <c r="C1137" t="str">
        <f>D1137&amp;"_"&amp;
SUBSTITUTE(TRIM(V1137)," ","_")&amp;"_"&amp;
TRIM(AC1137)&amp;"_"&amp;
"CO2"&amp;TEXT(AN1137,"0.00")&amp;"_"&amp;
"pH"&amp;TEXT(AR1137,"0.00")&amp;"_"&amp;
"T"&amp;TEXT(BC1137,"0.##")</f>
        <v>212_Saccostrea_glomerata_LARVA_CO2375.00_pH0.00_T18.</v>
      </c>
      <c r="D1137">
        <v>212</v>
      </c>
      <c r="G1137" t="s">
        <v>43</v>
      </c>
      <c r="H1137" t="s">
        <v>1063</v>
      </c>
      <c r="J1137">
        <v>2010</v>
      </c>
      <c r="K1137" t="s">
        <v>1062</v>
      </c>
      <c r="M1137" t="s">
        <v>67</v>
      </c>
      <c r="P1137" t="s">
        <v>1135</v>
      </c>
      <c r="R1137" t="s">
        <v>1127</v>
      </c>
      <c r="S1137" t="s">
        <v>1128</v>
      </c>
      <c r="T1137" t="s">
        <v>68</v>
      </c>
      <c r="U1137" t="s">
        <v>167</v>
      </c>
      <c r="V1137" t="s">
        <v>442</v>
      </c>
      <c r="AC1137" t="s">
        <v>72</v>
      </c>
      <c r="AF1137" t="s">
        <v>52</v>
      </c>
      <c r="AG1137" t="s">
        <v>52</v>
      </c>
      <c r="AH1137" t="s">
        <v>64</v>
      </c>
      <c r="AK1137">
        <v>3</v>
      </c>
      <c r="AL1137">
        <v>3</v>
      </c>
      <c r="AN1137">
        <v>375</v>
      </c>
      <c r="AU1137">
        <v>1000</v>
      </c>
      <c r="BB1137">
        <f>LOG(AU1137)</f>
        <v>3</v>
      </c>
      <c r="BC1137">
        <v>18</v>
      </c>
      <c r="BF1137">
        <v>22</v>
      </c>
      <c r="BI1137">
        <v>625</v>
      </c>
      <c r="BJ1137">
        <v>4</v>
      </c>
      <c r="BK1137" t="s">
        <v>1064</v>
      </c>
      <c r="BL1137" t="s">
        <v>85</v>
      </c>
      <c r="BM1137" t="s">
        <v>86</v>
      </c>
      <c r="BN1137" t="s">
        <v>81</v>
      </c>
      <c r="BO1137" t="s">
        <v>82</v>
      </c>
      <c r="BP1137" t="s">
        <v>9</v>
      </c>
      <c r="BQ1137" t="s">
        <v>9</v>
      </c>
      <c r="BR1137" t="s">
        <v>84</v>
      </c>
      <c r="BT1137">
        <v>40.869999999999997</v>
      </c>
      <c r="BU1137">
        <v>59.13</v>
      </c>
      <c r="BV1137">
        <v>2.29</v>
      </c>
      <c r="BW1137">
        <f>BV1137*SQRT(AK1137)</f>
        <v>3.966396349332729</v>
      </c>
      <c r="BX1137">
        <v>91.57</v>
      </c>
      <c r="BY1137">
        <v>8.4339999999999993</v>
      </c>
      <c r="BZ1137">
        <v>4.29</v>
      </c>
      <c r="CA1137">
        <f>BZ1137*SQRT(AL1137)</f>
        <v>7.4304979644704829</v>
      </c>
      <c r="CB1137">
        <v>2</v>
      </c>
      <c r="CC1137">
        <v>3</v>
      </c>
      <c r="CD1137">
        <v>-1.9470000000000001</v>
      </c>
      <c r="CE1137">
        <v>0.2596</v>
      </c>
    </row>
    <row r="1138" spans="2:84" hidden="1" x14ac:dyDescent="0.2">
      <c r="B1138" t="str">
        <f>ROW()-1&amp;"_AltersInvert"</f>
        <v>1137_AltersInvert</v>
      </c>
      <c r="C1138" t="str">
        <f>D1138&amp;"_"&amp;
SUBSTITUTE(TRIM(V1138)," ","_")&amp;"_"&amp;
TRIM(AC1138)&amp;"_"&amp;
"CO2"&amp;TEXT(AN1138,"0.00")&amp;"_"&amp;
"pH"&amp;TEXT(AR1138,"0.00")&amp;"_"&amp;
"T"&amp;TEXT(BC1138,"0.##")</f>
        <v>212_Saccostrea_glomerata_LARVA_CO2375.00_pH0.00_T18.</v>
      </c>
      <c r="D1138">
        <v>212</v>
      </c>
      <c r="G1138" t="s">
        <v>43</v>
      </c>
      <c r="H1138" t="s">
        <v>1063</v>
      </c>
      <c r="J1138">
        <v>2010</v>
      </c>
      <c r="K1138" t="s">
        <v>1062</v>
      </c>
      <c r="M1138" t="s">
        <v>67</v>
      </c>
      <c r="P1138" t="s">
        <v>1135</v>
      </c>
      <c r="R1138" t="s">
        <v>1127</v>
      </c>
      <c r="S1138" t="s">
        <v>1128</v>
      </c>
      <c r="T1138" t="s">
        <v>68</v>
      </c>
      <c r="U1138" t="s">
        <v>167</v>
      </c>
      <c r="V1138" t="s">
        <v>442</v>
      </c>
      <c r="AC1138" t="s">
        <v>72</v>
      </c>
      <c r="AF1138" t="s">
        <v>52</v>
      </c>
      <c r="AG1138" t="s">
        <v>52</v>
      </c>
      <c r="AH1138" t="s">
        <v>64</v>
      </c>
      <c r="AK1138">
        <v>3</v>
      </c>
      <c r="AL1138">
        <v>3</v>
      </c>
      <c r="AN1138">
        <v>375</v>
      </c>
      <c r="AU1138">
        <v>1000</v>
      </c>
      <c r="BB1138">
        <f>LOG(AU1138)</f>
        <v>3</v>
      </c>
      <c r="BC1138">
        <v>18</v>
      </c>
      <c r="BF1138">
        <v>30</v>
      </c>
      <c r="BI1138">
        <v>625</v>
      </c>
      <c r="BJ1138">
        <v>12</v>
      </c>
      <c r="BK1138" t="s">
        <v>1064</v>
      </c>
      <c r="BL1138" t="s">
        <v>85</v>
      </c>
      <c r="BM1138" t="s">
        <v>86</v>
      </c>
      <c r="BN1138" t="s">
        <v>81</v>
      </c>
      <c r="BO1138" t="s">
        <v>82</v>
      </c>
      <c r="BP1138" t="s">
        <v>9</v>
      </c>
      <c r="BQ1138" t="s">
        <v>9</v>
      </c>
      <c r="BR1138" t="s">
        <v>84</v>
      </c>
      <c r="BT1138">
        <v>40.869999999999997</v>
      </c>
      <c r="BU1138">
        <v>59.13</v>
      </c>
      <c r="BV1138">
        <v>2.29</v>
      </c>
      <c r="BW1138">
        <f>BV1138*SQRT(AK1138)</f>
        <v>3.966396349332729</v>
      </c>
      <c r="BX1138">
        <v>99.71</v>
      </c>
      <c r="BY1138">
        <v>0.29099999999999998</v>
      </c>
      <c r="BZ1138">
        <v>0.86</v>
      </c>
      <c r="CA1138">
        <f>BZ1138*SQRT(AL1138)</f>
        <v>1.4895636945092343</v>
      </c>
      <c r="CB1138">
        <v>2</v>
      </c>
      <c r="CC1138">
        <v>3</v>
      </c>
      <c r="CD1138">
        <v>-5.3140000000000001</v>
      </c>
      <c r="CE1138">
        <v>8.6745999999999999</v>
      </c>
    </row>
    <row r="1139" spans="2:84" hidden="1" x14ac:dyDescent="0.2">
      <c r="B1139" t="str">
        <f>ROW()-1&amp;"_AltersInvert"</f>
        <v>1138_AltersInvert</v>
      </c>
      <c r="C1139" t="str">
        <f>D1139&amp;"_"&amp;
SUBSTITUTE(TRIM(V1139)," ","_")&amp;"_"&amp;
TRIM(AC1139)&amp;"_"&amp;
"CO2"&amp;TEXT(AN1139,"0.00")&amp;"_"&amp;
"pH"&amp;TEXT(AR1139,"0.00")&amp;"_"&amp;
"T"&amp;TEXT(BC1139,"0.##")</f>
        <v>212_Saccostrea_glomerata_LARVA_CO2375.00_pH0.00_T18.</v>
      </c>
      <c r="D1139">
        <v>212</v>
      </c>
      <c r="G1139" t="s">
        <v>43</v>
      </c>
      <c r="H1139" t="s">
        <v>1063</v>
      </c>
      <c r="J1139">
        <v>2010</v>
      </c>
      <c r="K1139" t="s">
        <v>1062</v>
      </c>
      <c r="M1139" t="s">
        <v>67</v>
      </c>
      <c r="P1139" t="s">
        <v>1135</v>
      </c>
      <c r="R1139" t="s">
        <v>1127</v>
      </c>
      <c r="S1139" t="s">
        <v>1128</v>
      </c>
      <c r="T1139" t="s">
        <v>68</v>
      </c>
      <c r="U1139" t="s">
        <v>167</v>
      </c>
      <c r="V1139" t="s">
        <v>442</v>
      </c>
      <c r="AC1139" t="s">
        <v>72</v>
      </c>
      <c r="AF1139" t="s">
        <v>52</v>
      </c>
      <c r="AG1139" t="s">
        <v>52</v>
      </c>
      <c r="AH1139" t="s">
        <v>64</v>
      </c>
      <c r="AK1139">
        <v>3</v>
      </c>
      <c r="AL1139">
        <v>3</v>
      </c>
      <c r="AN1139">
        <v>375</v>
      </c>
      <c r="AU1139">
        <v>750</v>
      </c>
      <c r="BB1139">
        <f>LOG(AU1139)</f>
        <v>2.8750612633917001</v>
      </c>
      <c r="BC1139">
        <v>18</v>
      </c>
      <c r="BF1139">
        <v>30</v>
      </c>
      <c r="BI1139">
        <v>375</v>
      </c>
      <c r="BJ1139">
        <v>12</v>
      </c>
      <c r="BK1139" t="s">
        <v>1064</v>
      </c>
      <c r="BL1139" t="s">
        <v>85</v>
      </c>
      <c r="BM1139" t="s">
        <v>86</v>
      </c>
      <c r="BN1139" t="s">
        <v>81</v>
      </c>
      <c r="BO1139" t="s">
        <v>82</v>
      </c>
      <c r="BP1139" t="s">
        <v>9</v>
      </c>
      <c r="BQ1139" t="s">
        <v>9</v>
      </c>
      <c r="BR1139" t="s">
        <v>84</v>
      </c>
      <c r="BT1139">
        <v>40.869999999999997</v>
      </c>
      <c r="BU1139">
        <v>59.13</v>
      </c>
      <c r="BV1139">
        <v>2.29</v>
      </c>
      <c r="BW1139">
        <f>BV1139*SQRT(AK1139)</f>
        <v>3.966396349332729</v>
      </c>
      <c r="BX1139">
        <v>99.98</v>
      </c>
      <c r="BY1139">
        <v>2.4E-2</v>
      </c>
      <c r="BZ1139">
        <v>0.86</v>
      </c>
      <c r="CA1139">
        <f>BZ1139*SQRT(AL1139)</f>
        <v>1.4895636945092343</v>
      </c>
      <c r="CB1139">
        <v>2</v>
      </c>
      <c r="CC1139">
        <v>3</v>
      </c>
      <c r="CD1139">
        <v>-7.8090000000000002</v>
      </c>
      <c r="CE1139">
        <v>1275.0866000000001</v>
      </c>
    </row>
    <row r="1140" spans="2:84" hidden="1" x14ac:dyDescent="0.2">
      <c r="B1140" t="str">
        <f>ROW()-1&amp;"_AltersInvert"</f>
        <v>1139_AltersInvert</v>
      </c>
      <c r="C1140" t="str">
        <f>D1140&amp;"_"&amp;
SUBSTITUTE(TRIM(V1140)," ","_")&amp;"_"&amp;
TRIM(AC1140)&amp;"_"&amp;
"CO2"&amp;TEXT(AN1140,"0.00")&amp;"_"&amp;
"pH"&amp;TEXT(AR1140,"0.00")&amp;"_"&amp;
"T"&amp;TEXT(BC1140,"0.##")</f>
        <v>69_Heliocidaris_tuberculata_LARVA_CO2291.00_pH8.16_T20.</v>
      </c>
      <c r="D1140">
        <v>69</v>
      </c>
      <c r="G1140" t="s">
        <v>43</v>
      </c>
      <c r="H1140" t="s">
        <v>636</v>
      </c>
      <c r="J1140">
        <v>2014</v>
      </c>
      <c r="M1140" t="s">
        <v>308</v>
      </c>
      <c r="P1140" t="s">
        <v>1135</v>
      </c>
      <c r="R1140" t="s">
        <v>1127</v>
      </c>
      <c r="S1140" t="s">
        <v>1128</v>
      </c>
      <c r="T1140" t="s">
        <v>46</v>
      </c>
      <c r="U1140" t="s">
        <v>637</v>
      </c>
      <c r="V1140" t="s">
        <v>606</v>
      </c>
      <c r="Z1140" t="s">
        <v>49</v>
      </c>
      <c r="AA1140" t="s">
        <v>49</v>
      </c>
      <c r="AB1140" t="s">
        <v>71</v>
      </c>
      <c r="AC1140" t="s">
        <v>72</v>
      </c>
      <c r="AD1140" t="s">
        <v>52</v>
      </c>
      <c r="AE1140" t="s">
        <v>53</v>
      </c>
      <c r="AF1140" t="s">
        <v>52</v>
      </c>
      <c r="AG1140" t="s">
        <v>54</v>
      </c>
      <c r="AH1140" t="s">
        <v>55</v>
      </c>
      <c r="AK1140">
        <v>9</v>
      </c>
      <c r="AL1140">
        <v>9</v>
      </c>
      <c r="AN1140">
        <v>291</v>
      </c>
      <c r="AO1140">
        <v>21</v>
      </c>
      <c r="AP1140" t="s">
        <v>56</v>
      </c>
      <c r="AQ1140" t="s">
        <v>118</v>
      </c>
      <c r="AR1140">
        <v>8.16</v>
      </c>
      <c r="AS1140">
        <v>0.02</v>
      </c>
      <c r="AT1140" t="s">
        <v>56</v>
      </c>
      <c r="AU1140">
        <v>2089</v>
      </c>
      <c r="AV1140">
        <v>16</v>
      </c>
      <c r="AW1140" t="s">
        <v>56</v>
      </c>
      <c r="AX1140">
        <v>7.39</v>
      </c>
      <c r="AY1140">
        <v>0.08</v>
      </c>
      <c r="AZ1140" t="s">
        <v>56</v>
      </c>
      <c r="BB1140">
        <f>LOG(AU1140)</f>
        <v>3.3199384399803087</v>
      </c>
      <c r="BC1140">
        <v>20</v>
      </c>
      <c r="BD1140" t="s">
        <v>56</v>
      </c>
      <c r="BE1140" t="s">
        <v>56</v>
      </c>
      <c r="BF1140">
        <v>20</v>
      </c>
      <c r="BG1140" t="s">
        <v>56</v>
      </c>
      <c r="BH1140" t="s">
        <v>56</v>
      </c>
      <c r="BI1140">
        <v>1797</v>
      </c>
      <c r="BJ1140">
        <v>0</v>
      </c>
      <c r="BK1140" t="s">
        <v>56</v>
      </c>
      <c r="BL1140" t="s">
        <v>86</v>
      </c>
      <c r="BM1140" t="s">
        <v>86</v>
      </c>
      <c r="BN1140" t="s">
        <v>81</v>
      </c>
      <c r="BO1140" t="s">
        <v>82</v>
      </c>
      <c r="BP1140" t="s">
        <v>9</v>
      </c>
      <c r="BQ1140" t="s">
        <v>9</v>
      </c>
      <c r="BR1140" t="s">
        <v>84</v>
      </c>
      <c r="BT1140">
        <v>96.15</v>
      </c>
      <c r="BU1140">
        <v>96.15</v>
      </c>
      <c r="BV1140">
        <v>1.33</v>
      </c>
      <c r="BW1140">
        <f>BV1140*SQRT(AK1140)</f>
        <v>3.99</v>
      </c>
      <c r="BX1140">
        <v>79.13</v>
      </c>
      <c r="BY1140">
        <v>79.13</v>
      </c>
      <c r="BZ1140">
        <v>2.46</v>
      </c>
      <c r="CA1140">
        <f>BZ1140*SQRT(AL1140)</f>
        <v>7.38</v>
      </c>
      <c r="CB1140">
        <v>1</v>
      </c>
      <c r="CC1140">
        <v>3</v>
      </c>
      <c r="CD1140">
        <v>-0.19500000000000001</v>
      </c>
      <c r="CE1140">
        <v>1.1999999999999999E-3</v>
      </c>
      <c r="CF1140" s="8"/>
    </row>
    <row r="1141" spans="2:84" hidden="1" x14ac:dyDescent="0.2">
      <c r="B1141" t="str">
        <f>ROW()-1&amp;"_AltersInvert"</f>
        <v>1140_AltersInvert</v>
      </c>
      <c r="C1141" t="str">
        <f>D1141&amp;"_"&amp;
SUBSTITUTE(TRIM(V1141)," ","_")&amp;"_"&amp;
TRIM(AC1141)&amp;"_"&amp;
"CO2"&amp;TEXT(AN1141,"0.00")&amp;"_"&amp;
"pH"&amp;TEXT(AR1141,"0.00")&amp;"_"&amp;
"T"&amp;TEXT(BC1141,"0.##")</f>
        <v>69_Heliocidaris_tuberculata_LARVA_CO2291.00_pH8.16_T20.</v>
      </c>
      <c r="D1141">
        <v>69</v>
      </c>
      <c r="G1141" t="s">
        <v>43</v>
      </c>
      <c r="H1141" t="s">
        <v>636</v>
      </c>
      <c r="J1141">
        <v>2014</v>
      </c>
      <c r="M1141" t="s">
        <v>308</v>
      </c>
      <c r="P1141" t="s">
        <v>1135</v>
      </c>
      <c r="R1141" t="s">
        <v>1127</v>
      </c>
      <c r="S1141" t="s">
        <v>1128</v>
      </c>
      <c r="T1141" t="s">
        <v>46</v>
      </c>
      <c r="U1141" t="s">
        <v>637</v>
      </c>
      <c r="V1141" t="s">
        <v>606</v>
      </c>
      <c r="Z1141" t="s">
        <v>49</v>
      </c>
      <c r="AA1141" t="s">
        <v>49</v>
      </c>
      <c r="AB1141" t="s">
        <v>71</v>
      </c>
      <c r="AC1141" t="s">
        <v>72</v>
      </c>
      <c r="AD1141" t="s">
        <v>52</v>
      </c>
      <c r="AE1141" t="s">
        <v>53</v>
      </c>
      <c r="AF1141" t="s">
        <v>52</v>
      </c>
      <c r="AG1141" t="s">
        <v>54</v>
      </c>
      <c r="AH1141" t="s">
        <v>55</v>
      </c>
      <c r="AK1141">
        <v>9</v>
      </c>
      <c r="AL1141">
        <v>9</v>
      </c>
      <c r="AN1141">
        <v>291</v>
      </c>
      <c r="AO1141">
        <v>21</v>
      </c>
      <c r="AP1141" t="s">
        <v>56</v>
      </c>
      <c r="AQ1141" t="s">
        <v>118</v>
      </c>
      <c r="AR1141">
        <v>8.16</v>
      </c>
      <c r="AS1141">
        <v>0.02</v>
      </c>
      <c r="AT1141" t="s">
        <v>56</v>
      </c>
      <c r="AU1141">
        <v>1274</v>
      </c>
      <c r="AV1141">
        <v>12</v>
      </c>
      <c r="AW1141" t="s">
        <v>56</v>
      </c>
      <c r="AX1141">
        <v>7.59</v>
      </c>
      <c r="AY1141">
        <v>0.03</v>
      </c>
      <c r="AZ1141" t="s">
        <v>56</v>
      </c>
      <c r="BB1141">
        <f>LOG(AU1141)</f>
        <v>3.1051694279993316</v>
      </c>
      <c r="BC1141">
        <v>20</v>
      </c>
      <c r="BD1141" t="s">
        <v>56</v>
      </c>
      <c r="BE1141" t="s">
        <v>56</v>
      </c>
      <c r="BF1141">
        <v>20</v>
      </c>
      <c r="BG1141" t="s">
        <v>56</v>
      </c>
      <c r="BH1141" t="s">
        <v>56</v>
      </c>
      <c r="BI1141">
        <v>983</v>
      </c>
      <c r="BJ1141">
        <v>0</v>
      </c>
      <c r="BK1141" t="s">
        <v>56</v>
      </c>
      <c r="BL1141" t="s">
        <v>86</v>
      </c>
      <c r="BM1141" t="s">
        <v>86</v>
      </c>
      <c r="BN1141" t="s">
        <v>81</v>
      </c>
      <c r="BO1141" t="s">
        <v>82</v>
      </c>
      <c r="BP1141" t="s">
        <v>9</v>
      </c>
      <c r="BQ1141" t="s">
        <v>9</v>
      </c>
      <c r="BR1141" t="s">
        <v>84</v>
      </c>
      <c r="BT1141">
        <v>96.15</v>
      </c>
      <c r="BU1141">
        <v>96.15</v>
      </c>
      <c r="BV1141">
        <v>1.33</v>
      </c>
      <c r="BW1141">
        <f>BV1141*SQRT(AK1141)</f>
        <v>3.99</v>
      </c>
      <c r="BX1141">
        <v>85.75</v>
      </c>
      <c r="BY1141">
        <v>85.75</v>
      </c>
      <c r="BZ1141">
        <v>2.65</v>
      </c>
      <c r="CA1141">
        <f>BZ1141*SQRT(AL1141)</f>
        <v>7.9499999999999993</v>
      </c>
      <c r="CB1141">
        <v>1</v>
      </c>
      <c r="CC1141">
        <v>3</v>
      </c>
      <c r="CD1141">
        <v>-0.114</v>
      </c>
      <c r="CE1141">
        <v>1.1000000000000001E-3</v>
      </c>
      <c r="CF1141" s="8"/>
    </row>
    <row r="1142" spans="2:84" hidden="1" x14ac:dyDescent="0.2">
      <c r="B1142" t="str">
        <f>ROW()-1&amp;"_AltersInvert"</f>
        <v>1141_AltersInvert</v>
      </c>
      <c r="C1142" t="str">
        <f>D1142&amp;"_"&amp;
SUBSTITUTE(TRIM(V1142)," ","_")&amp;"_"&amp;
TRIM(AC1142)&amp;"_"&amp;
"CO2"&amp;TEXT(AN1142,"0.00")&amp;"_"&amp;
"pH"&amp;TEXT(AR1142,"0.00")&amp;"_"&amp;
"T"&amp;TEXT(BC1142,"0.##")</f>
        <v>69_Heliocidaris_tuberculata_LARVA_CO2291.00_pH8.16_T20.</v>
      </c>
      <c r="D1142">
        <v>69</v>
      </c>
      <c r="G1142" t="s">
        <v>43</v>
      </c>
      <c r="H1142" t="s">
        <v>636</v>
      </c>
      <c r="J1142">
        <v>2014</v>
      </c>
      <c r="M1142" t="s">
        <v>308</v>
      </c>
      <c r="P1142" t="s">
        <v>1135</v>
      </c>
      <c r="R1142" t="s">
        <v>1127</v>
      </c>
      <c r="S1142" t="s">
        <v>1128</v>
      </c>
      <c r="T1142" t="s">
        <v>46</v>
      </c>
      <c r="U1142" t="s">
        <v>637</v>
      </c>
      <c r="V1142" t="s">
        <v>606</v>
      </c>
      <c r="Z1142" t="s">
        <v>49</v>
      </c>
      <c r="AA1142" t="s">
        <v>49</v>
      </c>
      <c r="AB1142" t="s">
        <v>71</v>
      </c>
      <c r="AC1142" t="s">
        <v>72</v>
      </c>
      <c r="AD1142" t="s">
        <v>52</v>
      </c>
      <c r="AE1142" t="s">
        <v>53</v>
      </c>
      <c r="AF1142" t="s">
        <v>52</v>
      </c>
      <c r="AG1142" t="s">
        <v>54</v>
      </c>
      <c r="AH1142" t="s">
        <v>55</v>
      </c>
      <c r="AK1142">
        <v>9</v>
      </c>
      <c r="AL1142">
        <v>9</v>
      </c>
      <c r="AN1142">
        <v>291</v>
      </c>
      <c r="AO1142">
        <v>21</v>
      </c>
      <c r="AP1142" t="s">
        <v>56</v>
      </c>
      <c r="AQ1142" t="s">
        <v>118</v>
      </c>
      <c r="AR1142">
        <v>8.16</v>
      </c>
      <c r="AS1142">
        <v>0.02</v>
      </c>
      <c r="AT1142" t="s">
        <v>56</v>
      </c>
      <c r="AU1142">
        <v>768</v>
      </c>
      <c r="AV1142">
        <v>11</v>
      </c>
      <c r="AW1142" t="s">
        <v>56</v>
      </c>
      <c r="AX1142">
        <v>7.79</v>
      </c>
      <c r="AY1142">
        <v>0.03</v>
      </c>
      <c r="AZ1142" t="s">
        <v>56</v>
      </c>
      <c r="BB1142">
        <f>LOG(AU1142)</f>
        <v>2.8853612200315122</v>
      </c>
      <c r="BC1142">
        <v>20</v>
      </c>
      <c r="BD1142" t="s">
        <v>56</v>
      </c>
      <c r="BE1142" t="s">
        <v>56</v>
      </c>
      <c r="BF1142">
        <v>20</v>
      </c>
      <c r="BG1142" t="s">
        <v>56</v>
      </c>
      <c r="BH1142" t="s">
        <v>56</v>
      </c>
      <c r="BI1142">
        <v>476</v>
      </c>
      <c r="BJ1142">
        <v>0</v>
      </c>
      <c r="BK1142" t="s">
        <v>56</v>
      </c>
      <c r="BL1142" t="s">
        <v>86</v>
      </c>
      <c r="BM1142" t="s">
        <v>86</v>
      </c>
      <c r="BN1142" t="s">
        <v>81</v>
      </c>
      <c r="BO1142" t="s">
        <v>82</v>
      </c>
      <c r="BP1142" t="s">
        <v>9</v>
      </c>
      <c r="BQ1142" t="s">
        <v>9</v>
      </c>
      <c r="BR1142" t="s">
        <v>84</v>
      </c>
      <c r="BT1142">
        <v>96.15</v>
      </c>
      <c r="BU1142">
        <v>96.15</v>
      </c>
      <c r="BV1142">
        <v>1.33</v>
      </c>
      <c r="BW1142">
        <f>BV1142*SQRT(AK1142)</f>
        <v>3.99</v>
      </c>
      <c r="BX1142">
        <v>91.04</v>
      </c>
      <c r="BY1142">
        <v>91.04</v>
      </c>
      <c r="BZ1142">
        <v>1.33</v>
      </c>
      <c r="CA1142">
        <f>BZ1142*SQRT(AL1142)</f>
        <v>3.99</v>
      </c>
      <c r="CB1142">
        <v>1</v>
      </c>
      <c r="CC1142">
        <v>3</v>
      </c>
      <c r="CD1142">
        <v>-5.5E-2</v>
      </c>
      <c r="CE1142">
        <v>4.0000000000000002E-4</v>
      </c>
      <c r="CF1142" s="8"/>
    </row>
    <row r="1143" spans="2:84" hidden="1" x14ac:dyDescent="0.2">
      <c r="B1143" t="str">
        <f>ROW()-1&amp;"_AltersInvert"</f>
        <v>1142_AltersInvert</v>
      </c>
      <c r="C1143" t="str">
        <f>D1143&amp;"_"&amp;
SUBSTITUTE(TRIM(V1143)," ","_")&amp;"_"&amp;
TRIM(AC1143)&amp;"_"&amp;
"CO2"&amp;TEXT(AN1143,"0.00")&amp;"_"&amp;
"pH"&amp;TEXT(AR1143,"0.00")&amp;"_"&amp;
"T"&amp;TEXT(BC1143,"0.##")</f>
        <v>69_Heliocidaris_tuberculata_LARVA_CO2291.00_pH8.16_T20.</v>
      </c>
      <c r="D1143">
        <v>69</v>
      </c>
      <c r="G1143" t="s">
        <v>43</v>
      </c>
      <c r="H1143" t="s">
        <v>636</v>
      </c>
      <c r="J1143">
        <v>2014</v>
      </c>
      <c r="M1143" t="s">
        <v>308</v>
      </c>
      <c r="P1143" t="s">
        <v>1135</v>
      </c>
      <c r="R1143" t="s">
        <v>1127</v>
      </c>
      <c r="S1143" t="s">
        <v>1128</v>
      </c>
      <c r="T1143" t="s">
        <v>46</v>
      </c>
      <c r="U1143" t="s">
        <v>637</v>
      </c>
      <c r="V1143" t="s">
        <v>606</v>
      </c>
      <c r="Z1143" t="s">
        <v>49</v>
      </c>
      <c r="AA1143" t="s">
        <v>49</v>
      </c>
      <c r="AB1143" t="s">
        <v>71</v>
      </c>
      <c r="AC1143" t="s">
        <v>72</v>
      </c>
      <c r="AD1143" t="s">
        <v>52</v>
      </c>
      <c r="AE1143" t="s">
        <v>53</v>
      </c>
      <c r="AF1143" t="s">
        <v>54</v>
      </c>
      <c r="AG1143" t="s">
        <v>52</v>
      </c>
      <c r="AH1143" t="s">
        <v>65</v>
      </c>
      <c r="AK1143">
        <v>9</v>
      </c>
      <c r="AL1143">
        <v>9</v>
      </c>
      <c r="AN1143">
        <v>291</v>
      </c>
      <c r="AO1143">
        <v>21</v>
      </c>
      <c r="AP1143" t="s">
        <v>56</v>
      </c>
      <c r="AQ1143" t="s">
        <v>118</v>
      </c>
      <c r="AR1143">
        <v>8.16</v>
      </c>
      <c r="AS1143">
        <v>0.02</v>
      </c>
      <c r="AT1143" t="s">
        <v>56</v>
      </c>
      <c r="AU1143">
        <v>260</v>
      </c>
      <c r="AV1143">
        <v>11</v>
      </c>
      <c r="AW1143" t="s">
        <v>56</v>
      </c>
      <c r="AX1143">
        <v>8.18</v>
      </c>
      <c r="AY1143">
        <v>0.08</v>
      </c>
      <c r="AZ1143" t="s">
        <v>56</v>
      </c>
      <c r="BB1143">
        <f>LOG(AU1143)</f>
        <v>2.4149733479708178</v>
      </c>
      <c r="BC1143">
        <v>20</v>
      </c>
      <c r="BD1143" t="s">
        <v>56</v>
      </c>
      <c r="BE1143" t="s">
        <v>56</v>
      </c>
      <c r="BF1143">
        <v>26</v>
      </c>
      <c r="BG1143" t="s">
        <v>56</v>
      </c>
      <c r="BH1143" t="s">
        <v>56</v>
      </c>
      <c r="BI1143">
        <v>-31</v>
      </c>
      <c r="BJ1143">
        <v>6</v>
      </c>
      <c r="BK1143" t="s">
        <v>56</v>
      </c>
      <c r="BL1143" t="s">
        <v>86</v>
      </c>
      <c r="BM1143" t="s">
        <v>86</v>
      </c>
      <c r="BN1143" t="s">
        <v>81</v>
      </c>
      <c r="BO1143" t="s">
        <v>82</v>
      </c>
      <c r="BP1143" t="s">
        <v>9</v>
      </c>
      <c r="BQ1143" t="s">
        <v>9</v>
      </c>
      <c r="BR1143" t="s">
        <v>84</v>
      </c>
      <c r="BT1143">
        <v>96.15</v>
      </c>
      <c r="BU1143">
        <v>96.15</v>
      </c>
      <c r="BV1143">
        <v>1.33</v>
      </c>
      <c r="BW1143">
        <f>BV1143*SQRT(AK1143)</f>
        <v>3.99</v>
      </c>
      <c r="BX1143">
        <v>87.3</v>
      </c>
      <c r="BY1143">
        <v>87.3</v>
      </c>
      <c r="BZ1143">
        <v>3.4</v>
      </c>
      <c r="CA1143">
        <f>BZ1143*SQRT(AL1143)</f>
        <v>10.199999999999999</v>
      </c>
      <c r="CB1143">
        <v>1</v>
      </c>
      <c r="CC1143">
        <v>3</v>
      </c>
      <c r="CD1143">
        <v>-9.7000000000000003E-2</v>
      </c>
      <c r="CE1143">
        <v>1.6999999999999999E-3</v>
      </c>
      <c r="CF1143" s="8"/>
    </row>
    <row r="1144" spans="2:84" hidden="1" x14ac:dyDescent="0.2">
      <c r="D1144">
        <v>76</v>
      </c>
      <c r="G1144" t="s">
        <v>43</v>
      </c>
      <c r="H1144" t="s">
        <v>668</v>
      </c>
      <c r="J1144">
        <v>2011</v>
      </c>
      <c r="M1144" t="s">
        <v>174</v>
      </c>
      <c r="T1144" t="s">
        <v>46</v>
      </c>
      <c r="U1144" t="s">
        <v>382</v>
      </c>
      <c r="V1144" t="s">
        <v>383</v>
      </c>
      <c r="Z1144" t="s">
        <v>106</v>
      </c>
      <c r="AA1144" t="s">
        <v>107</v>
      </c>
      <c r="AB1144" t="s">
        <v>50</v>
      </c>
      <c r="AC1144" t="s">
        <v>108</v>
      </c>
      <c r="AD1144" t="s">
        <v>52</v>
      </c>
      <c r="AE1144" t="s">
        <v>53</v>
      </c>
      <c r="AF1144" t="s">
        <v>52</v>
      </c>
      <c r="AG1144" t="s">
        <v>52</v>
      </c>
      <c r="AH1144" t="s">
        <v>64</v>
      </c>
      <c r="AK1144">
        <v>6</v>
      </c>
      <c r="AL1144">
        <v>6</v>
      </c>
      <c r="AN1144">
        <v>448</v>
      </c>
      <c r="AO1144">
        <v>26</v>
      </c>
      <c r="AP1144" t="s">
        <v>56</v>
      </c>
      <c r="AQ1144" t="s">
        <v>57</v>
      </c>
      <c r="AR1144">
        <v>8.1999999999999993</v>
      </c>
      <c r="AS1144" t="s">
        <v>56</v>
      </c>
      <c r="AT1144" t="s">
        <v>56</v>
      </c>
      <c r="AU1144">
        <v>1865</v>
      </c>
      <c r="AV1144">
        <v>20</v>
      </c>
      <c r="AW1144" t="s">
        <v>56</v>
      </c>
      <c r="AX1144">
        <v>7.6</v>
      </c>
      <c r="AY1144" t="s">
        <v>56</v>
      </c>
      <c r="AZ1144" t="s">
        <v>56</v>
      </c>
      <c r="BB1144">
        <f>LOG(AU1144)</f>
        <v>3.2706788361447066</v>
      </c>
      <c r="BC1144">
        <v>22</v>
      </c>
      <c r="BD1144" t="s">
        <v>56</v>
      </c>
      <c r="BE1144" t="s">
        <v>56</v>
      </c>
      <c r="BF1144">
        <v>26</v>
      </c>
      <c r="BG1144" t="s">
        <v>56</v>
      </c>
      <c r="BH1144" t="s">
        <v>56</v>
      </c>
      <c r="BI1144">
        <v>1417</v>
      </c>
      <c r="BJ1144">
        <v>4</v>
      </c>
      <c r="BK1144" t="s">
        <v>56</v>
      </c>
      <c r="BL1144" t="s">
        <v>86</v>
      </c>
      <c r="BM1144" t="s">
        <v>86</v>
      </c>
      <c r="BN1144" t="s">
        <v>81</v>
      </c>
      <c r="BO1144" t="s">
        <v>82</v>
      </c>
      <c r="BP1144" t="s">
        <v>9</v>
      </c>
      <c r="BR1144" t="s">
        <v>84</v>
      </c>
      <c r="BT1144">
        <v>45.6</v>
      </c>
      <c r="BU1144">
        <v>45.6</v>
      </c>
      <c r="BV1144">
        <v>6.5</v>
      </c>
      <c r="BW1144">
        <f>BV1144*SQRT(AK1144)</f>
        <v>15.921683328090657</v>
      </c>
      <c r="BX1144">
        <v>10.7</v>
      </c>
      <c r="BY1144">
        <v>10.7</v>
      </c>
      <c r="BZ1144">
        <v>2.9</v>
      </c>
      <c r="CA1144">
        <f>BZ1144*SQRT(AL1144)</f>
        <v>7.1035202540712152</v>
      </c>
      <c r="CB1144">
        <v>5</v>
      </c>
      <c r="CC1144" t="s">
        <v>56</v>
      </c>
      <c r="CD1144">
        <v>-1.45</v>
      </c>
      <c r="CE1144">
        <v>9.3799999999999994E-2</v>
      </c>
    </row>
    <row r="1145" spans="2:84" hidden="1" x14ac:dyDescent="0.2">
      <c r="B1145" t="str">
        <f>ROW()-1&amp;"_AltersInvert"</f>
        <v>1144_AltersInvert</v>
      </c>
      <c r="C1145" t="str">
        <f>D1145&amp;"_"&amp;
SUBSTITUTE(TRIM(V1145)," ","_")&amp;"_"&amp;
TRIM(AC1145)&amp;"_"&amp;
"CO2"&amp;TEXT(AN1145,"0.00")&amp;"_"&amp;
"pH"&amp;TEXT(AR1145,"0.00")&amp;"_"&amp;
"T"&amp;TEXT(BC1145,"0.##")</f>
        <v>69_Heliocidaris_tuberculata_LARVA_CO2291.00_pH8.16_T20.</v>
      </c>
      <c r="D1145">
        <v>69</v>
      </c>
      <c r="G1145" t="s">
        <v>43</v>
      </c>
      <c r="H1145" t="s">
        <v>636</v>
      </c>
      <c r="J1145">
        <v>2014</v>
      </c>
      <c r="M1145" t="s">
        <v>308</v>
      </c>
      <c r="P1145" t="s">
        <v>1135</v>
      </c>
      <c r="R1145" t="s">
        <v>1127</v>
      </c>
      <c r="S1145" t="s">
        <v>1128</v>
      </c>
      <c r="T1145" t="s">
        <v>46</v>
      </c>
      <c r="U1145" t="s">
        <v>637</v>
      </c>
      <c r="V1145" t="s">
        <v>606</v>
      </c>
      <c r="Z1145" t="s">
        <v>49</v>
      </c>
      <c r="AA1145" t="s">
        <v>49</v>
      </c>
      <c r="AB1145" t="s">
        <v>71</v>
      </c>
      <c r="AC1145" t="s">
        <v>72</v>
      </c>
      <c r="AD1145" t="s">
        <v>52</v>
      </c>
      <c r="AE1145" t="s">
        <v>53</v>
      </c>
      <c r="AF1145" t="s">
        <v>54</v>
      </c>
      <c r="AG1145" t="s">
        <v>52</v>
      </c>
      <c r="AH1145" t="s">
        <v>65</v>
      </c>
      <c r="AK1145">
        <v>9</v>
      </c>
      <c r="AL1145">
        <v>9</v>
      </c>
      <c r="AN1145">
        <v>291</v>
      </c>
      <c r="AO1145">
        <v>21</v>
      </c>
      <c r="AP1145" t="s">
        <v>56</v>
      </c>
      <c r="AQ1145" t="s">
        <v>118</v>
      </c>
      <c r="AR1145">
        <v>8.16</v>
      </c>
      <c r="AS1145">
        <v>0.02</v>
      </c>
      <c r="AT1145" t="s">
        <v>56</v>
      </c>
      <c r="AU1145">
        <v>267</v>
      </c>
      <c r="AV1145">
        <v>10</v>
      </c>
      <c r="AW1145" t="s">
        <v>56</v>
      </c>
      <c r="AX1145">
        <v>8.18</v>
      </c>
      <c r="AY1145">
        <v>7.0000000000000007E-2</v>
      </c>
      <c r="AZ1145" t="s">
        <v>56</v>
      </c>
      <c r="BB1145">
        <f>LOG(AU1145)</f>
        <v>2.4265112613645754</v>
      </c>
      <c r="BC1145">
        <v>20</v>
      </c>
      <c r="BD1145" t="s">
        <v>56</v>
      </c>
      <c r="BE1145" t="s">
        <v>56</v>
      </c>
      <c r="BF1145">
        <v>24</v>
      </c>
      <c r="BG1145" t="s">
        <v>56</v>
      </c>
      <c r="BH1145" t="s">
        <v>56</v>
      </c>
      <c r="BI1145">
        <v>-24</v>
      </c>
      <c r="BJ1145">
        <v>4</v>
      </c>
      <c r="BK1145" t="s">
        <v>56</v>
      </c>
      <c r="BL1145" t="s">
        <v>86</v>
      </c>
      <c r="BM1145" t="s">
        <v>86</v>
      </c>
      <c r="BN1145" t="s">
        <v>81</v>
      </c>
      <c r="BO1145" t="s">
        <v>82</v>
      </c>
      <c r="BP1145" t="s">
        <v>9</v>
      </c>
      <c r="BQ1145" t="s">
        <v>9</v>
      </c>
      <c r="BR1145" t="s">
        <v>84</v>
      </c>
      <c r="BT1145">
        <v>96.15</v>
      </c>
      <c r="BU1145">
        <v>96.15</v>
      </c>
      <c r="BV1145">
        <v>1.33</v>
      </c>
      <c r="BW1145">
        <f>BV1145*SQRT(AK1145)</f>
        <v>3.99</v>
      </c>
      <c r="BX1145">
        <v>91.44</v>
      </c>
      <c r="BY1145">
        <v>91.44</v>
      </c>
      <c r="BZ1145">
        <v>3.03</v>
      </c>
      <c r="CA1145">
        <f>BZ1145*SQRT(AL1145)</f>
        <v>9.09</v>
      </c>
      <c r="CB1145">
        <v>1</v>
      </c>
      <c r="CC1145">
        <v>3</v>
      </c>
      <c r="CD1145">
        <v>-0.05</v>
      </c>
      <c r="CE1145">
        <v>1.2999999999999999E-3</v>
      </c>
      <c r="CF1145" s="8"/>
    </row>
    <row r="1146" spans="2:84" hidden="1" x14ac:dyDescent="0.2">
      <c r="D1146">
        <v>76</v>
      </c>
      <c r="G1146" t="s">
        <v>43</v>
      </c>
      <c r="H1146" t="s">
        <v>668</v>
      </c>
      <c r="J1146">
        <v>2011</v>
      </c>
      <c r="M1146" t="s">
        <v>174</v>
      </c>
      <c r="T1146" t="s">
        <v>46</v>
      </c>
      <c r="U1146" t="s">
        <v>382</v>
      </c>
      <c r="V1146" t="s">
        <v>383</v>
      </c>
      <c r="Z1146" t="s">
        <v>106</v>
      </c>
      <c r="AA1146" t="s">
        <v>107</v>
      </c>
      <c r="AB1146" t="s">
        <v>50</v>
      </c>
      <c r="AC1146" t="s">
        <v>108</v>
      </c>
      <c r="AD1146" t="s">
        <v>52</v>
      </c>
      <c r="AE1146" t="s">
        <v>53</v>
      </c>
      <c r="AF1146" t="s">
        <v>52</v>
      </c>
      <c r="AG1146" t="s">
        <v>54</v>
      </c>
      <c r="AH1146" t="s">
        <v>55</v>
      </c>
      <c r="AK1146">
        <v>6</v>
      </c>
      <c r="AL1146">
        <v>6</v>
      </c>
      <c r="AN1146">
        <v>448</v>
      </c>
      <c r="AO1146">
        <v>26</v>
      </c>
      <c r="AP1146" t="s">
        <v>56</v>
      </c>
      <c r="AQ1146" t="s">
        <v>57</v>
      </c>
      <c r="AR1146">
        <v>8.1999999999999993</v>
      </c>
      <c r="AS1146" t="s">
        <v>56</v>
      </c>
      <c r="AT1146" t="s">
        <v>56</v>
      </c>
      <c r="AU1146">
        <v>1090</v>
      </c>
      <c r="AV1146">
        <v>11</v>
      </c>
      <c r="AW1146" t="s">
        <v>56</v>
      </c>
      <c r="AX1146">
        <v>7.8</v>
      </c>
      <c r="AY1146" t="s">
        <v>56</v>
      </c>
      <c r="AZ1146" t="s">
        <v>56</v>
      </c>
      <c r="BB1146">
        <f>LOG(AU1146)</f>
        <v>3.0374264979406238</v>
      </c>
      <c r="BC1146">
        <v>22</v>
      </c>
      <c r="BD1146" t="s">
        <v>56</v>
      </c>
      <c r="BE1146" t="s">
        <v>56</v>
      </c>
      <c r="BF1146">
        <v>22</v>
      </c>
      <c r="BG1146" t="s">
        <v>56</v>
      </c>
      <c r="BH1146" t="s">
        <v>56</v>
      </c>
      <c r="BI1146">
        <v>642</v>
      </c>
      <c r="BJ1146">
        <v>0</v>
      </c>
      <c r="BK1146" t="s">
        <v>56</v>
      </c>
      <c r="BL1146" t="s">
        <v>86</v>
      </c>
      <c r="BM1146" t="s">
        <v>86</v>
      </c>
      <c r="BN1146" t="s">
        <v>81</v>
      </c>
      <c r="BO1146" t="s">
        <v>82</v>
      </c>
      <c r="BP1146" t="s">
        <v>9</v>
      </c>
      <c r="BR1146" t="s">
        <v>84</v>
      </c>
      <c r="BT1146">
        <v>45.6</v>
      </c>
      <c r="BU1146">
        <v>45.6</v>
      </c>
      <c r="BV1146">
        <v>6.5</v>
      </c>
      <c r="BW1146">
        <f>BV1146*SQRT(AK1146)</f>
        <v>15.921683328090657</v>
      </c>
      <c r="BX1146">
        <v>12.9</v>
      </c>
      <c r="BY1146">
        <v>12.9</v>
      </c>
      <c r="BZ1146">
        <v>3.2</v>
      </c>
      <c r="CA1146">
        <f>BZ1146*SQRT(AL1146)</f>
        <v>7.8383671769061696</v>
      </c>
      <c r="CB1146">
        <v>5</v>
      </c>
      <c r="CC1146" t="s">
        <v>56</v>
      </c>
      <c r="CD1146">
        <v>-1.2629999999999999</v>
      </c>
      <c r="CE1146">
        <v>8.1900000000000001E-2</v>
      </c>
    </row>
    <row r="1147" spans="2:84" hidden="1" x14ac:dyDescent="0.2">
      <c r="D1147">
        <v>76</v>
      </c>
      <c r="G1147" t="s">
        <v>43</v>
      </c>
      <c r="H1147" t="s">
        <v>668</v>
      </c>
      <c r="J1147">
        <v>2011</v>
      </c>
      <c r="M1147" t="s">
        <v>174</v>
      </c>
      <c r="T1147" t="s">
        <v>46</v>
      </c>
      <c r="U1147" t="s">
        <v>382</v>
      </c>
      <c r="V1147" t="s">
        <v>383</v>
      </c>
      <c r="Z1147" t="s">
        <v>106</v>
      </c>
      <c r="AA1147" t="s">
        <v>107</v>
      </c>
      <c r="AB1147" t="s">
        <v>50</v>
      </c>
      <c r="AC1147" t="s">
        <v>108</v>
      </c>
      <c r="AD1147" t="s">
        <v>52</v>
      </c>
      <c r="AE1147" t="s">
        <v>53</v>
      </c>
      <c r="AF1147" t="s">
        <v>52</v>
      </c>
      <c r="AG1147" t="s">
        <v>54</v>
      </c>
      <c r="AH1147" t="s">
        <v>55</v>
      </c>
      <c r="AK1147">
        <v>6</v>
      </c>
      <c r="AL1147">
        <v>6</v>
      </c>
      <c r="AN1147">
        <v>448</v>
      </c>
      <c r="AO1147">
        <v>26</v>
      </c>
      <c r="AP1147" t="s">
        <v>56</v>
      </c>
      <c r="AQ1147" t="s">
        <v>57</v>
      </c>
      <c r="AR1147">
        <v>8.1999999999999993</v>
      </c>
      <c r="AS1147" t="s">
        <v>56</v>
      </c>
      <c r="AT1147" t="s">
        <v>56</v>
      </c>
      <c r="AU1147">
        <v>1798</v>
      </c>
      <c r="AV1147">
        <v>19</v>
      </c>
      <c r="AW1147" t="s">
        <v>56</v>
      </c>
      <c r="AX1147">
        <v>7.6</v>
      </c>
      <c r="AY1147" t="s">
        <v>56</v>
      </c>
      <c r="AZ1147" t="s">
        <v>56</v>
      </c>
      <c r="BB1147">
        <f>LOG(AU1147)</f>
        <v>3.25478968739721</v>
      </c>
      <c r="BC1147">
        <v>22</v>
      </c>
      <c r="BD1147" t="s">
        <v>56</v>
      </c>
      <c r="BE1147" t="s">
        <v>56</v>
      </c>
      <c r="BF1147">
        <v>22</v>
      </c>
      <c r="BG1147" t="s">
        <v>56</v>
      </c>
      <c r="BH1147" t="s">
        <v>56</v>
      </c>
      <c r="BI1147">
        <v>1350</v>
      </c>
      <c r="BJ1147">
        <v>0</v>
      </c>
      <c r="BK1147" t="s">
        <v>56</v>
      </c>
      <c r="BL1147" t="s">
        <v>86</v>
      </c>
      <c r="BM1147" t="s">
        <v>86</v>
      </c>
      <c r="BN1147" t="s">
        <v>81</v>
      </c>
      <c r="BO1147" t="s">
        <v>82</v>
      </c>
      <c r="BP1147" t="s">
        <v>9</v>
      </c>
      <c r="BR1147" t="s">
        <v>84</v>
      </c>
      <c r="BT1147">
        <v>45.6</v>
      </c>
      <c r="BU1147">
        <v>45.6</v>
      </c>
      <c r="BV1147">
        <v>6.5</v>
      </c>
      <c r="BW1147">
        <f>BV1147*SQRT(AK1147)</f>
        <v>15.921683328090657</v>
      </c>
      <c r="BX1147">
        <v>13.6</v>
      </c>
      <c r="BY1147">
        <v>13.6</v>
      </c>
      <c r="BZ1147">
        <v>2.5</v>
      </c>
      <c r="CA1147">
        <f>BZ1147*SQRT(AL1147)</f>
        <v>6.1237243569579451</v>
      </c>
      <c r="CB1147">
        <v>5</v>
      </c>
      <c r="CC1147" t="s">
        <v>56</v>
      </c>
      <c r="CD1147">
        <v>-1.21</v>
      </c>
      <c r="CE1147">
        <v>5.4100000000000002E-2</v>
      </c>
    </row>
    <row r="1148" spans="2:84" hidden="1" x14ac:dyDescent="0.2">
      <c r="D1148">
        <v>76</v>
      </c>
      <c r="G1148" t="s">
        <v>43</v>
      </c>
      <c r="H1148" t="s">
        <v>668</v>
      </c>
      <c r="J1148">
        <v>2011</v>
      </c>
      <c r="M1148" t="s">
        <v>174</v>
      </c>
      <c r="T1148" t="s">
        <v>46</v>
      </c>
      <c r="U1148" t="s">
        <v>382</v>
      </c>
      <c r="V1148" t="s">
        <v>383</v>
      </c>
      <c r="Z1148" t="s">
        <v>106</v>
      </c>
      <c r="AA1148" t="s">
        <v>107</v>
      </c>
      <c r="AB1148" t="s">
        <v>50</v>
      </c>
      <c r="AC1148" t="s">
        <v>108</v>
      </c>
      <c r="AD1148" t="s">
        <v>52</v>
      </c>
      <c r="AE1148" t="s">
        <v>53</v>
      </c>
      <c r="AF1148" t="s">
        <v>54</v>
      </c>
      <c r="AG1148" t="s">
        <v>52</v>
      </c>
      <c r="AH1148" t="s">
        <v>65</v>
      </c>
      <c r="AK1148">
        <v>6</v>
      </c>
      <c r="AL1148">
        <v>6</v>
      </c>
      <c r="AN1148">
        <v>448</v>
      </c>
      <c r="AO1148">
        <v>26</v>
      </c>
      <c r="AP1148" t="s">
        <v>56</v>
      </c>
      <c r="AQ1148" t="s">
        <v>57</v>
      </c>
      <c r="AR1148">
        <v>8.1999999999999993</v>
      </c>
      <c r="AS1148" t="s">
        <v>56</v>
      </c>
      <c r="AT1148" t="s">
        <v>56</v>
      </c>
      <c r="AU1148">
        <v>448</v>
      </c>
      <c r="AV1148">
        <v>26</v>
      </c>
      <c r="AW1148" t="s">
        <v>56</v>
      </c>
      <c r="AX1148">
        <v>8.1999999999999993</v>
      </c>
      <c r="AY1148" t="s">
        <v>56</v>
      </c>
      <c r="AZ1148" t="s">
        <v>56</v>
      </c>
      <c r="BB1148">
        <f>LOG(AU1148)</f>
        <v>2.651278013998144</v>
      </c>
      <c r="BC1148">
        <v>22</v>
      </c>
      <c r="BD1148" t="s">
        <v>56</v>
      </c>
      <c r="BE1148" t="s">
        <v>56</v>
      </c>
      <c r="BF1148">
        <v>26</v>
      </c>
      <c r="BG1148" t="s">
        <v>56</v>
      </c>
      <c r="BH1148" t="s">
        <v>56</v>
      </c>
      <c r="BI1148">
        <v>0</v>
      </c>
      <c r="BJ1148">
        <v>4</v>
      </c>
      <c r="BK1148" t="s">
        <v>56</v>
      </c>
      <c r="BL1148" t="s">
        <v>86</v>
      </c>
      <c r="BM1148" t="s">
        <v>86</v>
      </c>
      <c r="BN1148" t="s">
        <v>81</v>
      </c>
      <c r="BO1148" t="s">
        <v>82</v>
      </c>
      <c r="BP1148" t="s">
        <v>9</v>
      </c>
      <c r="BR1148" t="s">
        <v>84</v>
      </c>
      <c r="BT1148">
        <v>45.6</v>
      </c>
      <c r="BU1148">
        <v>45.6</v>
      </c>
      <c r="BV1148">
        <v>6.5</v>
      </c>
      <c r="BW1148">
        <f>BV1148*SQRT(AK1148)</f>
        <v>15.921683328090657</v>
      </c>
      <c r="BX1148">
        <v>14.7</v>
      </c>
      <c r="BY1148">
        <v>14.7</v>
      </c>
      <c r="BZ1148">
        <v>3.6</v>
      </c>
      <c r="CA1148">
        <f>BZ1148*SQRT(AL1148)</f>
        <v>8.8181630740194414</v>
      </c>
      <c r="CB1148">
        <v>5</v>
      </c>
      <c r="CC1148" t="s">
        <v>56</v>
      </c>
      <c r="CD1148">
        <v>-1.1319999999999999</v>
      </c>
      <c r="CE1148">
        <v>8.0299999999999996E-2</v>
      </c>
    </row>
    <row r="1149" spans="2:84" hidden="1" x14ac:dyDescent="0.2">
      <c r="B1149" t="str">
        <f>ROW()-1&amp;"_AltersInvert"</f>
        <v>1148_AltersInvert</v>
      </c>
      <c r="C1149" t="str">
        <f>D1149&amp;"_"&amp;
SUBSTITUTE(TRIM(V1149)," ","_")&amp;"_"&amp;
TRIM(AC1149)&amp;"_"&amp;
"CO2"&amp;TEXT(AN1149,"0.00")&amp;"_"&amp;
"pH"&amp;TEXT(AR1149,"0.00")&amp;"_"&amp;
"T"&amp;TEXT(BC1149,"0.##")</f>
        <v>69_Heliocidaris_tuberculata_LARVA_CO2291.00_pH8.16_T20.</v>
      </c>
      <c r="D1149">
        <v>69</v>
      </c>
      <c r="G1149" t="s">
        <v>43</v>
      </c>
      <c r="H1149" t="s">
        <v>636</v>
      </c>
      <c r="J1149">
        <v>2014</v>
      </c>
      <c r="M1149" t="s">
        <v>308</v>
      </c>
      <c r="P1149" t="s">
        <v>1135</v>
      </c>
      <c r="R1149" t="s">
        <v>1127</v>
      </c>
      <c r="S1149" t="s">
        <v>1128</v>
      </c>
      <c r="T1149" t="s">
        <v>46</v>
      </c>
      <c r="U1149" t="s">
        <v>637</v>
      </c>
      <c r="V1149" t="s">
        <v>606</v>
      </c>
      <c r="Z1149" t="s">
        <v>49</v>
      </c>
      <c r="AA1149" t="s">
        <v>49</v>
      </c>
      <c r="AB1149" t="s">
        <v>71</v>
      </c>
      <c r="AC1149" t="s">
        <v>72</v>
      </c>
      <c r="AD1149" t="s">
        <v>52</v>
      </c>
      <c r="AE1149" t="s">
        <v>53</v>
      </c>
      <c r="AF1149" t="s">
        <v>52</v>
      </c>
      <c r="AG1149" t="s">
        <v>52</v>
      </c>
      <c r="AH1149" t="s">
        <v>64</v>
      </c>
      <c r="AK1149">
        <v>9</v>
      </c>
      <c r="AL1149">
        <v>9</v>
      </c>
      <c r="AN1149">
        <v>291</v>
      </c>
      <c r="AO1149">
        <v>21</v>
      </c>
      <c r="AP1149" t="s">
        <v>56</v>
      </c>
      <c r="AQ1149" t="s">
        <v>118</v>
      </c>
      <c r="AR1149">
        <v>8.16</v>
      </c>
      <c r="AS1149">
        <v>0.02</v>
      </c>
      <c r="AT1149" t="s">
        <v>56</v>
      </c>
      <c r="AU1149">
        <v>1274</v>
      </c>
      <c r="AV1149">
        <v>18</v>
      </c>
      <c r="AW1149" t="s">
        <v>56</v>
      </c>
      <c r="AX1149">
        <v>7.59</v>
      </c>
      <c r="AY1149">
        <v>0.04</v>
      </c>
      <c r="AZ1149" t="s">
        <v>56</v>
      </c>
      <c r="BB1149">
        <f>LOG(AU1149)</f>
        <v>3.1051694279993316</v>
      </c>
      <c r="BC1149">
        <v>20</v>
      </c>
      <c r="BD1149" t="s">
        <v>56</v>
      </c>
      <c r="BE1149" t="s">
        <v>56</v>
      </c>
      <c r="BF1149">
        <v>26</v>
      </c>
      <c r="BG1149" t="s">
        <v>56</v>
      </c>
      <c r="BH1149" t="s">
        <v>56</v>
      </c>
      <c r="BI1149">
        <v>983</v>
      </c>
      <c r="BJ1149">
        <v>6</v>
      </c>
      <c r="BK1149" t="s">
        <v>56</v>
      </c>
      <c r="BL1149" t="s">
        <v>86</v>
      </c>
      <c r="BM1149" t="s">
        <v>86</v>
      </c>
      <c r="BN1149" t="s">
        <v>81</v>
      </c>
      <c r="BO1149" t="s">
        <v>82</v>
      </c>
      <c r="BP1149" t="s">
        <v>9</v>
      </c>
      <c r="BQ1149" t="s">
        <v>9</v>
      </c>
      <c r="BR1149" t="s">
        <v>84</v>
      </c>
      <c r="BT1149">
        <v>96.15</v>
      </c>
      <c r="BU1149">
        <v>96.15</v>
      </c>
      <c r="BV1149">
        <v>1.33</v>
      </c>
      <c r="BW1149">
        <f>BV1149*SQRT(AK1149)</f>
        <v>3.99</v>
      </c>
      <c r="BX1149">
        <v>78.03</v>
      </c>
      <c r="BY1149">
        <v>78.03</v>
      </c>
      <c r="BZ1149">
        <v>4.54</v>
      </c>
      <c r="CA1149">
        <f>BZ1149*SQRT(AL1149)</f>
        <v>13.620000000000001</v>
      </c>
      <c r="CB1149">
        <v>1</v>
      </c>
      <c r="CC1149">
        <v>3</v>
      </c>
      <c r="CD1149">
        <v>-0.20899999999999999</v>
      </c>
      <c r="CE1149">
        <v>3.5999999999999999E-3</v>
      </c>
      <c r="CF1149" s="8"/>
    </row>
    <row r="1150" spans="2:84" hidden="1" x14ac:dyDescent="0.2">
      <c r="B1150" t="str">
        <f>ROW()-1&amp;"_AltersInvert"</f>
        <v>1149_AltersInvert</v>
      </c>
      <c r="C1150" t="str">
        <f>D1150&amp;"_"&amp;
SUBSTITUTE(TRIM(V1150)," ","_")&amp;"_"&amp;
TRIM(AC1150)&amp;"_"&amp;
"CO2"&amp;TEXT(AN1150,"0.00")&amp;"_"&amp;
"pH"&amp;TEXT(AR1150,"0.00")&amp;"_"&amp;
"T"&amp;TEXT(BC1150,"0.##")</f>
        <v>69_Heliocidaris_tuberculata_LARVA_CO2291.00_pH8.16_T20.</v>
      </c>
      <c r="D1150">
        <v>69</v>
      </c>
      <c r="G1150" t="s">
        <v>43</v>
      </c>
      <c r="H1150" t="s">
        <v>636</v>
      </c>
      <c r="J1150">
        <v>2014</v>
      </c>
      <c r="M1150" t="s">
        <v>308</v>
      </c>
      <c r="P1150" t="s">
        <v>1135</v>
      </c>
      <c r="R1150" t="s">
        <v>1127</v>
      </c>
      <c r="S1150" t="s">
        <v>1128</v>
      </c>
      <c r="T1150" t="s">
        <v>46</v>
      </c>
      <c r="U1150" t="s">
        <v>637</v>
      </c>
      <c r="V1150" t="s">
        <v>606</v>
      </c>
      <c r="Z1150" t="s">
        <v>49</v>
      </c>
      <c r="AA1150" t="s">
        <v>49</v>
      </c>
      <c r="AB1150" t="s">
        <v>71</v>
      </c>
      <c r="AC1150" t="s">
        <v>72</v>
      </c>
      <c r="AD1150" t="s">
        <v>52</v>
      </c>
      <c r="AE1150" t="s">
        <v>53</v>
      </c>
      <c r="AF1150" t="s">
        <v>52</v>
      </c>
      <c r="AG1150" t="s">
        <v>52</v>
      </c>
      <c r="AH1150" t="s">
        <v>64</v>
      </c>
      <c r="AK1150">
        <v>9</v>
      </c>
      <c r="AL1150">
        <v>9</v>
      </c>
      <c r="AN1150">
        <v>291</v>
      </c>
      <c r="AO1150">
        <v>21</v>
      </c>
      <c r="AP1150" t="s">
        <v>56</v>
      </c>
      <c r="AQ1150" t="s">
        <v>118</v>
      </c>
      <c r="AR1150">
        <v>8.16</v>
      </c>
      <c r="AS1150">
        <v>0.02</v>
      </c>
      <c r="AT1150" t="s">
        <v>56</v>
      </c>
      <c r="AU1150">
        <v>2094</v>
      </c>
      <c r="AV1150">
        <v>22</v>
      </c>
      <c r="AW1150" t="s">
        <v>56</v>
      </c>
      <c r="AX1150">
        <v>7.39</v>
      </c>
      <c r="AY1150">
        <v>0.08</v>
      </c>
      <c r="AZ1150" t="s">
        <v>56</v>
      </c>
      <c r="BB1150">
        <f>LOG(AU1150)</f>
        <v>3.3209766773428235</v>
      </c>
      <c r="BC1150">
        <v>20</v>
      </c>
      <c r="BD1150" t="s">
        <v>56</v>
      </c>
      <c r="BE1150" t="s">
        <v>56</v>
      </c>
      <c r="BF1150">
        <v>24</v>
      </c>
      <c r="BG1150" t="s">
        <v>56</v>
      </c>
      <c r="BH1150" t="s">
        <v>56</v>
      </c>
      <c r="BI1150">
        <v>1803</v>
      </c>
      <c r="BJ1150">
        <v>4</v>
      </c>
      <c r="BK1150" t="s">
        <v>56</v>
      </c>
      <c r="BL1150" t="s">
        <v>86</v>
      </c>
      <c r="BM1150" t="s">
        <v>86</v>
      </c>
      <c r="BN1150" t="s">
        <v>81</v>
      </c>
      <c r="BO1150" t="s">
        <v>82</v>
      </c>
      <c r="BP1150" t="s">
        <v>9</v>
      </c>
      <c r="BQ1150" t="s">
        <v>9</v>
      </c>
      <c r="BR1150" t="s">
        <v>84</v>
      </c>
      <c r="BT1150">
        <v>96.15</v>
      </c>
      <c r="BU1150">
        <v>96.15</v>
      </c>
      <c r="BV1150">
        <v>1.33</v>
      </c>
      <c r="BW1150">
        <f>BV1150*SQRT(AK1150)</f>
        <v>3.99</v>
      </c>
      <c r="BX1150">
        <v>79.34</v>
      </c>
      <c r="BY1150">
        <v>79.34</v>
      </c>
      <c r="BZ1150">
        <v>3.22</v>
      </c>
      <c r="CA1150">
        <f>BZ1150*SQRT(AL1150)</f>
        <v>9.66</v>
      </c>
      <c r="CB1150">
        <v>1</v>
      </c>
      <c r="CC1150">
        <v>3</v>
      </c>
      <c r="CD1150">
        <v>-0.192</v>
      </c>
      <c r="CE1150">
        <v>1.8E-3</v>
      </c>
      <c r="CF1150" s="8"/>
    </row>
    <row r="1151" spans="2:84" hidden="1" x14ac:dyDescent="0.2">
      <c r="D1151">
        <v>76</v>
      </c>
      <c r="G1151" t="s">
        <v>43</v>
      </c>
      <c r="H1151" t="s">
        <v>668</v>
      </c>
      <c r="J1151">
        <v>2011</v>
      </c>
      <c r="M1151" t="s">
        <v>174</v>
      </c>
      <c r="T1151" t="s">
        <v>46</v>
      </c>
      <c r="U1151" t="s">
        <v>382</v>
      </c>
      <c r="V1151" t="s">
        <v>383</v>
      </c>
      <c r="Z1151" t="s">
        <v>106</v>
      </c>
      <c r="AA1151" t="s">
        <v>107</v>
      </c>
      <c r="AB1151" t="s">
        <v>50</v>
      </c>
      <c r="AC1151" t="s">
        <v>108</v>
      </c>
      <c r="AD1151" t="s">
        <v>52</v>
      </c>
      <c r="AE1151" t="s">
        <v>53</v>
      </c>
      <c r="AF1151" t="s">
        <v>52</v>
      </c>
      <c r="AG1151" t="s">
        <v>52</v>
      </c>
      <c r="AH1151" t="s">
        <v>64</v>
      </c>
      <c r="AK1151">
        <v>6</v>
      </c>
      <c r="AL1151">
        <v>6</v>
      </c>
      <c r="AN1151">
        <v>448</v>
      </c>
      <c r="AO1151">
        <v>26</v>
      </c>
      <c r="AP1151" t="s">
        <v>56</v>
      </c>
      <c r="AQ1151" t="s">
        <v>57</v>
      </c>
      <c r="AR1151">
        <v>8.1999999999999993</v>
      </c>
      <c r="AS1151" t="s">
        <v>56</v>
      </c>
      <c r="AT1151" t="s">
        <v>56</v>
      </c>
      <c r="AU1151">
        <v>1831</v>
      </c>
      <c r="AV1151">
        <v>19</v>
      </c>
      <c r="AW1151" t="s">
        <v>56</v>
      </c>
      <c r="AX1151">
        <v>7.6</v>
      </c>
      <c r="AY1151" t="s">
        <v>56</v>
      </c>
      <c r="AZ1151" t="s">
        <v>56</v>
      </c>
      <c r="BB1151">
        <f>LOG(AU1151)</f>
        <v>3.2626883443016963</v>
      </c>
      <c r="BC1151">
        <v>22</v>
      </c>
      <c r="BD1151" t="s">
        <v>56</v>
      </c>
      <c r="BE1151" t="s">
        <v>56</v>
      </c>
      <c r="BF1151">
        <v>24</v>
      </c>
      <c r="BG1151" t="s">
        <v>56</v>
      </c>
      <c r="BH1151" t="s">
        <v>56</v>
      </c>
      <c r="BI1151">
        <v>1383</v>
      </c>
      <c r="BJ1151">
        <v>2</v>
      </c>
      <c r="BK1151" t="s">
        <v>56</v>
      </c>
      <c r="BL1151" t="s">
        <v>86</v>
      </c>
      <c r="BM1151" t="s">
        <v>86</v>
      </c>
      <c r="BN1151" t="s">
        <v>81</v>
      </c>
      <c r="BO1151" t="s">
        <v>82</v>
      </c>
      <c r="BP1151" t="s">
        <v>9</v>
      </c>
      <c r="BR1151" t="s">
        <v>84</v>
      </c>
      <c r="BT1151">
        <v>45.6</v>
      </c>
      <c r="BU1151">
        <v>45.6</v>
      </c>
      <c r="BV1151">
        <v>6.5</v>
      </c>
      <c r="BW1151">
        <f>BV1151*SQRT(AK1151)</f>
        <v>15.921683328090657</v>
      </c>
      <c r="BX1151">
        <v>20.100000000000001</v>
      </c>
      <c r="BY1151">
        <v>20.100000000000001</v>
      </c>
      <c r="BZ1151">
        <v>1</v>
      </c>
      <c r="CA1151">
        <f>BZ1151*SQRT(AL1151)</f>
        <v>2.4494897427831779</v>
      </c>
      <c r="CB1151">
        <v>5</v>
      </c>
      <c r="CC1151" t="s">
        <v>56</v>
      </c>
      <c r="CD1151">
        <v>-0.81899999999999995</v>
      </c>
      <c r="CE1151">
        <v>2.2800000000000001E-2</v>
      </c>
    </row>
    <row r="1152" spans="2:84" hidden="1" x14ac:dyDescent="0.2">
      <c r="D1152">
        <v>76</v>
      </c>
      <c r="G1152" t="s">
        <v>43</v>
      </c>
      <c r="H1152" t="s">
        <v>668</v>
      </c>
      <c r="J1152">
        <v>2011</v>
      </c>
      <c r="M1152" t="s">
        <v>174</v>
      </c>
      <c r="T1152" t="s">
        <v>46</v>
      </c>
      <c r="U1152" t="s">
        <v>382</v>
      </c>
      <c r="V1152" t="s">
        <v>383</v>
      </c>
      <c r="Z1152" t="s">
        <v>106</v>
      </c>
      <c r="AA1152" t="s">
        <v>107</v>
      </c>
      <c r="AB1152" t="s">
        <v>50</v>
      </c>
      <c r="AC1152" t="s">
        <v>108</v>
      </c>
      <c r="AD1152" t="s">
        <v>52</v>
      </c>
      <c r="AE1152" t="s">
        <v>53</v>
      </c>
      <c r="AF1152" t="s">
        <v>52</v>
      </c>
      <c r="AG1152" t="s">
        <v>52</v>
      </c>
      <c r="AH1152" t="s">
        <v>64</v>
      </c>
      <c r="AK1152">
        <v>6</v>
      </c>
      <c r="AL1152">
        <v>6</v>
      </c>
      <c r="AN1152">
        <v>448</v>
      </c>
      <c r="AO1152">
        <v>26</v>
      </c>
      <c r="AP1152" t="s">
        <v>56</v>
      </c>
      <c r="AQ1152" t="s">
        <v>57</v>
      </c>
      <c r="AR1152">
        <v>8.1999999999999993</v>
      </c>
      <c r="AS1152" t="s">
        <v>56</v>
      </c>
      <c r="AT1152" t="s">
        <v>56</v>
      </c>
      <c r="AU1152">
        <v>1126</v>
      </c>
      <c r="AV1152">
        <v>12</v>
      </c>
      <c r="AW1152" t="s">
        <v>56</v>
      </c>
      <c r="AX1152">
        <v>7.8</v>
      </c>
      <c r="AY1152" t="s">
        <v>56</v>
      </c>
      <c r="AZ1152" t="s">
        <v>56</v>
      </c>
      <c r="BB1152">
        <f>LOG(AU1152)</f>
        <v>3.0515383905153275</v>
      </c>
      <c r="BC1152">
        <v>22</v>
      </c>
      <c r="BD1152" t="s">
        <v>56</v>
      </c>
      <c r="BE1152" t="s">
        <v>56</v>
      </c>
      <c r="BF1152">
        <v>26</v>
      </c>
      <c r="BG1152" t="s">
        <v>56</v>
      </c>
      <c r="BH1152" t="s">
        <v>56</v>
      </c>
      <c r="BI1152">
        <v>678</v>
      </c>
      <c r="BJ1152">
        <v>4</v>
      </c>
      <c r="BK1152" t="s">
        <v>56</v>
      </c>
      <c r="BL1152" t="s">
        <v>86</v>
      </c>
      <c r="BM1152" t="s">
        <v>86</v>
      </c>
      <c r="BN1152" t="s">
        <v>81</v>
      </c>
      <c r="BO1152" t="s">
        <v>82</v>
      </c>
      <c r="BP1152" t="s">
        <v>9</v>
      </c>
      <c r="BR1152" t="s">
        <v>84</v>
      </c>
      <c r="BT1152">
        <v>45.6</v>
      </c>
      <c r="BU1152">
        <v>45.6</v>
      </c>
      <c r="BV1152">
        <v>6.5</v>
      </c>
      <c r="BW1152">
        <f>BV1152*SQRT(AK1152)</f>
        <v>15.921683328090657</v>
      </c>
      <c r="BX1152">
        <v>20.100000000000001</v>
      </c>
      <c r="BY1152">
        <v>20.100000000000001</v>
      </c>
      <c r="BZ1152">
        <v>5.4</v>
      </c>
      <c r="CA1152">
        <f>BZ1152*SQRT(AL1152)</f>
        <v>13.227244611029162</v>
      </c>
      <c r="CB1152">
        <v>5</v>
      </c>
      <c r="CC1152" t="s">
        <v>56</v>
      </c>
      <c r="CD1152">
        <v>-0.81899999999999995</v>
      </c>
      <c r="CE1152">
        <v>9.2499999999999999E-2</v>
      </c>
    </row>
    <row r="1153" spans="2:84" hidden="1" x14ac:dyDescent="0.2">
      <c r="B1153" t="str">
        <f>ROW()-1&amp;"_AltersInvert"</f>
        <v>1152_AltersInvert</v>
      </c>
      <c r="C1153" t="str">
        <f>D1153&amp;"_"&amp;
SUBSTITUTE(TRIM(V1153)," ","_")&amp;"_"&amp;
TRIM(AC1153)&amp;"_"&amp;
"CO2"&amp;TEXT(AN1153,"0.00")&amp;"_"&amp;
"pH"&amp;TEXT(AR1153,"0.00")&amp;"_"&amp;
"T"&amp;TEXT(BC1153,"0.##")</f>
        <v>69_Heliocidaris_tuberculata_LARVA_CO2291.00_pH8.16_T20.</v>
      </c>
      <c r="D1153">
        <v>69</v>
      </c>
      <c r="G1153" t="s">
        <v>43</v>
      </c>
      <c r="H1153" t="s">
        <v>636</v>
      </c>
      <c r="J1153">
        <v>2014</v>
      </c>
      <c r="M1153" t="s">
        <v>308</v>
      </c>
      <c r="P1153" t="s">
        <v>1135</v>
      </c>
      <c r="R1153" t="s">
        <v>1127</v>
      </c>
      <c r="S1153" t="s">
        <v>1128</v>
      </c>
      <c r="T1153" t="s">
        <v>46</v>
      </c>
      <c r="U1153" t="s">
        <v>637</v>
      </c>
      <c r="V1153" t="s">
        <v>606</v>
      </c>
      <c r="Z1153" t="s">
        <v>49</v>
      </c>
      <c r="AA1153" t="s">
        <v>49</v>
      </c>
      <c r="AB1153" t="s">
        <v>71</v>
      </c>
      <c r="AC1153" t="s">
        <v>72</v>
      </c>
      <c r="AD1153" t="s">
        <v>52</v>
      </c>
      <c r="AE1153" t="s">
        <v>53</v>
      </c>
      <c r="AF1153" t="s">
        <v>52</v>
      </c>
      <c r="AG1153" t="s">
        <v>52</v>
      </c>
      <c r="AH1153" t="s">
        <v>64</v>
      </c>
      <c r="AK1153">
        <v>9</v>
      </c>
      <c r="AL1153">
        <v>9</v>
      </c>
      <c r="AN1153">
        <v>291</v>
      </c>
      <c r="AO1153">
        <v>21</v>
      </c>
      <c r="AP1153" t="s">
        <v>56</v>
      </c>
      <c r="AQ1153" t="s">
        <v>118</v>
      </c>
      <c r="AR1153">
        <v>8.16</v>
      </c>
      <c r="AS1153">
        <v>0.02</v>
      </c>
      <c r="AT1153" t="s">
        <v>56</v>
      </c>
      <c r="AU1153">
        <v>2108</v>
      </c>
      <c r="AV1153">
        <v>22</v>
      </c>
      <c r="AW1153" t="s">
        <v>56</v>
      </c>
      <c r="AX1153">
        <v>7.4</v>
      </c>
      <c r="AY1153">
        <v>0.08</v>
      </c>
      <c r="AZ1153" t="s">
        <v>56</v>
      </c>
      <c r="BB1153">
        <f>LOG(AU1153)</f>
        <v>3.3238706065405088</v>
      </c>
      <c r="BC1153">
        <v>20</v>
      </c>
      <c r="BD1153" t="s">
        <v>56</v>
      </c>
      <c r="BE1153" t="s">
        <v>56</v>
      </c>
      <c r="BF1153">
        <v>26</v>
      </c>
      <c r="BG1153" t="s">
        <v>56</v>
      </c>
      <c r="BH1153" t="s">
        <v>56</v>
      </c>
      <c r="BI1153">
        <v>1816</v>
      </c>
      <c r="BJ1153">
        <v>6</v>
      </c>
      <c r="BK1153" t="s">
        <v>56</v>
      </c>
      <c r="BL1153" t="s">
        <v>86</v>
      </c>
      <c r="BM1153" t="s">
        <v>86</v>
      </c>
      <c r="BN1153" t="s">
        <v>81</v>
      </c>
      <c r="BO1153" t="s">
        <v>82</v>
      </c>
      <c r="BP1153" t="s">
        <v>9</v>
      </c>
      <c r="BQ1153" t="s">
        <v>9</v>
      </c>
      <c r="BR1153" t="s">
        <v>84</v>
      </c>
      <c r="BT1153">
        <v>96.15</v>
      </c>
      <c r="BU1153">
        <v>96.15</v>
      </c>
      <c r="BV1153">
        <v>1.33</v>
      </c>
      <c r="BW1153">
        <f>BV1153*SQRT(AK1153)</f>
        <v>3.99</v>
      </c>
      <c r="BX1153">
        <v>79.739999999999995</v>
      </c>
      <c r="BY1153">
        <v>79.739999999999995</v>
      </c>
      <c r="BZ1153">
        <v>2.84</v>
      </c>
      <c r="CA1153">
        <f>BZ1153*SQRT(AL1153)</f>
        <v>8.52</v>
      </c>
      <c r="CB1153">
        <v>1</v>
      </c>
      <c r="CC1153">
        <v>3</v>
      </c>
      <c r="CD1153">
        <v>-0.187</v>
      </c>
      <c r="CE1153">
        <v>1.5E-3</v>
      </c>
      <c r="CF1153" s="8"/>
    </row>
    <row r="1154" spans="2:84" hidden="1" x14ac:dyDescent="0.2">
      <c r="D1154">
        <v>76</v>
      </c>
      <c r="G1154" t="s">
        <v>43</v>
      </c>
      <c r="H1154" t="s">
        <v>668</v>
      </c>
      <c r="J1154">
        <v>2011</v>
      </c>
      <c r="M1154" t="s">
        <v>174</v>
      </c>
      <c r="T1154" t="s">
        <v>46</v>
      </c>
      <c r="U1154" t="s">
        <v>382</v>
      </c>
      <c r="V1154" t="s">
        <v>383</v>
      </c>
      <c r="Z1154" t="s">
        <v>106</v>
      </c>
      <c r="AA1154" t="s">
        <v>107</v>
      </c>
      <c r="AB1154" t="s">
        <v>50</v>
      </c>
      <c r="AC1154" t="s">
        <v>108</v>
      </c>
      <c r="AD1154" t="s">
        <v>52</v>
      </c>
      <c r="AE1154" t="s">
        <v>53</v>
      </c>
      <c r="AF1154" t="s">
        <v>52</v>
      </c>
      <c r="AG1154" t="s">
        <v>52</v>
      </c>
      <c r="AH1154" t="s">
        <v>64</v>
      </c>
      <c r="AK1154">
        <v>6</v>
      </c>
      <c r="AL1154">
        <v>6</v>
      </c>
      <c r="AN1154">
        <v>448</v>
      </c>
      <c r="AO1154">
        <v>26</v>
      </c>
      <c r="AP1154" t="s">
        <v>56</v>
      </c>
      <c r="AQ1154" t="s">
        <v>57</v>
      </c>
      <c r="AR1154">
        <v>8.1999999999999993</v>
      </c>
      <c r="AS1154" t="s">
        <v>56</v>
      </c>
      <c r="AT1154" t="s">
        <v>56</v>
      </c>
      <c r="AU1154">
        <v>1108</v>
      </c>
      <c r="AV1154">
        <v>11</v>
      </c>
      <c r="AW1154" t="s">
        <v>56</v>
      </c>
      <c r="AX1154">
        <v>7.8</v>
      </c>
      <c r="AY1154" t="s">
        <v>56</v>
      </c>
      <c r="AZ1154" t="s">
        <v>56</v>
      </c>
      <c r="BB1154">
        <f>LOG(AU1154)</f>
        <v>3.0445397603924111</v>
      </c>
      <c r="BC1154">
        <v>22</v>
      </c>
      <c r="BD1154" t="s">
        <v>56</v>
      </c>
      <c r="BE1154" t="s">
        <v>56</v>
      </c>
      <c r="BF1154">
        <v>24</v>
      </c>
      <c r="BG1154" t="s">
        <v>56</v>
      </c>
      <c r="BH1154" t="s">
        <v>56</v>
      </c>
      <c r="BI1154">
        <v>660</v>
      </c>
      <c r="BJ1154">
        <v>2</v>
      </c>
      <c r="BK1154" t="s">
        <v>56</v>
      </c>
      <c r="BL1154" t="s">
        <v>86</v>
      </c>
      <c r="BM1154" t="s">
        <v>86</v>
      </c>
      <c r="BN1154" t="s">
        <v>81</v>
      </c>
      <c r="BO1154" t="s">
        <v>82</v>
      </c>
      <c r="BP1154" t="s">
        <v>9</v>
      </c>
      <c r="BR1154" t="s">
        <v>84</v>
      </c>
      <c r="BT1154">
        <v>45.6</v>
      </c>
      <c r="BU1154">
        <v>45.6</v>
      </c>
      <c r="BV1154">
        <v>6.5</v>
      </c>
      <c r="BW1154">
        <f>BV1154*SQRT(AK1154)</f>
        <v>15.921683328090657</v>
      </c>
      <c r="BX1154">
        <v>24</v>
      </c>
      <c r="BY1154">
        <v>24</v>
      </c>
      <c r="BZ1154">
        <v>3.6</v>
      </c>
      <c r="CA1154">
        <f>BZ1154*SQRT(AL1154)</f>
        <v>8.8181630740194414</v>
      </c>
      <c r="CB1154">
        <v>5</v>
      </c>
      <c r="CC1154" t="s">
        <v>56</v>
      </c>
      <c r="CD1154">
        <v>-0.64200000000000002</v>
      </c>
      <c r="CE1154">
        <v>4.2799999999999998E-2</v>
      </c>
    </row>
    <row r="1155" spans="2:84" hidden="1" x14ac:dyDescent="0.2">
      <c r="B1155" t="str">
        <f>ROW()-1&amp;"_AltersInvert"</f>
        <v>1154_AltersInvert</v>
      </c>
      <c r="C1155" t="str">
        <f>D1155&amp;"_"&amp;
SUBSTITUTE(TRIM(V1155)," ","_")&amp;"_"&amp;
TRIM(AC1155)&amp;"_"&amp;
"CO2"&amp;TEXT(AN1155,"0.00")&amp;"_"&amp;
"pH"&amp;TEXT(AR1155,"0.00")&amp;"_"&amp;
"T"&amp;TEXT(BC1155,"0.##")</f>
        <v>69_Heliocidaris_tuberculata_LARVA_CO2291.00_pH8.16_T20.</v>
      </c>
      <c r="D1155">
        <v>69</v>
      </c>
      <c r="G1155" t="s">
        <v>43</v>
      </c>
      <c r="H1155" t="s">
        <v>636</v>
      </c>
      <c r="J1155">
        <v>2014</v>
      </c>
      <c r="M1155" t="s">
        <v>308</v>
      </c>
      <c r="P1155" t="s">
        <v>1135</v>
      </c>
      <c r="R1155" t="s">
        <v>1127</v>
      </c>
      <c r="S1155" t="s">
        <v>1128</v>
      </c>
      <c r="T1155" t="s">
        <v>46</v>
      </c>
      <c r="U1155" t="s">
        <v>637</v>
      </c>
      <c r="V1155" t="s">
        <v>606</v>
      </c>
      <c r="Z1155" t="s">
        <v>49</v>
      </c>
      <c r="AA1155" t="s">
        <v>49</v>
      </c>
      <c r="AB1155" t="s">
        <v>71</v>
      </c>
      <c r="AC1155" t="s">
        <v>72</v>
      </c>
      <c r="AD1155" t="s">
        <v>52</v>
      </c>
      <c r="AE1155" t="s">
        <v>53</v>
      </c>
      <c r="AF1155" t="s">
        <v>52</v>
      </c>
      <c r="AG1155" t="s">
        <v>52</v>
      </c>
      <c r="AH1155" t="s">
        <v>64</v>
      </c>
      <c r="AK1155">
        <v>9</v>
      </c>
      <c r="AL1155">
        <v>9</v>
      </c>
      <c r="AN1155">
        <v>291</v>
      </c>
      <c r="AO1155">
        <v>21</v>
      </c>
      <c r="AP1155" t="s">
        <v>56</v>
      </c>
      <c r="AQ1155" t="s">
        <v>118</v>
      </c>
      <c r="AR1155">
        <v>8.16</v>
      </c>
      <c r="AS1155">
        <v>0.02</v>
      </c>
      <c r="AT1155" t="s">
        <v>56</v>
      </c>
      <c r="AU1155">
        <v>758</v>
      </c>
      <c r="AV1155">
        <v>12</v>
      </c>
      <c r="AW1155" t="s">
        <v>56</v>
      </c>
      <c r="AX1155">
        <v>7.8</v>
      </c>
      <c r="AY1155">
        <v>0.02</v>
      </c>
      <c r="AZ1155" t="s">
        <v>56</v>
      </c>
      <c r="BB1155">
        <f>LOG(AU1155)</f>
        <v>2.8796692056320534</v>
      </c>
      <c r="BC1155">
        <v>20</v>
      </c>
      <c r="BD1155" t="s">
        <v>56</v>
      </c>
      <c r="BE1155" t="s">
        <v>56</v>
      </c>
      <c r="BF1155">
        <v>26</v>
      </c>
      <c r="BG1155" t="s">
        <v>56</v>
      </c>
      <c r="BH1155" t="s">
        <v>56</v>
      </c>
      <c r="BI1155">
        <v>467</v>
      </c>
      <c r="BJ1155">
        <v>6</v>
      </c>
      <c r="BK1155" t="s">
        <v>56</v>
      </c>
      <c r="BL1155" t="s">
        <v>86</v>
      </c>
      <c r="BM1155" t="s">
        <v>86</v>
      </c>
      <c r="BN1155" t="s">
        <v>81</v>
      </c>
      <c r="BO1155" t="s">
        <v>82</v>
      </c>
      <c r="BP1155" t="s">
        <v>9</v>
      </c>
      <c r="BQ1155" t="s">
        <v>9</v>
      </c>
      <c r="BR1155" t="s">
        <v>84</v>
      </c>
      <c r="BT1155">
        <v>96.15</v>
      </c>
      <c r="BU1155">
        <v>96.15</v>
      </c>
      <c r="BV1155">
        <v>1.33</v>
      </c>
      <c r="BW1155">
        <f>BV1155*SQRT(AK1155)</f>
        <v>3.99</v>
      </c>
      <c r="BX1155">
        <v>80.3</v>
      </c>
      <c r="BY1155">
        <v>80.3</v>
      </c>
      <c r="BZ1155">
        <v>3.4</v>
      </c>
      <c r="CA1155">
        <f>BZ1155*SQRT(AL1155)</f>
        <v>10.199999999999999</v>
      </c>
      <c r="CB1155">
        <v>1</v>
      </c>
      <c r="CC1155">
        <v>3</v>
      </c>
      <c r="CD1155">
        <v>-0.18</v>
      </c>
      <c r="CE1155">
        <v>2E-3</v>
      </c>
      <c r="CF1155" s="8"/>
    </row>
    <row r="1156" spans="2:84" hidden="1" x14ac:dyDescent="0.2">
      <c r="D1156">
        <v>76</v>
      </c>
      <c r="G1156" t="s">
        <v>43</v>
      </c>
      <c r="H1156" t="s">
        <v>668</v>
      </c>
      <c r="J1156">
        <v>2011</v>
      </c>
      <c r="M1156" t="s">
        <v>174</v>
      </c>
      <c r="T1156" t="s">
        <v>46</v>
      </c>
      <c r="U1156" t="s">
        <v>382</v>
      </c>
      <c r="V1156" t="s">
        <v>383</v>
      </c>
      <c r="Z1156" t="s">
        <v>106</v>
      </c>
      <c r="AA1156" t="s">
        <v>107</v>
      </c>
      <c r="AB1156" t="s">
        <v>50</v>
      </c>
      <c r="AC1156" t="s">
        <v>108</v>
      </c>
      <c r="AD1156" t="s">
        <v>52</v>
      </c>
      <c r="AE1156" t="s">
        <v>53</v>
      </c>
      <c r="AF1156" t="s">
        <v>54</v>
      </c>
      <c r="AG1156" t="s">
        <v>52</v>
      </c>
      <c r="AH1156" t="s">
        <v>65</v>
      </c>
      <c r="AK1156">
        <v>6</v>
      </c>
      <c r="AL1156">
        <v>6</v>
      </c>
      <c r="AN1156">
        <v>448</v>
      </c>
      <c r="AO1156">
        <v>26</v>
      </c>
      <c r="AP1156" t="s">
        <v>56</v>
      </c>
      <c r="AQ1156" t="s">
        <v>57</v>
      </c>
      <c r="AR1156">
        <v>8.1999999999999993</v>
      </c>
      <c r="AS1156" t="s">
        <v>56</v>
      </c>
      <c r="AT1156" t="s">
        <v>56</v>
      </c>
      <c r="AU1156">
        <v>448</v>
      </c>
      <c r="AV1156">
        <v>26</v>
      </c>
      <c r="AW1156" t="s">
        <v>56</v>
      </c>
      <c r="AX1156">
        <v>8.1999999999999993</v>
      </c>
      <c r="AY1156" t="s">
        <v>56</v>
      </c>
      <c r="AZ1156" t="s">
        <v>56</v>
      </c>
      <c r="BB1156">
        <f>LOG(AU1156)</f>
        <v>2.651278013998144</v>
      </c>
      <c r="BC1156">
        <v>22</v>
      </c>
      <c r="BD1156" t="s">
        <v>56</v>
      </c>
      <c r="BE1156" t="s">
        <v>56</v>
      </c>
      <c r="BF1156">
        <v>24</v>
      </c>
      <c r="BG1156" t="s">
        <v>56</v>
      </c>
      <c r="BH1156" t="s">
        <v>56</v>
      </c>
      <c r="BI1156">
        <v>0</v>
      </c>
      <c r="BJ1156">
        <v>2</v>
      </c>
      <c r="BK1156" t="s">
        <v>56</v>
      </c>
      <c r="BL1156" t="s">
        <v>86</v>
      </c>
      <c r="BM1156" t="s">
        <v>86</v>
      </c>
      <c r="BN1156" t="s">
        <v>81</v>
      </c>
      <c r="BO1156" t="s">
        <v>82</v>
      </c>
      <c r="BP1156" t="s">
        <v>9</v>
      </c>
      <c r="BR1156" t="s">
        <v>84</v>
      </c>
      <c r="BT1156">
        <v>45.6</v>
      </c>
      <c r="BU1156">
        <v>45.6</v>
      </c>
      <c r="BV1156">
        <v>6.5</v>
      </c>
      <c r="BW1156">
        <f>BV1156*SQRT(AK1156)</f>
        <v>15.921683328090657</v>
      </c>
      <c r="BX1156">
        <v>42</v>
      </c>
      <c r="BY1156">
        <v>42</v>
      </c>
      <c r="BZ1156">
        <v>5</v>
      </c>
      <c r="CA1156">
        <f>BZ1156*SQRT(AL1156)</f>
        <v>12.24744871391589</v>
      </c>
      <c r="CB1156">
        <v>5</v>
      </c>
      <c r="CC1156" t="s">
        <v>56</v>
      </c>
      <c r="CD1156">
        <v>-8.2000000000000003E-2</v>
      </c>
      <c r="CE1156">
        <v>3.4500000000000003E-2</v>
      </c>
    </row>
    <row r="1157" spans="2:84" hidden="1" x14ac:dyDescent="0.2">
      <c r="D1157">
        <v>78</v>
      </c>
      <c r="G1157" t="s">
        <v>43</v>
      </c>
      <c r="H1157" t="s">
        <v>672</v>
      </c>
      <c r="J1157">
        <v>2020</v>
      </c>
      <c r="M1157" t="s">
        <v>673</v>
      </c>
      <c r="T1157" t="s">
        <v>68</v>
      </c>
      <c r="U1157" t="s">
        <v>428</v>
      </c>
      <c r="V1157" t="s">
        <v>674</v>
      </c>
      <c r="Z1157" t="s">
        <v>49</v>
      </c>
      <c r="AA1157" t="s">
        <v>49</v>
      </c>
      <c r="AB1157" t="s">
        <v>50</v>
      </c>
      <c r="AC1157" t="s">
        <v>51</v>
      </c>
      <c r="AD1157" t="s">
        <v>52</v>
      </c>
      <c r="AE1157" t="s">
        <v>53</v>
      </c>
      <c r="AF1157" t="s">
        <v>52</v>
      </c>
      <c r="AG1157" t="s">
        <v>52</v>
      </c>
      <c r="AH1157" t="s">
        <v>64</v>
      </c>
      <c r="AK1157">
        <v>14</v>
      </c>
      <c r="AL1157">
        <v>14</v>
      </c>
      <c r="AN1157">
        <v>366</v>
      </c>
      <c r="AO1157" t="s">
        <v>56</v>
      </c>
      <c r="AP1157">
        <v>36</v>
      </c>
      <c r="AQ1157" t="s">
        <v>56</v>
      </c>
      <c r="AR1157">
        <v>8</v>
      </c>
      <c r="AS1157" t="s">
        <v>56</v>
      </c>
      <c r="AT1157">
        <v>0.01</v>
      </c>
      <c r="AU1157">
        <v>1028</v>
      </c>
      <c r="AV1157" t="s">
        <v>56</v>
      </c>
      <c r="AW1157">
        <v>126</v>
      </c>
      <c r="AX1157">
        <v>7.6</v>
      </c>
      <c r="AY1157" t="s">
        <v>56</v>
      </c>
      <c r="AZ1157">
        <v>0.02</v>
      </c>
      <c r="BB1157">
        <f>LOG(AU1157)</f>
        <v>3.0119931146592571</v>
      </c>
      <c r="BC1157">
        <v>14</v>
      </c>
      <c r="BD1157" t="s">
        <v>56</v>
      </c>
      <c r="BE1157">
        <v>0</v>
      </c>
      <c r="BF1157">
        <v>21.5</v>
      </c>
      <c r="BG1157" t="s">
        <v>56</v>
      </c>
      <c r="BH1157">
        <v>0</v>
      </c>
      <c r="BI1157">
        <v>662</v>
      </c>
      <c r="BJ1157">
        <v>7.5</v>
      </c>
      <c r="BK1157" t="s">
        <v>56</v>
      </c>
      <c r="BL1157" t="s">
        <v>98</v>
      </c>
      <c r="BM1157" t="s">
        <v>98</v>
      </c>
      <c r="BN1157" t="s">
        <v>81</v>
      </c>
      <c r="BO1157" t="s">
        <v>675</v>
      </c>
      <c r="BP1157" t="s">
        <v>100</v>
      </c>
      <c r="BR1157" t="s">
        <v>63</v>
      </c>
      <c r="BT1157">
        <v>22.56</v>
      </c>
      <c r="BU1157">
        <v>22.56</v>
      </c>
      <c r="BV1157">
        <v>1.24</v>
      </c>
      <c r="BW1157">
        <f>BV1157*SQRT(AK1157)</f>
        <v>4.6396551595996876</v>
      </c>
      <c r="BX1157">
        <v>15.56</v>
      </c>
      <c r="BY1157">
        <v>15.562900000000001</v>
      </c>
      <c r="BZ1157">
        <v>1.24</v>
      </c>
      <c r="CA1157">
        <f>BZ1157*SQRT(AL1157)</f>
        <v>4.6396551595996876</v>
      </c>
      <c r="CB1157">
        <v>42</v>
      </c>
      <c r="CC1157">
        <v>2</v>
      </c>
      <c r="CD1157">
        <v>-0.371</v>
      </c>
      <c r="CE1157">
        <v>9.4000000000000004E-3</v>
      </c>
    </row>
    <row r="1158" spans="2:84" hidden="1" x14ac:dyDescent="0.2">
      <c r="D1158">
        <v>78</v>
      </c>
      <c r="G1158" t="s">
        <v>43</v>
      </c>
      <c r="H1158" t="s">
        <v>672</v>
      </c>
      <c r="J1158">
        <v>2020</v>
      </c>
      <c r="M1158" t="s">
        <v>673</v>
      </c>
      <c r="T1158" t="s">
        <v>68</v>
      </c>
      <c r="U1158" t="s">
        <v>428</v>
      </c>
      <c r="V1158" t="s">
        <v>674</v>
      </c>
      <c r="Z1158" t="s">
        <v>49</v>
      </c>
      <c r="AA1158" t="s">
        <v>49</v>
      </c>
      <c r="AB1158" t="s">
        <v>50</v>
      </c>
      <c r="AC1158" t="s">
        <v>51</v>
      </c>
      <c r="AD1158" t="s">
        <v>52</v>
      </c>
      <c r="AE1158" t="s">
        <v>53</v>
      </c>
      <c r="AF1158" t="s">
        <v>52</v>
      </c>
      <c r="AG1158" t="s">
        <v>54</v>
      </c>
      <c r="AH1158" t="s">
        <v>55</v>
      </c>
      <c r="AK1158">
        <v>14</v>
      </c>
      <c r="AL1158">
        <v>14</v>
      </c>
      <c r="AN1158">
        <v>366</v>
      </c>
      <c r="AO1158" t="s">
        <v>56</v>
      </c>
      <c r="AP1158">
        <v>36</v>
      </c>
      <c r="AQ1158" t="s">
        <v>56</v>
      </c>
      <c r="AR1158">
        <v>8</v>
      </c>
      <c r="AS1158" t="s">
        <v>56</v>
      </c>
      <c r="AT1158">
        <v>0.01</v>
      </c>
      <c r="AU1158">
        <v>1099</v>
      </c>
      <c r="AV1158" t="s">
        <v>56</v>
      </c>
      <c r="AW1158">
        <v>64</v>
      </c>
      <c r="AX1158">
        <v>7.6</v>
      </c>
      <c r="AY1158" t="s">
        <v>56</v>
      </c>
      <c r="AZ1158">
        <v>0.02</v>
      </c>
      <c r="BB1158">
        <f>LOG(AU1158)</f>
        <v>3.0409976924234905</v>
      </c>
      <c r="BC1158">
        <v>14</v>
      </c>
      <c r="BD1158" t="s">
        <v>56</v>
      </c>
      <c r="BE1158">
        <v>0</v>
      </c>
      <c r="BF1158">
        <v>14</v>
      </c>
      <c r="BG1158" t="s">
        <v>56</v>
      </c>
      <c r="BH1158">
        <v>0</v>
      </c>
      <c r="BI1158">
        <v>733</v>
      </c>
      <c r="BJ1158">
        <v>0</v>
      </c>
      <c r="BK1158" t="s">
        <v>56</v>
      </c>
      <c r="BL1158" t="s">
        <v>98</v>
      </c>
      <c r="BM1158" t="s">
        <v>98</v>
      </c>
      <c r="BN1158" t="s">
        <v>81</v>
      </c>
      <c r="BO1158" t="s">
        <v>675</v>
      </c>
      <c r="BP1158" t="s">
        <v>100</v>
      </c>
      <c r="BR1158" t="s">
        <v>63</v>
      </c>
      <c r="BT1158">
        <v>22.56</v>
      </c>
      <c r="BU1158">
        <v>22.56</v>
      </c>
      <c r="BV1158">
        <v>1.24</v>
      </c>
      <c r="BW1158">
        <f>BV1158*SQRT(AK1158)</f>
        <v>4.6396551595996876</v>
      </c>
      <c r="BX1158">
        <v>17.760000000000002</v>
      </c>
      <c r="BY1158">
        <v>17.756599999999999</v>
      </c>
      <c r="BZ1158">
        <v>0.87</v>
      </c>
      <c r="CA1158">
        <f>BZ1158*SQRT(AL1158)</f>
        <v>3.255241926493329</v>
      </c>
      <c r="CB1158">
        <v>42</v>
      </c>
      <c r="CC1158">
        <v>2</v>
      </c>
      <c r="CD1158">
        <v>-0.23899999999999999</v>
      </c>
      <c r="CE1158">
        <v>5.4000000000000003E-3</v>
      </c>
    </row>
    <row r="1159" spans="2:84" hidden="1" x14ac:dyDescent="0.2">
      <c r="D1159">
        <v>78</v>
      </c>
      <c r="G1159" t="s">
        <v>43</v>
      </c>
      <c r="H1159" t="s">
        <v>672</v>
      </c>
      <c r="J1159">
        <v>2020</v>
      </c>
      <c r="M1159" t="s">
        <v>673</v>
      </c>
      <c r="T1159" t="s">
        <v>68</v>
      </c>
      <c r="U1159" t="s">
        <v>428</v>
      </c>
      <c r="V1159" t="s">
        <v>674</v>
      </c>
      <c r="Z1159" t="s">
        <v>49</v>
      </c>
      <c r="AA1159" t="s">
        <v>49</v>
      </c>
      <c r="AB1159" t="s">
        <v>50</v>
      </c>
      <c r="AC1159" t="s">
        <v>51</v>
      </c>
      <c r="AD1159" t="s">
        <v>52</v>
      </c>
      <c r="AE1159" t="s">
        <v>53</v>
      </c>
      <c r="AF1159" t="s">
        <v>54</v>
      </c>
      <c r="AG1159" t="s">
        <v>52</v>
      </c>
      <c r="AH1159" t="s">
        <v>65</v>
      </c>
      <c r="AK1159">
        <v>14</v>
      </c>
      <c r="AL1159">
        <v>14</v>
      </c>
      <c r="AN1159">
        <v>366</v>
      </c>
      <c r="AO1159" t="s">
        <v>56</v>
      </c>
      <c r="AP1159">
        <v>36</v>
      </c>
      <c r="AQ1159" t="s">
        <v>56</v>
      </c>
      <c r="AR1159">
        <v>8</v>
      </c>
      <c r="AS1159" t="s">
        <v>56</v>
      </c>
      <c r="AT1159">
        <v>0.01</v>
      </c>
      <c r="AU1159">
        <v>366</v>
      </c>
      <c r="AV1159" t="s">
        <v>56</v>
      </c>
      <c r="AW1159">
        <v>40</v>
      </c>
      <c r="AX1159">
        <v>8</v>
      </c>
      <c r="AY1159" t="s">
        <v>56</v>
      </c>
      <c r="AZ1159">
        <v>0.04</v>
      </c>
      <c r="BB1159">
        <f>LOG(AU1159)</f>
        <v>2.5634810853944106</v>
      </c>
      <c r="BC1159">
        <v>14</v>
      </c>
      <c r="BD1159" t="s">
        <v>56</v>
      </c>
      <c r="BE1159">
        <v>0</v>
      </c>
      <c r="BF1159">
        <v>21.5</v>
      </c>
      <c r="BG1159" t="s">
        <v>56</v>
      </c>
      <c r="BH1159">
        <v>0</v>
      </c>
      <c r="BI1159">
        <v>0</v>
      </c>
      <c r="BJ1159">
        <v>7.5</v>
      </c>
      <c r="BK1159" t="s">
        <v>56</v>
      </c>
      <c r="BL1159" t="s">
        <v>98</v>
      </c>
      <c r="BM1159" t="s">
        <v>98</v>
      </c>
      <c r="BN1159" t="s">
        <v>81</v>
      </c>
      <c r="BO1159" t="s">
        <v>675</v>
      </c>
      <c r="BP1159" t="s">
        <v>100</v>
      </c>
      <c r="BR1159" t="s">
        <v>63</v>
      </c>
      <c r="BT1159">
        <v>22.56</v>
      </c>
      <c r="BU1159">
        <v>22.56</v>
      </c>
      <c r="BV1159">
        <v>1.24</v>
      </c>
      <c r="BW1159">
        <f>BV1159*SQRT(AK1159)</f>
        <v>4.6396551595996876</v>
      </c>
      <c r="BX1159">
        <v>18.79</v>
      </c>
      <c r="BY1159">
        <v>18.791399999999999</v>
      </c>
      <c r="BZ1159">
        <v>1.1599999999999999</v>
      </c>
      <c r="CA1159">
        <f>BZ1159*SQRT(AL1159)</f>
        <v>4.340322568657772</v>
      </c>
      <c r="CB1159">
        <v>42</v>
      </c>
      <c r="CC1159">
        <v>2</v>
      </c>
      <c r="CD1159">
        <v>-0.183</v>
      </c>
      <c r="CE1159">
        <v>6.7999999999999996E-3</v>
      </c>
    </row>
    <row r="1160" spans="2:84" hidden="1" x14ac:dyDescent="0.2">
      <c r="D1160">
        <v>78</v>
      </c>
      <c r="G1160" t="s">
        <v>43</v>
      </c>
      <c r="H1160" t="s">
        <v>672</v>
      </c>
      <c r="J1160">
        <v>2020</v>
      </c>
      <c r="M1160" t="s">
        <v>673</v>
      </c>
      <c r="T1160" t="s">
        <v>68</v>
      </c>
      <c r="U1160" t="s">
        <v>428</v>
      </c>
      <c r="V1160" t="s">
        <v>674</v>
      </c>
      <c r="Z1160" t="s">
        <v>49</v>
      </c>
      <c r="AA1160" t="s">
        <v>49</v>
      </c>
      <c r="AB1160" t="s">
        <v>50</v>
      </c>
      <c r="AC1160" t="s">
        <v>51</v>
      </c>
      <c r="AD1160" t="s">
        <v>52</v>
      </c>
      <c r="AE1160" t="s">
        <v>53</v>
      </c>
      <c r="AF1160" t="s">
        <v>54</v>
      </c>
      <c r="AG1160" t="s">
        <v>52</v>
      </c>
      <c r="AH1160" t="s">
        <v>65</v>
      </c>
      <c r="AK1160">
        <v>14</v>
      </c>
      <c r="AL1160">
        <v>12</v>
      </c>
      <c r="AN1160">
        <v>366</v>
      </c>
      <c r="AO1160" t="s">
        <v>56</v>
      </c>
      <c r="AP1160">
        <v>36</v>
      </c>
      <c r="AQ1160" t="s">
        <v>56</v>
      </c>
      <c r="AR1160">
        <v>8</v>
      </c>
      <c r="AS1160" t="s">
        <v>56</v>
      </c>
      <c r="AT1160">
        <v>0.01</v>
      </c>
      <c r="AU1160">
        <v>366</v>
      </c>
      <c r="AV1160" t="s">
        <v>56</v>
      </c>
      <c r="AW1160">
        <v>40</v>
      </c>
      <c r="AX1160">
        <v>8</v>
      </c>
      <c r="AY1160" t="s">
        <v>56</v>
      </c>
      <c r="AZ1160">
        <v>0.04</v>
      </c>
      <c r="BB1160">
        <f>LOG(AU1160)</f>
        <v>2.5634810853944106</v>
      </c>
      <c r="BC1160">
        <v>14</v>
      </c>
      <c r="BD1160" t="s">
        <v>56</v>
      </c>
      <c r="BE1160">
        <v>0</v>
      </c>
      <c r="BF1160">
        <v>21.5</v>
      </c>
      <c r="BG1160" t="s">
        <v>56</v>
      </c>
      <c r="BH1160">
        <v>0</v>
      </c>
      <c r="BI1160">
        <v>0</v>
      </c>
      <c r="BJ1160">
        <v>7.5</v>
      </c>
      <c r="BK1160" t="s">
        <v>56</v>
      </c>
      <c r="BL1160" t="s">
        <v>676</v>
      </c>
      <c r="BM1160" t="s">
        <v>192</v>
      </c>
      <c r="BN1160" t="s">
        <v>60</v>
      </c>
      <c r="BO1160" t="s">
        <v>82</v>
      </c>
      <c r="BP1160" t="s">
        <v>194</v>
      </c>
      <c r="BR1160" t="s">
        <v>63</v>
      </c>
      <c r="BT1160">
        <v>7.52</v>
      </c>
      <c r="BU1160">
        <v>7.5196699999999996</v>
      </c>
      <c r="BV1160">
        <v>1.29</v>
      </c>
      <c r="BW1160">
        <f>BV1160*SQRT(AK1160)</f>
        <v>4.8267380289383848</v>
      </c>
      <c r="BX1160">
        <v>6.82</v>
      </c>
      <c r="BY1160">
        <v>6.82402</v>
      </c>
      <c r="BZ1160">
        <v>1.23</v>
      </c>
      <c r="CA1160">
        <f>BZ1160*SQRT(AL1160)</f>
        <v>4.2608449866194382</v>
      </c>
      <c r="CB1160">
        <v>42</v>
      </c>
      <c r="CC1160">
        <v>2</v>
      </c>
      <c r="CD1160">
        <v>-9.7000000000000003E-2</v>
      </c>
      <c r="CE1160">
        <v>6.1800000000000001E-2</v>
      </c>
    </row>
    <row r="1161" spans="2:84" hidden="1" x14ac:dyDescent="0.2">
      <c r="D1161">
        <v>78</v>
      </c>
      <c r="G1161" t="s">
        <v>43</v>
      </c>
      <c r="H1161" t="s">
        <v>672</v>
      </c>
      <c r="J1161">
        <v>2020</v>
      </c>
      <c r="M1161" t="s">
        <v>673</v>
      </c>
      <c r="T1161" t="s">
        <v>68</v>
      </c>
      <c r="U1161" t="s">
        <v>428</v>
      </c>
      <c r="V1161" t="s">
        <v>674</v>
      </c>
      <c r="Z1161" t="s">
        <v>49</v>
      </c>
      <c r="AA1161" t="s">
        <v>49</v>
      </c>
      <c r="AB1161" t="s">
        <v>50</v>
      </c>
      <c r="AC1161" t="s">
        <v>51</v>
      </c>
      <c r="AD1161" t="s">
        <v>52</v>
      </c>
      <c r="AE1161" t="s">
        <v>53</v>
      </c>
      <c r="AF1161" t="s">
        <v>52</v>
      </c>
      <c r="AG1161" t="s">
        <v>54</v>
      </c>
      <c r="AH1161" t="s">
        <v>55</v>
      </c>
      <c r="AK1161">
        <v>14</v>
      </c>
      <c r="AL1161">
        <v>11</v>
      </c>
      <c r="AN1161">
        <v>366</v>
      </c>
      <c r="AO1161" t="s">
        <v>56</v>
      </c>
      <c r="AP1161">
        <v>36</v>
      </c>
      <c r="AQ1161" t="s">
        <v>56</v>
      </c>
      <c r="AR1161">
        <v>8</v>
      </c>
      <c r="AS1161" t="s">
        <v>56</v>
      </c>
      <c r="AT1161">
        <v>0.01</v>
      </c>
      <c r="AU1161">
        <v>1099</v>
      </c>
      <c r="AV1161" t="s">
        <v>56</v>
      </c>
      <c r="AW1161">
        <v>64</v>
      </c>
      <c r="AX1161">
        <v>7.6</v>
      </c>
      <c r="AY1161" t="s">
        <v>56</v>
      </c>
      <c r="AZ1161">
        <v>0.02</v>
      </c>
      <c r="BB1161">
        <f>LOG(AU1161)</f>
        <v>3.0409976924234905</v>
      </c>
      <c r="BC1161">
        <v>14</v>
      </c>
      <c r="BD1161" t="s">
        <v>56</v>
      </c>
      <c r="BE1161">
        <v>0</v>
      </c>
      <c r="BF1161">
        <v>14</v>
      </c>
      <c r="BG1161" t="s">
        <v>56</v>
      </c>
      <c r="BH1161">
        <v>0</v>
      </c>
      <c r="BI1161">
        <v>733</v>
      </c>
      <c r="BJ1161">
        <v>0</v>
      </c>
      <c r="BK1161" t="s">
        <v>56</v>
      </c>
      <c r="BL1161" t="s">
        <v>676</v>
      </c>
      <c r="BM1161" t="s">
        <v>192</v>
      </c>
      <c r="BN1161" t="s">
        <v>60</v>
      </c>
      <c r="BO1161" t="s">
        <v>82</v>
      </c>
      <c r="BP1161" t="s">
        <v>194</v>
      </c>
      <c r="BR1161" t="s">
        <v>63</v>
      </c>
      <c r="BT1161">
        <v>7.52</v>
      </c>
      <c r="BU1161">
        <v>7.5196699999999996</v>
      </c>
      <c r="BV1161">
        <v>1.29</v>
      </c>
      <c r="BW1161">
        <f>BV1161*SQRT(AK1161)</f>
        <v>4.8267380289383848</v>
      </c>
      <c r="BX1161">
        <v>8.65</v>
      </c>
      <c r="BY1161">
        <v>8.6459600000000005</v>
      </c>
      <c r="BZ1161">
        <v>0.56000000000000005</v>
      </c>
      <c r="CA1161">
        <f>BZ1161*SQRT(AL1161)</f>
        <v>1.857309882599024</v>
      </c>
      <c r="CB1161">
        <v>42</v>
      </c>
      <c r="CC1161">
        <v>2</v>
      </c>
      <c r="CD1161">
        <v>0.14000000000000001</v>
      </c>
      <c r="CE1161">
        <v>3.3799999999999997E-2</v>
      </c>
    </row>
    <row r="1162" spans="2:84" hidden="1" x14ac:dyDescent="0.2">
      <c r="D1162">
        <v>78</v>
      </c>
      <c r="G1162" t="s">
        <v>43</v>
      </c>
      <c r="H1162" t="s">
        <v>672</v>
      </c>
      <c r="J1162">
        <v>2020</v>
      </c>
      <c r="M1162" t="s">
        <v>673</v>
      </c>
      <c r="T1162" t="s">
        <v>68</v>
      </c>
      <c r="U1162" t="s">
        <v>428</v>
      </c>
      <c r="V1162" t="s">
        <v>674</v>
      </c>
      <c r="Z1162" t="s">
        <v>49</v>
      </c>
      <c r="AA1162" t="s">
        <v>49</v>
      </c>
      <c r="AB1162" t="s">
        <v>50</v>
      </c>
      <c r="AC1162" t="s">
        <v>51</v>
      </c>
      <c r="AD1162" t="s">
        <v>52</v>
      </c>
      <c r="AE1162" t="s">
        <v>53</v>
      </c>
      <c r="AF1162" t="s">
        <v>52</v>
      </c>
      <c r="AG1162" t="s">
        <v>52</v>
      </c>
      <c r="AH1162" t="s">
        <v>64</v>
      </c>
      <c r="AK1162">
        <v>14</v>
      </c>
      <c r="AL1162">
        <v>14</v>
      </c>
      <c r="AN1162">
        <v>366</v>
      </c>
      <c r="AO1162" t="s">
        <v>56</v>
      </c>
      <c r="AP1162">
        <v>36</v>
      </c>
      <c r="AQ1162" t="s">
        <v>56</v>
      </c>
      <c r="AR1162">
        <v>8</v>
      </c>
      <c r="AS1162" t="s">
        <v>56</v>
      </c>
      <c r="AT1162">
        <v>0.01</v>
      </c>
      <c r="AU1162">
        <v>1028</v>
      </c>
      <c r="AV1162" t="s">
        <v>56</v>
      </c>
      <c r="AW1162">
        <v>126</v>
      </c>
      <c r="AX1162">
        <v>7.6</v>
      </c>
      <c r="AY1162" t="s">
        <v>56</v>
      </c>
      <c r="AZ1162">
        <v>0.02</v>
      </c>
      <c r="BB1162">
        <f>LOG(AU1162)</f>
        <v>3.0119931146592571</v>
      </c>
      <c r="BC1162">
        <v>14</v>
      </c>
      <c r="BD1162" t="s">
        <v>56</v>
      </c>
      <c r="BE1162">
        <v>0</v>
      </c>
      <c r="BF1162">
        <v>21.5</v>
      </c>
      <c r="BG1162" t="s">
        <v>56</v>
      </c>
      <c r="BH1162">
        <v>0</v>
      </c>
      <c r="BI1162">
        <v>662</v>
      </c>
      <c r="BJ1162">
        <v>7.5</v>
      </c>
      <c r="BK1162" t="s">
        <v>56</v>
      </c>
      <c r="BL1162" t="s">
        <v>676</v>
      </c>
      <c r="BM1162" t="s">
        <v>192</v>
      </c>
      <c r="BN1162" t="s">
        <v>60</v>
      </c>
      <c r="BO1162" t="s">
        <v>82</v>
      </c>
      <c r="BP1162" t="s">
        <v>194</v>
      </c>
      <c r="BR1162" t="s">
        <v>63</v>
      </c>
      <c r="BT1162">
        <v>7.52</v>
      </c>
      <c r="BU1162">
        <v>7.5196699999999996</v>
      </c>
      <c r="BV1162">
        <v>1.29</v>
      </c>
      <c r="BW1162">
        <f>BV1162*SQRT(AK1162)</f>
        <v>4.8267380289383848</v>
      </c>
      <c r="BX1162">
        <v>10.43</v>
      </c>
      <c r="BY1162">
        <v>10.434799999999999</v>
      </c>
      <c r="BZ1162">
        <v>0.96</v>
      </c>
      <c r="CA1162">
        <f>BZ1162*SQRT(AL1162)</f>
        <v>3.5919910913029836</v>
      </c>
      <c r="CB1162">
        <v>42</v>
      </c>
      <c r="CC1162">
        <v>2</v>
      </c>
      <c r="CD1162">
        <v>0.32800000000000001</v>
      </c>
      <c r="CE1162">
        <v>3.7999999999999999E-2</v>
      </c>
    </row>
    <row r="1163" spans="2:84" hidden="1" x14ac:dyDescent="0.2">
      <c r="D1163">
        <v>79</v>
      </c>
      <c r="G1163" t="s">
        <v>43</v>
      </c>
      <c r="H1163" t="s">
        <v>677</v>
      </c>
      <c r="J1163">
        <v>2018</v>
      </c>
      <c r="M1163" t="s">
        <v>614</v>
      </c>
      <c r="T1163" t="s">
        <v>68</v>
      </c>
      <c r="U1163" t="s">
        <v>678</v>
      </c>
      <c r="V1163" t="s">
        <v>679</v>
      </c>
      <c r="Z1163" t="s">
        <v>49</v>
      </c>
      <c r="AA1163" t="s">
        <v>49</v>
      </c>
      <c r="AB1163" t="s">
        <v>50</v>
      </c>
      <c r="AC1163" t="s">
        <v>117</v>
      </c>
      <c r="AD1163" t="s">
        <v>52</v>
      </c>
      <c r="AE1163" t="s">
        <v>53</v>
      </c>
      <c r="AF1163" t="s">
        <v>52</v>
      </c>
      <c r="AG1163" t="s">
        <v>52</v>
      </c>
      <c r="AH1163" t="s">
        <v>64</v>
      </c>
      <c r="AK1163">
        <v>41</v>
      </c>
      <c r="AL1163">
        <v>3</v>
      </c>
      <c r="AN1163">
        <v>465</v>
      </c>
      <c r="AO1163">
        <v>5</v>
      </c>
      <c r="AP1163" t="s">
        <v>56</v>
      </c>
      <c r="AQ1163" t="s">
        <v>57</v>
      </c>
      <c r="AR1163">
        <v>8.14</v>
      </c>
      <c r="AS1163">
        <v>0</v>
      </c>
      <c r="AT1163" t="s">
        <v>56</v>
      </c>
      <c r="AU1163">
        <v>915</v>
      </c>
      <c r="AV1163">
        <v>25</v>
      </c>
      <c r="AW1163" t="s">
        <v>56</v>
      </c>
      <c r="AX1163">
        <v>7.89</v>
      </c>
      <c r="AY1163">
        <v>0.01</v>
      </c>
      <c r="AZ1163" t="s">
        <v>56</v>
      </c>
      <c r="BB1163">
        <f>LOG(AU1163)</f>
        <v>2.9614210940664485</v>
      </c>
      <c r="BC1163">
        <v>21</v>
      </c>
      <c r="BD1163">
        <v>0.1</v>
      </c>
      <c r="BE1163" t="s">
        <v>56</v>
      </c>
      <c r="BF1163">
        <v>23.7</v>
      </c>
      <c r="BG1163">
        <v>0.1</v>
      </c>
      <c r="BH1163" t="s">
        <v>56</v>
      </c>
      <c r="BI1163">
        <v>450</v>
      </c>
      <c r="BJ1163">
        <v>2.7</v>
      </c>
      <c r="BK1163" t="s">
        <v>56</v>
      </c>
      <c r="BL1163" t="s">
        <v>88</v>
      </c>
      <c r="BM1163" t="s">
        <v>83</v>
      </c>
      <c r="BN1163" t="s">
        <v>81</v>
      </c>
      <c r="BO1163" t="s">
        <v>82</v>
      </c>
      <c r="BP1163" t="s">
        <v>83</v>
      </c>
      <c r="BR1163" t="s">
        <v>84</v>
      </c>
      <c r="BT1163">
        <v>31.42</v>
      </c>
      <c r="BU1163">
        <v>68.581100000000006</v>
      </c>
      <c r="BV1163">
        <v>8.4700000000000006</v>
      </c>
      <c r="BW1163">
        <f>BV1163*SQRT(AK1163)</f>
        <v>54.234462291056232</v>
      </c>
      <c r="BX1163">
        <v>94.59</v>
      </c>
      <c r="BY1163">
        <v>5.4054000000000002</v>
      </c>
      <c r="BZ1163">
        <v>3.39</v>
      </c>
      <c r="CA1163">
        <f>BZ1163*SQRT(AL1163)</f>
        <v>5.8716522376584939</v>
      </c>
      <c r="CB1163">
        <v>180</v>
      </c>
      <c r="CC1163">
        <v>3</v>
      </c>
      <c r="CD1163">
        <v>-2.5409999999999999</v>
      </c>
      <c r="CE1163">
        <v>0.40849999999999997</v>
      </c>
    </row>
    <row r="1164" spans="2:84" hidden="1" x14ac:dyDescent="0.2">
      <c r="D1164">
        <v>79</v>
      </c>
      <c r="G1164" t="s">
        <v>43</v>
      </c>
      <c r="H1164" t="s">
        <v>677</v>
      </c>
      <c r="J1164">
        <v>2018</v>
      </c>
      <c r="M1164" t="s">
        <v>614</v>
      </c>
      <c r="T1164" t="s">
        <v>68</v>
      </c>
      <c r="U1164" t="s">
        <v>678</v>
      </c>
      <c r="V1164" t="s">
        <v>679</v>
      </c>
      <c r="Z1164" t="s">
        <v>49</v>
      </c>
      <c r="AA1164" t="s">
        <v>49</v>
      </c>
      <c r="AB1164" t="s">
        <v>50</v>
      </c>
      <c r="AC1164" t="s">
        <v>117</v>
      </c>
      <c r="AD1164" t="s">
        <v>52</v>
      </c>
      <c r="AE1164" t="s">
        <v>53</v>
      </c>
      <c r="AF1164" t="s">
        <v>54</v>
      </c>
      <c r="AG1164" t="s">
        <v>52</v>
      </c>
      <c r="AH1164" t="s">
        <v>65</v>
      </c>
      <c r="AK1164">
        <v>41</v>
      </c>
      <c r="AL1164">
        <v>32</v>
      </c>
      <c r="AN1164">
        <v>465</v>
      </c>
      <c r="AO1164">
        <v>5</v>
      </c>
      <c r="AP1164" t="s">
        <v>56</v>
      </c>
      <c r="AQ1164" t="s">
        <v>57</v>
      </c>
      <c r="AR1164">
        <v>8.14</v>
      </c>
      <c r="AS1164">
        <v>0</v>
      </c>
      <c r="AT1164" t="s">
        <v>56</v>
      </c>
      <c r="AU1164">
        <v>500</v>
      </c>
      <c r="AV1164">
        <v>9</v>
      </c>
      <c r="AW1164" t="s">
        <v>56</v>
      </c>
      <c r="AX1164">
        <v>8.1199999999999992</v>
      </c>
      <c r="AY1164">
        <v>0</v>
      </c>
      <c r="AZ1164" t="s">
        <v>56</v>
      </c>
      <c r="BB1164">
        <f>LOG(AU1164)</f>
        <v>2.6989700043360187</v>
      </c>
      <c r="BC1164">
        <v>21</v>
      </c>
      <c r="BD1164">
        <v>0.1</v>
      </c>
      <c r="BE1164" t="s">
        <v>56</v>
      </c>
      <c r="BF1164">
        <v>23.7</v>
      </c>
      <c r="BG1164">
        <v>0.2</v>
      </c>
      <c r="BH1164" t="s">
        <v>56</v>
      </c>
      <c r="BI1164">
        <v>35</v>
      </c>
      <c r="BJ1164">
        <v>2.7</v>
      </c>
      <c r="BK1164" t="s">
        <v>56</v>
      </c>
      <c r="BL1164" t="s">
        <v>88</v>
      </c>
      <c r="BM1164" t="s">
        <v>83</v>
      </c>
      <c r="BN1164" t="s">
        <v>81</v>
      </c>
      <c r="BO1164" t="s">
        <v>82</v>
      </c>
      <c r="BP1164" t="s">
        <v>83</v>
      </c>
      <c r="BR1164" t="s">
        <v>84</v>
      </c>
      <c r="BT1164">
        <v>31.42</v>
      </c>
      <c r="BU1164">
        <v>68.581100000000006</v>
      </c>
      <c r="BV1164">
        <v>8.4700000000000006</v>
      </c>
      <c r="BW1164">
        <f>BV1164*SQRT(AK1164)</f>
        <v>54.234462291056232</v>
      </c>
      <c r="BX1164">
        <v>44.93</v>
      </c>
      <c r="BY1164">
        <v>55.067599999999999</v>
      </c>
      <c r="BZ1164">
        <v>17.97</v>
      </c>
      <c r="CA1164">
        <f>BZ1164*SQRT(AL1164)</f>
        <v>101.65367086337807</v>
      </c>
      <c r="CB1164">
        <v>180</v>
      </c>
      <c r="CC1164">
        <v>3</v>
      </c>
      <c r="CD1164">
        <v>-0.219</v>
      </c>
      <c r="CE1164">
        <v>0.1217</v>
      </c>
    </row>
    <row r="1165" spans="2:84" hidden="1" x14ac:dyDescent="0.2">
      <c r="D1165">
        <v>79</v>
      </c>
      <c r="G1165" t="s">
        <v>43</v>
      </c>
      <c r="H1165" t="s">
        <v>677</v>
      </c>
      <c r="J1165">
        <v>2018</v>
      </c>
      <c r="M1165" t="s">
        <v>614</v>
      </c>
      <c r="T1165" t="s">
        <v>68</v>
      </c>
      <c r="U1165" t="s">
        <v>678</v>
      </c>
      <c r="V1165" t="s">
        <v>679</v>
      </c>
      <c r="Z1165" t="s">
        <v>49</v>
      </c>
      <c r="AA1165" t="s">
        <v>49</v>
      </c>
      <c r="AB1165" t="s">
        <v>50</v>
      </c>
      <c r="AC1165" t="s">
        <v>117</v>
      </c>
      <c r="AD1165" t="s">
        <v>52</v>
      </c>
      <c r="AE1165" t="s">
        <v>53</v>
      </c>
      <c r="AF1165" t="s">
        <v>52</v>
      </c>
      <c r="AG1165" t="s">
        <v>54</v>
      </c>
      <c r="AH1165" t="s">
        <v>55</v>
      </c>
      <c r="AK1165">
        <v>41</v>
      </c>
      <c r="AL1165">
        <v>40</v>
      </c>
      <c r="AN1165">
        <v>465</v>
      </c>
      <c r="AO1165">
        <v>5</v>
      </c>
      <c r="AP1165" t="s">
        <v>56</v>
      </c>
      <c r="AQ1165" t="s">
        <v>57</v>
      </c>
      <c r="AR1165">
        <v>8.14</v>
      </c>
      <c r="AS1165">
        <v>0</v>
      </c>
      <c r="AT1165" t="s">
        <v>56</v>
      </c>
      <c r="AU1165">
        <v>905</v>
      </c>
      <c r="AV1165">
        <v>7</v>
      </c>
      <c r="AW1165" t="s">
        <v>56</v>
      </c>
      <c r="AX1165">
        <v>7.89</v>
      </c>
      <c r="AY1165">
        <v>0.01</v>
      </c>
      <c r="AZ1165" t="s">
        <v>56</v>
      </c>
      <c r="BB1165">
        <f>LOG(AU1165)</f>
        <v>2.9566485792052033</v>
      </c>
      <c r="BC1165">
        <v>21</v>
      </c>
      <c r="BD1165">
        <v>0.1</v>
      </c>
      <c r="BE1165" t="s">
        <v>56</v>
      </c>
      <c r="BF1165">
        <v>20.9</v>
      </c>
      <c r="BG1165">
        <v>0</v>
      </c>
      <c r="BH1165" t="s">
        <v>56</v>
      </c>
      <c r="BI1165">
        <v>440</v>
      </c>
      <c r="BJ1165">
        <v>-0.1</v>
      </c>
      <c r="BK1165" t="s">
        <v>56</v>
      </c>
      <c r="BL1165" t="s">
        <v>88</v>
      </c>
      <c r="BM1165" t="s">
        <v>83</v>
      </c>
      <c r="BN1165" t="s">
        <v>81</v>
      </c>
      <c r="BO1165" t="s">
        <v>82</v>
      </c>
      <c r="BP1165" t="s">
        <v>83</v>
      </c>
      <c r="BR1165" t="s">
        <v>84</v>
      </c>
      <c r="BT1165">
        <v>31.42</v>
      </c>
      <c r="BU1165">
        <v>68.581100000000006</v>
      </c>
      <c r="BV1165">
        <v>8.4700000000000006</v>
      </c>
      <c r="BW1165">
        <f>BV1165*SQRT(AK1165)</f>
        <v>54.234462291056232</v>
      </c>
      <c r="BX1165">
        <v>33.11</v>
      </c>
      <c r="BY1165">
        <v>66.891900000000007</v>
      </c>
      <c r="BZ1165">
        <v>6.1</v>
      </c>
      <c r="CA1165">
        <f>BZ1165*SQRT(AL1165)</f>
        <v>38.579787454054227</v>
      </c>
      <c r="CB1165">
        <v>180</v>
      </c>
      <c r="CC1165">
        <v>3</v>
      </c>
      <c r="CD1165">
        <v>-2.5000000000000001E-2</v>
      </c>
      <c r="CE1165">
        <v>2.3599999999999999E-2</v>
      </c>
    </row>
    <row r="1166" spans="2:84" hidden="1" x14ac:dyDescent="0.2">
      <c r="D1166">
        <v>80</v>
      </c>
      <c r="G1166" t="s">
        <v>43</v>
      </c>
      <c r="H1166" t="s">
        <v>680</v>
      </c>
      <c r="J1166">
        <v>2020</v>
      </c>
      <c r="M1166" t="s">
        <v>495</v>
      </c>
      <c r="T1166" t="s">
        <v>486</v>
      </c>
      <c r="U1166" t="s">
        <v>681</v>
      </c>
      <c r="V1166" t="s">
        <v>682</v>
      </c>
      <c r="Z1166" t="s">
        <v>49</v>
      </c>
      <c r="AA1166" t="s">
        <v>49</v>
      </c>
      <c r="AB1166" t="s">
        <v>50</v>
      </c>
      <c r="AC1166" t="s">
        <v>108</v>
      </c>
      <c r="AD1166" t="s">
        <v>52</v>
      </c>
      <c r="AE1166" t="s">
        <v>53</v>
      </c>
      <c r="AF1166" t="s">
        <v>52</v>
      </c>
      <c r="AG1166" t="s">
        <v>52</v>
      </c>
      <c r="AH1166" t="s">
        <v>64</v>
      </c>
      <c r="AK1166">
        <v>8</v>
      </c>
      <c r="AL1166">
        <v>8</v>
      </c>
      <c r="AN1166">
        <v>919</v>
      </c>
      <c r="AO1166" t="s">
        <v>56</v>
      </c>
      <c r="AP1166">
        <v>104</v>
      </c>
      <c r="AQ1166" t="s">
        <v>57</v>
      </c>
      <c r="AR1166">
        <v>7.83</v>
      </c>
      <c r="AS1166" t="s">
        <v>56</v>
      </c>
      <c r="AT1166">
        <v>0.06</v>
      </c>
      <c r="AU1166">
        <v>1487</v>
      </c>
      <c r="AV1166" t="s">
        <v>56</v>
      </c>
      <c r="AW1166">
        <v>186</v>
      </c>
      <c r="AX1166">
        <v>7.62</v>
      </c>
      <c r="AY1166" t="s">
        <v>56</v>
      </c>
      <c r="AZ1166">
        <v>7.0000000000000007E-2</v>
      </c>
      <c r="BB1166">
        <f>LOG(AU1166)</f>
        <v>3.1723109685219542</v>
      </c>
      <c r="BC1166">
        <v>8.6</v>
      </c>
      <c r="BD1166" t="s">
        <v>56</v>
      </c>
      <c r="BE1166">
        <v>0.3</v>
      </c>
      <c r="BF1166">
        <v>10.3</v>
      </c>
      <c r="BG1166" t="s">
        <v>56</v>
      </c>
      <c r="BH1166">
        <v>0.4</v>
      </c>
      <c r="BI1166">
        <v>568</v>
      </c>
      <c r="BJ1166">
        <v>1.7</v>
      </c>
      <c r="BK1166" t="s">
        <v>56</v>
      </c>
      <c r="BL1166" t="s">
        <v>683</v>
      </c>
      <c r="BM1166" t="s">
        <v>75</v>
      </c>
      <c r="BN1166" t="s">
        <v>60</v>
      </c>
      <c r="BO1166" t="s">
        <v>56</v>
      </c>
      <c r="BP1166" t="s">
        <v>77</v>
      </c>
      <c r="BR1166" t="s">
        <v>63</v>
      </c>
      <c r="BT1166">
        <v>4.12</v>
      </c>
      <c r="BU1166">
        <v>4.12</v>
      </c>
      <c r="BV1166">
        <v>0.8</v>
      </c>
      <c r="BW1166">
        <f>BV1166*SQRT(AK1166)</f>
        <v>2.2627416997969525</v>
      </c>
      <c r="BX1166">
        <v>0.74</v>
      </c>
      <c r="BY1166">
        <v>0.74</v>
      </c>
      <c r="BZ1166">
        <v>0.3</v>
      </c>
      <c r="CA1166">
        <f>BZ1166*SQRT(AL1166)</f>
        <v>0.84852813742385702</v>
      </c>
      <c r="CB1166">
        <v>125</v>
      </c>
      <c r="CC1166">
        <v>4</v>
      </c>
      <c r="CD1166">
        <v>-1.7170000000000001</v>
      </c>
      <c r="CE1166">
        <v>0.2021</v>
      </c>
    </row>
    <row r="1167" spans="2:84" hidden="1" x14ac:dyDescent="0.2">
      <c r="D1167">
        <v>80</v>
      </c>
      <c r="G1167" t="s">
        <v>43</v>
      </c>
      <c r="H1167" t="s">
        <v>680</v>
      </c>
      <c r="J1167">
        <v>2020</v>
      </c>
      <c r="M1167" t="s">
        <v>495</v>
      </c>
      <c r="T1167" t="s">
        <v>486</v>
      </c>
      <c r="U1167" t="s">
        <v>681</v>
      </c>
      <c r="V1167" t="s">
        <v>682</v>
      </c>
      <c r="Z1167" t="s">
        <v>49</v>
      </c>
      <c r="AA1167" t="s">
        <v>49</v>
      </c>
      <c r="AB1167" t="s">
        <v>50</v>
      </c>
      <c r="AC1167" t="s">
        <v>108</v>
      </c>
      <c r="AD1167" t="s">
        <v>52</v>
      </c>
      <c r="AE1167" t="s">
        <v>53</v>
      </c>
      <c r="AF1167" t="s">
        <v>54</v>
      </c>
      <c r="AG1167" t="s">
        <v>52</v>
      </c>
      <c r="AH1167" t="s">
        <v>65</v>
      </c>
      <c r="AK1167">
        <v>8</v>
      </c>
      <c r="AL1167">
        <v>8</v>
      </c>
      <c r="AN1167">
        <v>919</v>
      </c>
      <c r="AO1167" t="s">
        <v>56</v>
      </c>
      <c r="AP1167">
        <v>104</v>
      </c>
      <c r="AQ1167" t="s">
        <v>57</v>
      </c>
      <c r="AR1167">
        <v>7.83</v>
      </c>
      <c r="AS1167" t="s">
        <v>56</v>
      </c>
      <c r="AT1167">
        <v>0.06</v>
      </c>
      <c r="AU1167">
        <v>900</v>
      </c>
      <c r="AV1167" t="s">
        <v>56</v>
      </c>
      <c r="AW1167" t="s">
        <v>56</v>
      </c>
      <c r="AX1167">
        <v>7.86</v>
      </c>
      <c r="AY1167" t="s">
        <v>56</v>
      </c>
      <c r="AZ1167">
        <v>0.06</v>
      </c>
      <c r="BB1167">
        <f>LOG(AU1167)</f>
        <v>2.9542425094393248</v>
      </c>
      <c r="BC1167">
        <v>8.6</v>
      </c>
      <c r="BD1167" t="s">
        <v>56</v>
      </c>
      <c r="BE1167">
        <v>0.3</v>
      </c>
      <c r="BF1167">
        <v>10.4</v>
      </c>
      <c r="BG1167" t="s">
        <v>56</v>
      </c>
      <c r="BH1167">
        <v>0.4</v>
      </c>
      <c r="BI1167">
        <v>-19</v>
      </c>
      <c r="BJ1167">
        <v>1.8</v>
      </c>
      <c r="BK1167" t="s">
        <v>56</v>
      </c>
      <c r="BL1167" t="s">
        <v>683</v>
      </c>
      <c r="BM1167" t="s">
        <v>75</v>
      </c>
      <c r="BN1167" t="s">
        <v>60</v>
      </c>
      <c r="BO1167" t="s">
        <v>56</v>
      </c>
      <c r="BP1167" t="s">
        <v>77</v>
      </c>
      <c r="BR1167" t="s">
        <v>63</v>
      </c>
      <c r="BT1167">
        <v>4.12</v>
      </c>
      <c r="BU1167">
        <v>4.12</v>
      </c>
      <c r="BV1167">
        <v>0.8</v>
      </c>
      <c r="BW1167">
        <f>BV1167*SQRT(AK1167)</f>
        <v>2.2627416997969525</v>
      </c>
      <c r="BX1167">
        <v>0.88</v>
      </c>
      <c r="BY1167">
        <v>0.88</v>
      </c>
      <c r="BZ1167">
        <v>0.35</v>
      </c>
      <c r="CA1167">
        <f>BZ1167*SQRT(AL1167)</f>
        <v>0.98994949366116658</v>
      </c>
      <c r="CB1167">
        <v>125</v>
      </c>
      <c r="CC1167">
        <v>4</v>
      </c>
      <c r="CD1167">
        <v>-1.544</v>
      </c>
      <c r="CE1167">
        <v>0.19589999999999999</v>
      </c>
    </row>
    <row r="1168" spans="2:84" hidden="1" x14ac:dyDescent="0.2">
      <c r="D1168">
        <v>80</v>
      </c>
      <c r="G1168" t="s">
        <v>43</v>
      </c>
      <c r="H1168" t="s">
        <v>680</v>
      </c>
      <c r="J1168">
        <v>2020</v>
      </c>
      <c r="M1168" t="s">
        <v>495</v>
      </c>
      <c r="T1168" t="s">
        <v>486</v>
      </c>
      <c r="U1168" t="s">
        <v>681</v>
      </c>
      <c r="V1168" t="s">
        <v>682</v>
      </c>
      <c r="Z1168" t="s">
        <v>49</v>
      </c>
      <c r="AA1168" t="s">
        <v>49</v>
      </c>
      <c r="AB1168" t="s">
        <v>50</v>
      </c>
      <c r="AC1168" t="s">
        <v>108</v>
      </c>
      <c r="AD1168" t="s">
        <v>52</v>
      </c>
      <c r="AE1168" t="s">
        <v>53</v>
      </c>
      <c r="AF1168" t="s">
        <v>52</v>
      </c>
      <c r="AG1168" t="s">
        <v>54</v>
      </c>
      <c r="AH1168" t="s">
        <v>55</v>
      </c>
      <c r="AK1168">
        <v>8</v>
      </c>
      <c r="AL1168">
        <v>8</v>
      </c>
      <c r="AN1168">
        <v>919</v>
      </c>
      <c r="AO1168" t="s">
        <v>56</v>
      </c>
      <c r="AP1168">
        <v>104</v>
      </c>
      <c r="AQ1168" t="s">
        <v>57</v>
      </c>
      <c r="AR1168">
        <v>7.83</v>
      </c>
      <c r="AS1168" t="s">
        <v>56</v>
      </c>
      <c r="AT1168">
        <v>0.06</v>
      </c>
      <c r="AU1168">
        <v>1525</v>
      </c>
      <c r="AV1168" t="s">
        <v>56</v>
      </c>
      <c r="AW1168">
        <v>234</v>
      </c>
      <c r="AX1168">
        <v>7.62</v>
      </c>
      <c r="AY1168" t="s">
        <v>56</v>
      </c>
      <c r="AZ1168">
        <v>0.08</v>
      </c>
      <c r="BB1168">
        <f>LOG(AU1168)</f>
        <v>3.1832698436828046</v>
      </c>
      <c r="BC1168">
        <v>8.6</v>
      </c>
      <c r="BD1168" t="s">
        <v>56</v>
      </c>
      <c r="BE1168">
        <v>0.3</v>
      </c>
      <c r="BF1168">
        <v>8.6</v>
      </c>
      <c r="BG1168" t="s">
        <v>56</v>
      </c>
      <c r="BH1168">
        <v>0.3</v>
      </c>
      <c r="BI1168">
        <v>606</v>
      </c>
      <c r="BJ1168">
        <v>0</v>
      </c>
      <c r="BK1168" t="s">
        <v>56</v>
      </c>
      <c r="BL1168" t="s">
        <v>683</v>
      </c>
      <c r="BM1168" t="s">
        <v>75</v>
      </c>
      <c r="BN1168" t="s">
        <v>60</v>
      </c>
      <c r="BO1168" t="s">
        <v>56</v>
      </c>
      <c r="BP1168" t="s">
        <v>77</v>
      </c>
      <c r="BR1168" t="s">
        <v>63</v>
      </c>
      <c r="BT1168">
        <v>4.12</v>
      </c>
      <c r="BU1168">
        <v>4.12</v>
      </c>
      <c r="BV1168">
        <v>0.8</v>
      </c>
      <c r="BW1168">
        <f>BV1168*SQRT(AK1168)</f>
        <v>2.2627416997969525</v>
      </c>
      <c r="BX1168">
        <v>2</v>
      </c>
      <c r="BY1168">
        <v>2</v>
      </c>
      <c r="BZ1168">
        <v>0.62</v>
      </c>
      <c r="CA1168">
        <f>BZ1168*SQRT(AL1168)</f>
        <v>1.7536248173426379</v>
      </c>
      <c r="CB1168">
        <v>125</v>
      </c>
      <c r="CC1168">
        <v>4</v>
      </c>
      <c r="CD1168">
        <v>-0.72299999999999998</v>
      </c>
      <c r="CE1168">
        <v>0.1338</v>
      </c>
    </row>
    <row r="1169" spans="1:84" hidden="1" x14ac:dyDescent="0.2">
      <c r="D1169">
        <v>80</v>
      </c>
      <c r="G1169" t="s">
        <v>43</v>
      </c>
      <c r="H1169" t="s">
        <v>680</v>
      </c>
      <c r="J1169">
        <v>2020</v>
      </c>
      <c r="M1169" t="s">
        <v>495</v>
      </c>
      <c r="T1169" t="s">
        <v>486</v>
      </c>
      <c r="U1169" t="s">
        <v>681</v>
      </c>
      <c r="V1169" t="s">
        <v>682</v>
      </c>
      <c r="Z1169" t="s">
        <v>49</v>
      </c>
      <c r="AA1169" t="s">
        <v>49</v>
      </c>
      <c r="AB1169" t="s">
        <v>50</v>
      </c>
      <c r="AC1169" t="s">
        <v>108</v>
      </c>
      <c r="AD1169" t="s">
        <v>52</v>
      </c>
      <c r="AE1169" t="s">
        <v>53</v>
      </c>
      <c r="AF1169" t="s">
        <v>54</v>
      </c>
      <c r="AG1169" t="s">
        <v>52</v>
      </c>
      <c r="AH1169" t="s">
        <v>65</v>
      </c>
      <c r="AK1169">
        <v>8</v>
      </c>
      <c r="AL1169">
        <v>8</v>
      </c>
      <c r="AN1169">
        <v>919</v>
      </c>
      <c r="AO1169" t="s">
        <v>56</v>
      </c>
      <c r="AP1169">
        <v>104</v>
      </c>
      <c r="AQ1169" t="s">
        <v>57</v>
      </c>
      <c r="AR1169">
        <v>7.83</v>
      </c>
      <c r="AS1169" t="s">
        <v>56</v>
      </c>
      <c r="AT1169">
        <v>0.06</v>
      </c>
      <c r="AU1169">
        <v>900</v>
      </c>
      <c r="AV1169" t="s">
        <v>56</v>
      </c>
      <c r="AW1169" t="s">
        <v>56</v>
      </c>
      <c r="AX1169">
        <v>7.86</v>
      </c>
      <c r="AY1169" t="s">
        <v>56</v>
      </c>
      <c r="AZ1169">
        <v>0.06</v>
      </c>
      <c r="BB1169">
        <f>LOG(AU1169)</f>
        <v>2.9542425094393248</v>
      </c>
      <c r="BC1169">
        <v>8.6</v>
      </c>
      <c r="BD1169" t="s">
        <v>56</v>
      </c>
      <c r="BE1169">
        <v>0.3</v>
      </c>
      <c r="BF1169">
        <v>10.4</v>
      </c>
      <c r="BG1169" t="s">
        <v>56</v>
      </c>
      <c r="BH1169">
        <v>0.4</v>
      </c>
      <c r="BI1169">
        <v>-19</v>
      </c>
      <c r="BJ1169">
        <v>1.8</v>
      </c>
      <c r="BK1169" t="s">
        <v>56</v>
      </c>
      <c r="BL1169" t="s">
        <v>684</v>
      </c>
      <c r="BM1169" t="s">
        <v>98</v>
      </c>
      <c r="BN1169" t="s">
        <v>81</v>
      </c>
      <c r="BO1169" t="s">
        <v>685</v>
      </c>
      <c r="BP1169" t="s">
        <v>100</v>
      </c>
      <c r="BR1169" t="s">
        <v>63</v>
      </c>
      <c r="BT1169">
        <v>0.11</v>
      </c>
      <c r="BU1169">
        <v>0.11</v>
      </c>
      <c r="BV1169">
        <v>0.02</v>
      </c>
      <c r="BW1169">
        <f>BV1169*SQRT(AK1169)</f>
        <v>5.656854249492381E-2</v>
      </c>
      <c r="BX1169">
        <v>0.06</v>
      </c>
      <c r="BY1169">
        <v>0.06</v>
      </c>
      <c r="BZ1169">
        <v>0.01</v>
      </c>
      <c r="CA1169">
        <f>BZ1169*SQRT(AL1169)</f>
        <v>2.8284271247461905E-2</v>
      </c>
      <c r="CB1169">
        <v>125</v>
      </c>
      <c r="CC1169">
        <v>4</v>
      </c>
      <c r="CD1169">
        <v>-0.60599999999999998</v>
      </c>
      <c r="CE1169">
        <v>6.08E-2</v>
      </c>
    </row>
    <row r="1170" spans="1:84" hidden="1" x14ac:dyDescent="0.2">
      <c r="D1170">
        <v>80</v>
      </c>
      <c r="G1170" t="s">
        <v>43</v>
      </c>
      <c r="H1170" t="s">
        <v>680</v>
      </c>
      <c r="J1170">
        <v>2020</v>
      </c>
      <c r="M1170" t="s">
        <v>495</v>
      </c>
      <c r="T1170" t="s">
        <v>486</v>
      </c>
      <c r="U1170" t="s">
        <v>681</v>
      </c>
      <c r="V1170" t="s">
        <v>682</v>
      </c>
      <c r="Z1170" t="s">
        <v>49</v>
      </c>
      <c r="AA1170" t="s">
        <v>49</v>
      </c>
      <c r="AB1170" t="s">
        <v>50</v>
      </c>
      <c r="AC1170" t="s">
        <v>108</v>
      </c>
      <c r="AD1170" t="s">
        <v>52</v>
      </c>
      <c r="AE1170" t="s">
        <v>53</v>
      </c>
      <c r="AF1170" t="s">
        <v>52</v>
      </c>
      <c r="AG1170" t="s">
        <v>54</v>
      </c>
      <c r="AH1170" t="s">
        <v>55</v>
      </c>
      <c r="AK1170">
        <v>8</v>
      </c>
      <c r="AL1170">
        <v>8</v>
      </c>
      <c r="AN1170">
        <v>919</v>
      </c>
      <c r="AO1170" t="s">
        <v>56</v>
      </c>
      <c r="AP1170">
        <v>104</v>
      </c>
      <c r="AQ1170" t="s">
        <v>57</v>
      </c>
      <c r="AR1170">
        <v>7.83</v>
      </c>
      <c r="AS1170" t="s">
        <v>56</v>
      </c>
      <c r="AT1170">
        <v>0.06</v>
      </c>
      <c r="AU1170">
        <v>1525</v>
      </c>
      <c r="AV1170" t="s">
        <v>56</v>
      </c>
      <c r="AW1170">
        <v>234</v>
      </c>
      <c r="AX1170">
        <v>7.62</v>
      </c>
      <c r="AY1170" t="s">
        <v>56</v>
      </c>
      <c r="AZ1170">
        <v>0.08</v>
      </c>
      <c r="BB1170">
        <f>LOG(AU1170)</f>
        <v>3.1832698436828046</v>
      </c>
      <c r="BC1170">
        <v>8.6</v>
      </c>
      <c r="BD1170" t="s">
        <v>56</v>
      </c>
      <c r="BE1170">
        <v>0.3</v>
      </c>
      <c r="BF1170">
        <v>8.6</v>
      </c>
      <c r="BG1170" t="s">
        <v>56</v>
      </c>
      <c r="BH1170">
        <v>0.3</v>
      </c>
      <c r="BI1170">
        <v>606</v>
      </c>
      <c r="BJ1170">
        <v>0</v>
      </c>
      <c r="BK1170" t="s">
        <v>56</v>
      </c>
      <c r="BL1170" t="s">
        <v>684</v>
      </c>
      <c r="BM1170" t="s">
        <v>98</v>
      </c>
      <c r="BN1170" t="s">
        <v>81</v>
      </c>
      <c r="BO1170" t="s">
        <v>685</v>
      </c>
      <c r="BP1170" t="s">
        <v>100</v>
      </c>
      <c r="BR1170" t="s">
        <v>63</v>
      </c>
      <c r="BT1170">
        <v>0.11</v>
      </c>
      <c r="BU1170">
        <v>0.11</v>
      </c>
      <c r="BV1170">
        <v>0.02</v>
      </c>
      <c r="BW1170">
        <f>BV1170*SQRT(AK1170)</f>
        <v>5.656854249492381E-2</v>
      </c>
      <c r="BX1170">
        <v>7.0000000000000007E-2</v>
      </c>
      <c r="BY1170">
        <v>7.0000000000000007E-2</v>
      </c>
      <c r="BZ1170">
        <v>0.01</v>
      </c>
      <c r="CA1170">
        <f>BZ1170*SQRT(AL1170)</f>
        <v>2.8284271247461905E-2</v>
      </c>
      <c r="CB1170">
        <v>125</v>
      </c>
      <c r="CC1170">
        <v>4</v>
      </c>
      <c r="CD1170">
        <v>-0.45200000000000001</v>
      </c>
      <c r="CE1170">
        <v>5.3499999999999999E-2</v>
      </c>
    </row>
    <row r="1171" spans="1:84" hidden="1" x14ac:dyDescent="0.2">
      <c r="D1171">
        <v>80</v>
      </c>
      <c r="G1171" t="s">
        <v>43</v>
      </c>
      <c r="H1171" t="s">
        <v>680</v>
      </c>
      <c r="J1171">
        <v>2020</v>
      </c>
      <c r="M1171" t="s">
        <v>495</v>
      </c>
      <c r="T1171" t="s">
        <v>486</v>
      </c>
      <c r="U1171" t="s">
        <v>681</v>
      </c>
      <c r="V1171" t="s">
        <v>682</v>
      </c>
      <c r="Z1171" t="s">
        <v>49</v>
      </c>
      <c r="AA1171" t="s">
        <v>49</v>
      </c>
      <c r="AB1171" t="s">
        <v>50</v>
      </c>
      <c r="AC1171" t="s">
        <v>108</v>
      </c>
      <c r="AD1171" t="s">
        <v>52</v>
      </c>
      <c r="AE1171" t="s">
        <v>53</v>
      </c>
      <c r="AF1171" t="s">
        <v>52</v>
      </c>
      <c r="AG1171" t="s">
        <v>52</v>
      </c>
      <c r="AH1171" t="s">
        <v>64</v>
      </c>
      <c r="AK1171">
        <v>8</v>
      </c>
      <c r="AL1171">
        <v>8</v>
      </c>
      <c r="AN1171">
        <v>919</v>
      </c>
      <c r="AO1171" t="s">
        <v>56</v>
      </c>
      <c r="AP1171">
        <v>104</v>
      </c>
      <c r="AQ1171" t="s">
        <v>57</v>
      </c>
      <c r="AR1171">
        <v>7.83</v>
      </c>
      <c r="AS1171" t="s">
        <v>56</v>
      </c>
      <c r="AT1171">
        <v>0.06</v>
      </c>
      <c r="AU1171">
        <v>1487</v>
      </c>
      <c r="AV1171" t="s">
        <v>56</v>
      </c>
      <c r="AW1171">
        <v>186</v>
      </c>
      <c r="AX1171">
        <v>7.62</v>
      </c>
      <c r="AY1171" t="s">
        <v>56</v>
      </c>
      <c r="AZ1171">
        <v>7.0000000000000007E-2</v>
      </c>
      <c r="BB1171">
        <f>LOG(AU1171)</f>
        <v>3.1723109685219542</v>
      </c>
      <c r="BC1171">
        <v>8.6</v>
      </c>
      <c r="BD1171" t="s">
        <v>56</v>
      </c>
      <c r="BE1171">
        <v>0.3</v>
      </c>
      <c r="BF1171">
        <v>10.3</v>
      </c>
      <c r="BG1171" t="s">
        <v>56</v>
      </c>
      <c r="BH1171">
        <v>0.4</v>
      </c>
      <c r="BI1171">
        <v>568</v>
      </c>
      <c r="BJ1171">
        <v>1.7</v>
      </c>
      <c r="BK1171" t="s">
        <v>56</v>
      </c>
      <c r="BL1171" t="s">
        <v>684</v>
      </c>
      <c r="BM1171" t="s">
        <v>98</v>
      </c>
      <c r="BN1171" t="s">
        <v>81</v>
      </c>
      <c r="BO1171" t="s">
        <v>685</v>
      </c>
      <c r="BP1171" t="s">
        <v>100</v>
      </c>
      <c r="BR1171" t="s">
        <v>63</v>
      </c>
      <c r="BT1171">
        <v>0.11</v>
      </c>
      <c r="BU1171">
        <v>0.11</v>
      </c>
      <c r="BV1171">
        <v>0.02</v>
      </c>
      <c r="BW1171">
        <f>BV1171*SQRT(AK1171)</f>
        <v>5.656854249492381E-2</v>
      </c>
      <c r="BX1171">
        <v>7.0000000000000007E-2</v>
      </c>
      <c r="BY1171">
        <v>7.0000000000000007E-2</v>
      </c>
      <c r="BZ1171">
        <v>0.01</v>
      </c>
      <c r="CA1171">
        <f>BZ1171*SQRT(AL1171)</f>
        <v>2.8284271247461905E-2</v>
      </c>
      <c r="CB1171">
        <v>125</v>
      </c>
      <c r="CC1171">
        <v>4</v>
      </c>
      <c r="CD1171">
        <v>-0.45200000000000001</v>
      </c>
      <c r="CE1171">
        <v>5.3499999999999999E-2</v>
      </c>
    </row>
    <row r="1172" spans="1:84" hidden="1" x14ac:dyDescent="0.2">
      <c r="D1172">
        <v>81</v>
      </c>
      <c r="G1172" t="s">
        <v>43</v>
      </c>
      <c r="H1172" t="s">
        <v>686</v>
      </c>
      <c r="J1172">
        <v>2020</v>
      </c>
      <c r="M1172" t="s">
        <v>687</v>
      </c>
      <c r="T1172" t="s">
        <v>68</v>
      </c>
      <c r="U1172" t="s">
        <v>688</v>
      </c>
      <c r="V1172" t="s">
        <v>689</v>
      </c>
      <c r="Z1172" t="s">
        <v>49</v>
      </c>
      <c r="AA1172" t="s">
        <v>49</v>
      </c>
      <c r="AB1172" t="s">
        <v>50</v>
      </c>
      <c r="AC1172" t="s">
        <v>51</v>
      </c>
      <c r="AD1172" t="s">
        <v>52</v>
      </c>
      <c r="AE1172" t="s">
        <v>53</v>
      </c>
      <c r="AF1172" t="s">
        <v>52</v>
      </c>
      <c r="AG1172" t="s">
        <v>54</v>
      </c>
      <c r="AH1172" t="s">
        <v>55</v>
      </c>
      <c r="AK1172">
        <v>4</v>
      </c>
      <c r="AL1172">
        <v>4</v>
      </c>
      <c r="AN1172">
        <v>501</v>
      </c>
      <c r="AO1172">
        <v>52</v>
      </c>
      <c r="AP1172" t="s">
        <v>56</v>
      </c>
      <c r="AQ1172" t="s">
        <v>109</v>
      </c>
      <c r="AR1172">
        <v>8.0299999999999994</v>
      </c>
      <c r="AS1172">
        <v>0.04</v>
      </c>
      <c r="AT1172" t="s">
        <v>56</v>
      </c>
      <c r="AU1172">
        <v>2141</v>
      </c>
      <c r="AV1172">
        <v>73</v>
      </c>
      <c r="AW1172" t="s">
        <v>56</v>
      </c>
      <c r="AX1172">
        <v>7.43</v>
      </c>
      <c r="AY1172">
        <v>0.01</v>
      </c>
      <c r="AZ1172" t="s">
        <v>56</v>
      </c>
      <c r="BB1172">
        <f>LOG(AU1172)</f>
        <v>3.3306166672944384</v>
      </c>
      <c r="BC1172">
        <v>10</v>
      </c>
      <c r="BD1172">
        <v>0.3</v>
      </c>
      <c r="BE1172" t="s">
        <v>56</v>
      </c>
      <c r="BF1172">
        <v>10.3</v>
      </c>
      <c r="BG1172">
        <v>0.2</v>
      </c>
      <c r="BH1172" t="s">
        <v>56</v>
      </c>
      <c r="BI1172">
        <v>1640</v>
      </c>
      <c r="BJ1172">
        <v>0.3</v>
      </c>
      <c r="BK1172" t="s">
        <v>56</v>
      </c>
      <c r="BL1172" t="s">
        <v>690</v>
      </c>
      <c r="BM1172" t="s">
        <v>75</v>
      </c>
      <c r="BN1172" t="s">
        <v>60</v>
      </c>
      <c r="BO1172" t="s">
        <v>500</v>
      </c>
      <c r="BP1172" t="s">
        <v>77</v>
      </c>
      <c r="BR1172" t="s">
        <v>63</v>
      </c>
      <c r="BT1172">
        <v>24.9</v>
      </c>
      <c r="BU1172">
        <v>24.9</v>
      </c>
      <c r="BV1172">
        <v>6.2</v>
      </c>
      <c r="BW1172">
        <f>BV1172*SQRT(AK1172)</f>
        <v>12.4</v>
      </c>
      <c r="BX1172">
        <v>22.9</v>
      </c>
      <c r="BY1172">
        <v>22.9</v>
      </c>
      <c r="BZ1172">
        <v>10.1</v>
      </c>
      <c r="CA1172">
        <f>BZ1172*SQRT(AL1172)</f>
        <v>20.2</v>
      </c>
      <c r="CB1172">
        <v>21</v>
      </c>
      <c r="CC1172">
        <v>4</v>
      </c>
      <c r="CD1172">
        <v>-8.4000000000000005E-2</v>
      </c>
      <c r="CE1172">
        <v>0.25650000000000001</v>
      </c>
    </row>
    <row r="1173" spans="1:84" hidden="1" x14ac:dyDescent="0.2">
      <c r="D1173">
        <v>81</v>
      </c>
      <c r="G1173" t="s">
        <v>43</v>
      </c>
      <c r="H1173" t="s">
        <v>686</v>
      </c>
      <c r="J1173">
        <v>2020</v>
      </c>
      <c r="M1173" t="s">
        <v>687</v>
      </c>
      <c r="T1173" t="s">
        <v>68</v>
      </c>
      <c r="U1173" t="s">
        <v>688</v>
      </c>
      <c r="V1173" t="s">
        <v>689</v>
      </c>
      <c r="Z1173" t="s">
        <v>49</v>
      </c>
      <c r="AA1173" t="s">
        <v>49</v>
      </c>
      <c r="AB1173" t="s">
        <v>50</v>
      </c>
      <c r="AC1173" t="s">
        <v>51</v>
      </c>
      <c r="AD1173" t="s">
        <v>52</v>
      </c>
      <c r="AE1173" t="s">
        <v>53</v>
      </c>
      <c r="AF1173" t="s">
        <v>54</v>
      </c>
      <c r="AG1173" t="s">
        <v>52</v>
      </c>
      <c r="AH1173" t="s">
        <v>65</v>
      </c>
      <c r="AK1173">
        <v>4</v>
      </c>
      <c r="AL1173">
        <v>4</v>
      </c>
      <c r="AN1173">
        <v>501</v>
      </c>
      <c r="AO1173">
        <v>52</v>
      </c>
      <c r="AP1173" t="s">
        <v>56</v>
      </c>
      <c r="AQ1173" t="s">
        <v>109</v>
      </c>
      <c r="AR1173">
        <v>8.0299999999999994</v>
      </c>
      <c r="AS1173">
        <v>0.04</v>
      </c>
      <c r="AT1173" t="s">
        <v>56</v>
      </c>
      <c r="AU1173">
        <v>574</v>
      </c>
      <c r="AV1173">
        <v>63</v>
      </c>
      <c r="AW1173" t="s">
        <v>56</v>
      </c>
      <c r="AX1173">
        <v>7.98</v>
      </c>
      <c r="AY1173">
        <v>0.04</v>
      </c>
      <c r="AZ1173" t="s">
        <v>56</v>
      </c>
      <c r="BB1173">
        <f>LOG(AU1173)</f>
        <v>2.7589118923979736</v>
      </c>
      <c r="BC1173">
        <v>10</v>
      </c>
      <c r="BD1173">
        <v>0.3</v>
      </c>
      <c r="BE1173" t="s">
        <v>56</v>
      </c>
      <c r="BF1173">
        <v>13</v>
      </c>
      <c r="BG1173">
        <v>0.3</v>
      </c>
      <c r="BH1173" t="s">
        <v>56</v>
      </c>
      <c r="BI1173">
        <v>73</v>
      </c>
      <c r="BJ1173">
        <v>3</v>
      </c>
      <c r="BK1173" t="s">
        <v>56</v>
      </c>
      <c r="BL1173" t="s">
        <v>690</v>
      </c>
      <c r="BM1173" t="s">
        <v>75</v>
      </c>
      <c r="BN1173" t="s">
        <v>60</v>
      </c>
      <c r="BO1173" t="s">
        <v>500</v>
      </c>
      <c r="BP1173" t="s">
        <v>77</v>
      </c>
      <c r="BR1173" t="s">
        <v>63</v>
      </c>
      <c r="BT1173">
        <v>24.9</v>
      </c>
      <c r="BU1173">
        <v>24.9</v>
      </c>
      <c r="BV1173">
        <v>6.2</v>
      </c>
      <c r="BW1173">
        <f>BV1173*SQRT(AK1173)</f>
        <v>12.4</v>
      </c>
      <c r="BX1173">
        <v>71.7</v>
      </c>
      <c r="BY1173">
        <v>71.7</v>
      </c>
      <c r="BZ1173">
        <v>27.3</v>
      </c>
      <c r="CA1173">
        <f>BZ1173*SQRT(AL1173)</f>
        <v>54.6</v>
      </c>
      <c r="CB1173">
        <v>21</v>
      </c>
      <c r="CC1173">
        <v>4</v>
      </c>
      <c r="CD1173">
        <v>1.0580000000000001</v>
      </c>
      <c r="CE1173">
        <v>0.20699999999999999</v>
      </c>
    </row>
    <row r="1174" spans="1:84" hidden="1" x14ac:dyDescent="0.2">
      <c r="D1174">
        <v>81</v>
      </c>
      <c r="G1174" t="s">
        <v>43</v>
      </c>
      <c r="H1174" t="s">
        <v>686</v>
      </c>
      <c r="J1174">
        <v>2020</v>
      </c>
      <c r="M1174" t="s">
        <v>687</v>
      </c>
      <c r="T1174" t="s">
        <v>68</v>
      </c>
      <c r="U1174" t="s">
        <v>688</v>
      </c>
      <c r="V1174" t="s">
        <v>689</v>
      </c>
      <c r="Z1174" t="s">
        <v>49</v>
      </c>
      <c r="AA1174" t="s">
        <v>49</v>
      </c>
      <c r="AB1174" t="s">
        <v>50</v>
      </c>
      <c r="AC1174" t="s">
        <v>51</v>
      </c>
      <c r="AD1174" t="s">
        <v>52</v>
      </c>
      <c r="AE1174" t="s">
        <v>53</v>
      </c>
      <c r="AF1174" t="s">
        <v>52</v>
      </c>
      <c r="AG1174" t="s">
        <v>52</v>
      </c>
      <c r="AH1174" t="s">
        <v>64</v>
      </c>
      <c r="AK1174">
        <v>4</v>
      </c>
      <c r="AL1174">
        <v>4</v>
      </c>
      <c r="AN1174">
        <v>501</v>
      </c>
      <c r="AO1174">
        <v>52</v>
      </c>
      <c r="AP1174" t="s">
        <v>56</v>
      </c>
      <c r="AQ1174" t="s">
        <v>109</v>
      </c>
      <c r="AR1174">
        <v>8.0299999999999994</v>
      </c>
      <c r="AS1174">
        <v>0.04</v>
      </c>
      <c r="AT1174" t="s">
        <v>56</v>
      </c>
      <c r="AU1174">
        <v>2020</v>
      </c>
      <c r="AV1174">
        <v>171</v>
      </c>
      <c r="AW1174" t="s">
        <v>56</v>
      </c>
      <c r="AX1174">
        <v>7.46</v>
      </c>
      <c r="AY1174">
        <v>0.04</v>
      </c>
      <c r="AZ1174" t="s">
        <v>56</v>
      </c>
      <c r="BB1174">
        <f>LOG(AU1174)</f>
        <v>3.3053513694466239</v>
      </c>
      <c r="BC1174">
        <v>10</v>
      </c>
      <c r="BD1174">
        <v>0.3</v>
      </c>
      <c r="BE1174" t="s">
        <v>56</v>
      </c>
      <c r="BF1174">
        <v>13</v>
      </c>
      <c r="BG1174">
        <v>0.1</v>
      </c>
      <c r="BH1174" t="s">
        <v>56</v>
      </c>
      <c r="BI1174">
        <v>1519</v>
      </c>
      <c r="BJ1174">
        <v>3</v>
      </c>
      <c r="BK1174" t="s">
        <v>56</v>
      </c>
      <c r="BL1174" t="s">
        <v>690</v>
      </c>
      <c r="BM1174" t="s">
        <v>75</v>
      </c>
      <c r="BN1174" t="s">
        <v>60</v>
      </c>
      <c r="BO1174" t="s">
        <v>500</v>
      </c>
      <c r="BP1174" t="s">
        <v>77</v>
      </c>
      <c r="BR1174" t="s">
        <v>63</v>
      </c>
      <c r="BT1174">
        <v>24.9</v>
      </c>
      <c r="BU1174">
        <v>24.9</v>
      </c>
      <c r="BV1174">
        <v>6.2</v>
      </c>
      <c r="BW1174">
        <f>BV1174*SQRT(AK1174)</f>
        <v>12.4</v>
      </c>
      <c r="BX1174">
        <v>74.599999999999994</v>
      </c>
      <c r="BY1174">
        <v>74.599999999999994</v>
      </c>
      <c r="BZ1174">
        <v>35</v>
      </c>
      <c r="CA1174">
        <f>BZ1174*SQRT(AL1174)</f>
        <v>70</v>
      </c>
      <c r="CB1174">
        <v>21</v>
      </c>
      <c r="CC1174">
        <v>4</v>
      </c>
      <c r="CD1174">
        <v>1.097</v>
      </c>
      <c r="CE1174">
        <v>0.28210000000000002</v>
      </c>
    </row>
    <row r="1175" spans="1:84" s="8" customFormat="1" hidden="1" x14ac:dyDescent="0.2">
      <c r="A1175"/>
      <c r="B1175" t="str">
        <f>ROW()-1&amp;"_AltersInvert"</f>
        <v>1174_AltersInvert</v>
      </c>
      <c r="C1175" t="str">
        <f>D1175&amp;"_"&amp;
SUBSTITUTE(TRIM(V1175)," ","_")&amp;"_"&amp;
TRIM(AC1175)&amp;"_"&amp;
"CO2"&amp;TEXT(AN1175,"0.00")&amp;"_"&amp;
"pH"&amp;TEXT(AR1175,"0.00")&amp;"_"&amp;
"T"&amp;TEXT(BC1175,"0.##")</f>
        <v>69_Heliocidaris_tuberculata_LARVA_CO2291.00_pH8.16_T20.</v>
      </c>
      <c r="D1175">
        <v>69</v>
      </c>
      <c r="E1175"/>
      <c r="F1175"/>
      <c r="G1175" t="s">
        <v>43</v>
      </c>
      <c r="H1175" t="s">
        <v>636</v>
      </c>
      <c r="I1175"/>
      <c r="J1175">
        <v>2014</v>
      </c>
      <c r="K1175"/>
      <c r="L1175"/>
      <c r="M1175" t="s">
        <v>308</v>
      </c>
      <c r="N1175"/>
      <c r="O1175"/>
      <c r="P1175" t="s">
        <v>1135</v>
      </c>
      <c r="Q1175"/>
      <c r="R1175" t="s">
        <v>1127</v>
      </c>
      <c r="S1175" t="s">
        <v>1128</v>
      </c>
      <c r="T1175" t="s">
        <v>46</v>
      </c>
      <c r="U1175" t="s">
        <v>637</v>
      </c>
      <c r="V1175" t="s">
        <v>606</v>
      </c>
      <c r="W1175"/>
      <c r="X1175"/>
      <c r="Y1175"/>
      <c r="Z1175" t="s">
        <v>49</v>
      </c>
      <c r="AA1175" t="s">
        <v>49</v>
      </c>
      <c r="AB1175" t="s">
        <v>71</v>
      </c>
      <c r="AC1175" t="s">
        <v>72</v>
      </c>
      <c r="AD1175" t="s">
        <v>52</v>
      </c>
      <c r="AE1175" t="s">
        <v>53</v>
      </c>
      <c r="AF1175" t="s">
        <v>52</v>
      </c>
      <c r="AG1175" t="s">
        <v>52</v>
      </c>
      <c r="AH1175" t="s">
        <v>64</v>
      </c>
      <c r="AI1175"/>
      <c r="AJ1175"/>
      <c r="AK1175">
        <v>9</v>
      </c>
      <c r="AL1175">
        <v>9</v>
      </c>
      <c r="AM1175"/>
      <c r="AN1175">
        <v>291</v>
      </c>
      <c r="AO1175">
        <v>21</v>
      </c>
      <c r="AP1175" t="s">
        <v>56</v>
      </c>
      <c r="AQ1175" t="s">
        <v>118</v>
      </c>
      <c r="AR1175">
        <v>8.16</v>
      </c>
      <c r="AS1175">
        <v>0.02</v>
      </c>
      <c r="AT1175" t="s">
        <v>56</v>
      </c>
      <c r="AU1175">
        <v>1261</v>
      </c>
      <c r="AV1175">
        <v>15</v>
      </c>
      <c r="AW1175" t="s">
        <v>56</v>
      </c>
      <c r="AX1175">
        <v>7.6</v>
      </c>
      <c r="AY1175">
        <v>0.03</v>
      </c>
      <c r="AZ1175" t="s">
        <v>56</v>
      </c>
      <c r="BA1175"/>
      <c r="BB1175">
        <f>LOG(AU1175)</f>
        <v>3.1007150865730817</v>
      </c>
      <c r="BC1175">
        <v>20</v>
      </c>
      <c r="BD1175" t="s">
        <v>56</v>
      </c>
      <c r="BE1175" t="s">
        <v>56</v>
      </c>
      <c r="BF1175">
        <v>24</v>
      </c>
      <c r="BG1175" t="s">
        <v>56</v>
      </c>
      <c r="BH1175" t="s">
        <v>56</v>
      </c>
      <c r="BI1175">
        <v>970</v>
      </c>
      <c r="BJ1175">
        <v>4</v>
      </c>
      <c r="BK1175" t="s">
        <v>56</v>
      </c>
      <c r="BL1175" t="s">
        <v>86</v>
      </c>
      <c r="BM1175" t="s">
        <v>86</v>
      </c>
      <c r="BN1175" t="s">
        <v>81</v>
      </c>
      <c r="BO1175" t="s">
        <v>82</v>
      </c>
      <c r="BP1175" t="s">
        <v>9</v>
      </c>
      <c r="BQ1175" t="s">
        <v>9</v>
      </c>
      <c r="BR1175" t="s">
        <v>84</v>
      </c>
      <c r="BS1175"/>
      <c r="BT1175">
        <v>96.15</v>
      </c>
      <c r="BU1175">
        <v>96.15</v>
      </c>
      <c r="BV1175">
        <v>1.33</v>
      </c>
      <c r="BW1175">
        <f>BV1175*SQRT(AK1175)</f>
        <v>3.99</v>
      </c>
      <c r="BX1175">
        <v>86.15</v>
      </c>
      <c r="BY1175">
        <v>86.15</v>
      </c>
      <c r="BZ1175">
        <v>2.08</v>
      </c>
      <c r="CA1175">
        <f>BZ1175*SQRT(AL1175)</f>
        <v>6.24</v>
      </c>
      <c r="CB1175">
        <v>1</v>
      </c>
      <c r="CC1175">
        <v>3</v>
      </c>
      <c r="CD1175">
        <v>-0.11</v>
      </c>
      <c r="CE1175">
        <v>8.0000000000000004E-4</v>
      </c>
    </row>
    <row r="1176" spans="1:84" hidden="1" x14ac:dyDescent="0.2">
      <c r="B1176" t="str">
        <f>ROW()-1&amp;"_AltersInvert"</f>
        <v>1175_AltersInvert</v>
      </c>
      <c r="C1176" t="str">
        <f>D1176&amp;"_"&amp;
SUBSTITUTE(TRIM(V1176)," ","_")&amp;"_"&amp;
TRIM(AC1176)&amp;"_"&amp;
"CO2"&amp;TEXT(AN1176,"0.00")&amp;"_"&amp;
"pH"&amp;TEXT(AR1176,"0.00")&amp;"_"&amp;
"T"&amp;TEXT(BC1176,"0.##")</f>
        <v>69_Heliocidaris_tuberculata_LARVA_CO2291.00_pH8.16_T20.</v>
      </c>
      <c r="D1176">
        <v>69</v>
      </c>
      <c r="G1176" t="s">
        <v>43</v>
      </c>
      <c r="H1176" t="s">
        <v>636</v>
      </c>
      <c r="J1176">
        <v>2014</v>
      </c>
      <c r="M1176" t="s">
        <v>308</v>
      </c>
      <c r="P1176" t="s">
        <v>1135</v>
      </c>
      <c r="R1176" t="s">
        <v>1127</v>
      </c>
      <c r="S1176" t="s">
        <v>1128</v>
      </c>
      <c r="T1176" t="s">
        <v>46</v>
      </c>
      <c r="U1176" t="s">
        <v>637</v>
      </c>
      <c r="V1176" t="s">
        <v>606</v>
      </c>
      <c r="Z1176" t="s">
        <v>49</v>
      </c>
      <c r="AA1176" t="s">
        <v>49</v>
      </c>
      <c r="AB1176" t="s">
        <v>71</v>
      </c>
      <c r="AC1176" t="s">
        <v>72</v>
      </c>
      <c r="AD1176" t="s">
        <v>52</v>
      </c>
      <c r="AE1176" t="s">
        <v>53</v>
      </c>
      <c r="AF1176" t="s">
        <v>52</v>
      </c>
      <c r="AG1176" t="s">
        <v>52</v>
      </c>
      <c r="AH1176" t="s">
        <v>64</v>
      </c>
      <c r="AK1176">
        <v>9</v>
      </c>
      <c r="AL1176">
        <v>9</v>
      </c>
      <c r="AN1176">
        <v>291</v>
      </c>
      <c r="AO1176">
        <v>21</v>
      </c>
      <c r="AP1176" t="s">
        <v>56</v>
      </c>
      <c r="AQ1176" t="s">
        <v>118</v>
      </c>
      <c r="AR1176">
        <v>8.16</v>
      </c>
      <c r="AS1176">
        <v>0.02</v>
      </c>
      <c r="AT1176" t="s">
        <v>56</v>
      </c>
      <c r="AU1176">
        <v>752</v>
      </c>
      <c r="AV1176">
        <v>10</v>
      </c>
      <c r="AW1176" t="s">
        <v>56</v>
      </c>
      <c r="AX1176">
        <v>7.8</v>
      </c>
      <c r="AY1176">
        <v>0.03</v>
      </c>
      <c r="AZ1176" t="s">
        <v>56</v>
      </c>
      <c r="BB1176">
        <f>LOG(AU1176)</f>
        <v>2.8762178405916421</v>
      </c>
      <c r="BC1176">
        <v>20</v>
      </c>
      <c r="BD1176" t="s">
        <v>56</v>
      </c>
      <c r="BE1176" t="s">
        <v>56</v>
      </c>
      <c r="BF1176">
        <v>24</v>
      </c>
      <c r="BG1176" t="s">
        <v>56</v>
      </c>
      <c r="BH1176" t="s">
        <v>56</v>
      </c>
      <c r="BI1176">
        <v>460</v>
      </c>
      <c r="BJ1176">
        <v>4</v>
      </c>
      <c r="BK1176" t="s">
        <v>56</v>
      </c>
      <c r="BL1176" t="s">
        <v>86</v>
      </c>
      <c r="BM1176" t="s">
        <v>86</v>
      </c>
      <c r="BN1176" t="s">
        <v>81</v>
      </c>
      <c r="BO1176" t="s">
        <v>82</v>
      </c>
      <c r="BP1176" t="s">
        <v>9</v>
      </c>
      <c r="BQ1176" t="s">
        <v>9</v>
      </c>
      <c r="BR1176" t="s">
        <v>84</v>
      </c>
      <c r="BT1176">
        <v>96.15</v>
      </c>
      <c r="BU1176">
        <v>96.15</v>
      </c>
      <c r="BV1176">
        <v>1.33</v>
      </c>
      <c r="BW1176">
        <f>BV1176*SQRT(AK1176)</f>
        <v>3.99</v>
      </c>
      <c r="BX1176">
        <v>90.88</v>
      </c>
      <c r="BY1176">
        <v>90.88</v>
      </c>
      <c r="BZ1176">
        <v>2.65</v>
      </c>
      <c r="CA1176">
        <f>BZ1176*SQRT(AL1176)</f>
        <v>7.9499999999999993</v>
      </c>
      <c r="CB1176">
        <v>1</v>
      </c>
      <c r="CC1176">
        <v>3</v>
      </c>
      <c r="CD1176">
        <v>-5.6000000000000001E-2</v>
      </c>
      <c r="CE1176">
        <v>1E-3</v>
      </c>
      <c r="CF1176" s="8"/>
    </row>
    <row r="1177" spans="1:84" hidden="1" x14ac:dyDescent="0.2">
      <c r="B1177" t="str">
        <f>ROW()-1&amp;"_AltersInvert"</f>
        <v>1176_AltersInvert</v>
      </c>
      <c r="C1177" t="str">
        <f>D1177&amp;"_"&amp;
SUBSTITUTE(TRIM(V1177)," ","_")&amp;"_"&amp;
TRIM(AC1177)&amp;"_"&amp;
"CO2"&amp;TEXT(AN1177,"0.00")&amp;"_"&amp;
"pH"&amp;TEXT(AR1177,"0.00")&amp;"_"&amp;
"T"&amp;TEXT(BC1177,"0.##")</f>
        <v>14_Homarus_americanus_LARVA_CO2454.00_pH8.08_T17.2</v>
      </c>
      <c r="D1177">
        <v>14</v>
      </c>
      <c r="G1177" t="s">
        <v>43</v>
      </c>
      <c r="H1177" t="s">
        <v>235</v>
      </c>
      <c r="J1177">
        <v>2015</v>
      </c>
      <c r="M1177" t="s">
        <v>236</v>
      </c>
      <c r="P1177" t="s">
        <v>1135</v>
      </c>
      <c r="R1177" t="s">
        <v>1127</v>
      </c>
      <c r="S1177" t="s">
        <v>1128</v>
      </c>
      <c r="T1177" t="s">
        <v>131</v>
      </c>
      <c r="U1177" t="s">
        <v>237</v>
      </c>
      <c r="V1177" t="s">
        <v>238</v>
      </c>
      <c r="Z1177" t="s">
        <v>49</v>
      </c>
      <c r="AA1177" t="s">
        <v>49</v>
      </c>
      <c r="AB1177" t="s">
        <v>71</v>
      </c>
      <c r="AC1177" t="s">
        <v>72</v>
      </c>
      <c r="AD1177" t="s">
        <v>52</v>
      </c>
      <c r="AE1177" t="s">
        <v>53</v>
      </c>
      <c r="AF1177" t="s">
        <v>52</v>
      </c>
      <c r="AG1177" t="s">
        <v>54</v>
      </c>
      <c r="AH1177" t="s">
        <v>55</v>
      </c>
      <c r="AK1177">
        <v>6</v>
      </c>
      <c r="AL1177">
        <v>6</v>
      </c>
      <c r="AN1177">
        <v>454</v>
      </c>
      <c r="AO1177">
        <v>11</v>
      </c>
      <c r="AP1177" t="s">
        <v>56</v>
      </c>
      <c r="AQ1177" t="s">
        <v>57</v>
      </c>
      <c r="AR1177">
        <v>8.08</v>
      </c>
      <c r="AS1177">
        <v>0.01</v>
      </c>
      <c r="AT1177" t="s">
        <v>56</v>
      </c>
      <c r="AU1177">
        <v>1154</v>
      </c>
      <c r="AV1177">
        <v>17</v>
      </c>
      <c r="AW1177" t="s">
        <v>56</v>
      </c>
      <c r="AX1177">
        <v>7.73</v>
      </c>
      <c r="AY1177">
        <v>0.01</v>
      </c>
      <c r="AZ1177" t="s">
        <v>56</v>
      </c>
      <c r="BB1177">
        <f>LOG(AU1177)</f>
        <v>3.0622058088197126</v>
      </c>
      <c r="BC1177">
        <v>17.2</v>
      </c>
      <c r="BD1177">
        <v>0</v>
      </c>
      <c r="BE1177" t="s">
        <v>56</v>
      </c>
      <c r="BF1177">
        <v>17.2</v>
      </c>
      <c r="BG1177">
        <v>0</v>
      </c>
      <c r="BH1177" t="s">
        <v>56</v>
      </c>
      <c r="BI1177">
        <v>700</v>
      </c>
      <c r="BJ1177">
        <v>0</v>
      </c>
      <c r="BK1177" t="s">
        <v>239</v>
      </c>
      <c r="BL1177" t="s">
        <v>83</v>
      </c>
      <c r="BM1177" t="s">
        <v>83</v>
      </c>
      <c r="BN1177" t="s">
        <v>81</v>
      </c>
      <c r="BO1177" t="s">
        <v>82</v>
      </c>
      <c r="BP1177" t="s">
        <v>204</v>
      </c>
      <c r="BQ1177" t="s">
        <v>83</v>
      </c>
      <c r="BR1177" t="s">
        <v>84</v>
      </c>
      <c r="BT1177">
        <v>7.77</v>
      </c>
      <c r="BU1177">
        <v>7.7678539999999998</v>
      </c>
      <c r="BV1177">
        <v>1.66</v>
      </c>
      <c r="BW1177">
        <f>BV1177*SQRT(AK1177)</f>
        <v>4.0661529730200749</v>
      </c>
      <c r="BX1177">
        <v>7.28</v>
      </c>
      <c r="BY1177">
        <v>7.2848524000000001</v>
      </c>
      <c r="BZ1177">
        <v>2.21</v>
      </c>
      <c r="CA1177">
        <f>BZ1177*SQRT(AL1177)</f>
        <v>5.4133723315508231</v>
      </c>
      <c r="CB1177">
        <v>25</v>
      </c>
      <c r="CC1177">
        <v>3</v>
      </c>
      <c r="CD1177">
        <v>-6.4000000000000001E-2</v>
      </c>
      <c r="CE1177">
        <v>0.1376</v>
      </c>
    </row>
    <row r="1178" spans="1:84" s="8" customFormat="1" hidden="1" x14ac:dyDescent="0.2">
      <c r="A1178"/>
      <c r="B1178" t="str">
        <f>ROW()-1&amp;"_AltersInvert"</f>
        <v>1177_AltersInvert</v>
      </c>
      <c r="C1178" t="str">
        <f>D1178&amp;"_"&amp;
SUBSTITUTE(TRIM(V1178)," ","_")&amp;"_"&amp;
TRIM(AC1178)&amp;"_"&amp;
"CO2"&amp;TEXT(AN1178,"0.00")&amp;"_"&amp;
"pH"&amp;TEXT(AR1178,"0.00")&amp;"_"&amp;
"T"&amp;TEXT(BC1178,"0.##")</f>
        <v>14_Homarus_americanus_LARVA_CO2454.00_pH8.08_T17.2</v>
      </c>
      <c r="D1178">
        <v>14</v>
      </c>
      <c r="E1178"/>
      <c r="F1178"/>
      <c r="G1178" t="s">
        <v>43</v>
      </c>
      <c r="H1178" t="s">
        <v>235</v>
      </c>
      <c r="I1178"/>
      <c r="J1178">
        <v>2015</v>
      </c>
      <c r="K1178"/>
      <c r="L1178"/>
      <c r="M1178" t="s">
        <v>236</v>
      </c>
      <c r="N1178"/>
      <c r="O1178"/>
      <c r="P1178" t="s">
        <v>1135</v>
      </c>
      <c r="Q1178"/>
      <c r="R1178" t="s">
        <v>1127</v>
      </c>
      <c r="S1178" t="s">
        <v>1128</v>
      </c>
      <c r="T1178" t="s">
        <v>131</v>
      </c>
      <c r="U1178" t="s">
        <v>237</v>
      </c>
      <c r="V1178" t="s">
        <v>238</v>
      </c>
      <c r="W1178"/>
      <c r="X1178"/>
      <c r="Y1178"/>
      <c r="Z1178" t="s">
        <v>49</v>
      </c>
      <c r="AA1178" t="s">
        <v>49</v>
      </c>
      <c r="AB1178" t="s">
        <v>71</v>
      </c>
      <c r="AC1178" t="s">
        <v>72</v>
      </c>
      <c r="AD1178" t="s">
        <v>52</v>
      </c>
      <c r="AE1178" t="s">
        <v>53</v>
      </c>
      <c r="AF1178" t="s">
        <v>54</v>
      </c>
      <c r="AG1178" t="s">
        <v>52</v>
      </c>
      <c r="AH1178" t="s">
        <v>65</v>
      </c>
      <c r="AI1178"/>
      <c r="AJ1178"/>
      <c r="AK1178">
        <v>6</v>
      </c>
      <c r="AL1178">
        <v>6</v>
      </c>
      <c r="AM1178"/>
      <c r="AN1178">
        <v>454</v>
      </c>
      <c r="AO1178">
        <v>11</v>
      </c>
      <c r="AP1178" t="s">
        <v>56</v>
      </c>
      <c r="AQ1178" t="s">
        <v>57</v>
      </c>
      <c r="AR1178">
        <v>8.08</v>
      </c>
      <c r="AS1178">
        <v>0.01</v>
      </c>
      <c r="AT1178" t="s">
        <v>56</v>
      </c>
      <c r="AU1178">
        <v>426</v>
      </c>
      <c r="AV1178">
        <v>11</v>
      </c>
      <c r="AW1178" t="s">
        <v>56</v>
      </c>
      <c r="AX1178">
        <v>8.11</v>
      </c>
      <c r="AY1178">
        <v>0.01</v>
      </c>
      <c r="AZ1178" t="s">
        <v>56</v>
      </c>
      <c r="BA1178"/>
      <c r="BB1178">
        <f>LOG(AU1178)</f>
        <v>2.6294095991027189</v>
      </c>
      <c r="BC1178">
        <v>17.2</v>
      </c>
      <c r="BD1178">
        <v>0</v>
      </c>
      <c r="BE1178" t="s">
        <v>56</v>
      </c>
      <c r="BF1178">
        <v>21.3</v>
      </c>
      <c r="BG1178">
        <v>0</v>
      </c>
      <c r="BH1178" t="s">
        <v>56</v>
      </c>
      <c r="BI1178">
        <v>-28</v>
      </c>
      <c r="BJ1178">
        <v>4.0999999999999996</v>
      </c>
      <c r="BK1178" t="s">
        <v>239</v>
      </c>
      <c r="BL1178" t="s">
        <v>83</v>
      </c>
      <c r="BM1178" t="s">
        <v>83</v>
      </c>
      <c r="BN1178" t="s">
        <v>81</v>
      </c>
      <c r="BO1178" t="s">
        <v>82</v>
      </c>
      <c r="BP1178" t="s">
        <v>204</v>
      </c>
      <c r="BQ1178" t="s">
        <v>83</v>
      </c>
      <c r="BR1178" t="s">
        <v>84</v>
      </c>
      <c r="BS1178"/>
      <c r="BT1178">
        <v>7.77</v>
      </c>
      <c r="BU1178">
        <v>7.7678539999999998</v>
      </c>
      <c r="BV1178">
        <v>1.66</v>
      </c>
      <c r="BW1178">
        <f>BV1178*SQRT(AK1178)</f>
        <v>4.0661529730200749</v>
      </c>
      <c r="BX1178">
        <v>19.510000000000002</v>
      </c>
      <c r="BY1178">
        <v>19.509032999999999</v>
      </c>
      <c r="BZ1178">
        <v>4.97</v>
      </c>
      <c r="CA1178">
        <f>BZ1178*SQRT(AL1178)</f>
        <v>12.173964021632393</v>
      </c>
      <c r="CB1178">
        <v>16</v>
      </c>
      <c r="CC1178">
        <v>3</v>
      </c>
      <c r="CD1178">
        <v>0.92100000000000004</v>
      </c>
      <c r="CE1178">
        <v>0.1105</v>
      </c>
      <c r="CF1178"/>
    </row>
    <row r="1179" spans="1:84" s="8" customFormat="1" hidden="1" x14ac:dyDescent="0.2">
      <c r="A1179"/>
      <c r="B1179" t="str">
        <f>ROW()-1&amp;"_AltersInvert"</f>
        <v>1178_AltersInvert</v>
      </c>
      <c r="C1179" t="str">
        <f>D1179&amp;"_"&amp;
SUBSTITUTE(TRIM(V1179)," ","_")&amp;"_"&amp;
TRIM(AC1179)&amp;"_"&amp;
"CO2"&amp;TEXT(AN1179,"0.00")&amp;"_"&amp;
"pH"&amp;TEXT(AR1179,"0.00")&amp;"_"&amp;
"T"&amp;TEXT(BC1179,"0.##")</f>
        <v>14_Homarus_americanus_LARVA_CO2454.00_pH8.08_T17.2</v>
      </c>
      <c r="D1179">
        <v>14</v>
      </c>
      <c r="E1179"/>
      <c r="F1179"/>
      <c r="G1179" t="s">
        <v>43</v>
      </c>
      <c r="H1179" t="s">
        <v>235</v>
      </c>
      <c r="I1179"/>
      <c r="J1179">
        <v>2015</v>
      </c>
      <c r="K1179"/>
      <c r="L1179"/>
      <c r="M1179" t="s">
        <v>236</v>
      </c>
      <c r="N1179"/>
      <c r="O1179"/>
      <c r="P1179" t="s">
        <v>1135</v>
      </c>
      <c r="Q1179"/>
      <c r="R1179" t="s">
        <v>1127</v>
      </c>
      <c r="S1179" t="s">
        <v>1128</v>
      </c>
      <c r="T1179" t="s">
        <v>131</v>
      </c>
      <c r="U1179" t="s">
        <v>237</v>
      </c>
      <c r="V1179" t="s">
        <v>238</v>
      </c>
      <c r="W1179"/>
      <c r="X1179"/>
      <c r="Y1179"/>
      <c r="Z1179" t="s">
        <v>49</v>
      </c>
      <c r="AA1179" t="s">
        <v>49</v>
      </c>
      <c r="AB1179" t="s">
        <v>71</v>
      </c>
      <c r="AC1179" t="s">
        <v>72</v>
      </c>
      <c r="AD1179" t="s">
        <v>52</v>
      </c>
      <c r="AE1179" t="s">
        <v>53</v>
      </c>
      <c r="AF1179" t="s">
        <v>52</v>
      </c>
      <c r="AG1179" t="s">
        <v>52</v>
      </c>
      <c r="AH1179" t="s">
        <v>64</v>
      </c>
      <c r="AI1179"/>
      <c r="AJ1179"/>
      <c r="AK1179">
        <v>6</v>
      </c>
      <c r="AL1179">
        <v>6</v>
      </c>
      <c r="AM1179"/>
      <c r="AN1179">
        <v>454</v>
      </c>
      <c r="AO1179">
        <v>11</v>
      </c>
      <c r="AP1179" t="s">
        <v>56</v>
      </c>
      <c r="AQ1179" t="s">
        <v>57</v>
      </c>
      <c r="AR1179">
        <v>8.08</v>
      </c>
      <c r="AS1179">
        <v>0.01</v>
      </c>
      <c r="AT1179" t="s">
        <v>56</v>
      </c>
      <c r="AU1179">
        <v>1181</v>
      </c>
      <c r="AV1179">
        <v>36</v>
      </c>
      <c r="AW1179" t="s">
        <v>56</v>
      </c>
      <c r="AX1179">
        <v>7.76</v>
      </c>
      <c r="AY1179">
        <v>0.01</v>
      </c>
      <c r="AZ1179" t="s">
        <v>56</v>
      </c>
      <c r="BA1179"/>
      <c r="BB1179">
        <f>LOG(AU1179)</f>
        <v>3.0722498976135149</v>
      </c>
      <c r="BC1179">
        <v>17.2</v>
      </c>
      <c r="BD1179">
        <v>0</v>
      </c>
      <c r="BE1179" t="s">
        <v>56</v>
      </c>
      <c r="BF1179">
        <v>21.3</v>
      </c>
      <c r="BG1179">
        <v>0</v>
      </c>
      <c r="BH1179" t="s">
        <v>56</v>
      </c>
      <c r="BI1179">
        <v>727</v>
      </c>
      <c r="BJ1179">
        <v>4.0999999999999996</v>
      </c>
      <c r="BK1179" t="s">
        <v>239</v>
      </c>
      <c r="BL1179" t="s">
        <v>83</v>
      </c>
      <c r="BM1179" t="s">
        <v>83</v>
      </c>
      <c r="BN1179" t="s">
        <v>81</v>
      </c>
      <c r="BO1179" t="s">
        <v>82</v>
      </c>
      <c r="BP1179" t="s">
        <v>204</v>
      </c>
      <c r="BQ1179" t="s">
        <v>83</v>
      </c>
      <c r="BR1179" t="s">
        <v>84</v>
      </c>
      <c r="BS1179"/>
      <c r="BT1179">
        <v>7.77</v>
      </c>
      <c r="BU1179">
        <v>7.7678539999999998</v>
      </c>
      <c r="BV1179">
        <v>1.66</v>
      </c>
      <c r="BW1179">
        <f>BV1179*SQRT(AK1179)</f>
        <v>4.0661529730200749</v>
      </c>
      <c r="BX1179">
        <v>25.38</v>
      </c>
      <c r="BY1179">
        <v>25.381317200000002</v>
      </c>
      <c r="BZ1179">
        <v>9.39</v>
      </c>
      <c r="CA1179">
        <f>BZ1179*SQRT(AL1179)</f>
        <v>23.000708684734043</v>
      </c>
      <c r="CB1179">
        <v>15</v>
      </c>
      <c r="CC1179">
        <v>3</v>
      </c>
      <c r="CD1179">
        <v>1.1839999999999999</v>
      </c>
      <c r="CE1179">
        <v>0.1825</v>
      </c>
      <c r="CF1179"/>
    </row>
    <row r="1180" spans="1:84" hidden="1" x14ac:dyDescent="0.2">
      <c r="A1180" s="8"/>
      <c r="B1180" t="str">
        <f>ROW()-1&amp;"_AltersInvert"</f>
        <v>1179_AltersInvert</v>
      </c>
      <c r="C1180" t="str">
        <f>D1180&amp;"_"&amp;
SUBSTITUTE(TRIM(V1180)," ","_")&amp;"_"&amp;
TRIM(AC1180)&amp;"_"&amp;
"CO2"&amp;TEXT(AN1180,"0.00")&amp;"_"&amp;
"pH"&amp;TEXT(AR1180,"0.00")&amp;"_"&amp;
"T"&amp;TEXT(BC1180,"0.##")</f>
        <v>49_Limecola_balthica_EMBRYO_CO2848.00_pH7.80_T15.</v>
      </c>
      <c r="D1180" s="8">
        <v>49</v>
      </c>
      <c r="E1180" s="8"/>
      <c r="F1180" s="8"/>
      <c r="G1180" s="8" t="s">
        <v>43</v>
      </c>
      <c r="H1180" s="8" t="s">
        <v>512</v>
      </c>
      <c r="I1180" s="8" t="s">
        <v>1130</v>
      </c>
      <c r="J1180" s="8">
        <v>2018</v>
      </c>
      <c r="K1180" s="8"/>
      <c r="L1180" s="8"/>
      <c r="M1180" s="8" t="s">
        <v>513</v>
      </c>
      <c r="N1180" s="8"/>
      <c r="O1180" s="8"/>
      <c r="P1180" t="s">
        <v>1135</v>
      </c>
      <c r="Q1180" s="8"/>
      <c r="R1180" s="8" t="s">
        <v>1127</v>
      </c>
      <c r="S1180" t="s">
        <v>1128</v>
      </c>
      <c r="T1180" s="8" t="s">
        <v>68</v>
      </c>
      <c r="U1180" s="8" t="s">
        <v>514</v>
      </c>
      <c r="V1180" s="8" t="s">
        <v>515</v>
      </c>
      <c r="W1180" s="8" t="str">
        <f>IF(ISNUMBER(MATCH(#REF!,{"Doryteuthis pealeii","Loligo vulgaris","Leptuca thayeri","Stylocheilus striatus","Ophryotrocha labronica"},0)),"N","Y")</f>
        <v>Y</v>
      </c>
      <c r="X1180" s="8"/>
      <c r="Y1180" s="8"/>
      <c r="Z1180" s="8" t="s">
        <v>49</v>
      </c>
      <c r="AA1180" s="8" t="s">
        <v>49</v>
      </c>
      <c r="AB1180" s="8" t="s">
        <v>71</v>
      </c>
      <c r="AC1180" s="8" t="s">
        <v>195</v>
      </c>
      <c r="AD1180" s="8" t="s">
        <v>52</v>
      </c>
      <c r="AE1180" s="8" t="s">
        <v>53</v>
      </c>
      <c r="AF1180" s="8" t="s">
        <v>52</v>
      </c>
      <c r="AG1180" s="8" t="s">
        <v>54</v>
      </c>
      <c r="AH1180" s="8" t="s">
        <v>55</v>
      </c>
      <c r="AI1180" s="8"/>
      <c r="AJ1180" s="8"/>
      <c r="AK1180" s="8">
        <v>5</v>
      </c>
      <c r="AL1180" s="8">
        <v>5</v>
      </c>
      <c r="AM1180" s="8"/>
      <c r="AN1180" s="8">
        <v>848</v>
      </c>
      <c r="AO1180" s="8" t="s">
        <v>56</v>
      </c>
      <c r="AP1180" s="8" t="s">
        <v>56</v>
      </c>
      <c r="AQ1180" s="8" t="s">
        <v>57</v>
      </c>
      <c r="AR1180" s="8">
        <v>7.8</v>
      </c>
      <c r="AS1180" s="8" t="s">
        <v>56</v>
      </c>
      <c r="AT1180" s="8" t="s">
        <v>56</v>
      </c>
      <c r="AU1180" s="8">
        <v>2717</v>
      </c>
      <c r="AV1180" t="s">
        <v>56</v>
      </c>
      <c r="AW1180" t="s">
        <v>56</v>
      </c>
      <c r="AX1180">
        <v>7.35</v>
      </c>
      <c r="AY1180" t="s">
        <v>56</v>
      </c>
      <c r="AZ1180" t="s">
        <v>56</v>
      </c>
      <c r="BA1180" s="8"/>
      <c r="BB1180" s="8">
        <f>LOG(AU1180)</f>
        <v>3.4340896384178907</v>
      </c>
      <c r="BC1180" s="8">
        <v>15</v>
      </c>
      <c r="BD1180" s="8" t="s">
        <v>56</v>
      </c>
      <c r="BE1180" s="8" t="s">
        <v>56</v>
      </c>
      <c r="BF1180" s="8">
        <v>15</v>
      </c>
      <c r="BG1180" s="8" t="s">
        <v>56</v>
      </c>
      <c r="BH1180" s="8" t="s">
        <v>56</v>
      </c>
      <c r="BI1180" s="8">
        <v>1868</v>
      </c>
      <c r="BJ1180" s="8">
        <v>0</v>
      </c>
      <c r="BK1180" s="8" t="s">
        <v>517</v>
      </c>
      <c r="BL1180" s="8" t="s">
        <v>519</v>
      </c>
      <c r="BM1180" s="8" t="s">
        <v>90</v>
      </c>
      <c r="BN1180" s="8" t="s">
        <v>81</v>
      </c>
      <c r="BO1180" s="8" t="s">
        <v>91</v>
      </c>
      <c r="BP1180" s="8" t="s">
        <v>92</v>
      </c>
      <c r="BQ1180" s="8" t="s">
        <v>190</v>
      </c>
      <c r="BR1180" s="8" t="s">
        <v>63</v>
      </c>
      <c r="BS1180" s="8"/>
      <c r="BT1180" s="8">
        <v>141.35</v>
      </c>
      <c r="BU1180" s="8">
        <v>141.349693</v>
      </c>
      <c r="BV1180" s="8">
        <v>1.84</v>
      </c>
      <c r="BW1180" s="8">
        <f>BV1180*SQRT(AK1180)</f>
        <v>4.1143650785996133</v>
      </c>
      <c r="BX1180" s="8">
        <v>136.1</v>
      </c>
      <c r="BY1180" s="8">
        <v>136.10429450000001</v>
      </c>
      <c r="BZ1180" s="8">
        <v>3.04</v>
      </c>
      <c r="CA1180" s="8">
        <f>BZ1180*SQRT(AL1180)</f>
        <v>6.7976466515993614</v>
      </c>
      <c r="CB1180" s="8">
        <v>3</v>
      </c>
      <c r="CC1180" s="8">
        <v>5</v>
      </c>
      <c r="CD1180" s="8">
        <v>-3.7999999999999999E-2</v>
      </c>
      <c r="CE1180" s="8">
        <v>6.9999999999999999E-4</v>
      </c>
      <c r="CF1180" s="8" t="s">
        <v>1134</v>
      </c>
    </row>
    <row r="1181" spans="1:84" hidden="1" x14ac:dyDescent="0.2">
      <c r="A1181" s="8"/>
      <c r="B1181" t="str">
        <f>ROW()-1&amp;"_AltersInvert"</f>
        <v>1180_AltersInvert</v>
      </c>
      <c r="C1181" t="str">
        <f>D1181&amp;"_"&amp;
SUBSTITUTE(TRIM(V1181)," ","_")&amp;"_"&amp;
TRIM(AC1181)&amp;"_"&amp;
"CO2"&amp;TEXT(AN1181,"0.00")&amp;"_"&amp;
"pH"&amp;TEXT(AR1181,"0.00")&amp;"_"&amp;
"T"&amp;TEXT(BC1181,"0.##")</f>
        <v>49_Limecola_balthica_EMBRYO_CO2848.00_pH7.80_T15.</v>
      </c>
      <c r="D1181" s="8">
        <v>49</v>
      </c>
      <c r="E1181" s="8"/>
      <c r="F1181" s="8"/>
      <c r="G1181" s="8" t="s">
        <v>43</v>
      </c>
      <c r="H1181" s="8" t="s">
        <v>512</v>
      </c>
      <c r="I1181" s="8" t="s">
        <v>1130</v>
      </c>
      <c r="J1181" s="8">
        <v>2018</v>
      </c>
      <c r="K1181" s="8"/>
      <c r="L1181" s="8"/>
      <c r="M1181" s="8" t="s">
        <v>513</v>
      </c>
      <c r="N1181" s="8"/>
      <c r="O1181" s="8"/>
      <c r="P1181" t="s">
        <v>1135</v>
      </c>
      <c r="Q1181" s="8"/>
      <c r="R1181" s="8" t="s">
        <v>1127</v>
      </c>
      <c r="S1181" t="s">
        <v>1128</v>
      </c>
      <c r="T1181" s="8" t="s">
        <v>68</v>
      </c>
      <c r="U1181" s="8" t="s">
        <v>514</v>
      </c>
      <c r="V1181" s="8" t="s">
        <v>515</v>
      </c>
      <c r="W1181" s="8" t="str">
        <f>IF(ISNUMBER(MATCH(#REF!,{"Doryteuthis pealeii","Loligo vulgaris","Leptuca thayeri","Stylocheilus striatus","Ophryotrocha labronica"},0)),"N","Y")</f>
        <v>Y</v>
      </c>
      <c r="X1181" s="8"/>
      <c r="Y1181" s="8"/>
      <c r="Z1181" s="8" t="s">
        <v>49</v>
      </c>
      <c r="AA1181" s="8" t="s">
        <v>49</v>
      </c>
      <c r="AB1181" s="8" t="s">
        <v>71</v>
      </c>
      <c r="AC1181" s="8" t="s">
        <v>195</v>
      </c>
      <c r="AD1181" s="8" t="s">
        <v>52</v>
      </c>
      <c r="AE1181" s="8" t="s">
        <v>53</v>
      </c>
      <c r="AF1181" s="8" t="s">
        <v>52</v>
      </c>
      <c r="AG1181" s="8" t="s">
        <v>54</v>
      </c>
      <c r="AH1181" s="8" t="s">
        <v>55</v>
      </c>
      <c r="AI1181" s="8"/>
      <c r="AJ1181" s="8"/>
      <c r="AK1181" s="8">
        <v>5</v>
      </c>
      <c r="AL1181" s="8">
        <v>5</v>
      </c>
      <c r="AM1181" s="8"/>
      <c r="AN1181" s="8">
        <v>848</v>
      </c>
      <c r="AO1181" s="8" t="s">
        <v>56</v>
      </c>
      <c r="AP1181" s="8" t="s">
        <v>56</v>
      </c>
      <c r="AQ1181" s="8" t="s">
        <v>57</v>
      </c>
      <c r="AR1181" s="8">
        <v>7.8</v>
      </c>
      <c r="AS1181" s="8" t="s">
        <v>56</v>
      </c>
      <c r="AT1181" s="8" t="s">
        <v>56</v>
      </c>
      <c r="AU1181" s="8">
        <v>1836</v>
      </c>
      <c r="AV1181" t="s">
        <v>56</v>
      </c>
      <c r="AW1181" t="s">
        <v>56</v>
      </c>
      <c r="AX1181">
        <v>7.51</v>
      </c>
      <c r="AY1181" t="s">
        <v>56</v>
      </c>
      <c r="AZ1181" t="s">
        <v>56</v>
      </c>
      <c r="BA1181" s="8"/>
      <c r="BB1181" s="8">
        <f>LOG(AU1181)</f>
        <v>3.2638726768652235</v>
      </c>
      <c r="BC1181" s="8">
        <v>15</v>
      </c>
      <c r="BD1181" s="8" t="s">
        <v>56</v>
      </c>
      <c r="BE1181" s="8" t="s">
        <v>56</v>
      </c>
      <c r="BF1181" s="8">
        <v>15</v>
      </c>
      <c r="BG1181" s="8" t="s">
        <v>56</v>
      </c>
      <c r="BH1181" s="8" t="s">
        <v>56</v>
      </c>
      <c r="BI1181" s="8">
        <v>988</v>
      </c>
      <c r="BJ1181" s="8">
        <v>0</v>
      </c>
      <c r="BK1181" s="8" t="s">
        <v>517</v>
      </c>
      <c r="BL1181" s="8" t="s">
        <v>519</v>
      </c>
      <c r="BM1181" s="8" t="s">
        <v>90</v>
      </c>
      <c r="BN1181" s="8" t="s">
        <v>81</v>
      </c>
      <c r="BO1181" s="8" t="s">
        <v>91</v>
      </c>
      <c r="BP1181" s="8" t="s">
        <v>92</v>
      </c>
      <c r="BQ1181" s="8" t="s">
        <v>83</v>
      </c>
      <c r="BR1181" s="8" t="s">
        <v>63</v>
      </c>
      <c r="BS1181" s="8"/>
      <c r="BT1181" s="8">
        <v>141.35</v>
      </c>
      <c r="BU1181" s="8">
        <v>141.349693</v>
      </c>
      <c r="BV1181" s="8">
        <v>1.84</v>
      </c>
      <c r="BW1181" s="8">
        <f>BV1181*SQRT(AK1181)</f>
        <v>4.1143650785996133</v>
      </c>
      <c r="BX1181" s="8">
        <v>140.15</v>
      </c>
      <c r="BY1181" s="8">
        <v>140.1533742</v>
      </c>
      <c r="BZ1181" s="8">
        <v>1.1000000000000001</v>
      </c>
      <c r="CA1181" s="8">
        <f>BZ1181*SQRT(AL1181)</f>
        <v>2.459674775249769</v>
      </c>
      <c r="CB1181" s="8">
        <v>3</v>
      </c>
      <c r="CC1181" s="8">
        <v>5</v>
      </c>
      <c r="CD1181" s="8">
        <v>-8.0000000000000002E-3</v>
      </c>
      <c r="CE1181" s="8">
        <v>2.0000000000000001E-4</v>
      </c>
      <c r="CF1181" s="8" t="s">
        <v>1134</v>
      </c>
    </row>
    <row r="1182" spans="1:84" hidden="1" x14ac:dyDescent="0.2">
      <c r="A1182" s="8"/>
      <c r="B1182" t="str">
        <f>ROW()-1&amp;"_AltersInvert"</f>
        <v>1181_AltersInvert</v>
      </c>
      <c r="C1182" t="str">
        <f>D1182&amp;"_"&amp;
SUBSTITUTE(TRIM(V1182)," ","_")&amp;"_"&amp;
TRIM(AC1182)&amp;"_"&amp;
"CO2"&amp;TEXT(AN1182,"0.00")&amp;"_"&amp;
"pH"&amp;TEXT(AR1182,"0.00")&amp;"_"&amp;
"T"&amp;TEXT(BC1182,"0.##")</f>
        <v>49_Limecola_balthica_EMBRYO_CO2848.00_pH7.80_T15.</v>
      </c>
      <c r="D1182" s="8">
        <v>49</v>
      </c>
      <c r="E1182" s="8"/>
      <c r="F1182" s="8"/>
      <c r="G1182" s="8" t="s">
        <v>43</v>
      </c>
      <c r="H1182" s="8" t="s">
        <v>512</v>
      </c>
      <c r="I1182" s="8" t="s">
        <v>1130</v>
      </c>
      <c r="J1182" s="8">
        <v>2018</v>
      </c>
      <c r="K1182" s="8"/>
      <c r="L1182" s="8"/>
      <c r="M1182" s="8" t="s">
        <v>513</v>
      </c>
      <c r="N1182" s="8"/>
      <c r="O1182" s="8"/>
      <c r="P1182" t="s">
        <v>1135</v>
      </c>
      <c r="Q1182" s="8"/>
      <c r="R1182" s="8" t="s">
        <v>1127</v>
      </c>
      <c r="S1182" t="s">
        <v>1128</v>
      </c>
      <c r="T1182" s="8" t="s">
        <v>68</v>
      </c>
      <c r="U1182" s="8" t="s">
        <v>514</v>
      </c>
      <c r="V1182" s="8" t="s">
        <v>515</v>
      </c>
      <c r="W1182" s="8" t="str">
        <f>IF(ISNUMBER(MATCH(#REF!,{"Doryteuthis pealeii","Loligo vulgaris","Leptuca thayeri","Stylocheilus striatus","Ophryotrocha labronica"},0)),"N","Y")</f>
        <v>Y</v>
      </c>
      <c r="X1182" s="8"/>
      <c r="Y1182" s="8"/>
      <c r="Z1182" s="8" t="s">
        <v>49</v>
      </c>
      <c r="AA1182" s="8" t="s">
        <v>49</v>
      </c>
      <c r="AB1182" s="8" t="s">
        <v>71</v>
      </c>
      <c r="AC1182" s="8" t="s">
        <v>195</v>
      </c>
      <c r="AD1182" s="8" t="s">
        <v>52</v>
      </c>
      <c r="AE1182" s="8" t="s">
        <v>53</v>
      </c>
      <c r="AF1182" s="8" t="s">
        <v>52</v>
      </c>
      <c r="AG1182" s="8" t="s">
        <v>54</v>
      </c>
      <c r="AH1182" s="8" t="s">
        <v>55</v>
      </c>
      <c r="AI1182" s="8"/>
      <c r="AJ1182" s="8"/>
      <c r="AK1182" s="8">
        <v>5</v>
      </c>
      <c r="AL1182" s="8">
        <v>5</v>
      </c>
      <c r="AM1182" s="8"/>
      <c r="AN1182" s="8">
        <v>848</v>
      </c>
      <c r="AO1182" s="8" t="s">
        <v>56</v>
      </c>
      <c r="AP1182" s="8" t="s">
        <v>56</v>
      </c>
      <c r="AQ1182" s="8" t="s">
        <v>57</v>
      </c>
      <c r="AR1182" s="8">
        <v>7.8</v>
      </c>
      <c r="AS1182" s="8" t="s">
        <v>56</v>
      </c>
      <c r="AT1182" s="8" t="s">
        <v>56</v>
      </c>
      <c r="AU1182" s="8">
        <v>2103</v>
      </c>
      <c r="AV1182" t="s">
        <v>56</v>
      </c>
      <c r="AW1182" t="s">
        <v>56</v>
      </c>
      <c r="AX1182">
        <v>7.45</v>
      </c>
      <c r="AY1182" t="s">
        <v>56</v>
      </c>
      <c r="AZ1182" t="s">
        <v>56</v>
      </c>
      <c r="BA1182" s="8"/>
      <c r="BB1182" s="8">
        <f>LOG(AU1182)</f>
        <v>3.3228392726863212</v>
      </c>
      <c r="BC1182" s="8">
        <v>15</v>
      </c>
      <c r="BD1182" s="8" t="s">
        <v>56</v>
      </c>
      <c r="BE1182" s="8" t="s">
        <v>56</v>
      </c>
      <c r="BF1182" s="8">
        <v>15</v>
      </c>
      <c r="BG1182" s="8" t="s">
        <v>56</v>
      </c>
      <c r="BH1182" s="8" t="s">
        <v>56</v>
      </c>
      <c r="BI1182" s="8">
        <v>1255</v>
      </c>
      <c r="BJ1182" s="8">
        <v>0</v>
      </c>
      <c r="BK1182" s="8" t="s">
        <v>517</v>
      </c>
      <c r="BL1182" s="8" t="s">
        <v>519</v>
      </c>
      <c r="BM1182" s="8" t="s">
        <v>90</v>
      </c>
      <c r="BN1182" s="8" t="s">
        <v>81</v>
      </c>
      <c r="BO1182" s="8" t="s">
        <v>91</v>
      </c>
      <c r="BP1182" s="8" t="s">
        <v>92</v>
      </c>
      <c r="BQ1182" s="8" t="s">
        <v>190</v>
      </c>
      <c r="BR1182" s="8" t="s">
        <v>63</v>
      </c>
      <c r="BS1182" s="8"/>
      <c r="BT1182" s="8">
        <v>141.35</v>
      </c>
      <c r="BU1182" s="8">
        <v>141.349693</v>
      </c>
      <c r="BV1182" s="8">
        <v>1.84</v>
      </c>
      <c r="BW1182" s="8">
        <f>BV1182*SQRT(AK1182)</f>
        <v>4.1143650785996133</v>
      </c>
      <c r="BX1182" s="8">
        <v>140.52000000000001</v>
      </c>
      <c r="BY1182" s="8">
        <v>140.52147239999999</v>
      </c>
      <c r="BZ1182" s="8">
        <v>1.29</v>
      </c>
      <c r="CA1182" s="8">
        <f>BZ1182*SQRT(AL1182)</f>
        <v>2.8845276909747288</v>
      </c>
      <c r="CB1182" s="8">
        <v>3</v>
      </c>
      <c r="CC1182" s="8">
        <v>5</v>
      </c>
      <c r="CD1182" s="8">
        <v>-6.0000000000000001E-3</v>
      </c>
      <c r="CE1182" s="8">
        <v>2.9999999999999997E-4</v>
      </c>
      <c r="CF1182" s="8" t="s">
        <v>1134</v>
      </c>
    </row>
    <row r="1183" spans="1:84" hidden="1" x14ac:dyDescent="0.2">
      <c r="A1183" s="8"/>
      <c r="B1183" t="str">
        <f>ROW()-1&amp;"_AltersInvert"</f>
        <v>1182_AltersInvert</v>
      </c>
      <c r="C1183" t="str">
        <f>D1183&amp;"_"&amp;
SUBSTITUTE(TRIM(V1183)," ","_")&amp;"_"&amp;
TRIM(AC1183)&amp;"_"&amp;
"CO2"&amp;TEXT(AN1183,"0.00")&amp;"_"&amp;
"pH"&amp;TEXT(AR1183,"0.00")&amp;"_"&amp;
"T"&amp;TEXT(BC1183,"0.##")</f>
        <v>49_Limecola_balthica_EMBRYO_CO2848.00_pH7.80_T15.</v>
      </c>
      <c r="D1183" s="8">
        <v>49</v>
      </c>
      <c r="E1183" s="8"/>
      <c r="F1183" s="8"/>
      <c r="G1183" s="8" t="s">
        <v>43</v>
      </c>
      <c r="H1183" s="8" t="s">
        <v>512</v>
      </c>
      <c r="I1183" s="8" t="s">
        <v>1130</v>
      </c>
      <c r="J1183" s="8">
        <v>2018</v>
      </c>
      <c r="K1183" s="8"/>
      <c r="L1183" s="8"/>
      <c r="M1183" s="8" t="s">
        <v>513</v>
      </c>
      <c r="N1183" s="8"/>
      <c r="O1183" s="8"/>
      <c r="P1183" t="s">
        <v>1135</v>
      </c>
      <c r="Q1183" s="8"/>
      <c r="R1183" s="8" t="s">
        <v>1127</v>
      </c>
      <c r="S1183" t="s">
        <v>1128</v>
      </c>
      <c r="T1183" s="8" t="s">
        <v>68</v>
      </c>
      <c r="U1183" s="8" t="s">
        <v>514</v>
      </c>
      <c r="V1183" s="8" t="s">
        <v>515</v>
      </c>
      <c r="W1183" s="8" t="str">
        <f>IF(ISNUMBER(MATCH(#REF!,{"Doryteuthis pealeii","Loligo vulgaris","Leptuca thayeri","Stylocheilus striatus","Ophryotrocha labronica"},0)),"N","Y")</f>
        <v>Y</v>
      </c>
      <c r="X1183" s="8"/>
      <c r="Y1183" s="8"/>
      <c r="Z1183" s="8" t="s">
        <v>49</v>
      </c>
      <c r="AA1183" s="8" t="s">
        <v>49</v>
      </c>
      <c r="AB1183" s="8" t="s">
        <v>71</v>
      </c>
      <c r="AC1183" s="8" t="s">
        <v>195</v>
      </c>
      <c r="AD1183" s="8" t="s">
        <v>52</v>
      </c>
      <c r="AE1183" s="8" t="s">
        <v>53</v>
      </c>
      <c r="AF1183" s="8" t="s">
        <v>52</v>
      </c>
      <c r="AG1183" s="8" t="s">
        <v>54</v>
      </c>
      <c r="AH1183" s="8" t="s">
        <v>55</v>
      </c>
      <c r="AI1183" s="8"/>
      <c r="AJ1183" s="8"/>
      <c r="AK1183" s="8">
        <v>5</v>
      </c>
      <c r="AL1183" s="8">
        <v>5</v>
      </c>
      <c r="AM1183" s="8"/>
      <c r="AN1183" s="8">
        <v>848</v>
      </c>
      <c r="AO1183" s="8" t="s">
        <v>56</v>
      </c>
      <c r="AP1183" s="8" t="s">
        <v>56</v>
      </c>
      <c r="AQ1183" s="8" t="s">
        <v>57</v>
      </c>
      <c r="AR1183" s="8">
        <v>7.8</v>
      </c>
      <c r="AS1183" s="8" t="s">
        <v>56</v>
      </c>
      <c r="AT1183" s="8" t="s">
        <v>56</v>
      </c>
      <c r="AU1183" s="8">
        <v>1350</v>
      </c>
      <c r="AV1183" t="s">
        <v>56</v>
      </c>
      <c r="AW1183" t="s">
        <v>56</v>
      </c>
      <c r="AX1183">
        <v>7.62</v>
      </c>
      <c r="AY1183" t="s">
        <v>56</v>
      </c>
      <c r="AZ1183" t="s">
        <v>56</v>
      </c>
      <c r="BA1183" s="8"/>
      <c r="BB1183" s="8">
        <f>LOG(AU1183)</f>
        <v>3.1303337684950061</v>
      </c>
      <c r="BC1183" s="8">
        <v>15</v>
      </c>
      <c r="BD1183" s="8" t="s">
        <v>56</v>
      </c>
      <c r="BE1183" s="8" t="s">
        <v>56</v>
      </c>
      <c r="BF1183" s="8">
        <v>15</v>
      </c>
      <c r="BG1183" s="8" t="s">
        <v>56</v>
      </c>
      <c r="BH1183" s="8" t="s">
        <v>56</v>
      </c>
      <c r="BI1183" s="8">
        <v>502</v>
      </c>
      <c r="BJ1183" s="8">
        <v>0</v>
      </c>
      <c r="BK1183" s="8" t="s">
        <v>517</v>
      </c>
      <c r="BL1183" s="8" t="s">
        <v>519</v>
      </c>
      <c r="BM1183" s="8" t="s">
        <v>90</v>
      </c>
      <c r="BN1183" s="8" t="s">
        <v>81</v>
      </c>
      <c r="BO1183" s="8" t="s">
        <v>91</v>
      </c>
      <c r="BP1183" s="8" t="s">
        <v>92</v>
      </c>
      <c r="BQ1183" s="8" t="s">
        <v>204</v>
      </c>
      <c r="BR1183" s="8" t="s">
        <v>63</v>
      </c>
      <c r="BS1183" s="8"/>
      <c r="BT1183" s="8">
        <v>141.35</v>
      </c>
      <c r="BU1183" s="8">
        <v>141.349693</v>
      </c>
      <c r="BV1183" s="8">
        <v>1.84</v>
      </c>
      <c r="BW1183" s="8">
        <f>BV1183*SQRT(AK1183)</f>
        <v>4.1143650785996133</v>
      </c>
      <c r="BX1183" s="8">
        <v>142.44999999999999</v>
      </c>
      <c r="BY1183" s="8">
        <v>142.4539877</v>
      </c>
      <c r="BZ1183" s="8">
        <v>3.04</v>
      </c>
      <c r="CA1183" s="8">
        <f>BZ1183*SQRT(AL1183)</f>
        <v>6.7976466515993614</v>
      </c>
      <c r="CB1183" s="8">
        <v>3</v>
      </c>
      <c r="CC1183" s="8">
        <v>5</v>
      </c>
      <c r="CD1183" s="8">
        <v>8.0000000000000002E-3</v>
      </c>
      <c r="CE1183" s="8">
        <v>5.9999999999999995E-4</v>
      </c>
      <c r="CF1183" s="8" t="s">
        <v>1134</v>
      </c>
    </row>
    <row r="1184" spans="1:84" hidden="1" x14ac:dyDescent="0.2">
      <c r="A1184" s="8"/>
      <c r="B1184" t="str">
        <f>ROW()-1&amp;"_AltersInvert"</f>
        <v>1183_AltersInvert</v>
      </c>
      <c r="C1184" t="str">
        <f>D1184&amp;"_"&amp;
SUBSTITUTE(TRIM(V1184)," ","_")&amp;"_"&amp;
TRIM(AC1184)&amp;"_"&amp;
"CO2"&amp;TEXT(AN1184,"0.00")&amp;"_"&amp;
"pH"&amp;TEXT(AR1184,"0.00")&amp;"_"&amp;
"T"&amp;TEXT(BC1184,"0.##")</f>
        <v>49_Limecola_balthica_EMBRYO_CO2848.00_pH7.80_T15.</v>
      </c>
      <c r="D1184" s="8">
        <v>49</v>
      </c>
      <c r="E1184" s="8"/>
      <c r="F1184" s="8"/>
      <c r="G1184" s="8" t="s">
        <v>43</v>
      </c>
      <c r="H1184" s="8" t="s">
        <v>512</v>
      </c>
      <c r="I1184" s="8" t="s">
        <v>1130</v>
      </c>
      <c r="J1184" s="8">
        <v>2018</v>
      </c>
      <c r="K1184" s="8"/>
      <c r="L1184" s="8"/>
      <c r="M1184" s="8" t="s">
        <v>513</v>
      </c>
      <c r="N1184" s="8"/>
      <c r="O1184" s="8"/>
      <c r="P1184" t="s">
        <v>1135</v>
      </c>
      <c r="Q1184" s="8"/>
      <c r="R1184" s="8" t="s">
        <v>1127</v>
      </c>
      <c r="S1184" t="s">
        <v>1128</v>
      </c>
      <c r="T1184" s="8" t="s">
        <v>68</v>
      </c>
      <c r="U1184" s="8" t="s">
        <v>514</v>
      </c>
      <c r="V1184" s="8" t="s">
        <v>515</v>
      </c>
      <c r="W1184" s="8" t="str">
        <f>IF(ISNUMBER(MATCH(V578,{"Doryteuthis pealeii","Loligo vulgaris","Leptuca thayeri","Stylocheilus striatus","Ophryotrocha labronica"},0)),"N","Y")</f>
        <v>Y</v>
      </c>
      <c r="X1184" s="8"/>
      <c r="Y1184" s="8"/>
      <c r="Z1184" s="8" t="s">
        <v>49</v>
      </c>
      <c r="AA1184" s="8" t="s">
        <v>49</v>
      </c>
      <c r="AB1184" s="8" t="s">
        <v>71</v>
      </c>
      <c r="AC1184" s="8" t="s">
        <v>195</v>
      </c>
      <c r="AD1184" s="8" t="s">
        <v>52</v>
      </c>
      <c r="AE1184" s="8" t="s">
        <v>53</v>
      </c>
      <c r="AF1184" s="8" t="s">
        <v>54</v>
      </c>
      <c r="AG1184" s="8" t="s">
        <v>52</v>
      </c>
      <c r="AH1184" s="8" t="s">
        <v>65</v>
      </c>
      <c r="AI1184" s="8"/>
      <c r="AJ1184" s="8"/>
      <c r="AK1184" s="8">
        <v>5</v>
      </c>
      <c r="AL1184" s="8">
        <v>5</v>
      </c>
      <c r="AM1184" s="8"/>
      <c r="AN1184" s="8">
        <v>848</v>
      </c>
      <c r="AO1184" s="8" t="s">
        <v>56</v>
      </c>
      <c r="AP1184" s="8" t="s">
        <v>56</v>
      </c>
      <c r="AQ1184" s="8" t="s">
        <v>57</v>
      </c>
      <c r="AR1184" s="8">
        <v>7.8</v>
      </c>
      <c r="AS1184" s="8" t="s">
        <v>56</v>
      </c>
      <c r="AT1184" s="8" t="s">
        <v>56</v>
      </c>
      <c r="AU1184" s="8">
        <v>997</v>
      </c>
      <c r="AV1184" t="s">
        <v>56</v>
      </c>
      <c r="AW1184" t="s">
        <v>56</v>
      </c>
      <c r="AX1184">
        <v>7.79</v>
      </c>
      <c r="AY1184" t="s">
        <v>56</v>
      </c>
      <c r="AZ1184" t="s">
        <v>56</v>
      </c>
      <c r="BA1184" s="8"/>
      <c r="BB1184" s="8">
        <f>LOG(AU1184)</f>
        <v>2.9986951583116559</v>
      </c>
      <c r="BC1184" s="8">
        <v>15</v>
      </c>
      <c r="BD1184" s="8" t="s">
        <v>56</v>
      </c>
      <c r="BE1184" s="8" t="s">
        <v>56</v>
      </c>
      <c r="BF1184" s="8">
        <v>18</v>
      </c>
      <c r="BG1184" s="8" t="s">
        <v>56</v>
      </c>
      <c r="BH1184" s="8" t="s">
        <v>56</v>
      </c>
      <c r="BI1184" s="8">
        <v>149</v>
      </c>
      <c r="BJ1184" s="8">
        <v>3</v>
      </c>
      <c r="BK1184" s="8" t="s">
        <v>517</v>
      </c>
      <c r="BL1184" s="8" t="s">
        <v>519</v>
      </c>
      <c r="BM1184" s="8" t="s">
        <v>90</v>
      </c>
      <c r="BN1184" s="8" t="s">
        <v>81</v>
      </c>
      <c r="BO1184" s="8" t="s">
        <v>91</v>
      </c>
      <c r="BP1184" s="8" t="s">
        <v>92</v>
      </c>
      <c r="BQ1184" s="8" t="s">
        <v>9</v>
      </c>
      <c r="BR1184" s="8" t="s">
        <v>63</v>
      </c>
      <c r="BS1184" s="8"/>
      <c r="BT1184" s="8">
        <v>141.35</v>
      </c>
      <c r="BU1184" s="8">
        <v>141.349693</v>
      </c>
      <c r="BV1184" s="8">
        <v>1.84</v>
      </c>
      <c r="BW1184" s="8">
        <f>BV1184*SQRT(AK1184)</f>
        <v>4.1143650785996133</v>
      </c>
      <c r="BX1184" s="8">
        <v>138.4</v>
      </c>
      <c r="BY1184" s="8">
        <v>138.40490800000001</v>
      </c>
      <c r="BZ1184" s="8">
        <v>1.56</v>
      </c>
      <c r="CA1184" s="8">
        <f>BZ1184*SQRT(AL1184)</f>
        <v>3.4882660448996723</v>
      </c>
      <c r="CB1184" s="8">
        <v>3</v>
      </c>
      <c r="CC1184" s="8">
        <v>5</v>
      </c>
      <c r="CD1184" s="8">
        <v>-2.1000000000000001E-2</v>
      </c>
      <c r="CE1184" s="8">
        <v>2.9999999999999997E-4</v>
      </c>
      <c r="CF1184" s="8" t="s">
        <v>1134</v>
      </c>
    </row>
    <row r="1185" spans="1:84" hidden="1" x14ac:dyDescent="0.2">
      <c r="A1185" s="8"/>
      <c r="B1185" t="str">
        <f>ROW()-1&amp;"_AltersInvert"</f>
        <v>1184_AltersInvert</v>
      </c>
      <c r="C1185" t="str">
        <f>D1185&amp;"_"&amp;
SUBSTITUTE(TRIM(V1185)," ","_")&amp;"_"&amp;
TRIM(AC1185)&amp;"_"&amp;
"CO2"&amp;TEXT(AN1185,"0.00")&amp;"_"&amp;
"pH"&amp;TEXT(AR1185,"0.00")&amp;"_"&amp;
"T"&amp;TEXT(BC1185,"0.##")</f>
        <v>49_Limecola_balthica_EMBRYO_CO2848.00_pH7.80_T15.</v>
      </c>
      <c r="D1185" s="8">
        <v>49</v>
      </c>
      <c r="E1185" s="8"/>
      <c r="F1185" s="8"/>
      <c r="G1185" s="8" t="s">
        <v>43</v>
      </c>
      <c r="H1185" s="8" t="s">
        <v>512</v>
      </c>
      <c r="I1185" s="8" t="s">
        <v>1130</v>
      </c>
      <c r="J1185" s="8">
        <v>2018</v>
      </c>
      <c r="K1185" s="8"/>
      <c r="L1185" s="8"/>
      <c r="M1185" s="8" t="s">
        <v>513</v>
      </c>
      <c r="N1185" s="8"/>
      <c r="O1185" s="8"/>
      <c r="P1185" t="s">
        <v>1135</v>
      </c>
      <c r="Q1185" s="8"/>
      <c r="R1185" s="8" t="s">
        <v>1127</v>
      </c>
      <c r="S1185" t="s">
        <v>1128</v>
      </c>
      <c r="T1185" s="8" t="s">
        <v>68</v>
      </c>
      <c r="U1185" s="8" t="s">
        <v>514</v>
      </c>
      <c r="V1185" s="8" t="s">
        <v>515</v>
      </c>
      <c r="W1185" s="8" t="str">
        <f>IF(ISNUMBER(MATCH(V579,{"Doryteuthis pealeii","Loligo vulgaris","Leptuca thayeri","Stylocheilus striatus","Ophryotrocha labronica"},0)),"N","Y")</f>
        <v>Y</v>
      </c>
      <c r="X1185" s="8"/>
      <c r="Y1185" s="8"/>
      <c r="Z1185" s="8" t="s">
        <v>49</v>
      </c>
      <c r="AA1185" s="8" t="s">
        <v>49</v>
      </c>
      <c r="AB1185" s="8" t="s">
        <v>71</v>
      </c>
      <c r="AC1185" s="8" t="s">
        <v>195</v>
      </c>
      <c r="AD1185" s="8" t="s">
        <v>52</v>
      </c>
      <c r="AE1185" s="8" t="s">
        <v>53</v>
      </c>
      <c r="AF1185" s="8" t="s">
        <v>52</v>
      </c>
      <c r="AG1185" s="8" t="s">
        <v>52</v>
      </c>
      <c r="AH1185" s="8" t="s">
        <v>64</v>
      </c>
      <c r="AI1185" s="8"/>
      <c r="AJ1185" s="8"/>
      <c r="AK1185" s="8">
        <v>5</v>
      </c>
      <c r="AL1185" s="8">
        <v>5</v>
      </c>
      <c r="AM1185" s="8"/>
      <c r="AN1185" s="8">
        <v>848</v>
      </c>
      <c r="AO1185" s="8" t="s">
        <v>56</v>
      </c>
      <c r="AP1185" s="8" t="s">
        <v>56</v>
      </c>
      <c r="AQ1185" s="8" t="s">
        <v>57</v>
      </c>
      <c r="AR1185" s="8">
        <v>7.8</v>
      </c>
      <c r="AS1185" s="8" t="s">
        <v>56</v>
      </c>
      <c r="AT1185" s="8" t="s">
        <v>56</v>
      </c>
      <c r="AU1185" s="8">
        <v>2478</v>
      </c>
      <c r="AV1185" t="s">
        <v>56</v>
      </c>
      <c r="AW1185" t="s">
        <v>56</v>
      </c>
      <c r="AX1185">
        <v>7.43</v>
      </c>
      <c r="AY1185" t="s">
        <v>56</v>
      </c>
      <c r="AZ1185" t="s">
        <v>56</v>
      </c>
      <c r="BA1185" s="8"/>
      <c r="BB1185" s="8">
        <f>LOG(AU1185)</f>
        <v>3.3941013020400446</v>
      </c>
      <c r="BC1185" s="8">
        <v>15</v>
      </c>
      <c r="BD1185" s="8" t="s">
        <v>56</v>
      </c>
      <c r="BE1185" s="8" t="s">
        <v>56</v>
      </c>
      <c r="BF1185" s="8">
        <v>18</v>
      </c>
      <c r="BG1185" s="8" t="s">
        <v>56</v>
      </c>
      <c r="BH1185" s="8" t="s">
        <v>56</v>
      </c>
      <c r="BI1185" s="8">
        <v>1630</v>
      </c>
      <c r="BJ1185" s="8">
        <v>3</v>
      </c>
      <c r="BK1185" s="8" t="s">
        <v>517</v>
      </c>
      <c r="BL1185" s="8" t="s">
        <v>519</v>
      </c>
      <c r="BM1185" s="8" t="s">
        <v>90</v>
      </c>
      <c r="BN1185" s="8" t="s">
        <v>81</v>
      </c>
      <c r="BO1185" s="8" t="s">
        <v>91</v>
      </c>
      <c r="BP1185" s="8" t="s">
        <v>92</v>
      </c>
      <c r="BQ1185" s="8" t="s">
        <v>9</v>
      </c>
      <c r="BR1185" s="8" t="s">
        <v>63</v>
      </c>
      <c r="BS1185" s="8"/>
      <c r="BT1185" s="8">
        <v>141.35</v>
      </c>
      <c r="BU1185" s="8">
        <v>141.349693</v>
      </c>
      <c r="BV1185" s="8">
        <v>1.84</v>
      </c>
      <c r="BW1185" s="8">
        <f>BV1185*SQRT(AK1185)</f>
        <v>4.1143650785996133</v>
      </c>
      <c r="BX1185" s="8">
        <v>138.5</v>
      </c>
      <c r="BY1185" s="8">
        <v>138.49693250000001</v>
      </c>
      <c r="BZ1185" s="8">
        <v>4.42</v>
      </c>
      <c r="CA1185" s="8">
        <f>BZ1185*SQRT(AL1185)</f>
        <v>9.8834204605490701</v>
      </c>
      <c r="CB1185" s="8">
        <v>3</v>
      </c>
      <c r="CC1185" s="8">
        <v>5</v>
      </c>
      <c r="CD1185" s="8">
        <v>-0.02</v>
      </c>
      <c r="CE1185" s="8">
        <v>1.1999999999999999E-3</v>
      </c>
      <c r="CF1185" s="8" t="s">
        <v>1134</v>
      </c>
    </row>
    <row r="1186" spans="1:84" hidden="1" x14ac:dyDescent="0.2">
      <c r="A1186" s="8"/>
      <c r="B1186" t="str">
        <f>ROW()-1&amp;"_AltersInvert"</f>
        <v>1185_AltersInvert</v>
      </c>
      <c r="C1186" t="str">
        <f>D1186&amp;"_"&amp;
SUBSTITUTE(TRIM(V1186)," ","_")&amp;"_"&amp;
TRIM(AC1186)&amp;"_"&amp;
"CO2"&amp;TEXT(AN1186,"0.00")&amp;"_"&amp;
"pH"&amp;TEXT(AR1186,"0.00")&amp;"_"&amp;
"T"&amp;TEXT(BC1186,"0.##")</f>
        <v>49_Limecola_balthica_EMBRYO_CO2848.00_pH7.80_T15.</v>
      </c>
      <c r="D1186" s="8">
        <v>49</v>
      </c>
      <c r="E1186" s="8"/>
      <c r="F1186" s="8"/>
      <c r="G1186" s="8" t="s">
        <v>43</v>
      </c>
      <c r="H1186" s="8" t="s">
        <v>512</v>
      </c>
      <c r="I1186" s="8" t="s">
        <v>1130</v>
      </c>
      <c r="J1186" s="8">
        <v>2018</v>
      </c>
      <c r="K1186" s="8"/>
      <c r="L1186" s="8"/>
      <c r="M1186" s="8" t="s">
        <v>513</v>
      </c>
      <c r="N1186" s="8"/>
      <c r="O1186" s="8"/>
      <c r="P1186" t="s">
        <v>1135</v>
      </c>
      <c r="Q1186" s="8"/>
      <c r="R1186" s="8" t="s">
        <v>1127</v>
      </c>
      <c r="S1186" t="s">
        <v>1128</v>
      </c>
      <c r="T1186" s="8" t="s">
        <v>68</v>
      </c>
      <c r="U1186" s="8" t="s">
        <v>514</v>
      </c>
      <c r="V1186" s="8" t="s">
        <v>515</v>
      </c>
      <c r="W1186" s="8" t="str">
        <f>IF(ISNUMBER(MATCH(V580,{"Doryteuthis pealeii","Loligo vulgaris","Leptuca thayeri","Stylocheilus striatus","Ophryotrocha labronica"},0)),"N","Y")</f>
        <v>Y</v>
      </c>
      <c r="X1186" s="8"/>
      <c r="Y1186" s="8"/>
      <c r="Z1186" s="8" t="s">
        <v>49</v>
      </c>
      <c r="AA1186" s="8" t="s">
        <v>49</v>
      </c>
      <c r="AB1186" s="8" t="s">
        <v>71</v>
      </c>
      <c r="AC1186" s="8" t="s">
        <v>195</v>
      </c>
      <c r="AD1186" s="8" t="s">
        <v>52</v>
      </c>
      <c r="AE1186" s="8" t="s">
        <v>53</v>
      </c>
      <c r="AF1186" s="8" t="s">
        <v>52</v>
      </c>
      <c r="AG1186" s="8" t="s">
        <v>52</v>
      </c>
      <c r="AH1186" s="8" t="s">
        <v>64</v>
      </c>
      <c r="AI1186" s="8"/>
      <c r="AJ1186" s="8"/>
      <c r="AK1186" s="8">
        <v>5</v>
      </c>
      <c r="AL1186" s="8">
        <v>5</v>
      </c>
      <c r="AM1186" s="8"/>
      <c r="AN1186" s="8">
        <v>848</v>
      </c>
      <c r="AO1186" s="8" t="s">
        <v>56</v>
      </c>
      <c r="AP1186" s="8" t="s">
        <v>56</v>
      </c>
      <c r="AQ1186" s="8" t="s">
        <v>57</v>
      </c>
      <c r="AR1186" s="8">
        <v>7.8</v>
      </c>
      <c r="AS1186" s="8" t="s">
        <v>56</v>
      </c>
      <c r="AT1186" s="8" t="s">
        <v>56</v>
      </c>
      <c r="AU1186" s="8">
        <v>2180</v>
      </c>
      <c r="AV1186" t="s">
        <v>56</v>
      </c>
      <c r="AW1186" t="s">
        <v>56</v>
      </c>
      <c r="AX1186">
        <v>7.48</v>
      </c>
      <c r="AY1186" t="s">
        <v>56</v>
      </c>
      <c r="AZ1186" t="s">
        <v>56</v>
      </c>
      <c r="BA1186" s="8"/>
      <c r="BB1186" s="8">
        <f>LOG(AU1186)</f>
        <v>3.3384564936046046</v>
      </c>
      <c r="BC1186" s="8">
        <v>15</v>
      </c>
      <c r="BD1186" s="8" t="s">
        <v>56</v>
      </c>
      <c r="BE1186" s="8" t="s">
        <v>56</v>
      </c>
      <c r="BF1186" s="8">
        <v>18</v>
      </c>
      <c r="BG1186" s="8" t="s">
        <v>56</v>
      </c>
      <c r="BH1186" s="8" t="s">
        <v>56</v>
      </c>
      <c r="BI1186" s="8">
        <v>1332</v>
      </c>
      <c r="BJ1186" s="8">
        <v>3</v>
      </c>
      <c r="BK1186" s="8" t="s">
        <v>517</v>
      </c>
      <c r="BL1186" s="8" t="s">
        <v>519</v>
      </c>
      <c r="BM1186" s="8" t="s">
        <v>90</v>
      </c>
      <c r="BN1186" s="8" t="s">
        <v>81</v>
      </c>
      <c r="BO1186" s="8" t="s">
        <v>91</v>
      </c>
      <c r="BP1186" s="8" t="s">
        <v>92</v>
      </c>
      <c r="BQ1186" s="8" t="s">
        <v>190</v>
      </c>
      <c r="BR1186" s="8" t="s">
        <v>63</v>
      </c>
      <c r="BS1186" s="8"/>
      <c r="BT1186" s="8">
        <v>141.35</v>
      </c>
      <c r="BU1186" s="8">
        <v>141.349693</v>
      </c>
      <c r="BV1186" s="8">
        <v>1.84</v>
      </c>
      <c r="BW1186" s="8">
        <f>BV1186*SQRT(AK1186)</f>
        <v>4.1143650785996133</v>
      </c>
      <c r="BX1186" s="8">
        <v>139.79</v>
      </c>
      <c r="BY1186" s="8">
        <v>139.7852761</v>
      </c>
      <c r="BZ1186" s="8">
        <v>2.02</v>
      </c>
      <c r="CA1186" s="8">
        <f>BZ1186*SQRT(AL1186)</f>
        <v>4.5168573145495756</v>
      </c>
      <c r="CB1186" s="8">
        <v>3</v>
      </c>
      <c r="CC1186" s="8">
        <v>5</v>
      </c>
      <c r="CD1186" s="8">
        <v>-1.0999999999999999E-2</v>
      </c>
      <c r="CE1186" s="8">
        <v>4.0000000000000002E-4</v>
      </c>
      <c r="CF1186" s="8" t="s">
        <v>1134</v>
      </c>
    </row>
    <row r="1187" spans="1:84" hidden="1" x14ac:dyDescent="0.2">
      <c r="A1187" s="8"/>
      <c r="B1187" t="str">
        <f>ROW()-1&amp;"_AltersInvert"</f>
        <v>1186_AltersInvert</v>
      </c>
      <c r="C1187" t="str">
        <f>D1187&amp;"_"&amp;
SUBSTITUTE(TRIM(V1187)," ","_")&amp;"_"&amp;
TRIM(AC1187)&amp;"_"&amp;
"CO2"&amp;TEXT(AN1187,"0.00")&amp;"_"&amp;
"pH"&amp;TEXT(AR1187,"0.00")&amp;"_"&amp;
"T"&amp;TEXT(BC1187,"0.##")</f>
        <v>49_Limecola_balthica_EMBRYO_CO2848.00_pH7.80_T15.</v>
      </c>
      <c r="D1187" s="8">
        <v>49</v>
      </c>
      <c r="E1187" s="8"/>
      <c r="F1187" s="8"/>
      <c r="G1187" s="8" t="s">
        <v>43</v>
      </c>
      <c r="H1187" s="8" t="s">
        <v>512</v>
      </c>
      <c r="I1187" s="8" t="s">
        <v>1130</v>
      </c>
      <c r="J1187" s="8">
        <v>2018</v>
      </c>
      <c r="K1187" s="8"/>
      <c r="L1187" s="8"/>
      <c r="M1187" s="8" t="s">
        <v>513</v>
      </c>
      <c r="N1187" s="8"/>
      <c r="O1187" s="8"/>
      <c r="P1187" t="s">
        <v>1135</v>
      </c>
      <c r="Q1187" s="8"/>
      <c r="R1187" s="8" t="s">
        <v>1127</v>
      </c>
      <c r="S1187" t="s">
        <v>1128</v>
      </c>
      <c r="T1187" s="8" t="s">
        <v>68</v>
      </c>
      <c r="U1187" s="8" t="s">
        <v>514</v>
      </c>
      <c r="V1187" s="8" t="s">
        <v>515</v>
      </c>
      <c r="W1187" s="8" t="str">
        <f>IF(ISNUMBER(MATCH(V581,{"Doryteuthis pealeii","Loligo vulgaris","Leptuca thayeri","Stylocheilus striatus","Ophryotrocha labronica"},0)),"N","Y")</f>
        <v>Y</v>
      </c>
      <c r="X1187" s="8"/>
      <c r="Y1187" s="8"/>
      <c r="Z1187" s="8" t="s">
        <v>49</v>
      </c>
      <c r="AA1187" s="8" t="s">
        <v>49</v>
      </c>
      <c r="AB1187" s="8" t="s">
        <v>71</v>
      </c>
      <c r="AC1187" s="8" t="s">
        <v>195</v>
      </c>
      <c r="AD1187" s="8" t="s">
        <v>52</v>
      </c>
      <c r="AE1187" s="8" t="s">
        <v>53</v>
      </c>
      <c r="AF1187" s="8" t="s">
        <v>52</v>
      </c>
      <c r="AG1187" s="8" t="s">
        <v>52</v>
      </c>
      <c r="AH1187" s="8" t="s">
        <v>64</v>
      </c>
      <c r="AI1187" s="8"/>
      <c r="AJ1187" s="8"/>
      <c r="AK1187" s="8">
        <v>5</v>
      </c>
      <c r="AL1187" s="8">
        <v>5</v>
      </c>
      <c r="AM1187" s="8"/>
      <c r="AN1187" s="8">
        <v>848</v>
      </c>
      <c r="AO1187" s="8" t="s">
        <v>56</v>
      </c>
      <c r="AP1187" s="8" t="s">
        <v>56</v>
      </c>
      <c r="AQ1187" s="8" t="s">
        <v>57</v>
      </c>
      <c r="AR1187" s="8">
        <v>7.8</v>
      </c>
      <c r="AS1187" s="8" t="s">
        <v>56</v>
      </c>
      <c r="AT1187" s="8" t="s">
        <v>56</v>
      </c>
      <c r="AU1187" s="8">
        <v>1667</v>
      </c>
      <c r="AV1187" t="s">
        <v>56</v>
      </c>
      <c r="AW1187" t="s">
        <v>56</v>
      </c>
      <c r="AX1187">
        <v>7.59</v>
      </c>
      <c r="AY1187" t="s">
        <v>56</v>
      </c>
      <c r="AZ1187" t="s">
        <v>56</v>
      </c>
      <c r="BA1187" s="8"/>
      <c r="BB1187" s="8">
        <f>LOG(AU1187)</f>
        <v>3.2219355998280053</v>
      </c>
      <c r="BC1187" s="8">
        <v>15</v>
      </c>
      <c r="BD1187" s="8" t="s">
        <v>56</v>
      </c>
      <c r="BE1187" s="8" t="s">
        <v>56</v>
      </c>
      <c r="BF1187" s="8">
        <v>18</v>
      </c>
      <c r="BG1187" s="8" t="s">
        <v>56</v>
      </c>
      <c r="BH1187" s="8" t="s">
        <v>56</v>
      </c>
      <c r="BI1187" s="8">
        <v>818</v>
      </c>
      <c r="BJ1187" s="8">
        <v>3</v>
      </c>
      <c r="BK1187" s="8" t="s">
        <v>517</v>
      </c>
      <c r="BL1187" s="8" t="s">
        <v>519</v>
      </c>
      <c r="BM1187" s="8" t="s">
        <v>90</v>
      </c>
      <c r="BN1187" s="8" t="s">
        <v>81</v>
      </c>
      <c r="BO1187" s="8" t="s">
        <v>91</v>
      </c>
      <c r="BP1187" s="8" t="s">
        <v>92</v>
      </c>
      <c r="BQ1187" s="8" t="s">
        <v>190</v>
      </c>
      <c r="BR1187" s="8" t="s">
        <v>63</v>
      </c>
      <c r="BS1187" s="8"/>
      <c r="BT1187" s="8">
        <v>141.35</v>
      </c>
      <c r="BU1187" s="8">
        <v>141.349693</v>
      </c>
      <c r="BV1187" s="8">
        <v>1.84</v>
      </c>
      <c r="BW1187" s="8">
        <f>BV1187*SQRT(AK1187)</f>
        <v>4.1143650785996133</v>
      </c>
      <c r="BX1187" s="8">
        <v>139.97</v>
      </c>
      <c r="BY1187" s="8">
        <v>139.96932519999999</v>
      </c>
      <c r="BZ1187" s="8">
        <v>1.2</v>
      </c>
      <c r="CA1187" s="8">
        <f>BZ1187*SQRT(AL1187)</f>
        <v>2.6832815729997477</v>
      </c>
      <c r="CB1187" s="8">
        <v>3</v>
      </c>
      <c r="CC1187" s="8">
        <v>5</v>
      </c>
      <c r="CD1187" s="8">
        <v>-0.01</v>
      </c>
      <c r="CE1187" s="8">
        <v>2.0000000000000001E-4</v>
      </c>
      <c r="CF1187" s="8" t="s">
        <v>1134</v>
      </c>
    </row>
    <row r="1188" spans="1:84" s="8" customFormat="1" hidden="1" x14ac:dyDescent="0.2">
      <c r="B1188" t="str">
        <f>ROW()-1&amp;"_AltersInvert"</f>
        <v>1187_AltersInvert</v>
      </c>
      <c r="C1188" t="str">
        <f>D1188&amp;"_"&amp;
SUBSTITUTE(TRIM(V1188)," ","_")&amp;"_"&amp;
TRIM(AC1188)&amp;"_"&amp;
"CO2"&amp;TEXT(AN1188,"0.00")&amp;"_"&amp;
"pH"&amp;TEXT(AR1188,"0.00")&amp;"_"&amp;
"T"&amp;TEXT(BC1188,"0.##")</f>
        <v>49_Limecola_balthica_EMBRYO_CO2848.00_pH7.80_T15.</v>
      </c>
      <c r="D1188" s="8">
        <v>49</v>
      </c>
      <c r="G1188" s="8" t="s">
        <v>43</v>
      </c>
      <c r="H1188" s="8" t="s">
        <v>512</v>
      </c>
      <c r="I1188" s="8" t="s">
        <v>1130</v>
      </c>
      <c r="J1188" s="8">
        <v>2018</v>
      </c>
      <c r="M1188" s="8" t="s">
        <v>513</v>
      </c>
      <c r="P1188" t="s">
        <v>1135</v>
      </c>
      <c r="R1188" s="8" t="s">
        <v>1127</v>
      </c>
      <c r="S1188" t="s">
        <v>1128</v>
      </c>
      <c r="T1188" s="8" t="s">
        <v>68</v>
      </c>
      <c r="U1188" s="8" t="s">
        <v>514</v>
      </c>
      <c r="V1188" s="8" t="s">
        <v>515</v>
      </c>
      <c r="W1188" s="8" t="str">
        <f>IF(ISNUMBER(MATCH(V582,{"Doryteuthis pealeii","Loligo vulgaris","Leptuca thayeri","Stylocheilus striatus","Ophryotrocha labronica"},0)),"N","Y")</f>
        <v>Y</v>
      </c>
      <c r="Z1188" s="8" t="s">
        <v>49</v>
      </c>
      <c r="AA1188" s="8" t="s">
        <v>49</v>
      </c>
      <c r="AB1188" s="8" t="s">
        <v>71</v>
      </c>
      <c r="AC1188" s="8" t="s">
        <v>195</v>
      </c>
      <c r="AD1188" s="8" t="s">
        <v>52</v>
      </c>
      <c r="AE1188" s="8" t="s">
        <v>53</v>
      </c>
      <c r="AF1188" s="8" t="s">
        <v>52</v>
      </c>
      <c r="AG1188" s="8" t="s">
        <v>52</v>
      </c>
      <c r="AH1188" s="8" t="s">
        <v>64</v>
      </c>
      <c r="AK1188" s="8">
        <v>5</v>
      </c>
      <c r="AL1188" s="8">
        <v>5</v>
      </c>
      <c r="AN1188" s="8">
        <v>848</v>
      </c>
      <c r="AO1188" s="8" t="s">
        <v>56</v>
      </c>
      <c r="AP1188" s="8" t="s">
        <v>56</v>
      </c>
      <c r="AQ1188" s="8" t="s">
        <v>57</v>
      </c>
      <c r="AR1188" s="8">
        <v>7.8</v>
      </c>
      <c r="AS1188" s="8" t="s">
        <v>56</v>
      </c>
      <c r="AT1188" s="8" t="s">
        <v>56</v>
      </c>
      <c r="AU1188" s="8">
        <v>1304</v>
      </c>
      <c r="AV1188" t="s">
        <v>56</v>
      </c>
      <c r="AW1188" t="s">
        <v>56</v>
      </c>
      <c r="AX1188">
        <v>7.68</v>
      </c>
      <c r="AY1188" t="s">
        <v>56</v>
      </c>
      <c r="AZ1188" t="s">
        <v>56</v>
      </c>
      <c r="BB1188" s="8">
        <f>LOG(AU1188)</f>
        <v>3.1152775913959014</v>
      </c>
      <c r="BC1188" s="8">
        <v>15</v>
      </c>
      <c r="BD1188" s="8" t="s">
        <v>56</v>
      </c>
      <c r="BE1188" s="8" t="s">
        <v>56</v>
      </c>
      <c r="BF1188" s="8">
        <v>18</v>
      </c>
      <c r="BG1188" s="8" t="s">
        <v>56</v>
      </c>
      <c r="BH1188" s="8" t="s">
        <v>56</v>
      </c>
      <c r="BI1188" s="8">
        <v>456</v>
      </c>
      <c r="BJ1188" s="8">
        <v>3</v>
      </c>
      <c r="BK1188" s="8" t="s">
        <v>517</v>
      </c>
      <c r="BL1188" s="8" t="s">
        <v>519</v>
      </c>
      <c r="BM1188" s="8" t="s">
        <v>90</v>
      </c>
      <c r="BN1188" s="8" t="s">
        <v>81</v>
      </c>
      <c r="BO1188" s="8" t="s">
        <v>91</v>
      </c>
      <c r="BP1188" s="8" t="s">
        <v>92</v>
      </c>
      <c r="BQ1188" s="8" t="s">
        <v>83</v>
      </c>
      <c r="BR1188" s="8" t="s">
        <v>63</v>
      </c>
      <c r="BT1188" s="8">
        <v>141.35</v>
      </c>
      <c r="BU1188" s="8">
        <v>141.349693</v>
      </c>
      <c r="BV1188" s="8">
        <v>1.84</v>
      </c>
      <c r="BW1188" s="8">
        <f>BV1188*SQRT(AK1188)</f>
        <v>4.1143650785996133</v>
      </c>
      <c r="BX1188" s="8">
        <v>140.71</v>
      </c>
      <c r="BY1188" s="8">
        <v>140.7055215</v>
      </c>
      <c r="BZ1188" s="8">
        <v>1.66</v>
      </c>
      <c r="CA1188" s="8">
        <f>BZ1188*SQRT(AL1188)</f>
        <v>3.711872842649651</v>
      </c>
      <c r="CB1188" s="8">
        <v>3</v>
      </c>
      <c r="CC1188" s="8">
        <v>5</v>
      </c>
      <c r="CD1188" s="8">
        <v>-5.0000000000000001E-3</v>
      </c>
      <c r="CE1188" s="8">
        <v>2.9999999999999997E-4</v>
      </c>
      <c r="CF1188" s="8" t="s">
        <v>1134</v>
      </c>
    </row>
    <row r="1189" spans="1:84" s="8" customFormat="1" hidden="1" x14ac:dyDescent="0.2">
      <c r="A1189"/>
      <c r="B1189" t="str">
        <f>ROW()-1&amp;"_AltersInvert"</f>
        <v>1188_AltersInvert</v>
      </c>
      <c r="C1189" t="str">
        <f>D1189&amp;"_"&amp;
SUBSTITUTE(TRIM(V1189)," ","_")&amp;"_"&amp;
TRIM(AC1189)&amp;"_"&amp;
"CO2"&amp;TEXT(AN1189,"0.00")&amp;"_"&amp;
"pH"&amp;TEXT(AR1189,"0.00")&amp;"_"&amp;
"T"&amp;TEXT(BC1189,"0.##")</f>
        <v>119_Amphibalanus_improvisus_LARVA_CO2414.00_pH8.11_T19.6</v>
      </c>
      <c r="D1189">
        <v>119</v>
      </c>
      <c r="E1189"/>
      <c r="F1189"/>
      <c r="G1189" t="s">
        <v>43</v>
      </c>
      <c r="H1189" t="s">
        <v>859</v>
      </c>
      <c r="I1189"/>
      <c r="J1189">
        <v>2012</v>
      </c>
      <c r="K1189"/>
      <c r="L1189"/>
      <c r="M1189" t="s">
        <v>45</v>
      </c>
      <c r="N1189"/>
      <c r="O1189"/>
      <c r="P1189" t="s">
        <v>1135</v>
      </c>
      <c r="Q1189"/>
      <c r="R1189" t="s">
        <v>1127</v>
      </c>
      <c r="S1189" t="s">
        <v>1128</v>
      </c>
      <c r="T1189" t="s">
        <v>131</v>
      </c>
      <c r="U1189" t="s">
        <v>860</v>
      </c>
      <c r="V1189" t="s">
        <v>861</v>
      </c>
      <c r="W1189"/>
      <c r="X1189"/>
      <c r="Y1189"/>
      <c r="Z1189" t="s">
        <v>49</v>
      </c>
      <c r="AA1189" t="s">
        <v>49</v>
      </c>
      <c r="AB1189" t="s">
        <v>71</v>
      </c>
      <c r="AC1189" t="s">
        <v>72</v>
      </c>
      <c r="AD1189" t="s">
        <v>52</v>
      </c>
      <c r="AE1189" t="s">
        <v>53</v>
      </c>
      <c r="AF1189" t="s">
        <v>52</v>
      </c>
      <c r="AG1189" t="s">
        <v>54</v>
      </c>
      <c r="AH1189" t="s">
        <v>55</v>
      </c>
      <c r="AI1189"/>
      <c r="AJ1189"/>
      <c r="AK1189">
        <v>6</v>
      </c>
      <c r="AL1189">
        <v>6</v>
      </c>
      <c r="AM1189"/>
      <c r="AN1189">
        <v>414</v>
      </c>
      <c r="AO1189" t="s">
        <v>56</v>
      </c>
      <c r="AP1189">
        <v>37</v>
      </c>
      <c r="AQ1189" t="s">
        <v>57</v>
      </c>
      <c r="AR1189">
        <v>8.11</v>
      </c>
      <c r="AS1189" t="s">
        <v>56</v>
      </c>
      <c r="AT1189">
        <v>0.08</v>
      </c>
      <c r="AU1189">
        <v>1282</v>
      </c>
      <c r="AV1189" t="s">
        <v>56</v>
      </c>
      <c r="AW1189">
        <v>49</v>
      </c>
      <c r="AX1189">
        <v>7.22</v>
      </c>
      <c r="AY1189"/>
      <c r="AZ1189">
        <v>0.03</v>
      </c>
      <c r="BA1189"/>
      <c r="BB1189">
        <f>LOG(AU1189)</f>
        <v>3.1078880251827985</v>
      </c>
      <c r="BC1189">
        <v>19.600000000000001</v>
      </c>
      <c r="BD1189" t="s">
        <v>56</v>
      </c>
      <c r="BE1189">
        <v>0.4</v>
      </c>
      <c r="BF1189">
        <v>19.600000000000001</v>
      </c>
      <c r="BG1189" t="s">
        <v>56</v>
      </c>
      <c r="BH1189">
        <v>0.4</v>
      </c>
      <c r="BI1189">
        <v>869</v>
      </c>
      <c r="BJ1189">
        <v>0</v>
      </c>
      <c r="BK1189" t="s">
        <v>56</v>
      </c>
      <c r="BL1189" t="s">
        <v>862</v>
      </c>
      <c r="BM1189" t="s">
        <v>249</v>
      </c>
      <c r="BN1189" t="s">
        <v>60</v>
      </c>
      <c r="BO1189" t="s">
        <v>250</v>
      </c>
      <c r="BP1189" t="s">
        <v>9</v>
      </c>
      <c r="BQ1189" t="s">
        <v>9</v>
      </c>
      <c r="BR1189" t="s">
        <v>63</v>
      </c>
      <c r="BS1189"/>
      <c r="BT1189">
        <v>17.62</v>
      </c>
      <c r="BU1189">
        <v>17.6199616</v>
      </c>
      <c r="BV1189">
        <v>1.73</v>
      </c>
      <c r="BW1189">
        <f>BV1189*SQRT(AK1189)</f>
        <v>4.2376172550148974</v>
      </c>
      <c r="BX1189">
        <v>18.43</v>
      </c>
      <c r="BY1189">
        <v>18.426103600000001</v>
      </c>
      <c r="BZ1189">
        <v>1.84</v>
      </c>
      <c r="CA1189">
        <f>BZ1189*SQRT(AL1189)</f>
        <v>4.5070611267210472</v>
      </c>
      <c r="CB1189">
        <v>30</v>
      </c>
      <c r="CC1189">
        <v>6</v>
      </c>
      <c r="CD1189">
        <v>4.4999999999999998E-2</v>
      </c>
      <c r="CE1189">
        <v>1.9599999999999999E-2</v>
      </c>
    </row>
    <row r="1190" spans="1:84" hidden="1" x14ac:dyDescent="0.2">
      <c r="B1190" t="str">
        <f>ROW()-1&amp;"_AltersInvert"</f>
        <v>1189_AltersInvert</v>
      </c>
      <c r="C1190" t="str">
        <f>D1190&amp;"_"&amp;
SUBSTITUTE(TRIM(V1190)," ","_")&amp;"_"&amp;
TRIM(AC1190)&amp;"_"&amp;
"CO2"&amp;TEXT(AN1190,"0.00")&amp;"_"&amp;
"pH"&amp;TEXT(AR1190,"0.00")&amp;"_"&amp;
"T"&amp;TEXT(BC1190,"0.##")</f>
        <v>119_Amphibalanus_improvisus_LARVA_CO2414.00_pH8.11_T19.6</v>
      </c>
      <c r="D1190">
        <v>119</v>
      </c>
      <c r="G1190" t="s">
        <v>43</v>
      </c>
      <c r="H1190" t="s">
        <v>859</v>
      </c>
      <c r="J1190">
        <v>2012</v>
      </c>
      <c r="M1190" t="s">
        <v>45</v>
      </c>
      <c r="P1190" t="s">
        <v>1135</v>
      </c>
      <c r="R1190" t="s">
        <v>1127</v>
      </c>
      <c r="S1190" t="s">
        <v>1128</v>
      </c>
      <c r="T1190" t="s">
        <v>131</v>
      </c>
      <c r="U1190" t="s">
        <v>860</v>
      </c>
      <c r="V1190" t="s">
        <v>861</v>
      </c>
      <c r="Z1190" t="s">
        <v>49</v>
      </c>
      <c r="AA1190" t="s">
        <v>49</v>
      </c>
      <c r="AB1190" t="s">
        <v>71</v>
      </c>
      <c r="AC1190" t="s">
        <v>72</v>
      </c>
      <c r="AD1190" t="s">
        <v>52</v>
      </c>
      <c r="AE1190" t="s">
        <v>53</v>
      </c>
      <c r="AF1190" t="s">
        <v>52</v>
      </c>
      <c r="AG1190" t="s">
        <v>54</v>
      </c>
      <c r="AH1190" t="s">
        <v>55</v>
      </c>
      <c r="AK1190">
        <v>6</v>
      </c>
      <c r="AL1190">
        <v>6</v>
      </c>
      <c r="AN1190">
        <v>414</v>
      </c>
      <c r="AO1190" t="s">
        <v>56</v>
      </c>
      <c r="AP1190">
        <v>37</v>
      </c>
      <c r="AQ1190" t="s">
        <v>57</v>
      </c>
      <c r="AR1190">
        <v>8.11</v>
      </c>
      <c r="AS1190" t="s">
        <v>56</v>
      </c>
      <c r="AT1190">
        <v>0.08</v>
      </c>
      <c r="AU1190">
        <v>3278</v>
      </c>
      <c r="AV1190" t="s">
        <v>56</v>
      </c>
      <c r="AW1190">
        <v>261</v>
      </c>
      <c r="AX1190">
        <v>7.32</v>
      </c>
      <c r="AY1190" t="s">
        <v>56</v>
      </c>
      <c r="AZ1190">
        <v>0.04</v>
      </c>
      <c r="BB1190">
        <f>LOG(AU1190)</f>
        <v>3.5156089492344802</v>
      </c>
      <c r="BC1190">
        <v>19.600000000000001</v>
      </c>
      <c r="BD1190" t="s">
        <v>56</v>
      </c>
      <c r="BE1190">
        <v>0.4</v>
      </c>
      <c r="BF1190">
        <v>19.600000000000001</v>
      </c>
      <c r="BG1190" t="s">
        <v>56</v>
      </c>
      <c r="BH1190">
        <v>0.4</v>
      </c>
      <c r="BI1190">
        <v>2865</v>
      </c>
      <c r="BJ1190">
        <v>0</v>
      </c>
      <c r="BK1190" t="s">
        <v>56</v>
      </c>
      <c r="BL1190" t="s">
        <v>862</v>
      </c>
      <c r="BM1190" t="s">
        <v>249</v>
      </c>
      <c r="BN1190" t="s">
        <v>60</v>
      </c>
      <c r="BO1190" t="s">
        <v>250</v>
      </c>
      <c r="BP1190" t="s">
        <v>9</v>
      </c>
      <c r="BQ1190" t="s">
        <v>9</v>
      </c>
      <c r="BR1190" t="s">
        <v>63</v>
      </c>
      <c r="BT1190">
        <v>17.62</v>
      </c>
      <c r="BU1190">
        <v>17.6199616</v>
      </c>
      <c r="BV1190">
        <v>1.73</v>
      </c>
      <c r="BW1190">
        <f>BV1190*SQRT(AK1190)</f>
        <v>4.2376172550148974</v>
      </c>
      <c r="BX1190">
        <v>18.89</v>
      </c>
      <c r="BY1190">
        <v>18.886756200000001</v>
      </c>
      <c r="BZ1190">
        <v>1.5</v>
      </c>
      <c r="CA1190">
        <f>BZ1190*SQRT(AL1190)</f>
        <v>3.6742346141747668</v>
      </c>
      <c r="CB1190">
        <v>30</v>
      </c>
      <c r="CC1190">
        <v>6</v>
      </c>
      <c r="CD1190">
        <v>6.9000000000000006E-2</v>
      </c>
      <c r="CE1190">
        <v>1.5900000000000001E-2</v>
      </c>
      <c r="CF1190" s="8"/>
    </row>
    <row r="1191" spans="1:84" hidden="1" x14ac:dyDescent="0.2">
      <c r="B1191" t="str">
        <f>ROW()-1&amp;"_AltersInvert"</f>
        <v>1190_AltersInvert</v>
      </c>
      <c r="C1191" t="str">
        <f>D1191&amp;"_"&amp;
SUBSTITUTE(TRIM(V1191)," ","_")&amp;"_"&amp;
TRIM(AC1191)&amp;"_"&amp;
"CO2"&amp;TEXT(AN1191,"0.00")&amp;"_"&amp;
"pH"&amp;TEXT(AR1191,"0.00")&amp;"_"&amp;
"T"&amp;TEXT(BC1191,"0.##")</f>
        <v>119_Amphibalanus_improvisus_LARVA_CO2414.00_pH8.11_T19.6</v>
      </c>
      <c r="D1191">
        <v>119</v>
      </c>
      <c r="G1191" t="s">
        <v>43</v>
      </c>
      <c r="H1191" t="s">
        <v>859</v>
      </c>
      <c r="J1191">
        <v>2012</v>
      </c>
      <c r="M1191" t="s">
        <v>45</v>
      </c>
      <c r="P1191" t="s">
        <v>1135</v>
      </c>
      <c r="R1191" t="s">
        <v>1127</v>
      </c>
      <c r="S1191" t="s">
        <v>1128</v>
      </c>
      <c r="T1191" t="s">
        <v>131</v>
      </c>
      <c r="U1191" t="s">
        <v>860</v>
      </c>
      <c r="V1191" t="s">
        <v>861</v>
      </c>
      <c r="Z1191" t="s">
        <v>49</v>
      </c>
      <c r="AA1191" t="s">
        <v>49</v>
      </c>
      <c r="AB1191" t="s">
        <v>71</v>
      </c>
      <c r="AC1191" t="s">
        <v>72</v>
      </c>
      <c r="AD1191" t="s">
        <v>52</v>
      </c>
      <c r="AE1191" t="s">
        <v>53</v>
      </c>
      <c r="AF1191" t="s">
        <v>54</v>
      </c>
      <c r="AG1191" t="s">
        <v>52</v>
      </c>
      <c r="AH1191" t="s">
        <v>65</v>
      </c>
      <c r="AK1191">
        <v>6</v>
      </c>
      <c r="AL1191">
        <v>6</v>
      </c>
      <c r="AN1191">
        <v>414</v>
      </c>
      <c r="AO1191" t="s">
        <v>56</v>
      </c>
      <c r="AP1191">
        <v>37</v>
      </c>
      <c r="AQ1191" t="s">
        <v>57</v>
      </c>
      <c r="AR1191">
        <v>8.11</v>
      </c>
      <c r="AS1191" t="s">
        <v>56</v>
      </c>
      <c r="AT1191">
        <v>0.08</v>
      </c>
      <c r="AU1191">
        <v>378</v>
      </c>
      <c r="AV1191" t="s">
        <v>56</v>
      </c>
      <c r="AW1191">
        <v>22</v>
      </c>
      <c r="AX1191">
        <v>8.18</v>
      </c>
      <c r="AY1191" t="s">
        <v>56</v>
      </c>
      <c r="AZ1191">
        <v>0.1</v>
      </c>
      <c r="BB1191">
        <f>LOG(AU1191)</f>
        <v>2.5774917998372255</v>
      </c>
      <c r="BC1191">
        <v>19.600000000000001</v>
      </c>
      <c r="BD1191" t="s">
        <v>56</v>
      </c>
      <c r="BE1191">
        <v>0.4</v>
      </c>
      <c r="BF1191">
        <v>26.9</v>
      </c>
      <c r="BG1191" t="s">
        <v>56</v>
      </c>
      <c r="BH1191">
        <v>0.9</v>
      </c>
      <c r="BI1191">
        <v>-36</v>
      </c>
      <c r="BJ1191">
        <v>7.3</v>
      </c>
      <c r="BK1191" t="s">
        <v>56</v>
      </c>
      <c r="BL1191" t="s">
        <v>862</v>
      </c>
      <c r="BM1191" t="s">
        <v>249</v>
      </c>
      <c r="BN1191" t="s">
        <v>60</v>
      </c>
      <c r="BO1191" t="s">
        <v>250</v>
      </c>
      <c r="BP1191" t="s">
        <v>9</v>
      </c>
      <c r="BQ1191" t="s">
        <v>9</v>
      </c>
      <c r="BR1191" t="s">
        <v>63</v>
      </c>
      <c r="BT1191">
        <v>17.62</v>
      </c>
      <c r="BU1191">
        <v>17.6199616</v>
      </c>
      <c r="BV1191">
        <v>1.73</v>
      </c>
      <c r="BW1191">
        <f>BV1191*SQRT(AK1191)</f>
        <v>4.2376172550148974</v>
      </c>
      <c r="BX1191">
        <v>10.6</v>
      </c>
      <c r="BY1191">
        <v>10.595009599999999</v>
      </c>
      <c r="BZ1191">
        <v>1.84</v>
      </c>
      <c r="CA1191">
        <f>BZ1191*SQRT(AL1191)</f>
        <v>4.5070611267210472</v>
      </c>
      <c r="CB1191">
        <v>30</v>
      </c>
      <c r="CC1191">
        <v>6</v>
      </c>
      <c r="CD1191">
        <v>-0.50900000000000001</v>
      </c>
      <c r="CE1191">
        <v>3.9899999999999998E-2</v>
      </c>
    </row>
    <row r="1192" spans="1:84" hidden="1" x14ac:dyDescent="0.2">
      <c r="B1192" t="str">
        <f>ROW()-1&amp;"_AltersInvert"</f>
        <v>1191_AltersInvert</v>
      </c>
      <c r="C1192" t="str">
        <f>D1192&amp;"_"&amp;
SUBSTITUTE(TRIM(V1192)," ","_")&amp;"_"&amp;
TRIM(AC1192)&amp;"_"&amp;
"CO2"&amp;TEXT(AN1192,"0.00")&amp;"_"&amp;
"pH"&amp;TEXT(AR1192,"0.00")&amp;"_"&amp;
"T"&amp;TEXT(BC1192,"0.##")</f>
        <v>119_Amphibalanus_improvisus_LARVA_CO2414.00_pH8.11_T19.6</v>
      </c>
      <c r="D1192">
        <v>119</v>
      </c>
      <c r="G1192" t="s">
        <v>43</v>
      </c>
      <c r="H1192" t="s">
        <v>859</v>
      </c>
      <c r="J1192">
        <v>2012</v>
      </c>
      <c r="M1192" t="s">
        <v>45</v>
      </c>
      <c r="P1192" t="s">
        <v>1135</v>
      </c>
      <c r="R1192" t="s">
        <v>1127</v>
      </c>
      <c r="S1192" t="s">
        <v>1128</v>
      </c>
      <c r="T1192" t="s">
        <v>131</v>
      </c>
      <c r="U1192" t="s">
        <v>860</v>
      </c>
      <c r="V1192" t="s">
        <v>861</v>
      </c>
      <c r="Z1192" t="s">
        <v>49</v>
      </c>
      <c r="AA1192" t="s">
        <v>49</v>
      </c>
      <c r="AB1192" t="s">
        <v>71</v>
      </c>
      <c r="AC1192" t="s">
        <v>72</v>
      </c>
      <c r="AD1192" t="s">
        <v>52</v>
      </c>
      <c r="AE1192" t="s">
        <v>53</v>
      </c>
      <c r="AF1192" t="s">
        <v>52</v>
      </c>
      <c r="AG1192" t="s">
        <v>52</v>
      </c>
      <c r="AH1192" t="s">
        <v>64</v>
      </c>
      <c r="AK1192">
        <v>6</v>
      </c>
      <c r="AL1192">
        <v>6</v>
      </c>
      <c r="AN1192">
        <v>414</v>
      </c>
      <c r="AO1192" t="s">
        <v>56</v>
      </c>
      <c r="AP1192">
        <v>37</v>
      </c>
      <c r="AQ1192" t="s">
        <v>57</v>
      </c>
      <c r="AR1192">
        <v>8.11</v>
      </c>
      <c r="AS1192" t="s">
        <v>56</v>
      </c>
      <c r="AT1192">
        <v>0.08</v>
      </c>
      <c r="AU1192">
        <v>3110</v>
      </c>
      <c r="AV1192" t="s">
        <v>56</v>
      </c>
      <c r="AW1192">
        <v>249</v>
      </c>
      <c r="AX1192">
        <v>7.44</v>
      </c>
      <c r="AY1192" t="s">
        <v>56</v>
      </c>
      <c r="AZ1192">
        <v>0.11</v>
      </c>
      <c r="BB1192">
        <f>LOG(AU1192)</f>
        <v>3.4927603890268375</v>
      </c>
      <c r="BC1192">
        <v>19.600000000000001</v>
      </c>
      <c r="BD1192" t="s">
        <v>56</v>
      </c>
      <c r="BE1192">
        <v>0.4</v>
      </c>
      <c r="BF1192">
        <v>26.9</v>
      </c>
      <c r="BG1192" t="s">
        <v>56</v>
      </c>
      <c r="BH1192">
        <v>0.9</v>
      </c>
      <c r="BI1192">
        <v>2697</v>
      </c>
      <c r="BJ1192">
        <v>7.3</v>
      </c>
      <c r="BK1192" t="s">
        <v>56</v>
      </c>
      <c r="BL1192" t="s">
        <v>862</v>
      </c>
      <c r="BM1192" t="s">
        <v>249</v>
      </c>
      <c r="BN1192" t="s">
        <v>60</v>
      </c>
      <c r="BO1192" t="s">
        <v>250</v>
      </c>
      <c r="BP1192" t="s">
        <v>9</v>
      </c>
      <c r="BQ1192" t="s">
        <v>9</v>
      </c>
      <c r="BR1192" t="s">
        <v>63</v>
      </c>
      <c r="BT1192">
        <v>17.62</v>
      </c>
      <c r="BU1192">
        <v>17.6199616</v>
      </c>
      <c r="BV1192">
        <v>1.73</v>
      </c>
      <c r="BW1192">
        <f>BV1192*SQRT(AK1192)</f>
        <v>4.2376172550148974</v>
      </c>
      <c r="BX1192">
        <v>13.82</v>
      </c>
      <c r="BY1192">
        <v>13.8195777</v>
      </c>
      <c r="BZ1192">
        <v>2.0699999999999998</v>
      </c>
      <c r="CA1192">
        <f>BZ1192*SQRT(AL1192)</f>
        <v>5.0704437675611782</v>
      </c>
      <c r="CB1192">
        <v>30</v>
      </c>
      <c r="CC1192">
        <v>6</v>
      </c>
      <c r="CD1192">
        <v>-0.24299999999999999</v>
      </c>
      <c r="CE1192">
        <v>3.2099999999999997E-2</v>
      </c>
    </row>
    <row r="1193" spans="1:84" hidden="1" x14ac:dyDescent="0.2">
      <c r="B1193" t="str">
        <f>ROW()-1&amp;"_AltersInvert"</f>
        <v>1192_AltersInvert</v>
      </c>
      <c r="C1193" t="str">
        <f>D1193&amp;"_"&amp;
SUBSTITUTE(TRIM(V1193)," ","_")&amp;"_"&amp;
TRIM(AC1193)&amp;"_"&amp;
"CO2"&amp;TEXT(AN1193,"0.00")&amp;"_"&amp;
"pH"&amp;TEXT(AR1193,"0.00")&amp;"_"&amp;
"T"&amp;TEXT(BC1193,"0.##")</f>
        <v>119_Amphibalanus_improvisus_LARVA_CO2414.00_pH8.11_T19.6</v>
      </c>
      <c r="D1193">
        <v>119</v>
      </c>
      <c r="G1193" t="s">
        <v>43</v>
      </c>
      <c r="H1193" t="s">
        <v>859</v>
      </c>
      <c r="J1193">
        <v>2012</v>
      </c>
      <c r="M1193" t="s">
        <v>45</v>
      </c>
      <c r="P1193" t="s">
        <v>1135</v>
      </c>
      <c r="R1193" t="s">
        <v>1127</v>
      </c>
      <c r="S1193" t="s">
        <v>1128</v>
      </c>
      <c r="T1193" t="s">
        <v>131</v>
      </c>
      <c r="U1193" t="s">
        <v>860</v>
      </c>
      <c r="V1193" t="s">
        <v>861</v>
      </c>
      <c r="Z1193" t="s">
        <v>49</v>
      </c>
      <c r="AA1193" t="s">
        <v>49</v>
      </c>
      <c r="AB1193" t="s">
        <v>71</v>
      </c>
      <c r="AC1193" t="s">
        <v>72</v>
      </c>
      <c r="AD1193" t="s">
        <v>52</v>
      </c>
      <c r="AE1193" t="s">
        <v>53</v>
      </c>
      <c r="AF1193" t="s">
        <v>52</v>
      </c>
      <c r="AG1193" t="s">
        <v>52</v>
      </c>
      <c r="AH1193" t="s">
        <v>64</v>
      </c>
      <c r="AK1193">
        <v>6</v>
      </c>
      <c r="AL1193">
        <v>6</v>
      </c>
      <c r="AN1193">
        <v>414</v>
      </c>
      <c r="AO1193" t="s">
        <v>56</v>
      </c>
      <c r="AP1193">
        <v>37</v>
      </c>
      <c r="AQ1193" t="s">
        <v>57</v>
      </c>
      <c r="AR1193">
        <v>8.11</v>
      </c>
      <c r="AS1193" t="s">
        <v>56</v>
      </c>
      <c r="AT1193">
        <v>0.08</v>
      </c>
      <c r="AU1193">
        <v>1186</v>
      </c>
      <c r="AV1193" t="s">
        <v>56</v>
      </c>
      <c r="AW1193">
        <v>66</v>
      </c>
      <c r="AX1193">
        <v>7.83</v>
      </c>
      <c r="AY1193" t="s">
        <v>56</v>
      </c>
      <c r="AZ1193">
        <v>7.0000000000000007E-2</v>
      </c>
      <c r="BB1193">
        <f>LOG(AU1193)</f>
        <v>3.0740846890282438</v>
      </c>
      <c r="BC1193">
        <v>19.600000000000001</v>
      </c>
      <c r="BD1193" t="s">
        <v>56</v>
      </c>
      <c r="BE1193">
        <v>0.4</v>
      </c>
      <c r="BF1193">
        <v>26.9</v>
      </c>
      <c r="BG1193" t="s">
        <v>56</v>
      </c>
      <c r="BH1193">
        <v>0.9</v>
      </c>
      <c r="BI1193">
        <v>773</v>
      </c>
      <c r="BJ1193">
        <v>7.3</v>
      </c>
      <c r="BK1193" t="s">
        <v>56</v>
      </c>
      <c r="BL1193" t="s">
        <v>862</v>
      </c>
      <c r="BM1193" t="s">
        <v>249</v>
      </c>
      <c r="BN1193" t="s">
        <v>60</v>
      </c>
      <c r="BO1193" t="s">
        <v>250</v>
      </c>
      <c r="BP1193" t="s">
        <v>9</v>
      </c>
      <c r="BQ1193" t="s">
        <v>9</v>
      </c>
      <c r="BR1193" t="s">
        <v>63</v>
      </c>
      <c r="BT1193">
        <v>17.62</v>
      </c>
      <c r="BU1193">
        <v>17.6199616</v>
      </c>
      <c r="BV1193">
        <v>1.73</v>
      </c>
      <c r="BW1193">
        <f>BV1193*SQRT(AK1193)</f>
        <v>4.2376172550148974</v>
      </c>
      <c r="BX1193">
        <v>15.43</v>
      </c>
      <c r="BY1193">
        <v>15.4318618</v>
      </c>
      <c r="BZ1193">
        <v>1.96</v>
      </c>
      <c r="CA1193">
        <f>BZ1193*SQRT(AL1193)</f>
        <v>4.8009998958550284</v>
      </c>
      <c r="CB1193">
        <v>30</v>
      </c>
      <c r="CC1193">
        <v>6</v>
      </c>
      <c r="CD1193">
        <v>-0.13300000000000001</v>
      </c>
      <c r="CE1193">
        <v>2.5700000000000001E-2</v>
      </c>
      <c r="CF1193" s="8"/>
    </row>
    <row r="1194" spans="1:84" hidden="1" x14ac:dyDescent="0.2">
      <c r="A1194" s="8"/>
      <c r="B1194" t="str">
        <f>ROW()-1&amp;"_AltersInvert"</f>
        <v>1193_AltersInvert</v>
      </c>
      <c r="C1194" t="str">
        <f>D1194&amp;"_"&amp;
SUBSTITUTE(TRIM(V1194)," ","_")&amp;"_"&amp;
TRIM(AC1194)&amp;"_"&amp;
"CO2"&amp;TEXT(AN1194,"0.00")&amp;"_"&amp;
"pH"&amp;TEXT(AR1194,"0.00")&amp;"_"&amp;
"T"&amp;TEXT(BC1194,"0.##")</f>
        <v>114_Acropora_tenuis_EMBRYO_CO2421.00_pH8.17_T25.7</v>
      </c>
      <c r="D1194" s="8">
        <v>114</v>
      </c>
      <c r="E1194" s="8"/>
      <c r="F1194" s="8"/>
      <c r="G1194" s="8" t="s">
        <v>43</v>
      </c>
      <c r="H1194" s="8" t="s">
        <v>841</v>
      </c>
      <c r="I1194" s="8"/>
      <c r="J1194" s="8">
        <v>2013</v>
      </c>
      <c r="K1194" s="8"/>
      <c r="L1194" s="8"/>
      <c r="M1194" s="8" t="s">
        <v>257</v>
      </c>
      <c r="N1194" s="8"/>
      <c r="O1194" s="8"/>
      <c r="P1194" t="s">
        <v>1135</v>
      </c>
      <c r="Q1194" s="8"/>
      <c r="R1194" s="8" t="s">
        <v>1127</v>
      </c>
      <c r="S1194" t="s">
        <v>1128</v>
      </c>
      <c r="T1194" s="8" t="s">
        <v>103</v>
      </c>
      <c r="U1194" s="8" t="s">
        <v>228</v>
      </c>
      <c r="V1194" s="8" t="s">
        <v>843</v>
      </c>
      <c r="W1194" s="8" t="str">
        <f>IF(ISNUMBER(MATCH(V588,{"Doryteuthis pealeii","Loligo vulgaris","Leptuca thayeri","Stylocheilus striatus","Ophryotrocha labronica"},0)),"N","Y")</f>
        <v>Y</v>
      </c>
      <c r="X1194" s="8"/>
      <c r="Y1194" s="8"/>
      <c r="Z1194" s="8" t="s">
        <v>106</v>
      </c>
      <c r="AA1194" s="8" t="s">
        <v>107</v>
      </c>
      <c r="AB1194" s="8" t="s">
        <v>71</v>
      </c>
      <c r="AC1194" s="8" t="s">
        <v>195</v>
      </c>
      <c r="AD1194" s="8" t="s">
        <v>52</v>
      </c>
      <c r="AE1194" s="8" t="s">
        <v>53</v>
      </c>
      <c r="AF1194" s="8" t="s">
        <v>52</v>
      </c>
      <c r="AG1194" s="8" t="s">
        <v>54</v>
      </c>
      <c r="AH1194" s="8" t="s">
        <v>55</v>
      </c>
      <c r="AI1194" s="8"/>
      <c r="AJ1194" s="8"/>
      <c r="AK1194" s="8">
        <v>3</v>
      </c>
      <c r="AL1194" s="8">
        <v>3</v>
      </c>
      <c r="AM1194" s="8"/>
      <c r="AN1194" s="8">
        <v>421</v>
      </c>
      <c r="AO1194" s="8">
        <v>10</v>
      </c>
      <c r="AP1194" s="8" t="s">
        <v>56</v>
      </c>
      <c r="AQ1194" s="8" t="s">
        <v>57</v>
      </c>
      <c r="AR1194" s="8">
        <v>8.17</v>
      </c>
      <c r="AS1194" s="8">
        <v>0.01</v>
      </c>
      <c r="AT1194" s="8" t="s">
        <v>56</v>
      </c>
      <c r="AU1194" s="8">
        <v>655</v>
      </c>
      <c r="AV1194">
        <v>41</v>
      </c>
      <c r="AW1194" t="s">
        <v>56</v>
      </c>
      <c r="AX1194">
        <v>8.06</v>
      </c>
      <c r="AY1194">
        <v>0.02</v>
      </c>
      <c r="AZ1194" t="s">
        <v>56</v>
      </c>
      <c r="BA1194" s="8"/>
      <c r="BB1194" s="8">
        <f>LOG(AU1194)</f>
        <v>2.8162412999917832</v>
      </c>
      <c r="BC1194" s="8">
        <v>25.7</v>
      </c>
      <c r="BD1194" s="8">
        <v>0.1</v>
      </c>
      <c r="BE1194" s="8" t="s">
        <v>56</v>
      </c>
      <c r="BF1194" s="8">
        <v>25.6</v>
      </c>
      <c r="BG1194" s="8">
        <v>0.1</v>
      </c>
      <c r="BH1194" s="8" t="s">
        <v>56</v>
      </c>
      <c r="BI1194" s="8">
        <v>234</v>
      </c>
      <c r="BJ1194" s="8">
        <v>-0.1</v>
      </c>
      <c r="BK1194" s="8" t="s">
        <v>56</v>
      </c>
      <c r="BL1194" s="8" t="s">
        <v>473</v>
      </c>
      <c r="BM1194" s="8" t="s">
        <v>473</v>
      </c>
      <c r="BN1194" s="8" t="s">
        <v>81</v>
      </c>
      <c r="BO1194" s="8" t="s">
        <v>82</v>
      </c>
      <c r="BP1194" s="8" t="s">
        <v>190</v>
      </c>
      <c r="BQ1194" s="8" t="s">
        <v>190</v>
      </c>
      <c r="BR1194" s="8" t="s">
        <v>84</v>
      </c>
      <c r="BS1194" s="8"/>
      <c r="BT1194" s="8">
        <v>90.12</v>
      </c>
      <c r="BU1194" s="8">
        <v>90.123457000000002</v>
      </c>
      <c r="BV1194" s="8">
        <v>2.4700000000000002</v>
      </c>
      <c r="BW1194" s="8">
        <f>BV1194*SQRT(AK1194)</f>
        <v>4.2781654946951271</v>
      </c>
      <c r="BX1194" s="8">
        <v>92.59</v>
      </c>
      <c r="BY1194" s="8">
        <v>92.592592600000003</v>
      </c>
      <c r="BZ1194" s="8">
        <v>3.09</v>
      </c>
      <c r="CA1194" s="8">
        <f>BZ1194*SQRT(AL1194)</f>
        <v>5.35203699538783</v>
      </c>
      <c r="CB1194" s="8">
        <v>0</v>
      </c>
      <c r="CC1194" s="8">
        <v>3</v>
      </c>
      <c r="CD1194" s="8">
        <v>2.7E-2</v>
      </c>
      <c r="CE1194" s="8">
        <v>1.9E-3</v>
      </c>
      <c r="CF1194" s="8" t="s">
        <v>1134</v>
      </c>
    </row>
    <row r="1195" spans="1:84" hidden="1" x14ac:dyDescent="0.2">
      <c r="A1195" s="8"/>
      <c r="B1195" t="str">
        <f>ROW()-1&amp;"_AltersInvert"</f>
        <v>1194_AltersInvert</v>
      </c>
      <c r="C1195" t="str">
        <f>D1195&amp;"_"&amp;
SUBSTITUTE(TRIM(V1195)," ","_")&amp;"_"&amp;
TRIM(AC1195)&amp;"_"&amp;
"CO2"&amp;TEXT(AN1195,"0.00")&amp;"_"&amp;
"pH"&amp;TEXT(AR1195,"0.00")&amp;"_"&amp;
"T"&amp;TEXT(BC1195,"0.##")</f>
        <v>114_Acropora_tenuis_EMBRYO_CO2421.00_pH8.17_T25.7</v>
      </c>
      <c r="D1195" s="8">
        <v>114</v>
      </c>
      <c r="E1195" s="8"/>
      <c r="F1195" s="8"/>
      <c r="G1195" s="8" t="s">
        <v>43</v>
      </c>
      <c r="H1195" s="8" t="s">
        <v>841</v>
      </c>
      <c r="I1195" s="8"/>
      <c r="J1195" s="8">
        <v>2013</v>
      </c>
      <c r="K1195" s="8"/>
      <c r="L1195" s="8"/>
      <c r="M1195" s="8" t="s">
        <v>257</v>
      </c>
      <c r="N1195" s="8"/>
      <c r="O1195" s="8"/>
      <c r="P1195" t="s">
        <v>1135</v>
      </c>
      <c r="Q1195" s="8"/>
      <c r="R1195" s="8" t="s">
        <v>1127</v>
      </c>
      <c r="S1195" t="s">
        <v>1128</v>
      </c>
      <c r="T1195" s="8" t="s">
        <v>103</v>
      </c>
      <c r="U1195" s="8" t="s">
        <v>228</v>
      </c>
      <c r="V1195" s="8" t="s">
        <v>843</v>
      </c>
      <c r="W1195" s="8" t="str">
        <f>IF(ISNUMBER(MATCH(V589,{"Doryteuthis pealeii","Loligo vulgaris","Leptuca thayeri","Stylocheilus striatus","Ophryotrocha labronica"},0)),"N","Y")</f>
        <v>Y</v>
      </c>
      <c r="X1195" s="8"/>
      <c r="Y1195" s="8"/>
      <c r="Z1195" s="8" t="s">
        <v>106</v>
      </c>
      <c r="AA1195" s="8" t="s">
        <v>107</v>
      </c>
      <c r="AB1195" s="8" t="s">
        <v>71</v>
      </c>
      <c r="AC1195" s="8" t="s">
        <v>195</v>
      </c>
      <c r="AD1195" s="8" t="s">
        <v>52</v>
      </c>
      <c r="AE1195" s="8" t="s">
        <v>53</v>
      </c>
      <c r="AF1195" s="8" t="s">
        <v>54</v>
      </c>
      <c r="AG1195" s="8" t="s">
        <v>52</v>
      </c>
      <c r="AH1195" s="8" t="s">
        <v>65</v>
      </c>
      <c r="AI1195" s="8"/>
      <c r="AJ1195" s="8"/>
      <c r="AK1195" s="8">
        <v>3</v>
      </c>
      <c r="AL1195" s="8">
        <v>3</v>
      </c>
      <c r="AM1195" s="8"/>
      <c r="AN1195" s="8">
        <v>421</v>
      </c>
      <c r="AO1195" s="8">
        <v>10</v>
      </c>
      <c r="AP1195" s="8" t="s">
        <v>56</v>
      </c>
      <c r="AQ1195" s="8" t="s">
        <v>57</v>
      </c>
      <c r="AR1195" s="8">
        <v>8.17</v>
      </c>
      <c r="AS1195" s="8">
        <v>0.01</v>
      </c>
      <c r="AT1195" s="8" t="s">
        <v>56</v>
      </c>
      <c r="AU1195" s="8">
        <v>499</v>
      </c>
      <c r="AV1195">
        <v>9</v>
      </c>
      <c r="AW1195" t="s">
        <v>56</v>
      </c>
      <c r="AX1195">
        <v>8.18</v>
      </c>
      <c r="AY1195">
        <v>0.01</v>
      </c>
      <c r="AZ1195" t="s">
        <v>56</v>
      </c>
      <c r="BA1195" s="8"/>
      <c r="BB1195" s="8">
        <f>LOG(AU1195)</f>
        <v>2.6981005456233897</v>
      </c>
      <c r="BC1195" s="8">
        <v>25.7</v>
      </c>
      <c r="BD1195" s="8">
        <v>0.1</v>
      </c>
      <c r="BE1195" s="8" t="s">
        <v>56</v>
      </c>
      <c r="BF1195" s="8">
        <v>28.5</v>
      </c>
      <c r="BG1195" s="8">
        <v>0.1</v>
      </c>
      <c r="BH1195" s="8" t="s">
        <v>56</v>
      </c>
      <c r="BI1195" s="8">
        <v>78</v>
      </c>
      <c r="BJ1195" s="8">
        <v>2.8</v>
      </c>
      <c r="BK1195" s="8" t="s">
        <v>56</v>
      </c>
      <c r="BL1195" s="8" t="s">
        <v>473</v>
      </c>
      <c r="BM1195" s="8" t="s">
        <v>473</v>
      </c>
      <c r="BN1195" s="8" t="s">
        <v>81</v>
      </c>
      <c r="BO1195" s="8" t="s">
        <v>82</v>
      </c>
      <c r="BP1195" s="8" t="s">
        <v>190</v>
      </c>
      <c r="BQ1195" s="8" t="s">
        <v>190</v>
      </c>
      <c r="BR1195" s="8" t="s">
        <v>84</v>
      </c>
      <c r="BS1195" s="8"/>
      <c r="BT1195" s="8">
        <v>90.12</v>
      </c>
      <c r="BU1195" s="8">
        <v>90.123457000000002</v>
      </c>
      <c r="BV1195" s="8">
        <v>2.4700000000000002</v>
      </c>
      <c r="BW1195" s="8">
        <f>BV1195*SQRT(AK1195)</f>
        <v>4.2781654946951271</v>
      </c>
      <c r="BX1195" s="8">
        <v>93.83</v>
      </c>
      <c r="BY1195" s="8">
        <v>93.827160500000005</v>
      </c>
      <c r="BZ1195" s="8">
        <v>4.32</v>
      </c>
      <c r="CA1195" s="8">
        <f>BZ1195*SQRT(AL1195)</f>
        <v>7.4824594886975504</v>
      </c>
      <c r="CB1195" s="8">
        <v>0</v>
      </c>
      <c r="CC1195" s="8">
        <v>3</v>
      </c>
      <c r="CD1195" s="8">
        <v>0.04</v>
      </c>
      <c r="CE1195" s="8">
        <v>2.8999999999999998E-3</v>
      </c>
      <c r="CF1195" s="8" t="s">
        <v>1134</v>
      </c>
    </row>
    <row r="1196" spans="1:84" hidden="1" x14ac:dyDescent="0.2">
      <c r="A1196" s="8"/>
      <c r="B1196" t="str">
        <f>ROW()-1&amp;"_AltersInvert"</f>
        <v>1195_AltersInvert</v>
      </c>
      <c r="C1196" t="str">
        <f>D1196&amp;"_"&amp;
SUBSTITUTE(TRIM(V1196)," ","_")&amp;"_"&amp;
TRIM(AC1196)&amp;"_"&amp;
"CO2"&amp;TEXT(AN1196,"0.00")&amp;"_"&amp;
"pH"&amp;TEXT(AR1196,"0.00")&amp;"_"&amp;
"T"&amp;TEXT(BC1196,"0.##")</f>
        <v>114_Acropora_tenuis_EMBRYO_CO2421.00_pH8.17_T25.7</v>
      </c>
      <c r="D1196" s="8">
        <v>114</v>
      </c>
      <c r="E1196" s="8"/>
      <c r="F1196" s="8"/>
      <c r="G1196" s="8" t="s">
        <v>43</v>
      </c>
      <c r="H1196" s="8" t="s">
        <v>841</v>
      </c>
      <c r="I1196" s="8"/>
      <c r="J1196" s="8">
        <v>2013</v>
      </c>
      <c r="K1196" s="8"/>
      <c r="L1196" s="8"/>
      <c r="M1196" s="8" t="s">
        <v>257</v>
      </c>
      <c r="N1196" s="8"/>
      <c r="O1196" s="8"/>
      <c r="P1196" t="s">
        <v>1135</v>
      </c>
      <c r="Q1196" s="8"/>
      <c r="R1196" s="8" t="s">
        <v>1127</v>
      </c>
      <c r="S1196" t="s">
        <v>1128</v>
      </c>
      <c r="T1196" s="8" t="s">
        <v>103</v>
      </c>
      <c r="U1196" s="8" t="s">
        <v>228</v>
      </c>
      <c r="V1196" s="8" t="s">
        <v>843</v>
      </c>
      <c r="W1196" s="8" t="str">
        <f>IF(ISNUMBER(MATCH(V590,{"Doryteuthis pealeii","Loligo vulgaris","Leptuca thayeri","Stylocheilus striatus","Ophryotrocha labronica"},0)),"N","Y")</f>
        <v>Y</v>
      </c>
      <c r="X1196" s="8"/>
      <c r="Y1196" s="8"/>
      <c r="Z1196" s="8" t="s">
        <v>106</v>
      </c>
      <c r="AA1196" s="8" t="s">
        <v>107</v>
      </c>
      <c r="AB1196" s="8" t="s">
        <v>71</v>
      </c>
      <c r="AC1196" s="8" t="s">
        <v>195</v>
      </c>
      <c r="AD1196" s="8" t="s">
        <v>52</v>
      </c>
      <c r="AE1196" s="8" t="s">
        <v>53</v>
      </c>
      <c r="AF1196" s="8" t="s">
        <v>52</v>
      </c>
      <c r="AG1196" s="8" t="s">
        <v>52</v>
      </c>
      <c r="AH1196" s="8" t="s">
        <v>64</v>
      </c>
      <c r="AI1196" s="8"/>
      <c r="AJ1196" s="8"/>
      <c r="AK1196" s="8">
        <v>3</v>
      </c>
      <c r="AL1196" s="8">
        <v>3</v>
      </c>
      <c r="AM1196" s="8"/>
      <c r="AN1196" s="8">
        <v>421</v>
      </c>
      <c r="AO1196" s="8">
        <v>10</v>
      </c>
      <c r="AP1196" s="8" t="s">
        <v>56</v>
      </c>
      <c r="AQ1196" s="8" t="s">
        <v>57</v>
      </c>
      <c r="AR1196" s="8">
        <v>8.17</v>
      </c>
      <c r="AS1196" s="8">
        <v>0.01</v>
      </c>
      <c r="AT1196" s="8" t="s">
        <v>56</v>
      </c>
      <c r="AU1196" s="8">
        <v>663</v>
      </c>
      <c r="AV1196">
        <v>20</v>
      </c>
      <c r="AW1196" t="s">
        <v>56</v>
      </c>
      <c r="AX1196">
        <v>8.06</v>
      </c>
      <c r="AY1196">
        <v>0.01</v>
      </c>
      <c r="AZ1196" t="s">
        <v>56</v>
      </c>
      <c r="BA1196" s="8"/>
      <c r="BB1196" s="8">
        <f>LOG(AU1196)</f>
        <v>2.8215135284047732</v>
      </c>
      <c r="BC1196" s="8">
        <v>25.7</v>
      </c>
      <c r="BD1196" s="8">
        <v>0.1</v>
      </c>
      <c r="BE1196" s="8" t="s">
        <v>56</v>
      </c>
      <c r="BF1196" s="8">
        <v>28.9</v>
      </c>
      <c r="BG1196" s="8">
        <v>0</v>
      </c>
      <c r="BH1196" s="8" t="s">
        <v>56</v>
      </c>
      <c r="BI1196" s="8">
        <v>242</v>
      </c>
      <c r="BJ1196" s="8">
        <v>3.2</v>
      </c>
      <c r="BK1196" s="8" t="s">
        <v>56</v>
      </c>
      <c r="BL1196" s="8" t="s">
        <v>473</v>
      </c>
      <c r="BM1196" s="8" t="s">
        <v>473</v>
      </c>
      <c r="BN1196" s="8" t="s">
        <v>81</v>
      </c>
      <c r="BO1196" s="8" t="s">
        <v>82</v>
      </c>
      <c r="BP1196" s="8" t="s">
        <v>190</v>
      </c>
      <c r="BQ1196" s="8" t="s">
        <v>190</v>
      </c>
      <c r="BR1196" s="8" t="s">
        <v>84</v>
      </c>
      <c r="BS1196" s="8"/>
      <c r="BT1196" s="8">
        <v>90.12</v>
      </c>
      <c r="BU1196" s="8">
        <v>90.123457000000002</v>
      </c>
      <c r="BV1196" s="8">
        <v>2.4700000000000002</v>
      </c>
      <c r="BW1196" s="8">
        <f>BV1196*SQRT(AK1196)</f>
        <v>4.2781654946951271</v>
      </c>
      <c r="BX1196" s="8">
        <v>90.12</v>
      </c>
      <c r="BY1196" s="8">
        <v>90.1234568</v>
      </c>
      <c r="BZ1196" s="8">
        <v>4.32</v>
      </c>
      <c r="CA1196" s="8">
        <f>BZ1196*SQRT(AL1196)</f>
        <v>7.4824594886975504</v>
      </c>
      <c r="CB1196" s="8">
        <v>0</v>
      </c>
      <c r="CC1196" s="8">
        <v>3</v>
      </c>
      <c r="CD1196" s="8">
        <v>0</v>
      </c>
      <c r="CE1196" s="8">
        <v>3.0000000000000001E-3</v>
      </c>
      <c r="CF1196" s="8" t="s">
        <v>1134</v>
      </c>
    </row>
    <row r="1197" spans="1:84" hidden="1" x14ac:dyDescent="0.2">
      <c r="A1197" s="8"/>
      <c r="B1197" t="str">
        <f>ROW()-1&amp;"_AltersInvert"</f>
        <v>1196_AltersInvert</v>
      </c>
      <c r="C1197" t="str">
        <f>D1197&amp;"_"&amp;
SUBSTITUTE(TRIM(V1197)," ","_")&amp;"_"&amp;
TRIM(AC1197)&amp;"_"&amp;
"CO2"&amp;TEXT(AN1197,"0.00")&amp;"_"&amp;
"pH"&amp;TEXT(AR1197,"0.00")&amp;"_"&amp;
"T"&amp;TEXT(BC1197,"0.##")</f>
        <v>51_Acropora_hyacinthus_EMBRYO_CO2404.00_pH8.18_T27.</v>
      </c>
      <c r="D1197" s="8">
        <v>51</v>
      </c>
      <c r="E1197" s="8"/>
      <c r="F1197" s="8"/>
      <c r="G1197" s="8" t="s">
        <v>43</v>
      </c>
      <c r="H1197" s="8" t="s">
        <v>527</v>
      </c>
      <c r="I1197" s="8" t="s">
        <v>1130</v>
      </c>
      <c r="J1197" s="8">
        <v>2015</v>
      </c>
      <c r="K1197" s="8"/>
      <c r="L1197" s="8"/>
      <c r="M1197" s="8" t="s">
        <v>528</v>
      </c>
      <c r="N1197" s="8"/>
      <c r="O1197" s="8"/>
      <c r="P1197" t="s">
        <v>1135</v>
      </c>
      <c r="Q1197" s="8"/>
      <c r="R1197" s="8" t="s">
        <v>1127</v>
      </c>
      <c r="S1197" t="s">
        <v>1128</v>
      </c>
      <c r="T1197" s="8" t="s">
        <v>103</v>
      </c>
      <c r="U1197" s="8" t="s">
        <v>228</v>
      </c>
      <c r="V1197" s="8" t="s">
        <v>529</v>
      </c>
      <c r="W1197" s="8" t="str">
        <f>IF(ISNUMBER(MATCH(#REF!,{"Doryteuthis pealeii","Loligo vulgaris","Leptuca thayeri","Stylocheilus striatus","Ophryotrocha labronica"},0)),"N","Y")</f>
        <v>Y</v>
      </c>
      <c r="X1197" s="8"/>
      <c r="Y1197" s="8"/>
      <c r="Z1197" s="8" t="s">
        <v>106</v>
      </c>
      <c r="AA1197" s="8" t="s">
        <v>107</v>
      </c>
      <c r="AB1197" s="8" t="s">
        <v>71</v>
      </c>
      <c r="AC1197" s="8" t="s">
        <v>195</v>
      </c>
      <c r="AD1197" s="8" t="s">
        <v>52</v>
      </c>
      <c r="AE1197" s="8" t="s">
        <v>53</v>
      </c>
      <c r="AF1197" s="8" t="s">
        <v>52</v>
      </c>
      <c r="AG1197" s="8" t="s">
        <v>54</v>
      </c>
      <c r="AH1197" s="8" t="s">
        <v>55</v>
      </c>
      <c r="AI1197" s="8"/>
      <c r="AJ1197" s="8"/>
      <c r="AK1197" s="8">
        <v>5</v>
      </c>
      <c r="AL1197" s="8">
        <v>5</v>
      </c>
      <c r="AM1197" s="8" t="s">
        <v>532</v>
      </c>
      <c r="AN1197" s="8">
        <v>404</v>
      </c>
      <c r="AO1197" s="8" t="s">
        <v>56</v>
      </c>
      <c r="AP1197" s="8" t="s">
        <v>56</v>
      </c>
      <c r="AQ1197" s="8" t="s">
        <v>57</v>
      </c>
      <c r="AR1197" s="8">
        <v>8.18</v>
      </c>
      <c r="AS1197" s="8" t="s">
        <v>56</v>
      </c>
      <c r="AT1197" s="8" t="s">
        <v>56</v>
      </c>
      <c r="AU1197" s="8">
        <v>934</v>
      </c>
      <c r="AV1197" t="s">
        <v>56</v>
      </c>
      <c r="AW1197" t="s">
        <v>56</v>
      </c>
      <c r="AX1197">
        <v>7.78</v>
      </c>
      <c r="AY1197" t="s">
        <v>56</v>
      </c>
      <c r="AZ1197" t="s">
        <v>56</v>
      </c>
      <c r="BA1197" s="8"/>
      <c r="BB1197" s="8">
        <f>LOG(AU1197)</f>
        <v>2.9703468762300935</v>
      </c>
      <c r="BC1197" s="8">
        <v>27</v>
      </c>
      <c r="BD1197" s="8" t="s">
        <v>56</v>
      </c>
      <c r="BE1197" s="8" t="s">
        <v>56</v>
      </c>
      <c r="BF1197" s="8">
        <v>27</v>
      </c>
      <c r="BG1197" s="8" t="s">
        <v>56</v>
      </c>
      <c r="BH1197" s="8" t="s">
        <v>56</v>
      </c>
      <c r="BI1197" s="8">
        <v>530</v>
      </c>
      <c r="BJ1197" s="8">
        <v>0</v>
      </c>
      <c r="BK1197" s="8" t="s">
        <v>533</v>
      </c>
      <c r="BL1197" s="8" t="s">
        <v>531</v>
      </c>
      <c r="BM1197" s="8" t="s">
        <v>86</v>
      </c>
      <c r="BN1197" s="8" t="s">
        <v>81</v>
      </c>
      <c r="BO1197" s="8" t="s">
        <v>82</v>
      </c>
      <c r="BP1197" s="8" t="s">
        <v>9</v>
      </c>
      <c r="BQ1197" s="8" t="s">
        <v>190</v>
      </c>
      <c r="BR1197" s="8" t="s">
        <v>84</v>
      </c>
      <c r="BS1197" s="8"/>
      <c r="BT1197" s="8">
        <v>8.09</v>
      </c>
      <c r="BU1197" s="8">
        <v>91.911765000000003</v>
      </c>
      <c r="BV1197" s="8">
        <v>1.97</v>
      </c>
      <c r="BW1197" s="8">
        <f>BV1197*SQRT(AK1197)</f>
        <v>4.4050539156745856</v>
      </c>
      <c r="BX1197" s="8">
        <v>6.62</v>
      </c>
      <c r="BY1197" s="8">
        <v>93.382352900000001</v>
      </c>
      <c r="BZ1197" s="8">
        <v>6.62</v>
      </c>
      <c r="CA1197" s="8">
        <f>BZ1197*SQRT(AL1197)</f>
        <v>14.802770011048608</v>
      </c>
      <c r="CB1197" s="8">
        <v>0</v>
      </c>
      <c r="CC1197" s="8">
        <v>5</v>
      </c>
      <c r="CD1197" s="8">
        <v>1.6E-2</v>
      </c>
      <c r="CE1197" s="8">
        <v>5.4999999999999997E-3</v>
      </c>
      <c r="CF1197" s="8" t="s">
        <v>1134</v>
      </c>
    </row>
    <row r="1198" spans="1:84" hidden="1" x14ac:dyDescent="0.2">
      <c r="A1198" s="8"/>
      <c r="B1198" t="str">
        <f>ROW()-1&amp;"_AltersInvert"</f>
        <v>1197_AltersInvert</v>
      </c>
      <c r="C1198" t="str">
        <f>D1198&amp;"_"&amp;
SUBSTITUTE(TRIM(V1198)," ","_")&amp;"_"&amp;
TRIM(AC1198)&amp;"_"&amp;
"CO2"&amp;TEXT(AN1198,"0.00")&amp;"_"&amp;
"pH"&amp;TEXT(AR1198,"0.00")&amp;"_"&amp;
"T"&amp;TEXT(BC1198,"0.##")</f>
        <v>51_Acropora_hyacinthus_EMBRYO_CO2404.00_pH8.18_T27.</v>
      </c>
      <c r="D1198" s="8">
        <v>51</v>
      </c>
      <c r="E1198" s="8"/>
      <c r="F1198" s="8"/>
      <c r="G1198" s="8" t="s">
        <v>43</v>
      </c>
      <c r="H1198" s="8" t="s">
        <v>527</v>
      </c>
      <c r="I1198" s="8" t="s">
        <v>1130</v>
      </c>
      <c r="J1198" s="8">
        <v>2015</v>
      </c>
      <c r="K1198" s="8"/>
      <c r="L1198" s="8"/>
      <c r="M1198" s="8" t="s">
        <v>528</v>
      </c>
      <c r="N1198" s="8"/>
      <c r="O1198" s="8"/>
      <c r="P1198" t="s">
        <v>1135</v>
      </c>
      <c r="Q1198" s="8"/>
      <c r="R1198" s="8" t="s">
        <v>1127</v>
      </c>
      <c r="S1198" t="s">
        <v>1128</v>
      </c>
      <c r="T1198" s="8" t="s">
        <v>103</v>
      </c>
      <c r="U1198" s="8" t="s">
        <v>228</v>
      </c>
      <c r="V1198" s="8" t="s">
        <v>529</v>
      </c>
      <c r="W1198" s="8" t="str">
        <f>IF(ISNUMBER(MATCH(V592,{"Doryteuthis pealeii","Loligo vulgaris","Leptuca thayeri","Stylocheilus striatus","Ophryotrocha labronica"},0)),"N","Y")</f>
        <v>Y</v>
      </c>
      <c r="X1198" s="8"/>
      <c r="Y1198" s="8"/>
      <c r="Z1198" s="8" t="s">
        <v>106</v>
      </c>
      <c r="AA1198" s="8" t="s">
        <v>107</v>
      </c>
      <c r="AB1198" s="8" t="s">
        <v>71</v>
      </c>
      <c r="AC1198" s="8" t="s">
        <v>195</v>
      </c>
      <c r="AD1198" s="8" t="s">
        <v>52</v>
      </c>
      <c r="AE1198" s="8" t="s">
        <v>53</v>
      </c>
      <c r="AF1198" s="8" t="s">
        <v>54</v>
      </c>
      <c r="AG1198" s="8" t="s">
        <v>52</v>
      </c>
      <c r="AH1198" s="8" t="s">
        <v>65</v>
      </c>
      <c r="AI1198" s="8"/>
      <c r="AJ1198" s="8"/>
      <c r="AK1198" s="8">
        <v>5</v>
      </c>
      <c r="AL1198" s="8">
        <v>5</v>
      </c>
      <c r="AM1198" s="8" t="s">
        <v>532</v>
      </c>
      <c r="AN1198" s="8">
        <v>404</v>
      </c>
      <c r="AO1198" s="8" t="s">
        <v>56</v>
      </c>
      <c r="AP1198" s="8" t="s">
        <v>56</v>
      </c>
      <c r="AQ1198" s="8" t="s">
        <v>57</v>
      </c>
      <c r="AR1198" s="8">
        <v>8.18</v>
      </c>
      <c r="AS1198" s="8" t="s">
        <v>56</v>
      </c>
      <c r="AT1198" s="8" t="s">
        <v>56</v>
      </c>
      <c r="AU1198" s="8">
        <v>446</v>
      </c>
      <c r="AV1198" t="s">
        <v>56</v>
      </c>
      <c r="AW1198" t="s">
        <v>56</v>
      </c>
      <c r="AX1198">
        <v>8.15</v>
      </c>
      <c r="AY1198" t="s">
        <v>56</v>
      </c>
      <c r="AZ1198" t="s">
        <v>56</v>
      </c>
      <c r="BA1198" s="8"/>
      <c r="BB1198" s="8">
        <f>LOG(AU1198)</f>
        <v>2.6493348587121419</v>
      </c>
      <c r="BC1198" s="8">
        <v>27</v>
      </c>
      <c r="BD1198" s="8" t="s">
        <v>56</v>
      </c>
      <c r="BE1198" s="8" t="s">
        <v>56</v>
      </c>
      <c r="BF1198" s="8">
        <v>31</v>
      </c>
      <c r="BG1198" s="8" t="s">
        <v>56</v>
      </c>
      <c r="BH1198" s="8" t="s">
        <v>56</v>
      </c>
      <c r="BI1198" s="8">
        <v>42</v>
      </c>
      <c r="BJ1198" s="8">
        <v>4</v>
      </c>
      <c r="BK1198" s="8" t="s">
        <v>533</v>
      </c>
      <c r="BL1198" s="8" t="s">
        <v>531</v>
      </c>
      <c r="BM1198" s="8" t="s">
        <v>86</v>
      </c>
      <c r="BN1198" s="8" t="s">
        <v>81</v>
      </c>
      <c r="BO1198" s="8" t="s">
        <v>82</v>
      </c>
      <c r="BP1198" s="8" t="s">
        <v>9</v>
      </c>
      <c r="BQ1198" s="8" t="s">
        <v>9</v>
      </c>
      <c r="BR1198" s="8" t="s">
        <v>84</v>
      </c>
      <c r="BS1198" s="8"/>
      <c r="BT1198" s="8">
        <v>8.09</v>
      </c>
      <c r="BU1198" s="8">
        <v>91.911765000000003</v>
      </c>
      <c r="BV1198" s="8">
        <v>1.97</v>
      </c>
      <c r="BW1198" s="8">
        <f>BV1198*SQRT(AK1198)</f>
        <v>4.4050539156745856</v>
      </c>
      <c r="BX1198" s="8">
        <v>70.34</v>
      </c>
      <c r="BY1198" s="8">
        <v>29.656862700000001</v>
      </c>
      <c r="BZ1198" s="8">
        <v>70.34</v>
      </c>
      <c r="CA1198" s="8">
        <f>BZ1198*SQRT(AL1198)</f>
        <v>157.28502153733521</v>
      </c>
      <c r="CB1198" s="8">
        <v>0</v>
      </c>
      <c r="CC1198" s="8">
        <v>5</v>
      </c>
      <c r="CD1198" s="8">
        <v>-1.131</v>
      </c>
      <c r="CE1198" s="8">
        <v>5.6264000000000003</v>
      </c>
      <c r="CF1198" s="8" t="s">
        <v>1134</v>
      </c>
    </row>
    <row r="1199" spans="1:84" hidden="1" x14ac:dyDescent="0.2">
      <c r="A1199" s="8"/>
      <c r="B1199" t="str">
        <f>ROW()-1&amp;"_AltersInvert"</f>
        <v>1198_AltersInvert</v>
      </c>
      <c r="C1199" t="str">
        <f>D1199&amp;"_"&amp;
SUBSTITUTE(TRIM(V1199)," ","_")&amp;"_"&amp;
TRIM(AC1199)&amp;"_"&amp;
"CO2"&amp;TEXT(AN1199,"0.00")&amp;"_"&amp;
"pH"&amp;TEXT(AR1199,"0.00")&amp;"_"&amp;
"T"&amp;TEXT(BC1199,"0.##")</f>
        <v>51_Acropora_hyacinthus_EMBRYO_CO2404.00_pH8.18_T27.</v>
      </c>
      <c r="D1199" s="8">
        <v>51</v>
      </c>
      <c r="E1199" s="8"/>
      <c r="F1199" s="8"/>
      <c r="G1199" s="8" t="s">
        <v>43</v>
      </c>
      <c r="H1199" s="8" t="s">
        <v>527</v>
      </c>
      <c r="I1199" s="8" t="s">
        <v>1130</v>
      </c>
      <c r="J1199" s="8">
        <v>2015</v>
      </c>
      <c r="K1199" s="8"/>
      <c r="L1199" s="8"/>
      <c r="M1199" s="8" t="s">
        <v>528</v>
      </c>
      <c r="N1199" s="8"/>
      <c r="O1199" s="8"/>
      <c r="P1199" t="s">
        <v>1135</v>
      </c>
      <c r="Q1199" s="8"/>
      <c r="R1199" s="8" t="s">
        <v>1127</v>
      </c>
      <c r="S1199" t="s">
        <v>1128</v>
      </c>
      <c r="T1199" s="8" t="s">
        <v>103</v>
      </c>
      <c r="U1199" s="8" t="s">
        <v>228</v>
      </c>
      <c r="V1199" s="8" t="s">
        <v>529</v>
      </c>
      <c r="W1199" s="8" t="str">
        <f>IF(ISNUMBER(MATCH(V593,{"Doryteuthis pealeii","Loligo vulgaris","Leptuca thayeri","Stylocheilus striatus","Ophryotrocha labronica"},0)),"N","Y")</f>
        <v>Y</v>
      </c>
      <c r="X1199" s="8"/>
      <c r="Y1199" s="8"/>
      <c r="Z1199" s="8" t="s">
        <v>106</v>
      </c>
      <c r="AA1199" s="8" t="s">
        <v>107</v>
      </c>
      <c r="AB1199" s="8" t="s">
        <v>71</v>
      </c>
      <c r="AC1199" s="8" t="s">
        <v>195</v>
      </c>
      <c r="AD1199" s="8" t="s">
        <v>52</v>
      </c>
      <c r="AE1199" s="8" t="s">
        <v>53</v>
      </c>
      <c r="AF1199" s="8" t="s">
        <v>52</v>
      </c>
      <c r="AG1199" s="8" t="s">
        <v>52</v>
      </c>
      <c r="AH1199" s="8" t="s">
        <v>64</v>
      </c>
      <c r="AI1199" s="8"/>
      <c r="AJ1199" s="8"/>
      <c r="AK1199" s="8">
        <v>5</v>
      </c>
      <c r="AL1199" s="8">
        <v>5</v>
      </c>
      <c r="AM1199" s="8" t="s">
        <v>532</v>
      </c>
      <c r="AN1199" s="8">
        <v>404</v>
      </c>
      <c r="AO1199" s="8" t="s">
        <v>56</v>
      </c>
      <c r="AP1199" s="8" t="s">
        <v>56</v>
      </c>
      <c r="AQ1199" s="8" t="s">
        <v>57</v>
      </c>
      <c r="AR1199" s="8">
        <v>8.18</v>
      </c>
      <c r="AS1199" s="8" t="s">
        <v>56</v>
      </c>
      <c r="AT1199" s="8" t="s">
        <v>56</v>
      </c>
      <c r="AU1199" s="8">
        <v>863</v>
      </c>
      <c r="AV1199" t="s">
        <v>56</v>
      </c>
      <c r="AW1199" t="s">
        <v>56</v>
      </c>
      <c r="AX1199">
        <v>7.91</v>
      </c>
      <c r="AY1199" t="s">
        <v>56</v>
      </c>
      <c r="AZ1199" t="s">
        <v>56</v>
      </c>
      <c r="BA1199" s="8"/>
      <c r="BB1199" s="8">
        <f>LOG(AU1199)</f>
        <v>2.9360107957152097</v>
      </c>
      <c r="BC1199" s="8">
        <v>27</v>
      </c>
      <c r="BD1199" s="8" t="s">
        <v>56</v>
      </c>
      <c r="BE1199" s="8" t="s">
        <v>56</v>
      </c>
      <c r="BF1199" s="8">
        <v>31</v>
      </c>
      <c r="BG1199" s="8" t="s">
        <v>56</v>
      </c>
      <c r="BH1199" s="8" t="s">
        <v>56</v>
      </c>
      <c r="BI1199" s="8">
        <v>459</v>
      </c>
      <c r="BJ1199" s="8">
        <v>4</v>
      </c>
      <c r="BK1199" s="8" t="s">
        <v>533</v>
      </c>
      <c r="BL1199" s="8" t="s">
        <v>531</v>
      </c>
      <c r="BM1199" s="8" t="s">
        <v>86</v>
      </c>
      <c r="BN1199" s="8" t="s">
        <v>81</v>
      </c>
      <c r="BO1199" s="8" t="s">
        <v>82</v>
      </c>
      <c r="BP1199" s="8" t="s">
        <v>9</v>
      </c>
      <c r="BQ1199" s="8" t="s">
        <v>9</v>
      </c>
      <c r="BR1199" s="8" t="s">
        <v>84</v>
      </c>
      <c r="BS1199" s="8"/>
      <c r="BT1199" s="8">
        <v>8.09</v>
      </c>
      <c r="BU1199" s="8">
        <v>91.911765000000003</v>
      </c>
      <c r="BV1199" s="8">
        <v>1.97</v>
      </c>
      <c r="BW1199" s="8">
        <f>BV1199*SQRT(AK1199)</f>
        <v>4.4050539156745856</v>
      </c>
      <c r="BX1199" s="8">
        <v>77.45</v>
      </c>
      <c r="BY1199" s="8">
        <v>22.549019600000001</v>
      </c>
      <c r="BZ1199" s="8">
        <v>77.45</v>
      </c>
      <c r="CA1199" s="8">
        <f>BZ1199*SQRT(AL1199)</f>
        <v>173.18346485735873</v>
      </c>
      <c r="CB1199" s="8">
        <v>0</v>
      </c>
      <c r="CC1199" s="8">
        <v>5</v>
      </c>
      <c r="CD1199" s="8">
        <v>-1.405</v>
      </c>
      <c r="CE1199" s="8">
        <v>11.7982</v>
      </c>
      <c r="CF1199" s="8" t="s">
        <v>1134</v>
      </c>
    </row>
    <row r="1200" spans="1:84" hidden="1" x14ac:dyDescent="0.2">
      <c r="A1200" s="8"/>
      <c r="B1200" t="str">
        <f>ROW()-1&amp;"_AltersInvert"</f>
        <v>1199_AltersInvert</v>
      </c>
      <c r="C1200" t="str">
        <f>D1200&amp;"_"&amp;
SUBSTITUTE(TRIM(V1200)," ","_")&amp;"_"&amp;
TRIM(AC1200)&amp;"_"&amp;
"CO2"&amp;TEXT(AN1200,"0.00")&amp;"_"&amp;
"pH"&amp;TEXT(AR1200,"0.00")&amp;"_"&amp;
"T"&amp;TEXT(BC1200,"0.##")</f>
        <v>104_Arachnoides_placenta_EMBRYO_CO2565.00_pH8.07_T25.9</v>
      </c>
      <c r="D1200" s="8">
        <v>104</v>
      </c>
      <c r="E1200" s="8"/>
      <c r="F1200" s="8"/>
      <c r="G1200" s="8" t="s">
        <v>43</v>
      </c>
      <c r="H1200" s="8" t="s">
        <v>788</v>
      </c>
      <c r="I1200" s="8" t="s">
        <v>1130</v>
      </c>
      <c r="J1200" s="8">
        <v>2017</v>
      </c>
      <c r="K1200" s="8"/>
      <c r="L1200" s="8"/>
      <c r="M1200" s="8" t="s">
        <v>789</v>
      </c>
      <c r="N1200" s="8"/>
      <c r="O1200" s="8"/>
      <c r="P1200" t="s">
        <v>1135</v>
      </c>
      <c r="Q1200" s="8"/>
      <c r="R1200" s="8" t="s">
        <v>1127</v>
      </c>
      <c r="S1200" t="s">
        <v>1128</v>
      </c>
      <c r="T1200" s="8" t="s">
        <v>46</v>
      </c>
      <c r="U1200" s="8" t="s">
        <v>794</v>
      </c>
      <c r="V1200" s="8" t="s">
        <v>795</v>
      </c>
      <c r="W1200" s="8" t="str">
        <f>IF(ISNUMBER(MATCH(V594,{"Doryteuthis pealeii","Loligo vulgaris","Leptuca thayeri","Stylocheilus striatus","Ophryotrocha labronica"},0)),"N","Y")</f>
        <v>Y</v>
      </c>
      <c r="X1200" s="8"/>
      <c r="Y1200" s="8"/>
      <c r="Z1200" s="8" t="s">
        <v>106</v>
      </c>
      <c r="AA1200" s="8" t="s">
        <v>107</v>
      </c>
      <c r="AB1200" s="8" t="s">
        <v>71</v>
      </c>
      <c r="AC1200" s="8" t="s">
        <v>195</v>
      </c>
      <c r="AD1200" s="8" t="s">
        <v>52</v>
      </c>
      <c r="AE1200" s="8" t="s">
        <v>53</v>
      </c>
      <c r="AF1200" s="8" t="s">
        <v>52</v>
      </c>
      <c r="AG1200" s="8" t="s">
        <v>54</v>
      </c>
      <c r="AH1200" s="8" t="s">
        <v>55</v>
      </c>
      <c r="AI1200" s="8"/>
      <c r="AJ1200" s="8"/>
      <c r="AK1200" s="8">
        <v>4</v>
      </c>
      <c r="AL1200" s="8">
        <v>4</v>
      </c>
      <c r="AM1200" s="8"/>
      <c r="AN1200" s="8">
        <v>565</v>
      </c>
      <c r="AO1200" s="8" t="s">
        <v>56</v>
      </c>
      <c r="AP1200" s="8" t="s">
        <v>56</v>
      </c>
      <c r="AQ1200" s="8" t="s">
        <v>118</v>
      </c>
      <c r="AR1200" s="8">
        <v>8.07</v>
      </c>
      <c r="AS1200" s="8" t="s">
        <v>56</v>
      </c>
      <c r="AT1200" s="8" t="s">
        <v>56</v>
      </c>
      <c r="AU1200" s="8">
        <v>963</v>
      </c>
      <c r="AV1200" t="s">
        <v>56</v>
      </c>
      <c r="AW1200" t="s">
        <v>56</v>
      </c>
      <c r="AX1200">
        <v>7.87</v>
      </c>
      <c r="AY1200" t="s">
        <v>56</v>
      </c>
      <c r="AZ1200" t="s">
        <v>56</v>
      </c>
      <c r="BA1200" s="8"/>
      <c r="BB1200" s="8">
        <f>LOG(AU1200)</f>
        <v>2.9836262871245345</v>
      </c>
      <c r="BC1200" s="8">
        <v>25.9</v>
      </c>
      <c r="BD1200" s="8" t="s">
        <v>56</v>
      </c>
      <c r="BE1200" s="8" t="s">
        <v>56</v>
      </c>
      <c r="BF1200" s="8">
        <v>25.9</v>
      </c>
      <c r="BG1200" s="8" t="s">
        <v>56</v>
      </c>
      <c r="BH1200" s="8" t="s">
        <v>56</v>
      </c>
      <c r="BI1200" s="8">
        <v>398</v>
      </c>
      <c r="BJ1200" s="8">
        <v>0</v>
      </c>
      <c r="BK1200" s="8" t="s">
        <v>56</v>
      </c>
      <c r="BL1200" s="8" t="s">
        <v>800</v>
      </c>
      <c r="BM1200" s="8" t="s">
        <v>473</v>
      </c>
      <c r="BN1200" s="8" t="s">
        <v>81</v>
      </c>
      <c r="BO1200" s="8" t="s">
        <v>82</v>
      </c>
      <c r="BP1200" s="8" t="s">
        <v>190</v>
      </c>
      <c r="BQ1200" s="8" t="s">
        <v>9</v>
      </c>
      <c r="BR1200" s="8" t="s">
        <v>84</v>
      </c>
      <c r="BS1200" s="8"/>
      <c r="BT1200" s="8">
        <v>91.11</v>
      </c>
      <c r="BU1200" s="8">
        <v>91.111110999999994</v>
      </c>
      <c r="BV1200" s="8">
        <v>2.2200000000000002</v>
      </c>
      <c r="BW1200" s="8">
        <f>BV1200*SQRT(AK1200)</f>
        <v>4.4400000000000004</v>
      </c>
      <c r="BX1200" s="8">
        <v>89.63</v>
      </c>
      <c r="BY1200" s="8">
        <v>89.629629600000001</v>
      </c>
      <c r="BZ1200" s="8">
        <v>2.2200000000000002</v>
      </c>
      <c r="CA1200" s="8">
        <f>BZ1200*SQRT(AL1200)</f>
        <v>4.4400000000000004</v>
      </c>
      <c r="CB1200" s="8">
        <v>1</v>
      </c>
      <c r="CC1200" s="8">
        <v>4</v>
      </c>
      <c r="CD1200" s="8">
        <v>-1.6E-2</v>
      </c>
      <c r="CE1200" s="8">
        <v>1.1999999999999999E-3</v>
      </c>
      <c r="CF1200" s="8" t="s">
        <v>1134</v>
      </c>
    </row>
    <row r="1201" spans="1:84" hidden="1" x14ac:dyDescent="0.2">
      <c r="A1201" s="8"/>
      <c r="B1201" t="str">
        <f>ROW()-1&amp;"_AltersInvert"</f>
        <v>1200_AltersInvert</v>
      </c>
      <c r="C1201" t="str">
        <f>D1201&amp;"_"&amp;
SUBSTITUTE(TRIM(V1201)," ","_")&amp;"_"&amp;
TRIM(AC1201)&amp;"_"&amp;
"CO2"&amp;TEXT(AN1201,"0.00")&amp;"_"&amp;
"pH"&amp;TEXT(AR1201,"0.00")&amp;"_"&amp;
"T"&amp;TEXT(BC1201,"0.##")</f>
        <v>104_Arachnoides_placenta_EMBRYO_CO2565.00_pH8.07_T25.9</v>
      </c>
      <c r="D1201" s="8">
        <v>104</v>
      </c>
      <c r="E1201" s="8"/>
      <c r="F1201" s="8"/>
      <c r="G1201" s="8" t="s">
        <v>43</v>
      </c>
      <c r="H1201" s="8" t="s">
        <v>788</v>
      </c>
      <c r="I1201" s="8" t="s">
        <v>1130</v>
      </c>
      <c r="J1201" s="8">
        <v>2017</v>
      </c>
      <c r="K1201" s="8"/>
      <c r="L1201" s="8"/>
      <c r="M1201" s="8" t="s">
        <v>789</v>
      </c>
      <c r="N1201" s="8"/>
      <c r="O1201" s="8"/>
      <c r="P1201" t="s">
        <v>1135</v>
      </c>
      <c r="Q1201" s="8"/>
      <c r="R1201" s="8" t="s">
        <v>1127</v>
      </c>
      <c r="S1201" t="s">
        <v>1128</v>
      </c>
      <c r="T1201" s="8" t="s">
        <v>46</v>
      </c>
      <c r="U1201" s="8" t="s">
        <v>794</v>
      </c>
      <c r="V1201" s="8" t="s">
        <v>795</v>
      </c>
      <c r="W1201" s="8" t="str">
        <f>IF(ISNUMBER(MATCH(V595,{"Doryteuthis pealeii","Loligo vulgaris","Leptuca thayeri","Stylocheilus striatus","Ophryotrocha labronica"},0)),"N","Y")</f>
        <v>Y</v>
      </c>
      <c r="X1201" s="8"/>
      <c r="Y1201" s="8"/>
      <c r="Z1201" s="8" t="s">
        <v>106</v>
      </c>
      <c r="AA1201" s="8" t="s">
        <v>107</v>
      </c>
      <c r="AB1201" s="8" t="s">
        <v>71</v>
      </c>
      <c r="AC1201" s="8" t="s">
        <v>195</v>
      </c>
      <c r="AD1201" s="8" t="s">
        <v>52</v>
      </c>
      <c r="AE1201" s="8" t="s">
        <v>53</v>
      </c>
      <c r="AF1201" s="8" t="s">
        <v>54</v>
      </c>
      <c r="AG1201" s="8" t="s">
        <v>52</v>
      </c>
      <c r="AH1201" s="8" t="s">
        <v>65</v>
      </c>
      <c r="AI1201" s="8"/>
      <c r="AJ1201" s="8"/>
      <c r="AK1201" s="8">
        <v>4</v>
      </c>
      <c r="AL1201" s="8">
        <v>4</v>
      </c>
      <c r="AM1201" s="8"/>
      <c r="AN1201" s="8">
        <v>565</v>
      </c>
      <c r="AO1201" s="8" t="s">
        <v>56</v>
      </c>
      <c r="AP1201" s="8" t="s">
        <v>56</v>
      </c>
      <c r="AQ1201" s="8" t="s">
        <v>118</v>
      </c>
      <c r="AR1201" s="8">
        <v>8.07</v>
      </c>
      <c r="AS1201" s="8" t="s">
        <v>56</v>
      </c>
      <c r="AT1201" s="8" t="s">
        <v>56</v>
      </c>
      <c r="AU1201" s="8">
        <v>565</v>
      </c>
      <c r="AV1201" t="s">
        <v>56</v>
      </c>
      <c r="AW1201" t="s">
        <v>56</v>
      </c>
      <c r="AX1201">
        <v>8.08</v>
      </c>
      <c r="AY1201" t="s">
        <v>56</v>
      </c>
      <c r="AZ1201" t="s">
        <v>56</v>
      </c>
      <c r="BA1201" s="8"/>
      <c r="BB1201" s="8">
        <f>LOG(AU1201)</f>
        <v>2.7520484478194387</v>
      </c>
      <c r="BC1201" s="8">
        <v>25.9</v>
      </c>
      <c r="BD1201" s="8" t="s">
        <v>56</v>
      </c>
      <c r="BE1201" s="8" t="s">
        <v>56</v>
      </c>
      <c r="BF1201" s="8">
        <v>34.799999999999997</v>
      </c>
      <c r="BG1201" s="8" t="s">
        <v>56</v>
      </c>
      <c r="BH1201" s="8" t="s">
        <v>56</v>
      </c>
      <c r="BI1201" s="8">
        <v>0</v>
      </c>
      <c r="BJ1201" s="8">
        <v>8.9</v>
      </c>
      <c r="BK1201" s="8" t="s">
        <v>56</v>
      </c>
      <c r="BL1201" s="8" t="s">
        <v>800</v>
      </c>
      <c r="BM1201" s="8" t="s">
        <v>473</v>
      </c>
      <c r="BN1201" s="8" t="s">
        <v>81</v>
      </c>
      <c r="BO1201" s="8" t="s">
        <v>82</v>
      </c>
      <c r="BP1201" s="8" t="s">
        <v>190</v>
      </c>
      <c r="BQ1201" s="8" t="s">
        <v>9</v>
      </c>
      <c r="BR1201" s="8" t="s">
        <v>84</v>
      </c>
      <c r="BS1201" s="8"/>
      <c r="BT1201" s="8">
        <v>91.11</v>
      </c>
      <c r="BU1201" s="8">
        <v>91.111110999999994</v>
      </c>
      <c r="BV1201" s="8">
        <v>2.2200000000000002</v>
      </c>
      <c r="BW1201" s="8">
        <f>BV1201*SQRT(AK1201)</f>
        <v>4.4400000000000004</v>
      </c>
      <c r="BX1201" s="8">
        <v>74.069999999999993</v>
      </c>
      <c r="BY1201" s="8">
        <v>74.074074100000004</v>
      </c>
      <c r="BZ1201" s="8">
        <v>1.48</v>
      </c>
      <c r="CA1201" s="8">
        <f>BZ1201*SQRT(AL1201)</f>
        <v>2.96</v>
      </c>
      <c r="CB1201" s="8">
        <v>1</v>
      </c>
      <c r="CC1201" s="8">
        <v>4</v>
      </c>
      <c r="CD1201" s="8">
        <v>-0.20699999999999999</v>
      </c>
      <c r="CE1201" s="8">
        <v>1E-3</v>
      </c>
      <c r="CF1201" s="8" t="s">
        <v>1134</v>
      </c>
    </row>
    <row r="1202" spans="1:84" hidden="1" x14ac:dyDescent="0.2">
      <c r="A1202" s="8"/>
      <c r="B1202" t="str">
        <f>ROW()-1&amp;"_AltersInvert"</f>
        <v>1201_AltersInvert</v>
      </c>
      <c r="C1202" t="str">
        <f>D1202&amp;"_"&amp;
SUBSTITUTE(TRIM(V1202)," ","_")&amp;"_"&amp;
TRIM(AC1202)&amp;"_"&amp;
"CO2"&amp;TEXT(AN1202,"0.00")&amp;"_"&amp;
"pH"&amp;TEXT(AR1202,"0.00")&amp;"_"&amp;
"T"&amp;TEXT(BC1202,"0.##")</f>
        <v>104_Arachnoides_placenta_EMBRYO_CO2565.00_pH8.07_T25.9</v>
      </c>
      <c r="D1202" s="8">
        <v>104</v>
      </c>
      <c r="E1202" s="8"/>
      <c r="F1202" s="8"/>
      <c r="G1202" s="8" t="s">
        <v>43</v>
      </c>
      <c r="H1202" s="8" t="s">
        <v>788</v>
      </c>
      <c r="I1202" s="8" t="s">
        <v>1130</v>
      </c>
      <c r="J1202" s="8">
        <v>2017</v>
      </c>
      <c r="K1202" s="8"/>
      <c r="L1202" s="8"/>
      <c r="M1202" s="8" t="s">
        <v>789</v>
      </c>
      <c r="N1202" s="8"/>
      <c r="O1202" s="8"/>
      <c r="P1202" t="s">
        <v>1135</v>
      </c>
      <c r="Q1202" s="8"/>
      <c r="R1202" s="8" t="s">
        <v>1127</v>
      </c>
      <c r="S1202" t="s">
        <v>1128</v>
      </c>
      <c r="T1202" s="8" t="s">
        <v>46</v>
      </c>
      <c r="U1202" s="8" t="s">
        <v>794</v>
      </c>
      <c r="V1202" s="8" t="s">
        <v>795</v>
      </c>
      <c r="W1202" s="8" t="str">
        <f>IF(ISNUMBER(MATCH(V596,{"Doryteuthis pealeii","Loligo vulgaris","Leptuca thayeri","Stylocheilus striatus","Ophryotrocha labronica"},0)),"N","Y")</f>
        <v>Y</v>
      </c>
      <c r="X1202" s="8"/>
      <c r="Y1202" s="8"/>
      <c r="Z1202" s="8" t="s">
        <v>106</v>
      </c>
      <c r="AA1202" s="8" t="s">
        <v>107</v>
      </c>
      <c r="AB1202" s="8" t="s">
        <v>71</v>
      </c>
      <c r="AC1202" s="8" t="s">
        <v>195</v>
      </c>
      <c r="AD1202" s="8" t="s">
        <v>52</v>
      </c>
      <c r="AE1202" s="8" t="s">
        <v>53</v>
      </c>
      <c r="AF1202" s="8" t="s">
        <v>52</v>
      </c>
      <c r="AG1202" s="8" t="s">
        <v>52</v>
      </c>
      <c r="AH1202" s="8" t="s">
        <v>64</v>
      </c>
      <c r="AI1202" s="8"/>
      <c r="AJ1202" s="8"/>
      <c r="AK1202" s="8">
        <v>4</v>
      </c>
      <c r="AL1202" s="8">
        <v>4</v>
      </c>
      <c r="AM1202" s="8"/>
      <c r="AN1202" s="8">
        <v>565</v>
      </c>
      <c r="AO1202" s="8" t="s">
        <v>56</v>
      </c>
      <c r="AP1202" s="8" t="s">
        <v>56</v>
      </c>
      <c r="AQ1202" s="8" t="s">
        <v>118</v>
      </c>
      <c r="AR1202" s="8">
        <v>8.07</v>
      </c>
      <c r="AS1202" s="8" t="s">
        <v>56</v>
      </c>
      <c r="AT1202" s="8" t="s">
        <v>56</v>
      </c>
      <c r="AU1202" s="8">
        <v>963</v>
      </c>
      <c r="AV1202" t="s">
        <v>56</v>
      </c>
      <c r="AW1202" t="s">
        <v>56</v>
      </c>
      <c r="AX1202">
        <v>7.89</v>
      </c>
      <c r="AY1202" t="s">
        <v>56</v>
      </c>
      <c r="AZ1202" t="s">
        <v>56</v>
      </c>
      <c r="BA1202" s="8"/>
      <c r="BB1202" s="8">
        <f>LOG(AU1202)</f>
        <v>2.9836262871245345</v>
      </c>
      <c r="BC1202" s="8">
        <v>25.9</v>
      </c>
      <c r="BD1202" s="8" t="s">
        <v>56</v>
      </c>
      <c r="BE1202" s="8" t="s">
        <v>56</v>
      </c>
      <c r="BF1202" s="8">
        <v>34.799999999999997</v>
      </c>
      <c r="BG1202" s="8" t="s">
        <v>56</v>
      </c>
      <c r="BH1202" s="8" t="s">
        <v>56</v>
      </c>
      <c r="BI1202" s="8">
        <v>398</v>
      </c>
      <c r="BJ1202" s="8">
        <v>8.9</v>
      </c>
      <c r="BK1202" s="8" t="s">
        <v>56</v>
      </c>
      <c r="BL1202" s="8" t="s">
        <v>800</v>
      </c>
      <c r="BM1202" s="8" t="s">
        <v>473</v>
      </c>
      <c r="BN1202" s="8" t="s">
        <v>81</v>
      </c>
      <c r="BO1202" s="8" t="s">
        <v>82</v>
      </c>
      <c r="BP1202" s="8" t="s">
        <v>190</v>
      </c>
      <c r="BQ1202" s="8" t="s">
        <v>9</v>
      </c>
      <c r="BR1202" s="8" t="s">
        <v>84</v>
      </c>
      <c r="BS1202" s="8"/>
      <c r="BT1202" s="8">
        <v>91.11</v>
      </c>
      <c r="BU1202" s="8">
        <v>91.111110999999994</v>
      </c>
      <c r="BV1202" s="8">
        <v>2.2200000000000002</v>
      </c>
      <c r="BW1202" s="8">
        <f>BV1202*SQRT(AK1202)</f>
        <v>4.4400000000000004</v>
      </c>
      <c r="BX1202" s="8">
        <v>72.59</v>
      </c>
      <c r="BY1202" s="8">
        <v>72.592592600000003</v>
      </c>
      <c r="BZ1202" s="8">
        <v>5.93</v>
      </c>
      <c r="CA1202" s="8">
        <f>BZ1202*SQRT(AL1202)</f>
        <v>11.86</v>
      </c>
      <c r="CB1202" s="8">
        <v>1</v>
      </c>
      <c r="CC1202" s="8">
        <v>4</v>
      </c>
      <c r="CD1202" s="8">
        <v>-0.22700000000000001</v>
      </c>
      <c r="CE1202" s="8">
        <v>7.3000000000000001E-3</v>
      </c>
      <c r="CF1202" s="8" t="s">
        <v>1134</v>
      </c>
    </row>
    <row r="1203" spans="1:84" hidden="1" x14ac:dyDescent="0.2">
      <c r="B1203" t="str">
        <f>ROW()-1&amp;"_AltersInvert"</f>
        <v>1202_AltersInvert</v>
      </c>
      <c r="C1203" t="str">
        <f>D1203&amp;"_"&amp;
SUBSTITUTE(TRIM(V1203)," ","_")&amp;"_"&amp;
TRIM(AC1203)&amp;"_"&amp;
"CO2"&amp;TEXT(AN1203,"0.00")&amp;"_"&amp;
"pH"&amp;TEXT(AR1203,"0.00")&amp;"_"&amp;
"T"&amp;TEXT(BC1203,"0.##")</f>
        <v>191_Pandalus_Borealis_LARVA_CO2406.00_pH8.11_T6.7</v>
      </c>
      <c r="D1203">
        <v>191</v>
      </c>
      <c r="G1203" t="s">
        <v>43</v>
      </c>
      <c r="H1203" t="s">
        <v>901</v>
      </c>
      <c r="J1203">
        <v>2013</v>
      </c>
      <c r="M1203" t="s">
        <v>67</v>
      </c>
      <c r="P1203" t="s">
        <v>1135</v>
      </c>
      <c r="R1203" t="s">
        <v>1127</v>
      </c>
      <c r="S1203" t="s">
        <v>1128</v>
      </c>
      <c r="T1203" t="s">
        <v>131</v>
      </c>
      <c r="U1203" t="s">
        <v>902</v>
      </c>
      <c r="V1203" t="s">
        <v>903</v>
      </c>
      <c r="Z1203" t="s">
        <v>475</v>
      </c>
      <c r="AA1203" t="s">
        <v>475</v>
      </c>
      <c r="AB1203" t="s">
        <v>71</v>
      </c>
      <c r="AC1203" t="s">
        <v>72</v>
      </c>
      <c r="AD1203" t="s">
        <v>52</v>
      </c>
      <c r="AE1203" t="s">
        <v>53</v>
      </c>
      <c r="AF1203" t="s">
        <v>52</v>
      </c>
      <c r="AG1203" t="s">
        <v>54</v>
      </c>
      <c r="AH1203" t="s">
        <v>55</v>
      </c>
      <c r="AK1203">
        <v>23</v>
      </c>
      <c r="AL1203">
        <v>23</v>
      </c>
      <c r="AN1203">
        <v>406</v>
      </c>
      <c r="AO1203" t="s">
        <v>56</v>
      </c>
      <c r="AP1203" t="s">
        <v>56</v>
      </c>
      <c r="AQ1203" t="s">
        <v>57</v>
      </c>
      <c r="AR1203">
        <v>8.11</v>
      </c>
      <c r="AS1203" t="s">
        <v>56</v>
      </c>
      <c r="AT1203" t="s">
        <v>56</v>
      </c>
      <c r="AU1203">
        <v>1238</v>
      </c>
      <c r="AV1203" t="s">
        <v>56</v>
      </c>
      <c r="AW1203" t="s">
        <v>56</v>
      </c>
      <c r="AX1203">
        <v>7.65</v>
      </c>
      <c r="AY1203" t="s">
        <v>56</v>
      </c>
      <c r="AZ1203" t="s">
        <v>56</v>
      </c>
      <c r="BB1203">
        <f>LOG(AU1203)</f>
        <v>3.0927206446840994</v>
      </c>
      <c r="BC1203">
        <v>6.7</v>
      </c>
      <c r="BD1203">
        <v>0.2</v>
      </c>
      <c r="BE1203" t="s">
        <v>56</v>
      </c>
      <c r="BF1203">
        <v>6.7</v>
      </c>
      <c r="BG1203">
        <v>0.2</v>
      </c>
      <c r="BH1203" t="s">
        <v>56</v>
      </c>
      <c r="BI1203">
        <v>832</v>
      </c>
      <c r="BJ1203">
        <v>0</v>
      </c>
      <c r="BK1203" t="s">
        <v>56</v>
      </c>
      <c r="BL1203" t="s">
        <v>908</v>
      </c>
      <c r="BM1203" t="s">
        <v>197</v>
      </c>
      <c r="BN1203" t="s">
        <v>81</v>
      </c>
      <c r="BO1203" t="s">
        <v>82</v>
      </c>
      <c r="BP1203" t="s">
        <v>83</v>
      </c>
      <c r="BQ1203" t="s">
        <v>190</v>
      </c>
      <c r="BR1203" t="s">
        <v>84</v>
      </c>
      <c r="BT1203">
        <v>98.74</v>
      </c>
      <c r="BU1203">
        <v>98.74</v>
      </c>
      <c r="BV1203">
        <v>0.93</v>
      </c>
      <c r="BW1203">
        <f>BV1203*SQRT(AK1203)</f>
        <v>4.4601233166808294</v>
      </c>
      <c r="BX1203">
        <v>98.7</v>
      </c>
      <c r="BY1203">
        <v>98.7</v>
      </c>
      <c r="BZ1203">
        <v>0.3</v>
      </c>
      <c r="CA1203">
        <f>BZ1203*SQRT(AL1203)</f>
        <v>1.4387494569938157</v>
      </c>
      <c r="CB1203">
        <v>16</v>
      </c>
      <c r="CC1203">
        <v>8</v>
      </c>
      <c r="CD1203">
        <v>0</v>
      </c>
      <c r="CE1203">
        <v>1E-4</v>
      </c>
    </row>
    <row r="1204" spans="1:84" hidden="1" x14ac:dyDescent="0.2">
      <c r="B1204" t="str">
        <f>ROW()-1&amp;"_AltersInvert"</f>
        <v>1203_AltersInvert</v>
      </c>
      <c r="C1204" t="str">
        <f>D1204&amp;"_"&amp;
SUBSTITUTE(TRIM(V1204)," ","_")&amp;"_"&amp;
TRIM(AC1204)&amp;"_"&amp;
"CO2"&amp;TEXT(AN1204,"0.00")&amp;"_"&amp;
"pH"&amp;TEXT(AR1204,"0.00")&amp;"_"&amp;
"T"&amp;TEXT(BC1204,"0.##")</f>
        <v>191_Pandalus_Borealis_LARVA_CO2406.00_pH8.11_T6.7</v>
      </c>
      <c r="D1204">
        <v>191</v>
      </c>
      <c r="G1204" t="s">
        <v>43</v>
      </c>
      <c r="H1204" t="s">
        <v>901</v>
      </c>
      <c r="J1204">
        <v>2013</v>
      </c>
      <c r="M1204" t="s">
        <v>67</v>
      </c>
      <c r="P1204" t="s">
        <v>1135</v>
      </c>
      <c r="R1204" t="s">
        <v>1127</v>
      </c>
      <c r="S1204" t="s">
        <v>1128</v>
      </c>
      <c r="T1204" t="s">
        <v>131</v>
      </c>
      <c r="U1204" t="s">
        <v>902</v>
      </c>
      <c r="V1204" t="s">
        <v>903</v>
      </c>
      <c r="Z1204" t="s">
        <v>475</v>
      </c>
      <c r="AA1204" t="s">
        <v>475</v>
      </c>
      <c r="AB1204" t="s">
        <v>71</v>
      </c>
      <c r="AC1204" t="s">
        <v>72</v>
      </c>
      <c r="AD1204" t="s">
        <v>52</v>
      </c>
      <c r="AE1204" t="s">
        <v>53</v>
      </c>
      <c r="AF1204" t="s">
        <v>54</v>
      </c>
      <c r="AG1204" t="s">
        <v>52</v>
      </c>
      <c r="AH1204" t="s">
        <v>65</v>
      </c>
      <c r="AK1204">
        <v>23</v>
      </c>
      <c r="AL1204">
        <v>23</v>
      </c>
      <c r="AN1204">
        <v>406</v>
      </c>
      <c r="AO1204" t="s">
        <v>56</v>
      </c>
      <c r="AP1204" t="s">
        <v>56</v>
      </c>
      <c r="AQ1204" t="s">
        <v>57</v>
      </c>
      <c r="AR1204">
        <v>8.11</v>
      </c>
      <c r="AS1204" t="s">
        <v>56</v>
      </c>
      <c r="AT1204" t="s">
        <v>56</v>
      </c>
      <c r="AU1204">
        <v>443</v>
      </c>
      <c r="AV1204" t="s">
        <v>56</v>
      </c>
      <c r="AW1204" t="s">
        <v>56</v>
      </c>
      <c r="AX1204">
        <v>8.08</v>
      </c>
      <c r="AY1204" t="s">
        <v>56</v>
      </c>
      <c r="AZ1204" t="s">
        <v>56</v>
      </c>
      <c r="BB1204">
        <f>LOG(AU1204)</f>
        <v>2.6464037262230695</v>
      </c>
      <c r="BC1204">
        <v>6.7</v>
      </c>
      <c r="BD1204">
        <v>0.2</v>
      </c>
      <c r="BE1204" t="s">
        <v>56</v>
      </c>
      <c r="BF1204">
        <v>9.5</v>
      </c>
      <c r="BG1204">
        <v>0.1</v>
      </c>
      <c r="BH1204" t="s">
        <v>56</v>
      </c>
      <c r="BI1204">
        <v>37</v>
      </c>
      <c r="BJ1204">
        <v>2.8</v>
      </c>
      <c r="BK1204" t="s">
        <v>56</v>
      </c>
      <c r="BL1204" t="s">
        <v>908</v>
      </c>
      <c r="BM1204" t="s">
        <v>197</v>
      </c>
      <c r="BN1204" t="s">
        <v>81</v>
      </c>
      <c r="BO1204" t="s">
        <v>82</v>
      </c>
      <c r="BP1204" t="s">
        <v>83</v>
      </c>
      <c r="BQ1204" t="s">
        <v>190</v>
      </c>
      <c r="BR1204" t="s">
        <v>84</v>
      </c>
      <c r="BT1204">
        <v>98.74</v>
      </c>
      <c r="BU1204">
        <v>98.74</v>
      </c>
      <c r="BV1204">
        <v>0.93</v>
      </c>
      <c r="BW1204">
        <f>BV1204*SQRT(AK1204)</f>
        <v>4.4601233166808294</v>
      </c>
      <c r="BX1204">
        <v>97</v>
      </c>
      <c r="BY1204">
        <v>97</v>
      </c>
      <c r="BZ1204">
        <v>0.97</v>
      </c>
      <c r="CA1204">
        <f>BZ1204*SQRT(AL1204)</f>
        <v>4.6519565776133378</v>
      </c>
      <c r="CB1204">
        <v>14</v>
      </c>
      <c r="CC1204">
        <v>8</v>
      </c>
      <c r="CD1204">
        <v>-1.7999999999999999E-2</v>
      </c>
      <c r="CE1204">
        <v>2.0000000000000001E-4</v>
      </c>
    </row>
    <row r="1205" spans="1:84" hidden="1" x14ac:dyDescent="0.2">
      <c r="B1205" t="str">
        <f>ROW()-1&amp;"_AltersInvert"</f>
        <v>1204_AltersInvert</v>
      </c>
      <c r="C1205" t="str">
        <f>D1205&amp;"_"&amp;
SUBSTITUTE(TRIM(V1205)," ","_")&amp;"_"&amp;
TRIM(AC1205)&amp;"_"&amp;
"CO2"&amp;TEXT(AN1205,"0.00")&amp;"_"&amp;
"pH"&amp;TEXT(AR1205,"0.00")&amp;"_"&amp;
"T"&amp;TEXT(BC1205,"0.##")</f>
        <v>191_Pandalus_Borealis_LARVA_CO2406.00_pH8.11_T6.7</v>
      </c>
      <c r="D1205">
        <v>191</v>
      </c>
      <c r="G1205" t="s">
        <v>43</v>
      </c>
      <c r="H1205" t="s">
        <v>901</v>
      </c>
      <c r="J1205">
        <v>2013</v>
      </c>
      <c r="M1205" t="s">
        <v>67</v>
      </c>
      <c r="P1205" t="s">
        <v>1135</v>
      </c>
      <c r="R1205" t="s">
        <v>1127</v>
      </c>
      <c r="S1205" t="s">
        <v>1128</v>
      </c>
      <c r="T1205" t="s">
        <v>131</v>
      </c>
      <c r="U1205" t="s">
        <v>902</v>
      </c>
      <c r="V1205" t="s">
        <v>903</v>
      </c>
      <c r="Z1205" t="s">
        <v>475</v>
      </c>
      <c r="AA1205" t="s">
        <v>475</v>
      </c>
      <c r="AB1205" t="s">
        <v>71</v>
      </c>
      <c r="AC1205" t="s">
        <v>72</v>
      </c>
      <c r="AD1205" t="s">
        <v>52</v>
      </c>
      <c r="AE1205" t="s">
        <v>53</v>
      </c>
      <c r="AF1205" t="s">
        <v>52</v>
      </c>
      <c r="AG1205" t="s">
        <v>52</v>
      </c>
      <c r="AH1205" t="s">
        <v>64</v>
      </c>
      <c r="AK1205">
        <v>23</v>
      </c>
      <c r="AL1205">
        <v>23</v>
      </c>
      <c r="AN1205">
        <v>406</v>
      </c>
      <c r="AO1205" t="s">
        <v>56</v>
      </c>
      <c r="AP1205" t="s">
        <v>56</v>
      </c>
      <c r="AQ1205" t="s">
        <v>57</v>
      </c>
      <c r="AR1205">
        <v>8.11</v>
      </c>
      <c r="AS1205" t="s">
        <v>56</v>
      </c>
      <c r="AT1205" t="s">
        <v>56</v>
      </c>
      <c r="AU1205">
        <v>1449</v>
      </c>
      <c r="AV1205" t="s">
        <v>56</v>
      </c>
      <c r="AW1205" t="s">
        <v>56</v>
      </c>
      <c r="AX1205">
        <v>7.6</v>
      </c>
      <c r="AY1205" t="s">
        <v>56</v>
      </c>
      <c r="AZ1205" t="s">
        <v>56</v>
      </c>
      <c r="BB1205">
        <f>LOG(AU1205)</f>
        <v>3.1610683854711747</v>
      </c>
      <c r="BC1205">
        <v>6.7</v>
      </c>
      <c r="BD1205">
        <v>0.2</v>
      </c>
      <c r="BE1205" t="s">
        <v>56</v>
      </c>
      <c r="BF1205">
        <v>9.5</v>
      </c>
      <c r="BG1205">
        <v>0.1</v>
      </c>
      <c r="BH1205" t="s">
        <v>56</v>
      </c>
      <c r="BI1205">
        <v>1043</v>
      </c>
      <c r="BJ1205">
        <v>2.8</v>
      </c>
      <c r="BK1205" t="s">
        <v>56</v>
      </c>
      <c r="BL1205" t="s">
        <v>908</v>
      </c>
      <c r="BM1205" t="s">
        <v>197</v>
      </c>
      <c r="BN1205" t="s">
        <v>81</v>
      </c>
      <c r="BO1205" t="s">
        <v>82</v>
      </c>
      <c r="BP1205" t="s">
        <v>83</v>
      </c>
      <c r="BQ1205" t="s">
        <v>190</v>
      </c>
      <c r="BR1205" t="s">
        <v>84</v>
      </c>
      <c r="BT1205">
        <v>98.74</v>
      </c>
      <c r="BU1205">
        <v>98.74</v>
      </c>
      <c r="BV1205">
        <v>0.93</v>
      </c>
      <c r="BW1205">
        <f>BV1205*SQRT(AK1205)</f>
        <v>4.4601233166808294</v>
      </c>
      <c r="BX1205">
        <v>95.2</v>
      </c>
      <c r="BY1205">
        <v>95.2</v>
      </c>
      <c r="BZ1205">
        <v>1</v>
      </c>
      <c r="CA1205">
        <f>BZ1205*SQRT(AL1205)</f>
        <v>4.7958315233127191</v>
      </c>
      <c r="CB1205">
        <v>14</v>
      </c>
      <c r="CC1205">
        <v>8</v>
      </c>
      <c r="CD1205">
        <v>-3.6999999999999998E-2</v>
      </c>
      <c r="CE1205">
        <v>2.0000000000000001E-4</v>
      </c>
    </row>
    <row r="1206" spans="1:84" hidden="1" x14ac:dyDescent="0.2">
      <c r="B1206" t="str">
        <f>ROW()-1&amp;"_AltersInvert"</f>
        <v>1205_AltersInvert</v>
      </c>
      <c r="C1206" t="str">
        <f>D1206&amp;"_"&amp;
SUBSTITUTE(TRIM(V1206)," ","_")&amp;"_"&amp;
TRIM(AC1206)&amp;"_"&amp;
"CO2"&amp;TEXT(AN1206,"0.00")&amp;"_"&amp;
"pH"&amp;TEXT(AR1206,"0.00")&amp;"_"&amp;
"T"&amp;TEXT(BC1206,"0.##")</f>
        <v>52_Pocillopora_damicornis_LARVA_CO2494.00_pH7.97_T27.8</v>
      </c>
      <c r="D1206">
        <v>52</v>
      </c>
      <c r="G1206" t="s">
        <v>43</v>
      </c>
      <c r="H1206" t="s">
        <v>536</v>
      </c>
      <c r="J1206">
        <v>2017</v>
      </c>
      <c r="M1206" t="s">
        <v>174</v>
      </c>
      <c r="P1206" t="s">
        <v>1135</v>
      </c>
      <c r="R1206" t="s">
        <v>1127</v>
      </c>
      <c r="S1206" t="s">
        <v>1128</v>
      </c>
      <c r="T1206" t="s">
        <v>103</v>
      </c>
      <c r="U1206" t="s">
        <v>201</v>
      </c>
      <c r="V1206" t="s">
        <v>214</v>
      </c>
      <c r="Z1206" t="s">
        <v>106</v>
      </c>
      <c r="AA1206" t="s">
        <v>107</v>
      </c>
      <c r="AB1206" t="s">
        <v>71</v>
      </c>
      <c r="AC1206" t="s">
        <v>72</v>
      </c>
      <c r="AD1206" t="s">
        <v>52</v>
      </c>
      <c r="AE1206" t="s">
        <v>53</v>
      </c>
      <c r="AF1206" t="s">
        <v>52</v>
      </c>
      <c r="AG1206" t="s">
        <v>54</v>
      </c>
      <c r="AH1206" t="s">
        <v>55</v>
      </c>
      <c r="AK1206">
        <v>4</v>
      </c>
      <c r="AL1206">
        <v>4</v>
      </c>
      <c r="AN1206">
        <v>494</v>
      </c>
      <c r="AO1206">
        <v>9</v>
      </c>
      <c r="AP1206" t="s">
        <v>56</v>
      </c>
      <c r="AQ1206" t="s">
        <v>109</v>
      </c>
      <c r="AR1206">
        <v>7.97</v>
      </c>
      <c r="AS1206">
        <v>0.01</v>
      </c>
      <c r="AT1206" t="s">
        <v>56</v>
      </c>
      <c r="AU1206">
        <v>923</v>
      </c>
      <c r="AV1206">
        <v>14</v>
      </c>
      <c r="AW1206" t="s">
        <v>56</v>
      </c>
      <c r="AX1206">
        <v>7.73</v>
      </c>
      <c r="AY1206">
        <v>0.01</v>
      </c>
      <c r="AZ1206" t="s">
        <v>56</v>
      </c>
      <c r="BB1206">
        <f>LOG(AU1206)</f>
        <v>2.965201701025912</v>
      </c>
      <c r="BC1206">
        <v>27.8</v>
      </c>
      <c r="BD1206">
        <v>0.2</v>
      </c>
      <c r="BE1206" t="s">
        <v>56</v>
      </c>
      <c r="BF1206">
        <v>27.7</v>
      </c>
      <c r="BG1206">
        <v>0.2</v>
      </c>
      <c r="BH1206" t="s">
        <v>56</v>
      </c>
      <c r="BI1206">
        <v>429</v>
      </c>
      <c r="BJ1206">
        <v>-0.1</v>
      </c>
      <c r="BK1206" t="s">
        <v>539</v>
      </c>
      <c r="BL1206" t="s">
        <v>542</v>
      </c>
      <c r="BM1206" t="s">
        <v>543</v>
      </c>
      <c r="BN1206" t="s">
        <v>60</v>
      </c>
      <c r="BO1206" t="s">
        <v>544</v>
      </c>
      <c r="BP1206" t="s">
        <v>194</v>
      </c>
      <c r="BQ1206" t="s">
        <v>194</v>
      </c>
      <c r="BR1206" t="s">
        <v>63</v>
      </c>
      <c r="BT1206">
        <v>-1.24</v>
      </c>
      <c r="BU1206">
        <v>-1.241071</v>
      </c>
      <c r="BV1206">
        <v>2.33</v>
      </c>
      <c r="BW1206">
        <f>BV1206*SQRT(AK1206)</f>
        <v>4.66</v>
      </c>
      <c r="BX1206">
        <v>-3.38</v>
      </c>
      <c r="BY1206">
        <v>-3.3839286</v>
      </c>
      <c r="BZ1206">
        <v>1.45</v>
      </c>
      <c r="CA1206">
        <f>BZ1206*SQRT(AL1206)</f>
        <v>2.9</v>
      </c>
      <c r="CB1206">
        <v>1</v>
      </c>
      <c r="CC1206">
        <v>2</v>
      </c>
      <c r="CD1206">
        <v>1.0029999999999999</v>
      </c>
      <c r="CE1206">
        <v>3.7084999999999999</v>
      </c>
    </row>
    <row r="1207" spans="1:84" hidden="1" x14ac:dyDescent="0.2">
      <c r="B1207" t="str">
        <f>ROW()-1&amp;"_AltersInvert"</f>
        <v>1206_AltersInvert</v>
      </c>
      <c r="C1207" t="str">
        <f>D1207&amp;"_"&amp;
SUBSTITUTE(TRIM(V1207)," ","_")&amp;"_"&amp;
TRIM(AC1207)&amp;"_"&amp;
"CO2"&amp;TEXT(AN1207,"0.00")&amp;"_"&amp;
"pH"&amp;TEXT(AR1207,"0.00")&amp;"_"&amp;
"T"&amp;TEXT(BC1207,"0.##")</f>
        <v>52_Pocillopora_damicornis_LARVA_CO2494.00_pH7.97_T27.8</v>
      </c>
      <c r="D1207">
        <v>52</v>
      </c>
      <c r="G1207" t="s">
        <v>43</v>
      </c>
      <c r="H1207" t="s">
        <v>536</v>
      </c>
      <c r="J1207">
        <v>2017</v>
      </c>
      <c r="M1207" t="s">
        <v>174</v>
      </c>
      <c r="P1207" t="s">
        <v>1135</v>
      </c>
      <c r="R1207" t="s">
        <v>1127</v>
      </c>
      <c r="S1207" t="s">
        <v>1128</v>
      </c>
      <c r="T1207" t="s">
        <v>103</v>
      </c>
      <c r="U1207" t="s">
        <v>201</v>
      </c>
      <c r="V1207" t="s">
        <v>214</v>
      </c>
      <c r="Z1207" t="s">
        <v>106</v>
      </c>
      <c r="AA1207" t="s">
        <v>107</v>
      </c>
      <c r="AB1207" t="s">
        <v>71</v>
      </c>
      <c r="AC1207" t="s">
        <v>72</v>
      </c>
      <c r="AD1207" t="s">
        <v>52</v>
      </c>
      <c r="AE1207" t="s">
        <v>53</v>
      </c>
      <c r="AF1207" t="s">
        <v>52</v>
      </c>
      <c r="AG1207" t="s">
        <v>52</v>
      </c>
      <c r="AH1207" t="s">
        <v>64</v>
      </c>
      <c r="AK1207">
        <v>4</v>
      </c>
      <c r="AL1207">
        <v>4</v>
      </c>
      <c r="AN1207">
        <v>494</v>
      </c>
      <c r="AO1207">
        <v>9</v>
      </c>
      <c r="AP1207" t="s">
        <v>56</v>
      </c>
      <c r="AQ1207" t="s">
        <v>109</v>
      </c>
      <c r="AR1207">
        <v>7.97</v>
      </c>
      <c r="AS1207">
        <v>0.01</v>
      </c>
      <c r="AT1207" t="s">
        <v>56</v>
      </c>
      <c r="AU1207">
        <v>900</v>
      </c>
      <c r="AV1207">
        <v>9</v>
      </c>
      <c r="AW1207" t="s">
        <v>56</v>
      </c>
      <c r="AX1207">
        <v>7.75</v>
      </c>
      <c r="AY1207">
        <v>0</v>
      </c>
      <c r="AZ1207" t="s">
        <v>56</v>
      </c>
      <c r="BB1207">
        <f>LOG(AU1207)</f>
        <v>2.9542425094393248</v>
      </c>
      <c r="BC1207">
        <v>27.8</v>
      </c>
      <c r="BD1207">
        <v>0.2</v>
      </c>
      <c r="BE1207" t="s">
        <v>56</v>
      </c>
      <c r="BF1207">
        <v>30.4</v>
      </c>
      <c r="BG1207">
        <v>0</v>
      </c>
      <c r="BH1207" t="s">
        <v>56</v>
      </c>
      <c r="BI1207">
        <v>406</v>
      </c>
      <c r="BJ1207">
        <v>2.7</v>
      </c>
      <c r="BK1207" t="s">
        <v>539</v>
      </c>
      <c r="BL1207" t="s">
        <v>542</v>
      </c>
      <c r="BM1207" t="s">
        <v>543</v>
      </c>
      <c r="BN1207" t="s">
        <v>60</v>
      </c>
      <c r="BO1207" t="s">
        <v>544</v>
      </c>
      <c r="BP1207" t="s">
        <v>194</v>
      </c>
      <c r="BQ1207" t="s">
        <v>194</v>
      </c>
      <c r="BR1207" t="s">
        <v>63</v>
      </c>
      <c r="BT1207">
        <v>-1.24</v>
      </c>
      <c r="BU1207">
        <v>-1.241071</v>
      </c>
      <c r="BV1207">
        <v>2.33</v>
      </c>
      <c r="BW1207">
        <f>BV1207*SQRT(AK1207)</f>
        <v>4.66</v>
      </c>
      <c r="BX1207">
        <v>-1.43</v>
      </c>
      <c r="BY1207">
        <v>-1.4285714</v>
      </c>
      <c r="BZ1207">
        <v>0.43</v>
      </c>
      <c r="CA1207">
        <f>BZ1207*SQRT(AL1207)</f>
        <v>0.86</v>
      </c>
      <c r="CB1207">
        <v>1</v>
      </c>
      <c r="CC1207">
        <v>2</v>
      </c>
      <c r="CD1207">
        <v>0.14099999999999999</v>
      </c>
      <c r="CE1207">
        <v>3.6156999999999999</v>
      </c>
    </row>
    <row r="1208" spans="1:84" hidden="1" x14ac:dyDescent="0.2">
      <c r="D1208">
        <v>85</v>
      </c>
      <c r="G1208" t="s">
        <v>43</v>
      </c>
      <c r="H1208" t="s">
        <v>719</v>
      </c>
      <c r="J1208">
        <v>2018</v>
      </c>
      <c r="M1208" t="s">
        <v>308</v>
      </c>
      <c r="T1208" t="s">
        <v>68</v>
      </c>
      <c r="U1208" t="s">
        <v>167</v>
      </c>
      <c r="V1208" t="s">
        <v>720</v>
      </c>
      <c r="Z1208" t="s">
        <v>49</v>
      </c>
      <c r="AA1208" t="s">
        <v>49</v>
      </c>
      <c r="AB1208" t="s">
        <v>50</v>
      </c>
      <c r="AC1208" t="s">
        <v>51</v>
      </c>
      <c r="AD1208" t="s">
        <v>52</v>
      </c>
      <c r="AE1208" t="s">
        <v>53</v>
      </c>
      <c r="AF1208" t="s">
        <v>52</v>
      </c>
      <c r="AG1208" t="s">
        <v>52</v>
      </c>
      <c r="AH1208" t="s">
        <v>64</v>
      </c>
      <c r="AK1208">
        <v>4</v>
      </c>
      <c r="AL1208">
        <v>4</v>
      </c>
      <c r="AN1208">
        <v>597</v>
      </c>
      <c r="AO1208" t="s">
        <v>56</v>
      </c>
      <c r="AP1208">
        <v>146</v>
      </c>
      <c r="AQ1208" t="s">
        <v>57</v>
      </c>
      <c r="AR1208">
        <v>7.79</v>
      </c>
      <c r="AS1208" t="s">
        <v>56</v>
      </c>
      <c r="AT1208">
        <v>0.1</v>
      </c>
      <c r="AU1208">
        <v>1377</v>
      </c>
      <c r="AV1208" t="s">
        <v>56</v>
      </c>
      <c r="AW1208">
        <v>281</v>
      </c>
      <c r="AX1208">
        <v>7.56</v>
      </c>
      <c r="AY1208" t="s">
        <v>56</v>
      </c>
      <c r="AZ1208">
        <v>0.1</v>
      </c>
      <c r="BB1208">
        <f>LOG(AU1208)</f>
        <v>3.1389339402569236</v>
      </c>
      <c r="BC1208">
        <v>16.899999999999999</v>
      </c>
      <c r="BD1208" t="s">
        <v>56</v>
      </c>
      <c r="BE1208">
        <v>0.2</v>
      </c>
      <c r="BF1208">
        <v>20.2</v>
      </c>
      <c r="BG1208" t="s">
        <v>56</v>
      </c>
      <c r="BH1208">
        <v>0.3</v>
      </c>
      <c r="BI1208">
        <v>780</v>
      </c>
      <c r="BJ1208">
        <v>3.3</v>
      </c>
      <c r="BK1208" t="s">
        <v>56</v>
      </c>
      <c r="BL1208" t="s">
        <v>365</v>
      </c>
      <c r="BM1208" t="s">
        <v>365</v>
      </c>
      <c r="BN1208" t="s">
        <v>81</v>
      </c>
      <c r="BO1208" t="s">
        <v>56</v>
      </c>
      <c r="BP1208" t="s">
        <v>92</v>
      </c>
      <c r="BR1208" t="s">
        <v>714</v>
      </c>
      <c r="BT1208">
        <v>3.46</v>
      </c>
      <c r="BU1208">
        <v>3.4647299999999999</v>
      </c>
      <c r="BV1208">
        <v>0.52</v>
      </c>
      <c r="BW1208">
        <f>BV1208*SQRT(AK1208)</f>
        <v>1.04</v>
      </c>
      <c r="BX1208">
        <v>1.66</v>
      </c>
      <c r="BY1208">
        <v>1.6559699999999999</v>
      </c>
      <c r="BZ1208">
        <v>0.4</v>
      </c>
      <c r="CA1208">
        <f>BZ1208*SQRT(AL1208)</f>
        <v>0.8</v>
      </c>
      <c r="CB1208">
        <v>84</v>
      </c>
      <c r="CC1208">
        <v>2</v>
      </c>
      <c r="CD1208">
        <v>-0.73799999999999999</v>
      </c>
      <c r="CE1208">
        <v>8.1299999999999997E-2</v>
      </c>
    </row>
    <row r="1209" spans="1:84" hidden="1" x14ac:dyDescent="0.2">
      <c r="D1209">
        <v>85</v>
      </c>
      <c r="G1209" t="s">
        <v>43</v>
      </c>
      <c r="H1209" t="s">
        <v>719</v>
      </c>
      <c r="J1209">
        <v>2018</v>
      </c>
      <c r="M1209" t="s">
        <v>308</v>
      </c>
      <c r="T1209" t="s">
        <v>68</v>
      </c>
      <c r="U1209" t="s">
        <v>167</v>
      </c>
      <c r="V1209" t="s">
        <v>720</v>
      </c>
      <c r="Z1209" t="s">
        <v>49</v>
      </c>
      <c r="AA1209" t="s">
        <v>49</v>
      </c>
      <c r="AB1209" t="s">
        <v>50</v>
      </c>
      <c r="AC1209" t="s">
        <v>51</v>
      </c>
      <c r="AD1209" t="s">
        <v>52</v>
      </c>
      <c r="AE1209" t="s">
        <v>53</v>
      </c>
      <c r="AF1209" t="s">
        <v>52</v>
      </c>
      <c r="AG1209" t="s">
        <v>52</v>
      </c>
      <c r="AH1209" t="s">
        <v>64</v>
      </c>
      <c r="AK1209">
        <v>4</v>
      </c>
      <c r="AL1209">
        <v>4</v>
      </c>
      <c r="AN1209">
        <v>597</v>
      </c>
      <c r="AO1209" t="s">
        <v>56</v>
      </c>
      <c r="AP1209">
        <v>146</v>
      </c>
      <c r="AQ1209" t="s">
        <v>57</v>
      </c>
      <c r="AR1209">
        <v>7.79</v>
      </c>
      <c r="AS1209" t="s">
        <v>56</v>
      </c>
      <c r="AT1209">
        <v>0.1</v>
      </c>
      <c r="AU1209">
        <v>945</v>
      </c>
      <c r="AV1209" t="s">
        <v>56</v>
      </c>
      <c r="AW1209">
        <v>276</v>
      </c>
      <c r="AX1209">
        <v>7.7</v>
      </c>
      <c r="AY1209" t="s">
        <v>56</v>
      </c>
      <c r="AZ1209">
        <v>0.11</v>
      </c>
      <c r="BB1209">
        <f>LOG(AU1209)</f>
        <v>2.975431808509263</v>
      </c>
      <c r="BC1209">
        <v>16.899999999999999</v>
      </c>
      <c r="BD1209" t="s">
        <v>56</v>
      </c>
      <c r="BE1209">
        <v>0.2</v>
      </c>
      <c r="BF1209">
        <v>20.6</v>
      </c>
      <c r="BG1209" t="s">
        <v>56</v>
      </c>
      <c r="BH1209">
        <v>0.4</v>
      </c>
      <c r="BI1209">
        <v>348</v>
      </c>
      <c r="BJ1209">
        <v>3.7</v>
      </c>
      <c r="BK1209" t="s">
        <v>56</v>
      </c>
      <c r="BL1209" t="s">
        <v>365</v>
      </c>
      <c r="BM1209" t="s">
        <v>365</v>
      </c>
      <c r="BN1209" t="s">
        <v>81</v>
      </c>
      <c r="BO1209" t="s">
        <v>56</v>
      </c>
      <c r="BP1209" t="s">
        <v>92</v>
      </c>
      <c r="BR1209" t="s">
        <v>714</v>
      </c>
      <c r="BT1209">
        <v>3.46</v>
      </c>
      <c r="BU1209">
        <v>3.4647299999999999</v>
      </c>
      <c r="BV1209">
        <v>0.52</v>
      </c>
      <c r="BW1209">
        <f>BV1209*SQRT(AK1209)</f>
        <v>1.04</v>
      </c>
      <c r="BX1209">
        <v>2.0099999999999998</v>
      </c>
      <c r="BY1209">
        <v>2.0084399999999998</v>
      </c>
      <c r="BZ1209">
        <v>0.24</v>
      </c>
      <c r="CA1209">
        <f>BZ1209*SQRT(AL1209)</f>
        <v>0.48</v>
      </c>
      <c r="CB1209">
        <v>84</v>
      </c>
      <c r="CC1209">
        <v>2</v>
      </c>
      <c r="CD1209">
        <v>-0.54500000000000004</v>
      </c>
      <c r="CE1209">
        <v>3.7100000000000001E-2</v>
      </c>
    </row>
    <row r="1210" spans="1:84" hidden="1" x14ac:dyDescent="0.2">
      <c r="D1210">
        <v>85</v>
      </c>
      <c r="G1210" t="s">
        <v>43</v>
      </c>
      <c r="H1210" t="s">
        <v>719</v>
      </c>
      <c r="J1210">
        <v>2018</v>
      </c>
      <c r="M1210" t="s">
        <v>308</v>
      </c>
      <c r="T1210" t="s">
        <v>68</v>
      </c>
      <c r="U1210" t="s">
        <v>167</v>
      </c>
      <c r="V1210" t="s">
        <v>720</v>
      </c>
      <c r="Z1210" t="s">
        <v>49</v>
      </c>
      <c r="AA1210" t="s">
        <v>49</v>
      </c>
      <c r="AB1210" t="s">
        <v>50</v>
      </c>
      <c r="AC1210" t="s">
        <v>51</v>
      </c>
      <c r="AD1210" t="s">
        <v>52</v>
      </c>
      <c r="AE1210" t="s">
        <v>53</v>
      </c>
      <c r="AF1210" t="s">
        <v>52</v>
      </c>
      <c r="AG1210" t="s">
        <v>54</v>
      </c>
      <c r="AH1210" t="s">
        <v>55</v>
      </c>
      <c r="AK1210">
        <v>4</v>
      </c>
      <c r="AL1210">
        <v>4</v>
      </c>
      <c r="AN1210">
        <v>597</v>
      </c>
      <c r="AO1210" t="s">
        <v>56</v>
      </c>
      <c r="AP1210">
        <v>146</v>
      </c>
      <c r="AQ1210" t="s">
        <v>57</v>
      </c>
      <c r="AR1210">
        <v>7.79</v>
      </c>
      <c r="AS1210" t="s">
        <v>56</v>
      </c>
      <c r="AT1210">
        <v>0.1</v>
      </c>
      <c r="AU1210">
        <v>817</v>
      </c>
      <c r="AV1210" t="s">
        <v>56</v>
      </c>
      <c r="AW1210">
        <v>296</v>
      </c>
      <c r="AX1210">
        <v>7.67</v>
      </c>
      <c r="AY1210" t="s">
        <v>56</v>
      </c>
      <c r="AZ1210">
        <v>0.12</v>
      </c>
      <c r="BB1210">
        <f>LOG(AU1210)</f>
        <v>2.9122220565324155</v>
      </c>
      <c r="BC1210">
        <v>16.899999999999999</v>
      </c>
      <c r="BD1210" t="s">
        <v>56</v>
      </c>
      <c r="BE1210">
        <v>0.2</v>
      </c>
      <c r="BF1210">
        <v>16.899999999999999</v>
      </c>
      <c r="BG1210" t="s">
        <v>56</v>
      </c>
      <c r="BH1210">
        <v>0.2</v>
      </c>
      <c r="BI1210">
        <v>220</v>
      </c>
      <c r="BJ1210">
        <v>0</v>
      </c>
      <c r="BK1210" t="s">
        <v>56</v>
      </c>
      <c r="BL1210" t="s">
        <v>721</v>
      </c>
      <c r="BM1210" t="s">
        <v>75</v>
      </c>
      <c r="BN1210" t="s">
        <v>60</v>
      </c>
      <c r="BO1210" t="s">
        <v>722</v>
      </c>
      <c r="BP1210" t="s">
        <v>77</v>
      </c>
      <c r="BR1210" t="s">
        <v>714</v>
      </c>
      <c r="BT1210">
        <v>1.1000000000000001</v>
      </c>
      <c r="BU1210">
        <v>1.09694</v>
      </c>
      <c r="BV1210">
        <v>0.17</v>
      </c>
      <c r="BW1210">
        <f>BV1210*SQRT(AK1210)</f>
        <v>0.34</v>
      </c>
      <c r="BX1210">
        <v>0.65</v>
      </c>
      <c r="BY1210">
        <v>0.64795899999999995</v>
      </c>
      <c r="BZ1210">
        <v>0.14000000000000001</v>
      </c>
      <c r="CA1210">
        <f>BZ1210*SQRT(AL1210)</f>
        <v>0.28000000000000003</v>
      </c>
      <c r="CB1210">
        <v>84</v>
      </c>
      <c r="CC1210">
        <v>2</v>
      </c>
      <c r="CD1210">
        <v>-0.52600000000000002</v>
      </c>
      <c r="CE1210">
        <v>6.88E-2</v>
      </c>
    </row>
    <row r="1211" spans="1:84" hidden="1" x14ac:dyDescent="0.2">
      <c r="D1211">
        <v>85</v>
      </c>
      <c r="G1211" t="s">
        <v>43</v>
      </c>
      <c r="H1211" t="s">
        <v>719</v>
      </c>
      <c r="J1211">
        <v>2018</v>
      </c>
      <c r="M1211" t="s">
        <v>308</v>
      </c>
      <c r="T1211" t="s">
        <v>68</v>
      </c>
      <c r="U1211" t="s">
        <v>167</v>
      </c>
      <c r="V1211" t="s">
        <v>723</v>
      </c>
      <c r="Z1211" t="s">
        <v>49</v>
      </c>
      <c r="AA1211" t="s">
        <v>49</v>
      </c>
      <c r="AB1211" t="s">
        <v>50</v>
      </c>
      <c r="AC1211" t="s">
        <v>51</v>
      </c>
      <c r="AD1211" t="s">
        <v>52</v>
      </c>
      <c r="AE1211" t="s">
        <v>53</v>
      </c>
      <c r="AF1211" t="s">
        <v>52</v>
      </c>
      <c r="AG1211" t="s">
        <v>54</v>
      </c>
      <c r="AH1211" t="s">
        <v>55</v>
      </c>
      <c r="AK1211">
        <v>4</v>
      </c>
      <c r="AL1211">
        <v>4</v>
      </c>
      <c r="AN1211">
        <v>481</v>
      </c>
      <c r="AO1211" t="s">
        <v>56</v>
      </c>
      <c r="AP1211">
        <v>91</v>
      </c>
      <c r="AQ1211" t="s">
        <v>57</v>
      </c>
      <c r="AR1211">
        <v>8</v>
      </c>
      <c r="AS1211" t="s">
        <v>56</v>
      </c>
      <c r="AT1211">
        <v>0.08</v>
      </c>
      <c r="AU1211">
        <v>1054</v>
      </c>
      <c r="AV1211" t="s">
        <v>56</v>
      </c>
      <c r="AW1211">
        <v>223</v>
      </c>
      <c r="AX1211">
        <v>7.72</v>
      </c>
      <c r="AY1211" t="s">
        <v>56</v>
      </c>
      <c r="AZ1211">
        <v>0.16</v>
      </c>
      <c r="BB1211">
        <f>LOG(AU1211)</f>
        <v>3.022840610876528</v>
      </c>
      <c r="BC1211">
        <v>16.5</v>
      </c>
      <c r="BD1211" t="s">
        <v>56</v>
      </c>
      <c r="BE1211">
        <v>0.3</v>
      </c>
      <c r="BF1211">
        <v>16.600000000000001</v>
      </c>
      <c r="BG1211" t="s">
        <v>56</v>
      </c>
      <c r="BH1211">
        <v>0.2</v>
      </c>
      <c r="BI1211">
        <v>572</v>
      </c>
      <c r="BJ1211">
        <v>0.1</v>
      </c>
      <c r="BK1211" t="s">
        <v>56</v>
      </c>
      <c r="BL1211" t="s">
        <v>724</v>
      </c>
      <c r="BM1211" t="s">
        <v>59</v>
      </c>
      <c r="BN1211" t="s">
        <v>60</v>
      </c>
      <c r="BO1211" t="s">
        <v>725</v>
      </c>
      <c r="BP1211" t="s">
        <v>62</v>
      </c>
      <c r="BR1211" t="s">
        <v>714</v>
      </c>
      <c r="BT1211">
        <v>15.13</v>
      </c>
      <c r="BU1211">
        <v>15.126099999999999</v>
      </c>
      <c r="BV1211">
        <v>1.83</v>
      </c>
      <c r="BW1211">
        <f>BV1211*SQRT(AK1211)</f>
        <v>3.66</v>
      </c>
      <c r="BX1211">
        <v>9.58</v>
      </c>
      <c r="BY1211">
        <v>9.5798299999999994</v>
      </c>
      <c r="BZ1211">
        <v>1.1299999999999999</v>
      </c>
      <c r="CA1211">
        <f>BZ1211*SQRT(AL1211)</f>
        <v>2.2599999999999998</v>
      </c>
      <c r="CB1211">
        <v>84</v>
      </c>
      <c r="CC1211">
        <v>2</v>
      </c>
      <c r="CD1211">
        <v>-0.45700000000000002</v>
      </c>
      <c r="CE1211">
        <v>2.86E-2</v>
      </c>
    </row>
    <row r="1212" spans="1:84" hidden="1" x14ac:dyDescent="0.2">
      <c r="D1212">
        <v>85</v>
      </c>
      <c r="G1212" t="s">
        <v>43</v>
      </c>
      <c r="H1212" t="s">
        <v>719</v>
      </c>
      <c r="J1212">
        <v>2018</v>
      </c>
      <c r="M1212" t="s">
        <v>308</v>
      </c>
      <c r="T1212" t="s">
        <v>68</v>
      </c>
      <c r="U1212" t="s">
        <v>167</v>
      </c>
      <c r="V1212" t="s">
        <v>723</v>
      </c>
      <c r="Z1212" t="s">
        <v>49</v>
      </c>
      <c r="AA1212" t="s">
        <v>49</v>
      </c>
      <c r="AB1212" t="s">
        <v>50</v>
      </c>
      <c r="AC1212" t="s">
        <v>51</v>
      </c>
      <c r="AD1212" t="s">
        <v>52</v>
      </c>
      <c r="AE1212" t="s">
        <v>53</v>
      </c>
      <c r="AF1212" t="s">
        <v>52</v>
      </c>
      <c r="AG1212" t="s">
        <v>54</v>
      </c>
      <c r="AH1212" t="s">
        <v>55</v>
      </c>
      <c r="AK1212">
        <v>4</v>
      </c>
      <c r="AL1212">
        <v>4</v>
      </c>
      <c r="AN1212">
        <v>481</v>
      </c>
      <c r="AO1212" t="s">
        <v>56</v>
      </c>
      <c r="AP1212">
        <v>91</v>
      </c>
      <c r="AQ1212" t="s">
        <v>57</v>
      </c>
      <c r="AR1212">
        <v>8</v>
      </c>
      <c r="AS1212" t="s">
        <v>56</v>
      </c>
      <c r="AT1212">
        <v>0.08</v>
      </c>
      <c r="AU1212">
        <v>760</v>
      </c>
      <c r="AV1212" t="s">
        <v>56</v>
      </c>
      <c r="AW1212">
        <v>178</v>
      </c>
      <c r="AX1212">
        <v>7.84</v>
      </c>
      <c r="AY1212" t="s">
        <v>56</v>
      </c>
      <c r="AZ1212">
        <v>0.08</v>
      </c>
      <c r="BB1212">
        <f>LOG(AU1212)</f>
        <v>2.8808135922807914</v>
      </c>
      <c r="BC1212">
        <v>16.5</v>
      </c>
      <c r="BD1212" t="s">
        <v>56</v>
      </c>
      <c r="BE1212">
        <v>0.3</v>
      </c>
      <c r="BF1212">
        <v>16.600000000000001</v>
      </c>
      <c r="BG1212" t="s">
        <v>56</v>
      </c>
      <c r="BH1212">
        <v>0.2</v>
      </c>
      <c r="BI1212">
        <v>279</v>
      </c>
      <c r="BJ1212">
        <v>0.1</v>
      </c>
      <c r="BK1212" t="s">
        <v>56</v>
      </c>
      <c r="BL1212" t="s">
        <v>724</v>
      </c>
      <c r="BM1212" t="s">
        <v>59</v>
      </c>
      <c r="BN1212" t="s">
        <v>60</v>
      </c>
      <c r="BO1212" t="s">
        <v>725</v>
      </c>
      <c r="BP1212" t="s">
        <v>62</v>
      </c>
      <c r="BR1212" t="s">
        <v>714</v>
      </c>
      <c r="BT1212">
        <v>15.13</v>
      </c>
      <c r="BU1212">
        <v>15.126099999999999</v>
      </c>
      <c r="BV1212">
        <v>1.83</v>
      </c>
      <c r="BW1212">
        <f>BV1212*SQRT(AK1212)</f>
        <v>3.66</v>
      </c>
      <c r="BX1212">
        <v>10.210000000000001</v>
      </c>
      <c r="BY1212">
        <v>10.210100000000001</v>
      </c>
      <c r="BZ1212">
        <v>1.01</v>
      </c>
      <c r="CA1212">
        <f>BZ1212*SQRT(AL1212)</f>
        <v>2.02</v>
      </c>
      <c r="CB1212">
        <v>84</v>
      </c>
      <c r="CC1212">
        <v>2</v>
      </c>
      <c r="CD1212">
        <v>-0.39300000000000002</v>
      </c>
      <c r="CE1212">
        <v>2.4400000000000002E-2</v>
      </c>
    </row>
    <row r="1213" spans="1:84" hidden="1" x14ac:dyDescent="0.2">
      <c r="D1213">
        <v>85</v>
      </c>
      <c r="G1213" t="s">
        <v>43</v>
      </c>
      <c r="H1213" t="s">
        <v>719</v>
      </c>
      <c r="J1213">
        <v>2018</v>
      </c>
      <c r="M1213" t="s">
        <v>308</v>
      </c>
      <c r="T1213" t="s">
        <v>68</v>
      </c>
      <c r="U1213" t="s">
        <v>167</v>
      </c>
      <c r="V1213" t="s">
        <v>720</v>
      </c>
      <c r="Z1213" t="s">
        <v>49</v>
      </c>
      <c r="AA1213" t="s">
        <v>49</v>
      </c>
      <c r="AB1213" t="s">
        <v>50</v>
      </c>
      <c r="AC1213" t="s">
        <v>51</v>
      </c>
      <c r="AD1213" t="s">
        <v>52</v>
      </c>
      <c r="AE1213" t="s">
        <v>53</v>
      </c>
      <c r="AF1213" t="s">
        <v>54</v>
      </c>
      <c r="AG1213" t="s">
        <v>52</v>
      </c>
      <c r="AH1213" t="s">
        <v>65</v>
      </c>
      <c r="AK1213">
        <v>4</v>
      </c>
      <c r="AL1213">
        <v>4</v>
      </c>
      <c r="AN1213">
        <v>597</v>
      </c>
      <c r="AO1213" t="s">
        <v>56</v>
      </c>
      <c r="AP1213">
        <v>146</v>
      </c>
      <c r="AQ1213" t="s">
        <v>57</v>
      </c>
      <c r="AR1213">
        <v>7.79</v>
      </c>
      <c r="AS1213" t="s">
        <v>56</v>
      </c>
      <c r="AT1213">
        <v>0.1</v>
      </c>
      <c r="AU1213">
        <v>670</v>
      </c>
      <c r="AV1213" t="s">
        <v>56</v>
      </c>
      <c r="AW1213">
        <v>156</v>
      </c>
      <c r="AX1213">
        <v>7.84</v>
      </c>
      <c r="AY1213" t="s">
        <v>56</v>
      </c>
      <c r="AZ1213">
        <v>0.1</v>
      </c>
      <c r="BB1213">
        <f>LOG(AU1213)</f>
        <v>2.8260748027008264</v>
      </c>
      <c r="BC1213">
        <v>16.899999999999999</v>
      </c>
      <c r="BD1213" t="s">
        <v>56</v>
      </c>
      <c r="BE1213">
        <v>0.2</v>
      </c>
      <c r="BF1213">
        <v>20.399999999999999</v>
      </c>
      <c r="BG1213" t="s">
        <v>56</v>
      </c>
      <c r="BH1213">
        <v>0.3</v>
      </c>
      <c r="BI1213">
        <v>73</v>
      </c>
      <c r="BJ1213">
        <v>3.5</v>
      </c>
      <c r="BK1213" t="s">
        <v>56</v>
      </c>
      <c r="BL1213" t="s">
        <v>365</v>
      </c>
      <c r="BM1213" t="s">
        <v>365</v>
      </c>
      <c r="BN1213" t="s">
        <v>81</v>
      </c>
      <c r="BO1213" t="s">
        <v>56</v>
      </c>
      <c r="BP1213" t="s">
        <v>92</v>
      </c>
      <c r="BR1213" t="s">
        <v>714</v>
      </c>
      <c r="BT1213">
        <v>3.46</v>
      </c>
      <c r="BU1213">
        <v>3.4647299999999999</v>
      </c>
      <c r="BV1213">
        <v>0.52</v>
      </c>
      <c r="BW1213">
        <f>BV1213*SQRT(AK1213)</f>
        <v>1.04</v>
      </c>
      <c r="BX1213">
        <v>2.59</v>
      </c>
      <c r="BY1213">
        <v>2.5907900000000001</v>
      </c>
      <c r="BZ1213">
        <v>0.22</v>
      </c>
      <c r="CA1213">
        <f>BZ1213*SQRT(AL1213)</f>
        <v>0.44</v>
      </c>
      <c r="CB1213">
        <v>84</v>
      </c>
      <c r="CC1213">
        <v>2</v>
      </c>
      <c r="CD1213">
        <v>-0.29099999999999998</v>
      </c>
      <c r="CE1213">
        <v>2.92E-2</v>
      </c>
    </row>
    <row r="1214" spans="1:84" hidden="1" x14ac:dyDescent="0.2">
      <c r="D1214">
        <v>85</v>
      </c>
      <c r="G1214" t="s">
        <v>43</v>
      </c>
      <c r="H1214" t="s">
        <v>719</v>
      </c>
      <c r="J1214">
        <v>2018</v>
      </c>
      <c r="M1214" t="s">
        <v>308</v>
      </c>
      <c r="T1214" t="s">
        <v>68</v>
      </c>
      <c r="U1214" t="s">
        <v>167</v>
      </c>
      <c r="V1214" t="s">
        <v>723</v>
      </c>
      <c r="Z1214" t="s">
        <v>49</v>
      </c>
      <c r="AA1214" t="s">
        <v>49</v>
      </c>
      <c r="AB1214" t="s">
        <v>50</v>
      </c>
      <c r="AC1214" t="s">
        <v>51</v>
      </c>
      <c r="AD1214" t="s">
        <v>52</v>
      </c>
      <c r="AE1214" t="s">
        <v>53</v>
      </c>
      <c r="AF1214" t="s">
        <v>52</v>
      </c>
      <c r="AG1214" t="s">
        <v>54</v>
      </c>
      <c r="AH1214" t="s">
        <v>55</v>
      </c>
      <c r="AK1214">
        <v>4</v>
      </c>
      <c r="AL1214">
        <v>4</v>
      </c>
      <c r="AN1214">
        <v>481</v>
      </c>
      <c r="AO1214" t="s">
        <v>56</v>
      </c>
      <c r="AP1214">
        <v>91</v>
      </c>
      <c r="AQ1214" t="s">
        <v>57</v>
      </c>
      <c r="AR1214">
        <v>8</v>
      </c>
      <c r="AS1214" t="s">
        <v>56</v>
      </c>
      <c r="AT1214">
        <v>0.08</v>
      </c>
      <c r="AU1214">
        <v>1054</v>
      </c>
      <c r="AV1214" t="s">
        <v>56</v>
      </c>
      <c r="AW1214">
        <v>223</v>
      </c>
      <c r="AX1214">
        <v>7.72</v>
      </c>
      <c r="AY1214" t="s">
        <v>56</v>
      </c>
      <c r="AZ1214">
        <v>0.16</v>
      </c>
      <c r="BB1214">
        <f>LOG(AU1214)</f>
        <v>3.022840610876528</v>
      </c>
      <c r="BC1214">
        <v>16.5</v>
      </c>
      <c r="BD1214" t="s">
        <v>56</v>
      </c>
      <c r="BE1214">
        <v>0.3</v>
      </c>
      <c r="BF1214">
        <v>16.600000000000001</v>
      </c>
      <c r="BG1214" t="s">
        <v>56</v>
      </c>
      <c r="BH1214">
        <v>0.2</v>
      </c>
      <c r="BI1214">
        <v>572</v>
      </c>
      <c r="BJ1214">
        <v>0.1</v>
      </c>
      <c r="BK1214" t="s">
        <v>56</v>
      </c>
      <c r="BL1214" t="s">
        <v>365</v>
      </c>
      <c r="BM1214" t="s">
        <v>365</v>
      </c>
      <c r="BN1214" t="s">
        <v>81</v>
      </c>
      <c r="BO1214" t="s">
        <v>56</v>
      </c>
      <c r="BP1214" t="s">
        <v>92</v>
      </c>
      <c r="BR1214" t="s">
        <v>714</v>
      </c>
      <c r="BT1214">
        <v>2.33</v>
      </c>
      <c r="BU1214">
        <v>2.32769</v>
      </c>
      <c r="BV1214">
        <v>0.33</v>
      </c>
      <c r="BW1214">
        <f>BV1214*SQRT(AK1214)</f>
        <v>0.66</v>
      </c>
      <c r="BX1214">
        <v>2.33</v>
      </c>
      <c r="BY1214">
        <v>2.32742</v>
      </c>
      <c r="BZ1214">
        <v>0.23</v>
      </c>
      <c r="CA1214">
        <f>BZ1214*SQRT(AL1214)</f>
        <v>0.46</v>
      </c>
      <c r="CB1214">
        <v>84</v>
      </c>
      <c r="CC1214">
        <v>2</v>
      </c>
      <c r="CD1214">
        <v>0</v>
      </c>
      <c r="CE1214">
        <v>3.0599999999999999E-2</v>
      </c>
    </row>
    <row r="1215" spans="1:84" hidden="1" x14ac:dyDescent="0.2">
      <c r="D1215">
        <v>85</v>
      </c>
      <c r="G1215" t="s">
        <v>43</v>
      </c>
      <c r="H1215" t="s">
        <v>719</v>
      </c>
      <c r="J1215">
        <v>2018</v>
      </c>
      <c r="M1215" t="s">
        <v>308</v>
      </c>
      <c r="T1215" t="s">
        <v>68</v>
      </c>
      <c r="U1215" t="s">
        <v>167</v>
      </c>
      <c r="V1215" t="s">
        <v>720</v>
      </c>
      <c r="Z1215" t="s">
        <v>49</v>
      </c>
      <c r="AA1215" t="s">
        <v>49</v>
      </c>
      <c r="AB1215" t="s">
        <v>50</v>
      </c>
      <c r="AC1215" t="s">
        <v>51</v>
      </c>
      <c r="AD1215" t="s">
        <v>52</v>
      </c>
      <c r="AE1215" t="s">
        <v>53</v>
      </c>
      <c r="AF1215" t="s">
        <v>52</v>
      </c>
      <c r="AG1215" t="s">
        <v>54</v>
      </c>
      <c r="AH1215" t="s">
        <v>55</v>
      </c>
      <c r="AK1215">
        <v>4</v>
      </c>
      <c r="AL1215">
        <v>4</v>
      </c>
      <c r="AN1215">
        <v>597</v>
      </c>
      <c r="AO1215" t="s">
        <v>56</v>
      </c>
      <c r="AP1215">
        <v>146</v>
      </c>
      <c r="AQ1215" t="s">
        <v>57</v>
      </c>
      <c r="AR1215">
        <v>7.79</v>
      </c>
      <c r="AS1215" t="s">
        <v>56</v>
      </c>
      <c r="AT1215">
        <v>0.1</v>
      </c>
      <c r="AU1215">
        <v>1175</v>
      </c>
      <c r="AV1215" t="s">
        <v>56</v>
      </c>
      <c r="AW1215">
        <v>421</v>
      </c>
      <c r="AX1215">
        <v>7.55</v>
      </c>
      <c r="AY1215" t="s">
        <v>56</v>
      </c>
      <c r="AZ1215">
        <v>0.1</v>
      </c>
      <c r="BB1215">
        <f>LOG(AU1215)</f>
        <v>3.070037866607755</v>
      </c>
      <c r="BC1215">
        <v>16.899999999999999</v>
      </c>
      <c r="BD1215" t="s">
        <v>56</v>
      </c>
      <c r="BE1215">
        <v>0.2</v>
      </c>
      <c r="BF1215">
        <v>16.8</v>
      </c>
      <c r="BG1215" t="s">
        <v>56</v>
      </c>
      <c r="BH1215">
        <v>0.2</v>
      </c>
      <c r="BI1215">
        <v>577</v>
      </c>
      <c r="BJ1215">
        <v>-0.1</v>
      </c>
      <c r="BK1215" t="s">
        <v>56</v>
      </c>
      <c r="BL1215" t="s">
        <v>365</v>
      </c>
      <c r="BM1215" t="s">
        <v>365</v>
      </c>
      <c r="BN1215" t="s">
        <v>81</v>
      </c>
      <c r="BO1215" t="s">
        <v>56</v>
      </c>
      <c r="BP1215" t="s">
        <v>92</v>
      </c>
      <c r="BR1215" t="s">
        <v>714</v>
      </c>
      <c r="BT1215">
        <v>3.46</v>
      </c>
      <c r="BU1215">
        <v>3.4647299999999999</v>
      </c>
      <c r="BV1215">
        <v>0.52</v>
      </c>
      <c r="BW1215">
        <f>BV1215*SQRT(AK1215)</f>
        <v>1.04</v>
      </c>
      <c r="BX1215">
        <v>3.48</v>
      </c>
      <c r="BY1215">
        <v>3.4781900000000001</v>
      </c>
      <c r="BZ1215">
        <v>0.28999999999999998</v>
      </c>
      <c r="CA1215">
        <f>BZ1215*SQRT(AL1215)</f>
        <v>0.57999999999999996</v>
      </c>
      <c r="CB1215">
        <v>84</v>
      </c>
      <c r="CC1215">
        <v>2</v>
      </c>
      <c r="CD1215">
        <v>4.0000000000000001E-3</v>
      </c>
      <c r="CE1215">
        <v>2.9100000000000001E-2</v>
      </c>
    </row>
    <row r="1216" spans="1:84" hidden="1" x14ac:dyDescent="0.2">
      <c r="D1216">
        <v>85</v>
      </c>
      <c r="G1216" t="s">
        <v>43</v>
      </c>
      <c r="H1216" t="s">
        <v>719</v>
      </c>
      <c r="J1216">
        <v>2018</v>
      </c>
      <c r="M1216" t="s">
        <v>308</v>
      </c>
      <c r="T1216" t="s">
        <v>68</v>
      </c>
      <c r="U1216" t="s">
        <v>167</v>
      </c>
      <c r="V1216" t="s">
        <v>723</v>
      </c>
      <c r="Z1216" t="s">
        <v>49</v>
      </c>
      <c r="AA1216" t="s">
        <v>49</v>
      </c>
      <c r="AB1216" t="s">
        <v>50</v>
      </c>
      <c r="AC1216" t="s">
        <v>51</v>
      </c>
      <c r="AD1216" t="s">
        <v>52</v>
      </c>
      <c r="AE1216" t="s">
        <v>53</v>
      </c>
      <c r="AF1216" t="s">
        <v>52</v>
      </c>
      <c r="AG1216" t="s">
        <v>52</v>
      </c>
      <c r="AH1216" t="s">
        <v>64</v>
      </c>
      <c r="AK1216">
        <v>4</v>
      </c>
      <c r="AL1216">
        <v>4</v>
      </c>
      <c r="AN1216">
        <v>481</v>
      </c>
      <c r="AO1216" t="s">
        <v>56</v>
      </c>
      <c r="AP1216">
        <v>91</v>
      </c>
      <c r="AQ1216" t="s">
        <v>57</v>
      </c>
      <c r="AR1216">
        <v>8</v>
      </c>
      <c r="AS1216" t="s">
        <v>56</v>
      </c>
      <c r="AT1216">
        <v>0.08</v>
      </c>
      <c r="AU1216">
        <v>695</v>
      </c>
      <c r="AV1216" t="s">
        <v>56</v>
      </c>
      <c r="AW1216">
        <v>135</v>
      </c>
      <c r="AX1216">
        <v>7.9</v>
      </c>
      <c r="AY1216" t="s">
        <v>56</v>
      </c>
      <c r="AZ1216">
        <v>7.0000000000000007E-2</v>
      </c>
      <c r="BB1216">
        <f>LOG(AU1216)</f>
        <v>2.8419848045901137</v>
      </c>
      <c r="BC1216">
        <v>16.5</v>
      </c>
      <c r="BD1216" t="s">
        <v>56</v>
      </c>
      <c r="BE1216">
        <v>0.3</v>
      </c>
      <c r="BF1216">
        <v>20.2</v>
      </c>
      <c r="BG1216" t="s">
        <v>56</v>
      </c>
      <c r="BH1216">
        <v>0.5</v>
      </c>
      <c r="BI1216">
        <v>213</v>
      </c>
      <c r="BJ1216">
        <v>3.7</v>
      </c>
      <c r="BK1216" t="s">
        <v>56</v>
      </c>
      <c r="BL1216" t="s">
        <v>724</v>
      </c>
      <c r="BM1216" t="s">
        <v>59</v>
      </c>
      <c r="BN1216" t="s">
        <v>60</v>
      </c>
      <c r="BO1216" t="s">
        <v>725</v>
      </c>
      <c r="BP1216" t="s">
        <v>62</v>
      </c>
      <c r="BR1216" t="s">
        <v>714</v>
      </c>
      <c r="BT1216">
        <v>15.13</v>
      </c>
      <c r="BU1216">
        <v>15.126099999999999</v>
      </c>
      <c r="BV1216">
        <v>1.83</v>
      </c>
      <c r="BW1216">
        <f>BV1216*SQRT(AK1216)</f>
        <v>3.66</v>
      </c>
      <c r="BX1216">
        <v>15.38</v>
      </c>
      <c r="BY1216">
        <v>15.3782</v>
      </c>
      <c r="BZ1216">
        <v>1.26</v>
      </c>
      <c r="CA1216">
        <f>BZ1216*SQRT(AL1216)</f>
        <v>2.52</v>
      </c>
      <c r="CB1216">
        <v>84</v>
      </c>
      <c r="CC1216">
        <v>2</v>
      </c>
      <c r="CD1216">
        <v>1.7000000000000001E-2</v>
      </c>
      <c r="CE1216">
        <v>2.1299999999999999E-2</v>
      </c>
    </row>
    <row r="1217" spans="4:83" hidden="1" x14ac:dyDescent="0.2">
      <c r="D1217">
        <v>85</v>
      </c>
      <c r="G1217" t="s">
        <v>43</v>
      </c>
      <c r="H1217" t="s">
        <v>719</v>
      </c>
      <c r="J1217">
        <v>2018</v>
      </c>
      <c r="M1217" t="s">
        <v>308</v>
      </c>
      <c r="T1217" t="s">
        <v>68</v>
      </c>
      <c r="U1217" t="s">
        <v>167</v>
      </c>
      <c r="V1217" t="s">
        <v>723</v>
      </c>
      <c r="Z1217" t="s">
        <v>49</v>
      </c>
      <c r="AA1217" t="s">
        <v>49</v>
      </c>
      <c r="AB1217" t="s">
        <v>50</v>
      </c>
      <c r="AC1217" t="s">
        <v>51</v>
      </c>
      <c r="AD1217" t="s">
        <v>52</v>
      </c>
      <c r="AE1217" t="s">
        <v>53</v>
      </c>
      <c r="AF1217" t="s">
        <v>54</v>
      </c>
      <c r="AG1217" t="s">
        <v>52</v>
      </c>
      <c r="AH1217" t="s">
        <v>65</v>
      </c>
      <c r="AK1217">
        <v>4</v>
      </c>
      <c r="AL1217">
        <v>4</v>
      </c>
      <c r="AN1217">
        <v>481</v>
      </c>
      <c r="AO1217" t="s">
        <v>56</v>
      </c>
      <c r="AP1217">
        <v>91</v>
      </c>
      <c r="AQ1217" t="s">
        <v>57</v>
      </c>
      <c r="AR1217">
        <v>8</v>
      </c>
      <c r="AS1217" t="s">
        <v>56</v>
      </c>
      <c r="AT1217">
        <v>0.08</v>
      </c>
      <c r="AU1217">
        <v>468</v>
      </c>
      <c r="AV1217" t="s">
        <v>56</v>
      </c>
      <c r="AW1217">
        <v>78</v>
      </c>
      <c r="AX1217">
        <v>8</v>
      </c>
      <c r="AY1217" t="s">
        <v>56</v>
      </c>
      <c r="AZ1217">
        <v>0.08</v>
      </c>
      <c r="BB1217">
        <f>LOG(AU1217)</f>
        <v>2.6702458530741242</v>
      </c>
      <c r="BC1217">
        <v>16.5</v>
      </c>
      <c r="BD1217" t="s">
        <v>56</v>
      </c>
      <c r="BE1217">
        <v>0.3</v>
      </c>
      <c r="BF1217">
        <v>19.8</v>
      </c>
      <c r="BG1217" t="s">
        <v>56</v>
      </c>
      <c r="BH1217">
        <v>0.3</v>
      </c>
      <c r="BI1217">
        <v>-14</v>
      </c>
      <c r="BJ1217">
        <v>3.3</v>
      </c>
      <c r="BK1217" t="s">
        <v>56</v>
      </c>
      <c r="BL1217" t="s">
        <v>724</v>
      </c>
      <c r="BM1217" t="s">
        <v>59</v>
      </c>
      <c r="BN1217" t="s">
        <v>60</v>
      </c>
      <c r="BO1217" t="s">
        <v>725</v>
      </c>
      <c r="BP1217" t="s">
        <v>62</v>
      </c>
      <c r="BR1217" t="s">
        <v>714</v>
      </c>
      <c r="BT1217">
        <v>15.13</v>
      </c>
      <c r="BU1217">
        <v>15.126099999999999</v>
      </c>
      <c r="BV1217">
        <v>1.83</v>
      </c>
      <c r="BW1217">
        <f>BV1217*SQRT(AK1217)</f>
        <v>3.66</v>
      </c>
      <c r="BX1217">
        <v>15.63</v>
      </c>
      <c r="BY1217">
        <v>15.6303</v>
      </c>
      <c r="BZ1217">
        <v>2.77</v>
      </c>
      <c r="CA1217">
        <f>BZ1217*SQRT(AL1217)</f>
        <v>5.54</v>
      </c>
      <c r="CB1217">
        <v>84</v>
      </c>
      <c r="CC1217">
        <v>2</v>
      </c>
      <c r="CD1217">
        <v>3.3000000000000002E-2</v>
      </c>
      <c r="CE1217">
        <v>4.6100000000000002E-2</v>
      </c>
    </row>
    <row r="1218" spans="4:83" hidden="1" x14ac:dyDescent="0.2">
      <c r="D1218">
        <v>85</v>
      </c>
      <c r="G1218" t="s">
        <v>43</v>
      </c>
      <c r="H1218" t="s">
        <v>719</v>
      </c>
      <c r="J1218">
        <v>2018</v>
      </c>
      <c r="M1218" t="s">
        <v>308</v>
      </c>
      <c r="T1218" t="s">
        <v>68</v>
      </c>
      <c r="U1218" t="s">
        <v>167</v>
      </c>
      <c r="V1218" t="s">
        <v>720</v>
      </c>
      <c r="Z1218" t="s">
        <v>49</v>
      </c>
      <c r="AA1218" t="s">
        <v>49</v>
      </c>
      <c r="AB1218" t="s">
        <v>50</v>
      </c>
      <c r="AC1218" t="s">
        <v>51</v>
      </c>
      <c r="AD1218" t="s">
        <v>52</v>
      </c>
      <c r="AE1218" t="s">
        <v>53</v>
      </c>
      <c r="AF1218" t="s">
        <v>52</v>
      </c>
      <c r="AG1218" t="s">
        <v>54</v>
      </c>
      <c r="AH1218" t="s">
        <v>55</v>
      </c>
      <c r="AK1218">
        <v>4</v>
      </c>
      <c r="AL1218">
        <v>4</v>
      </c>
      <c r="AN1218">
        <v>597</v>
      </c>
      <c r="AO1218" t="s">
        <v>56</v>
      </c>
      <c r="AP1218">
        <v>146</v>
      </c>
      <c r="AQ1218" t="s">
        <v>57</v>
      </c>
      <c r="AR1218">
        <v>7.79</v>
      </c>
      <c r="AS1218" t="s">
        <v>56</v>
      </c>
      <c r="AT1218">
        <v>0.1</v>
      </c>
      <c r="AU1218">
        <v>817</v>
      </c>
      <c r="AV1218" t="s">
        <v>56</v>
      </c>
      <c r="AW1218">
        <v>296</v>
      </c>
      <c r="AX1218">
        <v>7.67</v>
      </c>
      <c r="AY1218" t="s">
        <v>56</v>
      </c>
      <c r="AZ1218">
        <v>0.12</v>
      </c>
      <c r="BB1218">
        <f>LOG(AU1218)</f>
        <v>2.9122220565324155</v>
      </c>
      <c r="BC1218">
        <v>16.899999999999999</v>
      </c>
      <c r="BD1218" t="s">
        <v>56</v>
      </c>
      <c r="BE1218">
        <v>0.2</v>
      </c>
      <c r="BF1218">
        <v>16.899999999999999</v>
      </c>
      <c r="BG1218" t="s">
        <v>56</v>
      </c>
      <c r="BH1218">
        <v>0.2</v>
      </c>
      <c r="BI1218">
        <v>220</v>
      </c>
      <c r="BJ1218">
        <v>0</v>
      </c>
      <c r="BK1218" t="s">
        <v>56</v>
      </c>
      <c r="BL1218" t="s">
        <v>365</v>
      </c>
      <c r="BM1218" t="s">
        <v>365</v>
      </c>
      <c r="BN1218" t="s">
        <v>81</v>
      </c>
      <c r="BO1218" t="s">
        <v>56</v>
      </c>
      <c r="BP1218" t="s">
        <v>92</v>
      </c>
      <c r="BR1218" t="s">
        <v>714</v>
      </c>
      <c r="BT1218">
        <v>3.46</v>
      </c>
      <c r="BU1218">
        <v>3.4647299999999999</v>
      </c>
      <c r="BV1218">
        <v>0.52</v>
      </c>
      <c r="BW1218">
        <f>BV1218*SQRT(AK1218)</f>
        <v>1.04</v>
      </c>
      <c r="BX1218">
        <v>3.59</v>
      </c>
      <c r="BY1218">
        <v>3.5863999999999998</v>
      </c>
      <c r="BZ1218">
        <v>0.14000000000000001</v>
      </c>
      <c r="CA1218">
        <f>BZ1218*SQRT(AL1218)</f>
        <v>0.28000000000000003</v>
      </c>
      <c r="CB1218">
        <v>84</v>
      </c>
      <c r="CC1218">
        <v>2</v>
      </c>
      <c r="CD1218">
        <v>3.5000000000000003E-2</v>
      </c>
      <c r="CE1218">
        <v>2.3900000000000001E-2</v>
      </c>
    </row>
    <row r="1219" spans="4:83" hidden="1" x14ac:dyDescent="0.2">
      <c r="D1219">
        <v>85</v>
      </c>
      <c r="G1219" t="s">
        <v>43</v>
      </c>
      <c r="H1219" t="s">
        <v>719</v>
      </c>
      <c r="J1219">
        <v>2018</v>
      </c>
      <c r="M1219" t="s">
        <v>308</v>
      </c>
      <c r="T1219" t="s">
        <v>68</v>
      </c>
      <c r="U1219" t="s">
        <v>167</v>
      </c>
      <c r="V1219" t="s">
        <v>723</v>
      </c>
      <c r="Z1219" t="s">
        <v>49</v>
      </c>
      <c r="AA1219" t="s">
        <v>49</v>
      </c>
      <c r="AB1219" t="s">
        <v>50</v>
      </c>
      <c r="AC1219" t="s">
        <v>51</v>
      </c>
      <c r="AD1219" t="s">
        <v>52</v>
      </c>
      <c r="AE1219" t="s">
        <v>53</v>
      </c>
      <c r="AF1219" t="s">
        <v>52</v>
      </c>
      <c r="AG1219" t="s">
        <v>52</v>
      </c>
      <c r="AH1219" t="s">
        <v>64</v>
      </c>
      <c r="AK1219">
        <v>4</v>
      </c>
      <c r="AL1219">
        <v>4</v>
      </c>
      <c r="AN1219">
        <v>481</v>
      </c>
      <c r="AO1219" t="s">
        <v>56</v>
      </c>
      <c r="AP1219">
        <v>91</v>
      </c>
      <c r="AQ1219" t="s">
        <v>57</v>
      </c>
      <c r="AR1219">
        <v>8</v>
      </c>
      <c r="AS1219" t="s">
        <v>56</v>
      </c>
      <c r="AT1219">
        <v>0.08</v>
      </c>
      <c r="AU1219">
        <v>695</v>
      </c>
      <c r="AV1219" t="s">
        <v>56</v>
      </c>
      <c r="AW1219">
        <v>135</v>
      </c>
      <c r="AX1219">
        <v>7.9</v>
      </c>
      <c r="AY1219" t="s">
        <v>56</v>
      </c>
      <c r="AZ1219">
        <v>7.0000000000000007E-2</v>
      </c>
      <c r="BB1219">
        <f>LOG(AU1219)</f>
        <v>2.8419848045901137</v>
      </c>
      <c r="BC1219">
        <v>16.5</v>
      </c>
      <c r="BD1219" t="s">
        <v>56</v>
      </c>
      <c r="BE1219">
        <v>0.3</v>
      </c>
      <c r="BF1219">
        <v>20.2</v>
      </c>
      <c r="BG1219" t="s">
        <v>56</v>
      </c>
      <c r="BH1219">
        <v>0.5</v>
      </c>
      <c r="BI1219">
        <v>213</v>
      </c>
      <c r="BJ1219">
        <v>3.7</v>
      </c>
      <c r="BK1219" t="s">
        <v>56</v>
      </c>
      <c r="BL1219" t="s">
        <v>365</v>
      </c>
      <c r="BM1219" t="s">
        <v>365</v>
      </c>
      <c r="BN1219" t="s">
        <v>81</v>
      </c>
      <c r="BO1219" t="s">
        <v>56</v>
      </c>
      <c r="BP1219" t="s">
        <v>92</v>
      </c>
      <c r="BR1219" t="s">
        <v>714</v>
      </c>
      <c r="BT1219">
        <v>2.33</v>
      </c>
      <c r="BU1219">
        <v>2.32769</v>
      </c>
      <c r="BV1219">
        <v>0.33</v>
      </c>
      <c r="BW1219">
        <f>BV1219*SQRT(AK1219)</f>
        <v>0.66</v>
      </c>
      <c r="BX1219">
        <v>2.48</v>
      </c>
      <c r="BY1219">
        <v>2.4825499999999998</v>
      </c>
      <c r="BZ1219">
        <v>0.04</v>
      </c>
      <c r="CA1219">
        <f>BZ1219*SQRT(AL1219)</f>
        <v>0.08</v>
      </c>
      <c r="CB1219">
        <v>84</v>
      </c>
      <c r="CC1219">
        <v>2</v>
      </c>
      <c r="CD1219">
        <v>6.4000000000000001E-2</v>
      </c>
      <c r="CE1219">
        <v>2.0899999999999998E-2</v>
      </c>
    </row>
    <row r="1220" spans="4:83" hidden="1" x14ac:dyDescent="0.2">
      <c r="D1220">
        <v>85</v>
      </c>
      <c r="G1220" t="s">
        <v>43</v>
      </c>
      <c r="H1220" t="s">
        <v>719</v>
      </c>
      <c r="J1220">
        <v>2018</v>
      </c>
      <c r="M1220" t="s">
        <v>308</v>
      </c>
      <c r="T1220" t="s">
        <v>68</v>
      </c>
      <c r="U1220" t="s">
        <v>167</v>
      </c>
      <c r="V1220" t="s">
        <v>720</v>
      </c>
      <c r="Z1220" t="s">
        <v>49</v>
      </c>
      <c r="AA1220" t="s">
        <v>49</v>
      </c>
      <c r="AB1220" t="s">
        <v>50</v>
      </c>
      <c r="AC1220" t="s">
        <v>51</v>
      </c>
      <c r="AD1220" t="s">
        <v>52</v>
      </c>
      <c r="AE1220" t="s">
        <v>53</v>
      </c>
      <c r="AF1220" t="s">
        <v>52</v>
      </c>
      <c r="AG1220" t="s">
        <v>52</v>
      </c>
      <c r="AH1220" t="s">
        <v>64</v>
      </c>
      <c r="AK1220">
        <v>4</v>
      </c>
      <c r="AL1220">
        <v>4</v>
      </c>
      <c r="AN1220">
        <v>597</v>
      </c>
      <c r="AO1220" t="s">
        <v>56</v>
      </c>
      <c r="AP1220">
        <v>146</v>
      </c>
      <c r="AQ1220" t="s">
        <v>57</v>
      </c>
      <c r="AR1220">
        <v>7.79</v>
      </c>
      <c r="AS1220" t="s">
        <v>56</v>
      </c>
      <c r="AT1220">
        <v>0.1</v>
      </c>
      <c r="AU1220">
        <v>945</v>
      </c>
      <c r="AV1220" t="s">
        <v>56</v>
      </c>
      <c r="AW1220">
        <v>276</v>
      </c>
      <c r="AX1220">
        <v>7.7</v>
      </c>
      <c r="AY1220" t="s">
        <v>56</v>
      </c>
      <c r="AZ1220">
        <v>0.11</v>
      </c>
      <c r="BB1220">
        <f>LOG(AU1220)</f>
        <v>2.975431808509263</v>
      </c>
      <c r="BC1220">
        <v>16.899999999999999</v>
      </c>
      <c r="BD1220" t="s">
        <v>56</v>
      </c>
      <c r="BE1220">
        <v>0.2</v>
      </c>
      <c r="BF1220">
        <v>20.6</v>
      </c>
      <c r="BG1220" t="s">
        <v>56</v>
      </c>
      <c r="BH1220">
        <v>0.4</v>
      </c>
      <c r="BI1220">
        <v>348</v>
      </c>
      <c r="BJ1220">
        <v>3.7</v>
      </c>
      <c r="BK1220" t="s">
        <v>56</v>
      </c>
      <c r="BL1220" t="s">
        <v>721</v>
      </c>
      <c r="BM1220" t="s">
        <v>75</v>
      </c>
      <c r="BN1220" t="s">
        <v>60</v>
      </c>
      <c r="BO1220" t="s">
        <v>722</v>
      </c>
      <c r="BP1220" t="s">
        <v>77</v>
      </c>
      <c r="BR1220" t="s">
        <v>714</v>
      </c>
      <c r="BT1220">
        <v>1.1000000000000001</v>
      </c>
      <c r="BU1220">
        <v>1.09694</v>
      </c>
      <c r="BV1220">
        <v>0.17</v>
      </c>
      <c r="BW1220">
        <f>BV1220*SQRT(AK1220)</f>
        <v>0.34</v>
      </c>
      <c r="BX1220">
        <v>1.25</v>
      </c>
      <c r="BY1220">
        <v>1.25</v>
      </c>
      <c r="BZ1220">
        <v>0.31</v>
      </c>
      <c r="CA1220">
        <f>BZ1220*SQRT(AL1220)</f>
        <v>0.62</v>
      </c>
      <c r="CB1220">
        <v>84</v>
      </c>
      <c r="CC1220">
        <v>2</v>
      </c>
      <c r="CD1220">
        <v>0.13100000000000001</v>
      </c>
      <c r="CE1220">
        <v>8.3500000000000005E-2</v>
      </c>
    </row>
    <row r="1221" spans="4:83" hidden="1" x14ac:dyDescent="0.2">
      <c r="D1221">
        <v>85</v>
      </c>
      <c r="G1221" t="s">
        <v>43</v>
      </c>
      <c r="H1221" t="s">
        <v>719</v>
      </c>
      <c r="J1221">
        <v>2018</v>
      </c>
      <c r="M1221" t="s">
        <v>308</v>
      </c>
      <c r="T1221" t="s">
        <v>68</v>
      </c>
      <c r="U1221" t="s">
        <v>167</v>
      </c>
      <c r="V1221" t="s">
        <v>723</v>
      </c>
      <c r="Z1221" t="s">
        <v>49</v>
      </c>
      <c r="AA1221" t="s">
        <v>49</v>
      </c>
      <c r="AB1221" t="s">
        <v>50</v>
      </c>
      <c r="AC1221" t="s">
        <v>51</v>
      </c>
      <c r="AD1221" t="s">
        <v>52</v>
      </c>
      <c r="AE1221" t="s">
        <v>53</v>
      </c>
      <c r="AF1221" t="s">
        <v>52</v>
      </c>
      <c r="AG1221" t="s">
        <v>52</v>
      </c>
      <c r="AH1221" t="s">
        <v>64</v>
      </c>
      <c r="AK1221">
        <v>4</v>
      </c>
      <c r="AL1221">
        <v>4</v>
      </c>
      <c r="AN1221">
        <v>481</v>
      </c>
      <c r="AO1221" t="s">
        <v>56</v>
      </c>
      <c r="AP1221">
        <v>91</v>
      </c>
      <c r="AQ1221" t="s">
        <v>57</v>
      </c>
      <c r="AR1221">
        <v>8</v>
      </c>
      <c r="AS1221" t="s">
        <v>56</v>
      </c>
      <c r="AT1221">
        <v>0.08</v>
      </c>
      <c r="AU1221">
        <v>1165</v>
      </c>
      <c r="AV1221" t="s">
        <v>56</v>
      </c>
      <c r="AW1221">
        <v>227</v>
      </c>
      <c r="AX1221">
        <v>7.7</v>
      </c>
      <c r="AY1221" t="s">
        <v>56</v>
      </c>
      <c r="AZ1221">
        <v>0.09</v>
      </c>
      <c r="BB1221">
        <f>LOG(AU1221)</f>
        <v>3.0663259253620376</v>
      </c>
      <c r="BC1221">
        <v>16.5</v>
      </c>
      <c r="BD1221" t="s">
        <v>56</v>
      </c>
      <c r="BE1221">
        <v>0.3</v>
      </c>
      <c r="BF1221">
        <v>19.8</v>
      </c>
      <c r="BG1221" t="s">
        <v>56</v>
      </c>
      <c r="BH1221">
        <v>0.3</v>
      </c>
      <c r="BI1221">
        <v>684</v>
      </c>
      <c r="BJ1221">
        <v>3.3</v>
      </c>
      <c r="BK1221" t="s">
        <v>56</v>
      </c>
      <c r="BL1221" t="s">
        <v>724</v>
      </c>
      <c r="BM1221" t="s">
        <v>59</v>
      </c>
      <c r="BN1221" t="s">
        <v>60</v>
      </c>
      <c r="BO1221" t="s">
        <v>725</v>
      </c>
      <c r="BP1221" t="s">
        <v>62</v>
      </c>
      <c r="BR1221" t="s">
        <v>714</v>
      </c>
      <c r="BT1221">
        <v>15.13</v>
      </c>
      <c r="BU1221">
        <v>15.126099999999999</v>
      </c>
      <c r="BV1221">
        <v>1.83</v>
      </c>
      <c r="BW1221">
        <f>BV1221*SQRT(AK1221)</f>
        <v>3.66</v>
      </c>
      <c r="BX1221">
        <v>17.649999999999999</v>
      </c>
      <c r="BY1221">
        <v>17.647099999999998</v>
      </c>
      <c r="BZ1221">
        <v>1.83</v>
      </c>
      <c r="CA1221">
        <f>BZ1221*SQRT(AL1221)</f>
        <v>3.66</v>
      </c>
      <c r="CB1221">
        <v>84</v>
      </c>
      <c r="CC1221">
        <v>2</v>
      </c>
      <c r="CD1221">
        <v>0.154</v>
      </c>
      <c r="CE1221">
        <v>2.53E-2</v>
      </c>
    </row>
    <row r="1222" spans="4:83" hidden="1" x14ac:dyDescent="0.2">
      <c r="D1222">
        <v>85</v>
      </c>
      <c r="G1222" t="s">
        <v>43</v>
      </c>
      <c r="H1222" t="s">
        <v>719</v>
      </c>
      <c r="J1222">
        <v>2018</v>
      </c>
      <c r="M1222" t="s">
        <v>308</v>
      </c>
      <c r="T1222" t="s">
        <v>68</v>
      </c>
      <c r="U1222" t="s">
        <v>167</v>
      </c>
      <c r="V1222" t="s">
        <v>723</v>
      </c>
      <c r="Z1222" t="s">
        <v>49</v>
      </c>
      <c r="AA1222" t="s">
        <v>49</v>
      </c>
      <c r="AB1222" t="s">
        <v>50</v>
      </c>
      <c r="AC1222" t="s">
        <v>51</v>
      </c>
      <c r="AD1222" t="s">
        <v>52</v>
      </c>
      <c r="AE1222" t="s">
        <v>53</v>
      </c>
      <c r="AF1222" t="s">
        <v>52</v>
      </c>
      <c r="AG1222" t="s">
        <v>52</v>
      </c>
      <c r="AH1222" t="s">
        <v>64</v>
      </c>
      <c r="AK1222">
        <v>4</v>
      </c>
      <c r="AL1222">
        <v>4</v>
      </c>
      <c r="AN1222">
        <v>481</v>
      </c>
      <c r="AO1222" t="s">
        <v>56</v>
      </c>
      <c r="AP1222">
        <v>91</v>
      </c>
      <c r="AQ1222" t="s">
        <v>57</v>
      </c>
      <c r="AR1222">
        <v>8</v>
      </c>
      <c r="AS1222" t="s">
        <v>56</v>
      </c>
      <c r="AT1222">
        <v>0.08</v>
      </c>
      <c r="AU1222">
        <v>1165</v>
      </c>
      <c r="AV1222" t="s">
        <v>56</v>
      </c>
      <c r="AW1222">
        <v>227</v>
      </c>
      <c r="AX1222">
        <v>7.7</v>
      </c>
      <c r="AY1222" t="s">
        <v>56</v>
      </c>
      <c r="AZ1222">
        <v>0.09</v>
      </c>
      <c r="BB1222">
        <f>LOG(AU1222)</f>
        <v>3.0663259253620376</v>
      </c>
      <c r="BC1222">
        <v>16.5</v>
      </c>
      <c r="BD1222" t="s">
        <v>56</v>
      </c>
      <c r="BE1222">
        <v>0.3</v>
      </c>
      <c r="BF1222">
        <v>19.8</v>
      </c>
      <c r="BG1222" t="s">
        <v>56</v>
      </c>
      <c r="BH1222">
        <v>0.3</v>
      </c>
      <c r="BI1222">
        <v>684</v>
      </c>
      <c r="BJ1222">
        <v>3.3</v>
      </c>
      <c r="BK1222" t="s">
        <v>56</v>
      </c>
      <c r="BL1222" t="s">
        <v>365</v>
      </c>
      <c r="BM1222" t="s">
        <v>365</v>
      </c>
      <c r="BN1222" t="s">
        <v>81</v>
      </c>
      <c r="BO1222" t="s">
        <v>56</v>
      </c>
      <c r="BP1222" t="s">
        <v>92</v>
      </c>
      <c r="BR1222" t="s">
        <v>714</v>
      </c>
      <c r="BT1222">
        <v>2.33</v>
      </c>
      <c r="BU1222">
        <v>2.32769</v>
      </c>
      <c r="BV1222">
        <v>0.33</v>
      </c>
      <c r="BW1222">
        <f>BV1222*SQRT(AK1222)</f>
        <v>0.66</v>
      </c>
      <c r="BX1222">
        <v>2.74</v>
      </c>
      <c r="BY1222">
        <v>2.7367400000000002</v>
      </c>
      <c r="BZ1222">
        <v>0.38</v>
      </c>
      <c r="CA1222">
        <f>BZ1222*SQRT(AL1222)</f>
        <v>0.76</v>
      </c>
      <c r="CB1222">
        <v>84</v>
      </c>
      <c r="CC1222">
        <v>2</v>
      </c>
      <c r="CD1222">
        <v>0.16200000000000001</v>
      </c>
      <c r="CE1222">
        <v>3.9699999999999999E-2</v>
      </c>
    </row>
    <row r="1223" spans="4:83" hidden="1" x14ac:dyDescent="0.2">
      <c r="D1223">
        <v>85</v>
      </c>
      <c r="G1223" t="s">
        <v>43</v>
      </c>
      <c r="H1223" t="s">
        <v>719</v>
      </c>
      <c r="J1223">
        <v>2018</v>
      </c>
      <c r="M1223" t="s">
        <v>308</v>
      </c>
      <c r="T1223" t="s">
        <v>68</v>
      </c>
      <c r="U1223" t="s">
        <v>167</v>
      </c>
      <c r="V1223" t="s">
        <v>723</v>
      </c>
      <c r="Z1223" t="s">
        <v>49</v>
      </c>
      <c r="AA1223" t="s">
        <v>49</v>
      </c>
      <c r="AB1223" t="s">
        <v>50</v>
      </c>
      <c r="AC1223" t="s">
        <v>51</v>
      </c>
      <c r="AD1223" t="s">
        <v>52</v>
      </c>
      <c r="AE1223" t="s">
        <v>53</v>
      </c>
      <c r="AF1223" t="s">
        <v>52</v>
      </c>
      <c r="AG1223" t="s">
        <v>54</v>
      </c>
      <c r="AH1223" t="s">
        <v>55</v>
      </c>
      <c r="AK1223">
        <v>4</v>
      </c>
      <c r="AL1223">
        <v>4</v>
      </c>
      <c r="AN1223">
        <v>481</v>
      </c>
      <c r="AO1223" t="s">
        <v>56</v>
      </c>
      <c r="AP1223">
        <v>91</v>
      </c>
      <c r="AQ1223" t="s">
        <v>57</v>
      </c>
      <c r="AR1223">
        <v>8</v>
      </c>
      <c r="AS1223" t="s">
        <v>56</v>
      </c>
      <c r="AT1223">
        <v>0.08</v>
      </c>
      <c r="AU1223">
        <v>760</v>
      </c>
      <c r="AV1223" t="s">
        <v>56</v>
      </c>
      <c r="AW1223">
        <v>178</v>
      </c>
      <c r="AX1223">
        <v>7.84</v>
      </c>
      <c r="AY1223" t="s">
        <v>56</v>
      </c>
      <c r="AZ1223">
        <v>0.08</v>
      </c>
      <c r="BB1223">
        <f>LOG(AU1223)</f>
        <v>2.8808135922807914</v>
      </c>
      <c r="BC1223">
        <v>16.5</v>
      </c>
      <c r="BD1223" t="s">
        <v>56</v>
      </c>
      <c r="BE1223">
        <v>0.3</v>
      </c>
      <c r="BF1223">
        <v>16.600000000000001</v>
      </c>
      <c r="BG1223" t="s">
        <v>56</v>
      </c>
      <c r="BH1223">
        <v>0.2</v>
      </c>
      <c r="BI1223">
        <v>279</v>
      </c>
      <c r="BJ1223">
        <v>0.1</v>
      </c>
      <c r="BK1223" t="s">
        <v>56</v>
      </c>
      <c r="BL1223" t="s">
        <v>365</v>
      </c>
      <c r="BM1223" t="s">
        <v>365</v>
      </c>
      <c r="BN1223" t="s">
        <v>81</v>
      </c>
      <c r="BO1223" t="s">
        <v>56</v>
      </c>
      <c r="BP1223" t="s">
        <v>92</v>
      </c>
      <c r="BR1223" t="s">
        <v>714</v>
      </c>
      <c r="BT1223">
        <v>2.33</v>
      </c>
      <c r="BU1223">
        <v>2.32769</v>
      </c>
      <c r="BV1223">
        <v>0.33</v>
      </c>
      <c r="BW1223">
        <f>BV1223*SQRT(AK1223)</f>
        <v>0.66</v>
      </c>
      <c r="BX1223">
        <v>2.8</v>
      </c>
      <c r="BY1223">
        <v>2.7999700000000001</v>
      </c>
      <c r="BZ1223">
        <v>0.38</v>
      </c>
      <c r="CA1223">
        <f>BZ1223*SQRT(AL1223)</f>
        <v>0.76</v>
      </c>
      <c r="CB1223">
        <v>84</v>
      </c>
      <c r="CC1223">
        <v>2</v>
      </c>
      <c r="CD1223">
        <v>0.185</v>
      </c>
      <c r="CE1223">
        <v>3.8800000000000001E-2</v>
      </c>
    </row>
    <row r="1224" spans="4:83" hidden="1" x14ac:dyDescent="0.2">
      <c r="D1224">
        <v>85</v>
      </c>
      <c r="G1224" t="s">
        <v>43</v>
      </c>
      <c r="H1224" t="s">
        <v>719</v>
      </c>
      <c r="J1224">
        <v>2018</v>
      </c>
      <c r="M1224" t="s">
        <v>308</v>
      </c>
      <c r="T1224" t="s">
        <v>68</v>
      </c>
      <c r="U1224" t="s">
        <v>167</v>
      </c>
      <c r="V1224" t="s">
        <v>720</v>
      </c>
      <c r="Z1224" t="s">
        <v>49</v>
      </c>
      <c r="AA1224" t="s">
        <v>49</v>
      </c>
      <c r="AB1224" t="s">
        <v>50</v>
      </c>
      <c r="AC1224" t="s">
        <v>51</v>
      </c>
      <c r="AD1224" t="s">
        <v>52</v>
      </c>
      <c r="AE1224" t="s">
        <v>53</v>
      </c>
      <c r="AF1224" t="s">
        <v>52</v>
      </c>
      <c r="AG1224" t="s">
        <v>52</v>
      </c>
      <c r="AH1224" t="s">
        <v>64</v>
      </c>
      <c r="AK1224">
        <v>4</v>
      </c>
      <c r="AL1224">
        <v>4</v>
      </c>
      <c r="AN1224">
        <v>597</v>
      </c>
      <c r="AO1224" t="s">
        <v>56</v>
      </c>
      <c r="AP1224">
        <v>146</v>
      </c>
      <c r="AQ1224" t="s">
        <v>57</v>
      </c>
      <c r="AR1224">
        <v>7.79</v>
      </c>
      <c r="AS1224" t="s">
        <v>56</v>
      </c>
      <c r="AT1224">
        <v>0.1</v>
      </c>
      <c r="AU1224">
        <v>1377</v>
      </c>
      <c r="AV1224" t="s">
        <v>56</v>
      </c>
      <c r="AW1224">
        <v>281</v>
      </c>
      <c r="AX1224">
        <v>7.56</v>
      </c>
      <c r="AY1224" t="s">
        <v>56</v>
      </c>
      <c r="AZ1224">
        <v>0.1</v>
      </c>
      <c r="BB1224">
        <f>LOG(AU1224)</f>
        <v>3.1389339402569236</v>
      </c>
      <c r="BC1224">
        <v>16.899999999999999</v>
      </c>
      <c r="BD1224" t="s">
        <v>56</v>
      </c>
      <c r="BE1224">
        <v>0.2</v>
      </c>
      <c r="BF1224">
        <v>20.2</v>
      </c>
      <c r="BG1224" t="s">
        <v>56</v>
      </c>
      <c r="BH1224">
        <v>0.3</v>
      </c>
      <c r="BI1224">
        <v>780</v>
      </c>
      <c r="BJ1224">
        <v>3.3</v>
      </c>
      <c r="BK1224" t="s">
        <v>56</v>
      </c>
      <c r="BL1224" t="s">
        <v>721</v>
      </c>
      <c r="BM1224" t="s">
        <v>75</v>
      </c>
      <c r="BN1224" t="s">
        <v>60</v>
      </c>
      <c r="BO1224" t="s">
        <v>722</v>
      </c>
      <c r="BP1224" t="s">
        <v>77</v>
      </c>
      <c r="BR1224" t="s">
        <v>714</v>
      </c>
      <c r="BT1224">
        <v>1.1000000000000001</v>
      </c>
      <c r="BU1224">
        <v>1.09694</v>
      </c>
      <c r="BV1224">
        <v>0.17</v>
      </c>
      <c r="BW1224">
        <f>BV1224*SQRT(AK1224)</f>
        <v>0.34</v>
      </c>
      <c r="BX1224">
        <v>1.33</v>
      </c>
      <c r="BY1224">
        <v>1.3316300000000001</v>
      </c>
      <c r="BZ1224">
        <v>0.21</v>
      </c>
      <c r="CA1224">
        <f>BZ1224*SQRT(AL1224)</f>
        <v>0.42</v>
      </c>
      <c r="CB1224">
        <v>84</v>
      </c>
      <c r="CC1224">
        <v>2</v>
      </c>
      <c r="CD1224">
        <v>0.19400000000000001</v>
      </c>
      <c r="CE1224">
        <v>4.82E-2</v>
      </c>
    </row>
    <row r="1225" spans="4:83" hidden="1" x14ac:dyDescent="0.2">
      <c r="D1225">
        <v>85</v>
      </c>
      <c r="G1225" t="s">
        <v>43</v>
      </c>
      <c r="H1225" t="s">
        <v>719</v>
      </c>
      <c r="J1225">
        <v>2018</v>
      </c>
      <c r="M1225" t="s">
        <v>308</v>
      </c>
      <c r="T1225" t="s">
        <v>68</v>
      </c>
      <c r="U1225" t="s">
        <v>167</v>
      </c>
      <c r="V1225" t="s">
        <v>720</v>
      </c>
      <c r="Z1225" t="s">
        <v>49</v>
      </c>
      <c r="AA1225" t="s">
        <v>49</v>
      </c>
      <c r="AB1225" t="s">
        <v>50</v>
      </c>
      <c r="AC1225" t="s">
        <v>51</v>
      </c>
      <c r="AD1225" t="s">
        <v>52</v>
      </c>
      <c r="AE1225" t="s">
        <v>53</v>
      </c>
      <c r="AF1225" t="s">
        <v>52</v>
      </c>
      <c r="AG1225" t="s">
        <v>54</v>
      </c>
      <c r="AH1225" t="s">
        <v>55</v>
      </c>
      <c r="AK1225">
        <v>4</v>
      </c>
      <c r="AL1225">
        <v>4</v>
      </c>
      <c r="AN1225">
        <v>597</v>
      </c>
      <c r="AO1225" t="s">
        <v>56</v>
      </c>
      <c r="AP1225">
        <v>146</v>
      </c>
      <c r="AQ1225" t="s">
        <v>57</v>
      </c>
      <c r="AR1225">
        <v>7.79</v>
      </c>
      <c r="AS1225" t="s">
        <v>56</v>
      </c>
      <c r="AT1225">
        <v>0.1</v>
      </c>
      <c r="AU1225">
        <v>1175</v>
      </c>
      <c r="AV1225" t="s">
        <v>56</v>
      </c>
      <c r="AW1225">
        <v>421</v>
      </c>
      <c r="AX1225">
        <v>7.55</v>
      </c>
      <c r="AY1225" t="s">
        <v>56</v>
      </c>
      <c r="AZ1225">
        <v>0.1</v>
      </c>
      <c r="BB1225">
        <f>LOG(AU1225)</f>
        <v>3.070037866607755</v>
      </c>
      <c r="BC1225">
        <v>16.899999999999999</v>
      </c>
      <c r="BD1225" t="s">
        <v>56</v>
      </c>
      <c r="BE1225">
        <v>0.2</v>
      </c>
      <c r="BF1225">
        <v>16.8</v>
      </c>
      <c r="BG1225" t="s">
        <v>56</v>
      </c>
      <c r="BH1225">
        <v>0.2</v>
      </c>
      <c r="BI1225">
        <v>577</v>
      </c>
      <c r="BJ1225">
        <v>-0.1</v>
      </c>
      <c r="BK1225" t="s">
        <v>56</v>
      </c>
      <c r="BL1225" t="s">
        <v>721</v>
      </c>
      <c r="BM1225" t="s">
        <v>75</v>
      </c>
      <c r="BN1225" t="s">
        <v>60</v>
      </c>
      <c r="BO1225" t="s">
        <v>722</v>
      </c>
      <c r="BP1225" t="s">
        <v>77</v>
      </c>
      <c r="BR1225" t="s">
        <v>714</v>
      </c>
      <c r="BT1225">
        <v>1.1000000000000001</v>
      </c>
      <c r="BU1225">
        <v>1.09694</v>
      </c>
      <c r="BV1225">
        <v>0.17</v>
      </c>
      <c r="BW1225">
        <f>BV1225*SQRT(AK1225)</f>
        <v>0.34</v>
      </c>
      <c r="BX1225">
        <v>1.58</v>
      </c>
      <c r="BY1225">
        <v>1.5816300000000001</v>
      </c>
      <c r="BZ1225">
        <v>0.18</v>
      </c>
      <c r="CA1225">
        <f>BZ1225*SQRT(AL1225)</f>
        <v>0.36</v>
      </c>
      <c r="CB1225">
        <v>84</v>
      </c>
      <c r="CC1225">
        <v>2</v>
      </c>
      <c r="CD1225">
        <v>0.36599999999999999</v>
      </c>
      <c r="CE1225">
        <v>3.6299999999999999E-2</v>
      </c>
    </row>
    <row r="1226" spans="4:83" hidden="1" x14ac:dyDescent="0.2">
      <c r="D1226">
        <v>85</v>
      </c>
      <c r="G1226" t="s">
        <v>43</v>
      </c>
      <c r="H1226" t="s">
        <v>719</v>
      </c>
      <c r="J1226">
        <v>2018</v>
      </c>
      <c r="M1226" t="s">
        <v>308</v>
      </c>
      <c r="T1226" t="s">
        <v>68</v>
      </c>
      <c r="U1226" t="s">
        <v>167</v>
      </c>
      <c r="V1226" t="s">
        <v>723</v>
      </c>
      <c r="Z1226" t="s">
        <v>49</v>
      </c>
      <c r="AA1226" t="s">
        <v>49</v>
      </c>
      <c r="AB1226" t="s">
        <v>50</v>
      </c>
      <c r="AC1226" t="s">
        <v>51</v>
      </c>
      <c r="AD1226" t="s">
        <v>52</v>
      </c>
      <c r="AE1226" t="s">
        <v>53</v>
      </c>
      <c r="AF1226" t="s">
        <v>54</v>
      </c>
      <c r="AG1226" t="s">
        <v>52</v>
      </c>
      <c r="AH1226" t="s">
        <v>65</v>
      </c>
      <c r="AK1226">
        <v>4</v>
      </c>
      <c r="AL1226">
        <v>4</v>
      </c>
      <c r="AN1226">
        <v>481</v>
      </c>
      <c r="AO1226" t="s">
        <v>56</v>
      </c>
      <c r="AP1226">
        <v>91</v>
      </c>
      <c r="AQ1226" t="s">
        <v>57</v>
      </c>
      <c r="AR1226">
        <v>8</v>
      </c>
      <c r="AS1226" t="s">
        <v>56</v>
      </c>
      <c r="AT1226">
        <v>0.08</v>
      </c>
      <c r="AU1226">
        <v>468</v>
      </c>
      <c r="AV1226" t="s">
        <v>56</v>
      </c>
      <c r="AW1226">
        <v>78</v>
      </c>
      <c r="AX1226">
        <v>8</v>
      </c>
      <c r="AY1226" t="s">
        <v>56</v>
      </c>
      <c r="AZ1226">
        <v>0.08</v>
      </c>
      <c r="BB1226">
        <f>LOG(AU1226)</f>
        <v>2.6702458530741242</v>
      </c>
      <c r="BC1226">
        <v>16.5</v>
      </c>
      <c r="BD1226" t="s">
        <v>56</v>
      </c>
      <c r="BE1226">
        <v>0.3</v>
      </c>
      <c r="BF1226">
        <v>19.8</v>
      </c>
      <c r="BG1226" t="s">
        <v>56</v>
      </c>
      <c r="BH1226">
        <v>0.3</v>
      </c>
      <c r="BI1226">
        <v>-14</v>
      </c>
      <c r="BJ1226">
        <v>3.3</v>
      </c>
      <c r="BK1226" t="s">
        <v>56</v>
      </c>
      <c r="BL1226" t="s">
        <v>365</v>
      </c>
      <c r="BM1226" t="s">
        <v>365</v>
      </c>
      <c r="BN1226" t="s">
        <v>81</v>
      </c>
      <c r="BO1226" t="s">
        <v>56</v>
      </c>
      <c r="BP1226" t="s">
        <v>92</v>
      </c>
      <c r="BR1226" t="s">
        <v>714</v>
      </c>
      <c r="BT1226">
        <v>2.33</v>
      </c>
      <c r="BU1226">
        <v>2.32769</v>
      </c>
      <c r="BV1226">
        <v>0.33</v>
      </c>
      <c r="BW1226">
        <f>BV1226*SQRT(AK1226)</f>
        <v>0.66</v>
      </c>
      <c r="BX1226">
        <v>3.45</v>
      </c>
      <c r="BY1226">
        <v>3.44929</v>
      </c>
      <c r="BZ1226">
        <v>0.8</v>
      </c>
      <c r="CA1226">
        <f>BZ1226*SQRT(AL1226)</f>
        <v>1.6</v>
      </c>
      <c r="CB1226">
        <v>84</v>
      </c>
      <c r="CC1226">
        <v>2</v>
      </c>
      <c r="CD1226">
        <v>0.39300000000000002</v>
      </c>
      <c r="CE1226">
        <v>7.4300000000000005E-2</v>
      </c>
    </row>
    <row r="1227" spans="4:83" hidden="1" x14ac:dyDescent="0.2">
      <c r="D1227">
        <v>85</v>
      </c>
      <c r="G1227" t="s">
        <v>43</v>
      </c>
      <c r="H1227" t="s">
        <v>719</v>
      </c>
      <c r="J1227">
        <v>2018</v>
      </c>
      <c r="M1227" t="s">
        <v>308</v>
      </c>
      <c r="T1227" t="s">
        <v>68</v>
      </c>
      <c r="U1227" t="s">
        <v>167</v>
      </c>
      <c r="V1227" t="s">
        <v>720</v>
      </c>
      <c r="Z1227" t="s">
        <v>49</v>
      </c>
      <c r="AA1227" t="s">
        <v>49</v>
      </c>
      <c r="AB1227" t="s">
        <v>50</v>
      </c>
      <c r="AC1227" t="s">
        <v>51</v>
      </c>
      <c r="AD1227" t="s">
        <v>52</v>
      </c>
      <c r="AE1227" t="s">
        <v>53</v>
      </c>
      <c r="AF1227" t="s">
        <v>54</v>
      </c>
      <c r="AG1227" t="s">
        <v>52</v>
      </c>
      <c r="AH1227" t="s">
        <v>65</v>
      </c>
      <c r="AK1227">
        <v>4</v>
      </c>
      <c r="AL1227">
        <v>4</v>
      </c>
      <c r="AN1227">
        <v>597</v>
      </c>
      <c r="AO1227" t="s">
        <v>56</v>
      </c>
      <c r="AP1227">
        <v>146</v>
      </c>
      <c r="AQ1227" t="s">
        <v>57</v>
      </c>
      <c r="AR1227">
        <v>7.79</v>
      </c>
      <c r="AS1227" t="s">
        <v>56</v>
      </c>
      <c r="AT1227">
        <v>0.1</v>
      </c>
      <c r="AU1227">
        <v>670</v>
      </c>
      <c r="AV1227" t="s">
        <v>56</v>
      </c>
      <c r="AW1227">
        <v>156</v>
      </c>
      <c r="AX1227">
        <v>7.84</v>
      </c>
      <c r="AY1227" t="s">
        <v>56</v>
      </c>
      <c r="AZ1227">
        <v>0.1</v>
      </c>
      <c r="BB1227">
        <f>LOG(AU1227)</f>
        <v>2.8260748027008264</v>
      </c>
      <c r="BC1227">
        <v>16.899999999999999</v>
      </c>
      <c r="BD1227" t="s">
        <v>56</v>
      </c>
      <c r="BE1227">
        <v>0.2</v>
      </c>
      <c r="BF1227">
        <v>20.399999999999999</v>
      </c>
      <c r="BG1227" t="s">
        <v>56</v>
      </c>
      <c r="BH1227">
        <v>0.3</v>
      </c>
      <c r="BI1227">
        <v>73</v>
      </c>
      <c r="BJ1227">
        <v>3.5</v>
      </c>
      <c r="BK1227" t="s">
        <v>56</v>
      </c>
      <c r="BL1227" t="s">
        <v>721</v>
      </c>
      <c r="BM1227" t="s">
        <v>75</v>
      </c>
      <c r="BN1227" t="s">
        <v>60</v>
      </c>
      <c r="BO1227" t="s">
        <v>722</v>
      </c>
      <c r="BP1227" t="s">
        <v>77</v>
      </c>
      <c r="BR1227" t="s">
        <v>714</v>
      </c>
      <c r="BT1227">
        <v>1.1000000000000001</v>
      </c>
      <c r="BU1227">
        <v>1.09694</v>
      </c>
      <c r="BV1227">
        <v>0.17</v>
      </c>
      <c r="BW1227">
        <f>BV1227*SQRT(AK1227)</f>
        <v>0.34</v>
      </c>
      <c r="BX1227">
        <v>2.09</v>
      </c>
      <c r="BY1227">
        <v>2.0867300000000002</v>
      </c>
      <c r="BZ1227">
        <v>0.21</v>
      </c>
      <c r="CA1227">
        <f>BZ1227*SQRT(AL1227)</f>
        <v>0.42</v>
      </c>
      <c r="CB1227">
        <v>84</v>
      </c>
      <c r="CC1227">
        <v>2</v>
      </c>
      <c r="CD1227">
        <v>0.64300000000000002</v>
      </c>
      <c r="CE1227">
        <v>3.3599999999999998E-2</v>
      </c>
    </row>
    <row r="1228" spans="4:83" hidden="1" x14ac:dyDescent="0.2">
      <c r="D1228">
        <v>86</v>
      </c>
      <c r="G1228" t="s">
        <v>43</v>
      </c>
      <c r="H1228" t="s">
        <v>726</v>
      </c>
      <c r="J1228">
        <v>2018</v>
      </c>
      <c r="M1228" t="s">
        <v>308</v>
      </c>
      <c r="T1228" t="s">
        <v>68</v>
      </c>
      <c r="U1228" t="s">
        <v>167</v>
      </c>
      <c r="V1228" t="s">
        <v>720</v>
      </c>
      <c r="Z1228" t="s">
        <v>49</v>
      </c>
      <c r="AA1228" t="s">
        <v>49</v>
      </c>
      <c r="AB1228" t="s">
        <v>50</v>
      </c>
      <c r="AC1228" t="s">
        <v>51</v>
      </c>
      <c r="AD1228" t="s">
        <v>52</v>
      </c>
      <c r="AE1228" t="s">
        <v>53</v>
      </c>
      <c r="AF1228" t="s">
        <v>52</v>
      </c>
      <c r="AG1228" t="s">
        <v>52</v>
      </c>
      <c r="AH1228" t="s">
        <v>64</v>
      </c>
      <c r="AK1228">
        <v>4</v>
      </c>
      <c r="AL1228">
        <v>4</v>
      </c>
      <c r="AN1228">
        <v>597</v>
      </c>
      <c r="AO1228" t="s">
        <v>56</v>
      </c>
      <c r="AP1228">
        <v>146</v>
      </c>
      <c r="AQ1228" t="s">
        <v>57</v>
      </c>
      <c r="AR1228">
        <v>7.79</v>
      </c>
      <c r="AS1228" t="s">
        <v>56</v>
      </c>
      <c r="AT1228">
        <v>0.1</v>
      </c>
      <c r="AU1228">
        <v>1377</v>
      </c>
      <c r="AV1228" t="s">
        <v>56</v>
      </c>
      <c r="AW1228">
        <v>281</v>
      </c>
      <c r="AX1228">
        <v>7.56</v>
      </c>
      <c r="AY1228" t="s">
        <v>56</v>
      </c>
      <c r="AZ1228">
        <v>0.1</v>
      </c>
      <c r="BB1228">
        <f>LOG(AU1228)</f>
        <v>3.1389339402569236</v>
      </c>
      <c r="BC1228">
        <v>16.899999999999999</v>
      </c>
      <c r="BD1228" t="s">
        <v>56</v>
      </c>
      <c r="BE1228">
        <v>0.2</v>
      </c>
      <c r="BF1228">
        <v>20.2</v>
      </c>
      <c r="BG1228" t="s">
        <v>56</v>
      </c>
      <c r="BH1228">
        <v>0.3</v>
      </c>
      <c r="BI1228">
        <v>780</v>
      </c>
      <c r="BJ1228">
        <v>3.3</v>
      </c>
      <c r="BK1228" t="s">
        <v>56</v>
      </c>
      <c r="BL1228" t="s">
        <v>365</v>
      </c>
      <c r="BM1228" t="s">
        <v>365</v>
      </c>
      <c r="BN1228" t="s">
        <v>81</v>
      </c>
      <c r="BO1228" t="s">
        <v>56</v>
      </c>
      <c r="BP1228" t="s">
        <v>92</v>
      </c>
      <c r="BR1228" t="s">
        <v>714</v>
      </c>
      <c r="BT1228">
        <v>2.59</v>
      </c>
      <c r="BU1228">
        <v>2.5932200000000001</v>
      </c>
      <c r="BV1228">
        <v>0.76</v>
      </c>
      <c r="BW1228">
        <f>BV1228*SQRT(AK1228)</f>
        <v>1.52</v>
      </c>
      <c r="BX1228">
        <v>1.61</v>
      </c>
      <c r="BY1228">
        <v>1.6101700000000001</v>
      </c>
      <c r="BZ1228">
        <v>0.42</v>
      </c>
      <c r="CA1228">
        <f>BZ1228*SQRT(AL1228)</f>
        <v>0.84</v>
      </c>
      <c r="CB1228">
        <v>84</v>
      </c>
      <c r="CC1228">
        <v>4</v>
      </c>
      <c r="CD1228">
        <v>-0.47699999999999998</v>
      </c>
      <c r="CE1228">
        <v>0.15579999999999999</v>
      </c>
    </row>
    <row r="1229" spans="4:83" hidden="1" x14ac:dyDescent="0.2">
      <c r="D1229">
        <v>86</v>
      </c>
      <c r="G1229" t="s">
        <v>43</v>
      </c>
      <c r="H1229" t="s">
        <v>726</v>
      </c>
      <c r="J1229">
        <v>2018</v>
      </c>
      <c r="M1229" t="s">
        <v>308</v>
      </c>
      <c r="T1229" t="s">
        <v>68</v>
      </c>
      <c r="U1229" t="s">
        <v>167</v>
      </c>
      <c r="V1229" t="s">
        <v>723</v>
      </c>
      <c r="Z1229" t="s">
        <v>49</v>
      </c>
      <c r="AA1229" t="s">
        <v>49</v>
      </c>
      <c r="AB1229" t="s">
        <v>50</v>
      </c>
      <c r="AC1229" t="s">
        <v>51</v>
      </c>
      <c r="AD1229" t="s">
        <v>52</v>
      </c>
      <c r="AE1229" t="s">
        <v>53</v>
      </c>
      <c r="AF1229" t="s">
        <v>52</v>
      </c>
      <c r="AG1229" t="s">
        <v>54</v>
      </c>
      <c r="AH1229" t="s">
        <v>55</v>
      </c>
      <c r="AK1229">
        <v>8</v>
      </c>
      <c r="AL1229">
        <v>8</v>
      </c>
      <c r="AN1229">
        <v>481</v>
      </c>
      <c r="AO1229" t="s">
        <v>56</v>
      </c>
      <c r="AP1229">
        <v>91</v>
      </c>
      <c r="AQ1229" t="s">
        <v>57</v>
      </c>
      <c r="AR1229">
        <v>8</v>
      </c>
      <c r="AS1229" t="s">
        <v>56</v>
      </c>
      <c r="AT1229">
        <v>0.08</v>
      </c>
      <c r="AU1229">
        <v>1054</v>
      </c>
      <c r="AV1229" t="s">
        <v>56</v>
      </c>
      <c r="AW1229">
        <v>223</v>
      </c>
      <c r="AX1229">
        <v>7.72</v>
      </c>
      <c r="AY1229" t="s">
        <v>56</v>
      </c>
      <c r="AZ1229">
        <v>0.16</v>
      </c>
      <c r="BB1229">
        <f>LOG(AU1229)</f>
        <v>3.022840610876528</v>
      </c>
      <c r="BC1229">
        <v>16.5</v>
      </c>
      <c r="BD1229" t="s">
        <v>56</v>
      </c>
      <c r="BE1229">
        <v>0.3</v>
      </c>
      <c r="BF1229">
        <v>16.600000000000001</v>
      </c>
      <c r="BG1229" t="s">
        <v>56</v>
      </c>
      <c r="BH1229">
        <v>0.2</v>
      </c>
      <c r="BI1229">
        <v>572</v>
      </c>
      <c r="BJ1229">
        <v>0.1</v>
      </c>
      <c r="BK1229" t="s">
        <v>56</v>
      </c>
      <c r="BL1229" t="s">
        <v>365</v>
      </c>
      <c r="BM1229" t="s">
        <v>365</v>
      </c>
      <c r="BN1229" t="s">
        <v>81</v>
      </c>
      <c r="BO1229" t="s">
        <v>56</v>
      </c>
      <c r="BP1229" t="s">
        <v>92</v>
      </c>
      <c r="BR1229" t="s">
        <v>714</v>
      </c>
      <c r="BT1229">
        <v>2.7</v>
      </c>
      <c r="BU1229">
        <v>2.6995900000000002</v>
      </c>
      <c r="BV1229">
        <v>0.38</v>
      </c>
      <c r="BW1229">
        <f>BV1229*SQRT(AK1229)</f>
        <v>1.0748023074035524</v>
      </c>
      <c r="BX1229">
        <v>2.02</v>
      </c>
      <c r="BY1229">
        <v>2.0246900000000001</v>
      </c>
      <c r="BZ1229">
        <v>0.25</v>
      </c>
      <c r="CA1229">
        <f>BZ1229*SQRT(AL1229)</f>
        <v>0.70710678118654757</v>
      </c>
      <c r="CB1229">
        <v>84</v>
      </c>
      <c r="CC1229">
        <v>8</v>
      </c>
      <c r="CD1229">
        <v>-0.28799999999999998</v>
      </c>
      <c r="CE1229">
        <v>3.4500000000000003E-2</v>
      </c>
    </row>
    <row r="1230" spans="4:83" hidden="1" x14ac:dyDescent="0.2">
      <c r="D1230">
        <v>86</v>
      </c>
      <c r="G1230" t="s">
        <v>43</v>
      </c>
      <c r="H1230" t="s">
        <v>726</v>
      </c>
      <c r="J1230">
        <v>2018</v>
      </c>
      <c r="M1230" t="s">
        <v>308</v>
      </c>
      <c r="T1230" t="s">
        <v>68</v>
      </c>
      <c r="U1230" t="s">
        <v>167</v>
      </c>
      <c r="V1230" t="s">
        <v>720</v>
      </c>
      <c r="Z1230" t="s">
        <v>49</v>
      </c>
      <c r="AA1230" t="s">
        <v>49</v>
      </c>
      <c r="AB1230" t="s">
        <v>50</v>
      </c>
      <c r="AC1230" t="s">
        <v>51</v>
      </c>
      <c r="AD1230" t="s">
        <v>52</v>
      </c>
      <c r="AE1230" t="s">
        <v>53</v>
      </c>
      <c r="AF1230" t="s">
        <v>52</v>
      </c>
      <c r="AG1230" t="s">
        <v>52</v>
      </c>
      <c r="AH1230" t="s">
        <v>64</v>
      </c>
      <c r="AK1230">
        <v>4</v>
      </c>
      <c r="AL1230">
        <v>4</v>
      </c>
      <c r="AN1230">
        <v>597</v>
      </c>
      <c r="AO1230" t="s">
        <v>56</v>
      </c>
      <c r="AP1230">
        <v>146</v>
      </c>
      <c r="AQ1230" t="s">
        <v>57</v>
      </c>
      <c r="AR1230">
        <v>7.79</v>
      </c>
      <c r="AS1230" t="s">
        <v>56</v>
      </c>
      <c r="AT1230">
        <v>0.1</v>
      </c>
      <c r="AU1230">
        <v>945</v>
      </c>
      <c r="AV1230" t="s">
        <v>56</v>
      </c>
      <c r="AW1230">
        <v>276</v>
      </c>
      <c r="AX1230">
        <v>7.7</v>
      </c>
      <c r="AY1230" t="s">
        <v>56</v>
      </c>
      <c r="AZ1230">
        <v>0.11</v>
      </c>
      <c r="BB1230">
        <f>LOG(AU1230)</f>
        <v>2.975431808509263</v>
      </c>
      <c r="BC1230">
        <v>16.899999999999999</v>
      </c>
      <c r="BD1230" t="s">
        <v>56</v>
      </c>
      <c r="BE1230">
        <v>0.2</v>
      </c>
      <c r="BF1230">
        <v>20.6</v>
      </c>
      <c r="BG1230" t="s">
        <v>56</v>
      </c>
      <c r="BH1230">
        <v>0.4</v>
      </c>
      <c r="BI1230">
        <v>348</v>
      </c>
      <c r="BJ1230">
        <v>3.7</v>
      </c>
      <c r="BK1230" t="s">
        <v>56</v>
      </c>
      <c r="BL1230" t="s">
        <v>365</v>
      </c>
      <c r="BM1230" t="s">
        <v>365</v>
      </c>
      <c r="BN1230" t="s">
        <v>81</v>
      </c>
      <c r="BO1230" t="s">
        <v>56</v>
      </c>
      <c r="BP1230" t="s">
        <v>92</v>
      </c>
      <c r="BR1230" t="s">
        <v>714</v>
      </c>
      <c r="BT1230">
        <v>2.59</v>
      </c>
      <c r="BU1230">
        <v>2.5932200000000001</v>
      </c>
      <c r="BV1230">
        <v>0.76</v>
      </c>
      <c r="BW1230">
        <f>BV1230*SQRT(AK1230)</f>
        <v>1.52</v>
      </c>
      <c r="BX1230">
        <v>1.97</v>
      </c>
      <c r="BY1230">
        <v>1.9661</v>
      </c>
      <c r="BZ1230">
        <v>0.27</v>
      </c>
      <c r="CA1230">
        <f>BZ1230*SQRT(AL1230)</f>
        <v>0.54</v>
      </c>
      <c r="CB1230">
        <v>84</v>
      </c>
      <c r="CC1230">
        <v>4</v>
      </c>
      <c r="CD1230">
        <v>-0.27700000000000002</v>
      </c>
      <c r="CE1230">
        <v>0.1055</v>
      </c>
    </row>
    <row r="1231" spans="4:83" hidden="1" x14ac:dyDescent="0.2">
      <c r="D1231">
        <v>86</v>
      </c>
      <c r="G1231" t="s">
        <v>43</v>
      </c>
      <c r="H1231" t="s">
        <v>726</v>
      </c>
      <c r="J1231">
        <v>2018</v>
      </c>
      <c r="M1231" t="s">
        <v>308</v>
      </c>
      <c r="T1231" t="s">
        <v>68</v>
      </c>
      <c r="U1231" t="s">
        <v>167</v>
      </c>
      <c r="V1231" t="s">
        <v>723</v>
      </c>
      <c r="Z1231" t="s">
        <v>49</v>
      </c>
      <c r="AA1231" t="s">
        <v>49</v>
      </c>
      <c r="AB1231" t="s">
        <v>50</v>
      </c>
      <c r="AC1231" t="s">
        <v>51</v>
      </c>
      <c r="AD1231" t="s">
        <v>52</v>
      </c>
      <c r="AE1231" t="s">
        <v>53</v>
      </c>
      <c r="AF1231" t="s">
        <v>52</v>
      </c>
      <c r="AG1231" t="s">
        <v>52</v>
      </c>
      <c r="AH1231" t="s">
        <v>64</v>
      </c>
      <c r="AK1231">
        <v>8</v>
      </c>
      <c r="AL1231">
        <v>8</v>
      </c>
      <c r="AN1231">
        <v>481</v>
      </c>
      <c r="AO1231" t="s">
        <v>56</v>
      </c>
      <c r="AP1231">
        <v>91</v>
      </c>
      <c r="AQ1231" t="s">
        <v>57</v>
      </c>
      <c r="AR1231">
        <v>8</v>
      </c>
      <c r="AS1231" t="s">
        <v>56</v>
      </c>
      <c r="AT1231">
        <v>0.08</v>
      </c>
      <c r="AU1231">
        <v>695</v>
      </c>
      <c r="AV1231" t="s">
        <v>56</v>
      </c>
      <c r="AW1231">
        <v>135</v>
      </c>
      <c r="AX1231">
        <v>7.9</v>
      </c>
      <c r="AY1231" t="s">
        <v>56</v>
      </c>
      <c r="AZ1231">
        <v>7.0000000000000007E-2</v>
      </c>
      <c r="BB1231">
        <f>LOG(AU1231)</f>
        <v>2.8419848045901137</v>
      </c>
      <c r="BC1231">
        <v>16.5</v>
      </c>
      <c r="BD1231" t="s">
        <v>56</v>
      </c>
      <c r="BE1231">
        <v>0.3</v>
      </c>
      <c r="BF1231">
        <v>20.2</v>
      </c>
      <c r="BG1231" t="s">
        <v>56</v>
      </c>
      <c r="BH1231">
        <v>0.5</v>
      </c>
      <c r="BI1231">
        <v>213</v>
      </c>
      <c r="BJ1231">
        <v>3.7</v>
      </c>
      <c r="BK1231" t="s">
        <v>56</v>
      </c>
      <c r="BL1231" t="s">
        <v>365</v>
      </c>
      <c r="BM1231" t="s">
        <v>365</v>
      </c>
      <c r="BN1231" t="s">
        <v>81</v>
      </c>
      <c r="BO1231" t="s">
        <v>56</v>
      </c>
      <c r="BP1231" t="s">
        <v>92</v>
      </c>
      <c r="BR1231" t="s">
        <v>714</v>
      </c>
      <c r="BT1231">
        <v>2.7</v>
      </c>
      <c r="BU1231">
        <v>2.6995900000000002</v>
      </c>
      <c r="BV1231">
        <v>0.38</v>
      </c>
      <c r="BW1231">
        <f>BV1231*SQRT(AK1231)</f>
        <v>1.0748023074035524</v>
      </c>
      <c r="BX1231">
        <v>2.2999999999999998</v>
      </c>
      <c r="BY1231">
        <v>2.3045300000000002</v>
      </c>
      <c r="BZ1231">
        <v>0.12</v>
      </c>
      <c r="CA1231">
        <f>BZ1231*SQRT(AL1231)</f>
        <v>0.33941125496954283</v>
      </c>
      <c r="CB1231">
        <v>84</v>
      </c>
      <c r="CC1231">
        <v>8</v>
      </c>
      <c r="CD1231">
        <v>-0.158</v>
      </c>
      <c r="CE1231">
        <v>2.2200000000000001E-2</v>
      </c>
    </row>
    <row r="1232" spans="4:83" hidden="1" x14ac:dyDescent="0.2">
      <c r="D1232">
        <v>86</v>
      </c>
      <c r="G1232" t="s">
        <v>43</v>
      </c>
      <c r="H1232" t="s">
        <v>726</v>
      </c>
      <c r="J1232">
        <v>2018</v>
      </c>
      <c r="M1232" t="s">
        <v>308</v>
      </c>
      <c r="T1232" t="s">
        <v>68</v>
      </c>
      <c r="U1232" t="s">
        <v>167</v>
      </c>
      <c r="V1232" t="s">
        <v>720</v>
      </c>
      <c r="Z1232" t="s">
        <v>49</v>
      </c>
      <c r="AA1232" t="s">
        <v>49</v>
      </c>
      <c r="AB1232" t="s">
        <v>50</v>
      </c>
      <c r="AC1232" t="s">
        <v>51</v>
      </c>
      <c r="AD1232" t="s">
        <v>52</v>
      </c>
      <c r="AE1232" t="s">
        <v>53</v>
      </c>
      <c r="AF1232" t="s">
        <v>54</v>
      </c>
      <c r="AG1232" t="s">
        <v>52</v>
      </c>
      <c r="AH1232" t="s">
        <v>65</v>
      </c>
      <c r="AK1232">
        <v>4</v>
      </c>
      <c r="AL1232">
        <v>4</v>
      </c>
      <c r="AN1232">
        <v>597</v>
      </c>
      <c r="AO1232" t="s">
        <v>56</v>
      </c>
      <c r="AP1232">
        <v>146</v>
      </c>
      <c r="AQ1232" t="s">
        <v>57</v>
      </c>
      <c r="AR1232">
        <v>7.79</v>
      </c>
      <c r="AS1232" t="s">
        <v>56</v>
      </c>
      <c r="AT1232">
        <v>0.1</v>
      </c>
      <c r="AU1232">
        <v>670</v>
      </c>
      <c r="AV1232" t="s">
        <v>56</v>
      </c>
      <c r="AW1232">
        <v>156</v>
      </c>
      <c r="AX1232">
        <v>7.84</v>
      </c>
      <c r="AY1232" t="s">
        <v>56</v>
      </c>
      <c r="AZ1232">
        <v>0.1</v>
      </c>
      <c r="BB1232">
        <f>LOG(AU1232)</f>
        <v>2.8260748027008264</v>
      </c>
      <c r="BC1232">
        <v>16.899999999999999</v>
      </c>
      <c r="BD1232" t="s">
        <v>56</v>
      </c>
      <c r="BE1232">
        <v>0.2</v>
      </c>
      <c r="BF1232">
        <v>20.399999999999999</v>
      </c>
      <c r="BG1232" t="s">
        <v>56</v>
      </c>
      <c r="BH1232">
        <v>0.3</v>
      </c>
      <c r="BI1232">
        <v>73</v>
      </c>
      <c r="BJ1232">
        <v>3.5</v>
      </c>
      <c r="BK1232" t="s">
        <v>56</v>
      </c>
      <c r="BL1232" t="s">
        <v>365</v>
      </c>
      <c r="BM1232" t="s">
        <v>365</v>
      </c>
      <c r="BN1232" t="s">
        <v>81</v>
      </c>
      <c r="BO1232" t="s">
        <v>56</v>
      </c>
      <c r="BP1232" t="s">
        <v>92</v>
      </c>
      <c r="BR1232" t="s">
        <v>714</v>
      </c>
      <c r="BT1232">
        <v>2.59</v>
      </c>
      <c r="BU1232">
        <v>2.5932200000000001</v>
      </c>
      <c r="BV1232">
        <v>0.76</v>
      </c>
      <c r="BW1232">
        <f>BV1232*SQRT(AK1232)</f>
        <v>1.52</v>
      </c>
      <c r="BX1232">
        <v>2.56</v>
      </c>
      <c r="BY1232">
        <v>2.55932</v>
      </c>
      <c r="BZ1232">
        <v>0.24</v>
      </c>
      <c r="CA1232">
        <f>BZ1232*SQRT(AL1232)</f>
        <v>0.48</v>
      </c>
      <c r="CB1232">
        <v>84</v>
      </c>
      <c r="CC1232">
        <v>4</v>
      </c>
      <c r="CD1232">
        <v>-1.2999999999999999E-2</v>
      </c>
      <c r="CE1232">
        <v>9.5100000000000004E-2</v>
      </c>
    </row>
    <row r="1233" spans="4:83" hidden="1" x14ac:dyDescent="0.2">
      <c r="D1233">
        <v>86</v>
      </c>
      <c r="G1233" t="s">
        <v>43</v>
      </c>
      <c r="H1233" t="s">
        <v>726</v>
      </c>
      <c r="J1233">
        <v>2018</v>
      </c>
      <c r="M1233" t="s">
        <v>308</v>
      </c>
      <c r="T1233" t="s">
        <v>68</v>
      </c>
      <c r="U1233" t="s">
        <v>167</v>
      </c>
      <c r="V1233" t="s">
        <v>723</v>
      </c>
      <c r="Z1233" t="s">
        <v>49</v>
      </c>
      <c r="AA1233" t="s">
        <v>49</v>
      </c>
      <c r="AB1233" t="s">
        <v>50</v>
      </c>
      <c r="AC1233" t="s">
        <v>51</v>
      </c>
      <c r="AD1233" t="s">
        <v>52</v>
      </c>
      <c r="AE1233" t="s">
        <v>53</v>
      </c>
      <c r="AF1233" t="s">
        <v>54</v>
      </c>
      <c r="AG1233" t="s">
        <v>52</v>
      </c>
      <c r="AH1233" t="s">
        <v>65</v>
      </c>
      <c r="AK1233">
        <v>8</v>
      </c>
      <c r="AL1233">
        <v>8</v>
      </c>
      <c r="AN1233">
        <v>481</v>
      </c>
      <c r="AO1233" t="s">
        <v>56</v>
      </c>
      <c r="AP1233">
        <v>91</v>
      </c>
      <c r="AQ1233" t="s">
        <v>57</v>
      </c>
      <c r="AR1233">
        <v>8</v>
      </c>
      <c r="AS1233" t="s">
        <v>56</v>
      </c>
      <c r="AT1233">
        <v>0.08</v>
      </c>
      <c r="AU1233">
        <v>468</v>
      </c>
      <c r="AV1233" t="s">
        <v>56</v>
      </c>
      <c r="AW1233">
        <v>78</v>
      </c>
      <c r="AX1233">
        <v>8</v>
      </c>
      <c r="AY1233" t="s">
        <v>56</v>
      </c>
      <c r="AZ1233">
        <v>0.08</v>
      </c>
      <c r="BB1233">
        <f>LOG(AU1233)</f>
        <v>2.6702458530741242</v>
      </c>
      <c r="BC1233">
        <v>16.5</v>
      </c>
      <c r="BD1233" t="s">
        <v>56</v>
      </c>
      <c r="BE1233">
        <v>0.3</v>
      </c>
      <c r="BF1233">
        <v>19.8</v>
      </c>
      <c r="BG1233" t="s">
        <v>56</v>
      </c>
      <c r="BH1233">
        <v>0.3</v>
      </c>
      <c r="BI1233">
        <v>-14</v>
      </c>
      <c r="BJ1233">
        <v>3.3</v>
      </c>
      <c r="BK1233" t="s">
        <v>56</v>
      </c>
      <c r="BL1233" t="s">
        <v>365</v>
      </c>
      <c r="BM1233" t="s">
        <v>365</v>
      </c>
      <c r="BN1233" t="s">
        <v>81</v>
      </c>
      <c r="BO1233" t="s">
        <v>56</v>
      </c>
      <c r="BP1233" t="s">
        <v>92</v>
      </c>
      <c r="BR1233" t="s">
        <v>714</v>
      </c>
      <c r="BT1233">
        <v>2.7</v>
      </c>
      <c r="BU1233">
        <v>2.6995900000000002</v>
      </c>
      <c r="BV1233">
        <v>0.38</v>
      </c>
      <c r="BW1233">
        <f>BV1233*SQRT(AK1233)</f>
        <v>1.0748023074035524</v>
      </c>
      <c r="BX1233">
        <v>2.75</v>
      </c>
      <c r="BY1233">
        <v>2.7489699999999999</v>
      </c>
      <c r="BZ1233">
        <v>0.86</v>
      </c>
      <c r="CA1233">
        <f>BZ1233*SQRT(AL1233)</f>
        <v>2.4324473272817237</v>
      </c>
      <c r="CB1233">
        <v>84</v>
      </c>
      <c r="CC1233">
        <v>8</v>
      </c>
      <c r="CD1233">
        <v>1.7999999999999999E-2</v>
      </c>
      <c r="CE1233">
        <v>0.1166</v>
      </c>
    </row>
    <row r="1234" spans="4:83" hidden="1" x14ac:dyDescent="0.2">
      <c r="D1234">
        <v>86</v>
      </c>
      <c r="G1234" t="s">
        <v>43</v>
      </c>
      <c r="H1234" t="s">
        <v>726</v>
      </c>
      <c r="J1234">
        <v>2018</v>
      </c>
      <c r="M1234" t="s">
        <v>308</v>
      </c>
      <c r="T1234" t="s">
        <v>68</v>
      </c>
      <c r="U1234" t="s">
        <v>167</v>
      </c>
      <c r="V1234" t="s">
        <v>723</v>
      </c>
      <c r="Z1234" t="s">
        <v>49</v>
      </c>
      <c r="AA1234" t="s">
        <v>49</v>
      </c>
      <c r="AB1234" t="s">
        <v>50</v>
      </c>
      <c r="AC1234" t="s">
        <v>51</v>
      </c>
      <c r="AD1234" t="s">
        <v>52</v>
      </c>
      <c r="AE1234" t="s">
        <v>53</v>
      </c>
      <c r="AF1234" t="s">
        <v>52</v>
      </c>
      <c r="AG1234" t="s">
        <v>52</v>
      </c>
      <c r="AH1234" t="s">
        <v>64</v>
      </c>
      <c r="AK1234">
        <v>8</v>
      </c>
      <c r="AL1234">
        <v>8</v>
      </c>
      <c r="AN1234">
        <v>481</v>
      </c>
      <c r="AO1234" t="s">
        <v>56</v>
      </c>
      <c r="AP1234">
        <v>91</v>
      </c>
      <c r="AQ1234" t="s">
        <v>57</v>
      </c>
      <c r="AR1234">
        <v>8</v>
      </c>
      <c r="AS1234" t="s">
        <v>56</v>
      </c>
      <c r="AT1234">
        <v>0.08</v>
      </c>
      <c r="AU1234">
        <v>1165</v>
      </c>
      <c r="AV1234" t="s">
        <v>56</v>
      </c>
      <c r="AW1234">
        <v>227</v>
      </c>
      <c r="AX1234">
        <v>7.7</v>
      </c>
      <c r="AY1234" t="s">
        <v>56</v>
      </c>
      <c r="AZ1234">
        <v>0.09</v>
      </c>
      <c r="BB1234">
        <f>LOG(AU1234)</f>
        <v>3.0663259253620376</v>
      </c>
      <c r="BC1234">
        <v>16.5</v>
      </c>
      <c r="BD1234" t="s">
        <v>56</v>
      </c>
      <c r="BE1234">
        <v>0.3</v>
      </c>
      <c r="BF1234">
        <v>19.8</v>
      </c>
      <c r="BG1234" t="s">
        <v>56</v>
      </c>
      <c r="BH1234">
        <v>0.3</v>
      </c>
      <c r="BI1234">
        <v>684</v>
      </c>
      <c r="BJ1234">
        <v>3.3</v>
      </c>
      <c r="BK1234" t="s">
        <v>56</v>
      </c>
      <c r="BL1234" t="s">
        <v>365</v>
      </c>
      <c r="BM1234" t="s">
        <v>365</v>
      </c>
      <c r="BN1234" t="s">
        <v>81</v>
      </c>
      <c r="BO1234" t="s">
        <v>56</v>
      </c>
      <c r="BP1234" t="s">
        <v>92</v>
      </c>
      <c r="BR1234" t="s">
        <v>714</v>
      </c>
      <c r="BT1234">
        <v>2.7</v>
      </c>
      <c r="BU1234">
        <v>2.6995900000000002</v>
      </c>
      <c r="BV1234">
        <v>0.38</v>
      </c>
      <c r="BW1234">
        <f>BV1234*SQRT(AK1234)</f>
        <v>1.0748023074035524</v>
      </c>
      <c r="BX1234">
        <v>2.81</v>
      </c>
      <c r="BY1234">
        <v>2.81481</v>
      </c>
      <c r="BZ1234">
        <v>0.25</v>
      </c>
      <c r="CA1234">
        <f>BZ1234*SQRT(AL1234)</f>
        <v>0.70710678118654757</v>
      </c>
      <c r="CB1234">
        <v>84</v>
      </c>
      <c r="CC1234">
        <v>8</v>
      </c>
      <c r="CD1234">
        <v>4.2000000000000003E-2</v>
      </c>
      <c r="CE1234">
        <v>2.7400000000000001E-2</v>
      </c>
    </row>
    <row r="1235" spans="4:83" hidden="1" x14ac:dyDescent="0.2">
      <c r="D1235">
        <v>86</v>
      </c>
      <c r="G1235" t="s">
        <v>43</v>
      </c>
      <c r="H1235" t="s">
        <v>726</v>
      </c>
      <c r="J1235">
        <v>2018</v>
      </c>
      <c r="M1235" t="s">
        <v>308</v>
      </c>
      <c r="T1235" t="s">
        <v>68</v>
      </c>
      <c r="U1235" t="s">
        <v>167</v>
      </c>
      <c r="V1235" t="s">
        <v>723</v>
      </c>
      <c r="Z1235" t="s">
        <v>49</v>
      </c>
      <c r="AA1235" t="s">
        <v>49</v>
      </c>
      <c r="AB1235" t="s">
        <v>50</v>
      </c>
      <c r="AC1235" t="s">
        <v>51</v>
      </c>
      <c r="AD1235" t="s">
        <v>52</v>
      </c>
      <c r="AE1235" t="s">
        <v>53</v>
      </c>
      <c r="AF1235" t="s">
        <v>52</v>
      </c>
      <c r="AG1235" t="s">
        <v>54</v>
      </c>
      <c r="AH1235" t="s">
        <v>55</v>
      </c>
      <c r="AK1235">
        <v>8</v>
      </c>
      <c r="AL1235">
        <v>8</v>
      </c>
      <c r="AN1235">
        <v>481</v>
      </c>
      <c r="AO1235" t="s">
        <v>56</v>
      </c>
      <c r="AP1235">
        <v>91</v>
      </c>
      <c r="AQ1235" t="s">
        <v>57</v>
      </c>
      <c r="AR1235">
        <v>8</v>
      </c>
      <c r="AS1235" t="s">
        <v>56</v>
      </c>
      <c r="AT1235">
        <v>0.08</v>
      </c>
      <c r="AU1235">
        <v>760</v>
      </c>
      <c r="AV1235" t="s">
        <v>56</v>
      </c>
      <c r="AW1235">
        <v>178</v>
      </c>
      <c r="AX1235">
        <v>7.84</v>
      </c>
      <c r="AY1235" t="s">
        <v>56</v>
      </c>
      <c r="AZ1235">
        <v>0.08</v>
      </c>
      <c r="BB1235">
        <f>LOG(AU1235)</f>
        <v>2.8808135922807914</v>
      </c>
      <c r="BC1235">
        <v>16.5</v>
      </c>
      <c r="BD1235" t="s">
        <v>56</v>
      </c>
      <c r="BE1235">
        <v>0.3</v>
      </c>
      <c r="BF1235">
        <v>16.600000000000001</v>
      </c>
      <c r="BG1235" t="s">
        <v>56</v>
      </c>
      <c r="BH1235">
        <v>0.2</v>
      </c>
      <c r="BI1235">
        <v>279</v>
      </c>
      <c r="BJ1235">
        <v>0.1</v>
      </c>
      <c r="BK1235" t="s">
        <v>56</v>
      </c>
      <c r="BL1235" t="s">
        <v>365</v>
      </c>
      <c r="BM1235" t="s">
        <v>365</v>
      </c>
      <c r="BN1235" t="s">
        <v>81</v>
      </c>
      <c r="BO1235" t="s">
        <v>56</v>
      </c>
      <c r="BP1235" t="s">
        <v>92</v>
      </c>
      <c r="BR1235" t="s">
        <v>714</v>
      </c>
      <c r="BT1235">
        <v>2.7</v>
      </c>
      <c r="BU1235">
        <v>2.6995900000000002</v>
      </c>
      <c r="BV1235">
        <v>0.38</v>
      </c>
      <c r="BW1235">
        <f>BV1235*SQRT(AK1235)</f>
        <v>1.0748023074035524</v>
      </c>
      <c r="BX1235">
        <v>2.93</v>
      </c>
      <c r="BY1235">
        <v>2.93004</v>
      </c>
      <c r="BZ1235">
        <v>0.33</v>
      </c>
      <c r="CA1235">
        <f>BZ1235*SQRT(AL1235)</f>
        <v>0.93338095116624287</v>
      </c>
      <c r="CB1235">
        <v>84</v>
      </c>
      <c r="CC1235">
        <v>8</v>
      </c>
      <c r="CD1235">
        <v>8.2000000000000003E-2</v>
      </c>
      <c r="CE1235">
        <v>3.2300000000000002E-2</v>
      </c>
    </row>
    <row r="1236" spans="4:83" hidden="1" x14ac:dyDescent="0.2">
      <c r="D1236">
        <v>86</v>
      </c>
      <c r="G1236" t="s">
        <v>43</v>
      </c>
      <c r="H1236" t="s">
        <v>726</v>
      </c>
      <c r="J1236">
        <v>2018</v>
      </c>
      <c r="M1236" t="s">
        <v>308</v>
      </c>
      <c r="T1236" t="s">
        <v>68</v>
      </c>
      <c r="U1236" t="s">
        <v>167</v>
      </c>
      <c r="V1236" t="s">
        <v>720</v>
      </c>
      <c r="Z1236" t="s">
        <v>49</v>
      </c>
      <c r="AA1236" t="s">
        <v>49</v>
      </c>
      <c r="AB1236" t="s">
        <v>50</v>
      </c>
      <c r="AC1236" t="s">
        <v>51</v>
      </c>
      <c r="AD1236" t="s">
        <v>52</v>
      </c>
      <c r="AE1236" t="s">
        <v>53</v>
      </c>
      <c r="AF1236" t="s">
        <v>52</v>
      </c>
      <c r="AG1236" t="s">
        <v>54</v>
      </c>
      <c r="AH1236" t="s">
        <v>55</v>
      </c>
      <c r="AK1236">
        <v>4</v>
      </c>
      <c r="AL1236">
        <v>4</v>
      </c>
      <c r="AN1236">
        <v>597</v>
      </c>
      <c r="AO1236" t="s">
        <v>56</v>
      </c>
      <c r="AP1236">
        <v>146</v>
      </c>
      <c r="AQ1236" t="s">
        <v>57</v>
      </c>
      <c r="AR1236">
        <v>7.79</v>
      </c>
      <c r="AS1236" t="s">
        <v>56</v>
      </c>
      <c r="AT1236">
        <v>0.1</v>
      </c>
      <c r="AU1236">
        <v>1175</v>
      </c>
      <c r="AV1236" t="s">
        <v>56</v>
      </c>
      <c r="AW1236">
        <v>421</v>
      </c>
      <c r="AX1236">
        <v>7.55</v>
      </c>
      <c r="AY1236" t="s">
        <v>56</v>
      </c>
      <c r="AZ1236">
        <v>0.1</v>
      </c>
      <c r="BB1236">
        <f>LOG(AU1236)</f>
        <v>3.070037866607755</v>
      </c>
      <c r="BC1236">
        <v>16.899999999999999</v>
      </c>
      <c r="BD1236" t="s">
        <v>56</v>
      </c>
      <c r="BE1236">
        <v>0.2</v>
      </c>
      <c r="BF1236">
        <v>16.8</v>
      </c>
      <c r="BG1236" t="s">
        <v>56</v>
      </c>
      <c r="BH1236">
        <v>0.2</v>
      </c>
      <c r="BI1236">
        <v>577</v>
      </c>
      <c r="BJ1236">
        <v>-0.1</v>
      </c>
      <c r="BK1236" t="s">
        <v>56</v>
      </c>
      <c r="BL1236" t="s">
        <v>365</v>
      </c>
      <c r="BM1236" t="s">
        <v>365</v>
      </c>
      <c r="BN1236" t="s">
        <v>81</v>
      </c>
      <c r="BO1236" t="s">
        <v>56</v>
      </c>
      <c r="BP1236" t="s">
        <v>92</v>
      </c>
      <c r="BR1236" t="s">
        <v>714</v>
      </c>
      <c r="BT1236">
        <v>2.59</v>
      </c>
      <c r="BU1236">
        <v>2.5932200000000001</v>
      </c>
      <c r="BV1236">
        <v>0.76</v>
      </c>
      <c r="BW1236">
        <f>BV1236*SQRT(AK1236)</f>
        <v>1.52</v>
      </c>
      <c r="BX1236">
        <v>3.42</v>
      </c>
      <c r="BY1236">
        <v>3.4237299999999999</v>
      </c>
      <c r="BZ1236">
        <v>0.34</v>
      </c>
      <c r="CA1236">
        <f>BZ1236*SQRT(AL1236)</f>
        <v>0.68</v>
      </c>
      <c r="CB1236">
        <v>84</v>
      </c>
      <c r="CC1236">
        <v>4</v>
      </c>
      <c r="CD1236">
        <v>0.27800000000000002</v>
      </c>
      <c r="CE1236">
        <v>9.6299999999999997E-2</v>
      </c>
    </row>
    <row r="1237" spans="4:83" hidden="1" x14ac:dyDescent="0.2">
      <c r="D1237">
        <v>86</v>
      </c>
      <c r="G1237" t="s">
        <v>43</v>
      </c>
      <c r="H1237" t="s">
        <v>726</v>
      </c>
      <c r="J1237">
        <v>2018</v>
      </c>
      <c r="M1237" t="s">
        <v>308</v>
      </c>
      <c r="T1237" t="s">
        <v>68</v>
      </c>
      <c r="U1237" t="s">
        <v>167</v>
      </c>
      <c r="V1237" t="s">
        <v>720</v>
      </c>
      <c r="Z1237" t="s">
        <v>49</v>
      </c>
      <c r="AA1237" t="s">
        <v>49</v>
      </c>
      <c r="AB1237" t="s">
        <v>50</v>
      </c>
      <c r="AC1237" t="s">
        <v>51</v>
      </c>
      <c r="AD1237" t="s">
        <v>52</v>
      </c>
      <c r="AE1237" t="s">
        <v>53</v>
      </c>
      <c r="AF1237" t="s">
        <v>52</v>
      </c>
      <c r="AG1237" t="s">
        <v>54</v>
      </c>
      <c r="AH1237" t="s">
        <v>55</v>
      </c>
      <c r="AK1237">
        <v>4</v>
      </c>
      <c r="AL1237">
        <v>4</v>
      </c>
      <c r="AN1237">
        <v>597</v>
      </c>
      <c r="AO1237" t="s">
        <v>56</v>
      </c>
      <c r="AP1237">
        <v>146</v>
      </c>
      <c r="AQ1237" t="s">
        <v>57</v>
      </c>
      <c r="AR1237">
        <v>7.79</v>
      </c>
      <c r="AS1237" t="s">
        <v>56</v>
      </c>
      <c r="AT1237">
        <v>0.1</v>
      </c>
      <c r="AU1237">
        <v>817</v>
      </c>
      <c r="AV1237" t="s">
        <v>56</v>
      </c>
      <c r="AW1237">
        <v>296</v>
      </c>
      <c r="AX1237">
        <v>7.67</v>
      </c>
      <c r="AY1237" t="s">
        <v>56</v>
      </c>
      <c r="AZ1237">
        <v>0.12</v>
      </c>
      <c r="BB1237">
        <f>LOG(AU1237)</f>
        <v>2.9122220565324155</v>
      </c>
      <c r="BC1237">
        <v>16.899999999999999</v>
      </c>
      <c r="BD1237" t="s">
        <v>56</v>
      </c>
      <c r="BE1237">
        <v>0.2</v>
      </c>
      <c r="BF1237">
        <v>16.899999999999999</v>
      </c>
      <c r="BG1237" t="s">
        <v>56</v>
      </c>
      <c r="BH1237">
        <v>0.2</v>
      </c>
      <c r="BI1237">
        <v>220</v>
      </c>
      <c r="BJ1237">
        <v>0</v>
      </c>
      <c r="BK1237" t="s">
        <v>56</v>
      </c>
      <c r="BL1237" t="s">
        <v>365</v>
      </c>
      <c r="BM1237" t="s">
        <v>365</v>
      </c>
      <c r="BN1237" t="s">
        <v>81</v>
      </c>
      <c r="BO1237" t="s">
        <v>56</v>
      </c>
      <c r="BP1237" t="s">
        <v>92</v>
      </c>
      <c r="BR1237" t="s">
        <v>714</v>
      </c>
      <c r="BT1237">
        <v>2.59</v>
      </c>
      <c r="BU1237">
        <v>2.5932200000000001</v>
      </c>
      <c r="BV1237">
        <v>0.76</v>
      </c>
      <c r="BW1237">
        <f>BV1237*SQRT(AK1237)</f>
        <v>1.52</v>
      </c>
      <c r="BX1237">
        <v>3.58</v>
      </c>
      <c r="BY1237">
        <v>3.5762700000000001</v>
      </c>
      <c r="BZ1237">
        <v>0.15</v>
      </c>
      <c r="CA1237">
        <f>BZ1237*SQRT(AL1237)</f>
        <v>0.3</v>
      </c>
      <c r="CB1237">
        <v>84</v>
      </c>
      <c r="CC1237">
        <v>4</v>
      </c>
      <c r="CD1237">
        <v>0.32100000000000001</v>
      </c>
      <c r="CE1237">
        <v>8.8300000000000003E-2</v>
      </c>
    </row>
    <row r="1238" spans="4:83" hidden="1" x14ac:dyDescent="0.2">
      <c r="D1238">
        <v>87</v>
      </c>
      <c r="G1238" t="s">
        <v>43</v>
      </c>
      <c r="H1238" t="s">
        <v>727</v>
      </c>
      <c r="J1238">
        <v>2019</v>
      </c>
      <c r="M1238" t="s">
        <v>728</v>
      </c>
      <c r="T1238" t="s">
        <v>68</v>
      </c>
      <c r="U1238" t="s">
        <v>639</v>
      </c>
      <c r="V1238" t="s">
        <v>729</v>
      </c>
      <c r="Z1238" t="s">
        <v>49</v>
      </c>
      <c r="AA1238" t="s">
        <v>49</v>
      </c>
      <c r="AB1238" t="s">
        <v>50</v>
      </c>
      <c r="AC1238" t="s">
        <v>51</v>
      </c>
      <c r="AD1238" t="s">
        <v>52</v>
      </c>
      <c r="AE1238" t="s">
        <v>53</v>
      </c>
      <c r="AF1238" t="s">
        <v>52</v>
      </c>
      <c r="AG1238" t="s">
        <v>52</v>
      </c>
      <c r="AH1238" t="s">
        <v>64</v>
      </c>
      <c r="AK1238">
        <v>9</v>
      </c>
      <c r="AL1238">
        <v>17</v>
      </c>
      <c r="AN1238">
        <v>394</v>
      </c>
      <c r="AO1238" t="s">
        <v>56</v>
      </c>
      <c r="AP1238">
        <v>6</v>
      </c>
      <c r="AQ1238" t="s">
        <v>57</v>
      </c>
      <c r="AR1238">
        <v>8.1300000000000008</v>
      </c>
      <c r="AS1238" t="s">
        <v>56</v>
      </c>
      <c r="AT1238">
        <v>0.05</v>
      </c>
      <c r="AU1238">
        <v>2481</v>
      </c>
      <c r="AV1238" t="s">
        <v>56</v>
      </c>
      <c r="AW1238">
        <v>154</v>
      </c>
      <c r="AX1238">
        <v>7.57</v>
      </c>
      <c r="AY1238" t="s">
        <v>56</v>
      </c>
      <c r="AZ1238">
        <v>0.1</v>
      </c>
      <c r="BB1238">
        <f>LOG(AU1238)</f>
        <v>3.3946267642722092</v>
      </c>
      <c r="BC1238">
        <v>21.9</v>
      </c>
      <c r="BD1238" t="s">
        <v>56</v>
      </c>
      <c r="BE1238">
        <v>0.7</v>
      </c>
      <c r="BF1238">
        <v>24.8</v>
      </c>
      <c r="BG1238" t="s">
        <v>56</v>
      </c>
      <c r="BH1238">
        <v>0.4</v>
      </c>
      <c r="BI1238">
        <v>2087</v>
      </c>
      <c r="BJ1238">
        <v>2.9</v>
      </c>
      <c r="BK1238" t="s">
        <v>56</v>
      </c>
      <c r="BL1238" t="s">
        <v>730</v>
      </c>
      <c r="BM1238" t="s">
        <v>730</v>
      </c>
      <c r="BN1238" t="s">
        <v>60</v>
      </c>
      <c r="BO1238" t="s">
        <v>500</v>
      </c>
      <c r="BP1238" t="s">
        <v>77</v>
      </c>
      <c r="BR1238" t="s">
        <v>63</v>
      </c>
      <c r="BT1238">
        <v>18.100000000000001</v>
      </c>
      <c r="BU1238">
        <v>18.100000000000001</v>
      </c>
      <c r="BV1238">
        <v>9.1</v>
      </c>
      <c r="BW1238">
        <f>BV1238*SQRT(AK1238)</f>
        <v>27.299999999999997</v>
      </c>
      <c r="BX1238">
        <v>6.5</v>
      </c>
      <c r="BY1238">
        <v>6.5</v>
      </c>
      <c r="BZ1238">
        <v>1.2</v>
      </c>
      <c r="CA1238">
        <f>BZ1238*SQRT(AL1238)</f>
        <v>4.9477267507411922</v>
      </c>
      <c r="CB1238">
        <v>912</v>
      </c>
      <c r="CC1238" t="s">
        <v>56</v>
      </c>
      <c r="CD1238">
        <v>-1.024</v>
      </c>
      <c r="CE1238">
        <v>0.28689999999999999</v>
      </c>
    </row>
    <row r="1239" spans="4:83" hidden="1" x14ac:dyDescent="0.2">
      <c r="D1239">
        <v>87</v>
      </c>
      <c r="G1239" t="s">
        <v>43</v>
      </c>
      <c r="H1239" t="s">
        <v>727</v>
      </c>
      <c r="J1239">
        <v>2019</v>
      </c>
      <c r="M1239" t="s">
        <v>728</v>
      </c>
      <c r="T1239" t="s">
        <v>68</v>
      </c>
      <c r="U1239" t="s">
        <v>639</v>
      </c>
      <c r="V1239" t="s">
        <v>729</v>
      </c>
      <c r="Z1239" t="s">
        <v>49</v>
      </c>
      <c r="AA1239" t="s">
        <v>49</v>
      </c>
      <c r="AB1239" t="s">
        <v>50</v>
      </c>
      <c r="AC1239" t="s">
        <v>51</v>
      </c>
      <c r="AD1239" t="s">
        <v>52</v>
      </c>
      <c r="AE1239" t="s">
        <v>53</v>
      </c>
      <c r="AF1239" t="s">
        <v>54</v>
      </c>
      <c r="AG1239" t="s">
        <v>52</v>
      </c>
      <c r="AH1239" t="s">
        <v>65</v>
      </c>
      <c r="AK1239">
        <v>9</v>
      </c>
      <c r="AL1239">
        <v>15</v>
      </c>
      <c r="AN1239">
        <v>394</v>
      </c>
      <c r="AO1239" t="s">
        <v>56</v>
      </c>
      <c r="AP1239">
        <v>6</v>
      </c>
      <c r="AQ1239" t="s">
        <v>57</v>
      </c>
      <c r="AR1239">
        <v>8.1300000000000008</v>
      </c>
      <c r="AS1239" t="s">
        <v>56</v>
      </c>
      <c r="AT1239">
        <v>0.05</v>
      </c>
      <c r="AU1239">
        <v>381</v>
      </c>
      <c r="AV1239" t="s">
        <v>56</v>
      </c>
      <c r="AW1239">
        <v>39</v>
      </c>
      <c r="AX1239">
        <v>8.1300000000000008</v>
      </c>
      <c r="AY1239" t="s">
        <v>56</v>
      </c>
      <c r="AZ1239">
        <v>7.0000000000000007E-2</v>
      </c>
      <c r="BB1239">
        <f>LOG(AU1239)</f>
        <v>2.5809249756756194</v>
      </c>
      <c r="BC1239">
        <v>21.9</v>
      </c>
      <c r="BD1239" t="s">
        <v>56</v>
      </c>
      <c r="BE1239">
        <v>0.7</v>
      </c>
      <c r="BF1239">
        <v>24.7</v>
      </c>
      <c r="BG1239" t="s">
        <v>56</v>
      </c>
      <c r="BH1239">
        <v>0.4</v>
      </c>
      <c r="BI1239">
        <v>-13</v>
      </c>
      <c r="BJ1239">
        <v>2.8</v>
      </c>
      <c r="BK1239" t="s">
        <v>56</v>
      </c>
      <c r="BL1239" t="s">
        <v>730</v>
      </c>
      <c r="BM1239" t="s">
        <v>730</v>
      </c>
      <c r="BN1239" t="s">
        <v>60</v>
      </c>
      <c r="BO1239" t="s">
        <v>500</v>
      </c>
      <c r="BP1239" t="s">
        <v>77</v>
      </c>
      <c r="BR1239" t="s">
        <v>63</v>
      </c>
      <c r="BT1239">
        <v>18.100000000000001</v>
      </c>
      <c r="BU1239">
        <v>18.100000000000001</v>
      </c>
      <c r="BV1239">
        <v>9.1</v>
      </c>
      <c r="BW1239">
        <f>BV1239*SQRT(AK1239)</f>
        <v>27.299999999999997</v>
      </c>
      <c r="BX1239">
        <v>9.8000000000000007</v>
      </c>
      <c r="BY1239">
        <v>9.8000000000000007</v>
      </c>
      <c r="BZ1239">
        <v>2.7</v>
      </c>
      <c r="CA1239">
        <f>BZ1239*SQRT(AL1239)</f>
        <v>10.457055034760026</v>
      </c>
      <c r="CB1239">
        <v>912</v>
      </c>
      <c r="CC1239" t="s">
        <v>56</v>
      </c>
      <c r="CD1239">
        <v>-0.61399999999999999</v>
      </c>
      <c r="CE1239">
        <v>0.32869999999999999</v>
      </c>
    </row>
    <row r="1240" spans="4:83" hidden="1" x14ac:dyDescent="0.2">
      <c r="D1240">
        <v>87</v>
      </c>
      <c r="G1240" t="s">
        <v>43</v>
      </c>
      <c r="H1240" t="s">
        <v>727</v>
      </c>
      <c r="J1240">
        <v>2019</v>
      </c>
      <c r="M1240" t="s">
        <v>728</v>
      </c>
      <c r="T1240" t="s">
        <v>68</v>
      </c>
      <c r="U1240" t="s">
        <v>639</v>
      </c>
      <c r="V1240" t="s">
        <v>729</v>
      </c>
      <c r="Z1240" t="s">
        <v>49</v>
      </c>
      <c r="AA1240" t="s">
        <v>49</v>
      </c>
      <c r="AB1240" t="s">
        <v>50</v>
      </c>
      <c r="AC1240" t="s">
        <v>51</v>
      </c>
      <c r="AD1240" t="s">
        <v>52</v>
      </c>
      <c r="AE1240" t="s">
        <v>53</v>
      </c>
      <c r="AF1240" t="s">
        <v>52</v>
      </c>
      <c r="AG1240" t="s">
        <v>54</v>
      </c>
      <c r="AH1240" t="s">
        <v>55</v>
      </c>
      <c r="AK1240">
        <v>9</v>
      </c>
      <c r="AL1240">
        <v>1</v>
      </c>
      <c r="AM1240" t="s">
        <v>732</v>
      </c>
      <c r="AN1240">
        <v>394</v>
      </c>
      <c r="AO1240" t="s">
        <v>56</v>
      </c>
      <c r="AP1240">
        <v>6</v>
      </c>
      <c r="AQ1240" t="s">
        <v>57</v>
      </c>
      <c r="AR1240">
        <v>8.1300000000000008</v>
      </c>
      <c r="AS1240" t="s">
        <v>56</v>
      </c>
      <c r="AT1240">
        <v>0.05</v>
      </c>
      <c r="AU1240">
        <v>2045</v>
      </c>
      <c r="AV1240" t="s">
        <v>56</v>
      </c>
      <c r="AW1240">
        <v>273</v>
      </c>
      <c r="AX1240">
        <v>7.6</v>
      </c>
      <c r="AY1240" t="s">
        <v>56</v>
      </c>
      <c r="AZ1240">
        <v>0.08</v>
      </c>
      <c r="BB1240">
        <f>LOG(AU1240)</f>
        <v>3.3106933123433606</v>
      </c>
      <c r="BC1240">
        <v>21.9</v>
      </c>
      <c r="BD1240" t="s">
        <v>56</v>
      </c>
      <c r="BE1240">
        <v>0.7</v>
      </c>
      <c r="BF1240">
        <v>21.8</v>
      </c>
      <c r="BG1240" t="s">
        <v>56</v>
      </c>
      <c r="BH1240">
        <v>0.5</v>
      </c>
      <c r="BI1240">
        <v>1651</v>
      </c>
      <c r="BJ1240">
        <v>-0.1</v>
      </c>
      <c r="BK1240" t="s">
        <v>56</v>
      </c>
      <c r="BL1240" t="s">
        <v>502</v>
      </c>
      <c r="BM1240" t="s">
        <v>502</v>
      </c>
      <c r="BN1240" t="s">
        <v>60</v>
      </c>
      <c r="BO1240" t="s">
        <v>731</v>
      </c>
      <c r="BP1240" t="s">
        <v>77</v>
      </c>
      <c r="BR1240" t="s">
        <v>63</v>
      </c>
      <c r="BT1240">
        <v>3.55</v>
      </c>
      <c r="BU1240">
        <v>3.55</v>
      </c>
      <c r="BV1240">
        <v>0.86</v>
      </c>
      <c r="BW1240">
        <f>BV1240*SQRT(AK1240)</f>
        <v>2.58</v>
      </c>
      <c r="BX1240">
        <v>2.38</v>
      </c>
      <c r="BY1240">
        <v>2.38</v>
      </c>
      <c r="BZ1240">
        <v>0</v>
      </c>
      <c r="CA1240">
        <f>BZ1240*SQRT(AL1240)</f>
        <v>0</v>
      </c>
      <c r="CB1240">
        <v>912</v>
      </c>
      <c r="CC1240" t="s">
        <v>56</v>
      </c>
      <c r="CD1240">
        <v>-0.4</v>
      </c>
      <c r="CE1240">
        <v>5.8700000000000002E-2</v>
      </c>
    </row>
    <row r="1241" spans="4:83" hidden="1" x14ac:dyDescent="0.2">
      <c r="D1241">
        <v>87</v>
      </c>
      <c r="G1241" t="s">
        <v>43</v>
      </c>
      <c r="H1241" t="s">
        <v>727</v>
      </c>
      <c r="J1241">
        <v>2019</v>
      </c>
      <c r="M1241" t="s">
        <v>728</v>
      </c>
      <c r="T1241" t="s">
        <v>68</v>
      </c>
      <c r="U1241" t="s">
        <v>639</v>
      </c>
      <c r="V1241" t="s">
        <v>729</v>
      </c>
      <c r="Z1241" t="s">
        <v>49</v>
      </c>
      <c r="AA1241" t="s">
        <v>49</v>
      </c>
      <c r="AB1241" t="s">
        <v>50</v>
      </c>
      <c r="AC1241" t="s">
        <v>51</v>
      </c>
      <c r="AD1241" t="s">
        <v>52</v>
      </c>
      <c r="AE1241" t="s">
        <v>53</v>
      </c>
      <c r="AF1241" t="s">
        <v>52</v>
      </c>
      <c r="AG1241" t="s">
        <v>52</v>
      </c>
      <c r="AH1241" t="s">
        <v>64</v>
      </c>
      <c r="AK1241">
        <v>9</v>
      </c>
      <c r="AL1241">
        <v>17</v>
      </c>
      <c r="AN1241">
        <v>394</v>
      </c>
      <c r="AO1241" t="s">
        <v>56</v>
      </c>
      <c r="AP1241">
        <v>6</v>
      </c>
      <c r="AQ1241" t="s">
        <v>57</v>
      </c>
      <c r="AR1241">
        <v>8.1300000000000008</v>
      </c>
      <c r="AS1241" t="s">
        <v>56</v>
      </c>
      <c r="AT1241">
        <v>0.05</v>
      </c>
      <c r="AU1241">
        <v>2481</v>
      </c>
      <c r="AV1241" t="s">
        <v>56</v>
      </c>
      <c r="AW1241">
        <v>154</v>
      </c>
      <c r="AX1241">
        <v>7.57</v>
      </c>
      <c r="AY1241" t="s">
        <v>56</v>
      </c>
      <c r="AZ1241">
        <v>0.1</v>
      </c>
      <c r="BB1241">
        <f>LOG(AU1241)</f>
        <v>3.3946267642722092</v>
      </c>
      <c r="BC1241">
        <v>21.9</v>
      </c>
      <c r="BD1241" t="s">
        <v>56</v>
      </c>
      <c r="BE1241">
        <v>0.7</v>
      </c>
      <c r="BF1241">
        <v>24.8</v>
      </c>
      <c r="BG1241" t="s">
        <v>56</v>
      </c>
      <c r="BH1241">
        <v>0.4</v>
      </c>
      <c r="BI1241">
        <v>2087</v>
      </c>
      <c r="BJ1241">
        <v>2.9</v>
      </c>
      <c r="BK1241" t="s">
        <v>56</v>
      </c>
      <c r="BL1241" t="s">
        <v>502</v>
      </c>
      <c r="BM1241" t="s">
        <v>502</v>
      </c>
      <c r="BN1241" t="s">
        <v>60</v>
      </c>
      <c r="BO1241" t="s">
        <v>731</v>
      </c>
      <c r="BP1241" t="s">
        <v>77</v>
      </c>
      <c r="BR1241" t="s">
        <v>63</v>
      </c>
      <c r="BT1241">
        <v>3.55</v>
      </c>
      <c r="BU1241">
        <v>3.55</v>
      </c>
      <c r="BV1241">
        <v>0.86</v>
      </c>
      <c r="BW1241">
        <f>BV1241*SQRT(AK1241)</f>
        <v>2.58</v>
      </c>
      <c r="BX1241">
        <v>2.91</v>
      </c>
      <c r="BY1241">
        <v>2.91</v>
      </c>
      <c r="BZ1241">
        <v>0.26</v>
      </c>
      <c r="CA1241">
        <f>BZ1241*SQRT(AL1241)</f>
        <v>1.0720074626605918</v>
      </c>
      <c r="CB1241">
        <v>912</v>
      </c>
      <c r="CC1241" t="s">
        <v>56</v>
      </c>
      <c r="CD1241">
        <v>-0.19900000000000001</v>
      </c>
      <c r="CE1241">
        <v>6.6699999999999995E-2</v>
      </c>
    </row>
    <row r="1242" spans="4:83" hidden="1" x14ac:dyDescent="0.2">
      <c r="D1242">
        <v>87</v>
      </c>
      <c r="G1242" t="s">
        <v>43</v>
      </c>
      <c r="H1242" t="s">
        <v>727</v>
      </c>
      <c r="J1242">
        <v>2019</v>
      </c>
      <c r="M1242" t="s">
        <v>728</v>
      </c>
      <c r="T1242" t="s">
        <v>68</v>
      </c>
      <c r="U1242" t="s">
        <v>639</v>
      </c>
      <c r="V1242" t="s">
        <v>729</v>
      </c>
      <c r="Z1242" t="s">
        <v>49</v>
      </c>
      <c r="AA1242" t="s">
        <v>49</v>
      </c>
      <c r="AB1242" t="s">
        <v>50</v>
      </c>
      <c r="AC1242" t="s">
        <v>51</v>
      </c>
      <c r="AD1242" t="s">
        <v>52</v>
      </c>
      <c r="AE1242" t="s">
        <v>53</v>
      </c>
      <c r="AF1242" t="s">
        <v>52</v>
      </c>
      <c r="AG1242" t="s">
        <v>54</v>
      </c>
      <c r="AH1242" t="s">
        <v>55</v>
      </c>
      <c r="AK1242">
        <v>9</v>
      </c>
      <c r="AL1242">
        <v>12</v>
      </c>
      <c r="AN1242">
        <v>394</v>
      </c>
      <c r="AO1242" t="s">
        <v>56</v>
      </c>
      <c r="AP1242">
        <v>6</v>
      </c>
      <c r="AQ1242" t="s">
        <v>57</v>
      </c>
      <c r="AR1242">
        <v>8.1300000000000008</v>
      </c>
      <c r="AS1242" t="s">
        <v>56</v>
      </c>
      <c r="AT1242">
        <v>0.05</v>
      </c>
      <c r="AU1242">
        <v>2045</v>
      </c>
      <c r="AV1242" t="s">
        <v>56</v>
      </c>
      <c r="AW1242">
        <v>273</v>
      </c>
      <c r="AX1242">
        <v>7.6</v>
      </c>
      <c r="AY1242" t="s">
        <v>56</v>
      </c>
      <c r="AZ1242">
        <v>0.08</v>
      </c>
      <c r="BB1242">
        <f>LOG(AU1242)</f>
        <v>3.3106933123433606</v>
      </c>
      <c r="BC1242">
        <v>21.9</v>
      </c>
      <c r="BD1242" t="s">
        <v>56</v>
      </c>
      <c r="BE1242">
        <v>0.7</v>
      </c>
      <c r="BF1242">
        <v>21.8</v>
      </c>
      <c r="BG1242" t="s">
        <v>56</v>
      </c>
      <c r="BH1242">
        <v>0.5</v>
      </c>
      <c r="BI1242">
        <v>1651</v>
      </c>
      <c r="BJ1242">
        <v>-0.1</v>
      </c>
      <c r="BK1242" t="s">
        <v>56</v>
      </c>
      <c r="BL1242" t="s">
        <v>730</v>
      </c>
      <c r="BM1242" t="s">
        <v>730</v>
      </c>
      <c r="BN1242" t="s">
        <v>60</v>
      </c>
      <c r="BO1242" t="s">
        <v>500</v>
      </c>
      <c r="BP1242" t="s">
        <v>77</v>
      </c>
      <c r="BR1242" t="s">
        <v>63</v>
      </c>
      <c r="BT1242">
        <v>18.100000000000001</v>
      </c>
      <c r="BU1242">
        <v>18.100000000000001</v>
      </c>
      <c r="BV1242">
        <v>9.1</v>
      </c>
      <c r="BW1242">
        <f>BV1242*SQRT(AK1242)</f>
        <v>27.299999999999997</v>
      </c>
      <c r="BX1242">
        <v>14.9</v>
      </c>
      <c r="BY1242">
        <v>14.9</v>
      </c>
      <c r="BZ1242">
        <v>4.4000000000000004</v>
      </c>
      <c r="CA1242">
        <f>BZ1242*SQRT(AL1242)</f>
        <v>15.242047106606121</v>
      </c>
      <c r="CB1242">
        <v>912</v>
      </c>
      <c r="CC1242" t="s">
        <v>56</v>
      </c>
      <c r="CD1242">
        <v>-0.19500000000000001</v>
      </c>
      <c r="CE1242">
        <v>0.34</v>
      </c>
    </row>
    <row r="1243" spans="4:83" hidden="1" x14ac:dyDescent="0.2">
      <c r="D1243">
        <v>87</v>
      </c>
      <c r="G1243" t="s">
        <v>43</v>
      </c>
      <c r="H1243" t="s">
        <v>727</v>
      </c>
      <c r="J1243">
        <v>2019</v>
      </c>
      <c r="M1243" t="s">
        <v>728</v>
      </c>
      <c r="T1243" t="s">
        <v>68</v>
      </c>
      <c r="U1243" t="s">
        <v>639</v>
      </c>
      <c r="V1243" t="s">
        <v>729</v>
      </c>
      <c r="Z1243" t="s">
        <v>49</v>
      </c>
      <c r="AA1243" t="s">
        <v>49</v>
      </c>
      <c r="AB1243" t="s">
        <v>50</v>
      </c>
      <c r="AC1243" t="s">
        <v>108</v>
      </c>
      <c r="AD1243" t="s">
        <v>54</v>
      </c>
      <c r="AE1243" t="s">
        <v>53</v>
      </c>
      <c r="AF1243" t="s">
        <v>54</v>
      </c>
      <c r="AG1243" t="s">
        <v>52</v>
      </c>
      <c r="AH1243" t="s">
        <v>65</v>
      </c>
      <c r="AK1243">
        <v>9</v>
      </c>
      <c r="AL1243">
        <v>6</v>
      </c>
      <c r="AN1243">
        <v>394</v>
      </c>
      <c r="AO1243" t="s">
        <v>56</v>
      </c>
      <c r="AP1243">
        <v>6</v>
      </c>
      <c r="AQ1243" t="s">
        <v>57</v>
      </c>
      <c r="AR1243">
        <v>8.1300000000000008</v>
      </c>
      <c r="AS1243" t="s">
        <v>56</v>
      </c>
      <c r="AT1243">
        <v>0.05</v>
      </c>
      <c r="AU1243">
        <v>381</v>
      </c>
      <c r="AV1243" t="s">
        <v>56</v>
      </c>
      <c r="AW1243">
        <v>39</v>
      </c>
      <c r="AX1243">
        <v>8.1300000000000008</v>
      </c>
      <c r="AY1243" t="s">
        <v>56</v>
      </c>
      <c r="AZ1243">
        <v>7.0000000000000007E-2</v>
      </c>
      <c r="BB1243">
        <f>LOG(AU1243)</f>
        <v>2.5809249756756194</v>
      </c>
      <c r="BC1243">
        <v>21.9</v>
      </c>
      <c r="BD1243" t="s">
        <v>56</v>
      </c>
      <c r="BE1243">
        <v>0.7</v>
      </c>
      <c r="BF1243">
        <v>24.7</v>
      </c>
      <c r="BG1243" t="s">
        <v>56</v>
      </c>
      <c r="BH1243">
        <v>0.4</v>
      </c>
      <c r="BI1243">
        <v>-13</v>
      </c>
      <c r="BJ1243">
        <v>2.8</v>
      </c>
      <c r="BK1243" t="s">
        <v>56</v>
      </c>
      <c r="BL1243" t="s">
        <v>730</v>
      </c>
      <c r="BM1243" t="s">
        <v>730</v>
      </c>
      <c r="BN1243" t="s">
        <v>60</v>
      </c>
      <c r="BO1243" t="s">
        <v>500</v>
      </c>
      <c r="BP1243" t="s">
        <v>77</v>
      </c>
      <c r="BR1243" t="s">
        <v>63</v>
      </c>
      <c r="BT1243">
        <v>5.0999999999999996</v>
      </c>
      <c r="BU1243">
        <v>5.0999999999999996</v>
      </c>
      <c r="BV1243">
        <v>1.4</v>
      </c>
      <c r="BW1243">
        <f>BV1243*SQRT(AK1243)</f>
        <v>4.1999999999999993</v>
      </c>
      <c r="BX1243">
        <v>4.7</v>
      </c>
      <c r="BY1243">
        <v>4.7</v>
      </c>
      <c r="BZ1243">
        <v>1.4</v>
      </c>
      <c r="CA1243">
        <f>BZ1243*SQRT(AL1243)</f>
        <v>3.4292856398964489</v>
      </c>
      <c r="CB1243">
        <v>912</v>
      </c>
      <c r="CC1243" t="s">
        <v>56</v>
      </c>
      <c r="CD1243">
        <v>-8.2000000000000003E-2</v>
      </c>
      <c r="CE1243">
        <v>0.1641</v>
      </c>
    </row>
    <row r="1244" spans="4:83" hidden="1" x14ac:dyDescent="0.2">
      <c r="D1244">
        <v>87</v>
      </c>
      <c r="G1244" t="s">
        <v>43</v>
      </c>
      <c r="H1244" t="s">
        <v>727</v>
      </c>
      <c r="J1244">
        <v>2019</v>
      </c>
      <c r="M1244" t="s">
        <v>728</v>
      </c>
      <c r="T1244" t="s">
        <v>68</v>
      </c>
      <c r="U1244" t="s">
        <v>639</v>
      </c>
      <c r="V1244" t="s">
        <v>729</v>
      </c>
      <c r="Z1244" t="s">
        <v>49</v>
      </c>
      <c r="AA1244" t="s">
        <v>49</v>
      </c>
      <c r="AB1244" t="s">
        <v>50</v>
      </c>
      <c r="AC1244" t="s">
        <v>108</v>
      </c>
      <c r="AD1244" t="s">
        <v>54</v>
      </c>
      <c r="AE1244" t="s">
        <v>53</v>
      </c>
      <c r="AF1244" t="s">
        <v>52</v>
      </c>
      <c r="AG1244" t="s">
        <v>52</v>
      </c>
      <c r="AH1244" t="s">
        <v>64</v>
      </c>
      <c r="AK1244">
        <v>9</v>
      </c>
      <c r="AL1244">
        <v>9</v>
      </c>
      <c r="AN1244">
        <v>394</v>
      </c>
      <c r="AO1244" t="s">
        <v>56</v>
      </c>
      <c r="AP1244">
        <v>6</v>
      </c>
      <c r="AQ1244" t="s">
        <v>57</v>
      </c>
      <c r="AR1244">
        <v>8.1300000000000008</v>
      </c>
      <c r="AS1244" t="s">
        <v>56</v>
      </c>
      <c r="AT1244">
        <v>0.05</v>
      </c>
      <c r="AU1244">
        <v>2481</v>
      </c>
      <c r="AV1244" t="s">
        <v>56</v>
      </c>
      <c r="AW1244">
        <v>154</v>
      </c>
      <c r="AX1244">
        <v>7.57</v>
      </c>
      <c r="AY1244" t="s">
        <v>56</v>
      </c>
      <c r="AZ1244">
        <v>0.1</v>
      </c>
      <c r="BB1244">
        <f>LOG(AU1244)</f>
        <v>3.3946267642722092</v>
      </c>
      <c r="BC1244">
        <v>21.9</v>
      </c>
      <c r="BD1244" t="s">
        <v>56</v>
      </c>
      <c r="BE1244">
        <v>0.7</v>
      </c>
      <c r="BF1244">
        <v>24.8</v>
      </c>
      <c r="BG1244" t="s">
        <v>56</v>
      </c>
      <c r="BH1244">
        <v>0.4</v>
      </c>
      <c r="BI1244">
        <v>2087</v>
      </c>
      <c r="BJ1244">
        <v>2.9</v>
      </c>
      <c r="BK1244" t="s">
        <v>56</v>
      </c>
      <c r="BL1244" t="s">
        <v>730</v>
      </c>
      <c r="BM1244" t="s">
        <v>730</v>
      </c>
      <c r="BN1244" t="s">
        <v>60</v>
      </c>
      <c r="BO1244" t="s">
        <v>500</v>
      </c>
      <c r="BP1244" t="s">
        <v>77</v>
      </c>
      <c r="BR1244" t="s">
        <v>63</v>
      </c>
      <c r="BT1244">
        <v>5.0999999999999996</v>
      </c>
      <c r="BU1244">
        <v>5.0999999999999996</v>
      </c>
      <c r="BV1244">
        <v>1.4</v>
      </c>
      <c r="BW1244">
        <f>BV1244*SQRT(AK1244)</f>
        <v>4.1999999999999993</v>
      </c>
      <c r="BX1244">
        <v>4.7</v>
      </c>
      <c r="BY1244">
        <v>4.7</v>
      </c>
      <c r="BZ1244">
        <v>0.7</v>
      </c>
      <c r="CA1244">
        <f>BZ1244*SQRT(AL1244)</f>
        <v>2.0999999999999996</v>
      </c>
      <c r="CB1244">
        <v>912</v>
      </c>
      <c r="CC1244" t="s">
        <v>56</v>
      </c>
      <c r="CD1244">
        <v>-8.2000000000000003E-2</v>
      </c>
      <c r="CE1244">
        <v>9.7500000000000003E-2</v>
      </c>
    </row>
    <row r="1245" spans="4:83" hidden="1" x14ac:dyDescent="0.2">
      <c r="D1245">
        <v>87</v>
      </c>
      <c r="G1245" t="s">
        <v>43</v>
      </c>
      <c r="H1245" t="s">
        <v>727</v>
      </c>
      <c r="J1245">
        <v>2019</v>
      </c>
      <c r="M1245" t="s">
        <v>728</v>
      </c>
      <c r="T1245" t="s">
        <v>68</v>
      </c>
      <c r="U1245" t="s">
        <v>639</v>
      </c>
      <c r="V1245" t="s">
        <v>729</v>
      </c>
      <c r="Z1245" t="s">
        <v>49</v>
      </c>
      <c r="AA1245" t="s">
        <v>49</v>
      </c>
      <c r="AB1245" t="s">
        <v>50</v>
      </c>
      <c r="AC1245" t="s">
        <v>108</v>
      </c>
      <c r="AD1245" t="s">
        <v>54</v>
      </c>
      <c r="AE1245" t="s">
        <v>53</v>
      </c>
      <c r="AF1245" t="s">
        <v>52</v>
      </c>
      <c r="AG1245" t="s">
        <v>54</v>
      </c>
      <c r="AH1245" t="s">
        <v>55</v>
      </c>
      <c r="AK1245">
        <v>9</v>
      </c>
      <c r="AL1245">
        <v>18</v>
      </c>
      <c r="AN1245">
        <v>394</v>
      </c>
      <c r="AO1245" t="s">
        <v>56</v>
      </c>
      <c r="AP1245">
        <v>6</v>
      </c>
      <c r="AQ1245" t="s">
        <v>57</v>
      </c>
      <c r="AR1245">
        <v>8.1300000000000008</v>
      </c>
      <c r="AS1245" t="s">
        <v>56</v>
      </c>
      <c r="AT1245">
        <v>0.05</v>
      </c>
      <c r="AU1245">
        <v>2045</v>
      </c>
      <c r="AV1245" t="s">
        <v>56</v>
      </c>
      <c r="AW1245">
        <v>273</v>
      </c>
      <c r="AX1245">
        <v>7.6</v>
      </c>
      <c r="AY1245" t="s">
        <v>56</v>
      </c>
      <c r="AZ1245">
        <v>0.08</v>
      </c>
      <c r="BB1245">
        <f>LOG(AU1245)</f>
        <v>3.3106933123433606</v>
      </c>
      <c r="BC1245">
        <v>21.9</v>
      </c>
      <c r="BD1245" t="s">
        <v>56</v>
      </c>
      <c r="BE1245">
        <v>0.7</v>
      </c>
      <c r="BF1245">
        <v>21.8</v>
      </c>
      <c r="BG1245" t="s">
        <v>56</v>
      </c>
      <c r="BH1245">
        <v>0.5</v>
      </c>
      <c r="BI1245">
        <v>1651</v>
      </c>
      <c r="BJ1245">
        <v>-0.1</v>
      </c>
      <c r="BK1245" t="s">
        <v>56</v>
      </c>
      <c r="BL1245" t="s">
        <v>730</v>
      </c>
      <c r="BM1245" t="s">
        <v>730</v>
      </c>
      <c r="BN1245" t="s">
        <v>60</v>
      </c>
      <c r="BO1245" t="s">
        <v>500</v>
      </c>
      <c r="BP1245" t="s">
        <v>77</v>
      </c>
      <c r="BR1245" t="s">
        <v>63</v>
      </c>
      <c r="BT1245">
        <v>5.0999999999999996</v>
      </c>
      <c r="BU1245">
        <v>5.0999999999999996</v>
      </c>
      <c r="BV1245">
        <v>1.4</v>
      </c>
      <c r="BW1245">
        <f>BV1245*SQRT(AK1245)</f>
        <v>4.1999999999999993</v>
      </c>
      <c r="BX1245">
        <v>4.9000000000000004</v>
      </c>
      <c r="BY1245">
        <v>4.9000000000000004</v>
      </c>
      <c r="BZ1245">
        <v>1.1000000000000001</v>
      </c>
      <c r="CA1245">
        <f>BZ1245*SQRT(AL1245)</f>
        <v>4.6669047558312133</v>
      </c>
      <c r="CB1245">
        <v>912</v>
      </c>
      <c r="CC1245" t="s">
        <v>56</v>
      </c>
      <c r="CD1245">
        <v>-0.04</v>
      </c>
      <c r="CE1245">
        <v>0.1258</v>
      </c>
    </row>
    <row r="1246" spans="4:83" hidden="1" x14ac:dyDescent="0.2">
      <c r="D1246">
        <v>87</v>
      </c>
      <c r="G1246" t="s">
        <v>43</v>
      </c>
      <c r="H1246" t="s">
        <v>727</v>
      </c>
      <c r="J1246">
        <v>2019</v>
      </c>
      <c r="M1246" t="s">
        <v>728</v>
      </c>
      <c r="T1246" t="s">
        <v>68</v>
      </c>
      <c r="U1246" t="s">
        <v>639</v>
      </c>
      <c r="V1246" t="s">
        <v>729</v>
      </c>
      <c r="Z1246" t="s">
        <v>49</v>
      </c>
      <c r="AA1246" t="s">
        <v>49</v>
      </c>
      <c r="AB1246" t="s">
        <v>50</v>
      </c>
      <c r="AC1246" t="s">
        <v>108</v>
      </c>
      <c r="AD1246" t="s">
        <v>54</v>
      </c>
      <c r="AE1246" t="s">
        <v>53</v>
      </c>
      <c r="AF1246" t="s">
        <v>54</v>
      </c>
      <c r="AG1246" t="s">
        <v>52</v>
      </c>
      <c r="AH1246" t="s">
        <v>65</v>
      </c>
      <c r="AK1246">
        <v>9</v>
      </c>
      <c r="AL1246">
        <v>6</v>
      </c>
      <c r="AN1246">
        <v>394</v>
      </c>
      <c r="AO1246" t="s">
        <v>56</v>
      </c>
      <c r="AP1246">
        <v>6</v>
      </c>
      <c r="AQ1246" t="s">
        <v>57</v>
      </c>
      <c r="AR1246">
        <v>8.1300000000000008</v>
      </c>
      <c r="AS1246" t="s">
        <v>56</v>
      </c>
      <c r="AT1246">
        <v>0.05</v>
      </c>
      <c r="AU1246">
        <v>381</v>
      </c>
      <c r="AV1246" t="s">
        <v>56</v>
      </c>
      <c r="AW1246">
        <v>39</v>
      </c>
      <c r="AX1246">
        <v>8.1300000000000008</v>
      </c>
      <c r="AY1246" t="s">
        <v>56</v>
      </c>
      <c r="AZ1246">
        <v>7.0000000000000007E-2</v>
      </c>
      <c r="BB1246">
        <f>LOG(AU1246)</f>
        <v>2.5809249756756194</v>
      </c>
      <c r="BC1246">
        <v>21.9</v>
      </c>
      <c r="BD1246" t="s">
        <v>56</v>
      </c>
      <c r="BE1246">
        <v>0.7</v>
      </c>
      <c r="BF1246">
        <v>24.7</v>
      </c>
      <c r="BG1246" t="s">
        <v>56</v>
      </c>
      <c r="BH1246">
        <v>0.4</v>
      </c>
      <c r="BI1246">
        <v>-13</v>
      </c>
      <c r="BJ1246">
        <v>2.8</v>
      </c>
      <c r="BK1246" t="s">
        <v>56</v>
      </c>
      <c r="BL1246" t="s">
        <v>502</v>
      </c>
      <c r="BM1246" t="s">
        <v>502</v>
      </c>
      <c r="BN1246" t="s">
        <v>60</v>
      </c>
      <c r="BO1246" t="s">
        <v>731</v>
      </c>
      <c r="BP1246" t="s">
        <v>77</v>
      </c>
      <c r="BR1246" t="s">
        <v>63</v>
      </c>
      <c r="BT1246">
        <v>3.92</v>
      </c>
      <c r="BU1246">
        <v>3.92</v>
      </c>
      <c r="BV1246">
        <v>0.65</v>
      </c>
      <c r="BW1246">
        <f>BV1246*SQRT(AK1246)</f>
        <v>1.9500000000000002</v>
      </c>
      <c r="BX1246">
        <v>3.79</v>
      </c>
      <c r="BY1246">
        <v>3.79</v>
      </c>
      <c r="BZ1246">
        <v>1.1200000000000001</v>
      </c>
      <c r="CA1246">
        <f>BZ1246*SQRT(AL1246)</f>
        <v>2.7434285119171595</v>
      </c>
      <c r="CB1246">
        <v>912</v>
      </c>
      <c r="CC1246" t="s">
        <v>56</v>
      </c>
      <c r="CD1246">
        <v>-3.4000000000000002E-2</v>
      </c>
      <c r="CE1246">
        <v>0.1148</v>
      </c>
    </row>
    <row r="1247" spans="4:83" hidden="1" x14ac:dyDescent="0.2">
      <c r="D1247">
        <v>87</v>
      </c>
      <c r="G1247" t="s">
        <v>43</v>
      </c>
      <c r="H1247" t="s">
        <v>727</v>
      </c>
      <c r="J1247">
        <v>2019</v>
      </c>
      <c r="M1247" t="s">
        <v>728</v>
      </c>
      <c r="T1247" t="s">
        <v>68</v>
      </c>
      <c r="U1247" t="s">
        <v>639</v>
      </c>
      <c r="V1247" t="s">
        <v>729</v>
      </c>
      <c r="Z1247" t="s">
        <v>49</v>
      </c>
      <c r="AA1247" t="s">
        <v>49</v>
      </c>
      <c r="AB1247" t="s">
        <v>50</v>
      </c>
      <c r="AC1247" t="s">
        <v>108</v>
      </c>
      <c r="AD1247" t="s">
        <v>54</v>
      </c>
      <c r="AE1247" t="s">
        <v>53</v>
      </c>
      <c r="AF1247" t="s">
        <v>52</v>
      </c>
      <c r="AG1247" t="s">
        <v>54</v>
      </c>
      <c r="AH1247" t="s">
        <v>55</v>
      </c>
      <c r="AK1247">
        <v>9</v>
      </c>
      <c r="AL1247">
        <v>18</v>
      </c>
      <c r="AN1247">
        <v>394</v>
      </c>
      <c r="AO1247" t="s">
        <v>56</v>
      </c>
      <c r="AP1247">
        <v>6</v>
      </c>
      <c r="AQ1247" t="s">
        <v>57</v>
      </c>
      <c r="AR1247">
        <v>8.1300000000000008</v>
      </c>
      <c r="AS1247" t="s">
        <v>56</v>
      </c>
      <c r="AT1247">
        <v>0.05</v>
      </c>
      <c r="AU1247">
        <v>2045</v>
      </c>
      <c r="AV1247" t="s">
        <v>56</v>
      </c>
      <c r="AW1247">
        <v>273</v>
      </c>
      <c r="AX1247">
        <v>7.6</v>
      </c>
      <c r="AY1247" t="s">
        <v>56</v>
      </c>
      <c r="AZ1247">
        <v>0.08</v>
      </c>
      <c r="BB1247">
        <f>LOG(AU1247)</f>
        <v>3.3106933123433606</v>
      </c>
      <c r="BC1247">
        <v>21.9</v>
      </c>
      <c r="BD1247" t="s">
        <v>56</v>
      </c>
      <c r="BE1247">
        <v>0.7</v>
      </c>
      <c r="BF1247">
        <v>21.8</v>
      </c>
      <c r="BG1247" t="s">
        <v>56</v>
      </c>
      <c r="BH1247">
        <v>0.5</v>
      </c>
      <c r="BI1247">
        <v>1651</v>
      </c>
      <c r="BJ1247">
        <v>-0.1</v>
      </c>
      <c r="BK1247" t="s">
        <v>56</v>
      </c>
      <c r="BL1247" t="s">
        <v>502</v>
      </c>
      <c r="BM1247" t="s">
        <v>502</v>
      </c>
      <c r="BN1247" t="s">
        <v>60</v>
      </c>
      <c r="BO1247" t="s">
        <v>731</v>
      </c>
      <c r="BP1247" t="s">
        <v>77</v>
      </c>
      <c r="BR1247" t="s">
        <v>63</v>
      </c>
      <c r="BT1247">
        <v>3.92</v>
      </c>
      <c r="BU1247">
        <v>3.92</v>
      </c>
      <c r="BV1247">
        <v>0.65</v>
      </c>
      <c r="BW1247">
        <f>BV1247*SQRT(AK1247)</f>
        <v>1.9500000000000002</v>
      </c>
      <c r="BX1247">
        <v>4.0199999999999996</v>
      </c>
      <c r="BY1247">
        <v>4.0199999999999996</v>
      </c>
      <c r="BZ1247">
        <v>0.78</v>
      </c>
      <c r="CA1247">
        <f>BZ1247*SQRT(AL1247)</f>
        <v>3.309259735953042</v>
      </c>
      <c r="CB1247">
        <v>912</v>
      </c>
      <c r="CC1247" t="s">
        <v>56</v>
      </c>
      <c r="CD1247">
        <v>2.5000000000000001E-2</v>
      </c>
      <c r="CE1247">
        <v>6.5100000000000005E-2</v>
      </c>
    </row>
    <row r="1248" spans="4:83" hidden="1" x14ac:dyDescent="0.2">
      <c r="D1248">
        <v>87</v>
      </c>
      <c r="G1248" t="s">
        <v>43</v>
      </c>
      <c r="H1248" t="s">
        <v>727</v>
      </c>
      <c r="J1248">
        <v>2019</v>
      </c>
      <c r="M1248" t="s">
        <v>728</v>
      </c>
      <c r="T1248" t="s">
        <v>68</v>
      </c>
      <c r="U1248" t="s">
        <v>639</v>
      </c>
      <c r="V1248" t="s">
        <v>729</v>
      </c>
      <c r="Z1248" t="s">
        <v>49</v>
      </c>
      <c r="AA1248" t="s">
        <v>49</v>
      </c>
      <c r="AB1248" t="s">
        <v>50</v>
      </c>
      <c r="AC1248" t="s">
        <v>108</v>
      </c>
      <c r="AD1248" t="s">
        <v>54</v>
      </c>
      <c r="AE1248" t="s">
        <v>53</v>
      </c>
      <c r="AF1248" t="s">
        <v>52</v>
      </c>
      <c r="AG1248" t="s">
        <v>52</v>
      </c>
      <c r="AH1248" t="s">
        <v>64</v>
      </c>
      <c r="AK1248">
        <v>9</v>
      </c>
      <c r="AL1248">
        <v>9</v>
      </c>
      <c r="AN1248">
        <v>394</v>
      </c>
      <c r="AO1248" t="s">
        <v>56</v>
      </c>
      <c r="AP1248">
        <v>6</v>
      </c>
      <c r="AQ1248" t="s">
        <v>57</v>
      </c>
      <c r="AR1248">
        <v>8.1300000000000008</v>
      </c>
      <c r="AS1248" t="s">
        <v>56</v>
      </c>
      <c r="AT1248">
        <v>0.05</v>
      </c>
      <c r="AU1248">
        <v>2481</v>
      </c>
      <c r="AV1248" t="s">
        <v>56</v>
      </c>
      <c r="AW1248">
        <v>154</v>
      </c>
      <c r="AX1248">
        <v>7.57</v>
      </c>
      <c r="AY1248" t="s">
        <v>56</v>
      </c>
      <c r="AZ1248">
        <v>0.1</v>
      </c>
      <c r="BB1248">
        <f>LOG(AU1248)</f>
        <v>3.3946267642722092</v>
      </c>
      <c r="BC1248">
        <v>21.9</v>
      </c>
      <c r="BD1248" t="s">
        <v>56</v>
      </c>
      <c r="BE1248">
        <v>0.7</v>
      </c>
      <c r="BF1248">
        <v>24.8</v>
      </c>
      <c r="BG1248" t="s">
        <v>56</v>
      </c>
      <c r="BH1248">
        <v>0.4</v>
      </c>
      <c r="BI1248">
        <v>2087</v>
      </c>
      <c r="BJ1248">
        <v>2.9</v>
      </c>
      <c r="BK1248" t="s">
        <v>56</v>
      </c>
      <c r="BL1248" t="s">
        <v>502</v>
      </c>
      <c r="BM1248" t="s">
        <v>502</v>
      </c>
      <c r="BN1248" t="s">
        <v>60</v>
      </c>
      <c r="BO1248" t="s">
        <v>731</v>
      </c>
      <c r="BP1248" t="s">
        <v>77</v>
      </c>
      <c r="BR1248" t="s">
        <v>63</v>
      </c>
      <c r="BT1248">
        <v>3.92</v>
      </c>
      <c r="BU1248">
        <v>3.92</v>
      </c>
      <c r="BV1248">
        <v>0.65</v>
      </c>
      <c r="BW1248">
        <f>BV1248*SQRT(AK1248)</f>
        <v>1.9500000000000002</v>
      </c>
      <c r="BX1248">
        <v>5.2</v>
      </c>
      <c r="BY1248">
        <v>5.2</v>
      </c>
      <c r="BZ1248">
        <v>0.74</v>
      </c>
      <c r="CA1248">
        <f>BZ1248*SQRT(AL1248)</f>
        <v>2.2199999999999998</v>
      </c>
      <c r="CB1248">
        <v>912</v>
      </c>
      <c r="CC1248" t="s">
        <v>56</v>
      </c>
      <c r="CD1248">
        <v>0.28299999999999997</v>
      </c>
      <c r="CE1248">
        <v>4.7699999999999999E-2</v>
      </c>
    </row>
    <row r="1249" spans="4:83" hidden="1" x14ac:dyDescent="0.2">
      <c r="D1249">
        <v>87</v>
      </c>
      <c r="G1249" t="s">
        <v>43</v>
      </c>
      <c r="H1249" t="s">
        <v>727</v>
      </c>
      <c r="J1249">
        <v>2019</v>
      </c>
      <c r="M1249" t="s">
        <v>728</v>
      </c>
      <c r="T1249" t="s">
        <v>68</v>
      </c>
      <c r="U1249" t="s">
        <v>639</v>
      </c>
      <c r="V1249" t="s">
        <v>729</v>
      </c>
      <c r="Z1249" t="s">
        <v>49</v>
      </c>
      <c r="AA1249" t="s">
        <v>49</v>
      </c>
      <c r="AB1249" t="s">
        <v>50</v>
      </c>
      <c r="AC1249" t="s">
        <v>51</v>
      </c>
      <c r="AD1249" t="s">
        <v>52</v>
      </c>
      <c r="AE1249" t="s">
        <v>53</v>
      </c>
      <c r="AF1249" t="s">
        <v>54</v>
      </c>
      <c r="AG1249" t="s">
        <v>52</v>
      </c>
      <c r="AH1249" t="s">
        <v>65</v>
      </c>
      <c r="AK1249">
        <v>9</v>
      </c>
      <c r="AL1249">
        <v>15</v>
      </c>
      <c r="AN1249">
        <v>394</v>
      </c>
      <c r="AO1249" t="s">
        <v>56</v>
      </c>
      <c r="AP1249">
        <v>6</v>
      </c>
      <c r="AQ1249" t="s">
        <v>57</v>
      </c>
      <c r="AR1249">
        <v>8.1300000000000008</v>
      </c>
      <c r="AS1249" t="s">
        <v>56</v>
      </c>
      <c r="AT1249">
        <v>0.05</v>
      </c>
      <c r="AU1249">
        <v>381</v>
      </c>
      <c r="AV1249" t="s">
        <v>56</v>
      </c>
      <c r="AW1249">
        <v>39</v>
      </c>
      <c r="AX1249">
        <v>8.1300000000000008</v>
      </c>
      <c r="AY1249" t="s">
        <v>56</v>
      </c>
      <c r="AZ1249">
        <v>7.0000000000000007E-2</v>
      </c>
      <c r="BB1249">
        <f>LOG(AU1249)</f>
        <v>2.5809249756756194</v>
      </c>
      <c r="BC1249">
        <v>21.9</v>
      </c>
      <c r="BD1249" t="s">
        <v>56</v>
      </c>
      <c r="BE1249">
        <v>0.7</v>
      </c>
      <c r="BF1249">
        <v>24.7</v>
      </c>
      <c r="BG1249" t="s">
        <v>56</v>
      </c>
      <c r="BH1249">
        <v>0.4</v>
      </c>
      <c r="BI1249">
        <v>-13</v>
      </c>
      <c r="BJ1249">
        <v>2.8</v>
      </c>
      <c r="BK1249" t="s">
        <v>56</v>
      </c>
      <c r="BL1249" t="s">
        <v>502</v>
      </c>
      <c r="BM1249" t="s">
        <v>502</v>
      </c>
      <c r="BN1249" t="s">
        <v>60</v>
      </c>
      <c r="BO1249" t="s">
        <v>731</v>
      </c>
      <c r="BP1249" t="s">
        <v>77</v>
      </c>
      <c r="BR1249" t="s">
        <v>63</v>
      </c>
      <c r="BT1249">
        <v>3.55</v>
      </c>
      <c r="BU1249">
        <v>3.55</v>
      </c>
      <c r="BV1249">
        <v>0.86</v>
      </c>
      <c r="BW1249">
        <f>BV1249*SQRT(AK1249)</f>
        <v>2.58</v>
      </c>
      <c r="BX1249">
        <v>6.72</v>
      </c>
      <c r="BY1249">
        <v>6.72</v>
      </c>
      <c r="BZ1249">
        <v>1.08</v>
      </c>
      <c r="CA1249">
        <f>BZ1249*SQRT(AL1249)</f>
        <v>4.1828220139040111</v>
      </c>
      <c r="CB1249">
        <v>912</v>
      </c>
      <c r="CC1249" t="s">
        <v>56</v>
      </c>
      <c r="CD1249">
        <v>0.63800000000000001</v>
      </c>
      <c r="CE1249">
        <v>8.4500000000000006E-2</v>
      </c>
    </row>
    <row r="1250" spans="4:83" hidden="1" x14ac:dyDescent="0.2">
      <c r="D1250">
        <v>88</v>
      </c>
      <c r="G1250" t="s">
        <v>114</v>
      </c>
      <c r="H1250" t="s">
        <v>733</v>
      </c>
      <c r="J1250">
        <v>2018</v>
      </c>
      <c r="M1250" t="s">
        <v>174</v>
      </c>
      <c r="T1250" t="s">
        <v>46</v>
      </c>
      <c r="U1250" t="s">
        <v>422</v>
      </c>
      <c r="V1250" t="s">
        <v>423</v>
      </c>
      <c r="Z1250" t="s">
        <v>106</v>
      </c>
      <c r="AA1250" t="s">
        <v>107</v>
      </c>
      <c r="AB1250" t="s">
        <v>50</v>
      </c>
      <c r="AC1250" t="s">
        <v>51</v>
      </c>
      <c r="AD1250" t="s">
        <v>52</v>
      </c>
      <c r="AE1250" t="s">
        <v>53</v>
      </c>
      <c r="AF1250" t="s">
        <v>52</v>
      </c>
      <c r="AG1250" t="s">
        <v>54</v>
      </c>
      <c r="AH1250" t="s">
        <v>55</v>
      </c>
      <c r="AK1250">
        <v>6</v>
      </c>
      <c r="AL1250">
        <v>6</v>
      </c>
      <c r="AM1250" t="s">
        <v>735</v>
      </c>
      <c r="AN1250">
        <v>469</v>
      </c>
      <c r="AO1250" t="s">
        <v>56</v>
      </c>
      <c r="AP1250" t="s">
        <v>56</v>
      </c>
      <c r="AQ1250" t="s">
        <v>118</v>
      </c>
      <c r="AR1250">
        <v>8.1199999999999992</v>
      </c>
      <c r="AS1250">
        <v>0.01</v>
      </c>
      <c r="AT1250" t="s">
        <v>56</v>
      </c>
      <c r="AU1250">
        <v>1696</v>
      </c>
      <c r="AV1250" t="s">
        <v>56</v>
      </c>
      <c r="AW1250" t="s">
        <v>56</v>
      </c>
      <c r="AX1250">
        <v>7.62</v>
      </c>
      <c r="AY1250">
        <v>0.01</v>
      </c>
      <c r="AZ1250" t="s">
        <v>56</v>
      </c>
      <c r="BB1250">
        <f>LOG(AU1250)</f>
        <v>3.229425847920695</v>
      </c>
      <c r="BC1250">
        <v>21.3</v>
      </c>
      <c r="BD1250">
        <v>0.1</v>
      </c>
      <c r="BE1250" t="s">
        <v>56</v>
      </c>
      <c r="BF1250">
        <v>21.6</v>
      </c>
      <c r="BG1250">
        <v>0.1</v>
      </c>
      <c r="BH1250" t="s">
        <v>56</v>
      </c>
      <c r="BI1250">
        <v>1227</v>
      </c>
      <c r="BJ1250">
        <v>0</v>
      </c>
      <c r="BK1250" t="s">
        <v>56</v>
      </c>
      <c r="BL1250" t="s">
        <v>734</v>
      </c>
      <c r="BM1250" t="s">
        <v>734</v>
      </c>
      <c r="BN1250" t="s">
        <v>81</v>
      </c>
      <c r="BO1250" t="s">
        <v>82</v>
      </c>
      <c r="BP1250" t="s">
        <v>190</v>
      </c>
      <c r="BR1250" t="s">
        <v>63</v>
      </c>
      <c r="BT1250">
        <v>7.0000000000000007E-2</v>
      </c>
      <c r="BU1250">
        <v>7.3964000000000002E-2</v>
      </c>
      <c r="BV1250">
        <v>8.8757000000000003E-2</v>
      </c>
      <c r="BW1250">
        <f>BV1250*SQRT(AK1250)</f>
        <v>0.21740936110020653</v>
      </c>
      <c r="BX1250">
        <v>0</v>
      </c>
      <c r="BY1250">
        <v>7.3959999999999998E-4</v>
      </c>
      <c r="BZ1250">
        <v>0</v>
      </c>
      <c r="CA1250">
        <f>BZ1250*SQRT(AL1250)</f>
        <v>0</v>
      </c>
      <c r="CB1250">
        <v>146</v>
      </c>
      <c r="CC1250">
        <v>7</v>
      </c>
      <c r="CD1250">
        <v>-4.6050000000000004</v>
      </c>
      <c r="CE1250">
        <v>1.44</v>
      </c>
    </row>
    <row r="1251" spans="4:83" hidden="1" x14ac:dyDescent="0.2">
      <c r="D1251">
        <v>88</v>
      </c>
      <c r="G1251" t="s">
        <v>43</v>
      </c>
      <c r="H1251" t="s">
        <v>733</v>
      </c>
      <c r="J1251">
        <v>2018</v>
      </c>
      <c r="M1251" t="s">
        <v>174</v>
      </c>
      <c r="T1251" t="s">
        <v>46</v>
      </c>
      <c r="U1251" t="s">
        <v>422</v>
      </c>
      <c r="V1251" t="s">
        <v>423</v>
      </c>
      <c r="Z1251" t="s">
        <v>106</v>
      </c>
      <c r="AA1251" t="s">
        <v>107</v>
      </c>
      <c r="AB1251" t="s">
        <v>50</v>
      </c>
      <c r="AC1251" t="s">
        <v>51</v>
      </c>
      <c r="AD1251" t="s">
        <v>52</v>
      </c>
      <c r="AE1251" t="s">
        <v>53</v>
      </c>
      <c r="AF1251" t="s">
        <v>52</v>
      </c>
      <c r="AG1251" t="s">
        <v>52</v>
      </c>
      <c r="AH1251" t="s">
        <v>64</v>
      </c>
      <c r="AK1251">
        <v>6</v>
      </c>
      <c r="AL1251">
        <v>6</v>
      </c>
      <c r="AM1251" t="s">
        <v>735</v>
      </c>
      <c r="AN1251">
        <v>469</v>
      </c>
      <c r="AO1251" t="s">
        <v>56</v>
      </c>
      <c r="AP1251" t="s">
        <v>56</v>
      </c>
      <c r="AQ1251" t="s">
        <v>118</v>
      </c>
      <c r="AR1251">
        <v>8.1199999999999992</v>
      </c>
      <c r="AS1251">
        <v>0.01</v>
      </c>
      <c r="AT1251" t="s">
        <v>56</v>
      </c>
      <c r="AU1251">
        <v>1982</v>
      </c>
      <c r="AV1251" t="s">
        <v>56</v>
      </c>
      <c r="AW1251" t="s">
        <v>56</v>
      </c>
      <c r="AX1251">
        <v>7.58</v>
      </c>
      <c r="AY1251">
        <v>0</v>
      </c>
      <c r="AZ1251" t="s">
        <v>56</v>
      </c>
      <c r="BB1251">
        <f>LOG(AU1251)</f>
        <v>3.2971036501492565</v>
      </c>
      <c r="BC1251">
        <v>21.3</v>
      </c>
      <c r="BD1251">
        <v>0.1</v>
      </c>
      <c r="BE1251" t="s">
        <v>56</v>
      </c>
      <c r="BF1251">
        <v>27.7</v>
      </c>
      <c r="BG1251">
        <v>0.2</v>
      </c>
      <c r="BH1251" t="s">
        <v>56</v>
      </c>
      <c r="BI1251">
        <v>1513</v>
      </c>
      <c r="BJ1251">
        <v>6.4</v>
      </c>
      <c r="BK1251" t="s">
        <v>56</v>
      </c>
      <c r="BL1251" t="s">
        <v>734</v>
      </c>
      <c r="BM1251" t="s">
        <v>734</v>
      </c>
      <c r="BN1251" t="s">
        <v>81</v>
      </c>
      <c r="BO1251" t="s">
        <v>82</v>
      </c>
      <c r="BP1251" t="s">
        <v>190</v>
      </c>
      <c r="BR1251" t="s">
        <v>63</v>
      </c>
      <c r="BT1251">
        <v>7.0000000000000007E-2</v>
      </c>
      <c r="BU1251">
        <v>7.3964000000000002E-2</v>
      </c>
      <c r="BV1251">
        <v>8.8757000000000003E-2</v>
      </c>
      <c r="BW1251">
        <f>BV1251*SQRT(AK1251)</f>
        <v>0.21740936110020653</v>
      </c>
      <c r="BX1251">
        <v>0.03</v>
      </c>
      <c r="BY1251">
        <v>2.9585799999999999E-2</v>
      </c>
      <c r="BZ1251">
        <v>0.01</v>
      </c>
      <c r="CA1251">
        <f>BZ1251*SQRT(AL1251)</f>
        <v>2.4494897427831779E-2</v>
      </c>
      <c r="CB1251">
        <v>146</v>
      </c>
      <c r="CC1251">
        <v>7</v>
      </c>
      <c r="CD1251">
        <v>-0.91600000000000004</v>
      </c>
      <c r="CE1251">
        <v>1.69</v>
      </c>
    </row>
    <row r="1252" spans="4:83" hidden="1" x14ac:dyDescent="0.2">
      <c r="D1252">
        <v>88</v>
      </c>
      <c r="G1252" t="s">
        <v>43</v>
      </c>
      <c r="H1252" t="s">
        <v>733</v>
      </c>
      <c r="J1252">
        <v>2018</v>
      </c>
      <c r="M1252" t="s">
        <v>174</v>
      </c>
      <c r="T1252" t="s">
        <v>46</v>
      </c>
      <c r="U1252" t="s">
        <v>422</v>
      </c>
      <c r="V1252" t="s">
        <v>423</v>
      </c>
      <c r="Z1252" t="s">
        <v>106</v>
      </c>
      <c r="AA1252" t="s">
        <v>107</v>
      </c>
      <c r="AB1252" t="s">
        <v>50</v>
      </c>
      <c r="AC1252" t="s">
        <v>51</v>
      </c>
      <c r="AD1252" t="s">
        <v>52</v>
      </c>
      <c r="AE1252" t="s">
        <v>53</v>
      </c>
      <c r="AF1252" t="s">
        <v>52</v>
      </c>
      <c r="AG1252" t="s">
        <v>54</v>
      </c>
      <c r="AH1252" t="s">
        <v>55</v>
      </c>
      <c r="AK1252">
        <v>6</v>
      </c>
      <c r="AL1252">
        <v>6</v>
      </c>
      <c r="AN1252">
        <v>469</v>
      </c>
      <c r="AO1252" t="s">
        <v>56</v>
      </c>
      <c r="AP1252" t="s">
        <v>56</v>
      </c>
      <c r="AQ1252" t="s">
        <v>118</v>
      </c>
      <c r="AR1252">
        <v>8.1199999999999992</v>
      </c>
      <c r="AS1252">
        <v>0.01</v>
      </c>
      <c r="AT1252" t="s">
        <v>56</v>
      </c>
      <c r="AU1252">
        <v>1696</v>
      </c>
      <c r="AV1252" t="s">
        <v>56</v>
      </c>
      <c r="AW1252" t="s">
        <v>56</v>
      </c>
      <c r="AX1252">
        <v>7.62</v>
      </c>
      <c r="AY1252">
        <v>0.01</v>
      </c>
      <c r="AZ1252" t="s">
        <v>56</v>
      </c>
      <c r="BB1252">
        <f>LOG(AU1252)</f>
        <v>3.229425847920695</v>
      </c>
      <c r="BC1252">
        <v>21.3</v>
      </c>
      <c r="BD1252">
        <v>0.1</v>
      </c>
      <c r="BE1252" t="s">
        <v>56</v>
      </c>
      <c r="BF1252">
        <v>21.6</v>
      </c>
      <c r="BG1252">
        <v>0.1</v>
      </c>
      <c r="BH1252" t="s">
        <v>56</v>
      </c>
      <c r="BI1252">
        <v>1227</v>
      </c>
      <c r="BJ1252">
        <v>0.3</v>
      </c>
      <c r="BK1252" t="s">
        <v>56</v>
      </c>
      <c r="BL1252" t="s">
        <v>736</v>
      </c>
      <c r="BM1252" t="s">
        <v>253</v>
      </c>
      <c r="BN1252" t="s">
        <v>81</v>
      </c>
      <c r="BO1252" t="s">
        <v>737</v>
      </c>
      <c r="BP1252" t="s">
        <v>92</v>
      </c>
      <c r="BR1252" t="s">
        <v>63</v>
      </c>
      <c r="BT1252">
        <v>45</v>
      </c>
      <c r="BU1252">
        <v>45</v>
      </c>
      <c r="BV1252">
        <v>2.61</v>
      </c>
      <c r="BW1252">
        <f>BV1252*SQRT(AK1252)</f>
        <v>6.3931682286640941</v>
      </c>
      <c r="BX1252">
        <v>25.43</v>
      </c>
      <c r="BY1252">
        <v>25.434782599999998</v>
      </c>
      <c r="BZ1252">
        <v>3.91</v>
      </c>
      <c r="CA1252">
        <f>BZ1252*SQRT(AL1252)</f>
        <v>9.5775048942822263</v>
      </c>
      <c r="CB1252">
        <v>146</v>
      </c>
      <c r="CC1252">
        <v>7</v>
      </c>
      <c r="CD1252">
        <v>-0.57099999999999995</v>
      </c>
      <c r="CE1252">
        <v>2.7E-2</v>
      </c>
    </row>
    <row r="1253" spans="4:83" hidden="1" x14ac:dyDescent="0.2">
      <c r="D1253">
        <v>88</v>
      </c>
      <c r="G1253" t="s">
        <v>43</v>
      </c>
      <c r="H1253" t="s">
        <v>733</v>
      </c>
      <c r="J1253">
        <v>2018</v>
      </c>
      <c r="M1253" t="s">
        <v>174</v>
      </c>
      <c r="T1253" t="s">
        <v>46</v>
      </c>
      <c r="U1253" t="s">
        <v>422</v>
      </c>
      <c r="V1253" t="s">
        <v>423</v>
      </c>
      <c r="Z1253" t="s">
        <v>106</v>
      </c>
      <c r="AA1253" t="s">
        <v>107</v>
      </c>
      <c r="AB1253" t="s">
        <v>50</v>
      </c>
      <c r="AC1253" t="s">
        <v>51</v>
      </c>
      <c r="AD1253" t="s">
        <v>52</v>
      </c>
      <c r="AE1253" t="s">
        <v>53</v>
      </c>
      <c r="AF1253" t="s">
        <v>52</v>
      </c>
      <c r="AG1253" t="s">
        <v>54</v>
      </c>
      <c r="AH1253" t="s">
        <v>55</v>
      </c>
      <c r="AK1253">
        <v>6</v>
      </c>
      <c r="AL1253">
        <v>6</v>
      </c>
      <c r="AN1253">
        <v>469</v>
      </c>
      <c r="AO1253" t="s">
        <v>56</v>
      </c>
      <c r="AP1253" t="s">
        <v>56</v>
      </c>
      <c r="AQ1253" t="s">
        <v>118</v>
      </c>
      <c r="AR1253">
        <v>8.1199999999999992</v>
      </c>
      <c r="AS1253">
        <v>0.01</v>
      </c>
      <c r="AT1253" t="s">
        <v>56</v>
      </c>
      <c r="AU1253">
        <v>1049</v>
      </c>
      <c r="AV1253" t="s">
        <v>56</v>
      </c>
      <c r="AW1253" t="s">
        <v>56</v>
      </c>
      <c r="AX1253">
        <v>7.81</v>
      </c>
      <c r="AY1253">
        <v>0.01</v>
      </c>
      <c r="AZ1253" t="s">
        <v>56</v>
      </c>
      <c r="BB1253">
        <f>LOG(AU1253)</f>
        <v>3.020775488193558</v>
      </c>
      <c r="BC1253">
        <v>21.3</v>
      </c>
      <c r="BD1253">
        <v>0.1</v>
      </c>
      <c r="BE1253" t="s">
        <v>56</v>
      </c>
      <c r="BF1253">
        <v>21.5</v>
      </c>
      <c r="BG1253">
        <v>0.1</v>
      </c>
      <c r="BH1253" t="s">
        <v>56</v>
      </c>
      <c r="BI1253">
        <v>581</v>
      </c>
      <c r="BJ1253">
        <v>0.1</v>
      </c>
      <c r="BK1253" t="s">
        <v>56</v>
      </c>
      <c r="BL1253" t="s">
        <v>736</v>
      </c>
      <c r="BM1253" t="s">
        <v>253</v>
      </c>
      <c r="BN1253" t="s">
        <v>81</v>
      </c>
      <c r="BO1253" t="s">
        <v>737</v>
      </c>
      <c r="BP1253" t="s">
        <v>92</v>
      </c>
      <c r="BR1253" t="s">
        <v>63</v>
      </c>
      <c r="BT1253">
        <v>45</v>
      </c>
      <c r="BU1253">
        <v>45</v>
      </c>
      <c r="BV1253">
        <v>2.61</v>
      </c>
      <c r="BW1253">
        <f>BV1253*SQRT(AK1253)</f>
        <v>6.3931682286640941</v>
      </c>
      <c r="BX1253">
        <v>41.09</v>
      </c>
      <c r="BY1253">
        <v>41.086956499999999</v>
      </c>
      <c r="BZ1253">
        <v>3.91</v>
      </c>
      <c r="CA1253">
        <f>BZ1253*SQRT(AL1253)</f>
        <v>9.5775048942822263</v>
      </c>
      <c r="CB1253">
        <v>146</v>
      </c>
      <c r="CC1253">
        <v>7</v>
      </c>
      <c r="CD1253">
        <v>-9.0999999999999998E-2</v>
      </c>
      <c r="CE1253">
        <v>1.24E-2</v>
      </c>
    </row>
    <row r="1254" spans="4:83" hidden="1" x14ac:dyDescent="0.2">
      <c r="D1254">
        <v>88</v>
      </c>
      <c r="G1254" t="s">
        <v>43</v>
      </c>
      <c r="H1254" t="s">
        <v>733</v>
      </c>
      <c r="J1254">
        <v>2018</v>
      </c>
      <c r="M1254" t="s">
        <v>174</v>
      </c>
      <c r="T1254" t="s">
        <v>46</v>
      </c>
      <c r="U1254" t="s">
        <v>422</v>
      </c>
      <c r="V1254" t="s">
        <v>423</v>
      </c>
      <c r="Z1254" t="s">
        <v>106</v>
      </c>
      <c r="AA1254" t="s">
        <v>107</v>
      </c>
      <c r="AB1254" t="s">
        <v>50</v>
      </c>
      <c r="AC1254" t="s">
        <v>51</v>
      </c>
      <c r="AD1254" t="s">
        <v>52</v>
      </c>
      <c r="AE1254" t="s">
        <v>53</v>
      </c>
      <c r="AF1254" t="s">
        <v>52</v>
      </c>
      <c r="AG1254" t="s">
        <v>52</v>
      </c>
      <c r="AH1254" t="s">
        <v>64</v>
      </c>
      <c r="AK1254">
        <v>6</v>
      </c>
      <c r="AL1254">
        <v>6</v>
      </c>
      <c r="AN1254">
        <v>469</v>
      </c>
      <c r="AO1254" t="s">
        <v>56</v>
      </c>
      <c r="AP1254" t="s">
        <v>56</v>
      </c>
      <c r="AQ1254" t="s">
        <v>118</v>
      </c>
      <c r="AR1254">
        <v>8.1199999999999992</v>
      </c>
      <c r="AS1254">
        <v>0.01</v>
      </c>
      <c r="AT1254" t="s">
        <v>56</v>
      </c>
      <c r="AU1254">
        <v>1919</v>
      </c>
      <c r="AV1254" t="s">
        <v>56</v>
      </c>
      <c r="AW1254" t="s">
        <v>56</v>
      </c>
      <c r="AX1254">
        <v>7.58</v>
      </c>
      <c r="AY1254">
        <v>0.01</v>
      </c>
      <c r="AZ1254" t="s">
        <v>56</v>
      </c>
      <c r="BB1254">
        <f>LOG(AU1254)</f>
        <v>3.2830749747354715</v>
      </c>
      <c r="BC1254">
        <v>21.3</v>
      </c>
      <c r="BD1254">
        <v>0.1</v>
      </c>
      <c r="BE1254" t="s">
        <v>56</v>
      </c>
      <c r="BF1254">
        <v>24.9</v>
      </c>
      <c r="BG1254">
        <v>0.2</v>
      </c>
      <c r="BH1254" t="s">
        <v>56</v>
      </c>
      <c r="BI1254">
        <v>1451</v>
      </c>
      <c r="BJ1254">
        <v>3.5</v>
      </c>
      <c r="BK1254" t="s">
        <v>56</v>
      </c>
      <c r="BL1254" t="s">
        <v>738</v>
      </c>
      <c r="BM1254" t="s">
        <v>454</v>
      </c>
      <c r="BN1254" t="s">
        <v>60</v>
      </c>
      <c r="BO1254" t="s">
        <v>56</v>
      </c>
      <c r="BP1254" t="s">
        <v>194</v>
      </c>
      <c r="BR1254" t="s">
        <v>63</v>
      </c>
      <c r="BT1254">
        <v>7.73</v>
      </c>
      <c r="BU1254">
        <v>7.7262300000000002</v>
      </c>
      <c r="BV1254">
        <v>0.03</v>
      </c>
      <c r="BW1254">
        <f>BV1254*SQRT(AK1254)</f>
        <v>7.3484692283495329E-2</v>
      </c>
      <c r="BX1254">
        <v>7.51</v>
      </c>
      <c r="BY1254">
        <v>7.507377</v>
      </c>
      <c r="BZ1254">
        <v>0.02</v>
      </c>
      <c r="CA1254">
        <f>BZ1254*SQRT(AL1254)</f>
        <v>4.8989794855663557E-2</v>
      </c>
      <c r="CB1254">
        <v>146</v>
      </c>
      <c r="CC1254">
        <v>7</v>
      </c>
      <c r="CD1254">
        <v>-2.9000000000000001E-2</v>
      </c>
      <c r="CE1254">
        <v>1E-4</v>
      </c>
    </row>
    <row r="1255" spans="4:83" hidden="1" x14ac:dyDescent="0.2">
      <c r="D1255">
        <v>88</v>
      </c>
      <c r="G1255" t="s">
        <v>43</v>
      </c>
      <c r="H1255" t="s">
        <v>733</v>
      </c>
      <c r="J1255">
        <v>2018</v>
      </c>
      <c r="M1255" t="s">
        <v>174</v>
      </c>
      <c r="T1255" t="s">
        <v>46</v>
      </c>
      <c r="U1255" t="s">
        <v>422</v>
      </c>
      <c r="V1255" t="s">
        <v>423</v>
      </c>
      <c r="Z1255" t="s">
        <v>106</v>
      </c>
      <c r="AA1255" t="s">
        <v>107</v>
      </c>
      <c r="AB1255" t="s">
        <v>50</v>
      </c>
      <c r="AC1255" t="s">
        <v>51</v>
      </c>
      <c r="AD1255" t="s">
        <v>52</v>
      </c>
      <c r="AE1255" t="s">
        <v>53</v>
      </c>
      <c r="AF1255" t="s">
        <v>52</v>
      </c>
      <c r="AG1255" t="s">
        <v>52</v>
      </c>
      <c r="AH1255" t="s">
        <v>64</v>
      </c>
      <c r="AK1255">
        <v>6</v>
      </c>
      <c r="AL1255">
        <v>6</v>
      </c>
      <c r="AN1255">
        <v>469</v>
      </c>
      <c r="AO1255" t="s">
        <v>56</v>
      </c>
      <c r="AP1255" t="s">
        <v>56</v>
      </c>
      <c r="AQ1255" t="s">
        <v>118</v>
      </c>
      <c r="AR1255">
        <v>8.1199999999999992</v>
      </c>
      <c r="AS1255">
        <v>0.01</v>
      </c>
      <c r="AT1255" t="s">
        <v>56</v>
      </c>
      <c r="AU1255">
        <v>1243</v>
      </c>
      <c r="AV1255" t="s">
        <v>56</v>
      </c>
      <c r="AW1255" t="s">
        <v>56</v>
      </c>
      <c r="AX1255">
        <v>7.76</v>
      </c>
      <c r="AY1255">
        <v>0</v>
      </c>
      <c r="AZ1255" t="s">
        <v>56</v>
      </c>
      <c r="BB1255">
        <f>LOG(AU1255)</f>
        <v>3.0944711286416449</v>
      </c>
      <c r="BC1255">
        <v>21.3</v>
      </c>
      <c r="BD1255">
        <v>0.1</v>
      </c>
      <c r="BE1255" t="s">
        <v>56</v>
      </c>
      <c r="BF1255">
        <v>27.6</v>
      </c>
      <c r="BG1255">
        <v>0.2</v>
      </c>
      <c r="BH1255" t="s">
        <v>56</v>
      </c>
      <c r="BI1255">
        <v>774</v>
      </c>
      <c r="BJ1255">
        <v>6.3</v>
      </c>
      <c r="BK1255" t="s">
        <v>56</v>
      </c>
      <c r="BL1255" t="s">
        <v>738</v>
      </c>
      <c r="BM1255" t="s">
        <v>454</v>
      </c>
      <c r="BN1255" t="s">
        <v>60</v>
      </c>
      <c r="BO1255" t="s">
        <v>56</v>
      </c>
      <c r="BP1255" t="s">
        <v>194</v>
      </c>
      <c r="BR1255" t="s">
        <v>63</v>
      </c>
      <c r="BT1255">
        <v>7.73</v>
      </c>
      <c r="BU1255">
        <v>7.7262300000000002</v>
      </c>
      <c r="BV1255">
        <v>0.03</v>
      </c>
      <c r="BW1255">
        <f>BV1255*SQRT(AK1255)</f>
        <v>7.3484692283495329E-2</v>
      </c>
      <c r="BX1255">
        <v>7.56</v>
      </c>
      <c r="BY1255">
        <v>7.5565574</v>
      </c>
      <c r="BZ1255">
        <v>0.01</v>
      </c>
      <c r="CA1255">
        <f>BZ1255*SQRT(AL1255)</f>
        <v>2.4494897427831779E-2</v>
      </c>
      <c r="CB1255">
        <v>146</v>
      </c>
      <c r="CC1255">
        <v>7</v>
      </c>
      <c r="CD1255">
        <v>-2.1999999999999999E-2</v>
      </c>
      <c r="CE1255">
        <v>1E-4</v>
      </c>
    </row>
    <row r="1256" spans="4:83" hidden="1" x14ac:dyDescent="0.2">
      <c r="D1256">
        <v>88</v>
      </c>
      <c r="G1256" t="s">
        <v>43</v>
      </c>
      <c r="H1256" t="s">
        <v>733</v>
      </c>
      <c r="J1256">
        <v>2018</v>
      </c>
      <c r="M1256" t="s">
        <v>174</v>
      </c>
      <c r="T1256" t="s">
        <v>46</v>
      </c>
      <c r="U1256" t="s">
        <v>422</v>
      </c>
      <c r="V1256" t="s">
        <v>423</v>
      </c>
      <c r="Z1256" t="s">
        <v>106</v>
      </c>
      <c r="AA1256" t="s">
        <v>107</v>
      </c>
      <c r="AB1256" t="s">
        <v>50</v>
      </c>
      <c r="AC1256" t="s">
        <v>51</v>
      </c>
      <c r="AD1256" t="s">
        <v>52</v>
      </c>
      <c r="AE1256" t="s">
        <v>53</v>
      </c>
      <c r="AF1256" t="s">
        <v>52</v>
      </c>
      <c r="AG1256" t="s">
        <v>52</v>
      </c>
      <c r="AH1256" t="s">
        <v>64</v>
      </c>
      <c r="AK1256">
        <v>6</v>
      </c>
      <c r="AL1256">
        <v>6</v>
      </c>
      <c r="AN1256">
        <v>469</v>
      </c>
      <c r="AO1256" t="s">
        <v>56</v>
      </c>
      <c r="AP1256" t="s">
        <v>56</v>
      </c>
      <c r="AQ1256" t="s">
        <v>118</v>
      </c>
      <c r="AR1256">
        <v>8.1199999999999992</v>
      </c>
      <c r="AS1256">
        <v>0.01</v>
      </c>
      <c r="AT1256" t="s">
        <v>56</v>
      </c>
      <c r="AU1256">
        <v>1982</v>
      </c>
      <c r="AV1256" t="s">
        <v>56</v>
      </c>
      <c r="AW1256" t="s">
        <v>56</v>
      </c>
      <c r="AX1256">
        <v>7.58</v>
      </c>
      <c r="AY1256">
        <v>0</v>
      </c>
      <c r="AZ1256" t="s">
        <v>56</v>
      </c>
      <c r="BB1256">
        <f>LOG(AU1256)</f>
        <v>3.2971036501492565</v>
      </c>
      <c r="BC1256">
        <v>21.3</v>
      </c>
      <c r="BD1256">
        <v>0.1</v>
      </c>
      <c r="BE1256" t="s">
        <v>56</v>
      </c>
      <c r="BF1256">
        <v>27.7</v>
      </c>
      <c r="BG1256">
        <v>0.2</v>
      </c>
      <c r="BH1256" t="s">
        <v>56</v>
      </c>
      <c r="BI1256">
        <v>1513</v>
      </c>
      <c r="BJ1256">
        <v>6.4</v>
      </c>
      <c r="BK1256" t="s">
        <v>56</v>
      </c>
      <c r="BL1256" t="s">
        <v>738</v>
      </c>
      <c r="BM1256" t="s">
        <v>454</v>
      </c>
      <c r="BN1256" t="s">
        <v>60</v>
      </c>
      <c r="BO1256" t="s">
        <v>56</v>
      </c>
      <c r="BP1256" t="s">
        <v>194</v>
      </c>
      <c r="BR1256" t="s">
        <v>63</v>
      </c>
      <c r="BT1256">
        <v>7.73</v>
      </c>
      <c r="BU1256">
        <v>7.7262300000000002</v>
      </c>
      <c r="BV1256">
        <v>0.03</v>
      </c>
      <c r="BW1256">
        <f>BV1256*SQRT(AK1256)</f>
        <v>7.3484692283495329E-2</v>
      </c>
      <c r="BX1256">
        <v>7.56</v>
      </c>
      <c r="BY1256">
        <v>7.5590164</v>
      </c>
      <c r="BZ1256">
        <v>0.05</v>
      </c>
      <c r="CA1256">
        <f>BZ1256*SQRT(AL1256)</f>
        <v>0.1224744871391589</v>
      </c>
      <c r="CB1256">
        <v>146</v>
      </c>
      <c r="CC1256">
        <v>7</v>
      </c>
      <c r="CD1256">
        <v>-2.1999999999999999E-2</v>
      </c>
      <c r="CE1256">
        <v>1E-4</v>
      </c>
    </row>
    <row r="1257" spans="4:83" hidden="1" x14ac:dyDescent="0.2">
      <c r="D1257">
        <v>88</v>
      </c>
      <c r="G1257" t="s">
        <v>43</v>
      </c>
      <c r="H1257" t="s">
        <v>733</v>
      </c>
      <c r="J1257">
        <v>2018</v>
      </c>
      <c r="M1257" t="s">
        <v>174</v>
      </c>
      <c r="T1257" t="s">
        <v>46</v>
      </c>
      <c r="U1257" t="s">
        <v>422</v>
      </c>
      <c r="V1257" t="s">
        <v>423</v>
      </c>
      <c r="Z1257" t="s">
        <v>106</v>
      </c>
      <c r="AA1257" t="s">
        <v>107</v>
      </c>
      <c r="AB1257" t="s">
        <v>50</v>
      </c>
      <c r="AC1257" t="s">
        <v>51</v>
      </c>
      <c r="AD1257" t="s">
        <v>52</v>
      </c>
      <c r="AE1257" t="s">
        <v>53</v>
      </c>
      <c r="AF1257" t="s">
        <v>52</v>
      </c>
      <c r="AG1257" t="s">
        <v>54</v>
      </c>
      <c r="AH1257" t="s">
        <v>55</v>
      </c>
      <c r="AK1257">
        <v>6</v>
      </c>
      <c r="AL1257">
        <v>6</v>
      </c>
      <c r="AN1257">
        <v>469</v>
      </c>
      <c r="AO1257" t="s">
        <v>56</v>
      </c>
      <c r="AP1257" t="s">
        <v>56</v>
      </c>
      <c r="AQ1257" t="s">
        <v>118</v>
      </c>
      <c r="AR1257">
        <v>8.1199999999999992</v>
      </c>
      <c r="AS1257">
        <v>0.01</v>
      </c>
      <c r="AT1257" t="s">
        <v>56</v>
      </c>
      <c r="AU1257">
        <v>1696</v>
      </c>
      <c r="AV1257" t="s">
        <v>56</v>
      </c>
      <c r="AW1257" t="s">
        <v>56</v>
      </c>
      <c r="AX1257">
        <v>7.62</v>
      </c>
      <c r="AY1257">
        <v>0.01</v>
      </c>
      <c r="AZ1257" t="s">
        <v>56</v>
      </c>
      <c r="BB1257">
        <f>LOG(AU1257)</f>
        <v>3.229425847920695</v>
      </c>
      <c r="BC1257">
        <v>21.3</v>
      </c>
      <c r="BD1257">
        <v>0.1</v>
      </c>
      <c r="BE1257" t="s">
        <v>56</v>
      </c>
      <c r="BF1257">
        <v>21.6</v>
      </c>
      <c r="BG1257">
        <v>0.1</v>
      </c>
      <c r="BH1257" t="s">
        <v>56</v>
      </c>
      <c r="BI1257">
        <v>1227</v>
      </c>
      <c r="BJ1257">
        <v>0.3</v>
      </c>
      <c r="BK1257" t="s">
        <v>56</v>
      </c>
      <c r="BL1257" t="s">
        <v>738</v>
      </c>
      <c r="BM1257" t="s">
        <v>454</v>
      </c>
      <c r="BN1257" t="s">
        <v>60</v>
      </c>
      <c r="BO1257" t="s">
        <v>56</v>
      </c>
      <c r="BP1257" t="s">
        <v>194</v>
      </c>
      <c r="BR1257" t="s">
        <v>63</v>
      </c>
      <c r="BT1257">
        <v>7.73</v>
      </c>
      <c r="BU1257">
        <v>7.7262300000000002</v>
      </c>
      <c r="BV1257">
        <v>0.03</v>
      </c>
      <c r="BW1257">
        <f>BV1257*SQRT(AK1257)</f>
        <v>7.3484692283495329E-2</v>
      </c>
      <c r="BX1257">
        <v>7.62</v>
      </c>
      <c r="BY1257">
        <v>7.6204917999999999</v>
      </c>
      <c r="BZ1257">
        <v>0.02</v>
      </c>
      <c r="CA1257">
        <f>BZ1257*SQRT(AL1257)</f>
        <v>4.8989794855663557E-2</v>
      </c>
      <c r="CB1257">
        <v>146</v>
      </c>
      <c r="CC1257">
        <v>7</v>
      </c>
      <c r="CD1257">
        <v>-1.4E-2</v>
      </c>
      <c r="CE1257">
        <v>1E-4</v>
      </c>
    </row>
    <row r="1258" spans="4:83" hidden="1" x14ac:dyDescent="0.2">
      <c r="D1258">
        <v>88</v>
      </c>
      <c r="G1258" t="s">
        <v>43</v>
      </c>
      <c r="H1258" t="s">
        <v>733</v>
      </c>
      <c r="J1258">
        <v>2018</v>
      </c>
      <c r="M1258" t="s">
        <v>174</v>
      </c>
      <c r="T1258" t="s">
        <v>46</v>
      </c>
      <c r="U1258" t="s">
        <v>422</v>
      </c>
      <c r="V1258" t="s">
        <v>423</v>
      </c>
      <c r="Z1258" t="s">
        <v>106</v>
      </c>
      <c r="AA1258" t="s">
        <v>107</v>
      </c>
      <c r="AB1258" t="s">
        <v>50</v>
      </c>
      <c r="AC1258" t="s">
        <v>51</v>
      </c>
      <c r="AD1258" t="s">
        <v>52</v>
      </c>
      <c r="AE1258" t="s">
        <v>53</v>
      </c>
      <c r="AF1258" t="s">
        <v>54</v>
      </c>
      <c r="AG1258" t="s">
        <v>52</v>
      </c>
      <c r="AH1258" t="s">
        <v>65</v>
      </c>
      <c r="AK1258">
        <v>6</v>
      </c>
      <c r="AL1258">
        <v>6</v>
      </c>
      <c r="AN1258">
        <v>469</v>
      </c>
      <c r="AO1258" t="s">
        <v>56</v>
      </c>
      <c r="AP1258" t="s">
        <v>56</v>
      </c>
      <c r="AQ1258" t="s">
        <v>118</v>
      </c>
      <c r="AR1258">
        <v>8.1199999999999992</v>
      </c>
      <c r="AS1258">
        <v>0.01</v>
      </c>
      <c r="AT1258" t="s">
        <v>56</v>
      </c>
      <c r="AU1258">
        <v>587</v>
      </c>
      <c r="AV1258" t="s">
        <v>56</v>
      </c>
      <c r="AW1258" t="s">
        <v>56</v>
      </c>
      <c r="AX1258">
        <v>8.0500000000000007</v>
      </c>
      <c r="AY1258">
        <v>0.01</v>
      </c>
      <c r="AZ1258" t="s">
        <v>56</v>
      </c>
      <c r="BB1258">
        <f>LOG(AU1258)</f>
        <v>2.7686381012476144</v>
      </c>
      <c r="BC1258">
        <v>21.3</v>
      </c>
      <c r="BD1258">
        <v>0.1</v>
      </c>
      <c r="BE1258" t="s">
        <v>56</v>
      </c>
      <c r="BF1258">
        <v>27.6</v>
      </c>
      <c r="BG1258">
        <v>0.2</v>
      </c>
      <c r="BH1258" t="s">
        <v>56</v>
      </c>
      <c r="BI1258">
        <v>118</v>
      </c>
      <c r="BJ1258">
        <v>6.2</v>
      </c>
      <c r="BK1258" t="s">
        <v>56</v>
      </c>
      <c r="BL1258" t="s">
        <v>738</v>
      </c>
      <c r="BM1258" t="s">
        <v>454</v>
      </c>
      <c r="BN1258" t="s">
        <v>60</v>
      </c>
      <c r="BO1258" t="s">
        <v>56</v>
      </c>
      <c r="BP1258" t="s">
        <v>194</v>
      </c>
      <c r="BR1258" t="s">
        <v>63</v>
      </c>
      <c r="BT1258">
        <v>7.73</v>
      </c>
      <c r="BU1258">
        <v>7.7262300000000002</v>
      </c>
      <c r="BV1258">
        <v>0.03</v>
      </c>
      <c r="BW1258">
        <f>BV1258*SQRT(AK1258)</f>
        <v>7.3484692283495329E-2</v>
      </c>
      <c r="BX1258">
        <v>7.63</v>
      </c>
      <c r="BY1258">
        <v>7.6278689000000002</v>
      </c>
      <c r="BZ1258">
        <v>0.04</v>
      </c>
      <c r="CA1258">
        <f>BZ1258*SQRT(AL1258)</f>
        <v>9.7979589711327114E-2</v>
      </c>
      <c r="CB1258">
        <v>146</v>
      </c>
      <c r="CC1258">
        <v>7</v>
      </c>
      <c r="CD1258">
        <v>-1.2999999999999999E-2</v>
      </c>
      <c r="CE1258">
        <v>1E-4</v>
      </c>
    </row>
    <row r="1259" spans="4:83" hidden="1" x14ac:dyDescent="0.2">
      <c r="D1259">
        <v>88</v>
      </c>
      <c r="G1259" t="s">
        <v>43</v>
      </c>
      <c r="H1259" t="s">
        <v>733</v>
      </c>
      <c r="J1259">
        <v>2018</v>
      </c>
      <c r="M1259" t="s">
        <v>174</v>
      </c>
      <c r="T1259" t="s">
        <v>46</v>
      </c>
      <c r="U1259" t="s">
        <v>422</v>
      </c>
      <c r="V1259" t="s">
        <v>423</v>
      </c>
      <c r="Z1259" t="s">
        <v>106</v>
      </c>
      <c r="AA1259" t="s">
        <v>107</v>
      </c>
      <c r="AB1259" t="s">
        <v>50</v>
      </c>
      <c r="AC1259" t="s">
        <v>51</v>
      </c>
      <c r="AD1259" t="s">
        <v>52</v>
      </c>
      <c r="AE1259" t="s">
        <v>53</v>
      </c>
      <c r="AF1259" t="s">
        <v>54</v>
      </c>
      <c r="AG1259" t="s">
        <v>52</v>
      </c>
      <c r="AH1259" t="s">
        <v>65</v>
      </c>
      <c r="AK1259">
        <v>6</v>
      </c>
      <c r="AL1259">
        <v>6</v>
      </c>
      <c r="AN1259">
        <v>469</v>
      </c>
      <c r="AO1259" t="s">
        <v>56</v>
      </c>
      <c r="AP1259" t="s">
        <v>56</v>
      </c>
      <c r="AQ1259" t="s">
        <v>118</v>
      </c>
      <c r="AR1259">
        <v>8.1199999999999992</v>
      </c>
      <c r="AS1259">
        <v>0.01</v>
      </c>
      <c r="AT1259" t="s">
        <v>56</v>
      </c>
      <c r="AU1259">
        <v>535</v>
      </c>
      <c r="AV1259" t="s">
        <v>56</v>
      </c>
      <c r="AW1259" t="s">
        <v>56</v>
      </c>
      <c r="AX1259">
        <v>8.08</v>
      </c>
      <c r="AY1259">
        <v>0.01</v>
      </c>
      <c r="AZ1259" t="s">
        <v>56</v>
      </c>
      <c r="BB1259">
        <f>LOG(AU1259)</f>
        <v>2.7283537820212285</v>
      </c>
      <c r="BC1259">
        <v>21.3</v>
      </c>
      <c r="BD1259">
        <v>0.1</v>
      </c>
      <c r="BE1259" t="s">
        <v>56</v>
      </c>
      <c r="BF1259">
        <v>24.6</v>
      </c>
      <c r="BG1259">
        <v>0.1</v>
      </c>
      <c r="BH1259" t="s">
        <v>56</v>
      </c>
      <c r="BI1259">
        <v>67</v>
      </c>
      <c r="BJ1259">
        <v>3.3</v>
      </c>
      <c r="BK1259" t="s">
        <v>56</v>
      </c>
      <c r="BL1259" t="s">
        <v>738</v>
      </c>
      <c r="BM1259" t="s">
        <v>454</v>
      </c>
      <c r="BN1259" t="s">
        <v>60</v>
      </c>
      <c r="BO1259" t="s">
        <v>56</v>
      </c>
      <c r="BP1259" t="s">
        <v>194</v>
      </c>
      <c r="BR1259" t="s">
        <v>63</v>
      </c>
      <c r="BT1259">
        <v>7.73</v>
      </c>
      <c r="BU1259">
        <v>7.7262300000000002</v>
      </c>
      <c r="BV1259">
        <v>0.03</v>
      </c>
      <c r="BW1259">
        <f>BV1259*SQRT(AK1259)</f>
        <v>7.3484692283495329E-2</v>
      </c>
      <c r="BX1259">
        <v>7.64</v>
      </c>
      <c r="BY1259">
        <v>7.6426230000000004</v>
      </c>
      <c r="BZ1259">
        <v>0.04</v>
      </c>
      <c r="CA1259">
        <f>BZ1259*SQRT(AL1259)</f>
        <v>9.7979589711327114E-2</v>
      </c>
      <c r="CB1259">
        <v>146</v>
      </c>
      <c r="CC1259">
        <v>7</v>
      </c>
      <c r="CD1259">
        <v>-1.0999999999999999E-2</v>
      </c>
      <c r="CE1259">
        <v>1E-4</v>
      </c>
    </row>
    <row r="1260" spans="4:83" hidden="1" x14ac:dyDescent="0.2">
      <c r="D1260">
        <v>88</v>
      </c>
      <c r="G1260" t="s">
        <v>43</v>
      </c>
      <c r="H1260" t="s">
        <v>733</v>
      </c>
      <c r="J1260">
        <v>2018</v>
      </c>
      <c r="M1260" t="s">
        <v>174</v>
      </c>
      <c r="T1260" t="s">
        <v>46</v>
      </c>
      <c r="U1260" t="s">
        <v>422</v>
      </c>
      <c r="V1260" t="s">
        <v>423</v>
      </c>
      <c r="Z1260" t="s">
        <v>106</v>
      </c>
      <c r="AA1260" t="s">
        <v>107</v>
      </c>
      <c r="AB1260" t="s">
        <v>50</v>
      </c>
      <c r="AC1260" t="s">
        <v>51</v>
      </c>
      <c r="AD1260" t="s">
        <v>52</v>
      </c>
      <c r="AE1260" t="s">
        <v>53</v>
      </c>
      <c r="AF1260" t="s">
        <v>52</v>
      </c>
      <c r="AG1260" t="s">
        <v>52</v>
      </c>
      <c r="AH1260" t="s">
        <v>64</v>
      </c>
      <c r="AK1260">
        <v>6</v>
      </c>
      <c r="AL1260">
        <v>6</v>
      </c>
      <c r="AN1260">
        <v>469</v>
      </c>
      <c r="AO1260" t="s">
        <v>56</v>
      </c>
      <c r="AP1260" t="s">
        <v>56</v>
      </c>
      <c r="AQ1260" t="s">
        <v>118</v>
      </c>
      <c r="AR1260">
        <v>8.1199999999999992</v>
      </c>
      <c r="AS1260">
        <v>0.01</v>
      </c>
      <c r="AT1260" t="s">
        <v>56</v>
      </c>
      <c r="AU1260">
        <v>1196</v>
      </c>
      <c r="AV1260" t="s">
        <v>56</v>
      </c>
      <c r="AW1260" t="s">
        <v>56</v>
      </c>
      <c r="AX1260">
        <v>7.77</v>
      </c>
      <c r="AY1260">
        <v>0</v>
      </c>
      <c r="AZ1260" t="s">
        <v>56</v>
      </c>
      <c r="BB1260">
        <f>LOG(AU1260)</f>
        <v>3.0777311796523921</v>
      </c>
      <c r="BC1260">
        <v>21.3</v>
      </c>
      <c r="BD1260">
        <v>0.1</v>
      </c>
      <c r="BE1260" t="s">
        <v>56</v>
      </c>
      <c r="BF1260">
        <v>25</v>
      </c>
      <c r="BG1260">
        <v>0.1</v>
      </c>
      <c r="BH1260" t="s">
        <v>56</v>
      </c>
      <c r="BI1260">
        <v>727</v>
      </c>
      <c r="BJ1260">
        <v>3.7</v>
      </c>
      <c r="BK1260" t="s">
        <v>56</v>
      </c>
      <c r="BL1260" t="s">
        <v>738</v>
      </c>
      <c r="BM1260" t="s">
        <v>454</v>
      </c>
      <c r="BN1260" t="s">
        <v>60</v>
      </c>
      <c r="BO1260" t="s">
        <v>56</v>
      </c>
      <c r="BP1260" t="s">
        <v>194</v>
      </c>
      <c r="BR1260" t="s">
        <v>63</v>
      </c>
      <c r="BT1260">
        <v>7.73</v>
      </c>
      <c r="BU1260">
        <v>7.7262300000000002</v>
      </c>
      <c r="BV1260">
        <v>0.03</v>
      </c>
      <c r="BW1260">
        <f>BV1260*SQRT(AK1260)</f>
        <v>7.3484692283495329E-2</v>
      </c>
      <c r="BX1260">
        <v>7.67</v>
      </c>
      <c r="BY1260">
        <v>7.6745901999999999</v>
      </c>
      <c r="BZ1260">
        <v>0.03</v>
      </c>
      <c r="CA1260">
        <f>BZ1260*SQRT(AL1260)</f>
        <v>7.3484692283495329E-2</v>
      </c>
      <c r="CB1260">
        <v>146</v>
      </c>
      <c r="CC1260">
        <v>7</v>
      </c>
      <c r="CD1260">
        <v>-7.0000000000000001E-3</v>
      </c>
      <c r="CE1260">
        <v>1E-4</v>
      </c>
    </row>
    <row r="1261" spans="4:83" hidden="1" x14ac:dyDescent="0.2">
      <c r="D1261">
        <v>88</v>
      </c>
      <c r="G1261" t="s">
        <v>43</v>
      </c>
      <c r="H1261" t="s">
        <v>733</v>
      </c>
      <c r="J1261">
        <v>2018</v>
      </c>
      <c r="M1261" t="s">
        <v>174</v>
      </c>
      <c r="T1261" t="s">
        <v>46</v>
      </c>
      <c r="U1261" t="s">
        <v>422</v>
      </c>
      <c r="V1261" t="s">
        <v>423</v>
      </c>
      <c r="Z1261" t="s">
        <v>106</v>
      </c>
      <c r="AA1261" t="s">
        <v>107</v>
      </c>
      <c r="AB1261" t="s">
        <v>50</v>
      </c>
      <c r="AC1261" t="s">
        <v>51</v>
      </c>
      <c r="AD1261" t="s">
        <v>52</v>
      </c>
      <c r="AE1261" t="s">
        <v>53</v>
      </c>
      <c r="AF1261" t="s">
        <v>52</v>
      </c>
      <c r="AG1261" t="s">
        <v>54</v>
      </c>
      <c r="AH1261" t="s">
        <v>55</v>
      </c>
      <c r="AK1261">
        <v>6</v>
      </c>
      <c r="AL1261">
        <v>6</v>
      </c>
      <c r="AN1261">
        <v>469</v>
      </c>
      <c r="AO1261" t="s">
        <v>56</v>
      </c>
      <c r="AP1261" t="s">
        <v>56</v>
      </c>
      <c r="AQ1261" t="s">
        <v>118</v>
      </c>
      <c r="AR1261">
        <v>8.1199999999999992</v>
      </c>
      <c r="AS1261">
        <v>0.01</v>
      </c>
      <c r="AT1261" t="s">
        <v>56</v>
      </c>
      <c r="AU1261">
        <v>1049</v>
      </c>
      <c r="AV1261" t="s">
        <v>56</v>
      </c>
      <c r="AW1261" t="s">
        <v>56</v>
      </c>
      <c r="AX1261">
        <v>7.81</v>
      </c>
      <c r="AY1261">
        <v>0.01</v>
      </c>
      <c r="AZ1261" t="s">
        <v>56</v>
      </c>
      <c r="BB1261">
        <f>LOG(AU1261)</f>
        <v>3.020775488193558</v>
      </c>
      <c r="BC1261">
        <v>21.3</v>
      </c>
      <c r="BD1261">
        <v>0.1</v>
      </c>
      <c r="BE1261" t="s">
        <v>56</v>
      </c>
      <c r="BF1261">
        <v>21.5</v>
      </c>
      <c r="BG1261">
        <v>0.1</v>
      </c>
      <c r="BH1261" t="s">
        <v>56</v>
      </c>
      <c r="BI1261">
        <v>581</v>
      </c>
      <c r="BJ1261">
        <v>0.1</v>
      </c>
      <c r="BK1261" t="s">
        <v>56</v>
      </c>
      <c r="BL1261" t="s">
        <v>738</v>
      </c>
      <c r="BM1261" t="s">
        <v>454</v>
      </c>
      <c r="BN1261" t="s">
        <v>60</v>
      </c>
      <c r="BO1261" t="s">
        <v>56</v>
      </c>
      <c r="BP1261" t="s">
        <v>194</v>
      </c>
      <c r="BR1261" t="s">
        <v>63</v>
      </c>
      <c r="BT1261">
        <v>7.73</v>
      </c>
      <c r="BU1261">
        <v>7.7262300000000002</v>
      </c>
      <c r="BV1261">
        <v>0.03</v>
      </c>
      <c r="BW1261">
        <f>BV1261*SQRT(AK1261)</f>
        <v>7.3484692283495329E-2</v>
      </c>
      <c r="BX1261">
        <v>7.69</v>
      </c>
      <c r="BY1261">
        <v>7.6942623000000001</v>
      </c>
      <c r="BZ1261">
        <v>0.04</v>
      </c>
      <c r="CA1261">
        <f>BZ1261*SQRT(AL1261)</f>
        <v>9.7979589711327114E-2</v>
      </c>
      <c r="CB1261">
        <v>146</v>
      </c>
      <c r="CC1261">
        <v>7</v>
      </c>
      <c r="CD1261">
        <v>-4.0000000000000001E-3</v>
      </c>
      <c r="CE1261">
        <v>1E-4</v>
      </c>
    </row>
    <row r="1262" spans="4:83" hidden="1" x14ac:dyDescent="0.2">
      <c r="D1262">
        <v>88</v>
      </c>
      <c r="G1262" t="s">
        <v>43</v>
      </c>
      <c r="H1262" t="s">
        <v>733</v>
      </c>
      <c r="J1262">
        <v>2018</v>
      </c>
      <c r="M1262" t="s">
        <v>174</v>
      </c>
      <c r="T1262" t="s">
        <v>46</v>
      </c>
      <c r="U1262" t="s">
        <v>422</v>
      </c>
      <c r="V1262" t="s">
        <v>423</v>
      </c>
      <c r="Z1262" t="s">
        <v>106</v>
      </c>
      <c r="AA1262" t="s">
        <v>107</v>
      </c>
      <c r="AB1262" t="s">
        <v>50</v>
      </c>
      <c r="AC1262" t="s">
        <v>51</v>
      </c>
      <c r="AD1262" t="s">
        <v>52</v>
      </c>
      <c r="AE1262" t="s">
        <v>53</v>
      </c>
      <c r="AF1262" t="s">
        <v>52</v>
      </c>
      <c r="AG1262" t="s">
        <v>52</v>
      </c>
      <c r="AH1262" t="s">
        <v>64</v>
      </c>
      <c r="AK1262">
        <v>6</v>
      </c>
      <c r="AL1262">
        <v>6</v>
      </c>
      <c r="AN1262">
        <v>469</v>
      </c>
      <c r="AO1262" t="s">
        <v>56</v>
      </c>
      <c r="AP1262" t="s">
        <v>56</v>
      </c>
      <c r="AQ1262" t="s">
        <v>118</v>
      </c>
      <c r="AR1262">
        <v>8.1199999999999992</v>
      </c>
      <c r="AS1262">
        <v>0.01</v>
      </c>
      <c r="AT1262" t="s">
        <v>56</v>
      </c>
      <c r="AU1262">
        <v>1982</v>
      </c>
      <c r="AV1262" t="s">
        <v>56</v>
      </c>
      <c r="AW1262" t="s">
        <v>56</v>
      </c>
      <c r="AX1262">
        <v>7.58</v>
      </c>
      <c r="AY1262">
        <v>0</v>
      </c>
      <c r="AZ1262" t="s">
        <v>56</v>
      </c>
      <c r="BB1262">
        <f>LOG(AU1262)</f>
        <v>3.2971036501492565</v>
      </c>
      <c r="BC1262">
        <v>21.3</v>
      </c>
      <c r="BD1262">
        <v>0.1</v>
      </c>
      <c r="BE1262" t="s">
        <v>56</v>
      </c>
      <c r="BF1262">
        <v>27.7</v>
      </c>
      <c r="BG1262">
        <v>0.2</v>
      </c>
      <c r="BH1262" t="s">
        <v>56</v>
      </c>
      <c r="BI1262">
        <v>1513</v>
      </c>
      <c r="BJ1262">
        <v>6.4</v>
      </c>
      <c r="BK1262" t="s">
        <v>56</v>
      </c>
      <c r="BL1262" t="s">
        <v>736</v>
      </c>
      <c r="BM1262" t="s">
        <v>253</v>
      </c>
      <c r="BN1262" t="s">
        <v>81</v>
      </c>
      <c r="BO1262" t="s">
        <v>737</v>
      </c>
      <c r="BP1262" t="s">
        <v>92</v>
      </c>
      <c r="BR1262" t="s">
        <v>63</v>
      </c>
      <c r="BT1262">
        <v>45</v>
      </c>
      <c r="BU1262">
        <v>45</v>
      </c>
      <c r="BV1262">
        <v>2.61</v>
      </c>
      <c r="BW1262">
        <f>BV1262*SQRT(AK1262)</f>
        <v>6.3931682286640941</v>
      </c>
      <c r="BX1262">
        <v>51.52</v>
      </c>
      <c r="BY1262">
        <v>51.521739099999998</v>
      </c>
      <c r="BZ1262">
        <v>3.91</v>
      </c>
      <c r="CA1262">
        <f>BZ1262*SQRT(AL1262)</f>
        <v>9.5775048942822263</v>
      </c>
      <c r="CB1262">
        <v>146</v>
      </c>
      <c r="CC1262">
        <v>7</v>
      </c>
      <c r="CD1262">
        <v>0.13500000000000001</v>
      </c>
      <c r="CE1262">
        <v>9.1000000000000004E-3</v>
      </c>
    </row>
    <row r="1263" spans="4:83" hidden="1" x14ac:dyDescent="0.2">
      <c r="D1263">
        <v>88</v>
      </c>
      <c r="G1263" t="s">
        <v>43</v>
      </c>
      <c r="H1263" t="s">
        <v>733</v>
      </c>
      <c r="J1263">
        <v>2018</v>
      </c>
      <c r="M1263" t="s">
        <v>174</v>
      </c>
      <c r="T1263" t="s">
        <v>46</v>
      </c>
      <c r="U1263" t="s">
        <v>422</v>
      </c>
      <c r="V1263" t="s">
        <v>423</v>
      </c>
      <c r="Z1263" t="s">
        <v>106</v>
      </c>
      <c r="AA1263" t="s">
        <v>107</v>
      </c>
      <c r="AB1263" t="s">
        <v>50</v>
      </c>
      <c r="AC1263" t="s">
        <v>51</v>
      </c>
      <c r="AD1263" t="s">
        <v>52</v>
      </c>
      <c r="AE1263" t="s">
        <v>53</v>
      </c>
      <c r="AF1263" t="s">
        <v>52</v>
      </c>
      <c r="AG1263" t="s">
        <v>52</v>
      </c>
      <c r="AH1263" t="s">
        <v>64</v>
      </c>
      <c r="AK1263">
        <v>6</v>
      </c>
      <c r="AL1263">
        <v>6</v>
      </c>
      <c r="AN1263">
        <v>469</v>
      </c>
      <c r="AO1263" t="s">
        <v>56</v>
      </c>
      <c r="AP1263" t="s">
        <v>56</v>
      </c>
      <c r="AQ1263" t="s">
        <v>118</v>
      </c>
      <c r="AR1263">
        <v>8.1199999999999992</v>
      </c>
      <c r="AS1263">
        <v>0.01</v>
      </c>
      <c r="AT1263" t="s">
        <v>56</v>
      </c>
      <c r="AU1263">
        <v>1919</v>
      </c>
      <c r="AV1263" t="s">
        <v>56</v>
      </c>
      <c r="AW1263" t="s">
        <v>56</v>
      </c>
      <c r="AX1263">
        <v>7.58</v>
      </c>
      <c r="AY1263">
        <v>0.01</v>
      </c>
      <c r="AZ1263" t="s">
        <v>56</v>
      </c>
      <c r="BB1263">
        <f>LOG(AU1263)</f>
        <v>3.2830749747354715</v>
      </c>
      <c r="BC1263">
        <v>21.3</v>
      </c>
      <c r="BD1263">
        <v>0.1</v>
      </c>
      <c r="BE1263" t="s">
        <v>56</v>
      </c>
      <c r="BF1263">
        <v>24.9</v>
      </c>
      <c r="BG1263">
        <v>0.2</v>
      </c>
      <c r="BH1263" t="s">
        <v>56</v>
      </c>
      <c r="BI1263">
        <v>1451</v>
      </c>
      <c r="BJ1263">
        <v>3.5</v>
      </c>
      <c r="BK1263" t="s">
        <v>56</v>
      </c>
      <c r="BL1263" t="s">
        <v>736</v>
      </c>
      <c r="BM1263" t="s">
        <v>253</v>
      </c>
      <c r="BN1263" t="s">
        <v>81</v>
      </c>
      <c r="BO1263" t="s">
        <v>737</v>
      </c>
      <c r="BP1263" t="s">
        <v>92</v>
      </c>
      <c r="BR1263" t="s">
        <v>63</v>
      </c>
      <c r="BT1263">
        <v>45</v>
      </c>
      <c r="BU1263">
        <v>45</v>
      </c>
      <c r="BV1263">
        <v>2.61</v>
      </c>
      <c r="BW1263">
        <f>BV1263*SQRT(AK1263)</f>
        <v>6.3931682286640941</v>
      </c>
      <c r="BX1263">
        <v>67.83</v>
      </c>
      <c r="BY1263">
        <v>67.826087000000001</v>
      </c>
      <c r="BZ1263">
        <v>7.17</v>
      </c>
      <c r="CA1263">
        <f>BZ1263*SQRT(AL1263)</f>
        <v>17.562841455755386</v>
      </c>
      <c r="CB1263">
        <v>146</v>
      </c>
      <c r="CC1263">
        <v>7</v>
      </c>
      <c r="CD1263">
        <v>0.41</v>
      </c>
      <c r="CE1263">
        <v>1.4500000000000001E-2</v>
      </c>
    </row>
    <row r="1264" spans="4:83" hidden="1" x14ac:dyDescent="0.2">
      <c r="D1264">
        <v>88</v>
      </c>
      <c r="G1264" t="s">
        <v>43</v>
      </c>
      <c r="H1264" t="s">
        <v>733</v>
      </c>
      <c r="J1264">
        <v>2018</v>
      </c>
      <c r="M1264" t="s">
        <v>174</v>
      </c>
      <c r="T1264" t="s">
        <v>46</v>
      </c>
      <c r="U1264" t="s">
        <v>422</v>
      </c>
      <c r="V1264" t="s">
        <v>423</v>
      </c>
      <c r="Z1264" t="s">
        <v>106</v>
      </c>
      <c r="AA1264" t="s">
        <v>107</v>
      </c>
      <c r="AB1264" t="s">
        <v>50</v>
      </c>
      <c r="AC1264" t="s">
        <v>51</v>
      </c>
      <c r="AD1264" t="s">
        <v>52</v>
      </c>
      <c r="AE1264" t="s">
        <v>53</v>
      </c>
      <c r="AF1264" t="s">
        <v>52</v>
      </c>
      <c r="AG1264" t="s">
        <v>52</v>
      </c>
      <c r="AH1264" t="s">
        <v>64</v>
      </c>
      <c r="AK1264">
        <v>6</v>
      </c>
      <c r="AL1264">
        <v>6</v>
      </c>
      <c r="AN1264">
        <v>469</v>
      </c>
      <c r="AO1264" t="s">
        <v>56</v>
      </c>
      <c r="AP1264" t="s">
        <v>56</v>
      </c>
      <c r="AQ1264" t="s">
        <v>118</v>
      </c>
      <c r="AR1264">
        <v>8.1199999999999992</v>
      </c>
      <c r="AS1264">
        <v>0.01</v>
      </c>
      <c r="AT1264" t="s">
        <v>56</v>
      </c>
      <c r="AU1264">
        <v>1196</v>
      </c>
      <c r="AV1264" t="s">
        <v>56</v>
      </c>
      <c r="AW1264" t="s">
        <v>56</v>
      </c>
      <c r="AX1264">
        <v>7.77</v>
      </c>
      <c r="AY1264">
        <v>0</v>
      </c>
      <c r="AZ1264" t="s">
        <v>56</v>
      </c>
      <c r="BB1264">
        <f>LOG(AU1264)</f>
        <v>3.0777311796523921</v>
      </c>
      <c r="BC1264">
        <v>21.3</v>
      </c>
      <c r="BD1264">
        <v>0.1</v>
      </c>
      <c r="BE1264" t="s">
        <v>56</v>
      </c>
      <c r="BF1264">
        <v>25</v>
      </c>
      <c r="BG1264">
        <v>0.1</v>
      </c>
      <c r="BH1264" t="s">
        <v>56</v>
      </c>
      <c r="BI1264">
        <v>727</v>
      </c>
      <c r="BJ1264">
        <v>3.7</v>
      </c>
      <c r="BK1264" t="s">
        <v>56</v>
      </c>
      <c r="BL1264" t="s">
        <v>736</v>
      </c>
      <c r="BM1264" t="s">
        <v>253</v>
      </c>
      <c r="BN1264" t="s">
        <v>81</v>
      </c>
      <c r="BO1264" t="s">
        <v>737</v>
      </c>
      <c r="BP1264" t="s">
        <v>92</v>
      </c>
      <c r="BR1264" t="s">
        <v>63</v>
      </c>
      <c r="BT1264">
        <v>45</v>
      </c>
      <c r="BU1264">
        <v>45</v>
      </c>
      <c r="BV1264">
        <v>2.61</v>
      </c>
      <c r="BW1264">
        <f>BV1264*SQRT(AK1264)</f>
        <v>6.3931682286640941</v>
      </c>
      <c r="BX1264">
        <v>74.349999999999994</v>
      </c>
      <c r="BY1264">
        <v>74.347826100000006</v>
      </c>
      <c r="BZ1264">
        <v>5.22</v>
      </c>
      <c r="CA1264">
        <f>BZ1264*SQRT(AL1264)</f>
        <v>12.786336457328188</v>
      </c>
      <c r="CB1264">
        <v>146</v>
      </c>
      <c r="CC1264">
        <v>7</v>
      </c>
      <c r="CD1264">
        <v>0.502</v>
      </c>
      <c r="CE1264">
        <v>8.3000000000000001E-3</v>
      </c>
    </row>
    <row r="1265" spans="1:83" hidden="1" x14ac:dyDescent="0.2">
      <c r="D1265">
        <v>88</v>
      </c>
      <c r="G1265" t="s">
        <v>43</v>
      </c>
      <c r="H1265" t="s">
        <v>733</v>
      </c>
      <c r="J1265">
        <v>2018</v>
      </c>
      <c r="M1265" t="s">
        <v>174</v>
      </c>
      <c r="T1265" t="s">
        <v>46</v>
      </c>
      <c r="U1265" t="s">
        <v>422</v>
      </c>
      <c r="V1265" t="s">
        <v>423</v>
      </c>
      <c r="Z1265" t="s">
        <v>106</v>
      </c>
      <c r="AA1265" t="s">
        <v>107</v>
      </c>
      <c r="AB1265" t="s">
        <v>50</v>
      </c>
      <c r="AC1265" t="s">
        <v>51</v>
      </c>
      <c r="AD1265" t="s">
        <v>52</v>
      </c>
      <c r="AE1265" t="s">
        <v>53</v>
      </c>
      <c r="AF1265" t="s">
        <v>54</v>
      </c>
      <c r="AG1265" t="s">
        <v>52</v>
      </c>
      <c r="AH1265" t="s">
        <v>65</v>
      </c>
      <c r="AK1265">
        <v>6</v>
      </c>
      <c r="AL1265">
        <v>6</v>
      </c>
      <c r="AN1265">
        <v>469</v>
      </c>
      <c r="AO1265" t="s">
        <v>56</v>
      </c>
      <c r="AP1265" t="s">
        <v>56</v>
      </c>
      <c r="AQ1265" t="s">
        <v>118</v>
      </c>
      <c r="AR1265">
        <v>8.1199999999999992</v>
      </c>
      <c r="AS1265">
        <v>0.01</v>
      </c>
      <c r="AT1265" t="s">
        <v>56</v>
      </c>
      <c r="AU1265">
        <v>587</v>
      </c>
      <c r="AV1265" t="s">
        <v>56</v>
      </c>
      <c r="AW1265" t="s">
        <v>56</v>
      </c>
      <c r="AX1265">
        <v>8.0500000000000007</v>
      </c>
      <c r="AY1265">
        <v>0.01</v>
      </c>
      <c r="AZ1265" t="s">
        <v>56</v>
      </c>
      <c r="BB1265">
        <f>LOG(AU1265)</f>
        <v>2.7686381012476144</v>
      </c>
      <c r="BC1265">
        <v>21.3</v>
      </c>
      <c r="BD1265">
        <v>0.1</v>
      </c>
      <c r="BE1265" t="s">
        <v>56</v>
      </c>
      <c r="BF1265">
        <v>27.6</v>
      </c>
      <c r="BG1265">
        <v>0.2</v>
      </c>
      <c r="BH1265" t="s">
        <v>56</v>
      </c>
      <c r="BI1265">
        <v>118</v>
      </c>
      <c r="BJ1265">
        <v>6.2</v>
      </c>
      <c r="BK1265" t="s">
        <v>56</v>
      </c>
      <c r="BL1265" t="s">
        <v>736</v>
      </c>
      <c r="BM1265" t="s">
        <v>253</v>
      </c>
      <c r="BN1265" t="s">
        <v>81</v>
      </c>
      <c r="BO1265" t="s">
        <v>737</v>
      </c>
      <c r="BP1265" t="s">
        <v>92</v>
      </c>
      <c r="BR1265" t="s">
        <v>63</v>
      </c>
      <c r="BT1265">
        <v>45</v>
      </c>
      <c r="BU1265">
        <v>45</v>
      </c>
      <c r="BV1265">
        <v>2.61</v>
      </c>
      <c r="BW1265">
        <f>BV1265*SQRT(AK1265)</f>
        <v>6.3931682286640941</v>
      </c>
      <c r="BX1265">
        <v>77.61</v>
      </c>
      <c r="BY1265">
        <v>77.608695699999998</v>
      </c>
      <c r="BZ1265">
        <v>9.1300000000000008</v>
      </c>
      <c r="CA1265">
        <f>BZ1265*SQRT(AL1265)</f>
        <v>22.363841351610414</v>
      </c>
      <c r="CB1265">
        <v>146</v>
      </c>
      <c r="CC1265">
        <v>7</v>
      </c>
      <c r="CD1265">
        <v>0.54500000000000004</v>
      </c>
      <c r="CE1265">
        <v>1.72E-2</v>
      </c>
    </row>
    <row r="1266" spans="1:83" hidden="1" x14ac:dyDescent="0.2">
      <c r="D1266">
        <v>88</v>
      </c>
      <c r="G1266" t="s">
        <v>43</v>
      </c>
      <c r="H1266" t="s">
        <v>733</v>
      </c>
      <c r="J1266">
        <v>2018</v>
      </c>
      <c r="M1266" t="s">
        <v>174</v>
      </c>
      <c r="T1266" t="s">
        <v>46</v>
      </c>
      <c r="U1266" t="s">
        <v>422</v>
      </c>
      <c r="V1266" t="s">
        <v>423</v>
      </c>
      <c r="Z1266" t="s">
        <v>106</v>
      </c>
      <c r="AA1266" t="s">
        <v>107</v>
      </c>
      <c r="AB1266" t="s">
        <v>50</v>
      </c>
      <c r="AC1266" t="s">
        <v>51</v>
      </c>
      <c r="AD1266" t="s">
        <v>52</v>
      </c>
      <c r="AE1266" t="s">
        <v>53</v>
      </c>
      <c r="AF1266" t="s">
        <v>52</v>
      </c>
      <c r="AG1266" t="s">
        <v>54</v>
      </c>
      <c r="AH1266" t="s">
        <v>55</v>
      </c>
      <c r="AK1266">
        <v>6</v>
      </c>
      <c r="AL1266">
        <v>6</v>
      </c>
      <c r="AN1266">
        <v>469</v>
      </c>
      <c r="AO1266" t="s">
        <v>56</v>
      </c>
      <c r="AP1266" t="s">
        <v>56</v>
      </c>
      <c r="AQ1266" t="s">
        <v>118</v>
      </c>
      <c r="AR1266">
        <v>8.1199999999999992</v>
      </c>
      <c r="AS1266">
        <v>0.01</v>
      </c>
      <c r="AT1266" t="s">
        <v>56</v>
      </c>
      <c r="AU1266">
        <v>1049</v>
      </c>
      <c r="AV1266" t="s">
        <v>56</v>
      </c>
      <c r="AW1266" t="s">
        <v>56</v>
      </c>
      <c r="AX1266">
        <v>7.81</v>
      </c>
      <c r="AY1266">
        <v>0.01</v>
      </c>
      <c r="AZ1266" t="s">
        <v>56</v>
      </c>
      <c r="BB1266">
        <f>LOG(AU1266)</f>
        <v>3.020775488193558</v>
      </c>
      <c r="BC1266">
        <v>21.3</v>
      </c>
      <c r="BD1266">
        <v>0.1</v>
      </c>
      <c r="BE1266" t="s">
        <v>56</v>
      </c>
      <c r="BF1266">
        <v>21.5</v>
      </c>
      <c r="BG1266">
        <v>0.1</v>
      </c>
      <c r="BH1266" t="s">
        <v>56</v>
      </c>
      <c r="BI1266">
        <v>581</v>
      </c>
      <c r="BJ1266">
        <v>0.1</v>
      </c>
      <c r="BK1266" t="s">
        <v>56</v>
      </c>
      <c r="BL1266" t="s">
        <v>734</v>
      </c>
      <c r="BM1266" t="s">
        <v>734</v>
      </c>
      <c r="BN1266" t="s">
        <v>81</v>
      </c>
      <c r="BO1266" t="s">
        <v>82</v>
      </c>
      <c r="BP1266" t="s">
        <v>190</v>
      </c>
      <c r="BR1266" t="s">
        <v>63</v>
      </c>
      <c r="BT1266">
        <v>7.0000000000000007E-2</v>
      </c>
      <c r="BU1266">
        <v>7.3964000000000002E-2</v>
      </c>
      <c r="BV1266">
        <v>0.09</v>
      </c>
      <c r="BW1266">
        <f>BV1266*SQRT(AK1266)</f>
        <v>0.22045407685048601</v>
      </c>
      <c r="BX1266">
        <v>0.13</v>
      </c>
      <c r="BY1266">
        <v>0.13313610000000001</v>
      </c>
      <c r="BZ1266">
        <v>0.1</v>
      </c>
      <c r="CA1266">
        <f>BZ1266*SQRT(AL1266)</f>
        <v>0.2449489742783178</v>
      </c>
      <c r="CB1266">
        <v>146</v>
      </c>
      <c r="CC1266">
        <v>7</v>
      </c>
      <c r="CD1266">
        <v>0.58799999999999997</v>
      </c>
      <c r="CE1266">
        <v>2.0449000000000002</v>
      </c>
    </row>
    <row r="1267" spans="1:83" hidden="1" x14ac:dyDescent="0.2">
      <c r="D1267">
        <v>88</v>
      </c>
      <c r="G1267" t="s">
        <v>43</v>
      </c>
      <c r="H1267" t="s">
        <v>733</v>
      </c>
      <c r="J1267">
        <v>2018</v>
      </c>
      <c r="M1267" t="s">
        <v>174</v>
      </c>
      <c r="T1267" t="s">
        <v>46</v>
      </c>
      <c r="U1267" t="s">
        <v>422</v>
      </c>
      <c r="V1267" t="s">
        <v>423</v>
      </c>
      <c r="Z1267" t="s">
        <v>106</v>
      </c>
      <c r="AA1267" t="s">
        <v>107</v>
      </c>
      <c r="AB1267" t="s">
        <v>50</v>
      </c>
      <c r="AC1267" t="s">
        <v>51</v>
      </c>
      <c r="AD1267" t="s">
        <v>52</v>
      </c>
      <c r="AE1267" t="s">
        <v>53</v>
      </c>
      <c r="AF1267" t="s">
        <v>52</v>
      </c>
      <c r="AG1267" t="s">
        <v>52</v>
      </c>
      <c r="AH1267" t="s">
        <v>64</v>
      </c>
      <c r="AK1267">
        <v>6</v>
      </c>
      <c r="AL1267">
        <v>6</v>
      </c>
      <c r="AN1267">
        <v>469</v>
      </c>
      <c r="AO1267" t="s">
        <v>56</v>
      </c>
      <c r="AP1267" t="s">
        <v>56</v>
      </c>
      <c r="AQ1267" t="s">
        <v>118</v>
      </c>
      <c r="AR1267">
        <v>8.1199999999999992</v>
      </c>
      <c r="AS1267">
        <v>0.01</v>
      </c>
      <c r="AT1267" t="s">
        <v>56</v>
      </c>
      <c r="AU1267">
        <v>1243</v>
      </c>
      <c r="AV1267" t="s">
        <v>56</v>
      </c>
      <c r="AW1267" t="s">
        <v>56</v>
      </c>
      <c r="AX1267">
        <v>7.76</v>
      </c>
      <c r="AY1267">
        <v>0</v>
      </c>
      <c r="AZ1267" t="s">
        <v>56</v>
      </c>
      <c r="BB1267">
        <f>LOG(AU1267)</f>
        <v>3.0944711286416449</v>
      </c>
      <c r="BC1267">
        <v>21.3</v>
      </c>
      <c r="BD1267">
        <v>0.1</v>
      </c>
      <c r="BE1267" t="s">
        <v>56</v>
      </c>
      <c r="BF1267">
        <v>27.6</v>
      </c>
      <c r="BG1267">
        <v>0.2</v>
      </c>
      <c r="BH1267" t="s">
        <v>56</v>
      </c>
      <c r="BI1267">
        <v>774</v>
      </c>
      <c r="BJ1267">
        <v>6.3</v>
      </c>
      <c r="BK1267" t="s">
        <v>56</v>
      </c>
      <c r="BL1267" t="s">
        <v>736</v>
      </c>
      <c r="BM1267" t="s">
        <v>253</v>
      </c>
      <c r="BN1267" t="s">
        <v>81</v>
      </c>
      <c r="BO1267" t="s">
        <v>737</v>
      </c>
      <c r="BP1267" t="s">
        <v>92</v>
      </c>
      <c r="BR1267" t="s">
        <v>63</v>
      </c>
      <c r="BT1267">
        <v>45</v>
      </c>
      <c r="BU1267">
        <v>45</v>
      </c>
      <c r="BV1267">
        <v>2.61</v>
      </c>
      <c r="BW1267">
        <f>BV1267*SQRT(AK1267)</f>
        <v>6.3931682286640941</v>
      </c>
      <c r="BX1267">
        <v>87.39</v>
      </c>
      <c r="BY1267">
        <v>87.391304300000002</v>
      </c>
      <c r="BZ1267">
        <v>10.43</v>
      </c>
      <c r="CA1267">
        <f>BZ1267*SQRT(AL1267)</f>
        <v>25.548178017228544</v>
      </c>
      <c r="CB1267">
        <v>146</v>
      </c>
      <c r="CC1267">
        <v>7</v>
      </c>
      <c r="CD1267">
        <v>0.66400000000000003</v>
      </c>
      <c r="CE1267">
        <v>1.7600000000000001E-2</v>
      </c>
    </row>
    <row r="1268" spans="1:83" hidden="1" x14ac:dyDescent="0.2">
      <c r="D1268">
        <v>88</v>
      </c>
      <c r="G1268" t="s">
        <v>43</v>
      </c>
      <c r="H1268" t="s">
        <v>733</v>
      </c>
      <c r="J1268">
        <v>2018</v>
      </c>
      <c r="M1268" t="s">
        <v>174</v>
      </c>
      <c r="T1268" t="s">
        <v>46</v>
      </c>
      <c r="U1268" t="s">
        <v>422</v>
      </c>
      <c r="V1268" t="s">
        <v>423</v>
      </c>
      <c r="Z1268" t="s">
        <v>106</v>
      </c>
      <c r="AA1268" t="s">
        <v>107</v>
      </c>
      <c r="AB1268" t="s">
        <v>50</v>
      </c>
      <c r="AC1268" t="s">
        <v>51</v>
      </c>
      <c r="AD1268" t="s">
        <v>52</v>
      </c>
      <c r="AE1268" t="s">
        <v>53</v>
      </c>
      <c r="AF1268" t="s">
        <v>54</v>
      </c>
      <c r="AG1268" t="s">
        <v>52</v>
      </c>
      <c r="AH1268" t="s">
        <v>65</v>
      </c>
      <c r="AK1268">
        <v>6</v>
      </c>
      <c r="AL1268">
        <v>6</v>
      </c>
      <c r="AN1268">
        <v>469</v>
      </c>
      <c r="AO1268" t="s">
        <v>56</v>
      </c>
      <c r="AP1268" t="s">
        <v>56</v>
      </c>
      <c r="AQ1268" t="s">
        <v>118</v>
      </c>
      <c r="AR1268">
        <v>8.1199999999999992</v>
      </c>
      <c r="AS1268">
        <v>0.01</v>
      </c>
      <c r="AT1268" t="s">
        <v>56</v>
      </c>
      <c r="AU1268">
        <v>535</v>
      </c>
      <c r="AV1268" t="s">
        <v>56</v>
      </c>
      <c r="AW1268" t="s">
        <v>56</v>
      </c>
      <c r="AX1268">
        <v>8.08</v>
      </c>
      <c r="AY1268">
        <v>0.01</v>
      </c>
      <c r="AZ1268" t="s">
        <v>56</v>
      </c>
      <c r="BB1268">
        <f>LOG(AU1268)</f>
        <v>2.7283537820212285</v>
      </c>
      <c r="BC1268">
        <v>21.3</v>
      </c>
      <c r="BD1268">
        <v>0.1</v>
      </c>
      <c r="BE1268" t="s">
        <v>56</v>
      </c>
      <c r="BF1268">
        <v>24.6</v>
      </c>
      <c r="BG1268">
        <v>0.1</v>
      </c>
      <c r="BH1268" t="s">
        <v>56</v>
      </c>
      <c r="BI1268">
        <v>67</v>
      </c>
      <c r="BJ1268">
        <v>3.3</v>
      </c>
      <c r="BK1268" t="s">
        <v>56</v>
      </c>
      <c r="BL1268" t="s">
        <v>736</v>
      </c>
      <c r="BM1268" t="s">
        <v>253</v>
      </c>
      <c r="BN1268" t="s">
        <v>81</v>
      </c>
      <c r="BO1268" t="s">
        <v>737</v>
      </c>
      <c r="BP1268" t="s">
        <v>92</v>
      </c>
      <c r="BR1268" t="s">
        <v>63</v>
      </c>
      <c r="BT1268">
        <v>45</v>
      </c>
      <c r="BU1268">
        <v>45</v>
      </c>
      <c r="BV1268">
        <v>2.61</v>
      </c>
      <c r="BW1268">
        <f>BV1268*SQRT(AK1268)</f>
        <v>6.3931682286640941</v>
      </c>
      <c r="BX1268">
        <v>93.91</v>
      </c>
      <c r="BY1268">
        <v>93.913043500000001</v>
      </c>
      <c r="BZ1268">
        <v>4.57</v>
      </c>
      <c r="CA1268">
        <f>BZ1268*SQRT(AL1268)</f>
        <v>11.194168124519123</v>
      </c>
      <c r="CB1268">
        <v>146</v>
      </c>
      <c r="CC1268">
        <v>7</v>
      </c>
      <c r="CD1268">
        <v>0.73599999999999999</v>
      </c>
      <c r="CE1268">
        <v>5.7000000000000002E-3</v>
      </c>
    </row>
    <row r="1269" spans="1:83" hidden="1" x14ac:dyDescent="0.2">
      <c r="D1269">
        <v>88</v>
      </c>
      <c r="G1269" t="s">
        <v>43</v>
      </c>
      <c r="H1269" t="s">
        <v>733</v>
      </c>
      <c r="J1269">
        <v>2018</v>
      </c>
      <c r="M1269" t="s">
        <v>174</v>
      </c>
      <c r="T1269" t="s">
        <v>46</v>
      </c>
      <c r="U1269" t="s">
        <v>422</v>
      </c>
      <c r="V1269" t="s">
        <v>423</v>
      </c>
      <c r="Z1269" t="s">
        <v>106</v>
      </c>
      <c r="AA1269" t="s">
        <v>107</v>
      </c>
      <c r="AB1269" t="s">
        <v>50</v>
      </c>
      <c r="AC1269" t="s">
        <v>51</v>
      </c>
      <c r="AD1269" t="s">
        <v>52</v>
      </c>
      <c r="AE1269" t="s">
        <v>53</v>
      </c>
      <c r="AF1269" t="s">
        <v>52</v>
      </c>
      <c r="AG1269" t="s">
        <v>52</v>
      </c>
      <c r="AH1269" t="s">
        <v>64</v>
      </c>
      <c r="AK1269">
        <v>6</v>
      </c>
      <c r="AL1269">
        <v>6</v>
      </c>
      <c r="AN1269">
        <v>469</v>
      </c>
      <c r="AO1269" t="s">
        <v>56</v>
      </c>
      <c r="AP1269" t="s">
        <v>56</v>
      </c>
      <c r="AQ1269" t="s">
        <v>118</v>
      </c>
      <c r="AR1269">
        <v>8.1199999999999992</v>
      </c>
      <c r="AS1269">
        <v>0.01</v>
      </c>
      <c r="AT1269" t="s">
        <v>56</v>
      </c>
      <c r="AU1269">
        <v>1919</v>
      </c>
      <c r="AV1269" t="s">
        <v>56</v>
      </c>
      <c r="AW1269" t="s">
        <v>56</v>
      </c>
      <c r="AX1269">
        <v>7.58</v>
      </c>
      <c r="AY1269">
        <v>0.01</v>
      </c>
      <c r="AZ1269" t="s">
        <v>56</v>
      </c>
      <c r="BB1269">
        <f>LOG(AU1269)</f>
        <v>3.2830749747354715</v>
      </c>
      <c r="BC1269">
        <v>21.3</v>
      </c>
      <c r="BD1269">
        <v>0.1</v>
      </c>
      <c r="BE1269" t="s">
        <v>56</v>
      </c>
      <c r="BF1269">
        <v>24.9</v>
      </c>
      <c r="BG1269">
        <v>0.2</v>
      </c>
      <c r="BH1269" t="s">
        <v>56</v>
      </c>
      <c r="BI1269">
        <v>1451</v>
      </c>
      <c r="BJ1269">
        <v>3.5</v>
      </c>
      <c r="BK1269" t="s">
        <v>56</v>
      </c>
      <c r="BL1269" t="s">
        <v>734</v>
      </c>
      <c r="BM1269" t="s">
        <v>734</v>
      </c>
      <c r="BN1269" t="s">
        <v>81</v>
      </c>
      <c r="BO1269" t="s">
        <v>82</v>
      </c>
      <c r="BP1269" t="s">
        <v>190</v>
      </c>
      <c r="BR1269" t="s">
        <v>63</v>
      </c>
      <c r="BT1269">
        <v>7.0000000000000007E-2</v>
      </c>
      <c r="BU1269">
        <v>7.3964000000000002E-2</v>
      </c>
      <c r="BV1269">
        <v>0.09</v>
      </c>
      <c r="BW1269">
        <f>BV1269*SQRT(AK1269)</f>
        <v>0.22045407685048601</v>
      </c>
      <c r="BX1269">
        <v>0.18</v>
      </c>
      <c r="BY1269">
        <v>0.1775148</v>
      </c>
      <c r="BZ1269">
        <v>7.0000000000000007E-2</v>
      </c>
      <c r="CA1269">
        <f>BZ1269*SQRT(AL1269)</f>
        <v>0.17146428199482247</v>
      </c>
      <c r="CB1269">
        <v>146</v>
      </c>
      <c r="CC1269">
        <v>7</v>
      </c>
      <c r="CD1269">
        <v>0.875</v>
      </c>
      <c r="CE1269">
        <v>1.6135999999999999</v>
      </c>
    </row>
    <row r="1270" spans="1:83" hidden="1" x14ac:dyDescent="0.2">
      <c r="D1270">
        <v>88</v>
      </c>
      <c r="G1270" t="s">
        <v>43</v>
      </c>
      <c r="H1270" t="s">
        <v>733</v>
      </c>
      <c r="J1270">
        <v>2018</v>
      </c>
      <c r="M1270" t="s">
        <v>174</v>
      </c>
      <c r="T1270" t="s">
        <v>46</v>
      </c>
      <c r="U1270" t="s">
        <v>422</v>
      </c>
      <c r="V1270" t="s">
        <v>423</v>
      </c>
      <c r="Z1270" t="s">
        <v>106</v>
      </c>
      <c r="AA1270" t="s">
        <v>107</v>
      </c>
      <c r="AB1270" t="s">
        <v>50</v>
      </c>
      <c r="AC1270" t="s">
        <v>51</v>
      </c>
      <c r="AD1270" t="s">
        <v>52</v>
      </c>
      <c r="AE1270" t="s">
        <v>53</v>
      </c>
      <c r="AF1270" t="s">
        <v>52</v>
      </c>
      <c r="AG1270" t="s">
        <v>52</v>
      </c>
      <c r="AH1270" t="s">
        <v>64</v>
      </c>
      <c r="AK1270">
        <v>6</v>
      </c>
      <c r="AL1270">
        <v>6</v>
      </c>
      <c r="AN1270">
        <v>469</v>
      </c>
      <c r="AO1270" t="s">
        <v>56</v>
      </c>
      <c r="AP1270" t="s">
        <v>56</v>
      </c>
      <c r="AQ1270" t="s">
        <v>118</v>
      </c>
      <c r="AR1270">
        <v>8.1199999999999992</v>
      </c>
      <c r="AS1270">
        <v>0.01</v>
      </c>
      <c r="AT1270" t="s">
        <v>56</v>
      </c>
      <c r="AU1270">
        <v>1243</v>
      </c>
      <c r="AV1270" t="s">
        <v>56</v>
      </c>
      <c r="AW1270" t="s">
        <v>56</v>
      </c>
      <c r="AX1270">
        <v>7.76</v>
      </c>
      <c r="AY1270">
        <v>0</v>
      </c>
      <c r="AZ1270" t="s">
        <v>56</v>
      </c>
      <c r="BB1270">
        <f>LOG(AU1270)</f>
        <v>3.0944711286416449</v>
      </c>
      <c r="BC1270">
        <v>21.3</v>
      </c>
      <c r="BD1270">
        <v>0.1</v>
      </c>
      <c r="BE1270" t="s">
        <v>56</v>
      </c>
      <c r="BF1270">
        <v>27.6</v>
      </c>
      <c r="BG1270">
        <v>0.2</v>
      </c>
      <c r="BH1270" t="s">
        <v>56</v>
      </c>
      <c r="BI1270">
        <v>774</v>
      </c>
      <c r="BJ1270">
        <v>6.3</v>
      </c>
      <c r="BK1270" t="s">
        <v>56</v>
      </c>
      <c r="BL1270" t="s">
        <v>734</v>
      </c>
      <c r="BM1270" t="s">
        <v>734</v>
      </c>
      <c r="BN1270" t="s">
        <v>81</v>
      </c>
      <c r="BO1270" t="s">
        <v>82</v>
      </c>
      <c r="BP1270" t="s">
        <v>190</v>
      </c>
      <c r="BR1270" t="s">
        <v>63</v>
      </c>
      <c r="BT1270">
        <v>7.0000000000000007E-2</v>
      </c>
      <c r="BU1270">
        <v>7.3964000000000002E-2</v>
      </c>
      <c r="BV1270">
        <v>0.09</v>
      </c>
      <c r="BW1270">
        <f>BV1270*SQRT(AK1270)</f>
        <v>0.22045407685048601</v>
      </c>
      <c r="BX1270">
        <v>0.47</v>
      </c>
      <c r="BY1270">
        <v>0.47337279999999998</v>
      </c>
      <c r="BZ1270">
        <v>0.12</v>
      </c>
      <c r="CA1270">
        <f>BZ1270*SQRT(AL1270)</f>
        <v>0.29393876913398131</v>
      </c>
      <c r="CB1270">
        <v>146</v>
      </c>
      <c r="CC1270">
        <v>7</v>
      </c>
      <c r="CD1270">
        <v>1.8560000000000001</v>
      </c>
      <c r="CE1270">
        <v>1.5024999999999999</v>
      </c>
    </row>
    <row r="1271" spans="1:83" hidden="1" x14ac:dyDescent="0.2">
      <c r="D1271">
        <v>88</v>
      </c>
      <c r="G1271" t="s">
        <v>43</v>
      </c>
      <c r="H1271" t="s">
        <v>733</v>
      </c>
      <c r="J1271">
        <v>2018</v>
      </c>
      <c r="M1271" t="s">
        <v>174</v>
      </c>
      <c r="T1271" t="s">
        <v>46</v>
      </c>
      <c r="U1271" t="s">
        <v>422</v>
      </c>
      <c r="V1271" t="s">
        <v>423</v>
      </c>
      <c r="Z1271" t="s">
        <v>106</v>
      </c>
      <c r="AA1271" t="s">
        <v>107</v>
      </c>
      <c r="AB1271" t="s">
        <v>50</v>
      </c>
      <c r="AC1271" t="s">
        <v>51</v>
      </c>
      <c r="AD1271" t="s">
        <v>52</v>
      </c>
      <c r="AE1271" t="s">
        <v>53</v>
      </c>
      <c r="AF1271" t="s">
        <v>52</v>
      </c>
      <c r="AG1271" t="s">
        <v>52</v>
      </c>
      <c r="AH1271" t="s">
        <v>64</v>
      </c>
      <c r="AK1271">
        <v>6</v>
      </c>
      <c r="AL1271">
        <v>6</v>
      </c>
      <c r="AN1271">
        <v>469</v>
      </c>
      <c r="AO1271" t="s">
        <v>56</v>
      </c>
      <c r="AP1271" t="s">
        <v>56</v>
      </c>
      <c r="AQ1271" t="s">
        <v>118</v>
      </c>
      <c r="AR1271">
        <v>8.1199999999999992</v>
      </c>
      <c r="AS1271">
        <v>0.01</v>
      </c>
      <c r="AT1271" t="s">
        <v>56</v>
      </c>
      <c r="AU1271">
        <v>1196</v>
      </c>
      <c r="AV1271" t="s">
        <v>56</v>
      </c>
      <c r="AW1271" t="s">
        <v>56</v>
      </c>
      <c r="AX1271">
        <v>7.77</v>
      </c>
      <c r="AY1271">
        <v>0</v>
      </c>
      <c r="AZ1271" t="s">
        <v>56</v>
      </c>
      <c r="BB1271">
        <f>LOG(AU1271)</f>
        <v>3.0777311796523921</v>
      </c>
      <c r="BC1271">
        <v>21.3</v>
      </c>
      <c r="BD1271">
        <v>0.1</v>
      </c>
      <c r="BE1271" t="s">
        <v>56</v>
      </c>
      <c r="BF1271">
        <v>25</v>
      </c>
      <c r="BG1271">
        <v>0.1</v>
      </c>
      <c r="BH1271" t="s">
        <v>56</v>
      </c>
      <c r="BI1271">
        <v>727</v>
      </c>
      <c r="BJ1271">
        <v>3.7</v>
      </c>
      <c r="BK1271" t="s">
        <v>56</v>
      </c>
      <c r="BL1271" t="s">
        <v>734</v>
      </c>
      <c r="BM1271" t="s">
        <v>734</v>
      </c>
      <c r="BN1271" t="s">
        <v>81</v>
      </c>
      <c r="BO1271" t="s">
        <v>82</v>
      </c>
      <c r="BP1271" t="s">
        <v>190</v>
      </c>
      <c r="BR1271" t="s">
        <v>63</v>
      </c>
      <c r="BT1271">
        <v>7.0000000000000007E-2</v>
      </c>
      <c r="BU1271">
        <v>7.3964000000000002E-2</v>
      </c>
      <c r="BV1271">
        <v>0.09</v>
      </c>
      <c r="BW1271">
        <f>BV1271*SQRT(AK1271)</f>
        <v>0.22045407685048601</v>
      </c>
      <c r="BX1271">
        <v>1.07</v>
      </c>
      <c r="BY1271">
        <v>1.0650888000000001</v>
      </c>
      <c r="BZ1271">
        <v>0.25</v>
      </c>
      <c r="CA1271">
        <f>BZ1271*SQRT(AL1271)</f>
        <v>0.61237243569579447</v>
      </c>
      <c r="CB1271">
        <v>146</v>
      </c>
      <c r="CC1271">
        <v>7</v>
      </c>
      <c r="CD1271">
        <v>2.6669999999999998</v>
      </c>
      <c r="CE1271">
        <v>1.4957</v>
      </c>
    </row>
    <row r="1272" spans="1:83" hidden="1" x14ac:dyDescent="0.2">
      <c r="D1272">
        <v>88</v>
      </c>
      <c r="G1272" t="s">
        <v>43</v>
      </c>
      <c r="H1272" t="s">
        <v>733</v>
      </c>
      <c r="J1272">
        <v>2018</v>
      </c>
      <c r="M1272" t="s">
        <v>174</v>
      </c>
      <c r="T1272" t="s">
        <v>46</v>
      </c>
      <c r="U1272" t="s">
        <v>422</v>
      </c>
      <c r="V1272" t="s">
        <v>423</v>
      </c>
      <c r="Z1272" t="s">
        <v>106</v>
      </c>
      <c r="AA1272" t="s">
        <v>107</v>
      </c>
      <c r="AB1272" t="s">
        <v>50</v>
      </c>
      <c r="AC1272" t="s">
        <v>51</v>
      </c>
      <c r="AD1272" t="s">
        <v>52</v>
      </c>
      <c r="AE1272" t="s">
        <v>53</v>
      </c>
      <c r="AF1272" t="s">
        <v>54</v>
      </c>
      <c r="AG1272" t="s">
        <v>52</v>
      </c>
      <c r="AH1272" t="s">
        <v>65</v>
      </c>
      <c r="AK1272">
        <v>6</v>
      </c>
      <c r="AL1272">
        <v>6</v>
      </c>
      <c r="AN1272">
        <v>469</v>
      </c>
      <c r="AO1272" t="s">
        <v>56</v>
      </c>
      <c r="AP1272" t="s">
        <v>56</v>
      </c>
      <c r="AQ1272" t="s">
        <v>118</v>
      </c>
      <c r="AR1272">
        <v>8.1199999999999992</v>
      </c>
      <c r="AS1272">
        <v>0.01</v>
      </c>
      <c r="AT1272" t="s">
        <v>56</v>
      </c>
      <c r="AU1272">
        <v>587</v>
      </c>
      <c r="AV1272" t="s">
        <v>56</v>
      </c>
      <c r="AW1272" t="s">
        <v>56</v>
      </c>
      <c r="AX1272">
        <v>8.0500000000000007</v>
      </c>
      <c r="AY1272">
        <v>0.01</v>
      </c>
      <c r="AZ1272" t="s">
        <v>56</v>
      </c>
      <c r="BB1272">
        <f>LOG(AU1272)</f>
        <v>2.7686381012476144</v>
      </c>
      <c r="BC1272">
        <v>21.3</v>
      </c>
      <c r="BD1272">
        <v>0.1</v>
      </c>
      <c r="BE1272" t="s">
        <v>56</v>
      </c>
      <c r="BF1272">
        <v>27.6</v>
      </c>
      <c r="BG1272">
        <v>0.2</v>
      </c>
      <c r="BH1272" t="s">
        <v>56</v>
      </c>
      <c r="BI1272">
        <v>118</v>
      </c>
      <c r="BJ1272">
        <v>6.2</v>
      </c>
      <c r="BK1272" t="s">
        <v>56</v>
      </c>
      <c r="BL1272" t="s">
        <v>734</v>
      </c>
      <c r="BM1272" t="s">
        <v>734</v>
      </c>
      <c r="BN1272" t="s">
        <v>81</v>
      </c>
      <c r="BO1272" t="s">
        <v>82</v>
      </c>
      <c r="BP1272" t="s">
        <v>190</v>
      </c>
      <c r="BR1272" t="s">
        <v>63</v>
      </c>
      <c r="BT1272">
        <v>7.0000000000000007E-2</v>
      </c>
      <c r="BU1272">
        <v>7.3964000000000002E-2</v>
      </c>
      <c r="BV1272">
        <v>0.09</v>
      </c>
      <c r="BW1272">
        <f>BV1272*SQRT(AK1272)</f>
        <v>0.22045407685048601</v>
      </c>
      <c r="BX1272">
        <v>1.08</v>
      </c>
      <c r="BY1272">
        <v>1.0798817000000001</v>
      </c>
      <c r="BZ1272">
        <v>0.3</v>
      </c>
      <c r="CA1272">
        <f>BZ1272*SQRT(AL1272)</f>
        <v>0.73484692283495334</v>
      </c>
      <c r="CB1272">
        <v>146</v>
      </c>
      <c r="CC1272">
        <v>7</v>
      </c>
      <c r="CD1272">
        <v>2.681</v>
      </c>
      <c r="CE1272">
        <v>1.5150999999999999</v>
      </c>
    </row>
    <row r="1273" spans="1:83" hidden="1" x14ac:dyDescent="0.2">
      <c r="D1273">
        <v>88</v>
      </c>
      <c r="G1273" t="s">
        <v>43</v>
      </c>
      <c r="H1273" t="s">
        <v>733</v>
      </c>
      <c r="J1273">
        <v>2018</v>
      </c>
      <c r="M1273" t="s">
        <v>174</v>
      </c>
      <c r="T1273" t="s">
        <v>46</v>
      </c>
      <c r="U1273" t="s">
        <v>422</v>
      </c>
      <c r="V1273" t="s">
        <v>423</v>
      </c>
      <c r="Z1273" t="s">
        <v>106</v>
      </c>
      <c r="AA1273" t="s">
        <v>107</v>
      </c>
      <c r="AB1273" t="s">
        <v>50</v>
      </c>
      <c r="AC1273" t="s">
        <v>51</v>
      </c>
      <c r="AD1273" t="s">
        <v>52</v>
      </c>
      <c r="AE1273" t="s">
        <v>53</v>
      </c>
      <c r="AF1273" t="s">
        <v>54</v>
      </c>
      <c r="AG1273" t="s">
        <v>52</v>
      </c>
      <c r="AH1273" t="s">
        <v>65</v>
      </c>
      <c r="AK1273">
        <v>6</v>
      </c>
      <c r="AL1273">
        <v>6</v>
      </c>
      <c r="AN1273">
        <v>469</v>
      </c>
      <c r="AO1273" t="s">
        <v>56</v>
      </c>
      <c r="AP1273" t="s">
        <v>56</v>
      </c>
      <c r="AQ1273" t="s">
        <v>118</v>
      </c>
      <c r="AR1273">
        <v>8.1199999999999992</v>
      </c>
      <c r="AS1273">
        <v>0.01</v>
      </c>
      <c r="AT1273" t="s">
        <v>56</v>
      </c>
      <c r="AU1273">
        <v>535</v>
      </c>
      <c r="AV1273" t="s">
        <v>56</v>
      </c>
      <c r="AW1273" t="s">
        <v>56</v>
      </c>
      <c r="AX1273">
        <v>8.08</v>
      </c>
      <c r="AY1273">
        <v>0.01</v>
      </c>
      <c r="AZ1273" t="s">
        <v>56</v>
      </c>
      <c r="BB1273">
        <f>LOG(AU1273)</f>
        <v>2.7283537820212285</v>
      </c>
      <c r="BC1273">
        <v>21.3</v>
      </c>
      <c r="BD1273">
        <v>0.1</v>
      </c>
      <c r="BE1273" t="s">
        <v>56</v>
      </c>
      <c r="BF1273">
        <v>24.6</v>
      </c>
      <c r="BG1273">
        <v>0.1</v>
      </c>
      <c r="BH1273" t="s">
        <v>56</v>
      </c>
      <c r="BI1273">
        <v>67</v>
      </c>
      <c r="BJ1273">
        <v>3.3</v>
      </c>
      <c r="BK1273" t="s">
        <v>56</v>
      </c>
      <c r="BL1273" t="s">
        <v>734</v>
      </c>
      <c r="BM1273" t="s">
        <v>734</v>
      </c>
      <c r="BN1273" t="s">
        <v>81</v>
      </c>
      <c r="BO1273" t="s">
        <v>82</v>
      </c>
      <c r="BP1273" t="s">
        <v>190</v>
      </c>
      <c r="BR1273" t="s">
        <v>63</v>
      </c>
      <c r="BT1273">
        <v>7.0000000000000007E-2</v>
      </c>
      <c r="BU1273">
        <v>7.3964000000000002E-2</v>
      </c>
      <c r="BV1273">
        <v>0.09</v>
      </c>
      <c r="BW1273">
        <f>BV1273*SQRT(AK1273)</f>
        <v>0.22045407685048601</v>
      </c>
      <c r="BX1273">
        <v>1.61</v>
      </c>
      <c r="BY1273">
        <v>1.6124259999999999</v>
      </c>
      <c r="BZ1273">
        <v>0.36</v>
      </c>
      <c r="CA1273">
        <f>BZ1273*SQRT(AL1273)</f>
        <v>0.88181630740194406</v>
      </c>
      <c r="CB1273">
        <v>146</v>
      </c>
      <c r="CC1273">
        <v>7</v>
      </c>
      <c r="CD1273">
        <v>3.0819999999999999</v>
      </c>
      <c r="CE1273">
        <v>1.4884999999999999</v>
      </c>
    </row>
    <row r="1274" spans="1:83" s="8" customFormat="1" hidden="1" x14ac:dyDescent="0.2">
      <c r="A1274"/>
      <c r="B1274"/>
      <c r="C1274"/>
      <c r="D1274">
        <v>52</v>
      </c>
      <c r="E1274"/>
      <c r="F1274"/>
      <c r="G1274" t="s">
        <v>43</v>
      </c>
      <c r="H1274" t="s">
        <v>536</v>
      </c>
      <c r="I1274"/>
      <c r="J1274">
        <v>2017</v>
      </c>
      <c r="K1274"/>
      <c r="L1274"/>
      <c r="M1274" t="s">
        <v>174</v>
      </c>
      <c r="N1274"/>
      <c r="O1274"/>
      <c r="P1274" t="s">
        <v>1135</v>
      </c>
      <c r="Q1274"/>
      <c r="R1274" t="s">
        <v>1127</v>
      </c>
      <c r="S1274" t="s">
        <v>1128</v>
      </c>
      <c r="T1274" t="s">
        <v>103</v>
      </c>
      <c r="U1274" t="s">
        <v>201</v>
      </c>
      <c r="V1274" t="s">
        <v>214</v>
      </c>
      <c r="W1274"/>
      <c r="X1274"/>
      <c r="Y1274"/>
      <c r="Z1274" t="s">
        <v>106</v>
      </c>
      <c r="AA1274" t="s">
        <v>107</v>
      </c>
      <c r="AB1274" t="s">
        <v>71</v>
      </c>
      <c r="AC1274" t="s">
        <v>72</v>
      </c>
      <c r="AD1274" t="s">
        <v>52</v>
      </c>
      <c r="AE1274" t="s">
        <v>53</v>
      </c>
      <c r="AF1274" t="s">
        <v>54</v>
      </c>
      <c r="AG1274" t="s">
        <v>52</v>
      </c>
      <c r="AH1274" t="s">
        <v>65</v>
      </c>
      <c r="AI1274"/>
      <c r="AJ1274"/>
      <c r="AK1274">
        <v>4</v>
      </c>
      <c r="AL1274">
        <v>4</v>
      </c>
      <c r="AM1274" t="s">
        <v>263</v>
      </c>
      <c r="AN1274">
        <v>494</v>
      </c>
      <c r="AO1274">
        <v>9</v>
      </c>
      <c r="AP1274" t="s">
        <v>56</v>
      </c>
      <c r="AQ1274" t="s">
        <v>109</v>
      </c>
      <c r="AR1274">
        <v>7.97</v>
      </c>
      <c r="AS1274">
        <v>0.01</v>
      </c>
      <c r="AT1274" t="s">
        <v>56</v>
      </c>
      <c r="AU1274">
        <v>487</v>
      </c>
      <c r="AV1274">
        <v>9</v>
      </c>
      <c r="AW1274" t="s">
        <v>56</v>
      </c>
      <c r="AX1274">
        <v>7.98</v>
      </c>
      <c r="AY1274">
        <v>0.01</v>
      </c>
      <c r="AZ1274" t="s">
        <v>56</v>
      </c>
      <c r="BA1274"/>
      <c r="BB1274">
        <f>LOG(AU1274)</f>
        <v>2.6875289612146345</v>
      </c>
      <c r="BC1274">
        <v>27.8</v>
      </c>
      <c r="BD1274">
        <v>0.2</v>
      </c>
      <c r="BE1274" t="s">
        <v>56</v>
      </c>
      <c r="BF1274">
        <v>30.5</v>
      </c>
      <c r="BG1274">
        <v>0.1</v>
      </c>
      <c r="BH1274" t="s">
        <v>56</v>
      </c>
      <c r="BI1274">
        <v>-7</v>
      </c>
      <c r="BJ1274">
        <v>3</v>
      </c>
      <c r="BK1274" t="s">
        <v>539</v>
      </c>
      <c r="BL1274" t="s">
        <v>542</v>
      </c>
      <c r="BM1274" t="s">
        <v>543</v>
      </c>
      <c r="BN1274" t="s">
        <v>60</v>
      </c>
      <c r="BO1274" t="s">
        <v>544</v>
      </c>
      <c r="BP1274" t="s">
        <v>194</v>
      </c>
      <c r="BQ1274" s="8" t="s">
        <v>190</v>
      </c>
      <c r="BR1274" t="s">
        <v>63</v>
      </c>
      <c r="BS1274"/>
      <c r="BT1274">
        <v>-1.24</v>
      </c>
      <c r="BU1274">
        <v>1.241071</v>
      </c>
      <c r="BV1274">
        <v>2.33</v>
      </c>
      <c r="BW1274">
        <f>BV1274*SQRT(AK1274)</f>
        <v>4.66</v>
      </c>
      <c r="BX1274">
        <v>1.95</v>
      </c>
      <c r="BY1274">
        <v>4.4285714</v>
      </c>
      <c r="BZ1274">
        <v>3.78</v>
      </c>
      <c r="CA1274">
        <f>BZ1274*SQRT(AL1274)</f>
        <v>7.56</v>
      </c>
      <c r="CB1274">
        <v>1</v>
      </c>
      <c r="CC1274">
        <v>2</v>
      </c>
      <c r="CD1274"/>
      <c r="CE1274">
        <v>4.2530999999999999</v>
      </c>
    </row>
    <row r="1275" spans="1:83" s="8" customFormat="1" hidden="1" x14ac:dyDescent="0.2">
      <c r="C1275" s="8" t="s">
        <v>1129</v>
      </c>
      <c r="D1275" s="8">
        <v>9</v>
      </c>
      <c r="G1275" s="8" t="s">
        <v>43</v>
      </c>
      <c r="H1275" s="8" t="s">
        <v>184</v>
      </c>
      <c r="I1275" s="8" t="s">
        <v>1129</v>
      </c>
      <c r="J1275" s="8">
        <v>2018</v>
      </c>
      <c r="M1275" s="8" t="s">
        <v>185</v>
      </c>
      <c r="T1275" s="8" t="s">
        <v>131</v>
      </c>
      <c r="U1275" s="8" t="s">
        <v>186</v>
      </c>
      <c r="V1275" s="8" t="s">
        <v>187</v>
      </c>
      <c r="Z1275" s="8" t="s">
        <v>49</v>
      </c>
      <c r="AA1275" s="8" t="s">
        <v>49</v>
      </c>
      <c r="AB1275" s="8" t="s">
        <v>71</v>
      </c>
      <c r="AC1275" s="8" t="s">
        <v>195</v>
      </c>
      <c r="AD1275" s="8" t="s">
        <v>52</v>
      </c>
      <c r="AE1275" s="8" t="s">
        <v>53</v>
      </c>
      <c r="AF1275" s="8" t="s">
        <v>54</v>
      </c>
      <c r="AG1275" s="8" t="s">
        <v>52</v>
      </c>
      <c r="AH1275" s="8" t="s">
        <v>65</v>
      </c>
      <c r="AK1275" s="8">
        <v>3</v>
      </c>
      <c r="AL1275" s="8">
        <v>2</v>
      </c>
      <c r="AN1275" s="8">
        <v>474</v>
      </c>
      <c r="AO1275" s="8" t="s">
        <v>56</v>
      </c>
      <c r="AP1275" s="8">
        <v>23</v>
      </c>
      <c r="AQ1275" s="8" t="s">
        <v>109</v>
      </c>
      <c r="AR1275" s="8">
        <v>7.77</v>
      </c>
      <c r="AS1275" s="8" t="s">
        <v>56</v>
      </c>
      <c r="AT1275" s="8">
        <v>0.01</v>
      </c>
      <c r="AU1275" s="8">
        <v>514</v>
      </c>
      <c r="AV1275" t="s">
        <v>56</v>
      </c>
      <c r="AW1275">
        <v>18</v>
      </c>
      <c r="AX1275">
        <v>7.78</v>
      </c>
      <c r="AY1275" t="s">
        <v>56</v>
      </c>
      <c r="AZ1275">
        <v>0.01</v>
      </c>
      <c r="BB1275" s="8">
        <f>LOG(AU1275)</f>
        <v>2.7109631189952759</v>
      </c>
      <c r="BC1275" s="8">
        <v>11.1</v>
      </c>
      <c r="BD1275" s="8" t="s">
        <v>56</v>
      </c>
      <c r="BE1275" s="8">
        <v>0</v>
      </c>
      <c r="BF1275" s="8">
        <v>14</v>
      </c>
      <c r="BG1275" s="8" t="s">
        <v>56</v>
      </c>
      <c r="BH1275" s="8">
        <v>0</v>
      </c>
      <c r="BI1275" s="8">
        <v>40</v>
      </c>
      <c r="BJ1275" s="8">
        <v>2.9</v>
      </c>
      <c r="BK1275" s="8" t="s">
        <v>56</v>
      </c>
      <c r="BL1275" s="8" t="s">
        <v>196</v>
      </c>
      <c r="BM1275" s="8" t="s">
        <v>197</v>
      </c>
      <c r="BN1275" s="8" t="s">
        <v>81</v>
      </c>
      <c r="BO1275" s="8" t="s">
        <v>82</v>
      </c>
      <c r="BP1275" s="8" t="s">
        <v>83</v>
      </c>
      <c r="BR1275" s="8" t="s">
        <v>84</v>
      </c>
      <c r="BT1275" s="8">
        <v>71.37</v>
      </c>
      <c r="BU1275" s="8">
        <v>71.370142999999999</v>
      </c>
      <c r="BV1275" s="8">
        <v>2.83</v>
      </c>
      <c r="BW1275" s="8">
        <f>BV1275*SQRT(AK1275)</f>
        <v>4.9017037854199224</v>
      </c>
      <c r="BX1275" s="8">
        <v>16.36</v>
      </c>
      <c r="BY1275" s="8">
        <v>16.359918199999999</v>
      </c>
      <c r="BZ1275" s="8">
        <v>11.71</v>
      </c>
      <c r="CA1275" s="8">
        <f>BZ1275*SQRT(AL1275)</f>
        <v>16.560440815388944</v>
      </c>
      <c r="CB1275" s="8">
        <v>4</v>
      </c>
      <c r="CC1275" s="8">
        <v>3</v>
      </c>
      <c r="CD1275" s="8">
        <v>-1.4730000000000001</v>
      </c>
      <c r="CE1275" s="8">
        <v>0.51419999999999999</v>
      </c>
    </row>
    <row r="1276" spans="1:83" s="8" customFormat="1" hidden="1" x14ac:dyDescent="0.2">
      <c r="C1276" s="8" t="s">
        <v>1129</v>
      </c>
      <c r="D1276" s="8">
        <v>9</v>
      </c>
      <c r="G1276" s="8" t="s">
        <v>43</v>
      </c>
      <c r="H1276" s="8" t="s">
        <v>184</v>
      </c>
      <c r="I1276" s="8" t="s">
        <v>1129</v>
      </c>
      <c r="J1276" s="8">
        <v>2018</v>
      </c>
      <c r="M1276" s="8" t="s">
        <v>185</v>
      </c>
      <c r="T1276" s="8" t="s">
        <v>131</v>
      </c>
      <c r="U1276" s="8" t="s">
        <v>186</v>
      </c>
      <c r="V1276" s="8" t="s">
        <v>187</v>
      </c>
      <c r="Z1276" s="8" t="s">
        <v>49</v>
      </c>
      <c r="AA1276" s="8" t="s">
        <v>49</v>
      </c>
      <c r="AB1276" s="8" t="s">
        <v>71</v>
      </c>
      <c r="AC1276" s="8" t="s">
        <v>195</v>
      </c>
      <c r="AD1276" s="8" t="s">
        <v>52</v>
      </c>
      <c r="AE1276" s="8" t="s">
        <v>53</v>
      </c>
      <c r="AF1276" s="8" t="s">
        <v>52</v>
      </c>
      <c r="AG1276" s="8" t="s">
        <v>52</v>
      </c>
      <c r="AH1276" s="8" t="s">
        <v>64</v>
      </c>
      <c r="AK1276" s="8">
        <v>3</v>
      </c>
      <c r="AL1276" s="8">
        <v>3</v>
      </c>
      <c r="AN1276" s="8">
        <v>474</v>
      </c>
      <c r="AO1276" s="8" t="s">
        <v>56</v>
      </c>
      <c r="AP1276" s="8">
        <v>25</v>
      </c>
      <c r="AQ1276" s="8" t="s">
        <v>109</v>
      </c>
      <c r="AR1276" s="8">
        <v>7.77</v>
      </c>
      <c r="AS1276" s="8" t="s">
        <v>56</v>
      </c>
      <c r="AT1276" s="8">
        <v>0.01</v>
      </c>
      <c r="AU1276" s="8">
        <v>2065</v>
      </c>
      <c r="AV1276" t="s">
        <v>56</v>
      </c>
      <c r="AW1276">
        <v>89</v>
      </c>
      <c r="AX1276">
        <v>7.25</v>
      </c>
      <c r="AY1276" t="s">
        <v>56</v>
      </c>
      <c r="AZ1276">
        <v>0.02</v>
      </c>
      <c r="BB1276" s="8">
        <f>LOG(AU1276)</f>
        <v>3.3149200559924199</v>
      </c>
      <c r="BC1276" s="8">
        <v>11.1</v>
      </c>
      <c r="BD1276" s="8" t="s">
        <v>56</v>
      </c>
      <c r="BE1276" s="8">
        <v>0</v>
      </c>
      <c r="BF1276" s="8">
        <v>14</v>
      </c>
      <c r="BG1276" s="8" t="s">
        <v>56</v>
      </c>
      <c r="BH1276" s="8">
        <v>0</v>
      </c>
      <c r="BI1276" s="8">
        <v>1591</v>
      </c>
      <c r="BJ1276" s="8">
        <v>2.9</v>
      </c>
      <c r="BK1276" s="8" t="s">
        <v>56</v>
      </c>
      <c r="BL1276" s="8" t="s">
        <v>196</v>
      </c>
      <c r="BM1276" s="8" t="s">
        <v>197</v>
      </c>
      <c r="BN1276" s="8" t="s">
        <v>81</v>
      </c>
      <c r="BO1276" s="8" t="s">
        <v>82</v>
      </c>
      <c r="BP1276" s="8" t="s">
        <v>83</v>
      </c>
      <c r="BR1276" s="8" t="s">
        <v>84</v>
      </c>
      <c r="BT1276" s="8">
        <v>71.37</v>
      </c>
      <c r="BU1276" s="8">
        <v>71.370142999999999</v>
      </c>
      <c r="BV1276" s="8">
        <v>2.83</v>
      </c>
      <c r="BW1276" s="8">
        <f>BV1276*SQRT(AK1276)</f>
        <v>4.9017037854199224</v>
      </c>
      <c r="BX1276" s="8">
        <v>42.74</v>
      </c>
      <c r="BY1276" s="8">
        <v>42.740286300000001</v>
      </c>
      <c r="BZ1276" s="8">
        <v>4.72</v>
      </c>
      <c r="CA1276" s="8">
        <f>BZ1276*SQRT(AL1276)</f>
        <v>8.1752798117250993</v>
      </c>
      <c r="CB1276" s="8">
        <v>4</v>
      </c>
      <c r="CC1276" s="8">
        <v>3</v>
      </c>
      <c r="CD1276" s="8">
        <v>-0.51300000000000001</v>
      </c>
      <c r="CE1276" s="8">
        <v>1.38E-2</v>
      </c>
    </row>
    <row r="1277" spans="1:83" s="8" customFormat="1" hidden="1" x14ac:dyDescent="0.2">
      <c r="C1277" s="8" t="s">
        <v>1129</v>
      </c>
      <c r="D1277" s="8">
        <v>9</v>
      </c>
      <c r="G1277" s="8" t="s">
        <v>43</v>
      </c>
      <c r="H1277" s="8" t="s">
        <v>184</v>
      </c>
      <c r="I1277" s="8" t="s">
        <v>1129</v>
      </c>
      <c r="J1277" s="8">
        <v>2018</v>
      </c>
      <c r="M1277" s="8" t="s">
        <v>185</v>
      </c>
      <c r="T1277" s="8" t="s">
        <v>131</v>
      </c>
      <c r="U1277" s="8" t="s">
        <v>186</v>
      </c>
      <c r="V1277" s="8" t="s">
        <v>187</v>
      </c>
      <c r="Z1277" s="8" t="s">
        <v>49</v>
      </c>
      <c r="AA1277" s="8" t="s">
        <v>49</v>
      </c>
      <c r="AB1277" s="8" t="s">
        <v>71</v>
      </c>
      <c r="AC1277" s="8" t="s">
        <v>195</v>
      </c>
      <c r="AD1277" s="8" t="s">
        <v>52</v>
      </c>
      <c r="AE1277" s="8" t="s">
        <v>53</v>
      </c>
      <c r="AF1277" s="8" t="s">
        <v>52</v>
      </c>
      <c r="AG1277" s="8" t="s">
        <v>54</v>
      </c>
      <c r="AH1277" s="8" t="s">
        <v>55</v>
      </c>
      <c r="AK1277" s="8">
        <v>3</v>
      </c>
      <c r="AL1277" s="8">
        <v>3</v>
      </c>
      <c r="AN1277" s="8">
        <v>474</v>
      </c>
      <c r="AO1277" s="8" t="s">
        <v>56</v>
      </c>
      <c r="AP1277" s="8">
        <v>24</v>
      </c>
      <c r="AQ1277" s="8" t="s">
        <v>109</v>
      </c>
      <c r="AR1277" s="8">
        <v>7.77</v>
      </c>
      <c r="AS1277" s="8" t="s">
        <v>56</v>
      </c>
      <c r="AT1277" s="8">
        <v>0.01</v>
      </c>
      <c r="AU1277" s="8">
        <v>2021</v>
      </c>
      <c r="AV1277" t="s">
        <v>56</v>
      </c>
      <c r="AW1277">
        <v>137</v>
      </c>
      <c r="AX1277">
        <v>7.22</v>
      </c>
      <c r="AY1277" t="s">
        <v>56</v>
      </c>
      <c r="AZ1277">
        <v>0.02</v>
      </c>
      <c r="BB1277" s="8">
        <f>LOG(AU1277)</f>
        <v>3.3055663135153042</v>
      </c>
      <c r="BC1277" s="8">
        <v>11.1</v>
      </c>
      <c r="BD1277" s="8" t="s">
        <v>56</v>
      </c>
      <c r="BE1277" s="8">
        <v>0</v>
      </c>
      <c r="BF1277" s="8">
        <v>11.1</v>
      </c>
      <c r="BG1277" s="8" t="s">
        <v>56</v>
      </c>
      <c r="BH1277" s="8">
        <v>0.1</v>
      </c>
      <c r="BI1277" s="8">
        <v>1547</v>
      </c>
      <c r="BJ1277" s="8">
        <v>0</v>
      </c>
      <c r="BK1277" s="8" t="s">
        <v>56</v>
      </c>
      <c r="BL1277" s="8" t="s">
        <v>196</v>
      </c>
      <c r="BM1277" s="8" t="s">
        <v>197</v>
      </c>
      <c r="BN1277" s="8" t="s">
        <v>81</v>
      </c>
      <c r="BO1277" s="8" t="s">
        <v>82</v>
      </c>
      <c r="BP1277" s="8" t="s">
        <v>83</v>
      </c>
      <c r="BR1277" s="8" t="s">
        <v>84</v>
      </c>
      <c r="BT1277" s="8">
        <v>71.37</v>
      </c>
      <c r="BU1277" s="8">
        <v>71.370142999999999</v>
      </c>
      <c r="BV1277" s="8">
        <v>2.83</v>
      </c>
      <c r="BW1277" s="8">
        <f>BV1277*SQRT(AK1277)</f>
        <v>4.9017037854199224</v>
      </c>
      <c r="BX1277" s="8">
        <v>62.37</v>
      </c>
      <c r="BY1277" s="8">
        <v>62.372188100000002</v>
      </c>
      <c r="BZ1277" s="8">
        <v>6.26</v>
      </c>
      <c r="CA1277" s="8">
        <f>BZ1277*SQRT(AL1277)</f>
        <v>10.842638055381171</v>
      </c>
      <c r="CB1277" s="8">
        <v>4</v>
      </c>
      <c r="CC1277" s="8">
        <v>3</v>
      </c>
      <c r="CD1277" s="8">
        <v>-0.13500000000000001</v>
      </c>
      <c r="CE1277" s="8">
        <v>1.1599999999999999E-2</v>
      </c>
    </row>
    <row r="1278" spans="1:83" s="8" customFormat="1" hidden="1" x14ac:dyDescent="0.2">
      <c r="A1278"/>
      <c r="B1278" t="str">
        <f>ROW()-1&amp;"_AltersInvert"</f>
        <v>1277_AltersInvert</v>
      </c>
      <c r="C1278" t="str">
        <f>D1278&amp;"_"&amp;
SUBSTITUTE(TRIM(V1278)," ","_")&amp;"_"&amp;
TRIM(AC1278)&amp;"_"&amp;
"CO2"&amp;TEXT(AN1278,"0.00")&amp;"_"&amp;
"pH"&amp;TEXT(AR1278,"0.00")&amp;"_"&amp;
"T"&amp;TEXT(BC1278,"0.##")</f>
        <v>212_Crassostrea_gigas_LARVA_CO2375.00_pH0.00_T18.</v>
      </c>
      <c r="D1278">
        <v>212</v>
      </c>
      <c r="E1278"/>
      <c r="F1278"/>
      <c r="G1278" t="s">
        <v>43</v>
      </c>
      <c r="H1278" t="s">
        <v>1063</v>
      </c>
      <c r="I1278"/>
      <c r="J1278">
        <v>2010</v>
      </c>
      <c r="K1278" t="s">
        <v>1062</v>
      </c>
      <c r="L1278"/>
      <c r="M1278" t="s">
        <v>67</v>
      </c>
      <c r="N1278"/>
      <c r="O1278"/>
      <c r="P1278" t="s">
        <v>1135</v>
      </c>
      <c r="Q1278"/>
      <c r="R1278" t="s">
        <v>1127</v>
      </c>
      <c r="S1278" t="s">
        <v>1128</v>
      </c>
      <c r="T1278" t="s">
        <v>68</v>
      </c>
      <c r="U1278" t="s">
        <v>167</v>
      </c>
      <c r="V1278" t="s">
        <v>168</v>
      </c>
      <c r="W1278"/>
      <c r="X1278"/>
      <c r="Y1278"/>
      <c r="Z1278"/>
      <c r="AA1278"/>
      <c r="AB1278"/>
      <c r="AC1278" t="s">
        <v>72</v>
      </c>
      <c r="AD1278"/>
      <c r="AE1278"/>
      <c r="AF1278" t="s">
        <v>52</v>
      </c>
      <c r="AG1278" t="s">
        <v>54</v>
      </c>
      <c r="AH1278" t="s">
        <v>55</v>
      </c>
      <c r="AI1278"/>
      <c r="AJ1278"/>
      <c r="AK1278">
        <v>3</v>
      </c>
      <c r="AL1278">
        <v>3</v>
      </c>
      <c r="AM1278"/>
      <c r="AN1278">
        <v>375</v>
      </c>
      <c r="AO1278"/>
      <c r="AP1278"/>
      <c r="AQ1278"/>
      <c r="AR1278"/>
      <c r="AS1278"/>
      <c r="AT1278"/>
      <c r="AU1278">
        <v>600</v>
      </c>
      <c r="AV1278"/>
      <c r="AW1278"/>
      <c r="AX1278"/>
      <c r="AY1278"/>
      <c r="AZ1278"/>
      <c r="BA1278"/>
      <c r="BB1278">
        <f>LOG(AU1278)</f>
        <v>2.7781512503836434</v>
      </c>
      <c r="BC1278">
        <v>18</v>
      </c>
      <c r="BD1278"/>
      <c r="BE1278"/>
      <c r="BF1278">
        <v>18</v>
      </c>
      <c r="BG1278"/>
      <c r="BH1278"/>
      <c r="BI1278">
        <v>225</v>
      </c>
      <c r="BJ1278">
        <v>0</v>
      </c>
      <c r="BK1278" t="s">
        <v>1064</v>
      </c>
      <c r="BL1278" t="s">
        <v>85</v>
      </c>
      <c r="BM1278" t="s">
        <v>86</v>
      </c>
      <c r="BN1278" t="s">
        <v>81</v>
      </c>
      <c r="BO1278" t="s">
        <v>82</v>
      </c>
      <c r="BP1278" t="s">
        <v>9</v>
      </c>
      <c r="BQ1278" t="s">
        <v>9</v>
      </c>
      <c r="BR1278" t="s">
        <v>84</v>
      </c>
      <c r="BS1278"/>
      <c r="BT1278">
        <v>22.01</v>
      </c>
      <c r="BU1278">
        <v>77.994</v>
      </c>
      <c r="BV1278">
        <v>2.86</v>
      </c>
      <c r="BW1278">
        <f>BV1278*SQRT(AK1278)</f>
        <v>4.9536653096469889</v>
      </c>
      <c r="BX1278">
        <v>36.020000000000003</v>
      </c>
      <c r="BY1278">
        <v>63.975999999999999</v>
      </c>
      <c r="BZ1278">
        <v>2.57</v>
      </c>
      <c r="CA1278">
        <f>BZ1278*SQRT(AL1278)</f>
        <v>4.4513705754520139</v>
      </c>
      <c r="CB1278">
        <v>2</v>
      </c>
      <c r="CC1278">
        <v>3</v>
      </c>
      <c r="CD1278">
        <v>-0.19800000000000001</v>
      </c>
      <c r="CE1278">
        <v>3.0000000000000001E-3</v>
      </c>
    </row>
    <row r="1279" spans="1:83" s="8" customFormat="1" hidden="1" x14ac:dyDescent="0.2">
      <c r="A1279"/>
      <c r="B1279" t="str">
        <f>ROW()-1&amp;"_AltersInvert"</f>
        <v>1278_AltersInvert</v>
      </c>
      <c r="C1279" t="str">
        <f>D1279&amp;"_"&amp;
SUBSTITUTE(TRIM(V1279)," ","_")&amp;"_"&amp;
TRIM(AC1279)&amp;"_"&amp;
"CO2"&amp;TEXT(AN1279,"0.00")&amp;"_"&amp;
"pH"&amp;TEXT(AR1279,"0.00")&amp;"_"&amp;
"T"&amp;TEXT(BC1279,"0.##")</f>
        <v>212_Crassostrea_gigas_LARVA_CO2375.00_pH0.00_T18.</v>
      </c>
      <c r="D1279">
        <v>212</v>
      </c>
      <c r="E1279"/>
      <c r="F1279"/>
      <c r="G1279" t="s">
        <v>43</v>
      </c>
      <c r="H1279" t="s">
        <v>1063</v>
      </c>
      <c r="I1279"/>
      <c r="J1279">
        <v>2010</v>
      </c>
      <c r="K1279" t="s">
        <v>1062</v>
      </c>
      <c r="L1279"/>
      <c r="M1279" t="s">
        <v>67</v>
      </c>
      <c r="N1279"/>
      <c r="O1279"/>
      <c r="P1279" t="s">
        <v>1135</v>
      </c>
      <c r="Q1279"/>
      <c r="R1279" t="s">
        <v>1127</v>
      </c>
      <c r="S1279" t="s">
        <v>1128</v>
      </c>
      <c r="T1279" t="s">
        <v>68</v>
      </c>
      <c r="U1279" t="s">
        <v>167</v>
      </c>
      <c r="V1279" t="s">
        <v>168</v>
      </c>
      <c r="W1279"/>
      <c r="X1279"/>
      <c r="Y1279"/>
      <c r="Z1279"/>
      <c r="AA1279"/>
      <c r="AB1279"/>
      <c r="AC1279" t="s">
        <v>72</v>
      </c>
      <c r="AD1279"/>
      <c r="AE1279"/>
      <c r="AF1279" t="s">
        <v>52</v>
      </c>
      <c r="AG1279" t="s">
        <v>54</v>
      </c>
      <c r="AH1279" t="s">
        <v>55</v>
      </c>
      <c r="AI1279"/>
      <c r="AJ1279"/>
      <c r="AK1279">
        <v>3</v>
      </c>
      <c r="AL1279">
        <v>3</v>
      </c>
      <c r="AM1279"/>
      <c r="AN1279">
        <v>375</v>
      </c>
      <c r="AO1279"/>
      <c r="AP1279"/>
      <c r="AQ1279"/>
      <c r="AR1279"/>
      <c r="AS1279"/>
      <c r="AT1279"/>
      <c r="AU1279">
        <v>750</v>
      </c>
      <c r="AV1279"/>
      <c r="AW1279"/>
      <c r="AX1279"/>
      <c r="AY1279"/>
      <c r="AZ1279"/>
      <c r="BA1279"/>
      <c r="BB1279">
        <f>LOG(AU1279)</f>
        <v>2.8750612633917001</v>
      </c>
      <c r="BC1279">
        <v>18</v>
      </c>
      <c r="BD1279"/>
      <c r="BE1279"/>
      <c r="BF1279">
        <v>18</v>
      </c>
      <c r="BG1279"/>
      <c r="BH1279"/>
      <c r="BI1279">
        <v>375</v>
      </c>
      <c r="BJ1279">
        <v>0</v>
      </c>
      <c r="BK1279" t="s">
        <v>1064</v>
      </c>
      <c r="BL1279" t="s">
        <v>85</v>
      </c>
      <c r="BM1279" t="s">
        <v>86</v>
      </c>
      <c r="BN1279" t="s">
        <v>81</v>
      </c>
      <c r="BO1279" t="s">
        <v>82</v>
      </c>
      <c r="BP1279" t="s">
        <v>9</v>
      </c>
      <c r="BQ1279" t="s">
        <v>9</v>
      </c>
      <c r="BR1279" t="s">
        <v>84</v>
      </c>
      <c r="BS1279"/>
      <c r="BT1279">
        <v>22.01</v>
      </c>
      <c r="BU1279">
        <v>77.994</v>
      </c>
      <c r="BV1279">
        <v>2.86</v>
      </c>
      <c r="BW1279">
        <f>BV1279*SQRT(AK1279)</f>
        <v>4.9536653096469889</v>
      </c>
      <c r="BX1279">
        <v>45.47</v>
      </c>
      <c r="BY1279">
        <v>54.529000000000003</v>
      </c>
      <c r="BZ1279">
        <v>1.71</v>
      </c>
      <c r="CA1279">
        <f>BZ1279*SQRT(AL1279)</f>
        <v>2.9618068809427798</v>
      </c>
      <c r="CB1279">
        <v>2</v>
      </c>
      <c r="CC1279">
        <v>3</v>
      </c>
      <c r="CD1279">
        <v>-0.35799999999999998</v>
      </c>
      <c r="CE1279">
        <v>2.3E-3</v>
      </c>
    </row>
    <row r="1280" spans="1:83" s="8" customFormat="1" hidden="1" x14ac:dyDescent="0.2">
      <c r="A1280"/>
      <c r="B1280" t="str">
        <f>ROW()-1&amp;"_AltersInvert"</f>
        <v>1279_AltersInvert</v>
      </c>
      <c r="C1280" t="str">
        <f>D1280&amp;"_"&amp;
SUBSTITUTE(TRIM(V1280)," ","_")&amp;"_"&amp;
TRIM(AC1280)&amp;"_"&amp;
"CO2"&amp;TEXT(AN1280,"0.00")&amp;"_"&amp;
"pH"&amp;TEXT(AR1280,"0.00")&amp;"_"&amp;
"T"&amp;TEXT(BC1280,"0.##")</f>
        <v>212_Crassostrea_gigas_LARVA_CO2375.00_pH0.00_T18.</v>
      </c>
      <c r="D1280">
        <v>212</v>
      </c>
      <c r="E1280"/>
      <c r="F1280"/>
      <c r="G1280" t="s">
        <v>43</v>
      </c>
      <c r="H1280" t="s">
        <v>1063</v>
      </c>
      <c r="I1280"/>
      <c r="J1280">
        <v>2010</v>
      </c>
      <c r="K1280" t="s">
        <v>1062</v>
      </c>
      <c r="L1280"/>
      <c r="M1280" t="s">
        <v>67</v>
      </c>
      <c r="N1280"/>
      <c r="O1280"/>
      <c r="P1280" t="s">
        <v>1135</v>
      </c>
      <c r="Q1280"/>
      <c r="R1280" t="s">
        <v>1127</v>
      </c>
      <c r="S1280" t="s">
        <v>1128</v>
      </c>
      <c r="T1280" t="s">
        <v>68</v>
      </c>
      <c r="U1280" t="s">
        <v>167</v>
      </c>
      <c r="V1280" t="s">
        <v>168</v>
      </c>
      <c r="W1280"/>
      <c r="X1280"/>
      <c r="Y1280"/>
      <c r="Z1280"/>
      <c r="AA1280"/>
      <c r="AB1280"/>
      <c r="AC1280" t="s">
        <v>72</v>
      </c>
      <c r="AD1280"/>
      <c r="AE1280"/>
      <c r="AF1280" t="s">
        <v>52</v>
      </c>
      <c r="AG1280" t="s">
        <v>54</v>
      </c>
      <c r="AH1280" t="s">
        <v>55</v>
      </c>
      <c r="AI1280"/>
      <c r="AJ1280"/>
      <c r="AK1280">
        <v>3</v>
      </c>
      <c r="AL1280">
        <v>3</v>
      </c>
      <c r="AM1280"/>
      <c r="AN1280">
        <v>375</v>
      </c>
      <c r="AO1280"/>
      <c r="AP1280"/>
      <c r="AQ1280"/>
      <c r="AR1280"/>
      <c r="AS1280"/>
      <c r="AT1280"/>
      <c r="AU1280">
        <v>1000</v>
      </c>
      <c r="AV1280"/>
      <c r="AW1280"/>
      <c r="AX1280"/>
      <c r="AY1280"/>
      <c r="AZ1280"/>
      <c r="BA1280"/>
      <c r="BB1280">
        <f>LOG(AU1280)</f>
        <v>3</v>
      </c>
      <c r="BC1280">
        <v>18</v>
      </c>
      <c r="BD1280"/>
      <c r="BE1280"/>
      <c r="BF1280">
        <v>18</v>
      </c>
      <c r="BG1280"/>
      <c r="BH1280"/>
      <c r="BI1280">
        <v>625</v>
      </c>
      <c r="BJ1280">
        <v>0</v>
      </c>
      <c r="BK1280" t="s">
        <v>1064</v>
      </c>
      <c r="BL1280" t="s">
        <v>85</v>
      </c>
      <c r="BM1280" t="s">
        <v>86</v>
      </c>
      <c r="BN1280" t="s">
        <v>81</v>
      </c>
      <c r="BO1280" t="s">
        <v>82</v>
      </c>
      <c r="BP1280" t="s">
        <v>9</v>
      </c>
      <c r="BQ1280" t="s">
        <v>9</v>
      </c>
      <c r="BR1280" t="s">
        <v>84</v>
      </c>
      <c r="BS1280"/>
      <c r="BT1280">
        <v>22.01</v>
      </c>
      <c r="BU1280">
        <v>77.994</v>
      </c>
      <c r="BV1280">
        <v>2.86</v>
      </c>
      <c r="BW1280">
        <f>BV1280*SQRT(AK1280)</f>
        <v>4.9536653096469889</v>
      </c>
      <c r="BX1280">
        <v>60.06</v>
      </c>
      <c r="BY1280">
        <v>39.941000000000003</v>
      </c>
      <c r="BZ1280">
        <v>1.72</v>
      </c>
      <c r="CA1280">
        <f>BZ1280*SQRT(AL1280)</f>
        <v>2.9791273890184686</v>
      </c>
      <c r="CB1280">
        <v>2</v>
      </c>
      <c r="CC1280">
        <v>3</v>
      </c>
      <c r="CD1280">
        <v>-0.66900000000000004</v>
      </c>
      <c r="CE1280">
        <v>3.2000000000000002E-3</v>
      </c>
    </row>
    <row r="1281" spans="1:84" s="8" customFormat="1" hidden="1" x14ac:dyDescent="0.2">
      <c r="A1281"/>
      <c r="B1281" t="str">
        <f>ROW()-1&amp;"_AltersInvert"</f>
        <v>1280_AltersInvert</v>
      </c>
      <c r="C1281" t="str">
        <f>D1281&amp;"_"&amp;
SUBSTITUTE(TRIM(V1281)," ","_")&amp;"_"&amp;
TRIM(AC1281)&amp;"_"&amp;
"CO2"&amp;TEXT(AN1281,"0.00")&amp;"_"&amp;
"pH"&amp;TEXT(AR1281,"0.00")&amp;"_"&amp;
"T"&amp;TEXT(BC1281,"0.##")</f>
        <v>212_Crassostrea_gigas_LARVA_CO2375.00_pH0.00_T18.</v>
      </c>
      <c r="D1281">
        <v>212</v>
      </c>
      <c r="E1281"/>
      <c r="F1281"/>
      <c r="G1281" t="s">
        <v>43</v>
      </c>
      <c r="H1281" t="s">
        <v>1063</v>
      </c>
      <c r="I1281"/>
      <c r="J1281">
        <v>2010</v>
      </c>
      <c r="K1281" t="s">
        <v>1062</v>
      </c>
      <c r="L1281"/>
      <c r="M1281" t="s">
        <v>67</v>
      </c>
      <c r="N1281"/>
      <c r="O1281"/>
      <c r="P1281" t="s">
        <v>1135</v>
      </c>
      <c r="Q1281"/>
      <c r="R1281" t="s">
        <v>1127</v>
      </c>
      <c r="S1281" t="s">
        <v>1128</v>
      </c>
      <c r="T1281" t="s">
        <v>68</v>
      </c>
      <c r="U1281" t="s">
        <v>167</v>
      </c>
      <c r="V1281" t="s">
        <v>168</v>
      </c>
      <c r="W1281"/>
      <c r="X1281"/>
      <c r="Y1281"/>
      <c r="Z1281"/>
      <c r="AA1281"/>
      <c r="AB1281"/>
      <c r="AC1281" t="s">
        <v>72</v>
      </c>
      <c r="AD1281"/>
      <c r="AE1281"/>
      <c r="AF1281" t="s">
        <v>54</v>
      </c>
      <c r="AG1281" t="s">
        <v>52</v>
      </c>
      <c r="AH1281" t="s">
        <v>65</v>
      </c>
      <c r="AI1281"/>
      <c r="AJ1281"/>
      <c r="AK1281">
        <v>3</v>
      </c>
      <c r="AL1281">
        <v>3</v>
      </c>
      <c r="AM1281"/>
      <c r="AN1281">
        <v>375</v>
      </c>
      <c r="AO1281"/>
      <c r="AP1281"/>
      <c r="AQ1281"/>
      <c r="AR1281"/>
      <c r="AS1281"/>
      <c r="AT1281"/>
      <c r="AU1281">
        <v>375</v>
      </c>
      <c r="AV1281"/>
      <c r="AW1281"/>
      <c r="AX1281"/>
      <c r="AY1281"/>
      <c r="AZ1281"/>
      <c r="BA1281"/>
      <c r="BB1281">
        <f>LOG(AU1281)</f>
        <v>2.5740312677277188</v>
      </c>
      <c r="BC1281">
        <v>18</v>
      </c>
      <c r="BD1281"/>
      <c r="BE1281"/>
      <c r="BF1281">
        <v>26</v>
      </c>
      <c r="BG1281"/>
      <c r="BH1281"/>
      <c r="BI1281">
        <v>0</v>
      </c>
      <c r="BJ1281">
        <v>8</v>
      </c>
      <c r="BK1281" t="s">
        <v>1064</v>
      </c>
      <c r="BL1281" t="s">
        <v>85</v>
      </c>
      <c r="BM1281" t="s">
        <v>86</v>
      </c>
      <c r="BN1281" t="s">
        <v>81</v>
      </c>
      <c r="BO1281" t="s">
        <v>82</v>
      </c>
      <c r="BP1281" t="s">
        <v>9</v>
      </c>
      <c r="BQ1281" t="s">
        <v>9</v>
      </c>
      <c r="BR1281" t="s">
        <v>84</v>
      </c>
      <c r="BS1281"/>
      <c r="BT1281">
        <v>22.01</v>
      </c>
      <c r="BU1281">
        <v>77.994</v>
      </c>
      <c r="BV1281">
        <v>2.86</v>
      </c>
      <c r="BW1281">
        <f>BV1281*SQRT(AK1281)</f>
        <v>4.9536653096469889</v>
      </c>
      <c r="BX1281">
        <v>6.72</v>
      </c>
      <c r="BY1281">
        <v>93.278999999999996</v>
      </c>
      <c r="BZ1281">
        <v>1.71</v>
      </c>
      <c r="CA1281">
        <f>BZ1281*SQRT(AL1281)</f>
        <v>2.9618068809427798</v>
      </c>
      <c r="CB1281">
        <v>2</v>
      </c>
      <c r="CC1281">
        <v>3</v>
      </c>
      <c r="CD1281">
        <v>0.17899999999999999</v>
      </c>
      <c r="CE1281">
        <v>1.6999999999999999E-3</v>
      </c>
      <c r="CF1281"/>
    </row>
    <row r="1282" spans="1:84" s="8" customFormat="1" hidden="1" x14ac:dyDescent="0.2">
      <c r="A1282"/>
      <c r="B1282" t="str">
        <f>ROW()-1&amp;"_AltersInvert"</f>
        <v>1281_AltersInvert</v>
      </c>
      <c r="C1282" t="str">
        <f>D1282&amp;"_"&amp;
SUBSTITUTE(TRIM(V1282)," ","_")&amp;"_"&amp;
TRIM(AC1282)&amp;"_"&amp;
"CO2"&amp;TEXT(AN1282,"0.00")&amp;"_"&amp;
"pH"&amp;TEXT(AR1282,"0.00")&amp;"_"&amp;
"T"&amp;TEXT(BC1282,"0.##")</f>
        <v>212_Crassostrea_gigas_LARVA_CO2375.00_pH0.00_T18.</v>
      </c>
      <c r="D1282">
        <v>212</v>
      </c>
      <c r="E1282"/>
      <c r="F1282"/>
      <c r="G1282" t="s">
        <v>43</v>
      </c>
      <c r="H1282" t="s">
        <v>1063</v>
      </c>
      <c r="I1282"/>
      <c r="J1282">
        <v>2010</v>
      </c>
      <c r="K1282" t="s">
        <v>1062</v>
      </c>
      <c r="L1282"/>
      <c r="M1282" t="s">
        <v>67</v>
      </c>
      <c r="N1282"/>
      <c r="O1282"/>
      <c r="P1282" t="s">
        <v>1135</v>
      </c>
      <c r="Q1282"/>
      <c r="R1282" t="s">
        <v>1127</v>
      </c>
      <c r="S1282" t="s">
        <v>1128</v>
      </c>
      <c r="T1282" t="s">
        <v>68</v>
      </c>
      <c r="U1282" t="s">
        <v>167</v>
      </c>
      <c r="V1282" t="s">
        <v>168</v>
      </c>
      <c r="W1282"/>
      <c r="X1282"/>
      <c r="Y1282"/>
      <c r="Z1282"/>
      <c r="AA1282"/>
      <c r="AB1282"/>
      <c r="AC1282" t="s">
        <v>72</v>
      </c>
      <c r="AD1282"/>
      <c r="AE1282"/>
      <c r="AF1282" t="s">
        <v>54</v>
      </c>
      <c r="AG1282" t="s">
        <v>52</v>
      </c>
      <c r="AH1282" t="s">
        <v>65</v>
      </c>
      <c r="AI1282"/>
      <c r="AJ1282"/>
      <c r="AK1282">
        <v>3</v>
      </c>
      <c r="AL1282">
        <v>3</v>
      </c>
      <c r="AM1282"/>
      <c r="AN1282">
        <v>375</v>
      </c>
      <c r="AO1282"/>
      <c r="AP1282"/>
      <c r="AQ1282"/>
      <c r="AR1282"/>
      <c r="AS1282"/>
      <c r="AT1282"/>
      <c r="AU1282">
        <v>375</v>
      </c>
      <c r="AV1282"/>
      <c r="AW1282"/>
      <c r="AX1282"/>
      <c r="AY1282"/>
      <c r="AZ1282"/>
      <c r="BA1282"/>
      <c r="BB1282">
        <f>LOG(AU1282)</f>
        <v>2.5740312677277188</v>
      </c>
      <c r="BC1282">
        <v>18</v>
      </c>
      <c r="BD1282"/>
      <c r="BE1282"/>
      <c r="BF1282">
        <v>22</v>
      </c>
      <c r="BG1282"/>
      <c r="BH1282"/>
      <c r="BI1282">
        <v>0</v>
      </c>
      <c r="BJ1282">
        <v>4</v>
      </c>
      <c r="BK1282" t="s">
        <v>1064</v>
      </c>
      <c r="BL1282" t="s">
        <v>85</v>
      </c>
      <c r="BM1282" t="s">
        <v>86</v>
      </c>
      <c r="BN1282" t="s">
        <v>81</v>
      </c>
      <c r="BO1282" t="s">
        <v>82</v>
      </c>
      <c r="BP1282" t="s">
        <v>9</v>
      </c>
      <c r="BQ1282" t="s">
        <v>9</v>
      </c>
      <c r="BR1282" t="s">
        <v>84</v>
      </c>
      <c r="BS1282"/>
      <c r="BT1282">
        <v>22.01</v>
      </c>
      <c r="BU1282">
        <v>77.994</v>
      </c>
      <c r="BV1282">
        <v>2.86</v>
      </c>
      <c r="BW1282">
        <f>BV1282*SQRT(AK1282)</f>
        <v>4.9536653096469889</v>
      </c>
      <c r="BX1282">
        <v>9.51</v>
      </c>
      <c r="BY1282">
        <v>90.492999999999995</v>
      </c>
      <c r="BZ1282">
        <v>0.86</v>
      </c>
      <c r="CA1282">
        <f>BZ1282*SQRT(AL1282)</f>
        <v>1.4895636945092343</v>
      </c>
      <c r="CB1282">
        <v>2</v>
      </c>
      <c r="CC1282">
        <v>3</v>
      </c>
      <c r="CD1282">
        <v>0.14899999999999999</v>
      </c>
      <c r="CE1282">
        <v>1.4E-3</v>
      </c>
      <c r="CF1282"/>
    </row>
    <row r="1283" spans="1:84" s="8" customFormat="1" hidden="1" x14ac:dyDescent="0.2">
      <c r="A1283"/>
      <c r="B1283" t="str">
        <f>ROW()-1&amp;"_AltersInvert"</f>
        <v>1282_AltersInvert</v>
      </c>
      <c r="C1283" t="str">
        <f>D1283&amp;"_"&amp;
SUBSTITUTE(TRIM(V1283)," ","_")&amp;"_"&amp;
TRIM(AC1283)&amp;"_"&amp;
"CO2"&amp;TEXT(AN1283,"0.00")&amp;"_"&amp;
"pH"&amp;TEXT(AR1283,"0.00")&amp;"_"&amp;
"T"&amp;TEXT(BC1283,"0.##")</f>
        <v>212_Crassostrea_gigas_LARVA_CO2375.00_pH0.00_T18.</v>
      </c>
      <c r="D1283">
        <v>212</v>
      </c>
      <c r="E1283"/>
      <c r="F1283"/>
      <c r="G1283" t="s">
        <v>43</v>
      </c>
      <c r="H1283" t="s">
        <v>1063</v>
      </c>
      <c r="I1283"/>
      <c r="J1283">
        <v>2010</v>
      </c>
      <c r="K1283" t="s">
        <v>1062</v>
      </c>
      <c r="L1283"/>
      <c r="M1283" t="s">
        <v>67</v>
      </c>
      <c r="N1283"/>
      <c r="O1283"/>
      <c r="P1283" t="s">
        <v>1135</v>
      </c>
      <c r="Q1283"/>
      <c r="R1283" t="s">
        <v>1127</v>
      </c>
      <c r="S1283" t="s">
        <v>1128</v>
      </c>
      <c r="T1283" t="s">
        <v>68</v>
      </c>
      <c r="U1283" t="s">
        <v>167</v>
      </c>
      <c r="V1283" t="s">
        <v>168</v>
      </c>
      <c r="W1283"/>
      <c r="X1283"/>
      <c r="Y1283"/>
      <c r="Z1283"/>
      <c r="AA1283"/>
      <c r="AB1283"/>
      <c r="AC1283" t="s">
        <v>72</v>
      </c>
      <c r="AD1283"/>
      <c r="AE1283"/>
      <c r="AF1283" t="s">
        <v>54</v>
      </c>
      <c r="AG1283" t="s">
        <v>52</v>
      </c>
      <c r="AH1283" t="s">
        <v>65</v>
      </c>
      <c r="AI1283"/>
      <c r="AJ1283"/>
      <c r="AK1283">
        <v>3</v>
      </c>
      <c r="AL1283">
        <v>3</v>
      </c>
      <c r="AM1283"/>
      <c r="AN1283">
        <v>375</v>
      </c>
      <c r="AO1283"/>
      <c r="AP1283"/>
      <c r="AQ1283"/>
      <c r="AR1283"/>
      <c r="AS1283"/>
      <c r="AT1283"/>
      <c r="AU1283">
        <v>375</v>
      </c>
      <c r="AV1283"/>
      <c r="AW1283"/>
      <c r="AX1283"/>
      <c r="AY1283"/>
      <c r="AZ1283"/>
      <c r="BA1283"/>
      <c r="BB1283">
        <f>LOG(AU1283)</f>
        <v>2.5740312677277188</v>
      </c>
      <c r="BC1283">
        <v>18</v>
      </c>
      <c r="BD1283"/>
      <c r="BE1283"/>
      <c r="BF1283">
        <v>30</v>
      </c>
      <c r="BG1283"/>
      <c r="BH1283"/>
      <c r="BI1283">
        <v>0</v>
      </c>
      <c r="BJ1283">
        <v>12</v>
      </c>
      <c r="BK1283" t="s">
        <v>1064</v>
      </c>
      <c r="BL1283" t="s">
        <v>85</v>
      </c>
      <c r="BM1283" t="s">
        <v>86</v>
      </c>
      <c r="BN1283" t="s">
        <v>81</v>
      </c>
      <c r="BO1283" t="s">
        <v>82</v>
      </c>
      <c r="BP1283" t="s">
        <v>9</v>
      </c>
      <c r="BQ1283" t="s">
        <v>9</v>
      </c>
      <c r="BR1283" t="s">
        <v>84</v>
      </c>
      <c r="BS1283"/>
      <c r="BT1283">
        <v>22.01</v>
      </c>
      <c r="BU1283">
        <v>77.994</v>
      </c>
      <c r="BV1283">
        <v>2.86</v>
      </c>
      <c r="BW1283">
        <f>BV1283*SQRT(AK1283)</f>
        <v>4.9536653096469889</v>
      </c>
      <c r="BX1283">
        <v>15.36</v>
      </c>
      <c r="BY1283">
        <v>84.635999999999996</v>
      </c>
      <c r="BZ1283">
        <v>1.1399999999999999</v>
      </c>
      <c r="CA1283">
        <f>BZ1283*SQRT(AL1283)</f>
        <v>1.9745379206285198</v>
      </c>
      <c r="CB1283">
        <v>2</v>
      </c>
      <c r="CC1283">
        <v>3</v>
      </c>
      <c r="CD1283">
        <v>8.2000000000000003E-2</v>
      </c>
      <c r="CE1283">
        <v>1.5E-3</v>
      </c>
      <c r="CF1283"/>
    </row>
    <row r="1284" spans="1:84" s="8" customFormat="1" hidden="1" x14ac:dyDescent="0.2">
      <c r="A1284"/>
      <c r="B1284" t="str">
        <f>ROW()-1&amp;"_AltersInvert"</f>
        <v>1283_AltersInvert</v>
      </c>
      <c r="C1284" t="str">
        <f>D1284&amp;"_"&amp;
SUBSTITUTE(TRIM(V1284)," ","_")&amp;"_"&amp;
TRIM(AC1284)&amp;"_"&amp;
"CO2"&amp;TEXT(AN1284,"0.00")&amp;"_"&amp;
"pH"&amp;TEXT(AR1284,"0.00")&amp;"_"&amp;
"T"&amp;TEXT(BC1284,"0.##")</f>
        <v>212_Crassostrea_gigas_LARVA_CO2375.00_pH0.00_T18.</v>
      </c>
      <c r="D1284">
        <v>212</v>
      </c>
      <c r="E1284"/>
      <c r="F1284"/>
      <c r="G1284" t="s">
        <v>43</v>
      </c>
      <c r="H1284" t="s">
        <v>1063</v>
      </c>
      <c r="I1284"/>
      <c r="J1284">
        <v>2010</v>
      </c>
      <c r="K1284" t="s">
        <v>1062</v>
      </c>
      <c r="L1284"/>
      <c r="M1284" t="s">
        <v>67</v>
      </c>
      <c r="N1284"/>
      <c r="O1284"/>
      <c r="P1284" t="s">
        <v>1135</v>
      </c>
      <c r="Q1284"/>
      <c r="R1284" t="s">
        <v>1127</v>
      </c>
      <c r="S1284" t="s">
        <v>1128</v>
      </c>
      <c r="T1284" t="s">
        <v>68</v>
      </c>
      <c r="U1284" t="s">
        <v>167</v>
      </c>
      <c r="V1284" t="s">
        <v>168</v>
      </c>
      <c r="W1284"/>
      <c r="X1284"/>
      <c r="Y1284"/>
      <c r="Z1284"/>
      <c r="AA1284"/>
      <c r="AB1284"/>
      <c r="AC1284" t="s">
        <v>72</v>
      </c>
      <c r="AD1284"/>
      <c r="AE1284"/>
      <c r="AF1284" t="s">
        <v>52</v>
      </c>
      <c r="AG1284" t="s">
        <v>52</v>
      </c>
      <c r="AH1284" t="s">
        <v>64</v>
      </c>
      <c r="AI1284"/>
      <c r="AJ1284"/>
      <c r="AK1284">
        <v>3</v>
      </c>
      <c r="AL1284">
        <v>3</v>
      </c>
      <c r="AM1284"/>
      <c r="AN1284">
        <v>375</v>
      </c>
      <c r="AO1284"/>
      <c r="AP1284"/>
      <c r="AQ1284"/>
      <c r="AR1284"/>
      <c r="AS1284"/>
      <c r="AT1284"/>
      <c r="AU1284">
        <v>600</v>
      </c>
      <c r="AV1284"/>
      <c r="AW1284"/>
      <c r="AX1284"/>
      <c r="AY1284"/>
      <c r="AZ1284"/>
      <c r="BA1284"/>
      <c r="BB1284">
        <f>LOG(AU1284)</f>
        <v>2.7781512503836434</v>
      </c>
      <c r="BC1284">
        <v>18</v>
      </c>
      <c r="BD1284"/>
      <c r="BE1284"/>
      <c r="BF1284">
        <v>22</v>
      </c>
      <c r="BG1284"/>
      <c r="BH1284"/>
      <c r="BI1284">
        <v>225</v>
      </c>
      <c r="BJ1284">
        <v>4</v>
      </c>
      <c r="BK1284" t="s">
        <v>1064</v>
      </c>
      <c r="BL1284" t="s">
        <v>85</v>
      </c>
      <c r="BM1284" t="s">
        <v>86</v>
      </c>
      <c r="BN1284" t="s">
        <v>81</v>
      </c>
      <c r="BO1284" t="s">
        <v>82</v>
      </c>
      <c r="BP1284" t="s">
        <v>9</v>
      </c>
      <c r="BQ1284" t="s">
        <v>9</v>
      </c>
      <c r="BR1284" t="s">
        <v>84</v>
      </c>
      <c r="BS1284"/>
      <c r="BT1284">
        <v>22.01</v>
      </c>
      <c r="BU1284">
        <v>77.994</v>
      </c>
      <c r="BV1284">
        <v>2.86</v>
      </c>
      <c r="BW1284">
        <f>BV1284*SQRT(AK1284)</f>
        <v>4.9536653096469889</v>
      </c>
      <c r="BX1284">
        <v>30.1</v>
      </c>
      <c r="BY1284">
        <v>69.903000000000006</v>
      </c>
      <c r="BZ1284">
        <v>0.56999999999999995</v>
      </c>
      <c r="CA1284">
        <f>BZ1284*SQRT(AL1284)</f>
        <v>0.98726896031425992</v>
      </c>
      <c r="CB1284">
        <v>2</v>
      </c>
      <c r="CC1284">
        <v>3</v>
      </c>
      <c r="CD1284">
        <v>-0.11</v>
      </c>
      <c r="CE1284">
        <v>1.4E-3</v>
      </c>
      <c r="CF1284"/>
    </row>
    <row r="1285" spans="1:84" s="8" customFormat="1" hidden="1" x14ac:dyDescent="0.2">
      <c r="A1285"/>
      <c r="B1285" t="str">
        <f>ROW()-1&amp;"_AltersInvert"</f>
        <v>1284_AltersInvert</v>
      </c>
      <c r="C1285" t="str">
        <f>D1285&amp;"_"&amp;
SUBSTITUTE(TRIM(V1285)," ","_")&amp;"_"&amp;
TRIM(AC1285)&amp;"_"&amp;
"CO2"&amp;TEXT(AN1285,"0.00")&amp;"_"&amp;
"pH"&amp;TEXT(AR1285,"0.00")&amp;"_"&amp;
"T"&amp;TEXT(BC1285,"0.##")</f>
        <v>212_Crassostrea_gigas_LARVA_CO2375.00_pH0.00_T18.</v>
      </c>
      <c r="D1285">
        <v>212</v>
      </c>
      <c r="E1285"/>
      <c r="F1285"/>
      <c r="G1285" t="s">
        <v>43</v>
      </c>
      <c r="H1285" t="s">
        <v>1063</v>
      </c>
      <c r="I1285"/>
      <c r="J1285">
        <v>2010</v>
      </c>
      <c r="K1285" t="s">
        <v>1062</v>
      </c>
      <c r="L1285"/>
      <c r="M1285" t="s">
        <v>67</v>
      </c>
      <c r="N1285"/>
      <c r="O1285"/>
      <c r="P1285" t="s">
        <v>1135</v>
      </c>
      <c r="Q1285"/>
      <c r="R1285" t="s">
        <v>1127</v>
      </c>
      <c r="S1285" t="s">
        <v>1128</v>
      </c>
      <c r="T1285" t="s">
        <v>68</v>
      </c>
      <c r="U1285" t="s">
        <v>167</v>
      </c>
      <c r="V1285" t="s">
        <v>168</v>
      </c>
      <c r="W1285"/>
      <c r="X1285"/>
      <c r="Y1285"/>
      <c r="Z1285"/>
      <c r="AA1285"/>
      <c r="AB1285"/>
      <c r="AC1285" t="s">
        <v>72</v>
      </c>
      <c r="AD1285"/>
      <c r="AE1285"/>
      <c r="AF1285" t="s">
        <v>52</v>
      </c>
      <c r="AG1285" t="s">
        <v>52</v>
      </c>
      <c r="AH1285" t="s">
        <v>64</v>
      </c>
      <c r="AI1285"/>
      <c r="AJ1285"/>
      <c r="AK1285">
        <v>3</v>
      </c>
      <c r="AL1285">
        <v>3</v>
      </c>
      <c r="AM1285"/>
      <c r="AN1285">
        <v>375</v>
      </c>
      <c r="AO1285"/>
      <c r="AP1285"/>
      <c r="AQ1285"/>
      <c r="AR1285"/>
      <c r="AS1285"/>
      <c r="AT1285"/>
      <c r="AU1285">
        <v>750</v>
      </c>
      <c r="AV1285"/>
      <c r="AW1285"/>
      <c r="AX1285"/>
      <c r="AY1285"/>
      <c r="AZ1285"/>
      <c r="BA1285"/>
      <c r="BB1285">
        <f>LOG(AU1285)</f>
        <v>2.8750612633917001</v>
      </c>
      <c r="BC1285">
        <v>18</v>
      </c>
      <c r="BD1285"/>
      <c r="BE1285"/>
      <c r="BF1285">
        <v>26</v>
      </c>
      <c r="BG1285"/>
      <c r="BH1285"/>
      <c r="BI1285">
        <v>375</v>
      </c>
      <c r="BJ1285">
        <v>8</v>
      </c>
      <c r="BK1285" t="s">
        <v>1064</v>
      </c>
      <c r="BL1285" t="s">
        <v>85</v>
      </c>
      <c r="BM1285" t="s">
        <v>86</v>
      </c>
      <c r="BN1285" t="s">
        <v>81</v>
      </c>
      <c r="BO1285" t="s">
        <v>82</v>
      </c>
      <c r="BP1285" t="s">
        <v>9</v>
      </c>
      <c r="BQ1285" t="s">
        <v>9</v>
      </c>
      <c r="BR1285" t="s">
        <v>84</v>
      </c>
      <c r="BS1285"/>
      <c r="BT1285">
        <v>22.01</v>
      </c>
      <c r="BU1285">
        <v>77.994</v>
      </c>
      <c r="BV1285">
        <v>2.86</v>
      </c>
      <c r="BW1285">
        <f>BV1285*SQRT(AK1285)</f>
        <v>4.9536653096469889</v>
      </c>
      <c r="BX1285">
        <v>35.619999999999997</v>
      </c>
      <c r="BY1285">
        <v>64.385000000000005</v>
      </c>
      <c r="BZ1285">
        <v>1.71</v>
      </c>
      <c r="CA1285">
        <f>BZ1285*SQRT(AL1285)</f>
        <v>2.9618068809427798</v>
      </c>
      <c r="CB1285">
        <v>2</v>
      </c>
      <c r="CC1285">
        <v>3</v>
      </c>
      <c r="CD1285">
        <v>-0.192</v>
      </c>
      <c r="CE1285">
        <v>2E-3</v>
      </c>
    </row>
    <row r="1286" spans="1:84" s="8" customFormat="1" hidden="1" x14ac:dyDescent="0.2">
      <c r="A1286"/>
      <c r="B1286" t="str">
        <f>ROW()-1&amp;"_AltersInvert"</f>
        <v>1285_AltersInvert</v>
      </c>
      <c r="C1286" t="str">
        <f>D1286&amp;"_"&amp;
SUBSTITUTE(TRIM(V1286)," ","_")&amp;"_"&amp;
TRIM(AC1286)&amp;"_"&amp;
"CO2"&amp;TEXT(AN1286,"0.00")&amp;"_"&amp;
"pH"&amp;TEXT(AR1286,"0.00")&amp;"_"&amp;
"T"&amp;TEXT(BC1286,"0.##")</f>
        <v>212_Crassostrea_gigas_LARVA_CO2375.00_pH0.00_T18.</v>
      </c>
      <c r="D1286">
        <v>212</v>
      </c>
      <c r="E1286"/>
      <c r="F1286"/>
      <c r="G1286" t="s">
        <v>43</v>
      </c>
      <c r="H1286" t="s">
        <v>1063</v>
      </c>
      <c r="I1286"/>
      <c r="J1286">
        <v>2010</v>
      </c>
      <c r="K1286" t="s">
        <v>1062</v>
      </c>
      <c r="L1286"/>
      <c r="M1286" t="s">
        <v>67</v>
      </c>
      <c r="N1286"/>
      <c r="O1286"/>
      <c r="P1286" t="s">
        <v>1135</v>
      </c>
      <c r="Q1286"/>
      <c r="R1286" t="s">
        <v>1127</v>
      </c>
      <c r="S1286" t="s">
        <v>1128</v>
      </c>
      <c r="T1286" t="s">
        <v>68</v>
      </c>
      <c r="U1286" t="s">
        <v>167</v>
      </c>
      <c r="V1286" t="s">
        <v>168</v>
      </c>
      <c r="W1286"/>
      <c r="X1286"/>
      <c r="Y1286"/>
      <c r="Z1286"/>
      <c r="AA1286"/>
      <c r="AB1286"/>
      <c r="AC1286" t="s">
        <v>72</v>
      </c>
      <c r="AD1286"/>
      <c r="AE1286"/>
      <c r="AF1286" t="s">
        <v>52</v>
      </c>
      <c r="AG1286" t="s">
        <v>52</v>
      </c>
      <c r="AH1286" t="s">
        <v>64</v>
      </c>
      <c r="AI1286"/>
      <c r="AJ1286"/>
      <c r="AK1286">
        <v>3</v>
      </c>
      <c r="AL1286">
        <v>3</v>
      </c>
      <c r="AM1286"/>
      <c r="AN1286">
        <v>375</v>
      </c>
      <c r="AO1286"/>
      <c r="AP1286"/>
      <c r="AQ1286"/>
      <c r="AR1286"/>
      <c r="AS1286"/>
      <c r="AT1286"/>
      <c r="AU1286">
        <v>600</v>
      </c>
      <c r="AV1286"/>
      <c r="AW1286"/>
      <c r="AX1286"/>
      <c r="AY1286"/>
      <c r="AZ1286"/>
      <c r="BA1286"/>
      <c r="BB1286">
        <f>LOG(AU1286)</f>
        <v>2.7781512503836434</v>
      </c>
      <c r="BC1286">
        <v>18</v>
      </c>
      <c r="BD1286"/>
      <c r="BE1286"/>
      <c r="BF1286">
        <v>26</v>
      </c>
      <c r="BG1286"/>
      <c r="BH1286"/>
      <c r="BI1286">
        <v>225</v>
      </c>
      <c r="BJ1286">
        <v>8</v>
      </c>
      <c r="BK1286" t="s">
        <v>1064</v>
      </c>
      <c r="BL1286" t="s">
        <v>85</v>
      </c>
      <c r="BM1286" t="s">
        <v>86</v>
      </c>
      <c r="BN1286" t="s">
        <v>81</v>
      </c>
      <c r="BO1286" t="s">
        <v>82</v>
      </c>
      <c r="BP1286" t="s">
        <v>9</v>
      </c>
      <c r="BQ1286" t="s">
        <v>9</v>
      </c>
      <c r="BR1286" t="s">
        <v>84</v>
      </c>
      <c r="BS1286"/>
      <c r="BT1286">
        <v>22.01</v>
      </c>
      <c r="BU1286">
        <v>77.994</v>
      </c>
      <c r="BV1286">
        <v>2.86</v>
      </c>
      <c r="BW1286">
        <f>BV1286*SQRT(AK1286)</f>
        <v>4.9536653096469889</v>
      </c>
      <c r="BX1286">
        <v>35.880000000000003</v>
      </c>
      <c r="BY1286">
        <v>64.119</v>
      </c>
      <c r="BZ1286">
        <v>1.1399999999999999</v>
      </c>
      <c r="CA1286">
        <f>BZ1286*SQRT(AL1286)</f>
        <v>1.9745379206285198</v>
      </c>
      <c r="CB1286">
        <v>2</v>
      </c>
      <c r="CC1286">
        <v>3</v>
      </c>
      <c r="CD1286">
        <v>-0.19600000000000001</v>
      </c>
      <c r="CE1286">
        <v>1.6999999999999999E-3</v>
      </c>
    </row>
    <row r="1287" spans="1:84" s="8" customFormat="1" hidden="1" x14ac:dyDescent="0.2">
      <c r="A1287"/>
      <c r="B1287" t="str">
        <f>ROW()-1&amp;"_AltersInvert"</f>
        <v>1286_AltersInvert</v>
      </c>
      <c r="C1287" t="str">
        <f>D1287&amp;"_"&amp;
SUBSTITUTE(TRIM(V1287)," ","_")&amp;"_"&amp;
TRIM(AC1287)&amp;"_"&amp;
"CO2"&amp;TEXT(AN1287,"0.00")&amp;"_"&amp;
"pH"&amp;TEXT(AR1287,"0.00")&amp;"_"&amp;
"T"&amp;TEXT(BC1287,"0.##")</f>
        <v>212_Crassostrea_gigas_LARVA_CO2375.00_pH0.00_T18.</v>
      </c>
      <c r="D1287">
        <v>212</v>
      </c>
      <c r="E1287"/>
      <c r="F1287"/>
      <c r="G1287" t="s">
        <v>43</v>
      </c>
      <c r="H1287" t="s">
        <v>1063</v>
      </c>
      <c r="I1287"/>
      <c r="J1287">
        <v>2010</v>
      </c>
      <c r="K1287" t="s">
        <v>1062</v>
      </c>
      <c r="L1287"/>
      <c r="M1287" t="s">
        <v>67</v>
      </c>
      <c r="N1287"/>
      <c r="O1287"/>
      <c r="P1287" t="s">
        <v>1135</v>
      </c>
      <c r="Q1287"/>
      <c r="R1287" t="s">
        <v>1127</v>
      </c>
      <c r="S1287" t="s">
        <v>1128</v>
      </c>
      <c r="T1287" t="s">
        <v>68</v>
      </c>
      <c r="U1287" t="s">
        <v>167</v>
      </c>
      <c r="V1287" t="s">
        <v>168</v>
      </c>
      <c r="W1287"/>
      <c r="X1287"/>
      <c r="Y1287"/>
      <c r="Z1287"/>
      <c r="AA1287"/>
      <c r="AB1287"/>
      <c r="AC1287" t="s">
        <v>72</v>
      </c>
      <c r="AD1287"/>
      <c r="AE1287"/>
      <c r="AF1287" t="s">
        <v>52</v>
      </c>
      <c r="AG1287" t="s">
        <v>52</v>
      </c>
      <c r="AH1287" t="s">
        <v>64</v>
      </c>
      <c r="AI1287"/>
      <c r="AJ1287"/>
      <c r="AK1287">
        <v>3</v>
      </c>
      <c r="AL1287">
        <v>3</v>
      </c>
      <c r="AM1287"/>
      <c r="AN1287">
        <v>375</v>
      </c>
      <c r="AO1287"/>
      <c r="AP1287"/>
      <c r="AQ1287"/>
      <c r="AR1287"/>
      <c r="AS1287"/>
      <c r="AT1287"/>
      <c r="AU1287">
        <v>600</v>
      </c>
      <c r="AV1287"/>
      <c r="AW1287"/>
      <c r="AX1287"/>
      <c r="AY1287"/>
      <c r="AZ1287"/>
      <c r="BA1287"/>
      <c r="BB1287">
        <f>LOG(AU1287)</f>
        <v>2.7781512503836434</v>
      </c>
      <c r="BC1287">
        <v>18</v>
      </c>
      <c r="BD1287"/>
      <c r="BE1287"/>
      <c r="BF1287">
        <v>30</v>
      </c>
      <c r="BG1287"/>
      <c r="BH1287"/>
      <c r="BI1287">
        <v>225</v>
      </c>
      <c r="BJ1287">
        <v>12</v>
      </c>
      <c r="BK1287" t="s">
        <v>1064</v>
      </c>
      <c r="BL1287" t="s">
        <v>85</v>
      </c>
      <c r="BM1287" t="s">
        <v>86</v>
      </c>
      <c r="BN1287" t="s">
        <v>81</v>
      </c>
      <c r="BO1287" t="s">
        <v>82</v>
      </c>
      <c r="BP1287" t="s">
        <v>9</v>
      </c>
      <c r="BQ1287" t="s">
        <v>9</v>
      </c>
      <c r="BR1287" t="s">
        <v>84</v>
      </c>
      <c r="BS1287"/>
      <c r="BT1287">
        <v>22.01</v>
      </c>
      <c r="BU1287">
        <v>77.994</v>
      </c>
      <c r="BV1287">
        <v>2.86</v>
      </c>
      <c r="BW1287">
        <f>BV1287*SQRT(AK1287)</f>
        <v>4.9536653096469889</v>
      </c>
      <c r="BX1287">
        <v>36.520000000000003</v>
      </c>
      <c r="BY1287">
        <v>63.475999999999999</v>
      </c>
      <c r="BZ1287">
        <v>0.86</v>
      </c>
      <c r="CA1287">
        <f>BZ1287*SQRT(AL1287)</f>
        <v>1.4895636945092343</v>
      </c>
      <c r="CB1287">
        <v>2</v>
      </c>
      <c r="CC1287">
        <v>3</v>
      </c>
      <c r="CD1287">
        <v>-0.20599999999999999</v>
      </c>
      <c r="CE1287">
        <v>1.5E-3</v>
      </c>
    </row>
    <row r="1288" spans="1:84" s="8" customFormat="1" hidden="1" x14ac:dyDescent="0.2">
      <c r="A1288"/>
      <c r="B1288" t="str">
        <f>ROW()-1&amp;"_AltersInvert"</f>
        <v>1287_AltersInvert</v>
      </c>
      <c r="C1288" t="str">
        <f>D1288&amp;"_"&amp;
SUBSTITUTE(TRIM(V1288)," ","_")&amp;"_"&amp;
TRIM(AC1288)&amp;"_"&amp;
"CO2"&amp;TEXT(AN1288,"0.00")&amp;"_"&amp;
"pH"&amp;TEXT(AR1288,"0.00")&amp;"_"&amp;
"T"&amp;TEXT(BC1288,"0.##")</f>
        <v>212_Crassostrea_gigas_LARVA_CO2375.00_pH0.00_T18.</v>
      </c>
      <c r="D1288">
        <v>212</v>
      </c>
      <c r="E1288"/>
      <c r="F1288"/>
      <c r="G1288" t="s">
        <v>43</v>
      </c>
      <c r="H1288" t="s">
        <v>1063</v>
      </c>
      <c r="I1288"/>
      <c r="J1288">
        <v>2010</v>
      </c>
      <c r="K1288" t="s">
        <v>1062</v>
      </c>
      <c r="L1288"/>
      <c r="M1288" t="s">
        <v>67</v>
      </c>
      <c r="N1288"/>
      <c r="O1288"/>
      <c r="P1288" t="s">
        <v>1135</v>
      </c>
      <c r="Q1288"/>
      <c r="R1288" t="s">
        <v>1127</v>
      </c>
      <c r="S1288" t="s">
        <v>1128</v>
      </c>
      <c r="T1288" t="s">
        <v>68</v>
      </c>
      <c r="U1288" t="s">
        <v>167</v>
      </c>
      <c r="V1288" t="s">
        <v>168</v>
      </c>
      <c r="W1288"/>
      <c r="X1288"/>
      <c r="Y1288"/>
      <c r="Z1288"/>
      <c r="AA1288"/>
      <c r="AB1288"/>
      <c r="AC1288" t="s">
        <v>72</v>
      </c>
      <c r="AD1288"/>
      <c r="AE1288"/>
      <c r="AF1288" t="s">
        <v>52</v>
      </c>
      <c r="AG1288" t="s">
        <v>52</v>
      </c>
      <c r="AH1288" t="s">
        <v>64</v>
      </c>
      <c r="AI1288"/>
      <c r="AJ1288"/>
      <c r="AK1288">
        <v>3</v>
      </c>
      <c r="AL1288">
        <v>3</v>
      </c>
      <c r="AM1288"/>
      <c r="AN1288">
        <v>375</v>
      </c>
      <c r="AO1288"/>
      <c r="AP1288"/>
      <c r="AQ1288"/>
      <c r="AR1288"/>
      <c r="AS1288"/>
      <c r="AT1288"/>
      <c r="AU1288">
        <v>750</v>
      </c>
      <c r="AV1288"/>
      <c r="AW1288"/>
      <c r="AX1288"/>
      <c r="AY1288"/>
      <c r="AZ1288"/>
      <c r="BA1288"/>
      <c r="BB1288">
        <f>LOG(AU1288)</f>
        <v>2.8750612633917001</v>
      </c>
      <c r="BC1288">
        <v>18</v>
      </c>
      <c r="BD1288"/>
      <c r="BE1288"/>
      <c r="BF1288">
        <v>22</v>
      </c>
      <c r="BG1288"/>
      <c r="BH1288"/>
      <c r="BI1288">
        <v>375</v>
      </c>
      <c r="BJ1288">
        <v>4</v>
      </c>
      <c r="BK1288" t="s">
        <v>1064</v>
      </c>
      <c r="BL1288" t="s">
        <v>85</v>
      </c>
      <c r="BM1288" t="s">
        <v>86</v>
      </c>
      <c r="BN1288" t="s">
        <v>81</v>
      </c>
      <c r="BO1288" t="s">
        <v>82</v>
      </c>
      <c r="BP1288" t="s">
        <v>9</v>
      </c>
      <c r="BQ1288" t="s">
        <v>9</v>
      </c>
      <c r="BR1288" t="s">
        <v>84</v>
      </c>
      <c r="BS1288"/>
      <c r="BT1288">
        <v>22.01</v>
      </c>
      <c r="BU1288">
        <v>77.994</v>
      </c>
      <c r="BV1288">
        <v>2.86</v>
      </c>
      <c r="BW1288">
        <f>BV1288*SQRT(AK1288)</f>
        <v>4.9536653096469889</v>
      </c>
      <c r="BX1288">
        <v>37.54</v>
      </c>
      <c r="BY1288">
        <v>62.457999999999998</v>
      </c>
      <c r="BZ1288">
        <v>2.29</v>
      </c>
      <c r="CA1288">
        <f>BZ1288*SQRT(AL1288)</f>
        <v>3.966396349332729</v>
      </c>
      <c r="CB1288">
        <v>2</v>
      </c>
      <c r="CC1288">
        <v>3</v>
      </c>
      <c r="CD1288">
        <v>-0.222</v>
      </c>
      <c r="CE1288">
        <v>2.7000000000000001E-3</v>
      </c>
    </row>
    <row r="1289" spans="1:84" s="8" customFormat="1" hidden="1" x14ac:dyDescent="0.2">
      <c r="A1289"/>
      <c r="B1289" t="str">
        <f>ROW()-1&amp;"_AltersInvert"</f>
        <v>1288_AltersInvert</v>
      </c>
      <c r="C1289" t="str">
        <f>D1289&amp;"_"&amp;
SUBSTITUTE(TRIM(V1289)," ","_")&amp;"_"&amp;
TRIM(AC1289)&amp;"_"&amp;
"CO2"&amp;TEXT(AN1289,"0.00")&amp;"_"&amp;
"pH"&amp;TEXT(AR1289,"0.00")&amp;"_"&amp;
"T"&amp;TEXT(BC1289,"0.##")</f>
        <v>212_Crassostrea_gigas_LARVA_CO2375.00_pH0.00_T18.</v>
      </c>
      <c r="D1289">
        <v>212</v>
      </c>
      <c r="E1289"/>
      <c r="F1289"/>
      <c r="G1289" t="s">
        <v>43</v>
      </c>
      <c r="H1289" t="s">
        <v>1063</v>
      </c>
      <c r="I1289"/>
      <c r="J1289">
        <v>2010</v>
      </c>
      <c r="K1289" t="s">
        <v>1062</v>
      </c>
      <c r="L1289"/>
      <c r="M1289" t="s">
        <v>67</v>
      </c>
      <c r="N1289"/>
      <c r="O1289"/>
      <c r="P1289" t="s">
        <v>1135</v>
      </c>
      <c r="Q1289"/>
      <c r="R1289" t="s">
        <v>1127</v>
      </c>
      <c r="S1289" t="s">
        <v>1128</v>
      </c>
      <c r="T1289" t="s">
        <v>68</v>
      </c>
      <c r="U1289" t="s">
        <v>167</v>
      </c>
      <c r="V1289" t="s">
        <v>168</v>
      </c>
      <c r="W1289"/>
      <c r="X1289"/>
      <c r="Y1289"/>
      <c r="Z1289"/>
      <c r="AA1289"/>
      <c r="AB1289"/>
      <c r="AC1289" t="s">
        <v>72</v>
      </c>
      <c r="AD1289"/>
      <c r="AE1289"/>
      <c r="AF1289" t="s">
        <v>52</v>
      </c>
      <c r="AG1289" t="s">
        <v>52</v>
      </c>
      <c r="AH1289" t="s">
        <v>64</v>
      </c>
      <c r="AI1289"/>
      <c r="AJ1289"/>
      <c r="AK1289">
        <v>3</v>
      </c>
      <c r="AL1289">
        <v>3</v>
      </c>
      <c r="AM1289"/>
      <c r="AN1289">
        <v>375</v>
      </c>
      <c r="AO1289"/>
      <c r="AP1289"/>
      <c r="AQ1289"/>
      <c r="AR1289"/>
      <c r="AS1289"/>
      <c r="AT1289"/>
      <c r="AU1289">
        <v>1000</v>
      </c>
      <c r="AV1289"/>
      <c r="AW1289"/>
      <c r="AX1289"/>
      <c r="AY1289"/>
      <c r="AZ1289"/>
      <c r="BA1289"/>
      <c r="BB1289">
        <f>LOG(AU1289)</f>
        <v>3</v>
      </c>
      <c r="BC1289">
        <v>18</v>
      </c>
      <c r="BD1289"/>
      <c r="BE1289"/>
      <c r="BF1289">
        <v>26</v>
      </c>
      <c r="BG1289"/>
      <c r="BH1289"/>
      <c r="BI1289">
        <v>625</v>
      </c>
      <c r="BJ1289">
        <v>8</v>
      </c>
      <c r="BK1289" t="s">
        <v>1064</v>
      </c>
      <c r="BL1289" t="s">
        <v>85</v>
      </c>
      <c r="BM1289" t="s">
        <v>86</v>
      </c>
      <c r="BN1289" t="s">
        <v>81</v>
      </c>
      <c r="BO1289" t="s">
        <v>82</v>
      </c>
      <c r="BP1289" t="s">
        <v>9</v>
      </c>
      <c r="BQ1289" t="s">
        <v>9</v>
      </c>
      <c r="BR1289" t="s">
        <v>84</v>
      </c>
      <c r="BS1289"/>
      <c r="BT1289">
        <v>22.01</v>
      </c>
      <c r="BU1289">
        <v>77.994</v>
      </c>
      <c r="BV1289">
        <v>2.86</v>
      </c>
      <c r="BW1289">
        <f>BV1289*SQRT(AK1289)</f>
        <v>4.9536653096469889</v>
      </c>
      <c r="BX1289">
        <v>41.92</v>
      </c>
      <c r="BY1289">
        <v>58.084000000000003</v>
      </c>
      <c r="BZ1289">
        <v>0.28999999999999998</v>
      </c>
      <c r="CA1289">
        <f>BZ1289*SQRT(AL1289)</f>
        <v>0.50229473419497439</v>
      </c>
      <c r="CB1289">
        <v>2</v>
      </c>
      <c r="CC1289">
        <v>3</v>
      </c>
      <c r="CD1289">
        <v>-0.29499999999999998</v>
      </c>
      <c r="CE1289">
        <v>1.4E-3</v>
      </c>
    </row>
    <row r="1290" spans="1:84" s="8" customFormat="1" hidden="1" x14ac:dyDescent="0.2">
      <c r="A1290"/>
      <c r="B1290" t="str">
        <f>ROW()-1&amp;"_AltersInvert"</f>
        <v>1289_AltersInvert</v>
      </c>
      <c r="C1290" t="str">
        <f>D1290&amp;"_"&amp;
SUBSTITUTE(TRIM(V1290)," ","_")&amp;"_"&amp;
TRIM(AC1290)&amp;"_"&amp;
"CO2"&amp;TEXT(AN1290,"0.00")&amp;"_"&amp;
"pH"&amp;TEXT(AR1290,"0.00")&amp;"_"&amp;
"T"&amp;TEXT(BC1290,"0.##")</f>
        <v>212_Crassostrea_gigas_LARVA_CO2375.00_pH0.00_T18.</v>
      </c>
      <c r="D1290">
        <v>212</v>
      </c>
      <c r="E1290"/>
      <c r="F1290"/>
      <c r="G1290" t="s">
        <v>43</v>
      </c>
      <c r="H1290" t="s">
        <v>1063</v>
      </c>
      <c r="I1290"/>
      <c r="J1290">
        <v>2010</v>
      </c>
      <c r="K1290" t="s">
        <v>1062</v>
      </c>
      <c r="L1290"/>
      <c r="M1290" t="s">
        <v>67</v>
      </c>
      <c r="N1290"/>
      <c r="O1290"/>
      <c r="P1290" t="s">
        <v>1135</v>
      </c>
      <c r="Q1290"/>
      <c r="R1290" t="s">
        <v>1127</v>
      </c>
      <c r="S1290" t="s">
        <v>1128</v>
      </c>
      <c r="T1290" t="s">
        <v>68</v>
      </c>
      <c r="U1290" t="s">
        <v>167</v>
      </c>
      <c r="V1290" t="s">
        <v>168</v>
      </c>
      <c r="W1290"/>
      <c r="X1290"/>
      <c r="Y1290"/>
      <c r="Z1290"/>
      <c r="AA1290"/>
      <c r="AB1290"/>
      <c r="AC1290" t="s">
        <v>72</v>
      </c>
      <c r="AD1290"/>
      <c r="AE1290"/>
      <c r="AF1290" t="s">
        <v>52</v>
      </c>
      <c r="AG1290" t="s">
        <v>52</v>
      </c>
      <c r="AH1290" t="s">
        <v>64</v>
      </c>
      <c r="AI1290"/>
      <c r="AJ1290"/>
      <c r="AK1290">
        <v>3</v>
      </c>
      <c r="AL1290">
        <v>3</v>
      </c>
      <c r="AM1290"/>
      <c r="AN1290">
        <v>375</v>
      </c>
      <c r="AO1290"/>
      <c r="AP1290"/>
      <c r="AQ1290"/>
      <c r="AR1290"/>
      <c r="AS1290"/>
      <c r="AT1290"/>
      <c r="AU1290">
        <v>1000</v>
      </c>
      <c r="AV1290"/>
      <c r="AW1290"/>
      <c r="AX1290"/>
      <c r="AY1290"/>
      <c r="AZ1290"/>
      <c r="BA1290"/>
      <c r="BB1290">
        <f>LOG(AU1290)</f>
        <v>3</v>
      </c>
      <c r="BC1290">
        <v>18</v>
      </c>
      <c r="BD1290"/>
      <c r="BE1290"/>
      <c r="BF1290">
        <v>22</v>
      </c>
      <c r="BG1290"/>
      <c r="BH1290"/>
      <c r="BI1290">
        <v>625</v>
      </c>
      <c r="BJ1290">
        <v>4</v>
      </c>
      <c r="BK1290" t="s">
        <v>1064</v>
      </c>
      <c r="BL1290" t="s">
        <v>85</v>
      </c>
      <c r="BM1290" t="s">
        <v>86</v>
      </c>
      <c r="BN1290" t="s">
        <v>81</v>
      </c>
      <c r="BO1290" t="s">
        <v>82</v>
      </c>
      <c r="BP1290" t="s">
        <v>9</v>
      </c>
      <c r="BQ1290" t="s">
        <v>9</v>
      </c>
      <c r="BR1290" t="s">
        <v>84</v>
      </c>
      <c r="BS1290"/>
      <c r="BT1290">
        <v>22.01</v>
      </c>
      <c r="BU1290">
        <v>77.994</v>
      </c>
      <c r="BV1290">
        <v>2.86</v>
      </c>
      <c r="BW1290">
        <f>BV1290*SQRT(AK1290)</f>
        <v>4.9536653096469889</v>
      </c>
      <c r="BX1290">
        <v>44.42</v>
      </c>
      <c r="BY1290">
        <v>55.584000000000003</v>
      </c>
      <c r="BZ1290">
        <v>2</v>
      </c>
      <c r="CA1290">
        <f>BZ1290*SQRT(AL1290)</f>
        <v>3.4641016151377544</v>
      </c>
      <c r="CB1290">
        <v>2</v>
      </c>
      <c r="CC1290">
        <v>3</v>
      </c>
      <c r="CD1290">
        <v>-0.33900000000000002</v>
      </c>
      <c r="CE1290">
        <v>2.5999999999999999E-3</v>
      </c>
    </row>
    <row r="1291" spans="1:84" s="8" customFormat="1" hidden="1" x14ac:dyDescent="0.2">
      <c r="A1291"/>
      <c r="B1291" t="str">
        <f>ROW()-1&amp;"_AltersInvert"</f>
        <v>1290_AltersInvert</v>
      </c>
      <c r="C1291" t="str">
        <f>D1291&amp;"_"&amp;
SUBSTITUTE(TRIM(V1291)," ","_")&amp;"_"&amp;
TRIM(AC1291)&amp;"_"&amp;
"CO2"&amp;TEXT(AN1291,"0.00")&amp;"_"&amp;
"pH"&amp;TEXT(AR1291,"0.00")&amp;"_"&amp;
"T"&amp;TEXT(BC1291,"0.##")</f>
        <v>212_Crassostrea_gigas_LARVA_CO2375.00_pH0.00_T18.</v>
      </c>
      <c r="D1291">
        <v>212</v>
      </c>
      <c r="E1291"/>
      <c r="F1291"/>
      <c r="G1291" t="s">
        <v>43</v>
      </c>
      <c r="H1291" t="s">
        <v>1063</v>
      </c>
      <c r="I1291"/>
      <c r="J1291">
        <v>2010</v>
      </c>
      <c r="K1291" t="s">
        <v>1062</v>
      </c>
      <c r="L1291"/>
      <c r="M1291" t="s">
        <v>67</v>
      </c>
      <c r="N1291"/>
      <c r="O1291"/>
      <c r="P1291" t="s">
        <v>1135</v>
      </c>
      <c r="Q1291"/>
      <c r="R1291" t="s">
        <v>1127</v>
      </c>
      <c r="S1291" t="s">
        <v>1128</v>
      </c>
      <c r="T1291" t="s">
        <v>68</v>
      </c>
      <c r="U1291" t="s">
        <v>167</v>
      </c>
      <c r="V1291" t="s">
        <v>168</v>
      </c>
      <c r="W1291"/>
      <c r="X1291"/>
      <c r="Y1291"/>
      <c r="Z1291"/>
      <c r="AA1291"/>
      <c r="AB1291"/>
      <c r="AC1291" t="s">
        <v>72</v>
      </c>
      <c r="AD1291"/>
      <c r="AE1291"/>
      <c r="AF1291" t="s">
        <v>52</v>
      </c>
      <c r="AG1291" t="s">
        <v>52</v>
      </c>
      <c r="AH1291" t="s">
        <v>64</v>
      </c>
      <c r="AI1291"/>
      <c r="AJ1291"/>
      <c r="AK1291">
        <v>3</v>
      </c>
      <c r="AL1291">
        <v>3</v>
      </c>
      <c r="AM1291"/>
      <c r="AN1291">
        <v>375</v>
      </c>
      <c r="AO1291"/>
      <c r="AP1291"/>
      <c r="AQ1291"/>
      <c r="AR1291"/>
      <c r="AS1291"/>
      <c r="AT1291"/>
      <c r="AU1291">
        <v>750</v>
      </c>
      <c r="AV1291"/>
      <c r="AW1291"/>
      <c r="AX1291"/>
      <c r="AY1291"/>
      <c r="AZ1291"/>
      <c r="BA1291"/>
      <c r="BB1291">
        <f>LOG(AU1291)</f>
        <v>2.8750612633917001</v>
      </c>
      <c r="BC1291">
        <v>18</v>
      </c>
      <c r="BD1291"/>
      <c r="BE1291"/>
      <c r="BF1291">
        <v>30</v>
      </c>
      <c r="BG1291"/>
      <c r="BH1291"/>
      <c r="BI1291">
        <v>375</v>
      </c>
      <c r="BJ1291">
        <v>12</v>
      </c>
      <c r="BK1291" t="s">
        <v>1064</v>
      </c>
      <c r="BL1291" t="s">
        <v>85</v>
      </c>
      <c r="BM1291" t="s">
        <v>86</v>
      </c>
      <c r="BN1291" t="s">
        <v>81</v>
      </c>
      <c r="BO1291" t="s">
        <v>82</v>
      </c>
      <c r="BP1291" t="s">
        <v>9</v>
      </c>
      <c r="BQ1291" t="s">
        <v>9</v>
      </c>
      <c r="BR1291" t="s">
        <v>84</v>
      </c>
      <c r="BS1291"/>
      <c r="BT1291">
        <v>22.01</v>
      </c>
      <c r="BU1291">
        <v>77.994</v>
      </c>
      <c r="BV1291">
        <v>2.86</v>
      </c>
      <c r="BW1291">
        <f>BV1291*SQRT(AK1291)</f>
        <v>4.9536653096469889</v>
      </c>
      <c r="BX1291">
        <v>45.4</v>
      </c>
      <c r="BY1291">
        <v>54.6</v>
      </c>
      <c r="BZ1291">
        <v>2.57</v>
      </c>
      <c r="CA1291">
        <f>BZ1291*SQRT(AL1291)</f>
        <v>4.4513705754520139</v>
      </c>
      <c r="CB1291">
        <v>2</v>
      </c>
      <c r="CC1291">
        <v>3</v>
      </c>
      <c r="CD1291">
        <v>-0.35699999999999998</v>
      </c>
      <c r="CE1291">
        <v>3.5999999999999999E-3</v>
      </c>
    </row>
    <row r="1292" spans="1:84" s="8" customFormat="1" hidden="1" x14ac:dyDescent="0.2">
      <c r="A1292"/>
      <c r="B1292" t="str">
        <f>ROW()-1&amp;"_AltersInvert"</f>
        <v>1291_AltersInvert</v>
      </c>
      <c r="C1292" t="str">
        <f>D1292&amp;"_"&amp;
SUBSTITUTE(TRIM(V1292)," ","_")&amp;"_"&amp;
TRIM(AC1292)&amp;"_"&amp;
"CO2"&amp;TEXT(AN1292,"0.00")&amp;"_"&amp;
"pH"&amp;TEXT(AR1292,"0.00")&amp;"_"&amp;
"T"&amp;TEXT(BC1292,"0.##")</f>
        <v>212_Crassostrea_gigas_LARVA_CO2375.00_pH0.00_T18.</v>
      </c>
      <c r="D1292">
        <v>212</v>
      </c>
      <c r="E1292"/>
      <c r="F1292"/>
      <c r="G1292" t="s">
        <v>43</v>
      </c>
      <c r="H1292" t="s">
        <v>1063</v>
      </c>
      <c r="I1292"/>
      <c r="J1292">
        <v>2010</v>
      </c>
      <c r="K1292" t="s">
        <v>1062</v>
      </c>
      <c r="L1292"/>
      <c r="M1292" t="s">
        <v>67</v>
      </c>
      <c r="N1292"/>
      <c r="O1292"/>
      <c r="P1292" t="s">
        <v>1135</v>
      </c>
      <c r="Q1292"/>
      <c r="R1292" t="s">
        <v>1127</v>
      </c>
      <c r="S1292" t="s">
        <v>1128</v>
      </c>
      <c r="T1292" t="s">
        <v>68</v>
      </c>
      <c r="U1292" t="s">
        <v>167</v>
      </c>
      <c r="V1292" t="s">
        <v>168</v>
      </c>
      <c r="W1292"/>
      <c r="X1292"/>
      <c r="Y1292"/>
      <c r="Z1292"/>
      <c r="AA1292"/>
      <c r="AB1292"/>
      <c r="AC1292" t="s">
        <v>72</v>
      </c>
      <c r="AD1292"/>
      <c r="AE1292"/>
      <c r="AF1292" t="s">
        <v>52</v>
      </c>
      <c r="AG1292" t="s">
        <v>52</v>
      </c>
      <c r="AH1292" t="s">
        <v>64</v>
      </c>
      <c r="AI1292"/>
      <c r="AJ1292"/>
      <c r="AK1292">
        <v>3</v>
      </c>
      <c r="AL1292">
        <v>3</v>
      </c>
      <c r="AM1292"/>
      <c r="AN1292">
        <v>375</v>
      </c>
      <c r="AO1292"/>
      <c r="AP1292"/>
      <c r="AQ1292"/>
      <c r="AR1292"/>
      <c r="AS1292"/>
      <c r="AT1292"/>
      <c r="AU1292">
        <v>1000</v>
      </c>
      <c r="AV1292"/>
      <c r="AW1292"/>
      <c r="AX1292"/>
      <c r="AY1292"/>
      <c r="AZ1292"/>
      <c r="BA1292"/>
      <c r="BB1292">
        <f>LOG(AU1292)</f>
        <v>3</v>
      </c>
      <c r="BC1292">
        <v>18</v>
      </c>
      <c r="BD1292"/>
      <c r="BE1292"/>
      <c r="BF1292">
        <v>30</v>
      </c>
      <c r="BG1292"/>
      <c r="BH1292"/>
      <c r="BI1292">
        <v>625</v>
      </c>
      <c r="BJ1292">
        <v>12</v>
      </c>
      <c r="BK1292" t="s">
        <v>1064</v>
      </c>
      <c r="BL1292" t="s">
        <v>85</v>
      </c>
      <c r="BM1292" t="s">
        <v>86</v>
      </c>
      <c r="BN1292" t="s">
        <v>81</v>
      </c>
      <c r="BO1292" t="s">
        <v>82</v>
      </c>
      <c r="BP1292" t="s">
        <v>9</v>
      </c>
      <c r="BQ1292" t="s">
        <v>9</v>
      </c>
      <c r="BR1292" t="s">
        <v>84</v>
      </c>
      <c r="BS1292"/>
      <c r="BT1292">
        <v>22.01</v>
      </c>
      <c r="BU1292">
        <v>77.994</v>
      </c>
      <c r="BV1292">
        <v>2.86</v>
      </c>
      <c r="BW1292">
        <f>BV1292*SQRT(AK1292)</f>
        <v>4.9536653096469889</v>
      </c>
      <c r="BX1292">
        <v>55.13</v>
      </c>
      <c r="BY1292">
        <v>44.87</v>
      </c>
      <c r="BZ1292">
        <v>0.86</v>
      </c>
      <c r="CA1292">
        <f>BZ1292*SQRT(AL1292)</f>
        <v>1.4895636945092343</v>
      </c>
      <c r="CB1292">
        <v>2</v>
      </c>
      <c r="CC1292">
        <v>3</v>
      </c>
      <c r="CD1292">
        <v>-0.55300000000000005</v>
      </c>
      <c r="CE1292">
        <v>1.6999999999999999E-3</v>
      </c>
    </row>
    <row r="1293" spans="1:84" s="8" customFormat="1" hidden="1" x14ac:dyDescent="0.2">
      <c r="B1293" t="str">
        <f>ROW()-1&amp;"_AltersInvert"</f>
        <v>1292_AltersInvert</v>
      </c>
      <c r="C1293" t="str">
        <f>D1293&amp;"_"&amp;
SUBSTITUTE(TRIM(V1293)," ","_")&amp;"_"&amp;
TRIM(AC1293)&amp;"_"&amp;
"CO2"&amp;TEXT(AN1293,"0.00")&amp;"_"&amp;
"pH"&amp;TEXT(AR1293,"0.00")&amp;"_"&amp;
"T"&amp;TEXT(BC1293,"0.##")</f>
        <v>201_Heliocidaris_tuberculata_EMBRYO_CO2327.00_pH8.25_T20.</v>
      </c>
      <c r="D1293" s="8">
        <v>201</v>
      </c>
      <c r="G1293" s="8" t="s">
        <v>43</v>
      </c>
      <c r="H1293" s="8" t="s">
        <v>950</v>
      </c>
      <c r="J1293" s="8">
        <v>2010</v>
      </c>
      <c r="M1293" s="8" t="s">
        <v>67</v>
      </c>
      <c r="P1293" t="s">
        <v>1135</v>
      </c>
      <c r="R1293" s="8" t="s">
        <v>1127</v>
      </c>
      <c r="S1293" t="s">
        <v>1128</v>
      </c>
      <c r="T1293" s="8" t="s">
        <v>46</v>
      </c>
      <c r="U1293" s="8" t="s">
        <v>382</v>
      </c>
      <c r="V1293" s="8" t="s">
        <v>606</v>
      </c>
      <c r="W1293" s="8" t="str">
        <f>IF(ISNUMBER(MATCH(V687,{"Doryteuthis pealeii","Loligo vulgaris","Leptuca thayeri","Stylocheilus striatus","Ophryotrocha labronica"},0)),"N","Y")</f>
        <v>Y</v>
      </c>
      <c r="Z1293" s="8" t="s">
        <v>177</v>
      </c>
      <c r="AA1293" s="8" t="s">
        <v>177</v>
      </c>
      <c r="AB1293" s="8" t="s">
        <v>71</v>
      </c>
      <c r="AC1293" s="8" t="s">
        <v>195</v>
      </c>
      <c r="AD1293" s="8" t="s">
        <v>52</v>
      </c>
      <c r="AE1293" s="8" t="s">
        <v>53</v>
      </c>
      <c r="AF1293" s="8" t="s">
        <v>52</v>
      </c>
      <c r="AG1293" s="8" t="s">
        <v>54</v>
      </c>
      <c r="AH1293" s="8" t="s">
        <v>55</v>
      </c>
      <c r="AK1293" s="8">
        <v>3</v>
      </c>
      <c r="AL1293" s="8">
        <v>3</v>
      </c>
      <c r="AN1293" s="8">
        <v>327</v>
      </c>
      <c r="AO1293" s="8">
        <v>22</v>
      </c>
      <c r="AP1293" s="8" t="s">
        <v>56</v>
      </c>
      <c r="AQ1293" s="8" t="s">
        <v>57</v>
      </c>
      <c r="AR1293" s="8">
        <v>8.25</v>
      </c>
      <c r="AS1293" s="8" t="s">
        <v>56</v>
      </c>
      <c r="AT1293" s="8" t="s">
        <v>56</v>
      </c>
      <c r="AU1293" s="8">
        <v>1051</v>
      </c>
      <c r="AV1293">
        <v>15</v>
      </c>
      <c r="AW1293" t="s">
        <v>56</v>
      </c>
      <c r="AX1293">
        <v>7.8</v>
      </c>
      <c r="AY1293" t="s">
        <v>56</v>
      </c>
      <c r="AZ1293" t="s">
        <v>56</v>
      </c>
      <c r="BB1293" s="8">
        <f>LOG(AU1293)</f>
        <v>3.0216027160282422</v>
      </c>
      <c r="BC1293" s="8">
        <v>20</v>
      </c>
      <c r="BD1293" s="8" t="s">
        <v>56</v>
      </c>
      <c r="BE1293" s="8" t="s">
        <v>56</v>
      </c>
      <c r="BF1293" s="8">
        <v>20</v>
      </c>
      <c r="BG1293" s="8" t="s">
        <v>56</v>
      </c>
      <c r="BH1293" s="8" t="s">
        <v>56</v>
      </c>
      <c r="BI1293" s="8">
        <v>724</v>
      </c>
      <c r="BJ1293" s="8">
        <v>0</v>
      </c>
      <c r="BK1293" s="8" t="s">
        <v>56</v>
      </c>
      <c r="BL1293" s="8" t="s">
        <v>933</v>
      </c>
      <c r="BM1293" s="8" t="s">
        <v>473</v>
      </c>
      <c r="BN1293" s="8" t="s">
        <v>81</v>
      </c>
      <c r="BO1293" s="8" t="s">
        <v>82</v>
      </c>
      <c r="BP1293" s="8" t="s">
        <v>190</v>
      </c>
      <c r="BQ1293" s="8" t="s">
        <v>190</v>
      </c>
      <c r="BR1293" s="8" t="s">
        <v>84</v>
      </c>
      <c r="BT1293" s="8">
        <v>95.9</v>
      </c>
      <c r="BU1293" s="8">
        <v>95.9</v>
      </c>
      <c r="BV1293" s="8">
        <v>2.94</v>
      </c>
      <c r="BW1293" s="8">
        <f>BV1293*SQRT(AK1293)</f>
        <v>5.0922293742524989</v>
      </c>
      <c r="BX1293" s="8">
        <v>92.52</v>
      </c>
      <c r="BY1293" s="8">
        <v>92.52</v>
      </c>
      <c r="BZ1293" s="8">
        <v>4.7</v>
      </c>
      <c r="CA1293" s="8">
        <f>BZ1293*SQRT(AL1293)</f>
        <v>8.1406387955737234</v>
      </c>
      <c r="CB1293" s="8">
        <v>1</v>
      </c>
      <c r="CC1293" s="8">
        <v>1</v>
      </c>
      <c r="CD1293" s="8">
        <v>-3.5999999999999997E-2</v>
      </c>
      <c r="CE1293" s="8">
        <v>3.5000000000000001E-3</v>
      </c>
      <c r="CF1293" s="8" t="s">
        <v>1134</v>
      </c>
    </row>
    <row r="1294" spans="1:84" s="8" customFormat="1" hidden="1" x14ac:dyDescent="0.2">
      <c r="B1294" t="str">
        <f>ROW()-1&amp;"_AltersInvert"</f>
        <v>1293_AltersInvert</v>
      </c>
      <c r="C1294" t="str">
        <f>D1294&amp;"_"&amp;
SUBSTITUTE(TRIM(V1294)," ","_")&amp;"_"&amp;
TRIM(AC1294)&amp;"_"&amp;
"CO2"&amp;TEXT(AN1294,"0.00")&amp;"_"&amp;
"pH"&amp;TEXT(AR1294,"0.00")&amp;"_"&amp;
"T"&amp;TEXT(BC1294,"0.##")</f>
        <v>201_Heliocidaris_tuberculata_EMBRYO_CO2327.00_pH8.25_T20.</v>
      </c>
      <c r="D1294" s="8">
        <v>201</v>
      </c>
      <c r="G1294" s="8" t="s">
        <v>43</v>
      </c>
      <c r="H1294" s="8" t="s">
        <v>950</v>
      </c>
      <c r="J1294" s="8">
        <v>2010</v>
      </c>
      <c r="M1294" s="8" t="s">
        <v>67</v>
      </c>
      <c r="P1294" t="s">
        <v>1135</v>
      </c>
      <c r="R1294" s="8" t="s">
        <v>1127</v>
      </c>
      <c r="S1294" t="s">
        <v>1128</v>
      </c>
      <c r="T1294" s="8" t="s">
        <v>46</v>
      </c>
      <c r="U1294" s="8" t="s">
        <v>382</v>
      </c>
      <c r="V1294" s="8" t="s">
        <v>606</v>
      </c>
      <c r="W1294" s="8" t="str">
        <f>IF(ISNUMBER(MATCH(V688,{"Doryteuthis pealeii","Loligo vulgaris","Leptuca thayeri","Stylocheilus striatus","Ophryotrocha labronica"},0)),"N","Y")</f>
        <v>Y</v>
      </c>
      <c r="Z1294" s="8" t="s">
        <v>177</v>
      </c>
      <c r="AA1294" s="8" t="s">
        <v>177</v>
      </c>
      <c r="AB1294" s="8" t="s">
        <v>71</v>
      </c>
      <c r="AC1294" s="8" t="s">
        <v>195</v>
      </c>
      <c r="AD1294" s="8" t="s">
        <v>52</v>
      </c>
      <c r="AE1294" s="8" t="s">
        <v>53</v>
      </c>
      <c r="AF1294" s="8" t="s">
        <v>52</v>
      </c>
      <c r="AG1294" s="8" t="s">
        <v>54</v>
      </c>
      <c r="AH1294" s="8" t="s">
        <v>55</v>
      </c>
      <c r="AK1294" s="8">
        <v>3</v>
      </c>
      <c r="AL1294" s="8">
        <v>3</v>
      </c>
      <c r="AN1294" s="8">
        <v>327</v>
      </c>
      <c r="AO1294" s="8">
        <v>22</v>
      </c>
      <c r="AP1294" s="8" t="s">
        <v>56</v>
      </c>
      <c r="AQ1294" s="8" t="s">
        <v>57</v>
      </c>
      <c r="AR1294" s="8">
        <v>8.25</v>
      </c>
      <c r="AS1294" s="8" t="s">
        <v>56</v>
      </c>
      <c r="AT1294" s="8" t="s">
        <v>56</v>
      </c>
      <c r="AU1294" s="8">
        <v>1729</v>
      </c>
      <c r="AV1294">
        <v>25</v>
      </c>
      <c r="AW1294" t="s">
        <v>56</v>
      </c>
      <c r="AX1294">
        <v>7.6</v>
      </c>
      <c r="AY1294" t="s">
        <v>56</v>
      </c>
      <c r="AZ1294" t="s">
        <v>56</v>
      </c>
      <c r="BB1294" s="8">
        <f>LOG(AU1294)</f>
        <v>3.2377949932739227</v>
      </c>
      <c r="BC1294" s="8">
        <v>20</v>
      </c>
      <c r="BD1294" s="8" t="s">
        <v>56</v>
      </c>
      <c r="BE1294" s="8" t="s">
        <v>56</v>
      </c>
      <c r="BF1294" s="8">
        <v>20</v>
      </c>
      <c r="BG1294" s="8" t="s">
        <v>56</v>
      </c>
      <c r="BH1294" s="8" t="s">
        <v>56</v>
      </c>
      <c r="BI1294" s="8">
        <v>1402</v>
      </c>
      <c r="BJ1294" s="8">
        <v>0</v>
      </c>
      <c r="BK1294" s="8" t="s">
        <v>56</v>
      </c>
      <c r="BL1294" s="8" t="s">
        <v>933</v>
      </c>
      <c r="BM1294" s="8" t="s">
        <v>473</v>
      </c>
      <c r="BN1294" s="8" t="s">
        <v>81</v>
      </c>
      <c r="BO1294" s="8" t="s">
        <v>82</v>
      </c>
      <c r="BP1294" s="8" t="s">
        <v>190</v>
      </c>
      <c r="BQ1294" s="8" t="s">
        <v>190</v>
      </c>
      <c r="BR1294" s="8" t="s">
        <v>84</v>
      </c>
      <c r="BT1294" s="8">
        <v>95.9</v>
      </c>
      <c r="BU1294" s="8">
        <v>95.9</v>
      </c>
      <c r="BV1294" s="8">
        <v>2.94</v>
      </c>
      <c r="BW1294" s="8">
        <f>BV1294*SQRT(AK1294)</f>
        <v>5.0922293742524989</v>
      </c>
      <c r="BX1294" s="8">
        <v>93.17</v>
      </c>
      <c r="BY1294" s="8">
        <v>93.17</v>
      </c>
      <c r="BZ1294" s="8">
        <v>5.3</v>
      </c>
      <c r="CA1294" s="8">
        <f>BZ1294*SQRT(AL1294)</f>
        <v>9.1798692801150494</v>
      </c>
      <c r="CB1294" s="8">
        <v>1</v>
      </c>
      <c r="CC1294" s="8">
        <v>1</v>
      </c>
      <c r="CD1294" s="8">
        <v>-2.9000000000000001E-2</v>
      </c>
      <c r="CE1294" s="8">
        <v>4.1999999999999997E-3</v>
      </c>
      <c r="CF1294" s="8" t="s">
        <v>1134</v>
      </c>
    </row>
    <row r="1295" spans="1:84" s="8" customFormat="1" hidden="1" x14ac:dyDescent="0.2">
      <c r="B1295" t="str">
        <f>ROW()-1&amp;"_AltersInvert"</f>
        <v>1294_AltersInvert</v>
      </c>
      <c r="C1295" t="str">
        <f>D1295&amp;"_"&amp;
SUBSTITUTE(TRIM(V1295)," ","_")&amp;"_"&amp;
TRIM(AC1295)&amp;"_"&amp;
"CO2"&amp;TEXT(AN1295,"0.00")&amp;"_"&amp;
"pH"&amp;TEXT(AR1295,"0.00")&amp;"_"&amp;
"T"&amp;TEXT(BC1295,"0.##")</f>
        <v>201_Heliocidaris_tuberculata_EMBRYO_CO2327.00_pH8.25_T20.</v>
      </c>
      <c r="D1295" s="8">
        <v>201</v>
      </c>
      <c r="G1295" s="8" t="s">
        <v>43</v>
      </c>
      <c r="H1295" s="8" t="s">
        <v>950</v>
      </c>
      <c r="J1295" s="8">
        <v>2010</v>
      </c>
      <c r="M1295" s="8" t="s">
        <v>67</v>
      </c>
      <c r="P1295" t="s">
        <v>1135</v>
      </c>
      <c r="R1295" s="8" t="s">
        <v>1127</v>
      </c>
      <c r="S1295" t="s">
        <v>1128</v>
      </c>
      <c r="T1295" s="8" t="s">
        <v>46</v>
      </c>
      <c r="U1295" s="8" t="s">
        <v>382</v>
      </c>
      <c r="V1295" s="8" t="s">
        <v>606</v>
      </c>
      <c r="W1295" s="8" t="str">
        <f>IF(ISNUMBER(MATCH(V689,{"Doryteuthis pealeii","Loligo vulgaris","Leptuca thayeri","Stylocheilus striatus","Ophryotrocha labronica"},0)),"N","Y")</f>
        <v>Y</v>
      </c>
      <c r="Z1295" s="8" t="s">
        <v>177</v>
      </c>
      <c r="AA1295" s="8" t="s">
        <v>177</v>
      </c>
      <c r="AB1295" s="8" t="s">
        <v>71</v>
      </c>
      <c r="AC1295" s="8" t="s">
        <v>195</v>
      </c>
      <c r="AD1295" s="8" t="s">
        <v>52</v>
      </c>
      <c r="AE1295" s="8" t="s">
        <v>53</v>
      </c>
      <c r="AF1295" s="8" t="s">
        <v>52</v>
      </c>
      <c r="AG1295" s="8" t="s">
        <v>54</v>
      </c>
      <c r="AH1295" s="8" t="s">
        <v>55</v>
      </c>
      <c r="AK1295" s="8">
        <v>3</v>
      </c>
      <c r="AL1295" s="8">
        <v>3</v>
      </c>
      <c r="AN1295" s="8">
        <v>327</v>
      </c>
      <c r="AO1295" s="8">
        <v>22</v>
      </c>
      <c r="AP1295" s="8" t="s">
        <v>56</v>
      </c>
      <c r="AQ1295" s="8" t="s">
        <v>57</v>
      </c>
      <c r="AR1295" s="8">
        <v>8.25</v>
      </c>
      <c r="AS1295" s="8" t="s">
        <v>56</v>
      </c>
      <c r="AT1295" s="8" t="s">
        <v>56</v>
      </c>
      <c r="AU1295" s="8">
        <v>814</v>
      </c>
      <c r="AV1295">
        <v>12</v>
      </c>
      <c r="AW1295" t="s">
        <v>56</v>
      </c>
      <c r="AX1295">
        <v>7.9</v>
      </c>
      <c r="AY1295" t="s">
        <v>56</v>
      </c>
      <c r="AZ1295" t="s">
        <v>56</v>
      </c>
      <c r="BB1295" s="8">
        <f>LOG(AU1295)</f>
        <v>2.9106244048892012</v>
      </c>
      <c r="BC1295" s="8">
        <v>20</v>
      </c>
      <c r="BD1295" s="8" t="s">
        <v>56</v>
      </c>
      <c r="BE1295" s="8" t="s">
        <v>56</v>
      </c>
      <c r="BF1295" s="8">
        <v>20</v>
      </c>
      <c r="BG1295" s="8" t="s">
        <v>56</v>
      </c>
      <c r="BH1295" s="8" t="s">
        <v>56</v>
      </c>
      <c r="BI1295" s="8">
        <v>487</v>
      </c>
      <c r="BJ1295" s="8">
        <v>0</v>
      </c>
      <c r="BK1295" s="8" t="s">
        <v>56</v>
      </c>
      <c r="BL1295" s="8" t="s">
        <v>933</v>
      </c>
      <c r="BM1295" s="8" t="s">
        <v>473</v>
      </c>
      <c r="BN1295" s="8" t="s">
        <v>81</v>
      </c>
      <c r="BO1295" s="8" t="s">
        <v>82</v>
      </c>
      <c r="BP1295" s="8" t="s">
        <v>190</v>
      </c>
      <c r="BQ1295" s="8" t="s">
        <v>190</v>
      </c>
      <c r="BR1295" s="8" t="s">
        <v>84</v>
      </c>
      <c r="BT1295" s="8">
        <v>95.9</v>
      </c>
      <c r="BU1295" s="8">
        <v>95.9</v>
      </c>
      <c r="BV1295" s="8">
        <v>2.94</v>
      </c>
      <c r="BW1295" s="8">
        <f>BV1295*SQRT(AK1295)</f>
        <v>5.0922293742524989</v>
      </c>
      <c r="BX1295" s="8">
        <v>95.38</v>
      </c>
      <c r="BY1295" s="8">
        <v>95.38</v>
      </c>
      <c r="BZ1295" s="8">
        <v>2.94</v>
      </c>
      <c r="CA1295" s="8">
        <f>BZ1295*SQRT(AL1295)</f>
        <v>5.0922293742524989</v>
      </c>
      <c r="CB1295" s="8">
        <v>1</v>
      </c>
      <c r="CC1295" s="8">
        <v>1</v>
      </c>
      <c r="CD1295" s="8">
        <v>-5.0000000000000001E-3</v>
      </c>
      <c r="CE1295" s="8">
        <v>1.9E-3</v>
      </c>
      <c r="CF1295" s="8" t="s">
        <v>1134</v>
      </c>
    </row>
    <row r="1296" spans="1:84" s="8" customFormat="1" hidden="1" x14ac:dyDescent="0.2">
      <c r="B1296" t="str">
        <f>ROW()-1&amp;"_AltersInvert"</f>
        <v>1295_AltersInvert</v>
      </c>
      <c r="C1296" t="str">
        <f>D1296&amp;"_"&amp;
SUBSTITUTE(TRIM(V1296)," ","_")&amp;"_"&amp;
TRIM(AC1296)&amp;"_"&amp;
"CO2"&amp;TEXT(AN1296,"0.00")&amp;"_"&amp;
"pH"&amp;TEXT(AR1296,"0.00")&amp;"_"&amp;
"T"&amp;TEXT(BC1296,"0.##")</f>
        <v>201_Heliocidaris_tuberculata_EMBRYO_CO2327.00_pH8.25_T20.</v>
      </c>
      <c r="D1296" s="8">
        <v>201</v>
      </c>
      <c r="G1296" s="8" t="s">
        <v>43</v>
      </c>
      <c r="H1296" s="8" t="s">
        <v>950</v>
      </c>
      <c r="J1296" s="8">
        <v>2010</v>
      </c>
      <c r="M1296" s="8" t="s">
        <v>67</v>
      </c>
      <c r="P1296" t="s">
        <v>1135</v>
      </c>
      <c r="R1296" s="8" t="s">
        <v>1127</v>
      </c>
      <c r="S1296" t="s">
        <v>1128</v>
      </c>
      <c r="T1296" s="8" t="s">
        <v>46</v>
      </c>
      <c r="U1296" s="8" t="s">
        <v>382</v>
      </c>
      <c r="V1296" s="8" t="s">
        <v>606</v>
      </c>
      <c r="W1296" s="8" t="str">
        <f>IF(ISNUMBER(MATCH(V690,{"Doryteuthis pealeii","Loligo vulgaris","Leptuca thayeri","Stylocheilus striatus","Ophryotrocha labronica"},0)),"N","Y")</f>
        <v>Y</v>
      </c>
      <c r="Z1296" s="8" t="s">
        <v>177</v>
      </c>
      <c r="AA1296" s="8" t="s">
        <v>177</v>
      </c>
      <c r="AB1296" s="8" t="s">
        <v>71</v>
      </c>
      <c r="AC1296" s="8" t="s">
        <v>195</v>
      </c>
      <c r="AD1296" s="8" t="s">
        <v>52</v>
      </c>
      <c r="AE1296" s="8" t="s">
        <v>53</v>
      </c>
      <c r="AF1296" s="8" t="s">
        <v>54</v>
      </c>
      <c r="AG1296" s="8" t="s">
        <v>52</v>
      </c>
      <c r="AH1296" s="8" t="s">
        <v>65</v>
      </c>
      <c r="AK1296" s="8">
        <v>3</v>
      </c>
      <c r="AL1296" s="8">
        <v>3</v>
      </c>
      <c r="AN1296" s="8">
        <v>327</v>
      </c>
      <c r="AO1296" s="8">
        <v>22</v>
      </c>
      <c r="AP1296" s="8" t="s">
        <v>56</v>
      </c>
      <c r="AQ1296" s="8" t="s">
        <v>57</v>
      </c>
      <c r="AR1296" s="8">
        <v>8.25</v>
      </c>
      <c r="AS1296" s="8" t="s">
        <v>56</v>
      </c>
      <c r="AT1296" s="8" t="s">
        <v>56</v>
      </c>
      <c r="AU1296" s="8">
        <v>335</v>
      </c>
      <c r="AV1296">
        <v>23</v>
      </c>
      <c r="AW1296" t="s">
        <v>56</v>
      </c>
      <c r="AX1296">
        <v>8.25</v>
      </c>
      <c r="AY1296" t="s">
        <v>56</v>
      </c>
      <c r="AZ1296" t="s">
        <v>56</v>
      </c>
      <c r="BB1296" s="8">
        <f>LOG(AU1296)</f>
        <v>2.5250448070368452</v>
      </c>
      <c r="BC1296" s="8">
        <v>20</v>
      </c>
      <c r="BD1296" s="8" t="s">
        <v>56</v>
      </c>
      <c r="BE1296" s="8" t="s">
        <v>56</v>
      </c>
      <c r="BF1296" s="8">
        <v>26</v>
      </c>
      <c r="BG1296" s="8" t="s">
        <v>56</v>
      </c>
      <c r="BH1296" s="8" t="s">
        <v>56</v>
      </c>
      <c r="BI1296" s="8">
        <v>8</v>
      </c>
      <c r="BJ1296" s="8">
        <v>6</v>
      </c>
      <c r="BK1296" s="8" t="s">
        <v>56</v>
      </c>
      <c r="BL1296" s="8" t="s">
        <v>933</v>
      </c>
      <c r="BM1296" s="8" t="s">
        <v>473</v>
      </c>
      <c r="BN1296" s="8" t="s">
        <v>81</v>
      </c>
      <c r="BO1296" s="8" t="s">
        <v>82</v>
      </c>
      <c r="BP1296" s="8" t="s">
        <v>190</v>
      </c>
      <c r="BQ1296" s="8" t="s">
        <v>190</v>
      </c>
      <c r="BR1296" s="8" t="s">
        <v>84</v>
      </c>
      <c r="BT1296" s="8">
        <v>95.9</v>
      </c>
      <c r="BU1296" s="8">
        <v>95.9</v>
      </c>
      <c r="BV1296" s="8">
        <v>2.94</v>
      </c>
      <c r="BW1296" s="8">
        <f>BV1296*SQRT(AK1296)</f>
        <v>5.0922293742524989</v>
      </c>
      <c r="BX1296" s="8">
        <v>92.99</v>
      </c>
      <c r="BY1296" s="8">
        <v>92.99</v>
      </c>
      <c r="BZ1296" s="8">
        <v>4.7</v>
      </c>
      <c r="CA1296" s="8">
        <f>BZ1296*SQRT(AL1296)</f>
        <v>8.1406387955737234</v>
      </c>
      <c r="CB1296" s="8">
        <v>1</v>
      </c>
      <c r="CC1296" s="8">
        <v>1</v>
      </c>
      <c r="CD1296" s="8">
        <v>-3.1E-2</v>
      </c>
      <c r="CE1296" s="8">
        <v>3.5000000000000001E-3</v>
      </c>
      <c r="CF1296" s="8" t="s">
        <v>1134</v>
      </c>
    </row>
    <row r="1297" spans="1:84" s="8" customFormat="1" hidden="1" x14ac:dyDescent="0.2">
      <c r="B1297" t="str">
        <f>ROW()-1&amp;"_AltersInvert"</f>
        <v>1296_AltersInvert</v>
      </c>
      <c r="C1297" t="str">
        <f>D1297&amp;"_"&amp;
SUBSTITUTE(TRIM(V1297)," ","_")&amp;"_"&amp;
TRIM(AC1297)&amp;"_"&amp;
"CO2"&amp;TEXT(AN1297,"0.00")&amp;"_"&amp;
"pH"&amp;TEXT(AR1297,"0.00")&amp;"_"&amp;
"T"&amp;TEXT(BC1297,"0.##")</f>
        <v>201_Heliocidaris_tuberculata_EMBRYO_CO2327.00_pH8.25_T20.</v>
      </c>
      <c r="D1297" s="8">
        <v>201</v>
      </c>
      <c r="G1297" s="8" t="s">
        <v>43</v>
      </c>
      <c r="H1297" s="8" t="s">
        <v>950</v>
      </c>
      <c r="J1297" s="8">
        <v>2010</v>
      </c>
      <c r="M1297" s="8" t="s">
        <v>67</v>
      </c>
      <c r="P1297" t="s">
        <v>1135</v>
      </c>
      <c r="R1297" s="8" t="s">
        <v>1127</v>
      </c>
      <c r="S1297" t="s">
        <v>1128</v>
      </c>
      <c r="T1297" s="8" t="s">
        <v>46</v>
      </c>
      <c r="U1297" s="8" t="s">
        <v>382</v>
      </c>
      <c r="V1297" s="8" t="s">
        <v>606</v>
      </c>
      <c r="W1297" s="8" t="str">
        <f>IF(ISNUMBER(MATCH(V691,{"Doryteuthis pealeii","Loligo vulgaris","Leptuca thayeri","Stylocheilus striatus","Ophryotrocha labronica"},0)),"N","Y")</f>
        <v>Y</v>
      </c>
      <c r="Z1297" s="8" t="s">
        <v>177</v>
      </c>
      <c r="AA1297" s="8" t="s">
        <v>177</v>
      </c>
      <c r="AB1297" s="8" t="s">
        <v>71</v>
      </c>
      <c r="AC1297" s="8" t="s">
        <v>195</v>
      </c>
      <c r="AD1297" s="8" t="s">
        <v>52</v>
      </c>
      <c r="AE1297" s="8" t="s">
        <v>53</v>
      </c>
      <c r="AF1297" s="8" t="s">
        <v>54</v>
      </c>
      <c r="AG1297" s="8" t="s">
        <v>52</v>
      </c>
      <c r="AH1297" s="8" t="s">
        <v>65</v>
      </c>
      <c r="AK1297" s="8">
        <v>3</v>
      </c>
      <c r="AL1297" s="8">
        <v>3</v>
      </c>
      <c r="AN1297" s="8">
        <v>327</v>
      </c>
      <c r="AO1297" s="8">
        <v>22</v>
      </c>
      <c r="AP1297" s="8" t="s">
        <v>56</v>
      </c>
      <c r="AQ1297" s="8" t="s">
        <v>57</v>
      </c>
      <c r="AR1297" s="8">
        <v>8.25</v>
      </c>
      <c r="AS1297" s="8" t="s">
        <v>56</v>
      </c>
      <c r="AT1297" s="8" t="s">
        <v>56</v>
      </c>
      <c r="AU1297" s="8">
        <v>332</v>
      </c>
      <c r="AV1297">
        <v>23</v>
      </c>
      <c r="AW1297" t="s">
        <v>56</v>
      </c>
      <c r="AX1297">
        <v>8.25</v>
      </c>
      <c r="AY1297" t="s">
        <v>56</v>
      </c>
      <c r="AZ1297" t="s">
        <v>56</v>
      </c>
      <c r="BB1297" s="8">
        <f>LOG(AU1297)</f>
        <v>2.5211380837040362</v>
      </c>
      <c r="BC1297" s="8">
        <v>20</v>
      </c>
      <c r="BD1297" s="8" t="s">
        <v>56</v>
      </c>
      <c r="BE1297" s="8" t="s">
        <v>56</v>
      </c>
      <c r="BF1297" s="8">
        <v>24</v>
      </c>
      <c r="BG1297" s="8" t="s">
        <v>56</v>
      </c>
      <c r="BH1297" s="8" t="s">
        <v>56</v>
      </c>
      <c r="BI1297" s="8">
        <v>5</v>
      </c>
      <c r="BJ1297" s="8">
        <v>4</v>
      </c>
      <c r="BK1297" s="8" t="s">
        <v>56</v>
      </c>
      <c r="BL1297" s="8" t="s">
        <v>933</v>
      </c>
      <c r="BM1297" s="8" t="s">
        <v>473</v>
      </c>
      <c r="BN1297" s="8" t="s">
        <v>81</v>
      </c>
      <c r="BO1297" s="8" t="s">
        <v>82</v>
      </c>
      <c r="BP1297" s="8" t="s">
        <v>190</v>
      </c>
      <c r="BQ1297" s="8" t="s">
        <v>190</v>
      </c>
      <c r="BR1297" s="8" t="s">
        <v>84</v>
      </c>
      <c r="BT1297" s="8">
        <v>95.9</v>
      </c>
      <c r="BU1297" s="8">
        <v>95.9</v>
      </c>
      <c r="BV1297" s="8">
        <v>2.94</v>
      </c>
      <c r="BW1297" s="8">
        <f>BV1297*SQRT(AK1297)</f>
        <v>5.0922293742524989</v>
      </c>
      <c r="BX1297" s="8">
        <v>96.5</v>
      </c>
      <c r="BY1297" s="8">
        <v>96.5</v>
      </c>
      <c r="BZ1297" s="8">
        <v>1.77</v>
      </c>
      <c r="CA1297" s="8">
        <f>BZ1297*SQRT(AL1297)</f>
        <v>3.0657299293969125</v>
      </c>
      <c r="CB1297" s="8">
        <v>1</v>
      </c>
      <c r="CC1297" s="8">
        <v>1</v>
      </c>
      <c r="CD1297" s="8">
        <v>6.0000000000000001E-3</v>
      </c>
      <c r="CE1297" s="8">
        <v>1.2999999999999999E-3</v>
      </c>
      <c r="CF1297" s="8" t="s">
        <v>1134</v>
      </c>
    </row>
    <row r="1298" spans="1:84" s="8" customFormat="1" hidden="1" x14ac:dyDescent="0.2">
      <c r="B1298" t="str">
        <f>ROW()-1&amp;"_AltersInvert"</f>
        <v>1297_AltersInvert</v>
      </c>
      <c r="C1298" t="str">
        <f>D1298&amp;"_"&amp;
SUBSTITUTE(TRIM(V1298)," ","_")&amp;"_"&amp;
TRIM(AC1298)&amp;"_"&amp;
"CO2"&amp;TEXT(AN1298,"0.00")&amp;"_"&amp;
"pH"&amp;TEXT(AR1298,"0.00")&amp;"_"&amp;
"T"&amp;TEXT(BC1298,"0.##")</f>
        <v>201_Heliocidaris_tuberculata_EMBRYO_CO2327.00_pH8.25_T20.</v>
      </c>
      <c r="D1298" s="8">
        <v>201</v>
      </c>
      <c r="G1298" s="8" t="s">
        <v>43</v>
      </c>
      <c r="H1298" s="8" t="s">
        <v>950</v>
      </c>
      <c r="J1298" s="8">
        <v>2010</v>
      </c>
      <c r="M1298" s="8" t="s">
        <v>67</v>
      </c>
      <c r="P1298" t="s">
        <v>1135</v>
      </c>
      <c r="R1298" s="8" t="s">
        <v>1127</v>
      </c>
      <c r="S1298" t="s">
        <v>1128</v>
      </c>
      <c r="T1298" s="8" t="s">
        <v>46</v>
      </c>
      <c r="U1298" s="8" t="s">
        <v>382</v>
      </c>
      <c r="V1298" s="8" t="s">
        <v>606</v>
      </c>
      <c r="W1298" s="8" t="str">
        <f>IF(ISNUMBER(MATCH(V692,{"Doryteuthis pealeii","Loligo vulgaris","Leptuca thayeri","Stylocheilus striatus","Ophryotrocha labronica"},0)),"N","Y")</f>
        <v>Y</v>
      </c>
      <c r="Z1298" s="8" t="s">
        <v>177</v>
      </c>
      <c r="AA1298" s="8" t="s">
        <v>177</v>
      </c>
      <c r="AB1298" s="8" t="s">
        <v>71</v>
      </c>
      <c r="AC1298" s="8" t="s">
        <v>195</v>
      </c>
      <c r="AD1298" s="8" t="s">
        <v>52</v>
      </c>
      <c r="AE1298" s="8" t="s">
        <v>53</v>
      </c>
      <c r="AF1298" s="8" t="s">
        <v>52</v>
      </c>
      <c r="AG1298" s="8" t="s">
        <v>52</v>
      </c>
      <c r="AH1298" s="8" t="s">
        <v>64</v>
      </c>
      <c r="AK1298" s="8">
        <v>3</v>
      </c>
      <c r="AL1298" s="8">
        <v>3</v>
      </c>
      <c r="AN1298" s="8">
        <v>327</v>
      </c>
      <c r="AO1298" s="8">
        <v>22</v>
      </c>
      <c r="AP1298" s="8" t="s">
        <v>56</v>
      </c>
      <c r="AQ1298" s="8" t="s">
        <v>57</v>
      </c>
      <c r="AR1298" s="8">
        <v>8.25</v>
      </c>
      <c r="AS1298" s="8" t="s">
        <v>56</v>
      </c>
      <c r="AT1298" s="8" t="s">
        <v>56</v>
      </c>
      <c r="AU1298" s="8">
        <v>1828</v>
      </c>
      <c r="AV1298">
        <v>27</v>
      </c>
      <c r="AW1298" t="s">
        <v>56</v>
      </c>
      <c r="AX1298">
        <v>7.6</v>
      </c>
      <c r="AY1298" t="s">
        <v>56</v>
      </c>
      <c r="AZ1298" t="s">
        <v>56</v>
      </c>
      <c r="BB1298" s="8">
        <f>LOG(AU1298)</f>
        <v>3.2619761913978125</v>
      </c>
      <c r="BC1298" s="8">
        <v>20</v>
      </c>
      <c r="BD1298" s="8" t="s">
        <v>56</v>
      </c>
      <c r="BE1298" s="8" t="s">
        <v>56</v>
      </c>
      <c r="BF1298" s="8">
        <v>26</v>
      </c>
      <c r="BG1298" s="8" t="s">
        <v>56</v>
      </c>
      <c r="BH1298" s="8" t="s">
        <v>56</v>
      </c>
      <c r="BI1298" s="8">
        <v>1501</v>
      </c>
      <c r="BJ1298" s="8">
        <v>6</v>
      </c>
      <c r="BK1298" s="8" t="s">
        <v>56</v>
      </c>
      <c r="BL1298" s="8" t="s">
        <v>933</v>
      </c>
      <c r="BM1298" s="8" t="s">
        <v>473</v>
      </c>
      <c r="BN1298" s="8" t="s">
        <v>81</v>
      </c>
      <c r="BO1298" s="8" t="s">
        <v>82</v>
      </c>
      <c r="BP1298" s="8" t="s">
        <v>190</v>
      </c>
      <c r="BQ1298" s="8" t="s">
        <v>190</v>
      </c>
      <c r="BR1298" s="8" t="s">
        <v>84</v>
      </c>
      <c r="BT1298" s="8">
        <v>95.9</v>
      </c>
      <c r="BU1298" s="8">
        <v>95.9</v>
      </c>
      <c r="BV1298" s="8">
        <v>2.94</v>
      </c>
      <c r="BW1298" s="8">
        <f>BV1298*SQRT(AK1298)</f>
        <v>5.0922293742524989</v>
      </c>
      <c r="BX1298" s="8">
        <v>83.21</v>
      </c>
      <c r="BY1298" s="8">
        <v>83.21</v>
      </c>
      <c r="BZ1298" s="8">
        <v>8.82</v>
      </c>
      <c r="CA1298" s="8">
        <f>BZ1298*SQRT(AL1298)</f>
        <v>15.276688122757497</v>
      </c>
      <c r="CB1298" s="8">
        <v>1</v>
      </c>
      <c r="CC1298" s="8">
        <v>1</v>
      </c>
      <c r="CD1298" s="8">
        <v>-0.14199999999999999</v>
      </c>
      <c r="CE1298" s="8">
        <v>1.2200000000000001E-2</v>
      </c>
      <c r="CF1298" s="8" t="s">
        <v>1134</v>
      </c>
    </row>
    <row r="1299" spans="1:84" s="8" customFormat="1" hidden="1" x14ac:dyDescent="0.2">
      <c r="B1299" t="str">
        <f>ROW()-1&amp;"_AltersInvert"</f>
        <v>1298_AltersInvert</v>
      </c>
      <c r="C1299" t="str">
        <f>D1299&amp;"_"&amp;
SUBSTITUTE(TRIM(V1299)," ","_")&amp;"_"&amp;
TRIM(AC1299)&amp;"_"&amp;
"CO2"&amp;TEXT(AN1299,"0.00")&amp;"_"&amp;
"pH"&amp;TEXT(AR1299,"0.00")&amp;"_"&amp;
"T"&amp;TEXT(BC1299,"0.##")</f>
        <v>201_Heliocidaris_tuberculata_EMBRYO_CO2327.00_pH8.25_T20.</v>
      </c>
      <c r="D1299" s="8">
        <v>201</v>
      </c>
      <c r="G1299" s="8" t="s">
        <v>43</v>
      </c>
      <c r="H1299" s="8" t="s">
        <v>950</v>
      </c>
      <c r="J1299" s="8">
        <v>2010</v>
      </c>
      <c r="M1299" s="8" t="s">
        <v>67</v>
      </c>
      <c r="P1299" t="s">
        <v>1135</v>
      </c>
      <c r="R1299" s="8" t="s">
        <v>1127</v>
      </c>
      <c r="S1299" t="s">
        <v>1128</v>
      </c>
      <c r="T1299" s="8" t="s">
        <v>46</v>
      </c>
      <c r="U1299" s="8" t="s">
        <v>382</v>
      </c>
      <c r="V1299" s="8" t="s">
        <v>606</v>
      </c>
      <c r="W1299" s="8" t="str">
        <f>IF(ISNUMBER(MATCH(V693,{"Doryteuthis pealeii","Loligo vulgaris","Leptuca thayeri","Stylocheilus striatus","Ophryotrocha labronica"},0)),"N","Y")</f>
        <v>Y</v>
      </c>
      <c r="Z1299" s="8" t="s">
        <v>177</v>
      </c>
      <c r="AA1299" s="8" t="s">
        <v>177</v>
      </c>
      <c r="AB1299" s="8" t="s">
        <v>71</v>
      </c>
      <c r="AC1299" s="8" t="s">
        <v>195</v>
      </c>
      <c r="AD1299" s="8" t="s">
        <v>52</v>
      </c>
      <c r="AE1299" s="8" t="s">
        <v>53</v>
      </c>
      <c r="AF1299" s="8" t="s">
        <v>52</v>
      </c>
      <c r="AG1299" s="8" t="s">
        <v>52</v>
      </c>
      <c r="AH1299" s="8" t="s">
        <v>64</v>
      </c>
      <c r="AK1299" s="8">
        <v>3</v>
      </c>
      <c r="AL1299" s="8">
        <v>3</v>
      </c>
      <c r="AN1299" s="8">
        <v>327</v>
      </c>
      <c r="AO1299" s="8">
        <v>22</v>
      </c>
      <c r="AP1299" s="8" t="s">
        <v>56</v>
      </c>
      <c r="AQ1299" s="8" t="s">
        <v>57</v>
      </c>
      <c r="AR1299" s="8">
        <v>8.25</v>
      </c>
      <c r="AS1299" s="8" t="s">
        <v>56</v>
      </c>
      <c r="AT1299" s="8" t="s">
        <v>56</v>
      </c>
      <c r="AU1299" s="8">
        <v>1104</v>
      </c>
      <c r="AV1299">
        <v>16</v>
      </c>
      <c r="AW1299" t="s">
        <v>56</v>
      </c>
      <c r="AX1299">
        <v>7.8</v>
      </c>
      <c r="AY1299" t="s">
        <v>56</v>
      </c>
      <c r="AZ1299" t="s">
        <v>56</v>
      </c>
      <c r="BB1299" s="8">
        <f>LOG(AU1299)</f>
        <v>3.0429690733931802</v>
      </c>
      <c r="BC1299" s="8">
        <v>20</v>
      </c>
      <c r="BD1299" s="8" t="s">
        <v>56</v>
      </c>
      <c r="BE1299" s="8" t="s">
        <v>56</v>
      </c>
      <c r="BF1299" s="8">
        <v>26</v>
      </c>
      <c r="BG1299" s="8" t="s">
        <v>56</v>
      </c>
      <c r="BH1299" s="8" t="s">
        <v>56</v>
      </c>
      <c r="BI1299" s="8">
        <v>777</v>
      </c>
      <c r="BJ1299" s="8">
        <v>6</v>
      </c>
      <c r="BK1299" s="8" t="s">
        <v>56</v>
      </c>
      <c r="BL1299" s="8" t="s">
        <v>933</v>
      </c>
      <c r="BM1299" s="8" t="s">
        <v>473</v>
      </c>
      <c r="BN1299" s="8" t="s">
        <v>81</v>
      </c>
      <c r="BO1299" s="8" t="s">
        <v>82</v>
      </c>
      <c r="BP1299" s="8" t="s">
        <v>190</v>
      </c>
      <c r="BQ1299" s="8" t="s">
        <v>190</v>
      </c>
      <c r="BR1299" s="8" t="s">
        <v>84</v>
      </c>
      <c r="BT1299" s="8">
        <v>95.9</v>
      </c>
      <c r="BU1299" s="8">
        <v>95.9</v>
      </c>
      <c r="BV1299" s="8">
        <v>2.94</v>
      </c>
      <c r="BW1299" s="8">
        <f>BV1299*SQRT(AK1299)</f>
        <v>5.0922293742524989</v>
      </c>
      <c r="BX1299" s="8">
        <v>87.26</v>
      </c>
      <c r="BY1299" s="8">
        <v>87.26</v>
      </c>
      <c r="BZ1299" s="8">
        <v>7.65</v>
      </c>
      <c r="CA1299" s="8">
        <f>BZ1299*SQRT(AL1299)</f>
        <v>13.250188677901912</v>
      </c>
      <c r="CB1299" s="8">
        <v>1</v>
      </c>
      <c r="CC1299" s="8">
        <v>1</v>
      </c>
      <c r="CD1299" s="8">
        <v>-9.4E-2</v>
      </c>
      <c r="CE1299" s="8">
        <v>8.6E-3</v>
      </c>
      <c r="CF1299" s="8" t="s">
        <v>1134</v>
      </c>
    </row>
    <row r="1300" spans="1:84" s="8" customFormat="1" hidden="1" x14ac:dyDescent="0.2">
      <c r="B1300" t="str">
        <f>ROW()-1&amp;"_AltersInvert"</f>
        <v>1299_AltersInvert</v>
      </c>
      <c r="C1300" t="str">
        <f>D1300&amp;"_"&amp;
SUBSTITUTE(TRIM(V1300)," ","_")&amp;"_"&amp;
TRIM(AC1300)&amp;"_"&amp;
"CO2"&amp;TEXT(AN1300,"0.00")&amp;"_"&amp;
"pH"&amp;TEXT(AR1300,"0.00")&amp;"_"&amp;
"T"&amp;TEXT(BC1300,"0.##")</f>
        <v>201_Heliocidaris_tuberculata_EMBRYO_CO2327.00_pH8.25_T20.</v>
      </c>
      <c r="D1300" s="8">
        <v>201</v>
      </c>
      <c r="G1300" s="8" t="s">
        <v>43</v>
      </c>
      <c r="H1300" s="8" t="s">
        <v>950</v>
      </c>
      <c r="J1300" s="8">
        <v>2010</v>
      </c>
      <c r="M1300" s="8" t="s">
        <v>67</v>
      </c>
      <c r="P1300" t="s">
        <v>1135</v>
      </c>
      <c r="R1300" s="8" t="s">
        <v>1127</v>
      </c>
      <c r="S1300" t="s">
        <v>1128</v>
      </c>
      <c r="T1300" s="8" t="s">
        <v>46</v>
      </c>
      <c r="U1300" s="8" t="s">
        <v>382</v>
      </c>
      <c r="V1300" s="8" t="s">
        <v>606</v>
      </c>
      <c r="W1300" s="8" t="str">
        <f>IF(ISNUMBER(MATCH(V694,{"Doryteuthis pealeii","Loligo vulgaris","Leptuca thayeri","Stylocheilus striatus","Ophryotrocha labronica"},0)),"N","Y")</f>
        <v>Y</v>
      </c>
      <c r="Z1300" s="8" t="s">
        <v>177</v>
      </c>
      <c r="AA1300" s="8" t="s">
        <v>177</v>
      </c>
      <c r="AB1300" s="8" t="s">
        <v>71</v>
      </c>
      <c r="AC1300" s="8" t="s">
        <v>195</v>
      </c>
      <c r="AD1300" s="8" t="s">
        <v>52</v>
      </c>
      <c r="AE1300" s="8" t="s">
        <v>53</v>
      </c>
      <c r="AF1300" s="8" t="s">
        <v>52</v>
      </c>
      <c r="AG1300" s="8" t="s">
        <v>52</v>
      </c>
      <c r="AH1300" s="8" t="s">
        <v>64</v>
      </c>
      <c r="AK1300" s="8">
        <v>3</v>
      </c>
      <c r="AL1300" s="8">
        <v>3</v>
      </c>
      <c r="AN1300" s="8">
        <v>327</v>
      </c>
      <c r="AO1300" s="8">
        <v>22</v>
      </c>
      <c r="AP1300" s="8" t="s">
        <v>56</v>
      </c>
      <c r="AQ1300" s="8" t="s">
        <v>57</v>
      </c>
      <c r="AR1300" s="8">
        <v>8.25</v>
      </c>
      <c r="AS1300" s="8" t="s">
        <v>56</v>
      </c>
      <c r="AT1300" s="8" t="s">
        <v>56</v>
      </c>
      <c r="AU1300" s="8">
        <v>851</v>
      </c>
      <c r="AV1300">
        <v>12</v>
      </c>
      <c r="AW1300" t="s">
        <v>56</v>
      </c>
      <c r="AX1300">
        <v>7.9</v>
      </c>
      <c r="AY1300" t="s">
        <v>56</v>
      </c>
      <c r="AZ1300" t="s">
        <v>56</v>
      </c>
      <c r="BB1300" s="8">
        <f>LOG(AU1300)</f>
        <v>2.929929560084588</v>
      </c>
      <c r="BC1300" s="8">
        <v>20</v>
      </c>
      <c r="BD1300" s="8" t="s">
        <v>56</v>
      </c>
      <c r="BE1300" s="8" t="s">
        <v>56</v>
      </c>
      <c r="BF1300" s="8">
        <v>26</v>
      </c>
      <c r="BG1300" s="8" t="s">
        <v>56</v>
      </c>
      <c r="BH1300" s="8" t="s">
        <v>56</v>
      </c>
      <c r="BI1300" s="8">
        <v>524</v>
      </c>
      <c r="BJ1300" s="8">
        <v>6</v>
      </c>
      <c r="BK1300" s="8" t="s">
        <v>56</v>
      </c>
      <c r="BL1300" s="8" t="s">
        <v>933</v>
      </c>
      <c r="BM1300" s="8" t="s">
        <v>473</v>
      </c>
      <c r="BN1300" s="8" t="s">
        <v>81</v>
      </c>
      <c r="BO1300" s="8" t="s">
        <v>82</v>
      </c>
      <c r="BP1300" s="8" t="s">
        <v>190</v>
      </c>
      <c r="BQ1300" s="8" t="s">
        <v>190</v>
      </c>
      <c r="BR1300" s="8" t="s">
        <v>84</v>
      </c>
      <c r="BT1300" s="8">
        <v>95.9</v>
      </c>
      <c r="BU1300" s="8">
        <v>95.9</v>
      </c>
      <c r="BV1300" s="8">
        <v>2.94</v>
      </c>
      <c r="BW1300" s="8">
        <f>BV1300*SQRT(AK1300)</f>
        <v>5.0922293742524989</v>
      </c>
      <c r="BX1300" s="8">
        <v>90.12</v>
      </c>
      <c r="BY1300" s="8">
        <v>90.12</v>
      </c>
      <c r="BZ1300" s="8">
        <v>7.06</v>
      </c>
      <c r="CA1300" s="8">
        <f>BZ1300*SQRT(AL1300)</f>
        <v>12.228278701436272</v>
      </c>
      <c r="CB1300" s="8">
        <v>1</v>
      </c>
      <c r="CC1300" s="8">
        <v>1</v>
      </c>
      <c r="CD1300" s="8">
        <v>-6.2E-2</v>
      </c>
      <c r="CE1300" s="8">
        <v>7.1000000000000004E-3</v>
      </c>
      <c r="CF1300" s="8" t="s">
        <v>1134</v>
      </c>
    </row>
    <row r="1301" spans="1:84" s="8" customFormat="1" hidden="1" x14ac:dyDescent="0.2">
      <c r="B1301" t="str">
        <f>ROW()-1&amp;"_AltersInvert"</f>
        <v>1300_AltersInvert</v>
      </c>
      <c r="C1301" t="str">
        <f>D1301&amp;"_"&amp;
SUBSTITUTE(TRIM(V1301)," ","_")&amp;"_"&amp;
TRIM(AC1301)&amp;"_"&amp;
"CO2"&amp;TEXT(AN1301,"0.00")&amp;"_"&amp;
"pH"&amp;TEXT(AR1301,"0.00")&amp;"_"&amp;
"T"&amp;TEXT(BC1301,"0.##")</f>
        <v>201_Heliocidaris_tuberculata_EMBRYO_CO2327.00_pH8.25_T20.</v>
      </c>
      <c r="D1301" s="8">
        <v>201</v>
      </c>
      <c r="G1301" s="8" t="s">
        <v>43</v>
      </c>
      <c r="H1301" s="8" t="s">
        <v>950</v>
      </c>
      <c r="J1301" s="8">
        <v>2010</v>
      </c>
      <c r="M1301" s="8" t="s">
        <v>67</v>
      </c>
      <c r="P1301" t="s">
        <v>1135</v>
      </c>
      <c r="R1301" s="8" t="s">
        <v>1127</v>
      </c>
      <c r="S1301" t="s">
        <v>1128</v>
      </c>
      <c r="T1301" s="8" t="s">
        <v>46</v>
      </c>
      <c r="U1301" s="8" t="s">
        <v>382</v>
      </c>
      <c r="V1301" s="8" t="s">
        <v>606</v>
      </c>
      <c r="W1301" s="8" t="str">
        <f>IF(ISNUMBER(MATCH(V695,{"Doryteuthis pealeii","Loligo vulgaris","Leptuca thayeri","Stylocheilus striatus","Ophryotrocha labronica"},0)),"N","Y")</f>
        <v>Y</v>
      </c>
      <c r="Z1301" s="8" t="s">
        <v>177</v>
      </c>
      <c r="AA1301" s="8" t="s">
        <v>177</v>
      </c>
      <c r="AB1301" s="8" t="s">
        <v>71</v>
      </c>
      <c r="AC1301" s="8" t="s">
        <v>195</v>
      </c>
      <c r="AD1301" s="8" t="s">
        <v>52</v>
      </c>
      <c r="AE1301" s="8" t="s">
        <v>53</v>
      </c>
      <c r="AF1301" s="8" t="s">
        <v>52</v>
      </c>
      <c r="AG1301" s="8" t="s">
        <v>52</v>
      </c>
      <c r="AH1301" s="8" t="s">
        <v>64</v>
      </c>
      <c r="AK1301" s="8">
        <v>3</v>
      </c>
      <c r="AL1301" s="8">
        <v>3</v>
      </c>
      <c r="AN1301" s="8">
        <v>327</v>
      </c>
      <c r="AO1301" s="8">
        <v>22</v>
      </c>
      <c r="AP1301" s="8" t="s">
        <v>56</v>
      </c>
      <c r="AQ1301" s="8" t="s">
        <v>57</v>
      </c>
      <c r="AR1301" s="8">
        <v>8.25</v>
      </c>
      <c r="AS1301" s="8" t="s">
        <v>56</v>
      </c>
      <c r="AT1301" s="8" t="s">
        <v>56</v>
      </c>
      <c r="AU1301" s="8">
        <v>1795</v>
      </c>
      <c r="AV1301">
        <v>26</v>
      </c>
      <c r="AW1301" t="s">
        <v>56</v>
      </c>
      <c r="AX1301">
        <v>7.6</v>
      </c>
      <c r="AY1301" t="s">
        <v>56</v>
      </c>
      <c r="AZ1301" t="s">
        <v>56</v>
      </c>
      <c r="BB1301" s="8">
        <f>LOG(AU1301)</f>
        <v>3.2540644529143381</v>
      </c>
      <c r="BC1301" s="8">
        <v>20</v>
      </c>
      <c r="BD1301" s="8" t="s">
        <v>56</v>
      </c>
      <c r="BE1301" s="8" t="s">
        <v>56</v>
      </c>
      <c r="BF1301" s="8">
        <v>24</v>
      </c>
      <c r="BG1301" s="8" t="s">
        <v>56</v>
      </c>
      <c r="BH1301" s="8" t="s">
        <v>56</v>
      </c>
      <c r="BI1301" s="8">
        <v>1468</v>
      </c>
      <c r="BJ1301" s="8">
        <v>4</v>
      </c>
      <c r="BK1301" s="8" t="s">
        <v>56</v>
      </c>
      <c r="BL1301" s="8" t="s">
        <v>933</v>
      </c>
      <c r="BM1301" s="8" t="s">
        <v>473</v>
      </c>
      <c r="BN1301" s="8" t="s">
        <v>81</v>
      </c>
      <c r="BO1301" s="8" t="s">
        <v>82</v>
      </c>
      <c r="BP1301" s="8" t="s">
        <v>190</v>
      </c>
      <c r="BQ1301" s="8" t="s">
        <v>190</v>
      </c>
      <c r="BR1301" s="8" t="s">
        <v>84</v>
      </c>
      <c r="BT1301" s="8">
        <v>95.9</v>
      </c>
      <c r="BU1301" s="8">
        <v>95.9</v>
      </c>
      <c r="BV1301" s="8">
        <v>2.94</v>
      </c>
      <c r="BW1301" s="8">
        <f>BV1301*SQRT(AK1301)</f>
        <v>5.0922293742524989</v>
      </c>
      <c r="BX1301" s="8">
        <v>92.61</v>
      </c>
      <c r="BY1301" s="8">
        <v>92.608000000000004</v>
      </c>
      <c r="BZ1301" s="8">
        <v>5.88</v>
      </c>
      <c r="CA1301" s="8">
        <f>BZ1301*SQRT(AL1301)</f>
        <v>10.184458748504998</v>
      </c>
      <c r="CB1301" s="8">
        <v>1</v>
      </c>
      <c r="CC1301" s="8">
        <v>1</v>
      </c>
      <c r="CD1301" s="8">
        <v>-3.5000000000000003E-2</v>
      </c>
      <c r="CE1301" s="8">
        <v>5.0000000000000001E-3</v>
      </c>
      <c r="CF1301" s="8" t="s">
        <v>1134</v>
      </c>
    </row>
    <row r="1302" spans="1:84" s="8" customFormat="1" hidden="1" x14ac:dyDescent="0.2">
      <c r="B1302" t="str">
        <f>ROW()-1&amp;"_AltersInvert"</f>
        <v>1301_AltersInvert</v>
      </c>
      <c r="C1302" t="str">
        <f>D1302&amp;"_"&amp;
SUBSTITUTE(TRIM(V1302)," ","_")&amp;"_"&amp;
TRIM(AC1302)&amp;"_"&amp;
"CO2"&amp;TEXT(AN1302,"0.00")&amp;"_"&amp;
"pH"&amp;TEXT(AR1302,"0.00")&amp;"_"&amp;
"T"&amp;TEXT(BC1302,"0.##")</f>
        <v>201_Heliocidaris_tuberculata_EMBRYO_CO2327.00_pH8.25_T20.</v>
      </c>
      <c r="D1302" s="8">
        <v>201</v>
      </c>
      <c r="G1302" s="8" t="s">
        <v>43</v>
      </c>
      <c r="H1302" s="8" t="s">
        <v>950</v>
      </c>
      <c r="J1302" s="8">
        <v>2010</v>
      </c>
      <c r="M1302" s="8" t="s">
        <v>67</v>
      </c>
      <c r="P1302" t="s">
        <v>1135</v>
      </c>
      <c r="R1302" s="8" t="s">
        <v>1127</v>
      </c>
      <c r="S1302" t="s">
        <v>1128</v>
      </c>
      <c r="T1302" s="8" t="s">
        <v>46</v>
      </c>
      <c r="U1302" s="8" t="s">
        <v>382</v>
      </c>
      <c r="V1302" s="8" t="s">
        <v>606</v>
      </c>
      <c r="W1302" s="8" t="str">
        <f>IF(ISNUMBER(MATCH(V696,{"Doryteuthis pealeii","Loligo vulgaris","Leptuca thayeri","Stylocheilus striatus","Ophryotrocha labronica"},0)),"N","Y")</f>
        <v>Y</v>
      </c>
      <c r="Z1302" s="8" t="s">
        <v>177</v>
      </c>
      <c r="AA1302" s="8" t="s">
        <v>177</v>
      </c>
      <c r="AB1302" s="8" t="s">
        <v>71</v>
      </c>
      <c r="AC1302" s="8" t="s">
        <v>195</v>
      </c>
      <c r="AD1302" s="8" t="s">
        <v>52</v>
      </c>
      <c r="AE1302" s="8" t="s">
        <v>53</v>
      </c>
      <c r="AF1302" s="8" t="s">
        <v>52</v>
      </c>
      <c r="AG1302" s="8" t="s">
        <v>52</v>
      </c>
      <c r="AH1302" s="8" t="s">
        <v>64</v>
      </c>
      <c r="AK1302" s="8">
        <v>3</v>
      </c>
      <c r="AL1302" s="8">
        <v>3</v>
      </c>
      <c r="AN1302" s="8">
        <v>327</v>
      </c>
      <c r="AO1302" s="8">
        <v>22</v>
      </c>
      <c r="AP1302" s="8" t="s">
        <v>56</v>
      </c>
      <c r="AQ1302" s="8" t="s">
        <v>57</v>
      </c>
      <c r="AR1302" s="8">
        <v>8.25</v>
      </c>
      <c r="AS1302" s="8" t="s">
        <v>56</v>
      </c>
      <c r="AT1302" s="8" t="s">
        <v>56</v>
      </c>
      <c r="AU1302" s="8">
        <v>839</v>
      </c>
      <c r="AV1302">
        <v>12</v>
      </c>
      <c r="AW1302" t="s">
        <v>56</v>
      </c>
      <c r="AX1302">
        <v>7.9</v>
      </c>
      <c r="AY1302" t="s">
        <v>56</v>
      </c>
      <c r="AZ1302" t="s">
        <v>56</v>
      </c>
      <c r="BB1302" s="8">
        <f>LOG(AU1302)</f>
        <v>2.9237619608287004</v>
      </c>
      <c r="BC1302" s="8">
        <v>20</v>
      </c>
      <c r="BD1302" s="8" t="s">
        <v>56</v>
      </c>
      <c r="BE1302" s="8" t="s">
        <v>56</v>
      </c>
      <c r="BF1302" s="8">
        <v>24</v>
      </c>
      <c r="BG1302" s="8" t="s">
        <v>56</v>
      </c>
      <c r="BH1302" s="8" t="s">
        <v>56</v>
      </c>
      <c r="BI1302" s="8">
        <v>512</v>
      </c>
      <c r="BJ1302" s="8">
        <v>4</v>
      </c>
      <c r="BK1302" s="8" t="s">
        <v>56</v>
      </c>
      <c r="BL1302" s="8" t="s">
        <v>933</v>
      </c>
      <c r="BM1302" s="8" t="s">
        <v>473</v>
      </c>
      <c r="BN1302" s="8" t="s">
        <v>81</v>
      </c>
      <c r="BO1302" s="8" t="s">
        <v>82</v>
      </c>
      <c r="BP1302" s="8" t="s">
        <v>190</v>
      </c>
      <c r="BQ1302" s="8" t="s">
        <v>190</v>
      </c>
      <c r="BR1302" s="8" t="s">
        <v>84</v>
      </c>
      <c r="BT1302" s="8">
        <v>95.9</v>
      </c>
      <c r="BU1302" s="8">
        <v>95.9</v>
      </c>
      <c r="BV1302" s="8">
        <v>2.94</v>
      </c>
      <c r="BW1302" s="8">
        <f>BV1302*SQRT(AK1302)</f>
        <v>5.0922293742524989</v>
      </c>
      <c r="BX1302" s="8">
        <v>94.22</v>
      </c>
      <c r="BY1302" s="8">
        <v>94.22</v>
      </c>
      <c r="BZ1302" s="8">
        <v>4.71</v>
      </c>
      <c r="CA1302" s="8">
        <f>BZ1302*SQRT(AL1302)</f>
        <v>8.1579593036494114</v>
      </c>
      <c r="CB1302" s="8">
        <v>1</v>
      </c>
      <c r="CC1302" s="8">
        <v>1</v>
      </c>
      <c r="CD1302" s="8">
        <v>-1.7999999999999999E-2</v>
      </c>
      <c r="CE1302" s="8">
        <v>3.3999999999999998E-3</v>
      </c>
      <c r="CF1302" s="8" t="s">
        <v>1134</v>
      </c>
    </row>
    <row r="1303" spans="1:84" s="8" customFormat="1" hidden="1" x14ac:dyDescent="0.2">
      <c r="B1303" t="str">
        <f>ROW()-1&amp;"_AltersInvert"</f>
        <v>1302_AltersInvert</v>
      </c>
      <c r="C1303" t="str">
        <f>D1303&amp;"_"&amp;
SUBSTITUTE(TRIM(V1303)," ","_")&amp;"_"&amp;
TRIM(AC1303)&amp;"_"&amp;
"CO2"&amp;TEXT(AN1303,"0.00")&amp;"_"&amp;
"pH"&amp;TEXT(AR1303,"0.00")&amp;"_"&amp;
"T"&amp;TEXT(BC1303,"0.##")</f>
        <v>201_Heliocidaris_tuberculata_EMBRYO_CO2327.00_pH8.25_T20.</v>
      </c>
      <c r="D1303" s="8">
        <v>201</v>
      </c>
      <c r="G1303" s="8" t="s">
        <v>43</v>
      </c>
      <c r="H1303" s="8" t="s">
        <v>950</v>
      </c>
      <c r="J1303" s="8">
        <v>2010</v>
      </c>
      <c r="M1303" s="8" t="s">
        <v>67</v>
      </c>
      <c r="P1303" t="s">
        <v>1135</v>
      </c>
      <c r="R1303" s="8" t="s">
        <v>1127</v>
      </c>
      <c r="S1303" t="s">
        <v>1128</v>
      </c>
      <c r="T1303" s="8" t="s">
        <v>46</v>
      </c>
      <c r="U1303" s="8" t="s">
        <v>382</v>
      </c>
      <c r="V1303" s="8" t="s">
        <v>606</v>
      </c>
      <c r="W1303" s="8" t="str">
        <f>IF(ISNUMBER(MATCH(V697,{"Doryteuthis pealeii","Loligo vulgaris","Leptuca thayeri","Stylocheilus striatus","Ophryotrocha labronica"},0)),"N","Y")</f>
        <v>Y</v>
      </c>
      <c r="Z1303" s="8" t="s">
        <v>177</v>
      </c>
      <c r="AA1303" s="8" t="s">
        <v>177</v>
      </c>
      <c r="AB1303" s="8" t="s">
        <v>71</v>
      </c>
      <c r="AC1303" s="8" t="s">
        <v>195</v>
      </c>
      <c r="AD1303" s="8" t="s">
        <v>52</v>
      </c>
      <c r="AE1303" s="8" t="s">
        <v>53</v>
      </c>
      <c r="AF1303" s="8" t="s">
        <v>52</v>
      </c>
      <c r="AG1303" s="8" t="s">
        <v>52</v>
      </c>
      <c r="AH1303" s="8" t="s">
        <v>64</v>
      </c>
      <c r="AK1303" s="8">
        <v>3</v>
      </c>
      <c r="AL1303" s="8">
        <v>3</v>
      </c>
      <c r="AN1303" s="8">
        <v>327</v>
      </c>
      <c r="AO1303" s="8">
        <v>22</v>
      </c>
      <c r="AP1303" s="8" t="s">
        <v>56</v>
      </c>
      <c r="AQ1303" s="8" t="s">
        <v>57</v>
      </c>
      <c r="AR1303" s="8">
        <v>8.25</v>
      </c>
      <c r="AS1303" s="8" t="s">
        <v>56</v>
      </c>
      <c r="AT1303" s="8" t="s">
        <v>56</v>
      </c>
      <c r="AU1303" s="8">
        <v>1087</v>
      </c>
      <c r="AV1303">
        <v>16</v>
      </c>
      <c r="AW1303" t="s">
        <v>56</v>
      </c>
      <c r="AX1303">
        <v>7.8</v>
      </c>
      <c r="AY1303" t="s">
        <v>56</v>
      </c>
      <c r="AZ1303" t="s">
        <v>56</v>
      </c>
      <c r="BB1303" s="8">
        <f>LOG(AU1303)</f>
        <v>3.0362295440862948</v>
      </c>
      <c r="BC1303" s="8">
        <v>20</v>
      </c>
      <c r="BD1303" s="8" t="s">
        <v>56</v>
      </c>
      <c r="BE1303" s="8" t="s">
        <v>56</v>
      </c>
      <c r="BF1303" s="8">
        <v>24</v>
      </c>
      <c r="BG1303" s="8" t="s">
        <v>56</v>
      </c>
      <c r="BH1303" s="8" t="s">
        <v>56</v>
      </c>
      <c r="BI1303" s="8">
        <v>760</v>
      </c>
      <c r="BJ1303" s="8">
        <v>4</v>
      </c>
      <c r="BK1303" s="8" t="s">
        <v>56</v>
      </c>
      <c r="BL1303" s="8" t="s">
        <v>933</v>
      </c>
      <c r="BM1303" s="8" t="s">
        <v>473</v>
      </c>
      <c r="BN1303" s="8" t="s">
        <v>81</v>
      </c>
      <c r="BO1303" s="8" t="s">
        <v>82</v>
      </c>
      <c r="BP1303" s="8" t="s">
        <v>190</v>
      </c>
      <c r="BQ1303" s="8" t="s">
        <v>190</v>
      </c>
      <c r="BR1303" s="8" t="s">
        <v>84</v>
      </c>
      <c r="BT1303" s="8">
        <v>95.9</v>
      </c>
      <c r="BU1303" s="8">
        <v>95.9</v>
      </c>
      <c r="BV1303" s="8">
        <v>2.94</v>
      </c>
      <c r="BW1303" s="8">
        <f>BV1303*SQRT(AK1303)</f>
        <v>5.0922293742524989</v>
      </c>
      <c r="BX1303" s="8">
        <v>96.07</v>
      </c>
      <c r="BY1303" s="8">
        <v>96.07</v>
      </c>
      <c r="BZ1303" s="8">
        <v>2.94</v>
      </c>
      <c r="CA1303" s="8">
        <f>BZ1303*SQRT(AL1303)</f>
        <v>5.0922293742524989</v>
      </c>
      <c r="CB1303" s="8">
        <v>1</v>
      </c>
      <c r="CC1303" s="8">
        <v>1</v>
      </c>
      <c r="CD1303" s="8">
        <v>2E-3</v>
      </c>
      <c r="CE1303" s="8">
        <v>1.9E-3</v>
      </c>
      <c r="CF1303" s="8" t="s">
        <v>1134</v>
      </c>
    </row>
    <row r="1304" spans="1:84" s="8" customFormat="1" hidden="1" x14ac:dyDescent="0.2">
      <c r="B1304" t="str">
        <f>ROW()-1&amp;"_AltersInvert"</f>
        <v>1303_AltersInvert</v>
      </c>
      <c r="C1304" t="str">
        <f>D1304&amp;"_"&amp;
SUBSTITUTE(TRIM(V1304)," ","_")&amp;"_"&amp;
TRIM(AC1304)&amp;"_"&amp;
"CO2"&amp;TEXT(AN1304,"0.00")&amp;"_"&amp;
"pH"&amp;TEXT(AR1304,"0.00")&amp;"_"&amp;
"T"&amp;TEXT(BC1304,"0.##")</f>
        <v>201_Centrostephanus_rodgersii_EMBRYO_CO2324.00_pH8.25_T18.</v>
      </c>
      <c r="D1304" s="8">
        <v>201</v>
      </c>
      <c r="G1304" s="8" t="s">
        <v>43</v>
      </c>
      <c r="H1304" s="8" t="s">
        <v>950</v>
      </c>
      <c r="J1304" s="8">
        <v>2010</v>
      </c>
      <c r="M1304" s="8" t="s">
        <v>67</v>
      </c>
      <c r="P1304" t="s">
        <v>1135</v>
      </c>
      <c r="R1304" s="8" t="s">
        <v>1127</v>
      </c>
      <c r="S1304" t="s">
        <v>1128</v>
      </c>
      <c r="T1304" s="8" t="s">
        <v>46</v>
      </c>
      <c r="U1304" s="8" t="s">
        <v>570</v>
      </c>
      <c r="V1304" s="8" t="s">
        <v>571</v>
      </c>
      <c r="W1304" s="8" t="str">
        <f>IF(ISNUMBER(MATCH(V698,{"Doryteuthis pealeii","Loligo vulgaris","Leptuca thayeri","Stylocheilus striatus","Ophryotrocha labronica"},0)),"N","Y")</f>
        <v>Y</v>
      </c>
      <c r="Z1304" s="8" t="s">
        <v>177</v>
      </c>
      <c r="AA1304" s="8" t="s">
        <v>177</v>
      </c>
      <c r="AB1304" s="8" t="s">
        <v>71</v>
      </c>
      <c r="AC1304" s="8" t="s">
        <v>195</v>
      </c>
      <c r="AD1304" s="8" t="s">
        <v>52</v>
      </c>
      <c r="AE1304" s="8" t="s">
        <v>53</v>
      </c>
      <c r="AF1304" s="8" t="s">
        <v>52</v>
      </c>
      <c r="AG1304" s="8" t="s">
        <v>54</v>
      </c>
      <c r="AH1304" s="8" t="s">
        <v>55</v>
      </c>
      <c r="AK1304" s="8">
        <v>3</v>
      </c>
      <c r="AL1304" s="8">
        <v>3</v>
      </c>
      <c r="AN1304" s="8">
        <v>324</v>
      </c>
      <c r="AO1304" s="8">
        <v>22</v>
      </c>
      <c r="AP1304" s="8" t="s">
        <v>56</v>
      </c>
      <c r="AQ1304" s="8" t="s">
        <v>57</v>
      </c>
      <c r="AR1304" s="8">
        <v>8.25</v>
      </c>
      <c r="AS1304" s="8" t="s">
        <v>56</v>
      </c>
      <c r="AT1304" s="8" t="s">
        <v>56</v>
      </c>
      <c r="AU1304" s="8">
        <v>1695</v>
      </c>
      <c r="AV1304">
        <v>25</v>
      </c>
      <c r="AW1304" t="s">
        <v>56</v>
      </c>
      <c r="AX1304">
        <v>7.6</v>
      </c>
      <c r="AY1304" t="s">
        <v>56</v>
      </c>
      <c r="AZ1304" t="s">
        <v>56</v>
      </c>
      <c r="BB1304" s="8">
        <f>LOG(AU1304)</f>
        <v>3.2291697025391009</v>
      </c>
      <c r="BC1304" s="8">
        <v>18</v>
      </c>
      <c r="BD1304" s="8" t="s">
        <v>56</v>
      </c>
      <c r="BE1304" s="8" t="s">
        <v>56</v>
      </c>
      <c r="BF1304" s="8">
        <v>18</v>
      </c>
      <c r="BG1304" s="8" t="s">
        <v>56</v>
      </c>
      <c r="BH1304" s="8" t="s">
        <v>56</v>
      </c>
      <c r="BI1304" s="8">
        <v>1371</v>
      </c>
      <c r="BJ1304" s="8">
        <v>0</v>
      </c>
      <c r="BK1304" s="8" t="s">
        <v>56</v>
      </c>
      <c r="BL1304" s="8" t="s">
        <v>933</v>
      </c>
      <c r="BM1304" s="8" t="s">
        <v>473</v>
      </c>
      <c r="BN1304" s="8" t="s">
        <v>81</v>
      </c>
      <c r="BO1304" s="8" t="s">
        <v>82</v>
      </c>
      <c r="BP1304" s="8" t="s">
        <v>190</v>
      </c>
      <c r="BQ1304" s="8" t="s">
        <v>190</v>
      </c>
      <c r="BR1304" s="8" t="s">
        <v>84</v>
      </c>
      <c r="BT1304" s="8">
        <v>96.12</v>
      </c>
      <c r="BU1304" s="8">
        <v>96.12</v>
      </c>
      <c r="BV1304" s="8">
        <v>3.01</v>
      </c>
      <c r="BW1304" s="8">
        <f>BV1304*SQRT(AK1304)</f>
        <v>5.21347293078232</v>
      </c>
      <c r="BX1304" s="8">
        <v>87.88</v>
      </c>
      <c r="BY1304" s="8">
        <v>87.88</v>
      </c>
      <c r="BZ1304" s="8">
        <v>5.42</v>
      </c>
      <c r="CA1304" s="8">
        <f>BZ1304*SQRT(AL1304)</f>
        <v>9.3877153770233139</v>
      </c>
      <c r="CB1304" s="8">
        <v>1</v>
      </c>
      <c r="CC1304" s="8">
        <v>1</v>
      </c>
      <c r="CD1304" s="8">
        <v>-0.09</v>
      </c>
      <c r="CE1304" s="8">
        <v>4.7999999999999996E-3</v>
      </c>
      <c r="CF1304" s="8" t="s">
        <v>1134</v>
      </c>
    </row>
    <row r="1305" spans="1:84" s="8" customFormat="1" hidden="1" x14ac:dyDescent="0.2">
      <c r="B1305" t="str">
        <f>ROW()-1&amp;"_AltersInvert"</f>
        <v>1304_AltersInvert</v>
      </c>
      <c r="C1305" t="str">
        <f>D1305&amp;"_"&amp;
SUBSTITUTE(TRIM(V1305)," ","_")&amp;"_"&amp;
TRIM(AC1305)&amp;"_"&amp;
"CO2"&amp;TEXT(AN1305,"0.00")&amp;"_"&amp;
"pH"&amp;TEXT(AR1305,"0.00")&amp;"_"&amp;
"T"&amp;TEXT(BC1305,"0.##")</f>
        <v>201_Centrostephanus_rodgersii_EMBRYO_CO2324.00_pH8.25_T18.</v>
      </c>
      <c r="D1305" s="8">
        <v>201</v>
      </c>
      <c r="G1305" s="8" t="s">
        <v>43</v>
      </c>
      <c r="H1305" s="8" t="s">
        <v>950</v>
      </c>
      <c r="J1305" s="8">
        <v>2010</v>
      </c>
      <c r="M1305" s="8" t="s">
        <v>67</v>
      </c>
      <c r="P1305" t="s">
        <v>1135</v>
      </c>
      <c r="R1305" s="8" t="s">
        <v>1127</v>
      </c>
      <c r="S1305" t="s">
        <v>1128</v>
      </c>
      <c r="T1305" s="8" t="s">
        <v>46</v>
      </c>
      <c r="U1305" s="8" t="s">
        <v>570</v>
      </c>
      <c r="V1305" s="8" t="s">
        <v>571</v>
      </c>
      <c r="W1305" s="8" t="str">
        <f>IF(ISNUMBER(MATCH(V699,{"Doryteuthis pealeii","Loligo vulgaris","Leptuca thayeri","Stylocheilus striatus","Ophryotrocha labronica"},0)),"N","Y")</f>
        <v>Y</v>
      </c>
      <c r="Z1305" s="8" t="s">
        <v>177</v>
      </c>
      <c r="AA1305" s="8" t="s">
        <v>177</v>
      </c>
      <c r="AB1305" s="8" t="s">
        <v>71</v>
      </c>
      <c r="AC1305" s="8" t="s">
        <v>195</v>
      </c>
      <c r="AD1305" s="8" t="s">
        <v>52</v>
      </c>
      <c r="AE1305" s="8" t="s">
        <v>53</v>
      </c>
      <c r="AF1305" s="8" t="s">
        <v>52</v>
      </c>
      <c r="AG1305" s="8" t="s">
        <v>54</v>
      </c>
      <c r="AH1305" s="8" t="s">
        <v>55</v>
      </c>
      <c r="AK1305" s="8">
        <v>3</v>
      </c>
      <c r="AL1305" s="8">
        <v>3</v>
      </c>
      <c r="AN1305" s="8">
        <v>324</v>
      </c>
      <c r="AO1305" s="8">
        <v>22</v>
      </c>
      <c r="AP1305" s="8" t="s">
        <v>56</v>
      </c>
      <c r="AQ1305" s="8" t="s">
        <v>57</v>
      </c>
      <c r="AR1305" s="8">
        <v>8.25</v>
      </c>
      <c r="AS1305" s="8" t="s">
        <v>56</v>
      </c>
      <c r="AT1305" s="8" t="s">
        <v>56</v>
      </c>
      <c r="AU1305" s="8">
        <v>1033</v>
      </c>
      <c r="AV1305">
        <v>15</v>
      </c>
      <c r="AW1305" t="s">
        <v>56</v>
      </c>
      <c r="AX1305">
        <v>7.8</v>
      </c>
      <c r="AY1305" t="s">
        <v>56</v>
      </c>
      <c r="AZ1305" t="s">
        <v>56</v>
      </c>
      <c r="BB1305" s="8">
        <f>LOG(AU1305)</f>
        <v>3.0141003215196207</v>
      </c>
      <c r="BC1305" s="8">
        <v>18</v>
      </c>
      <c r="BD1305" s="8" t="s">
        <v>56</v>
      </c>
      <c r="BE1305" s="8" t="s">
        <v>56</v>
      </c>
      <c r="BF1305" s="8">
        <v>18</v>
      </c>
      <c r="BG1305" s="8" t="s">
        <v>56</v>
      </c>
      <c r="BH1305" s="8" t="s">
        <v>56</v>
      </c>
      <c r="BI1305" s="8">
        <v>709</v>
      </c>
      <c r="BJ1305" s="8">
        <v>0</v>
      </c>
      <c r="BK1305" s="8" t="s">
        <v>56</v>
      </c>
      <c r="BL1305" s="8" t="s">
        <v>933</v>
      </c>
      <c r="BM1305" s="8" t="s">
        <v>473</v>
      </c>
      <c r="BN1305" s="8" t="s">
        <v>81</v>
      </c>
      <c r="BO1305" s="8" t="s">
        <v>82</v>
      </c>
      <c r="BP1305" s="8" t="s">
        <v>190</v>
      </c>
      <c r="BQ1305" s="8" t="s">
        <v>190</v>
      </c>
      <c r="BR1305" s="8" t="s">
        <v>84</v>
      </c>
      <c r="BT1305" s="8">
        <v>96.12</v>
      </c>
      <c r="BU1305" s="8">
        <v>96.12</v>
      </c>
      <c r="BV1305" s="8">
        <v>3.01</v>
      </c>
      <c r="BW1305" s="8">
        <f>BV1305*SQRT(AK1305)</f>
        <v>5.21347293078232</v>
      </c>
      <c r="BX1305" s="8">
        <v>98.02</v>
      </c>
      <c r="BY1305" s="8">
        <v>98.02</v>
      </c>
      <c r="BZ1305" s="8">
        <v>1.21</v>
      </c>
      <c r="CA1305" s="8">
        <f>BZ1305*SQRT(AL1305)</f>
        <v>2.0957814771583414</v>
      </c>
      <c r="CB1305" s="8">
        <v>1</v>
      </c>
      <c r="CC1305" s="8">
        <v>1</v>
      </c>
      <c r="CD1305" s="8">
        <v>0.02</v>
      </c>
      <c r="CE1305" s="8">
        <v>1.1000000000000001E-3</v>
      </c>
      <c r="CF1305" s="8" t="s">
        <v>1134</v>
      </c>
    </row>
    <row r="1306" spans="1:84" hidden="1" x14ac:dyDescent="0.2">
      <c r="D1306">
        <v>91</v>
      </c>
      <c r="G1306" t="s">
        <v>43</v>
      </c>
      <c r="H1306" t="s">
        <v>744</v>
      </c>
      <c r="J1306">
        <v>2018</v>
      </c>
      <c r="M1306" t="s">
        <v>45</v>
      </c>
      <c r="T1306" t="s">
        <v>131</v>
      </c>
      <c r="U1306" t="s">
        <v>745</v>
      </c>
      <c r="V1306" t="s">
        <v>746</v>
      </c>
      <c r="Z1306" t="s">
        <v>106</v>
      </c>
      <c r="AA1306" t="s">
        <v>107</v>
      </c>
      <c r="AB1306" t="s">
        <v>50</v>
      </c>
      <c r="AC1306" t="s">
        <v>108</v>
      </c>
      <c r="AD1306" t="s">
        <v>52</v>
      </c>
      <c r="AE1306" t="s">
        <v>53</v>
      </c>
      <c r="AF1306" t="s">
        <v>54</v>
      </c>
      <c r="AG1306" t="s">
        <v>52</v>
      </c>
      <c r="AH1306" t="s">
        <v>65</v>
      </c>
      <c r="AK1306">
        <v>16</v>
      </c>
      <c r="AL1306">
        <v>16</v>
      </c>
      <c r="AN1306">
        <v>855</v>
      </c>
      <c r="AO1306" t="s">
        <v>56</v>
      </c>
      <c r="AP1306">
        <v>23</v>
      </c>
      <c r="AQ1306" t="s">
        <v>109</v>
      </c>
      <c r="AR1306">
        <v>7.69</v>
      </c>
      <c r="AS1306" t="s">
        <v>56</v>
      </c>
      <c r="AT1306">
        <v>0.11</v>
      </c>
      <c r="AU1306">
        <v>843</v>
      </c>
      <c r="AV1306" t="s">
        <v>56</v>
      </c>
      <c r="AW1306">
        <v>23</v>
      </c>
      <c r="AX1306">
        <v>7.69</v>
      </c>
      <c r="AY1306" t="s">
        <v>56</v>
      </c>
      <c r="AZ1306">
        <v>0.11</v>
      </c>
      <c r="BB1306">
        <f>LOG(AU1306)</f>
        <v>2.9258275746247424</v>
      </c>
      <c r="BC1306">
        <v>26</v>
      </c>
      <c r="BD1306" t="s">
        <v>56</v>
      </c>
      <c r="BE1306">
        <v>1</v>
      </c>
      <c r="BF1306">
        <v>31.7</v>
      </c>
      <c r="BG1306" t="s">
        <v>56</v>
      </c>
      <c r="BH1306">
        <v>0.9</v>
      </c>
      <c r="BI1306">
        <v>-12</v>
      </c>
      <c r="BJ1306">
        <v>5.7</v>
      </c>
      <c r="BK1306" t="s">
        <v>56</v>
      </c>
      <c r="BL1306" t="s">
        <v>747</v>
      </c>
      <c r="BM1306" t="s">
        <v>241</v>
      </c>
      <c r="BN1306" t="s">
        <v>60</v>
      </c>
      <c r="BO1306" t="s">
        <v>591</v>
      </c>
      <c r="BP1306" t="s">
        <v>234</v>
      </c>
      <c r="BR1306" t="s">
        <v>63</v>
      </c>
      <c r="BT1306">
        <v>259</v>
      </c>
      <c r="BU1306">
        <v>259</v>
      </c>
      <c r="BV1306">
        <v>3</v>
      </c>
      <c r="BW1306">
        <f>BV1306*SQRT(AK1306)</f>
        <v>12</v>
      </c>
      <c r="BX1306">
        <v>251</v>
      </c>
      <c r="BY1306">
        <v>251</v>
      </c>
      <c r="BZ1306">
        <v>2</v>
      </c>
      <c r="CA1306">
        <f>BZ1306*SQRT(AL1306)</f>
        <v>8</v>
      </c>
      <c r="CB1306">
        <v>33</v>
      </c>
      <c r="CC1306">
        <v>20</v>
      </c>
      <c r="CD1306">
        <v>-3.1E-2</v>
      </c>
      <c r="CE1306">
        <v>2.0000000000000001E-4</v>
      </c>
    </row>
    <row r="1307" spans="1:84" hidden="1" x14ac:dyDescent="0.2">
      <c r="D1307">
        <v>91</v>
      </c>
      <c r="G1307" t="s">
        <v>43</v>
      </c>
      <c r="H1307" t="s">
        <v>744</v>
      </c>
      <c r="J1307">
        <v>2018</v>
      </c>
      <c r="M1307" t="s">
        <v>45</v>
      </c>
      <c r="T1307" t="s">
        <v>131</v>
      </c>
      <c r="U1307" t="s">
        <v>745</v>
      </c>
      <c r="V1307" t="s">
        <v>746</v>
      </c>
      <c r="Z1307" t="s">
        <v>106</v>
      </c>
      <c r="AA1307" t="s">
        <v>107</v>
      </c>
      <c r="AB1307" t="s">
        <v>50</v>
      </c>
      <c r="AC1307" t="s">
        <v>108</v>
      </c>
      <c r="AD1307" t="s">
        <v>52</v>
      </c>
      <c r="AE1307" t="s">
        <v>53</v>
      </c>
      <c r="AF1307" t="s">
        <v>54</v>
      </c>
      <c r="AG1307" t="s">
        <v>52</v>
      </c>
      <c r="AH1307" t="s">
        <v>65</v>
      </c>
      <c r="AK1307">
        <v>16</v>
      </c>
      <c r="AL1307">
        <v>16</v>
      </c>
      <c r="AN1307">
        <v>855</v>
      </c>
      <c r="AO1307" t="s">
        <v>56</v>
      </c>
      <c r="AP1307">
        <v>23</v>
      </c>
      <c r="AQ1307" t="s">
        <v>109</v>
      </c>
      <c r="AR1307">
        <v>7.69</v>
      </c>
      <c r="AS1307" t="s">
        <v>56</v>
      </c>
      <c r="AT1307">
        <v>0.11</v>
      </c>
      <c r="AU1307">
        <v>843</v>
      </c>
      <c r="AV1307" t="s">
        <v>56</v>
      </c>
      <c r="AW1307">
        <v>23</v>
      </c>
      <c r="AX1307">
        <v>7.69</v>
      </c>
      <c r="AY1307" t="s">
        <v>56</v>
      </c>
      <c r="AZ1307">
        <v>0.11</v>
      </c>
      <c r="BB1307">
        <f>LOG(AU1307)</f>
        <v>2.9258275746247424</v>
      </c>
      <c r="BC1307">
        <v>26</v>
      </c>
      <c r="BD1307" t="s">
        <v>56</v>
      </c>
      <c r="BE1307">
        <v>1</v>
      </c>
      <c r="BF1307">
        <v>31.7</v>
      </c>
      <c r="BG1307" t="s">
        <v>56</v>
      </c>
      <c r="BH1307">
        <v>0.9</v>
      </c>
      <c r="BI1307">
        <v>-12</v>
      </c>
      <c r="BJ1307">
        <v>5.7</v>
      </c>
      <c r="BK1307" t="s">
        <v>56</v>
      </c>
      <c r="BL1307" t="s">
        <v>748</v>
      </c>
      <c r="BM1307" t="s">
        <v>110</v>
      </c>
      <c r="BN1307" t="s">
        <v>60</v>
      </c>
      <c r="BO1307" t="s">
        <v>82</v>
      </c>
      <c r="BP1307" t="s">
        <v>92</v>
      </c>
      <c r="BR1307" t="s">
        <v>63</v>
      </c>
      <c r="BT1307">
        <v>68.400000000000006</v>
      </c>
      <c r="BU1307">
        <v>68.400000000000006</v>
      </c>
      <c r="BV1307">
        <v>0.7</v>
      </c>
      <c r="BW1307">
        <f>BV1307*SQRT(AK1307)</f>
        <v>2.8</v>
      </c>
      <c r="BX1307">
        <v>66.8</v>
      </c>
      <c r="BY1307">
        <v>66.8</v>
      </c>
      <c r="BZ1307">
        <v>0.4</v>
      </c>
      <c r="CA1307">
        <f>BZ1307*SQRT(AL1307)</f>
        <v>1.6</v>
      </c>
      <c r="CB1307">
        <v>33</v>
      </c>
      <c r="CC1307">
        <v>20</v>
      </c>
      <c r="CD1307">
        <v>-2.4E-2</v>
      </c>
      <c r="CE1307">
        <v>1E-4</v>
      </c>
    </row>
    <row r="1308" spans="1:84" hidden="1" x14ac:dyDescent="0.2">
      <c r="D1308">
        <v>91</v>
      </c>
      <c r="G1308" t="s">
        <v>43</v>
      </c>
      <c r="H1308" t="s">
        <v>744</v>
      </c>
      <c r="J1308">
        <v>2018</v>
      </c>
      <c r="M1308" t="s">
        <v>45</v>
      </c>
      <c r="T1308" t="s">
        <v>131</v>
      </c>
      <c r="U1308" t="s">
        <v>745</v>
      </c>
      <c r="V1308" t="s">
        <v>746</v>
      </c>
      <c r="Z1308" t="s">
        <v>106</v>
      </c>
      <c r="AA1308" t="s">
        <v>107</v>
      </c>
      <c r="AB1308" t="s">
        <v>50</v>
      </c>
      <c r="AC1308" t="s">
        <v>108</v>
      </c>
      <c r="AD1308" t="s">
        <v>52</v>
      </c>
      <c r="AE1308" t="s">
        <v>53</v>
      </c>
      <c r="AF1308" t="s">
        <v>52</v>
      </c>
      <c r="AG1308" t="s">
        <v>52</v>
      </c>
      <c r="AH1308" t="s">
        <v>64</v>
      </c>
      <c r="AK1308">
        <v>16</v>
      </c>
      <c r="AL1308">
        <v>16</v>
      </c>
      <c r="AN1308">
        <v>855</v>
      </c>
      <c r="AO1308" t="s">
        <v>56</v>
      </c>
      <c r="AP1308">
        <v>23</v>
      </c>
      <c r="AQ1308" t="s">
        <v>109</v>
      </c>
      <c r="AR1308">
        <v>7.69</v>
      </c>
      <c r="AS1308" t="s">
        <v>56</v>
      </c>
      <c r="AT1308">
        <v>0.11</v>
      </c>
      <c r="AU1308">
        <v>8173</v>
      </c>
      <c r="AV1308" t="s">
        <v>56</v>
      </c>
      <c r="AW1308">
        <v>98</v>
      </c>
      <c r="AX1308">
        <v>6.72</v>
      </c>
      <c r="AY1308" t="s">
        <v>56</v>
      </c>
      <c r="AZ1308">
        <v>0.05</v>
      </c>
      <c r="BB1308">
        <f>LOG(AU1308)</f>
        <v>3.9123814989188004</v>
      </c>
      <c r="BC1308">
        <v>26</v>
      </c>
      <c r="BD1308" t="s">
        <v>56</v>
      </c>
      <c r="BE1308">
        <v>1</v>
      </c>
      <c r="BF1308">
        <v>31.6</v>
      </c>
      <c r="BG1308" t="s">
        <v>56</v>
      </c>
      <c r="BH1308">
        <v>0.9</v>
      </c>
      <c r="BI1308">
        <v>7317</v>
      </c>
      <c r="BJ1308">
        <v>5.6</v>
      </c>
      <c r="BK1308" t="s">
        <v>56</v>
      </c>
      <c r="BL1308" t="s">
        <v>747</v>
      </c>
      <c r="BM1308" t="s">
        <v>241</v>
      </c>
      <c r="BN1308" t="s">
        <v>60</v>
      </c>
      <c r="BO1308" t="s">
        <v>591</v>
      </c>
      <c r="BP1308" t="s">
        <v>234</v>
      </c>
      <c r="BR1308" t="s">
        <v>63</v>
      </c>
      <c r="BT1308">
        <v>259</v>
      </c>
      <c r="BU1308">
        <v>259</v>
      </c>
      <c r="BV1308">
        <v>3</v>
      </c>
      <c r="BW1308">
        <f>BV1308*SQRT(AK1308)</f>
        <v>12</v>
      </c>
      <c r="BX1308">
        <v>255</v>
      </c>
      <c r="BY1308">
        <v>255</v>
      </c>
      <c r="BZ1308">
        <v>3</v>
      </c>
      <c r="CA1308">
        <f>BZ1308*SQRT(AL1308)</f>
        <v>12</v>
      </c>
      <c r="CB1308">
        <v>33</v>
      </c>
      <c r="CC1308">
        <v>20</v>
      </c>
      <c r="CD1308">
        <v>-1.6E-2</v>
      </c>
      <c r="CE1308">
        <v>2.9999999999999997E-4</v>
      </c>
    </row>
    <row r="1309" spans="1:84" hidden="1" x14ac:dyDescent="0.2">
      <c r="D1309">
        <v>91</v>
      </c>
      <c r="G1309" t="s">
        <v>43</v>
      </c>
      <c r="H1309" t="s">
        <v>744</v>
      </c>
      <c r="J1309">
        <v>2018</v>
      </c>
      <c r="M1309" t="s">
        <v>45</v>
      </c>
      <c r="T1309" t="s">
        <v>131</v>
      </c>
      <c r="U1309" t="s">
        <v>745</v>
      </c>
      <c r="V1309" t="s">
        <v>746</v>
      </c>
      <c r="Z1309" t="s">
        <v>106</v>
      </c>
      <c r="AA1309" t="s">
        <v>107</v>
      </c>
      <c r="AB1309" t="s">
        <v>50</v>
      </c>
      <c r="AC1309" t="s">
        <v>108</v>
      </c>
      <c r="AD1309" t="s">
        <v>52</v>
      </c>
      <c r="AE1309" t="s">
        <v>53</v>
      </c>
      <c r="AF1309" t="s">
        <v>52</v>
      </c>
      <c r="AG1309" t="s">
        <v>52</v>
      </c>
      <c r="AH1309" t="s">
        <v>64</v>
      </c>
      <c r="AK1309">
        <v>16</v>
      </c>
      <c r="AL1309">
        <v>16</v>
      </c>
      <c r="AN1309">
        <v>855</v>
      </c>
      <c r="AO1309" t="s">
        <v>56</v>
      </c>
      <c r="AP1309">
        <v>23</v>
      </c>
      <c r="AQ1309" t="s">
        <v>109</v>
      </c>
      <c r="AR1309">
        <v>7.69</v>
      </c>
      <c r="AS1309" t="s">
        <v>56</v>
      </c>
      <c r="AT1309">
        <v>0.11</v>
      </c>
      <c r="AU1309">
        <v>8173</v>
      </c>
      <c r="AV1309" t="s">
        <v>56</v>
      </c>
      <c r="AW1309">
        <v>98</v>
      </c>
      <c r="AX1309">
        <v>6.72</v>
      </c>
      <c r="AY1309" t="s">
        <v>56</v>
      </c>
      <c r="AZ1309">
        <v>0.05</v>
      </c>
      <c r="BB1309">
        <f>LOG(AU1309)</f>
        <v>3.9123814989188004</v>
      </c>
      <c r="BC1309">
        <v>26</v>
      </c>
      <c r="BD1309" t="s">
        <v>56</v>
      </c>
      <c r="BE1309">
        <v>1</v>
      </c>
      <c r="BF1309">
        <v>31.6</v>
      </c>
      <c r="BG1309" t="s">
        <v>56</v>
      </c>
      <c r="BH1309">
        <v>0.9</v>
      </c>
      <c r="BI1309">
        <v>7317</v>
      </c>
      <c r="BJ1309">
        <v>5.6</v>
      </c>
      <c r="BK1309" t="s">
        <v>56</v>
      </c>
      <c r="BL1309" t="s">
        <v>748</v>
      </c>
      <c r="BM1309" t="s">
        <v>110</v>
      </c>
      <c r="BN1309" t="s">
        <v>60</v>
      </c>
      <c r="BO1309" t="s">
        <v>82</v>
      </c>
      <c r="BP1309" t="s">
        <v>92</v>
      </c>
      <c r="BR1309" t="s">
        <v>63</v>
      </c>
      <c r="BT1309">
        <v>68.400000000000006</v>
      </c>
      <c r="BU1309">
        <v>68.400000000000006</v>
      </c>
      <c r="BV1309">
        <v>0.7</v>
      </c>
      <c r="BW1309">
        <f>BV1309*SQRT(AK1309)</f>
        <v>2.8</v>
      </c>
      <c r="BX1309">
        <v>68.3</v>
      </c>
      <c r="BY1309">
        <v>68.3</v>
      </c>
      <c r="BZ1309">
        <v>0.7</v>
      </c>
      <c r="CA1309">
        <f>BZ1309*SQRT(AL1309)</f>
        <v>2.8</v>
      </c>
      <c r="CB1309">
        <v>33</v>
      </c>
      <c r="CC1309">
        <v>20</v>
      </c>
      <c r="CD1309">
        <v>-1E-3</v>
      </c>
      <c r="CE1309">
        <v>2.0000000000000001E-4</v>
      </c>
    </row>
    <row r="1310" spans="1:84" hidden="1" x14ac:dyDescent="0.2">
      <c r="D1310">
        <v>91</v>
      </c>
      <c r="G1310" t="s">
        <v>43</v>
      </c>
      <c r="H1310" t="s">
        <v>744</v>
      </c>
      <c r="J1310">
        <v>2018</v>
      </c>
      <c r="M1310" t="s">
        <v>45</v>
      </c>
      <c r="T1310" t="s">
        <v>131</v>
      </c>
      <c r="U1310" t="s">
        <v>745</v>
      </c>
      <c r="V1310" t="s">
        <v>746</v>
      </c>
      <c r="Z1310" t="s">
        <v>106</v>
      </c>
      <c r="AA1310" t="s">
        <v>107</v>
      </c>
      <c r="AB1310" t="s">
        <v>50</v>
      </c>
      <c r="AC1310" t="s">
        <v>108</v>
      </c>
      <c r="AD1310" t="s">
        <v>52</v>
      </c>
      <c r="AE1310" t="s">
        <v>53</v>
      </c>
      <c r="AF1310" t="s">
        <v>52</v>
      </c>
      <c r="AG1310" t="s">
        <v>54</v>
      </c>
      <c r="AH1310" t="s">
        <v>55</v>
      </c>
      <c r="AK1310">
        <v>16</v>
      </c>
      <c r="AL1310">
        <v>16</v>
      </c>
      <c r="AN1310">
        <v>855</v>
      </c>
      <c r="AO1310" t="s">
        <v>56</v>
      </c>
      <c r="AP1310">
        <v>23</v>
      </c>
      <c r="AQ1310" t="s">
        <v>109</v>
      </c>
      <c r="AR1310">
        <v>7.69</v>
      </c>
      <c r="AS1310" t="s">
        <v>56</v>
      </c>
      <c r="AT1310">
        <v>0.11</v>
      </c>
      <c r="AU1310">
        <v>8749</v>
      </c>
      <c r="AV1310" t="s">
        <v>56</v>
      </c>
      <c r="AW1310">
        <v>173</v>
      </c>
      <c r="AX1310">
        <v>6.7</v>
      </c>
      <c r="AY1310" t="s">
        <v>56</v>
      </c>
      <c r="AZ1310">
        <v>0.01</v>
      </c>
      <c r="BB1310">
        <f>LOG(AU1310)</f>
        <v>3.9419584165308135</v>
      </c>
      <c r="BC1310">
        <v>26</v>
      </c>
      <c r="BD1310" t="s">
        <v>56</v>
      </c>
      <c r="BE1310">
        <v>1</v>
      </c>
      <c r="BF1310">
        <v>26</v>
      </c>
      <c r="BG1310" t="s">
        <v>56</v>
      </c>
      <c r="BH1310">
        <v>1</v>
      </c>
      <c r="BI1310">
        <v>7894</v>
      </c>
      <c r="BJ1310">
        <v>0</v>
      </c>
      <c r="BK1310" t="s">
        <v>56</v>
      </c>
      <c r="BL1310" t="s">
        <v>747</v>
      </c>
      <c r="BM1310" t="s">
        <v>241</v>
      </c>
      <c r="BN1310" t="s">
        <v>60</v>
      </c>
      <c r="BO1310" t="s">
        <v>591</v>
      </c>
      <c r="BP1310" t="s">
        <v>234</v>
      </c>
      <c r="BR1310" t="s">
        <v>63</v>
      </c>
      <c r="BT1310">
        <v>259</v>
      </c>
      <c r="BU1310">
        <v>259</v>
      </c>
      <c r="BV1310">
        <v>3</v>
      </c>
      <c r="BW1310">
        <f>BV1310*SQRT(AK1310)</f>
        <v>12</v>
      </c>
      <c r="BX1310">
        <v>263</v>
      </c>
      <c r="BY1310">
        <v>263</v>
      </c>
      <c r="BZ1310">
        <v>1</v>
      </c>
      <c r="CA1310">
        <f>BZ1310*SQRT(AL1310)</f>
        <v>4</v>
      </c>
      <c r="CB1310">
        <v>33</v>
      </c>
      <c r="CC1310">
        <v>20</v>
      </c>
      <c r="CD1310">
        <v>1.4999999999999999E-2</v>
      </c>
      <c r="CE1310">
        <v>1E-4</v>
      </c>
    </row>
    <row r="1311" spans="1:84" hidden="1" x14ac:dyDescent="0.2">
      <c r="D1311">
        <v>91</v>
      </c>
      <c r="G1311" t="s">
        <v>43</v>
      </c>
      <c r="H1311" t="s">
        <v>744</v>
      </c>
      <c r="J1311">
        <v>2018</v>
      </c>
      <c r="M1311" t="s">
        <v>45</v>
      </c>
      <c r="T1311" t="s">
        <v>131</v>
      </c>
      <c r="U1311" t="s">
        <v>745</v>
      </c>
      <c r="V1311" t="s">
        <v>746</v>
      </c>
      <c r="Z1311" t="s">
        <v>106</v>
      </c>
      <c r="AA1311" t="s">
        <v>107</v>
      </c>
      <c r="AB1311" t="s">
        <v>50</v>
      </c>
      <c r="AC1311" t="s">
        <v>108</v>
      </c>
      <c r="AD1311" t="s">
        <v>52</v>
      </c>
      <c r="AE1311" t="s">
        <v>53</v>
      </c>
      <c r="AF1311" t="s">
        <v>52</v>
      </c>
      <c r="AG1311" t="s">
        <v>54</v>
      </c>
      <c r="AH1311" t="s">
        <v>55</v>
      </c>
      <c r="AK1311">
        <v>16</v>
      </c>
      <c r="AL1311">
        <v>16</v>
      </c>
      <c r="AN1311">
        <v>855</v>
      </c>
      <c r="AO1311" t="s">
        <v>56</v>
      </c>
      <c r="AP1311">
        <v>23</v>
      </c>
      <c r="AQ1311" t="s">
        <v>109</v>
      </c>
      <c r="AR1311">
        <v>7.69</v>
      </c>
      <c r="AS1311" t="s">
        <v>56</v>
      </c>
      <c r="AT1311">
        <v>0.11</v>
      </c>
      <c r="AU1311">
        <v>8749</v>
      </c>
      <c r="AV1311" t="s">
        <v>56</v>
      </c>
      <c r="AW1311">
        <v>173</v>
      </c>
      <c r="AX1311">
        <v>6.7</v>
      </c>
      <c r="AY1311" t="s">
        <v>56</v>
      </c>
      <c r="AZ1311">
        <v>0.01</v>
      </c>
      <c r="BB1311">
        <f>LOG(AU1311)</f>
        <v>3.9419584165308135</v>
      </c>
      <c r="BC1311">
        <v>26</v>
      </c>
      <c r="BD1311" t="s">
        <v>56</v>
      </c>
      <c r="BE1311">
        <v>1</v>
      </c>
      <c r="BF1311">
        <v>26</v>
      </c>
      <c r="BG1311" t="s">
        <v>56</v>
      </c>
      <c r="BH1311">
        <v>1</v>
      </c>
      <c r="BI1311">
        <v>7894</v>
      </c>
      <c r="BJ1311">
        <v>0</v>
      </c>
      <c r="BK1311" t="s">
        <v>56</v>
      </c>
      <c r="BL1311" t="s">
        <v>748</v>
      </c>
      <c r="BM1311" t="s">
        <v>110</v>
      </c>
      <c r="BN1311" t="s">
        <v>60</v>
      </c>
      <c r="BO1311" t="s">
        <v>82</v>
      </c>
      <c r="BP1311" t="s">
        <v>92</v>
      </c>
      <c r="BR1311" t="s">
        <v>63</v>
      </c>
      <c r="BT1311">
        <v>68.400000000000006</v>
      </c>
      <c r="BU1311">
        <v>68.400000000000006</v>
      </c>
      <c r="BV1311">
        <v>0.7</v>
      </c>
      <c r="BW1311">
        <f>BV1311*SQRT(AK1311)</f>
        <v>2.8</v>
      </c>
      <c r="BX1311">
        <v>69.599999999999994</v>
      </c>
      <c r="BY1311">
        <v>69.599999999999994</v>
      </c>
      <c r="BZ1311">
        <v>0.3</v>
      </c>
      <c r="CA1311">
        <f>BZ1311*SQRT(AL1311)</f>
        <v>1.2</v>
      </c>
      <c r="CB1311">
        <v>33</v>
      </c>
      <c r="CC1311">
        <v>20</v>
      </c>
      <c r="CD1311">
        <v>1.7000000000000001E-2</v>
      </c>
      <c r="CE1311">
        <v>1E-4</v>
      </c>
    </row>
    <row r="1312" spans="1:84" hidden="1" x14ac:dyDescent="0.2">
      <c r="A1312" s="8"/>
      <c r="B1312" t="str">
        <f>ROW()-1&amp;"_AltersInvert"</f>
        <v>1311_AltersInvert</v>
      </c>
      <c r="C1312" t="str">
        <f>D1312&amp;"_"&amp;
SUBSTITUTE(TRIM(V1312)," ","_")&amp;"_"&amp;
TRIM(AC1312)&amp;"_"&amp;
"CO2"&amp;TEXT(AN1312,"0.00")&amp;"_"&amp;
"pH"&amp;TEXT(AR1312,"0.00")&amp;"_"&amp;
"T"&amp;TEXT(BC1312,"0.##")</f>
        <v>201_Centrostephanus_rodgersii_EMBRYO_CO2324.00_pH8.25_T18.</v>
      </c>
      <c r="D1312" s="8">
        <v>201</v>
      </c>
      <c r="E1312" s="8"/>
      <c r="F1312" s="8"/>
      <c r="G1312" s="8" t="s">
        <v>43</v>
      </c>
      <c r="H1312" s="8" t="s">
        <v>950</v>
      </c>
      <c r="I1312" s="8"/>
      <c r="J1312" s="8">
        <v>2010</v>
      </c>
      <c r="K1312" s="8"/>
      <c r="L1312" s="8"/>
      <c r="M1312" s="8" t="s">
        <v>67</v>
      </c>
      <c r="N1312" s="8"/>
      <c r="O1312" s="8"/>
      <c r="P1312" t="s">
        <v>1135</v>
      </c>
      <c r="Q1312" s="8"/>
      <c r="R1312" s="8" t="s">
        <v>1127</v>
      </c>
      <c r="S1312" t="s">
        <v>1128</v>
      </c>
      <c r="T1312" s="8" t="s">
        <v>46</v>
      </c>
      <c r="U1312" s="8" t="s">
        <v>570</v>
      </c>
      <c r="V1312" s="8" t="s">
        <v>571</v>
      </c>
      <c r="W1312" s="8" t="str">
        <f>IF(ISNUMBER(MATCH(V706,{"Doryteuthis pealeii","Loligo vulgaris","Leptuca thayeri","Stylocheilus striatus","Ophryotrocha labronica"},0)),"N","Y")</f>
        <v>Y</v>
      </c>
      <c r="X1312" s="8"/>
      <c r="Y1312" s="8"/>
      <c r="Z1312" s="8" t="s">
        <v>177</v>
      </c>
      <c r="AA1312" s="8" t="s">
        <v>177</v>
      </c>
      <c r="AB1312" s="8" t="s">
        <v>71</v>
      </c>
      <c r="AC1312" s="8" t="s">
        <v>195</v>
      </c>
      <c r="AD1312" s="8" t="s">
        <v>52</v>
      </c>
      <c r="AE1312" s="8" t="s">
        <v>53</v>
      </c>
      <c r="AF1312" s="8" t="s">
        <v>54</v>
      </c>
      <c r="AG1312" s="8" t="s">
        <v>52</v>
      </c>
      <c r="AH1312" s="8" t="s">
        <v>65</v>
      </c>
      <c r="AI1312" s="8"/>
      <c r="AJ1312" s="8"/>
      <c r="AK1312" s="8">
        <v>3</v>
      </c>
      <c r="AL1312" s="8">
        <v>3</v>
      </c>
      <c r="AM1312" s="8"/>
      <c r="AN1312" s="8">
        <v>324</v>
      </c>
      <c r="AO1312" s="8">
        <v>22</v>
      </c>
      <c r="AP1312" s="8" t="s">
        <v>56</v>
      </c>
      <c r="AQ1312" s="8" t="s">
        <v>57</v>
      </c>
      <c r="AR1312" s="8">
        <v>8.25</v>
      </c>
      <c r="AS1312" s="8" t="s">
        <v>56</v>
      </c>
      <c r="AT1312" s="8" t="s">
        <v>56</v>
      </c>
      <c r="AU1312" s="8">
        <v>332</v>
      </c>
      <c r="AV1312">
        <v>23</v>
      </c>
      <c r="AW1312" t="s">
        <v>56</v>
      </c>
      <c r="AX1312">
        <v>8.25</v>
      </c>
      <c r="AY1312" t="s">
        <v>56</v>
      </c>
      <c r="AZ1312" t="s">
        <v>56</v>
      </c>
      <c r="BA1312" s="8"/>
      <c r="BB1312" s="8">
        <f>LOG(AU1312)</f>
        <v>2.5211380837040362</v>
      </c>
      <c r="BC1312" s="8">
        <v>18</v>
      </c>
      <c r="BD1312" s="8" t="s">
        <v>56</v>
      </c>
      <c r="BE1312" s="8" t="s">
        <v>56</v>
      </c>
      <c r="BF1312" s="8">
        <v>24</v>
      </c>
      <c r="BG1312" s="8" t="s">
        <v>56</v>
      </c>
      <c r="BH1312" s="8" t="s">
        <v>56</v>
      </c>
      <c r="BI1312" s="8">
        <v>8</v>
      </c>
      <c r="BJ1312" s="8">
        <v>6</v>
      </c>
      <c r="BK1312" s="8" t="s">
        <v>56</v>
      </c>
      <c r="BL1312" s="8" t="s">
        <v>933</v>
      </c>
      <c r="BM1312" s="8" t="s">
        <v>473</v>
      </c>
      <c r="BN1312" s="8" t="s">
        <v>81</v>
      </c>
      <c r="BO1312" s="8" t="s">
        <v>82</v>
      </c>
      <c r="BP1312" s="8" t="s">
        <v>190</v>
      </c>
      <c r="BQ1312" s="8" t="s">
        <v>190</v>
      </c>
      <c r="BR1312" s="8" t="s">
        <v>84</v>
      </c>
      <c r="BS1312" s="8"/>
      <c r="BT1312" s="8">
        <v>96.12</v>
      </c>
      <c r="BU1312" s="8">
        <v>96.12</v>
      </c>
      <c r="BV1312" s="8">
        <v>3.01</v>
      </c>
      <c r="BW1312" s="8">
        <f>BV1312*SQRT(AK1312)</f>
        <v>5.21347293078232</v>
      </c>
      <c r="BX1312" s="8">
        <v>94.96</v>
      </c>
      <c r="BY1312" s="8">
        <v>94.96</v>
      </c>
      <c r="BZ1312" s="8">
        <v>3.01</v>
      </c>
      <c r="CA1312" s="8">
        <f>BZ1312*SQRT(AL1312)</f>
        <v>5.21347293078232</v>
      </c>
      <c r="CB1312" s="8">
        <v>1</v>
      </c>
      <c r="CC1312" s="8">
        <v>1</v>
      </c>
      <c r="CD1312" s="8">
        <v>-1.2E-2</v>
      </c>
      <c r="CE1312" s="8">
        <v>2E-3</v>
      </c>
      <c r="CF1312" s="8" t="s">
        <v>1134</v>
      </c>
    </row>
    <row r="1313" spans="1:84" hidden="1" x14ac:dyDescent="0.2">
      <c r="A1313" s="8"/>
      <c r="B1313" t="str">
        <f>ROW()-1&amp;"_AltersInvert"</f>
        <v>1312_AltersInvert</v>
      </c>
      <c r="C1313" t="str">
        <f>D1313&amp;"_"&amp;
SUBSTITUTE(TRIM(V1313)," ","_")&amp;"_"&amp;
TRIM(AC1313)&amp;"_"&amp;
"CO2"&amp;TEXT(AN1313,"0.00")&amp;"_"&amp;
"pH"&amp;TEXT(AR1313,"0.00")&amp;"_"&amp;
"T"&amp;TEXT(BC1313,"0.##")</f>
        <v>201_Centrostephanus_rodgersii_EMBRYO_CO2324.00_pH8.25_T18.</v>
      </c>
      <c r="D1313" s="8">
        <v>201</v>
      </c>
      <c r="E1313" s="8"/>
      <c r="F1313" s="8"/>
      <c r="G1313" s="8" t="s">
        <v>43</v>
      </c>
      <c r="H1313" s="8" t="s">
        <v>950</v>
      </c>
      <c r="I1313" s="8"/>
      <c r="J1313" s="8">
        <v>2010</v>
      </c>
      <c r="K1313" s="8"/>
      <c r="L1313" s="8"/>
      <c r="M1313" s="8" t="s">
        <v>67</v>
      </c>
      <c r="N1313" s="8"/>
      <c r="O1313" s="8"/>
      <c r="P1313" t="s">
        <v>1135</v>
      </c>
      <c r="Q1313" s="8"/>
      <c r="R1313" s="8" t="s">
        <v>1127</v>
      </c>
      <c r="S1313" t="s">
        <v>1128</v>
      </c>
      <c r="T1313" s="8" t="s">
        <v>46</v>
      </c>
      <c r="U1313" s="8" t="s">
        <v>570</v>
      </c>
      <c r="V1313" s="8" t="s">
        <v>571</v>
      </c>
      <c r="W1313" s="8" t="str">
        <f>IF(ISNUMBER(MATCH(V707,{"Doryteuthis pealeii","Loligo vulgaris","Leptuca thayeri","Stylocheilus striatus","Ophryotrocha labronica"},0)),"N","Y")</f>
        <v>Y</v>
      </c>
      <c r="X1313" s="8"/>
      <c r="Y1313" s="8"/>
      <c r="Z1313" s="8" t="s">
        <v>177</v>
      </c>
      <c r="AA1313" s="8" t="s">
        <v>177</v>
      </c>
      <c r="AB1313" s="8" t="s">
        <v>71</v>
      </c>
      <c r="AC1313" s="8" t="s">
        <v>195</v>
      </c>
      <c r="AD1313" s="8" t="s">
        <v>52</v>
      </c>
      <c r="AE1313" s="8" t="s">
        <v>53</v>
      </c>
      <c r="AF1313" s="8" t="s">
        <v>54</v>
      </c>
      <c r="AG1313" s="8" t="s">
        <v>52</v>
      </c>
      <c r="AH1313" s="8" t="s">
        <v>65</v>
      </c>
      <c r="AI1313" s="8"/>
      <c r="AJ1313" s="8"/>
      <c r="AK1313" s="8">
        <v>3</v>
      </c>
      <c r="AL1313" s="8">
        <v>3</v>
      </c>
      <c r="AM1313" s="8"/>
      <c r="AN1313" s="8">
        <v>324</v>
      </c>
      <c r="AO1313" s="8">
        <v>22</v>
      </c>
      <c r="AP1313" s="8" t="s">
        <v>56</v>
      </c>
      <c r="AQ1313" s="8" t="s">
        <v>57</v>
      </c>
      <c r="AR1313" s="8">
        <v>8.25</v>
      </c>
      <c r="AS1313" s="8" t="s">
        <v>56</v>
      </c>
      <c r="AT1313" s="8" t="s">
        <v>56</v>
      </c>
      <c r="AU1313" s="8">
        <v>330</v>
      </c>
      <c r="AV1313">
        <v>23</v>
      </c>
      <c r="AW1313" t="s">
        <v>56</v>
      </c>
      <c r="AX1313">
        <v>8.25</v>
      </c>
      <c r="AY1313" t="s">
        <v>56</v>
      </c>
      <c r="AZ1313" t="s">
        <v>56</v>
      </c>
      <c r="BA1313" s="8"/>
      <c r="BB1313" s="8">
        <f>LOG(AU1313)</f>
        <v>2.5185139398778875</v>
      </c>
      <c r="BC1313" s="8">
        <v>18</v>
      </c>
      <c r="BD1313" s="8" t="s">
        <v>56</v>
      </c>
      <c r="BE1313" s="8" t="s">
        <v>56</v>
      </c>
      <c r="BF1313" s="8">
        <v>22</v>
      </c>
      <c r="BG1313" s="8" t="s">
        <v>56</v>
      </c>
      <c r="BH1313" s="8" t="s">
        <v>56</v>
      </c>
      <c r="BI1313" s="8">
        <v>6</v>
      </c>
      <c r="BJ1313" s="8">
        <v>4</v>
      </c>
      <c r="BK1313" s="8" t="s">
        <v>56</v>
      </c>
      <c r="BL1313" s="8" t="s">
        <v>933</v>
      </c>
      <c r="BM1313" s="8" t="s">
        <v>473</v>
      </c>
      <c r="BN1313" s="8" t="s">
        <v>81</v>
      </c>
      <c r="BO1313" s="8" t="s">
        <v>82</v>
      </c>
      <c r="BP1313" s="8" t="s">
        <v>190</v>
      </c>
      <c r="BQ1313" s="8" t="s">
        <v>190</v>
      </c>
      <c r="BR1313" s="8" t="s">
        <v>84</v>
      </c>
      <c r="BS1313" s="8"/>
      <c r="BT1313" s="8">
        <v>96.12</v>
      </c>
      <c r="BU1313" s="8">
        <v>96.12</v>
      </c>
      <c r="BV1313" s="8">
        <v>3.01</v>
      </c>
      <c r="BW1313" s="8">
        <f>BV1313*SQRT(AK1313)</f>
        <v>5.21347293078232</v>
      </c>
      <c r="BX1313" s="8">
        <v>96.14</v>
      </c>
      <c r="BY1313" s="8">
        <v>96.14</v>
      </c>
      <c r="BZ1313" s="8">
        <v>3.01</v>
      </c>
      <c r="CA1313" s="8">
        <f>BZ1313*SQRT(AL1313)</f>
        <v>5.21347293078232</v>
      </c>
      <c r="CB1313" s="8">
        <v>1</v>
      </c>
      <c r="CC1313" s="8">
        <v>1</v>
      </c>
      <c r="CD1313" s="8">
        <v>0</v>
      </c>
      <c r="CE1313" s="8">
        <v>2E-3</v>
      </c>
      <c r="CF1313" s="8" t="s">
        <v>1134</v>
      </c>
    </row>
    <row r="1314" spans="1:84" hidden="1" x14ac:dyDescent="0.2">
      <c r="A1314" s="8"/>
      <c r="B1314" t="str">
        <f>ROW()-1&amp;"_AltersInvert"</f>
        <v>1313_AltersInvert</v>
      </c>
      <c r="C1314" t="str">
        <f>D1314&amp;"_"&amp;
SUBSTITUTE(TRIM(V1314)," ","_")&amp;"_"&amp;
TRIM(AC1314)&amp;"_"&amp;
"CO2"&amp;TEXT(AN1314,"0.00")&amp;"_"&amp;
"pH"&amp;TEXT(AR1314,"0.00")&amp;"_"&amp;
"T"&amp;TEXT(BC1314,"0.##")</f>
        <v>201_Centrostephanus_rodgersii_EMBRYO_CO2324.00_pH8.25_T18.</v>
      </c>
      <c r="D1314" s="8">
        <v>201</v>
      </c>
      <c r="E1314" s="8"/>
      <c r="F1314" s="8"/>
      <c r="G1314" s="8" t="s">
        <v>43</v>
      </c>
      <c r="H1314" s="8" t="s">
        <v>950</v>
      </c>
      <c r="I1314" s="8"/>
      <c r="J1314" s="8">
        <v>2010</v>
      </c>
      <c r="K1314" s="8"/>
      <c r="L1314" s="8"/>
      <c r="M1314" s="8" t="s">
        <v>67</v>
      </c>
      <c r="N1314" s="8"/>
      <c r="O1314" s="8"/>
      <c r="P1314" t="s">
        <v>1135</v>
      </c>
      <c r="Q1314" s="8"/>
      <c r="R1314" s="8" t="s">
        <v>1127</v>
      </c>
      <c r="S1314" t="s">
        <v>1128</v>
      </c>
      <c r="T1314" s="8" t="s">
        <v>46</v>
      </c>
      <c r="U1314" s="8" t="s">
        <v>570</v>
      </c>
      <c r="V1314" s="8" t="s">
        <v>571</v>
      </c>
      <c r="W1314" s="8" t="str">
        <f>IF(ISNUMBER(MATCH(V708,{"Doryteuthis pealeii","Loligo vulgaris","Leptuca thayeri","Stylocheilus striatus","Ophryotrocha labronica"},0)),"N","Y")</f>
        <v>Y</v>
      </c>
      <c r="X1314" s="8"/>
      <c r="Y1314" s="8"/>
      <c r="Z1314" s="8" t="s">
        <v>177</v>
      </c>
      <c r="AA1314" s="8" t="s">
        <v>177</v>
      </c>
      <c r="AB1314" s="8" t="s">
        <v>71</v>
      </c>
      <c r="AC1314" s="8" t="s">
        <v>195</v>
      </c>
      <c r="AD1314" s="8" t="s">
        <v>52</v>
      </c>
      <c r="AE1314" s="8" t="s">
        <v>53</v>
      </c>
      <c r="AF1314" s="8" t="s">
        <v>52</v>
      </c>
      <c r="AG1314" s="8" t="s">
        <v>52</v>
      </c>
      <c r="AH1314" s="8" t="s">
        <v>64</v>
      </c>
      <c r="AI1314" s="8"/>
      <c r="AJ1314" s="8"/>
      <c r="AK1314" s="8">
        <v>3</v>
      </c>
      <c r="AL1314" s="8">
        <v>3</v>
      </c>
      <c r="AM1314" s="8"/>
      <c r="AN1314" s="8">
        <v>324</v>
      </c>
      <c r="AO1314" s="8">
        <v>22</v>
      </c>
      <c r="AP1314" s="8" t="s">
        <v>56</v>
      </c>
      <c r="AQ1314" s="8" t="s">
        <v>57</v>
      </c>
      <c r="AR1314" s="8">
        <v>8.25</v>
      </c>
      <c r="AS1314" s="8" t="s">
        <v>56</v>
      </c>
      <c r="AT1314" s="8" t="s">
        <v>56</v>
      </c>
      <c r="AU1314" s="8">
        <v>1795</v>
      </c>
      <c r="AV1314">
        <v>26</v>
      </c>
      <c r="AW1314" t="s">
        <v>56</v>
      </c>
      <c r="AX1314">
        <v>7.6</v>
      </c>
      <c r="AY1314" t="s">
        <v>56</v>
      </c>
      <c r="AZ1314" t="s">
        <v>56</v>
      </c>
      <c r="BA1314" s="8"/>
      <c r="BB1314" s="8">
        <f>LOG(AU1314)</f>
        <v>3.2540644529143381</v>
      </c>
      <c r="BC1314" s="8">
        <v>18</v>
      </c>
      <c r="BD1314" s="8" t="s">
        <v>56</v>
      </c>
      <c r="BE1314" s="8" t="s">
        <v>56</v>
      </c>
      <c r="BF1314" s="8">
        <v>24</v>
      </c>
      <c r="BG1314" s="8" t="s">
        <v>56</v>
      </c>
      <c r="BH1314" s="8" t="s">
        <v>56</v>
      </c>
      <c r="BI1314" s="8">
        <v>1471</v>
      </c>
      <c r="BJ1314" s="8">
        <v>6</v>
      </c>
      <c r="BK1314" s="8" t="s">
        <v>56</v>
      </c>
      <c r="BL1314" s="8" t="s">
        <v>933</v>
      </c>
      <c r="BM1314" s="8" t="s">
        <v>473</v>
      </c>
      <c r="BN1314" s="8" t="s">
        <v>81</v>
      </c>
      <c r="BO1314" s="8" t="s">
        <v>82</v>
      </c>
      <c r="BP1314" s="8" t="s">
        <v>190</v>
      </c>
      <c r="BQ1314" s="8" t="s">
        <v>190</v>
      </c>
      <c r="BR1314" s="8" t="s">
        <v>84</v>
      </c>
      <c r="BS1314" s="8"/>
      <c r="BT1314" s="8">
        <v>96.12</v>
      </c>
      <c r="BU1314" s="8">
        <v>96.12</v>
      </c>
      <c r="BV1314" s="8">
        <v>3.01</v>
      </c>
      <c r="BW1314" s="8">
        <f>BV1314*SQRT(AK1314)</f>
        <v>5.21347293078232</v>
      </c>
      <c r="BX1314" s="8">
        <v>94.55</v>
      </c>
      <c r="BY1314" s="8">
        <v>94.55</v>
      </c>
      <c r="BZ1314" s="8">
        <v>3.62</v>
      </c>
      <c r="CA1314" s="8">
        <f>BZ1314*SQRT(AL1314)</f>
        <v>6.2700239233993358</v>
      </c>
      <c r="CB1314" s="8">
        <v>1</v>
      </c>
      <c r="CC1314" s="8">
        <v>1</v>
      </c>
      <c r="CD1314" s="8">
        <v>-1.6E-2</v>
      </c>
      <c r="CE1314" s="8">
        <v>2.3999999999999998E-3</v>
      </c>
      <c r="CF1314" s="8" t="s">
        <v>1134</v>
      </c>
    </row>
    <row r="1315" spans="1:84" hidden="1" x14ac:dyDescent="0.2">
      <c r="D1315">
        <v>96</v>
      </c>
      <c r="G1315" t="s">
        <v>43</v>
      </c>
      <c r="H1315" t="s">
        <v>754</v>
      </c>
      <c r="J1315">
        <v>2019</v>
      </c>
      <c r="M1315" t="s">
        <v>513</v>
      </c>
      <c r="T1315" t="s">
        <v>68</v>
      </c>
      <c r="U1315" t="s">
        <v>266</v>
      </c>
      <c r="V1315" t="s">
        <v>437</v>
      </c>
      <c r="Z1315" t="s">
        <v>49</v>
      </c>
      <c r="AA1315" t="s">
        <v>49</v>
      </c>
      <c r="AB1315" t="s">
        <v>50</v>
      </c>
      <c r="AC1315" t="s">
        <v>117</v>
      </c>
      <c r="AD1315" t="s">
        <v>52</v>
      </c>
      <c r="AE1315" t="s">
        <v>53</v>
      </c>
      <c r="AF1315" t="s">
        <v>52</v>
      </c>
      <c r="AG1315" t="s">
        <v>52</v>
      </c>
      <c r="AH1315" t="s">
        <v>64</v>
      </c>
      <c r="AK1315">
        <v>30</v>
      </c>
      <c r="AL1315">
        <v>30</v>
      </c>
      <c r="AN1315">
        <v>352</v>
      </c>
      <c r="AO1315" t="s">
        <v>56</v>
      </c>
      <c r="AP1315">
        <v>15</v>
      </c>
      <c r="AQ1315" t="s">
        <v>57</v>
      </c>
      <c r="AR1315">
        <v>8.1</v>
      </c>
      <c r="AS1315" t="s">
        <v>56</v>
      </c>
      <c r="AT1315">
        <v>0.03</v>
      </c>
      <c r="AU1315">
        <v>1136</v>
      </c>
      <c r="AV1315" t="s">
        <v>56</v>
      </c>
      <c r="AW1315">
        <v>17</v>
      </c>
      <c r="AX1315">
        <v>7.7</v>
      </c>
      <c r="AY1315" t="s">
        <v>56</v>
      </c>
      <c r="AZ1315">
        <v>0.02</v>
      </c>
      <c r="BB1315">
        <f>LOG(AU1315)</f>
        <v>3.055378331375</v>
      </c>
      <c r="BC1315">
        <v>22.9</v>
      </c>
      <c r="BD1315" t="s">
        <v>56</v>
      </c>
      <c r="BE1315">
        <v>0.2</v>
      </c>
      <c r="BF1315">
        <v>28</v>
      </c>
      <c r="BG1315" t="s">
        <v>56</v>
      </c>
      <c r="BH1315">
        <v>0.2</v>
      </c>
      <c r="BI1315">
        <v>784</v>
      </c>
      <c r="BJ1315">
        <v>5.0999999999999996</v>
      </c>
      <c r="BK1315" t="s">
        <v>755</v>
      </c>
      <c r="BL1315" t="s">
        <v>756</v>
      </c>
      <c r="BM1315" t="s">
        <v>756</v>
      </c>
      <c r="BN1315" t="s">
        <v>81</v>
      </c>
      <c r="BO1315" t="s">
        <v>439</v>
      </c>
      <c r="BP1315" t="s">
        <v>100</v>
      </c>
      <c r="BR1315" t="s">
        <v>63</v>
      </c>
      <c r="BT1315">
        <v>4.2300000000000004</v>
      </c>
      <c r="BU1315">
        <v>4.2275039999999997</v>
      </c>
      <c r="BV1315">
        <v>0.12</v>
      </c>
      <c r="BW1315">
        <f>BV1315*SQRT(AK1315)</f>
        <v>0.65726706900619936</v>
      </c>
      <c r="BX1315">
        <v>2.44</v>
      </c>
      <c r="BY1315">
        <v>2.4448216999999999</v>
      </c>
      <c r="BZ1315">
        <v>7.0000000000000007E-2</v>
      </c>
      <c r="CA1315">
        <f>BZ1315*SQRT(AL1315)</f>
        <v>0.38340579025361632</v>
      </c>
      <c r="CB1315">
        <v>7</v>
      </c>
      <c r="CC1315">
        <v>3</v>
      </c>
      <c r="CD1315">
        <v>-0.54800000000000004</v>
      </c>
      <c r="CE1315">
        <v>1.5E-3</v>
      </c>
    </row>
    <row r="1316" spans="1:84" hidden="1" x14ac:dyDescent="0.2">
      <c r="D1316">
        <v>96</v>
      </c>
      <c r="G1316" t="s">
        <v>43</v>
      </c>
      <c r="H1316" t="s">
        <v>754</v>
      </c>
      <c r="J1316">
        <v>2019</v>
      </c>
      <c r="M1316" t="s">
        <v>513</v>
      </c>
      <c r="T1316" t="s">
        <v>68</v>
      </c>
      <c r="U1316" t="s">
        <v>266</v>
      </c>
      <c r="V1316" t="s">
        <v>437</v>
      </c>
      <c r="Z1316" t="s">
        <v>49</v>
      </c>
      <c r="AA1316" t="s">
        <v>49</v>
      </c>
      <c r="AB1316" t="s">
        <v>50</v>
      </c>
      <c r="AC1316" t="s">
        <v>117</v>
      </c>
      <c r="AD1316" t="s">
        <v>52</v>
      </c>
      <c r="AE1316" t="s">
        <v>53</v>
      </c>
      <c r="AF1316" t="s">
        <v>52</v>
      </c>
      <c r="AG1316" t="s">
        <v>52</v>
      </c>
      <c r="AH1316" t="s">
        <v>64</v>
      </c>
      <c r="AK1316">
        <v>30</v>
      </c>
      <c r="AL1316">
        <v>30</v>
      </c>
      <c r="AN1316">
        <v>352</v>
      </c>
      <c r="AO1316" t="s">
        <v>56</v>
      </c>
      <c r="AP1316">
        <v>15</v>
      </c>
      <c r="AQ1316" t="s">
        <v>57</v>
      </c>
      <c r="AR1316">
        <v>8.1</v>
      </c>
      <c r="AS1316" t="s">
        <v>56</v>
      </c>
      <c r="AT1316">
        <v>0.03</v>
      </c>
      <c r="AU1316">
        <v>1136</v>
      </c>
      <c r="AV1316" t="s">
        <v>56</v>
      </c>
      <c r="AW1316">
        <v>17</v>
      </c>
      <c r="AX1316">
        <v>7.7</v>
      </c>
      <c r="AY1316" t="s">
        <v>56</v>
      </c>
      <c r="AZ1316">
        <v>0.02</v>
      </c>
      <c r="BB1316">
        <f>LOG(AU1316)</f>
        <v>3.055378331375</v>
      </c>
      <c r="BC1316">
        <v>22.9</v>
      </c>
      <c r="BD1316" t="s">
        <v>56</v>
      </c>
      <c r="BE1316">
        <v>0.2</v>
      </c>
      <c r="BF1316">
        <v>28</v>
      </c>
      <c r="BG1316" t="s">
        <v>56</v>
      </c>
      <c r="BH1316">
        <v>0.2</v>
      </c>
      <c r="BI1316">
        <v>784</v>
      </c>
      <c r="BJ1316">
        <v>5.0999999999999996</v>
      </c>
      <c r="BK1316" t="s">
        <v>755</v>
      </c>
      <c r="BL1316" t="s">
        <v>757</v>
      </c>
      <c r="BM1316" t="s">
        <v>757</v>
      </c>
      <c r="BN1316" t="s">
        <v>60</v>
      </c>
      <c r="BO1316" t="s">
        <v>444</v>
      </c>
      <c r="BP1316" t="s">
        <v>92</v>
      </c>
      <c r="BR1316" t="s">
        <v>63</v>
      </c>
      <c r="BT1316">
        <v>1.47</v>
      </c>
      <c r="BU1316">
        <v>1.473684</v>
      </c>
      <c r="BV1316">
        <v>0.03</v>
      </c>
      <c r="BW1316">
        <f>BV1316*SQRT(AK1316)</f>
        <v>0.16431676725154984</v>
      </c>
      <c r="BX1316">
        <v>1.02</v>
      </c>
      <c r="BY1316">
        <v>1.0175438999999999</v>
      </c>
      <c r="BZ1316">
        <v>0.03</v>
      </c>
      <c r="CA1316">
        <f>BZ1316*SQRT(AL1316)</f>
        <v>0.16431676725154984</v>
      </c>
      <c r="CB1316">
        <v>7</v>
      </c>
      <c r="CC1316">
        <v>3</v>
      </c>
      <c r="CD1316">
        <v>-0.37</v>
      </c>
      <c r="CE1316">
        <v>1.2999999999999999E-3</v>
      </c>
    </row>
    <row r="1317" spans="1:84" hidden="1" x14ac:dyDescent="0.2">
      <c r="D1317">
        <v>96</v>
      </c>
      <c r="G1317" t="s">
        <v>43</v>
      </c>
      <c r="H1317" t="s">
        <v>754</v>
      </c>
      <c r="J1317">
        <v>2019</v>
      </c>
      <c r="M1317" t="s">
        <v>513</v>
      </c>
      <c r="T1317" t="s">
        <v>68</v>
      </c>
      <c r="U1317" t="s">
        <v>266</v>
      </c>
      <c r="V1317" t="s">
        <v>597</v>
      </c>
      <c r="Z1317" t="s">
        <v>177</v>
      </c>
      <c r="AA1317" t="s">
        <v>177</v>
      </c>
      <c r="AB1317" t="s">
        <v>50</v>
      </c>
      <c r="AC1317" t="s">
        <v>117</v>
      </c>
      <c r="AD1317" t="s">
        <v>52</v>
      </c>
      <c r="AE1317" t="s">
        <v>53</v>
      </c>
      <c r="AF1317" t="s">
        <v>52</v>
      </c>
      <c r="AG1317" t="s">
        <v>52</v>
      </c>
      <c r="AH1317" t="s">
        <v>64</v>
      </c>
      <c r="AK1317">
        <v>30</v>
      </c>
      <c r="AL1317">
        <v>30</v>
      </c>
      <c r="AN1317">
        <v>345</v>
      </c>
      <c r="AO1317" t="s">
        <v>56</v>
      </c>
      <c r="AP1317">
        <v>16</v>
      </c>
      <c r="AQ1317" t="s">
        <v>57</v>
      </c>
      <c r="AR1317">
        <v>8.1</v>
      </c>
      <c r="AS1317" t="s">
        <v>56</v>
      </c>
      <c r="AT1317">
        <v>0.03</v>
      </c>
      <c r="AU1317">
        <v>1125</v>
      </c>
      <c r="AV1317" t="s">
        <v>56</v>
      </c>
      <c r="AW1317">
        <v>24</v>
      </c>
      <c r="AX1317">
        <v>7.71</v>
      </c>
      <c r="AY1317" t="s">
        <v>56</v>
      </c>
      <c r="AZ1317">
        <v>0.03</v>
      </c>
      <c r="BB1317">
        <f>LOG(AU1317)</f>
        <v>3.0511525224473814</v>
      </c>
      <c r="BC1317">
        <v>23</v>
      </c>
      <c r="BD1317" t="s">
        <v>56</v>
      </c>
      <c r="BE1317">
        <v>0.2</v>
      </c>
      <c r="BF1317">
        <v>28.1</v>
      </c>
      <c r="BG1317" t="s">
        <v>56</v>
      </c>
      <c r="BH1317">
        <v>0.2</v>
      </c>
      <c r="BI1317">
        <v>780</v>
      </c>
      <c r="BJ1317">
        <v>5.0999999999999996</v>
      </c>
      <c r="BK1317" t="s">
        <v>755</v>
      </c>
      <c r="BL1317" t="s">
        <v>756</v>
      </c>
      <c r="BM1317" t="s">
        <v>756</v>
      </c>
      <c r="BN1317" t="s">
        <v>81</v>
      </c>
      <c r="BO1317" t="s">
        <v>439</v>
      </c>
      <c r="BP1317" t="s">
        <v>100</v>
      </c>
      <c r="BR1317" t="s">
        <v>63</v>
      </c>
      <c r="BT1317">
        <v>4.43</v>
      </c>
      <c r="BU1317">
        <v>4.4312389999999997</v>
      </c>
      <c r="BV1317">
        <v>0.11</v>
      </c>
      <c r="BW1317">
        <f>BV1317*SQRT(AK1317)</f>
        <v>0.60249481325568277</v>
      </c>
      <c r="BX1317">
        <v>3.17</v>
      </c>
      <c r="BY1317">
        <v>3.1748726999999999</v>
      </c>
      <c r="BZ1317">
        <v>0.1</v>
      </c>
      <c r="CA1317">
        <f>BZ1317*SQRT(AL1317)</f>
        <v>0.54772255750516619</v>
      </c>
      <c r="CB1317">
        <v>7</v>
      </c>
      <c r="CC1317">
        <v>3</v>
      </c>
      <c r="CD1317">
        <v>-0.33300000000000002</v>
      </c>
      <c r="CE1317">
        <v>1.5E-3</v>
      </c>
    </row>
    <row r="1318" spans="1:84" hidden="1" x14ac:dyDescent="0.2">
      <c r="D1318">
        <v>96</v>
      </c>
      <c r="G1318" t="s">
        <v>43</v>
      </c>
      <c r="H1318" t="s">
        <v>754</v>
      </c>
      <c r="J1318">
        <v>2019</v>
      </c>
      <c r="M1318" t="s">
        <v>513</v>
      </c>
      <c r="T1318" t="s">
        <v>68</v>
      </c>
      <c r="U1318" t="s">
        <v>266</v>
      </c>
      <c r="V1318" t="s">
        <v>597</v>
      </c>
      <c r="Z1318" t="s">
        <v>177</v>
      </c>
      <c r="AA1318" t="s">
        <v>177</v>
      </c>
      <c r="AB1318" t="s">
        <v>50</v>
      </c>
      <c r="AC1318" t="s">
        <v>117</v>
      </c>
      <c r="AD1318" t="s">
        <v>52</v>
      </c>
      <c r="AE1318" t="s">
        <v>53</v>
      </c>
      <c r="AF1318" t="s">
        <v>52</v>
      </c>
      <c r="AG1318" t="s">
        <v>54</v>
      </c>
      <c r="AH1318" t="s">
        <v>55</v>
      </c>
      <c r="AK1318">
        <v>30</v>
      </c>
      <c r="AL1318">
        <v>30</v>
      </c>
      <c r="AN1318">
        <v>345</v>
      </c>
      <c r="AO1318" t="s">
        <v>56</v>
      </c>
      <c r="AP1318">
        <v>16</v>
      </c>
      <c r="AQ1318" t="s">
        <v>57</v>
      </c>
      <c r="AR1318">
        <v>8.1</v>
      </c>
      <c r="AS1318" t="s">
        <v>56</v>
      </c>
      <c r="AT1318">
        <v>0.03</v>
      </c>
      <c r="AU1318">
        <v>1108</v>
      </c>
      <c r="AV1318" t="s">
        <v>56</v>
      </c>
      <c r="AW1318">
        <v>19</v>
      </c>
      <c r="AX1318">
        <v>7.72</v>
      </c>
      <c r="AY1318" t="s">
        <v>56</v>
      </c>
      <c r="AZ1318">
        <v>0.01</v>
      </c>
      <c r="BB1318">
        <f>LOG(AU1318)</f>
        <v>3.0445397603924111</v>
      </c>
      <c r="BC1318">
        <v>23</v>
      </c>
      <c r="BD1318" t="s">
        <v>56</v>
      </c>
      <c r="BE1318">
        <v>0.2</v>
      </c>
      <c r="BF1318">
        <v>23</v>
      </c>
      <c r="BG1318" t="s">
        <v>56</v>
      </c>
      <c r="BH1318">
        <v>0.3</v>
      </c>
      <c r="BI1318">
        <v>763</v>
      </c>
      <c r="BJ1318">
        <v>0</v>
      </c>
      <c r="BK1318" t="s">
        <v>755</v>
      </c>
      <c r="BL1318" t="s">
        <v>757</v>
      </c>
      <c r="BM1318" t="s">
        <v>757</v>
      </c>
      <c r="BN1318" t="s">
        <v>60</v>
      </c>
      <c r="BO1318" t="s">
        <v>444</v>
      </c>
      <c r="BP1318" t="s">
        <v>92</v>
      </c>
      <c r="BR1318" t="s">
        <v>63</v>
      </c>
      <c r="BT1318">
        <v>4.37</v>
      </c>
      <c r="BU1318">
        <v>4.3684209999999997</v>
      </c>
      <c r="BV1318">
        <v>0.09</v>
      </c>
      <c r="BW1318">
        <f>BV1318*SQRT(AK1318)</f>
        <v>0.49295030175464949</v>
      </c>
      <c r="BX1318">
        <v>3.23</v>
      </c>
      <c r="BY1318">
        <v>3.2280701999999999</v>
      </c>
      <c r="BZ1318">
        <v>0.06</v>
      </c>
      <c r="CA1318">
        <f>BZ1318*SQRT(AL1318)</f>
        <v>0.32863353450309968</v>
      </c>
      <c r="CB1318">
        <v>7</v>
      </c>
      <c r="CC1318">
        <v>3</v>
      </c>
      <c r="CD1318">
        <v>-0.30299999999999999</v>
      </c>
      <c r="CE1318">
        <v>8.0000000000000004E-4</v>
      </c>
    </row>
    <row r="1319" spans="1:84" hidden="1" x14ac:dyDescent="0.2">
      <c r="D1319">
        <v>96</v>
      </c>
      <c r="G1319" t="s">
        <v>43</v>
      </c>
      <c r="H1319" t="s">
        <v>754</v>
      </c>
      <c r="J1319">
        <v>2019</v>
      </c>
      <c r="M1319" t="s">
        <v>513</v>
      </c>
      <c r="T1319" t="s">
        <v>68</v>
      </c>
      <c r="U1319" t="s">
        <v>266</v>
      </c>
      <c r="V1319" t="s">
        <v>597</v>
      </c>
      <c r="Z1319" t="s">
        <v>177</v>
      </c>
      <c r="AA1319" t="s">
        <v>177</v>
      </c>
      <c r="AB1319" t="s">
        <v>50</v>
      </c>
      <c r="AC1319" t="s">
        <v>117</v>
      </c>
      <c r="AD1319" t="s">
        <v>52</v>
      </c>
      <c r="AE1319" t="s">
        <v>53</v>
      </c>
      <c r="AF1319" t="s">
        <v>52</v>
      </c>
      <c r="AG1319" t="s">
        <v>52</v>
      </c>
      <c r="AH1319" t="s">
        <v>64</v>
      </c>
      <c r="AK1319">
        <v>30</v>
      </c>
      <c r="AL1319">
        <v>30</v>
      </c>
      <c r="AN1319">
        <v>345</v>
      </c>
      <c r="AO1319" t="s">
        <v>56</v>
      </c>
      <c r="AP1319">
        <v>16</v>
      </c>
      <c r="AQ1319" t="s">
        <v>57</v>
      </c>
      <c r="AR1319">
        <v>8.1</v>
      </c>
      <c r="AS1319" t="s">
        <v>56</v>
      </c>
      <c r="AT1319">
        <v>0.03</v>
      </c>
      <c r="AU1319">
        <v>1125</v>
      </c>
      <c r="AV1319" t="s">
        <v>56</v>
      </c>
      <c r="AW1319">
        <v>24</v>
      </c>
      <c r="AX1319">
        <v>7.71</v>
      </c>
      <c r="AY1319" t="s">
        <v>56</v>
      </c>
      <c r="AZ1319">
        <v>0.03</v>
      </c>
      <c r="BB1319">
        <f>LOG(AU1319)</f>
        <v>3.0511525224473814</v>
      </c>
      <c r="BC1319">
        <v>23</v>
      </c>
      <c r="BD1319" t="s">
        <v>56</v>
      </c>
      <c r="BE1319">
        <v>0.2</v>
      </c>
      <c r="BF1319">
        <v>28.1</v>
      </c>
      <c r="BG1319" t="s">
        <v>56</v>
      </c>
      <c r="BH1319">
        <v>0.2</v>
      </c>
      <c r="BI1319">
        <v>780</v>
      </c>
      <c r="BJ1319">
        <v>5.0999999999999996</v>
      </c>
      <c r="BK1319" t="s">
        <v>755</v>
      </c>
      <c r="BL1319" t="s">
        <v>757</v>
      </c>
      <c r="BM1319" t="s">
        <v>757</v>
      </c>
      <c r="BN1319" t="s">
        <v>60</v>
      </c>
      <c r="BO1319" t="s">
        <v>444</v>
      </c>
      <c r="BP1319" t="s">
        <v>92</v>
      </c>
      <c r="BR1319" t="s">
        <v>63</v>
      </c>
      <c r="BT1319">
        <v>4.37</v>
      </c>
      <c r="BU1319">
        <v>4.3684209999999997</v>
      </c>
      <c r="BV1319">
        <v>0.09</v>
      </c>
      <c r="BW1319">
        <f>BV1319*SQRT(AK1319)</f>
        <v>0.49295030175464949</v>
      </c>
      <c r="BX1319">
        <v>3.23</v>
      </c>
      <c r="BY1319">
        <v>3.2280701999999999</v>
      </c>
      <c r="BZ1319">
        <v>0.04</v>
      </c>
      <c r="CA1319">
        <f>BZ1319*SQRT(AL1319)</f>
        <v>0.21908902300206645</v>
      </c>
      <c r="CB1319">
        <v>7</v>
      </c>
      <c r="CC1319">
        <v>3</v>
      </c>
      <c r="CD1319">
        <v>-0.30299999999999999</v>
      </c>
      <c r="CE1319">
        <v>5.9999999999999995E-4</v>
      </c>
    </row>
    <row r="1320" spans="1:84" hidden="1" x14ac:dyDescent="0.2">
      <c r="D1320">
        <v>96</v>
      </c>
      <c r="G1320" t="s">
        <v>43</v>
      </c>
      <c r="H1320" t="s">
        <v>754</v>
      </c>
      <c r="J1320">
        <v>2019</v>
      </c>
      <c r="M1320" t="s">
        <v>513</v>
      </c>
      <c r="T1320" t="s">
        <v>68</v>
      </c>
      <c r="U1320" t="s">
        <v>266</v>
      </c>
      <c r="V1320" t="s">
        <v>437</v>
      </c>
      <c r="Z1320" t="s">
        <v>49</v>
      </c>
      <c r="AA1320" t="s">
        <v>49</v>
      </c>
      <c r="AB1320" t="s">
        <v>50</v>
      </c>
      <c r="AC1320" t="s">
        <v>117</v>
      </c>
      <c r="AD1320" t="s">
        <v>52</v>
      </c>
      <c r="AE1320" t="s">
        <v>53</v>
      </c>
      <c r="AF1320" t="s">
        <v>52</v>
      </c>
      <c r="AG1320" t="s">
        <v>54</v>
      </c>
      <c r="AH1320" t="s">
        <v>55</v>
      </c>
      <c r="AK1320">
        <v>30</v>
      </c>
      <c r="AL1320">
        <v>30</v>
      </c>
      <c r="AN1320">
        <v>352</v>
      </c>
      <c r="AO1320" t="s">
        <v>56</v>
      </c>
      <c r="AP1320">
        <v>15</v>
      </c>
      <c r="AQ1320" t="s">
        <v>57</v>
      </c>
      <c r="AR1320">
        <v>8.1</v>
      </c>
      <c r="AS1320" t="s">
        <v>56</v>
      </c>
      <c r="AT1320">
        <v>0.03</v>
      </c>
      <c r="AU1320">
        <v>1113</v>
      </c>
      <c r="AV1320" t="s">
        <v>56</v>
      </c>
      <c r="AW1320">
        <v>17</v>
      </c>
      <c r="AX1320">
        <v>7.7</v>
      </c>
      <c r="AY1320" t="s">
        <v>56</v>
      </c>
      <c r="AZ1320">
        <v>0.01</v>
      </c>
      <c r="BB1320">
        <f>LOG(AU1320)</f>
        <v>3.0464951643347082</v>
      </c>
      <c r="BC1320">
        <v>22.9</v>
      </c>
      <c r="BD1320" t="s">
        <v>56</v>
      </c>
      <c r="BE1320">
        <v>0.2</v>
      </c>
      <c r="BF1320">
        <v>23</v>
      </c>
      <c r="BG1320" t="s">
        <v>56</v>
      </c>
      <c r="BH1320">
        <v>0.3</v>
      </c>
      <c r="BI1320">
        <v>761</v>
      </c>
      <c r="BJ1320">
        <v>0.1</v>
      </c>
      <c r="BK1320" t="s">
        <v>755</v>
      </c>
      <c r="BL1320" t="s">
        <v>756</v>
      </c>
      <c r="BM1320" t="s">
        <v>756</v>
      </c>
      <c r="BN1320" t="s">
        <v>81</v>
      </c>
      <c r="BO1320" t="s">
        <v>439</v>
      </c>
      <c r="BP1320" t="s">
        <v>100</v>
      </c>
      <c r="BR1320" t="s">
        <v>63</v>
      </c>
      <c r="BT1320">
        <v>4.2300000000000004</v>
      </c>
      <c r="BU1320">
        <v>4.2275039999999997</v>
      </c>
      <c r="BV1320">
        <v>0.12</v>
      </c>
      <c r="BW1320">
        <f>BV1320*SQRT(AK1320)</f>
        <v>0.65726706900619936</v>
      </c>
      <c r="BX1320">
        <v>3.21</v>
      </c>
      <c r="BY1320">
        <v>3.2088285000000001</v>
      </c>
      <c r="BZ1320">
        <v>0.09</v>
      </c>
      <c r="CA1320">
        <f>BZ1320*SQRT(AL1320)</f>
        <v>0.49295030175464949</v>
      </c>
      <c r="CB1320">
        <v>7</v>
      </c>
      <c r="CC1320">
        <v>3</v>
      </c>
      <c r="CD1320">
        <v>-0.27600000000000002</v>
      </c>
      <c r="CE1320">
        <v>1.5E-3</v>
      </c>
    </row>
    <row r="1321" spans="1:84" hidden="1" x14ac:dyDescent="0.2">
      <c r="D1321">
        <v>96</v>
      </c>
      <c r="G1321" t="s">
        <v>43</v>
      </c>
      <c r="H1321" t="s">
        <v>754</v>
      </c>
      <c r="J1321">
        <v>2019</v>
      </c>
      <c r="M1321" t="s">
        <v>513</v>
      </c>
      <c r="T1321" t="s">
        <v>68</v>
      </c>
      <c r="U1321" t="s">
        <v>266</v>
      </c>
      <c r="V1321" t="s">
        <v>437</v>
      </c>
      <c r="Z1321" t="s">
        <v>49</v>
      </c>
      <c r="AA1321" t="s">
        <v>49</v>
      </c>
      <c r="AB1321" t="s">
        <v>50</v>
      </c>
      <c r="AC1321" t="s">
        <v>117</v>
      </c>
      <c r="AD1321" t="s">
        <v>52</v>
      </c>
      <c r="AE1321" t="s">
        <v>53</v>
      </c>
      <c r="AF1321" t="s">
        <v>54</v>
      </c>
      <c r="AG1321" t="s">
        <v>52</v>
      </c>
      <c r="AH1321" t="s">
        <v>65</v>
      </c>
      <c r="AK1321">
        <v>30</v>
      </c>
      <c r="AL1321">
        <v>30</v>
      </c>
      <c r="AN1321">
        <v>352</v>
      </c>
      <c r="AO1321" t="s">
        <v>56</v>
      </c>
      <c r="AP1321">
        <v>15</v>
      </c>
      <c r="AQ1321" t="s">
        <v>57</v>
      </c>
      <c r="AR1321">
        <v>8.1</v>
      </c>
      <c r="AS1321" t="s">
        <v>56</v>
      </c>
      <c r="AT1321">
        <v>0.03</v>
      </c>
      <c r="AU1321">
        <v>341</v>
      </c>
      <c r="AV1321" t="s">
        <v>56</v>
      </c>
      <c r="AW1321">
        <v>16</v>
      </c>
      <c r="AX1321">
        <v>8.11</v>
      </c>
      <c r="AY1321" t="s">
        <v>56</v>
      </c>
      <c r="AZ1321">
        <v>0.01</v>
      </c>
      <c r="BB1321">
        <f>LOG(AU1321)</f>
        <v>2.5327543789924976</v>
      </c>
      <c r="BC1321">
        <v>22.9</v>
      </c>
      <c r="BD1321" t="s">
        <v>56</v>
      </c>
      <c r="BE1321">
        <v>0.2</v>
      </c>
      <c r="BF1321">
        <v>27.9</v>
      </c>
      <c r="BG1321" t="s">
        <v>56</v>
      </c>
      <c r="BH1321">
        <v>0.2</v>
      </c>
      <c r="BI1321">
        <v>-11</v>
      </c>
      <c r="BJ1321">
        <v>5</v>
      </c>
      <c r="BK1321" t="s">
        <v>755</v>
      </c>
      <c r="BL1321" t="s">
        <v>756</v>
      </c>
      <c r="BM1321" t="s">
        <v>756</v>
      </c>
      <c r="BN1321" t="s">
        <v>81</v>
      </c>
      <c r="BO1321" t="s">
        <v>439</v>
      </c>
      <c r="BP1321" t="s">
        <v>100</v>
      </c>
      <c r="BR1321" t="s">
        <v>63</v>
      </c>
      <c r="BT1321">
        <v>4.2300000000000004</v>
      </c>
      <c r="BU1321">
        <v>4.2275039999999997</v>
      </c>
      <c r="BV1321">
        <v>0.12</v>
      </c>
      <c r="BW1321">
        <f>BV1321*SQRT(AK1321)</f>
        <v>0.65726706900619936</v>
      </c>
      <c r="BX1321">
        <v>3.21</v>
      </c>
      <c r="BY1321">
        <v>3.2088285000000001</v>
      </c>
      <c r="BZ1321">
        <v>0.09</v>
      </c>
      <c r="CA1321">
        <f>BZ1321*SQRT(AL1321)</f>
        <v>0.49295030175464949</v>
      </c>
      <c r="CB1321">
        <v>7</v>
      </c>
      <c r="CC1321">
        <v>3</v>
      </c>
      <c r="CD1321">
        <v>-0.27600000000000002</v>
      </c>
      <c r="CE1321">
        <v>1.6000000000000001E-3</v>
      </c>
    </row>
    <row r="1322" spans="1:84" hidden="1" x14ac:dyDescent="0.2">
      <c r="D1322">
        <v>96</v>
      </c>
      <c r="G1322" t="s">
        <v>43</v>
      </c>
      <c r="H1322" t="s">
        <v>754</v>
      </c>
      <c r="J1322">
        <v>2019</v>
      </c>
      <c r="M1322" t="s">
        <v>513</v>
      </c>
      <c r="T1322" t="s">
        <v>68</v>
      </c>
      <c r="U1322" t="s">
        <v>266</v>
      </c>
      <c r="V1322" t="s">
        <v>437</v>
      </c>
      <c r="Z1322" t="s">
        <v>49</v>
      </c>
      <c r="AA1322" t="s">
        <v>49</v>
      </c>
      <c r="AB1322" t="s">
        <v>50</v>
      </c>
      <c r="AC1322" t="s">
        <v>117</v>
      </c>
      <c r="AD1322" t="s">
        <v>52</v>
      </c>
      <c r="AE1322" t="s">
        <v>53</v>
      </c>
      <c r="AF1322" t="s">
        <v>52</v>
      </c>
      <c r="AG1322" t="s">
        <v>52</v>
      </c>
      <c r="AH1322" t="s">
        <v>64</v>
      </c>
      <c r="AK1322">
        <v>30</v>
      </c>
      <c r="AL1322">
        <v>30</v>
      </c>
      <c r="AN1322">
        <v>352</v>
      </c>
      <c r="AO1322" t="s">
        <v>56</v>
      </c>
      <c r="AP1322">
        <v>15</v>
      </c>
      <c r="AQ1322" t="s">
        <v>57</v>
      </c>
      <c r="AR1322">
        <v>8.1</v>
      </c>
      <c r="AS1322" t="s">
        <v>56</v>
      </c>
      <c r="AT1322">
        <v>0.03</v>
      </c>
      <c r="AU1322">
        <v>1136</v>
      </c>
      <c r="AV1322" t="s">
        <v>56</v>
      </c>
      <c r="AW1322">
        <v>17</v>
      </c>
      <c r="AX1322">
        <v>7.7</v>
      </c>
      <c r="AY1322" t="s">
        <v>56</v>
      </c>
      <c r="AZ1322">
        <v>0.02</v>
      </c>
      <c r="BB1322">
        <f>LOG(AU1322)</f>
        <v>3.055378331375</v>
      </c>
      <c r="BC1322">
        <v>22.9</v>
      </c>
      <c r="BD1322" t="s">
        <v>56</v>
      </c>
      <c r="BE1322">
        <v>0.2</v>
      </c>
      <c r="BF1322">
        <v>28</v>
      </c>
      <c r="BG1322" t="s">
        <v>56</v>
      </c>
      <c r="BH1322">
        <v>0.2</v>
      </c>
      <c r="BI1322">
        <v>784</v>
      </c>
      <c r="BJ1322">
        <v>5.0999999999999996</v>
      </c>
      <c r="BK1322" t="s">
        <v>755</v>
      </c>
      <c r="BL1322" t="s">
        <v>758</v>
      </c>
      <c r="BM1322" t="s">
        <v>758</v>
      </c>
      <c r="BN1322" t="s">
        <v>60</v>
      </c>
      <c r="BO1322" t="s">
        <v>121</v>
      </c>
      <c r="BP1322" t="s">
        <v>9</v>
      </c>
      <c r="BR1322" t="s">
        <v>63</v>
      </c>
      <c r="BT1322">
        <v>10.46</v>
      </c>
      <c r="BU1322">
        <v>10.463122</v>
      </c>
      <c r="BV1322">
        <v>0.24</v>
      </c>
      <c r="BW1322">
        <f>BV1322*SQRT(AK1322)</f>
        <v>1.3145341380123987</v>
      </c>
      <c r="BX1322">
        <v>7.99</v>
      </c>
      <c r="BY1322">
        <v>7.9931388999999999</v>
      </c>
      <c r="BZ1322">
        <v>0.14000000000000001</v>
      </c>
      <c r="CA1322">
        <f>BZ1322*SQRT(AL1322)</f>
        <v>0.76681158050723264</v>
      </c>
      <c r="CB1322">
        <v>7</v>
      </c>
      <c r="CC1322">
        <v>3</v>
      </c>
      <c r="CD1322">
        <v>-0.26900000000000002</v>
      </c>
      <c r="CE1322">
        <v>8.9999999999999998E-4</v>
      </c>
    </row>
    <row r="1323" spans="1:84" hidden="1" x14ac:dyDescent="0.2">
      <c r="D1323">
        <v>96</v>
      </c>
      <c r="G1323" t="s">
        <v>43</v>
      </c>
      <c r="H1323" t="s">
        <v>754</v>
      </c>
      <c r="J1323">
        <v>2019</v>
      </c>
      <c r="M1323" t="s">
        <v>513</v>
      </c>
      <c r="T1323" t="s">
        <v>68</v>
      </c>
      <c r="U1323" t="s">
        <v>266</v>
      </c>
      <c r="V1323" t="s">
        <v>597</v>
      </c>
      <c r="Z1323" t="s">
        <v>177</v>
      </c>
      <c r="AA1323" t="s">
        <v>177</v>
      </c>
      <c r="AB1323" t="s">
        <v>50</v>
      </c>
      <c r="AC1323" t="s">
        <v>117</v>
      </c>
      <c r="AD1323" t="s">
        <v>52</v>
      </c>
      <c r="AE1323" t="s">
        <v>53</v>
      </c>
      <c r="AF1323" t="s">
        <v>54</v>
      </c>
      <c r="AG1323" t="s">
        <v>52</v>
      </c>
      <c r="AH1323" t="s">
        <v>65</v>
      </c>
      <c r="AK1323">
        <v>30</v>
      </c>
      <c r="AL1323">
        <v>30</v>
      </c>
      <c r="AN1323">
        <v>345</v>
      </c>
      <c r="AO1323" t="s">
        <v>56</v>
      </c>
      <c r="AP1323">
        <v>16</v>
      </c>
      <c r="AQ1323" t="s">
        <v>57</v>
      </c>
      <c r="AR1323">
        <v>8.1</v>
      </c>
      <c r="AS1323" t="s">
        <v>56</v>
      </c>
      <c r="AT1323">
        <v>0.03</v>
      </c>
      <c r="AU1323">
        <v>342</v>
      </c>
      <c r="AV1323" t="s">
        <v>56</v>
      </c>
      <c r="AW1323">
        <v>13</v>
      </c>
      <c r="AX1323">
        <v>8.1</v>
      </c>
      <c r="AY1323" t="s">
        <v>56</v>
      </c>
      <c r="AZ1323">
        <v>0.01</v>
      </c>
      <c r="BB1323">
        <f>LOG(AU1323)</f>
        <v>2.5340261060561349</v>
      </c>
      <c r="BC1323">
        <v>23</v>
      </c>
      <c r="BD1323" t="s">
        <v>56</v>
      </c>
      <c r="BE1323">
        <v>0.2</v>
      </c>
      <c r="BF1323">
        <v>27.8</v>
      </c>
      <c r="BG1323" t="s">
        <v>56</v>
      </c>
      <c r="BH1323">
        <v>0.2</v>
      </c>
      <c r="BI1323">
        <v>-3</v>
      </c>
      <c r="BJ1323">
        <v>4.8</v>
      </c>
      <c r="BK1323" t="s">
        <v>755</v>
      </c>
      <c r="BL1323" t="s">
        <v>757</v>
      </c>
      <c r="BM1323" t="s">
        <v>757</v>
      </c>
      <c r="BN1323" t="s">
        <v>60</v>
      </c>
      <c r="BO1323" t="s">
        <v>444</v>
      </c>
      <c r="BP1323" t="s">
        <v>92</v>
      </c>
      <c r="BR1323" t="s">
        <v>63</v>
      </c>
      <c r="BT1323">
        <v>4.37</v>
      </c>
      <c r="BU1323">
        <v>4.3684209999999997</v>
      </c>
      <c r="BV1323">
        <v>0.09</v>
      </c>
      <c r="BW1323">
        <f>BV1323*SQRT(AK1323)</f>
        <v>0.49295030175464949</v>
      </c>
      <c r="BX1323">
        <v>3.35</v>
      </c>
      <c r="BY1323">
        <v>3.3508771999999998</v>
      </c>
      <c r="BZ1323">
        <v>0.06</v>
      </c>
      <c r="CA1323">
        <f>BZ1323*SQRT(AL1323)</f>
        <v>0.32863353450309968</v>
      </c>
      <c r="CB1323">
        <v>7</v>
      </c>
      <c r="CC1323">
        <v>3</v>
      </c>
      <c r="CD1323">
        <v>-0.26500000000000001</v>
      </c>
      <c r="CE1323">
        <v>6.9999999999999999E-4</v>
      </c>
    </row>
    <row r="1324" spans="1:84" hidden="1" x14ac:dyDescent="0.2">
      <c r="D1324">
        <v>96</v>
      </c>
      <c r="G1324" t="s">
        <v>43</v>
      </c>
      <c r="H1324" t="s">
        <v>754</v>
      </c>
      <c r="J1324">
        <v>2019</v>
      </c>
      <c r="M1324" t="s">
        <v>513</v>
      </c>
      <c r="T1324" t="s">
        <v>68</v>
      </c>
      <c r="U1324" t="s">
        <v>266</v>
      </c>
      <c r="V1324" t="s">
        <v>437</v>
      </c>
      <c r="Z1324" t="s">
        <v>49</v>
      </c>
      <c r="AA1324" t="s">
        <v>49</v>
      </c>
      <c r="AB1324" t="s">
        <v>50</v>
      </c>
      <c r="AC1324" t="s">
        <v>117</v>
      </c>
      <c r="AD1324" t="s">
        <v>52</v>
      </c>
      <c r="AE1324" t="s">
        <v>53</v>
      </c>
      <c r="AF1324" t="s">
        <v>52</v>
      </c>
      <c r="AG1324" t="s">
        <v>54</v>
      </c>
      <c r="AH1324" t="s">
        <v>55</v>
      </c>
      <c r="AK1324">
        <v>30</v>
      </c>
      <c r="AL1324">
        <v>30</v>
      </c>
      <c r="AN1324">
        <v>352</v>
      </c>
      <c r="AO1324" t="s">
        <v>56</v>
      </c>
      <c r="AP1324">
        <v>15</v>
      </c>
      <c r="AQ1324" t="s">
        <v>57</v>
      </c>
      <c r="AR1324">
        <v>8.1</v>
      </c>
      <c r="AS1324" t="s">
        <v>56</v>
      </c>
      <c r="AT1324">
        <v>0.03</v>
      </c>
      <c r="AU1324">
        <v>1113</v>
      </c>
      <c r="AV1324" t="s">
        <v>56</v>
      </c>
      <c r="AW1324">
        <v>17</v>
      </c>
      <c r="AX1324">
        <v>7.7</v>
      </c>
      <c r="AY1324" t="s">
        <v>56</v>
      </c>
      <c r="AZ1324">
        <v>0.01</v>
      </c>
      <c r="BB1324">
        <f>LOG(AU1324)</f>
        <v>3.0464951643347082</v>
      </c>
      <c r="BC1324">
        <v>22.9</v>
      </c>
      <c r="BD1324" t="s">
        <v>56</v>
      </c>
      <c r="BE1324">
        <v>0.2</v>
      </c>
      <c r="BF1324">
        <v>23</v>
      </c>
      <c r="BG1324" t="s">
        <v>56</v>
      </c>
      <c r="BH1324">
        <v>0.3</v>
      </c>
      <c r="BI1324">
        <v>761</v>
      </c>
      <c r="BJ1324">
        <v>0.1</v>
      </c>
      <c r="BK1324" t="s">
        <v>755</v>
      </c>
      <c r="BL1324" t="s">
        <v>757</v>
      </c>
      <c r="BM1324" t="s">
        <v>757</v>
      </c>
      <c r="BN1324" t="s">
        <v>60</v>
      </c>
      <c r="BO1324" t="s">
        <v>444</v>
      </c>
      <c r="BP1324" t="s">
        <v>92</v>
      </c>
      <c r="BR1324" t="s">
        <v>63</v>
      </c>
      <c r="BT1324">
        <v>1.47</v>
      </c>
      <c r="BU1324">
        <v>1.473684</v>
      </c>
      <c r="BV1324">
        <v>0.03</v>
      </c>
      <c r="BW1324">
        <f>BV1324*SQRT(AK1324)</f>
        <v>0.16431676725154984</v>
      </c>
      <c r="BX1324">
        <v>1.1399999999999999</v>
      </c>
      <c r="BY1324">
        <v>1.1403509000000001</v>
      </c>
      <c r="BZ1324">
        <v>0.02</v>
      </c>
      <c r="CA1324">
        <f>BZ1324*SQRT(AL1324)</f>
        <v>0.10954451150103323</v>
      </c>
      <c r="CB1324">
        <v>7</v>
      </c>
      <c r="CC1324">
        <v>3</v>
      </c>
      <c r="CD1324">
        <v>-0.25600000000000001</v>
      </c>
      <c r="CE1324">
        <v>6.9999999999999999E-4</v>
      </c>
    </row>
    <row r="1325" spans="1:84" hidden="1" x14ac:dyDescent="0.2">
      <c r="D1325">
        <v>96</v>
      </c>
      <c r="G1325" t="s">
        <v>43</v>
      </c>
      <c r="H1325" t="s">
        <v>754</v>
      </c>
      <c r="J1325">
        <v>2019</v>
      </c>
      <c r="M1325" t="s">
        <v>513</v>
      </c>
      <c r="T1325" t="s">
        <v>68</v>
      </c>
      <c r="U1325" t="s">
        <v>266</v>
      </c>
      <c r="V1325" t="s">
        <v>437</v>
      </c>
      <c r="Z1325" t="s">
        <v>49</v>
      </c>
      <c r="AA1325" t="s">
        <v>49</v>
      </c>
      <c r="AB1325" t="s">
        <v>50</v>
      </c>
      <c r="AC1325" t="s">
        <v>117</v>
      </c>
      <c r="AD1325" t="s">
        <v>52</v>
      </c>
      <c r="AE1325" t="s">
        <v>53</v>
      </c>
      <c r="AF1325" t="s">
        <v>54</v>
      </c>
      <c r="AG1325" t="s">
        <v>52</v>
      </c>
      <c r="AH1325" t="s">
        <v>65</v>
      </c>
      <c r="AK1325">
        <v>30</v>
      </c>
      <c r="AL1325">
        <v>30</v>
      </c>
      <c r="AN1325">
        <v>352</v>
      </c>
      <c r="AO1325" t="s">
        <v>56</v>
      </c>
      <c r="AP1325">
        <v>15</v>
      </c>
      <c r="AQ1325" t="s">
        <v>57</v>
      </c>
      <c r="AR1325">
        <v>8.1</v>
      </c>
      <c r="AS1325" t="s">
        <v>56</v>
      </c>
      <c r="AT1325">
        <v>0.03</v>
      </c>
      <c r="AU1325">
        <v>341</v>
      </c>
      <c r="AV1325" t="s">
        <v>56</v>
      </c>
      <c r="AW1325">
        <v>16</v>
      </c>
      <c r="AX1325">
        <v>8.11</v>
      </c>
      <c r="AY1325" t="s">
        <v>56</v>
      </c>
      <c r="AZ1325">
        <v>0.01</v>
      </c>
      <c r="BB1325">
        <f>LOG(AU1325)</f>
        <v>2.5327543789924976</v>
      </c>
      <c r="BC1325">
        <v>22.9</v>
      </c>
      <c r="BD1325" t="s">
        <v>56</v>
      </c>
      <c r="BE1325">
        <v>0.2</v>
      </c>
      <c r="BF1325">
        <v>27.9</v>
      </c>
      <c r="BG1325" t="s">
        <v>56</v>
      </c>
      <c r="BH1325">
        <v>0.2</v>
      </c>
      <c r="BI1325">
        <v>-11</v>
      </c>
      <c r="BJ1325">
        <v>5</v>
      </c>
      <c r="BK1325" t="s">
        <v>755</v>
      </c>
      <c r="BL1325" t="s">
        <v>757</v>
      </c>
      <c r="BM1325" t="s">
        <v>757</v>
      </c>
      <c r="BN1325" t="s">
        <v>60</v>
      </c>
      <c r="BO1325" t="s">
        <v>444</v>
      </c>
      <c r="BP1325" t="s">
        <v>92</v>
      </c>
      <c r="BR1325" t="s">
        <v>63</v>
      </c>
      <c r="BT1325">
        <v>1.47</v>
      </c>
      <c r="BU1325">
        <v>1.473684</v>
      </c>
      <c r="BV1325">
        <v>0.03</v>
      </c>
      <c r="BW1325">
        <f>BV1325*SQRT(AK1325)</f>
        <v>0.16431676725154984</v>
      </c>
      <c r="BX1325">
        <v>1.1599999999999999</v>
      </c>
      <c r="BY1325">
        <v>1.1578946999999999</v>
      </c>
      <c r="BZ1325">
        <v>0.02</v>
      </c>
      <c r="CA1325">
        <f>BZ1325*SQRT(AL1325)</f>
        <v>0.10954451150103323</v>
      </c>
      <c r="CB1325">
        <v>7</v>
      </c>
      <c r="CC1325">
        <v>3</v>
      </c>
      <c r="CD1325">
        <v>-0.24099999999999999</v>
      </c>
      <c r="CE1325">
        <v>6.9999999999999999E-4</v>
      </c>
    </row>
    <row r="1326" spans="1:84" hidden="1" x14ac:dyDescent="0.2">
      <c r="D1326">
        <v>96</v>
      </c>
      <c r="G1326" t="s">
        <v>43</v>
      </c>
      <c r="H1326" t="s">
        <v>754</v>
      </c>
      <c r="J1326">
        <v>2019</v>
      </c>
      <c r="M1326" t="s">
        <v>513</v>
      </c>
      <c r="T1326" t="s">
        <v>68</v>
      </c>
      <c r="U1326" t="s">
        <v>266</v>
      </c>
      <c r="V1326" t="s">
        <v>597</v>
      </c>
      <c r="Z1326" t="s">
        <v>177</v>
      </c>
      <c r="AA1326" t="s">
        <v>177</v>
      </c>
      <c r="AB1326" t="s">
        <v>50</v>
      </c>
      <c r="AC1326" t="s">
        <v>117</v>
      </c>
      <c r="AD1326" t="s">
        <v>52</v>
      </c>
      <c r="AE1326" t="s">
        <v>53</v>
      </c>
      <c r="AF1326" t="s">
        <v>52</v>
      </c>
      <c r="AG1326" t="s">
        <v>52</v>
      </c>
      <c r="AH1326" t="s">
        <v>64</v>
      </c>
      <c r="AK1326">
        <v>30</v>
      </c>
      <c r="AL1326">
        <v>30</v>
      </c>
      <c r="AN1326">
        <v>345</v>
      </c>
      <c r="AO1326" t="s">
        <v>56</v>
      </c>
      <c r="AP1326">
        <v>16</v>
      </c>
      <c r="AQ1326" t="s">
        <v>57</v>
      </c>
      <c r="AR1326">
        <v>8.1</v>
      </c>
      <c r="AS1326" t="s">
        <v>56</v>
      </c>
      <c r="AT1326">
        <v>0.03</v>
      </c>
      <c r="AU1326">
        <v>1125</v>
      </c>
      <c r="AV1326" t="s">
        <v>56</v>
      </c>
      <c r="AW1326">
        <v>24</v>
      </c>
      <c r="AX1326">
        <v>7.71</v>
      </c>
      <c r="AY1326" t="s">
        <v>56</v>
      </c>
      <c r="AZ1326">
        <v>0.03</v>
      </c>
      <c r="BB1326">
        <f>LOG(AU1326)</f>
        <v>3.0511525224473814</v>
      </c>
      <c r="BC1326">
        <v>23</v>
      </c>
      <c r="BD1326" t="s">
        <v>56</v>
      </c>
      <c r="BE1326">
        <v>0.2</v>
      </c>
      <c r="BF1326">
        <v>28.1</v>
      </c>
      <c r="BG1326" t="s">
        <v>56</v>
      </c>
      <c r="BH1326">
        <v>0.2</v>
      </c>
      <c r="BI1326">
        <v>780</v>
      </c>
      <c r="BJ1326">
        <v>5.0999999999999996</v>
      </c>
      <c r="BK1326" t="s">
        <v>755</v>
      </c>
      <c r="BL1326" t="s">
        <v>758</v>
      </c>
      <c r="BM1326" t="s">
        <v>758</v>
      </c>
      <c r="BN1326" t="s">
        <v>60</v>
      </c>
      <c r="BO1326" t="s">
        <v>121</v>
      </c>
      <c r="BP1326" t="s">
        <v>9</v>
      </c>
      <c r="BR1326" t="s">
        <v>63</v>
      </c>
      <c r="BT1326">
        <v>10.87</v>
      </c>
      <c r="BU1326">
        <v>10.874786</v>
      </c>
      <c r="BV1326">
        <v>0.21</v>
      </c>
      <c r="BW1326">
        <f>BV1326*SQRT(AK1326)</f>
        <v>1.1502173707608487</v>
      </c>
      <c r="BX1326">
        <v>8.68</v>
      </c>
      <c r="BY1326">
        <v>8.6792452999999998</v>
      </c>
      <c r="BZ1326">
        <v>0.18</v>
      </c>
      <c r="CA1326">
        <f>BZ1326*SQRT(AL1326)</f>
        <v>0.98590060350929898</v>
      </c>
      <c r="CB1326">
        <v>7</v>
      </c>
      <c r="CC1326">
        <v>3</v>
      </c>
      <c r="CD1326">
        <v>-0.22600000000000001</v>
      </c>
      <c r="CE1326">
        <v>8.0000000000000004E-4</v>
      </c>
    </row>
    <row r="1327" spans="1:84" hidden="1" x14ac:dyDescent="0.2">
      <c r="D1327">
        <v>96</v>
      </c>
      <c r="G1327" t="s">
        <v>43</v>
      </c>
      <c r="H1327" t="s">
        <v>754</v>
      </c>
      <c r="J1327">
        <v>2019</v>
      </c>
      <c r="M1327" t="s">
        <v>513</v>
      </c>
      <c r="T1327" t="s">
        <v>68</v>
      </c>
      <c r="U1327" t="s">
        <v>266</v>
      </c>
      <c r="V1327" t="s">
        <v>597</v>
      </c>
      <c r="Z1327" t="s">
        <v>177</v>
      </c>
      <c r="AA1327" t="s">
        <v>177</v>
      </c>
      <c r="AB1327" t="s">
        <v>50</v>
      </c>
      <c r="AC1327" t="s">
        <v>117</v>
      </c>
      <c r="AD1327" t="s">
        <v>52</v>
      </c>
      <c r="AE1327" t="s">
        <v>53</v>
      </c>
      <c r="AF1327" t="s">
        <v>52</v>
      </c>
      <c r="AG1327" t="s">
        <v>52</v>
      </c>
      <c r="AH1327" t="s">
        <v>64</v>
      </c>
      <c r="AK1327">
        <v>3</v>
      </c>
      <c r="AL1327">
        <v>3</v>
      </c>
      <c r="AN1327">
        <v>345</v>
      </c>
      <c r="AO1327" t="s">
        <v>56</v>
      </c>
      <c r="AP1327">
        <v>16</v>
      </c>
      <c r="AQ1327" t="s">
        <v>57</v>
      </c>
      <c r="AR1327">
        <v>8.1</v>
      </c>
      <c r="AS1327" t="s">
        <v>56</v>
      </c>
      <c r="AT1327">
        <v>0.03</v>
      </c>
      <c r="AU1327">
        <v>1125</v>
      </c>
      <c r="AV1327" t="s">
        <v>56</v>
      </c>
      <c r="AW1327">
        <v>24</v>
      </c>
      <c r="AX1327">
        <v>7.71</v>
      </c>
      <c r="AY1327" t="s">
        <v>56</v>
      </c>
      <c r="AZ1327">
        <v>0.03</v>
      </c>
      <c r="BB1327">
        <f>LOG(AU1327)</f>
        <v>3.0511525224473814</v>
      </c>
      <c r="BC1327">
        <v>23</v>
      </c>
      <c r="BD1327" t="s">
        <v>56</v>
      </c>
      <c r="BE1327">
        <v>0.2</v>
      </c>
      <c r="BF1327">
        <v>28.1</v>
      </c>
      <c r="BG1327" t="s">
        <v>56</v>
      </c>
      <c r="BH1327">
        <v>0.2</v>
      </c>
      <c r="BI1327">
        <v>780</v>
      </c>
      <c r="BJ1327">
        <v>5.0999999999999996</v>
      </c>
      <c r="BK1327" t="s">
        <v>755</v>
      </c>
      <c r="BL1327" t="s">
        <v>759</v>
      </c>
      <c r="BM1327" t="s">
        <v>759</v>
      </c>
      <c r="BN1327" t="s">
        <v>60</v>
      </c>
      <c r="BO1327" t="s">
        <v>82</v>
      </c>
      <c r="BP1327" t="s">
        <v>77</v>
      </c>
      <c r="BR1327" t="s">
        <v>84</v>
      </c>
      <c r="BT1327">
        <v>85.52</v>
      </c>
      <c r="BU1327">
        <v>85.522388000000007</v>
      </c>
      <c r="BV1327">
        <v>1.03</v>
      </c>
      <c r="BW1327">
        <f>BV1327*SQRT(AK1327)</f>
        <v>1.7840123317959435</v>
      </c>
      <c r="BX1327">
        <v>70.97</v>
      </c>
      <c r="BY1327">
        <v>70.970149300000003</v>
      </c>
      <c r="BZ1327">
        <v>1.1599999999999999</v>
      </c>
      <c r="CA1327">
        <f>BZ1327*SQRT(AL1327)</f>
        <v>2.0091789367798976</v>
      </c>
      <c r="CB1327">
        <v>7</v>
      </c>
      <c r="CC1327">
        <v>3</v>
      </c>
      <c r="CD1327">
        <v>-0.187</v>
      </c>
      <c r="CE1327">
        <v>4.0000000000000002E-4</v>
      </c>
    </row>
    <row r="1328" spans="1:84" hidden="1" x14ac:dyDescent="0.2">
      <c r="D1328">
        <v>96</v>
      </c>
      <c r="G1328" t="s">
        <v>43</v>
      </c>
      <c r="H1328" t="s">
        <v>754</v>
      </c>
      <c r="J1328">
        <v>2019</v>
      </c>
      <c r="M1328" t="s">
        <v>513</v>
      </c>
      <c r="T1328" t="s">
        <v>68</v>
      </c>
      <c r="U1328" t="s">
        <v>266</v>
      </c>
      <c r="V1328" t="s">
        <v>597</v>
      </c>
      <c r="Z1328" t="s">
        <v>177</v>
      </c>
      <c r="AA1328" t="s">
        <v>177</v>
      </c>
      <c r="AB1328" t="s">
        <v>50</v>
      </c>
      <c r="AC1328" t="s">
        <v>117</v>
      </c>
      <c r="AD1328" t="s">
        <v>52</v>
      </c>
      <c r="AE1328" t="s">
        <v>53</v>
      </c>
      <c r="AF1328" t="s">
        <v>54</v>
      </c>
      <c r="AG1328" t="s">
        <v>52</v>
      </c>
      <c r="AH1328" t="s">
        <v>65</v>
      </c>
      <c r="AK1328">
        <v>30</v>
      </c>
      <c r="AL1328">
        <v>30</v>
      </c>
      <c r="AN1328">
        <v>345</v>
      </c>
      <c r="AO1328" t="s">
        <v>56</v>
      </c>
      <c r="AP1328">
        <v>16</v>
      </c>
      <c r="AQ1328" t="s">
        <v>57</v>
      </c>
      <c r="AR1328">
        <v>8.1</v>
      </c>
      <c r="AS1328" t="s">
        <v>56</v>
      </c>
      <c r="AT1328">
        <v>0.03</v>
      </c>
      <c r="AU1328">
        <v>342</v>
      </c>
      <c r="AV1328" t="s">
        <v>56</v>
      </c>
      <c r="AW1328">
        <v>13</v>
      </c>
      <c r="AX1328">
        <v>8.1</v>
      </c>
      <c r="AY1328" t="s">
        <v>56</v>
      </c>
      <c r="AZ1328">
        <v>0.01</v>
      </c>
      <c r="BB1328">
        <f>LOG(AU1328)</f>
        <v>2.5340261060561349</v>
      </c>
      <c r="BC1328">
        <v>23</v>
      </c>
      <c r="BD1328" t="s">
        <v>56</v>
      </c>
      <c r="BE1328">
        <v>0.2</v>
      </c>
      <c r="BF1328">
        <v>27.8</v>
      </c>
      <c r="BG1328" t="s">
        <v>56</v>
      </c>
      <c r="BH1328">
        <v>0.2</v>
      </c>
      <c r="BI1328">
        <v>-3</v>
      </c>
      <c r="BJ1328">
        <v>4.8</v>
      </c>
      <c r="BK1328" t="s">
        <v>755</v>
      </c>
      <c r="BL1328" t="s">
        <v>756</v>
      </c>
      <c r="BM1328" t="s">
        <v>756</v>
      </c>
      <c r="BN1328" t="s">
        <v>81</v>
      </c>
      <c r="BO1328" t="s">
        <v>439</v>
      </c>
      <c r="BP1328" t="s">
        <v>100</v>
      </c>
      <c r="BR1328" t="s">
        <v>63</v>
      </c>
      <c r="BT1328">
        <v>4.43</v>
      </c>
      <c r="BU1328">
        <v>4.4312389999999997</v>
      </c>
      <c r="BV1328">
        <v>0.11</v>
      </c>
      <c r="BW1328">
        <f>BV1328*SQRT(AK1328)</f>
        <v>0.60249481325568277</v>
      </c>
      <c r="BX1328">
        <v>3.68</v>
      </c>
      <c r="BY1328">
        <v>3.6842104999999998</v>
      </c>
      <c r="BZ1328">
        <v>0.11</v>
      </c>
      <c r="CA1328">
        <f>BZ1328*SQRT(AL1328)</f>
        <v>0.60249481325568277</v>
      </c>
      <c r="CB1328">
        <v>7</v>
      </c>
      <c r="CC1328">
        <v>3</v>
      </c>
      <c r="CD1328">
        <v>-0.185</v>
      </c>
      <c r="CE1328">
        <v>1.4E-3</v>
      </c>
    </row>
    <row r="1329" spans="4:83" hidden="1" x14ac:dyDescent="0.2">
      <c r="D1329">
        <v>96</v>
      </c>
      <c r="G1329" t="s">
        <v>43</v>
      </c>
      <c r="H1329" t="s">
        <v>754</v>
      </c>
      <c r="J1329">
        <v>2019</v>
      </c>
      <c r="M1329" t="s">
        <v>513</v>
      </c>
      <c r="T1329" t="s">
        <v>68</v>
      </c>
      <c r="U1329" t="s">
        <v>266</v>
      </c>
      <c r="V1329" t="s">
        <v>437</v>
      </c>
      <c r="Z1329" t="s">
        <v>49</v>
      </c>
      <c r="AA1329" t="s">
        <v>49</v>
      </c>
      <c r="AB1329" t="s">
        <v>50</v>
      </c>
      <c r="AC1329" t="s">
        <v>117</v>
      </c>
      <c r="AD1329" t="s">
        <v>52</v>
      </c>
      <c r="AE1329" t="s">
        <v>53</v>
      </c>
      <c r="AF1329" t="s">
        <v>52</v>
      </c>
      <c r="AG1329" t="s">
        <v>52</v>
      </c>
      <c r="AH1329" t="s">
        <v>64</v>
      </c>
      <c r="AK1329">
        <v>3</v>
      </c>
      <c r="AL1329">
        <v>3</v>
      </c>
      <c r="AN1329">
        <v>352</v>
      </c>
      <c r="AO1329" t="s">
        <v>56</v>
      </c>
      <c r="AP1329">
        <v>15</v>
      </c>
      <c r="AQ1329" t="s">
        <v>57</v>
      </c>
      <c r="AR1329">
        <v>8.1</v>
      </c>
      <c r="AS1329" t="s">
        <v>56</v>
      </c>
      <c r="AT1329">
        <v>0.03</v>
      </c>
      <c r="AU1329">
        <v>1136</v>
      </c>
      <c r="AV1329" t="s">
        <v>56</v>
      </c>
      <c r="AW1329">
        <v>17</v>
      </c>
      <c r="AX1329">
        <v>7.7</v>
      </c>
      <c r="AY1329" t="s">
        <v>56</v>
      </c>
      <c r="AZ1329">
        <v>0.02</v>
      </c>
      <c r="BB1329">
        <f>LOG(AU1329)</f>
        <v>3.055378331375</v>
      </c>
      <c r="BC1329">
        <v>22.9</v>
      </c>
      <c r="BD1329" t="s">
        <v>56</v>
      </c>
      <c r="BE1329">
        <v>0.2</v>
      </c>
      <c r="BF1329">
        <v>28</v>
      </c>
      <c r="BG1329" t="s">
        <v>56</v>
      </c>
      <c r="BH1329">
        <v>0.2</v>
      </c>
      <c r="BI1329">
        <v>784</v>
      </c>
      <c r="BJ1329">
        <v>5.0999999999999996</v>
      </c>
      <c r="BK1329" t="s">
        <v>755</v>
      </c>
      <c r="BL1329" t="s">
        <v>759</v>
      </c>
      <c r="BM1329" t="s">
        <v>759</v>
      </c>
      <c r="BN1329" t="s">
        <v>60</v>
      </c>
      <c r="BO1329" t="s">
        <v>82</v>
      </c>
      <c r="BP1329" t="s">
        <v>77</v>
      </c>
      <c r="BR1329" t="s">
        <v>84</v>
      </c>
      <c r="BT1329">
        <v>83.28</v>
      </c>
      <c r="BU1329">
        <v>83.283581999999996</v>
      </c>
      <c r="BV1329">
        <v>1.94</v>
      </c>
      <c r="BW1329">
        <f>BV1329*SQRT(AK1329)</f>
        <v>3.3601785666836217</v>
      </c>
      <c r="BX1329">
        <v>69.63</v>
      </c>
      <c r="BY1329">
        <v>69.626865699999996</v>
      </c>
      <c r="BZ1329">
        <v>1.68</v>
      </c>
      <c r="CA1329">
        <f>BZ1329*SQRT(AL1329)</f>
        <v>2.9098453567157136</v>
      </c>
      <c r="CB1329">
        <v>7</v>
      </c>
      <c r="CC1329">
        <v>3</v>
      </c>
      <c r="CD1329">
        <v>-0.17899999999999999</v>
      </c>
      <c r="CE1329">
        <v>1.1000000000000001E-3</v>
      </c>
    </row>
    <row r="1330" spans="4:83" hidden="1" x14ac:dyDescent="0.2">
      <c r="D1330">
        <v>96</v>
      </c>
      <c r="G1330" t="s">
        <v>43</v>
      </c>
      <c r="H1330" t="s">
        <v>754</v>
      </c>
      <c r="J1330">
        <v>2019</v>
      </c>
      <c r="M1330" t="s">
        <v>513</v>
      </c>
      <c r="T1330" t="s">
        <v>68</v>
      </c>
      <c r="U1330" t="s">
        <v>266</v>
      </c>
      <c r="V1330" t="s">
        <v>597</v>
      </c>
      <c r="Z1330" t="s">
        <v>177</v>
      </c>
      <c r="AA1330" t="s">
        <v>177</v>
      </c>
      <c r="AB1330" t="s">
        <v>50</v>
      </c>
      <c r="AC1330" t="s">
        <v>117</v>
      </c>
      <c r="AD1330" t="s">
        <v>52</v>
      </c>
      <c r="AE1330" t="s">
        <v>53</v>
      </c>
      <c r="AF1330" t="s">
        <v>52</v>
      </c>
      <c r="AG1330" t="s">
        <v>54</v>
      </c>
      <c r="AH1330" t="s">
        <v>55</v>
      </c>
      <c r="AK1330">
        <v>30</v>
      </c>
      <c r="AL1330">
        <v>30</v>
      </c>
      <c r="AN1330">
        <v>345</v>
      </c>
      <c r="AO1330" t="s">
        <v>56</v>
      </c>
      <c r="AP1330">
        <v>16</v>
      </c>
      <c r="AQ1330" t="s">
        <v>57</v>
      </c>
      <c r="AR1330">
        <v>8.1</v>
      </c>
      <c r="AS1330" t="s">
        <v>56</v>
      </c>
      <c r="AT1330">
        <v>0.03</v>
      </c>
      <c r="AU1330">
        <v>1108</v>
      </c>
      <c r="AV1330" t="s">
        <v>56</v>
      </c>
      <c r="AW1330">
        <v>19</v>
      </c>
      <c r="AX1330">
        <v>7.72</v>
      </c>
      <c r="AY1330" t="s">
        <v>56</v>
      </c>
      <c r="AZ1330">
        <v>0.01</v>
      </c>
      <c r="BB1330">
        <f>LOG(AU1330)</f>
        <v>3.0445397603924111</v>
      </c>
      <c r="BC1330">
        <v>23</v>
      </c>
      <c r="BD1330" t="s">
        <v>56</v>
      </c>
      <c r="BE1330">
        <v>0.2</v>
      </c>
      <c r="BF1330">
        <v>23</v>
      </c>
      <c r="BG1330" t="s">
        <v>56</v>
      </c>
      <c r="BH1330">
        <v>0.3</v>
      </c>
      <c r="BI1330">
        <v>763</v>
      </c>
      <c r="BJ1330">
        <v>0</v>
      </c>
      <c r="BK1330" t="s">
        <v>755</v>
      </c>
      <c r="BL1330" t="s">
        <v>756</v>
      </c>
      <c r="BM1330" t="s">
        <v>756</v>
      </c>
      <c r="BN1330" t="s">
        <v>81</v>
      </c>
      <c r="BO1330" t="s">
        <v>439</v>
      </c>
      <c r="BP1330" t="s">
        <v>100</v>
      </c>
      <c r="BR1330" t="s">
        <v>63</v>
      </c>
      <c r="BT1330">
        <v>4.43</v>
      </c>
      <c r="BU1330">
        <v>4.4312389999999997</v>
      </c>
      <c r="BV1330">
        <v>0.11</v>
      </c>
      <c r="BW1330">
        <f>BV1330*SQRT(AK1330)</f>
        <v>0.60249481325568277</v>
      </c>
      <c r="BX1330">
        <v>3.77</v>
      </c>
      <c r="BY1330">
        <v>3.7691002</v>
      </c>
      <c r="BZ1330">
        <v>0.1</v>
      </c>
      <c r="CA1330">
        <f>BZ1330*SQRT(AL1330)</f>
        <v>0.54772255750516619</v>
      </c>
      <c r="CB1330">
        <v>7</v>
      </c>
      <c r="CC1330">
        <v>3</v>
      </c>
      <c r="CD1330">
        <v>-0.16200000000000001</v>
      </c>
      <c r="CE1330">
        <v>1.2999999999999999E-3</v>
      </c>
    </row>
    <row r="1331" spans="4:83" hidden="1" x14ac:dyDescent="0.2">
      <c r="D1331">
        <v>96</v>
      </c>
      <c r="G1331" t="s">
        <v>43</v>
      </c>
      <c r="H1331" t="s">
        <v>754</v>
      </c>
      <c r="J1331">
        <v>2019</v>
      </c>
      <c r="M1331" t="s">
        <v>513</v>
      </c>
      <c r="T1331" t="s">
        <v>68</v>
      </c>
      <c r="U1331" t="s">
        <v>266</v>
      </c>
      <c r="V1331" t="s">
        <v>597</v>
      </c>
      <c r="Z1331" t="s">
        <v>177</v>
      </c>
      <c r="AA1331" t="s">
        <v>177</v>
      </c>
      <c r="AB1331" t="s">
        <v>50</v>
      </c>
      <c r="AC1331" t="s">
        <v>117</v>
      </c>
      <c r="AD1331" t="s">
        <v>52</v>
      </c>
      <c r="AE1331" t="s">
        <v>53</v>
      </c>
      <c r="AF1331" t="s">
        <v>52</v>
      </c>
      <c r="AG1331" t="s">
        <v>54</v>
      </c>
      <c r="AH1331" t="s">
        <v>55</v>
      </c>
      <c r="AK1331">
        <v>30</v>
      </c>
      <c r="AL1331">
        <v>30</v>
      </c>
      <c r="AN1331">
        <v>345</v>
      </c>
      <c r="AO1331" t="s">
        <v>56</v>
      </c>
      <c r="AP1331">
        <v>16</v>
      </c>
      <c r="AQ1331" t="s">
        <v>57</v>
      </c>
      <c r="AR1331">
        <v>8.1</v>
      </c>
      <c r="AS1331" t="s">
        <v>56</v>
      </c>
      <c r="AT1331">
        <v>0.03</v>
      </c>
      <c r="AU1331">
        <v>1108</v>
      </c>
      <c r="AV1331" t="s">
        <v>56</v>
      </c>
      <c r="AW1331">
        <v>19</v>
      </c>
      <c r="AX1331">
        <v>7.72</v>
      </c>
      <c r="AY1331" t="s">
        <v>56</v>
      </c>
      <c r="AZ1331">
        <v>0.01</v>
      </c>
      <c r="BB1331">
        <f>LOG(AU1331)</f>
        <v>3.0445397603924111</v>
      </c>
      <c r="BC1331">
        <v>23</v>
      </c>
      <c r="BD1331" t="s">
        <v>56</v>
      </c>
      <c r="BE1331">
        <v>0.2</v>
      </c>
      <c r="BF1331">
        <v>23</v>
      </c>
      <c r="BG1331" t="s">
        <v>56</v>
      </c>
      <c r="BH1331">
        <v>0.3</v>
      </c>
      <c r="BI1331">
        <v>763</v>
      </c>
      <c r="BJ1331">
        <v>0</v>
      </c>
      <c r="BK1331" t="s">
        <v>755</v>
      </c>
      <c r="BL1331" t="s">
        <v>758</v>
      </c>
      <c r="BM1331" t="s">
        <v>758</v>
      </c>
      <c r="BN1331" t="s">
        <v>60</v>
      </c>
      <c r="BO1331" t="s">
        <v>121</v>
      </c>
      <c r="BP1331" t="s">
        <v>9</v>
      </c>
      <c r="BR1331" t="s">
        <v>63</v>
      </c>
      <c r="BT1331">
        <v>10.87</v>
      </c>
      <c r="BU1331">
        <v>10.874786</v>
      </c>
      <c r="BV1331">
        <v>0.21</v>
      </c>
      <c r="BW1331">
        <f>BV1331*SQRT(AK1331)</f>
        <v>1.1502173707608487</v>
      </c>
      <c r="BX1331">
        <v>9.26</v>
      </c>
      <c r="BY1331">
        <v>9.2624356999999993</v>
      </c>
      <c r="BZ1331">
        <v>0.18</v>
      </c>
      <c r="CA1331">
        <f>BZ1331*SQRT(AL1331)</f>
        <v>0.98590060350929898</v>
      </c>
      <c r="CB1331">
        <v>7</v>
      </c>
      <c r="CC1331">
        <v>3</v>
      </c>
      <c r="CD1331">
        <v>-0.16</v>
      </c>
      <c r="CE1331">
        <v>6.9999999999999999E-4</v>
      </c>
    </row>
    <row r="1332" spans="4:83" hidden="1" x14ac:dyDescent="0.2">
      <c r="D1332">
        <v>96</v>
      </c>
      <c r="G1332" t="s">
        <v>43</v>
      </c>
      <c r="H1332" t="s">
        <v>754</v>
      </c>
      <c r="J1332">
        <v>2019</v>
      </c>
      <c r="M1332" t="s">
        <v>513</v>
      </c>
      <c r="T1332" t="s">
        <v>68</v>
      </c>
      <c r="U1332" t="s">
        <v>266</v>
      </c>
      <c r="V1332" t="s">
        <v>437</v>
      </c>
      <c r="Z1332" t="s">
        <v>49</v>
      </c>
      <c r="AA1332" t="s">
        <v>49</v>
      </c>
      <c r="AB1332" t="s">
        <v>50</v>
      </c>
      <c r="AC1332" t="s">
        <v>117</v>
      </c>
      <c r="AD1332" t="s">
        <v>52</v>
      </c>
      <c r="AE1332" t="s">
        <v>53</v>
      </c>
      <c r="AF1332" t="s">
        <v>54</v>
      </c>
      <c r="AG1332" t="s">
        <v>52</v>
      </c>
      <c r="AH1332" t="s">
        <v>65</v>
      </c>
      <c r="AK1332">
        <v>30</v>
      </c>
      <c r="AL1332">
        <v>30</v>
      </c>
      <c r="AN1332">
        <v>352</v>
      </c>
      <c r="AO1332" t="s">
        <v>56</v>
      </c>
      <c r="AP1332">
        <v>15</v>
      </c>
      <c r="AQ1332" t="s">
        <v>57</v>
      </c>
      <c r="AR1332">
        <v>8.1</v>
      </c>
      <c r="AS1332" t="s">
        <v>56</v>
      </c>
      <c r="AT1332">
        <v>0.03</v>
      </c>
      <c r="AU1332">
        <v>341</v>
      </c>
      <c r="AV1332" t="s">
        <v>56</v>
      </c>
      <c r="AW1332">
        <v>16</v>
      </c>
      <c r="AX1332">
        <v>8.11</v>
      </c>
      <c r="AY1332" t="s">
        <v>56</v>
      </c>
      <c r="AZ1332">
        <v>0.01</v>
      </c>
      <c r="BB1332">
        <f>LOG(AU1332)</f>
        <v>2.5327543789924976</v>
      </c>
      <c r="BC1332">
        <v>22.9</v>
      </c>
      <c r="BD1332" t="s">
        <v>56</v>
      </c>
      <c r="BE1332">
        <v>0.2</v>
      </c>
      <c r="BF1332">
        <v>27.9</v>
      </c>
      <c r="BG1332" t="s">
        <v>56</v>
      </c>
      <c r="BH1332">
        <v>0.2</v>
      </c>
      <c r="BI1332">
        <v>-11</v>
      </c>
      <c r="BJ1332">
        <v>5</v>
      </c>
      <c r="BK1332" t="s">
        <v>755</v>
      </c>
      <c r="BL1332" t="s">
        <v>758</v>
      </c>
      <c r="BM1332" t="s">
        <v>758</v>
      </c>
      <c r="BN1332" t="s">
        <v>60</v>
      </c>
      <c r="BO1332" t="s">
        <v>121</v>
      </c>
      <c r="BP1332" t="s">
        <v>9</v>
      </c>
      <c r="BR1332" t="s">
        <v>63</v>
      </c>
      <c r="BT1332">
        <v>10.46</v>
      </c>
      <c r="BU1332">
        <v>10.463122</v>
      </c>
      <c r="BV1332">
        <v>0.24</v>
      </c>
      <c r="BW1332">
        <f>BV1332*SQRT(AK1332)</f>
        <v>1.3145341380123987</v>
      </c>
      <c r="BX1332">
        <v>9.3000000000000007</v>
      </c>
      <c r="BY1332">
        <v>9.2967410000000008</v>
      </c>
      <c r="BZ1332">
        <v>0.19</v>
      </c>
      <c r="CA1332">
        <f>BZ1332*SQRT(AL1332)</f>
        <v>1.0406728592598156</v>
      </c>
      <c r="CB1332">
        <v>7</v>
      </c>
      <c r="CC1332">
        <v>3</v>
      </c>
      <c r="CD1332">
        <v>-0.11799999999999999</v>
      </c>
      <c r="CE1332">
        <v>1E-3</v>
      </c>
    </row>
    <row r="1333" spans="4:83" hidden="1" x14ac:dyDescent="0.2">
      <c r="D1333">
        <v>96</v>
      </c>
      <c r="G1333" t="s">
        <v>43</v>
      </c>
      <c r="H1333" t="s">
        <v>754</v>
      </c>
      <c r="J1333">
        <v>2019</v>
      </c>
      <c r="M1333" t="s">
        <v>513</v>
      </c>
      <c r="T1333" t="s">
        <v>68</v>
      </c>
      <c r="U1333" t="s">
        <v>266</v>
      </c>
      <c r="V1333" t="s">
        <v>597</v>
      </c>
      <c r="Z1333" t="s">
        <v>177</v>
      </c>
      <c r="AA1333" t="s">
        <v>177</v>
      </c>
      <c r="AB1333" t="s">
        <v>50</v>
      </c>
      <c r="AC1333" t="s">
        <v>117</v>
      </c>
      <c r="AD1333" t="s">
        <v>52</v>
      </c>
      <c r="AE1333" t="s">
        <v>53</v>
      </c>
      <c r="AF1333" t="s">
        <v>54</v>
      </c>
      <c r="AG1333" t="s">
        <v>52</v>
      </c>
      <c r="AH1333" t="s">
        <v>65</v>
      </c>
      <c r="AK1333">
        <v>30</v>
      </c>
      <c r="AL1333">
        <v>30</v>
      </c>
      <c r="AN1333">
        <v>345</v>
      </c>
      <c r="AO1333" t="s">
        <v>56</v>
      </c>
      <c r="AP1333">
        <v>16</v>
      </c>
      <c r="AQ1333" t="s">
        <v>57</v>
      </c>
      <c r="AR1333">
        <v>8.1</v>
      </c>
      <c r="AS1333" t="s">
        <v>56</v>
      </c>
      <c r="AT1333">
        <v>0.03</v>
      </c>
      <c r="AU1333">
        <v>342</v>
      </c>
      <c r="AV1333" t="s">
        <v>56</v>
      </c>
      <c r="AW1333">
        <v>13</v>
      </c>
      <c r="AX1333">
        <v>8.1</v>
      </c>
      <c r="AY1333" t="s">
        <v>56</v>
      </c>
      <c r="AZ1333">
        <v>0.01</v>
      </c>
      <c r="BB1333">
        <f>LOG(AU1333)</f>
        <v>2.5340261060561349</v>
      </c>
      <c r="BC1333">
        <v>23</v>
      </c>
      <c r="BD1333" t="s">
        <v>56</v>
      </c>
      <c r="BE1333">
        <v>0.2</v>
      </c>
      <c r="BF1333">
        <v>27.8</v>
      </c>
      <c r="BG1333" t="s">
        <v>56</v>
      </c>
      <c r="BH1333">
        <v>0.2</v>
      </c>
      <c r="BI1333">
        <v>-3</v>
      </c>
      <c r="BJ1333">
        <v>4.8</v>
      </c>
      <c r="BK1333" t="s">
        <v>755</v>
      </c>
      <c r="BL1333" t="s">
        <v>758</v>
      </c>
      <c r="BM1333" t="s">
        <v>758</v>
      </c>
      <c r="BN1333" t="s">
        <v>60</v>
      </c>
      <c r="BO1333" t="s">
        <v>121</v>
      </c>
      <c r="BP1333" t="s">
        <v>9</v>
      </c>
      <c r="BR1333" t="s">
        <v>63</v>
      </c>
      <c r="BT1333">
        <v>10.87</v>
      </c>
      <c r="BU1333">
        <v>10.874786</v>
      </c>
      <c r="BV1333">
        <v>0.21</v>
      </c>
      <c r="BW1333">
        <f>BV1333*SQRT(AK1333)</f>
        <v>1.1502173707608487</v>
      </c>
      <c r="BX1333">
        <v>9.7100000000000009</v>
      </c>
      <c r="BY1333">
        <v>9.7084048000000003</v>
      </c>
      <c r="BZ1333">
        <v>0.2</v>
      </c>
      <c r="CA1333">
        <f>BZ1333*SQRT(AL1333)</f>
        <v>1.0954451150103324</v>
      </c>
      <c r="CB1333">
        <v>7</v>
      </c>
      <c r="CC1333">
        <v>3</v>
      </c>
      <c r="CD1333">
        <v>-0.113</v>
      </c>
      <c r="CE1333">
        <v>8.0000000000000004E-4</v>
      </c>
    </row>
    <row r="1334" spans="4:83" hidden="1" x14ac:dyDescent="0.2">
      <c r="D1334">
        <v>96</v>
      </c>
      <c r="G1334" t="s">
        <v>43</v>
      </c>
      <c r="H1334" t="s">
        <v>754</v>
      </c>
      <c r="J1334">
        <v>2019</v>
      </c>
      <c r="M1334" t="s">
        <v>513</v>
      </c>
      <c r="T1334" t="s">
        <v>68</v>
      </c>
      <c r="U1334" t="s">
        <v>266</v>
      </c>
      <c r="V1334" t="s">
        <v>597</v>
      </c>
      <c r="Z1334" t="s">
        <v>177</v>
      </c>
      <c r="AA1334" t="s">
        <v>177</v>
      </c>
      <c r="AB1334" t="s">
        <v>50</v>
      </c>
      <c r="AC1334" t="s">
        <v>117</v>
      </c>
      <c r="AD1334" t="s">
        <v>52</v>
      </c>
      <c r="AE1334" t="s">
        <v>53</v>
      </c>
      <c r="AF1334" t="s">
        <v>52</v>
      </c>
      <c r="AG1334" t="s">
        <v>54</v>
      </c>
      <c r="AH1334" t="s">
        <v>55</v>
      </c>
      <c r="AK1334">
        <v>3</v>
      </c>
      <c r="AL1334">
        <v>3</v>
      </c>
      <c r="AN1334">
        <v>345</v>
      </c>
      <c r="AO1334" t="s">
        <v>56</v>
      </c>
      <c r="AP1334">
        <v>16</v>
      </c>
      <c r="AQ1334" t="s">
        <v>57</v>
      </c>
      <c r="AR1334">
        <v>8.1</v>
      </c>
      <c r="AS1334" t="s">
        <v>56</v>
      </c>
      <c r="AT1334">
        <v>0.03</v>
      </c>
      <c r="AU1334">
        <v>1108</v>
      </c>
      <c r="AV1334" t="s">
        <v>56</v>
      </c>
      <c r="AW1334">
        <v>19</v>
      </c>
      <c r="AX1334">
        <v>7.72</v>
      </c>
      <c r="AY1334" t="s">
        <v>56</v>
      </c>
      <c r="AZ1334">
        <v>0.01</v>
      </c>
      <c r="BB1334">
        <f>LOG(AU1334)</f>
        <v>3.0445397603924111</v>
      </c>
      <c r="BC1334">
        <v>23</v>
      </c>
      <c r="BD1334" t="s">
        <v>56</v>
      </c>
      <c r="BE1334">
        <v>0.2</v>
      </c>
      <c r="BF1334">
        <v>23</v>
      </c>
      <c r="BG1334" t="s">
        <v>56</v>
      </c>
      <c r="BH1334">
        <v>0.3</v>
      </c>
      <c r="BI1334">
        <v>763</v>
      </c>
      <c r="BJ1334">
        <v>0</v>
      </c>
      <c r="BK1334" t="s">
        <v>755</v>
      </c>
      <c r="BL1334" t="s">
        <v>759</v>
      </c>
      <c r="BM1334" t="s">
        <v>759</v>
      </c>
      <c r="BN1334" t="s">
        <v>60</v>
      </c>
      <c r="BO1334" t="s">
        <v>82</v>
      </c>
      <c r="BP1334" t="s">
        <v>77</v>
      </c>
      <c r="BR1334" t="s">
        <v>84</v>
      </c>
      <c r="BT1334">
        <v>85.52</v>
      </c>
      <c r="BU1334">
        <v>85.522388000000007</v>
      </c>
      <c r="BV1334">
        <v>1.03</v>
      </c>
      <c r="BW1334">
        <f>BV1334*SQRT(AK1334)</f>
        <v>1.7840123317959435</v>
      </c>
      <c r="BX1334">
        <v>76.569999999999993</v>
      </c>
      <c r="BY1334">
        <v>76.567164199999993</v>
      </c>
      <c r="BZ1334">
        <v>1.81</v>
      </c>
      <c r="CA1334">
        <f>BZ1334*SQRT(AL1334)</f>
        <v>3.1350119616996679</v>
      </c>
      <c r="CB1334">
        <v>7</v>
      </c>
      <c r="CC1334">
        <v>3</v>
      </c>
      <c r="CD1334">
        <v>-0.111</v>
      </c>
      <c r="CE1334">
        <v>6.9999999999999999E-4</v>
      </c>
    </row>
    <row r="1335" spans="4:83" hidden="1" x14ac:dyDescent="0.2">
      <c r="D1335">
        <v>96</v>
      </c>
      <c r="G1335" t="s">
        <v>43</v>
      </c>
      <c r="H1335" t="s">
        <v>754</v>
      </c>
      <c r="J1335">
        <v>2019</v>
      </c>
      <c r="M1335" t="s">
        <v>513</v>
      </c>
      <c r="T1335" t="s">
        <v>68</v>
      </c>
      <c r="U1335" t="s">
        <v>266</v>
      </c>
      <c r="V1335" t="s">
        <v>437</v>
      </c>
      <c r="Z1335" t="s">
        <v>49</v>
      </c>
      <c r="AA1335" t="s">
        <v>49</v>
      </c>
      <c r="AB1335" t="s">
        <v>50</v>
      </c>
      <c r="AC1335" t="s">
        <v>117</v>
      </c>
      <c r="AD1335" t="s">
        <v>52</v>
      </c>
      <c r="AE1335" t="s">
        <v>53</v>
      </c>
      <c r="AF1335" t="s">
        <v>52</v>
      </c>
      <c r="AG1335" t="s">
        <v>54</v>
      </c>
      <c r="AH1335" t="s">
        <v>55</v>
      </c>
      <c r="AK1335">
        <v>3</v>
      </c>
      <c r="AL1335">
        <v>3</v>
      </c>
      <c r="AN1335">
        <v>352</v>
      </c>
      <c r="AO1335" t="s">
        <v>56</v>
      </c>
      <c r="AP1335">
        <v>15</v>
      </c>
      <c r="AQ1335" t="s">
        <v>57</v>
      </c>
      <c r="AR1335">
        <v>8.1</v>
      </c>
      <c r="AS1335" t="s">
        <v>56</v>
      </c>
      <c r="AT1335">
        <v>0.03</v>
      </c>
      <c r="AU1335">
        <v>1113</v>
      </c>
      <c r="AV1335" t="s">
        <v>56</v>
      </c>
      <c r="AW1335">
        <v>17</v>
      </c>
      <c r="AX1335">
        <v>7.7</v>
      </c>
      <c r="AY1335" t="s">
        <v>56</v>
      </c>
      <c r="AZ1335">
        <v>0.01</v>
      </c>
      <c r="BB1335">
        <f>LOG(AU1335)</f>
        <v>3.0464951643347082</v>
      </c>
      <c r="BC1335">
        <v>22.9</v>
      </c>
      <c r="BD1335" t="s">
        <v>56</v>
      </c>
      <c r="BE1335">
        <v>0.2</v>
      </c>
      <c r="BF1335">
        <v>23</v>
      </c>
      <c r="BG1335" t="s">
        <v>56</v>
      </c>
      <c r="BH1335">
        <v>0.3</v>
      </c>
      <c r="BI1335">
        <v>761</v>
      </c>
      <c r="BJ1335">
        <v>0.1</v>
      </c>
      <c r="BK1335" t="s">
        <v>755</v>
      </c>
      <c r="BL1335" t="s">
        <v>759</v>
      </c>
      <c r="BM1335" t="s">
        <v>759</v>
      </c>
      <c r="BN1335" t="s">
        <v>60</v>
      </c>
      <c r="BO1335" t="s">
        <v>82</v>
      </c>
      <c r="BP1335" t="s">
        <v>77</v>
      </c>
      <c r="BR1335" t="s">
        <v>84</v>
      </c>
      <c r="BT1335">
        <v>83.28</v>
      </c>
      <c r="BU1335">
        <v>83.283581999999996</v>
      </c>
      <c r="BV1335">
        <v>1.94</v>
      </c>
      <c r="BW1335">
        <f>BV1335*SQRT(AK1335)</f>
        <v>3.3601785666836217</v>
      </c>
      <c r="BX1335">
        <v>75.22</v>
      </c>
      <c r="BY1335">
        <v>75.223880600000001</v>
      </c>
      <c r="BZ1335">
        <v>1.03</v>
      </c>
      <c r="CA1335">
        <f>BZ1335*SQRT(AL1335)</f>
        <v>1.7840123317959435</v>
      </c>
      <c r="CB1335">
        <v>7</v>
      </c>
      <c r="CC1335">
        <v>3</v>
      </c>
      <c r="CD1335">
        <v>-0.10199999999999999</v>
      </c>
      <c r="CE1335">
        <v>6.9999999999999999E-4</v>
      </c>
    </row>
    <row r="1336" spans="4:83" hidden="1" x14ac:dyDescent="0.2">
      <c r="D1336">
        <v>96</v>
      </c>
      <c r="G1336" t="s">
        <v>43</v>
      </c>
      <c r="H1336" t="s">
        <v>754</v>
      </c>
      <c r="J1336">
        <v>2019</v>
      </c>
      <c r="M1336" t="s">
        <v>513</v>
      </c>
      <c r="T1336" t="s">
        <v>68</v>
      </c>
      <c r="U1336" t="s">
        <v>266</v>
      </c>
      <c r="V1336" t="s">
        <v>437</v>
      </c>
      <c r="Z1336" t="s">
        <v>49</v>
      </c>
      <c r="AA1336" t="s">
        <v>49</v>
      </c>
      <c r="AB1336" t="s">
        <v>50</v>
      </c>
      <c r="AC1336" t="s">
        <v>117</v>
      </c>
      <c r="AD1336" t="s">
        <v>52</v>
      </c>
      <c r="AE1336" t="s">
        <v>53</v>
      </c>
      <c r="AF1336" t="s">
        <v>52</v>
      </c>
      <c r="AG1336" t="s">
        <v>54</v>
      </c>
      <c r="AH1336" t="s">
        <v>55</v>
      </c>
      <c r="AK1336">
        <v>30</v>
      </c>
      <c r="AL1336">
        <v>30</v>
      </c>
      <c r="AN1336">
        <v>352</v>
      </c>
      <c r="AO1336" t="s">
        <v>56</v>
      </c>
      <c r="AP1336">
        <v>15</v>
      </c>
      <c r="AQ1336" t="s">
        <v>57</v>
      </c>
      <c r="AR1336">
        <v>8.1</v>
      </c>
      <c r="AS1336" t="s">
        <v>56</v>
      </c>
      <c r="AT1336">
        <v>0.03</v>
      </c>
      <c r="AU1336">
        <v>1113</v>
      </c>
      <c r="AV1336" t="s">
        <v>56</v>
      </c>
      <c r="AW1336">
        <v>17</v>
      </c>
      <c r="AX1336">
        <v>7.7</v>
      </c>
      <c r="AY1336" t="s">
        <v>56</v>
      </c>
      <c r="AZ1336">
        <v>0.01</v>
      </c>
      <c r="BB1336">
        <f>LOG(AU1336)</f>
        <v>3.0464951643347082</v>
      </c>
      <c r="BC1336">
        <v>22.9</v>
      </c>
      <c r="BD1336" t="s">
        <v>56</v>
      </c>
      <c r="BE1336">
        <v>0.2</v>
      </c>
      <c r="BF1336">
        <v>23</v>
      </c>
      <c r="BG1336" t="s">
        <v>56</v>
      </c>
      <c r="BH1336">
        <v>0.3</v>
      </c>
      <c r="BI1336">
        <v>761</v>
      </c>
      <c r="BJ1336">
        <v>0.1</v>
      </c>
      <c r="BK1336" t="s">
        <v>755</v>
      </c>
      <c r="BL1336" t="s">
        <v>758</v>
      </c>
      <c r="BM1336" t="s">
        <v>758</v>
      </c>
      <c r="BN1336" t="s">
        <v>60</v>
      </c>
      <c r="BO1336" t="s">
        <v>121</v>
      </c>
      <c r="BP1336" t="s">
        <v>9</v>
      </c>
      <c r="BR1336" t="s">
        <v>63</v>
      </c>
      <c r="BT1336">
        <v>10.46</v>
      </c>
      <c r="BU1336">
        <v>10.463122</v>
      </c>
      <c r="BV1336">
        <v>0.24</v>
      </c>
      <c r="BW1336">
        <f>BV1336*SQRT(AK1336)</f>
        <v>1.3145341380123987</v>
      </c>
      <c r="BX1336">
        <v>9.5399999999999991</v>
      </c>
      <c r="BY1336">
        <v>9.5368782000000003</v>
      </c>
      <c r="BZ1336">
        <v>0.17</v>
      </c>
      <c r="CA1336">
        <f>BZ1336*SQRT(AL1336)</f>
        <v>0.9311283477587825</v>
      </c>
      <c r="CB1336">
        <v>7</v>
      </c>
      <c r="CC1336">
        <v>3</v>
      </c>
      <c r="CD1336">
        <v>-9.2999999999999999E-2</v>
      </c>
      <c r="CE1336">
        <v>8.9999999999999998E-4</v>
      </c>
    </row>
    <row r="1337" spans="4:83" hidden="1" x14ac:dyDescent="0.2">
      <c r="D1337">
        <v>96</v>
      </c>
      <c r="G1337" t="s">
        <v>43</v>
      </c>
      <c r="H1337" t="s">
        <v>754</v>
      </c>
      <c r="J1337">
        <v>2019</v>
      </c>
      <c r="M1337" t="s">
        <v>513</v>
      </c>
      <c r="T1337" t="s">
        <v>68</v>
      </c>
      <c r="U1337" t="s">
        <v>266</v>
      </c>
      <c r="V1337" t="s">
        <v>597</v>
      </c>
      <c r="Z1337" t="s">
        <v>177</v>
      </c>
      <c r="AA1337" t="s">
        <v>177</v>
      </c>
      <c r="AB1337" t="s">
        <v>50</v>
      </c>
      <c r="AC1337" t="s">
        <v>117</v>
      </c>
      <c r="AD1337" t="s">
        <v>52</v>
      </c>
      <c r="AE1337" t="s">
        <v>53</v>
      </c>
      <c r="AF1337" t="s">
        <v>54</v>
      </c>
      <c r="AG1337" t="s">
        <v>52</v>
      </c>
      <c r="AH1337" t="s">
        <v>65</v>
      </c>
      <c r="AK1337">
        <v>3</v>
      </c>
      <c r="AL1337">
        <v>3</v>
      </c>
      <c r="AN1337">
        <v>345</v>
      </c>
      <c r="AO1337" t="s">
        <v>56</v>
      </c>
      <c r="AP1337">
        <v>16</v>
      </c>
      <c r="AQ1337" t="s">
        <v>57</v>
      </c>
      <c r="AR1337">
        <v>8.1</v>
      </c>
      <c r="AS1337" t="s">
        <v>56</v>
      </c>
      <c r="AT1337">
        <v>0.03</v>
      </c>
      <c r="AU1337">
        <v>342</v>
      </c>
      <c r="AV1337" t="s">
        <v>56</v>
      </c>
      <c r="AW1337">
        <v>13</v>
      </c>
      <c r="AX1337">
        <v>8.1</v>
      </c>
      <c r="AY1337" t="s">
        <v>56</v>
      </c>
      <c r="AZ1337">
        <v>0.01</v>
      </c>
      <c r="BB1337">
        <f>LOG(AU1337)</f>
        <v>2.5340261060561349</v>
      </c>
      <c r="BC1337">
        <v>23</v>
      </c>
      <c r="BD1337" t="s">
        <v>56</v>
      </c>
      <c r="BE1337">
        <v>0.2</v>
      </c>
      <c r="BF1337">
        <v>27.8</v>
      </c>
      <c r="BG1337" t="s">
        <v>56</v>
      </c>
      <c r="BH1337">
        <v>0.2</v>
      </c>
      <c r="BI1337">
        <v>-3</v>
      </c>
      <c r="BJ1337">
        <v>4.8</v>
      </c>
      <c r="BK1337" t="s">
        <v>755</v>
      </c>
      <c r="BL1337" t="s">
        <v>759</v>
      </c>
      <c r="BM1337" t="s">
        <v>759</v>
      </c>
      <c r="BN1337" t="s">
        <v>60</v>
      </c>
      <c r="BO1337" t="s">
        <v>82</v>
      </c>
      <c r="BP1337" t="s">
        <v>77</v>
      </c>
      <c r="BR1337" t="s">
        <v>84</v>
      </c>
      <c r="BT1337">
        <v>85.52</v>
      </c>
      <c r="BU1337">
        <v>85.522388000000007</v>
      </c>
      <c r="BV1337">
        <v>1.03</v>
      </c>
      <c r="BW1337">
        <f>BV1337*SQRT(AK1337)</f>
        <v>1.7840123317959435</v>
      </c>
      <c r="BX1337">
        <v>78.81</v>
      </c>
      <c r="BY1337">
        <v>78.805970099999996</v>
      </c>
      <c r="BZ1337">
        <v>1.03</v>
      </c>
      <c r="CA1337">
        <f>BZ1337*SQRT(AL1337)</f>
        <v>1.7840123317959435</v>
      </c>
      <c r="CB1337">
        <v>7</v>
      </c>
      <c r="CC1337">
        <v>3</v>
      </c>
      <c r="CD1337">
        <v>-8.2000000000000003E-2</v>
      </c>
      <c r="CE1337">
        <v>2.9999999999999997E-4</v>
      </c>
    </row>
    <row r="1338" spans="4:83" hidden="1" x14ac:dyDescent="0.2">
      <c r="D1338">
        <v>96</v>
      </c>
      <c r="G1338" t="s">
        <v>43</v>
      </c>
      <c r="H1338" t="s">
        <v>754</v>
      </c>
      <c r="J1338">
        <v>2019</v>
      </c>
      <c r="M1338" t="s">
        <v>513</v>
      </c>
      <c r="T1338" t="s">
        <v>68</v>
      </c>
      <c r="U1338" t="s">
        <v>266</v>
      </c>
      <c r="V1338" t="s">
        <v>437</v>
      </c>
      <c r="Z1338" t="s">
        <v>49</v>
      </c>
      <c r="AA1338" t="s">
        <v>49</v>
      </c>
      <c r="AB1338" t="s">
        <v>50</v>
      </c>
      <c r="AC1338" t="s">
        <v>117</v>
      </c>
      <c r="AD1338" t="s">
        <v>52</v>
      </c>
      <c r="AE1338" t="s">
        <v>53</v>
      </c>
      <c r="AF1338" t="s">
        <v>54</v>
      </c>
      <c r="AG1338" t="s">
        <v>52</v>
      </c>
      <c r="AH1338" t="s">
        <v>65</v>
      </c>
      <c r="AK1338">
        <v>3</v>
      </c>
      <c r="AL1338">
        <v>3</v>
      </c>
      <c r="AN1338">
        <v>352</v>
      </c>
      <c r="AO1338" t="s">
        <v>56</v>
      </c>
      <c r="AP1338">
        <v>15</v>
      </c>
      <c r="AQ1338" t="s">
        <v>57</v>
      </c>
      <c r="AR1338">
        <v>8.1</v>
      </c>
      <c r="AS1338" t="s">
        <v>56</v>
      </c>
      <c r="AT1338">
        <v>0.03</v>
      </c>
      <c r="AU1338">
        <v>341</v>
      </c>
      <c r="AV1338" t="s">
        <v>56</v>
      </c>
      <c r="AW1338">
        <v>16</v>
      </c>
      <c r="AX1338">
        <v>8.11</v>
      </c>
      <c r="AY1338" t="s">
        <v>56</v>
      </c>
      <c r="AZ1338">
        <v>0.01</v>
      </c>
      <c r="BB1338">
        <f>LOG(AU1338)</f>
        <v>2.5327543789924976</v>
      </c>
      <c r="BC1338">
        <v>22.9</v>
      </c>
      <c r="BD1338" t="s">
        <v>56</v>
      </c>
      <c r="BE1338">
        <v>0.2</v>
      </c>
      <c r="BF1338">
        <v>27.9</v>
      </c>
      <c r="BG1338" t="s">
        <v>56</v>
      </c>
      <c r="BH1338">
        <v>0.2</v>
      </c>
      <c r="BI1338">
        <v>-11</v>
      </c>
      <c r="BJ1338">
        <v>5</v>
      </c>
      <c r="BK1338" t="s">
        <v>755</v>
      </c>
      <c r="BL1338" t="s">
        <v>759</v>
      </c>
      <c r="BM1338" t="s">
        <v>759</v>
      </c>
      <c r="BN1338" t="s">
        <v>60</v>
      </c>
      <c r="BO1338" t="s">
        <v>82</v>
      </c>
      <c r="BP1338" t="s">
        <v>77</v>
      </c>
      <c r="BR1338" t="s">
        <v>84</v>
      </c>
      <c r="BT1338">
        <v>83.28</v>
      </c>
      <c r="BU1338">
        <v>83.283581999999996</v>
      </c>
      <c r="BV1338">
        <v>1.94</v>
      </c>
      <c r="BW1338">
        <f>BV1338*SQRT(AK1338)</f>
        <v>3.3601785666836217</v>
      </c>
      <c r="BX1338">
        <v>77.91</v>
      </c>
      <c r="BY1338">
        <v>77.9104478</v>
      </c>
      <c r="BZ1338">
        <v>1.03</v>
      </c>
      <c r="CA1338">
        <f>BZ1338*SQRT(AL1338)</f>
        <v>1.7840123317959435</v>
      </c>
      <c r="CB1338">
        <v>7</v>
      </c>
      <c r="CC1338">
        <v>3</v>
      </c>
      <c r="CD1338">
        <v>-6.7000000000000004E-2</v>
      </c>
      <c r="CE1338">
        <v>6.9999999999999999E-4</v>
      </c>
    </row>
    <row r="1339" spans="4:83" hidden="1" x14ac:dyDescent="0.2">
      <c r="D1339">
        <v>97</v>
      </c>
      <c r="G1339" t="s">
        <v>43</v>
      </c>
      <c r="H1339" t="s">
        <v>760</v>
      </c>
      <c r="J1339">
        <v>2018</v>
      </c>
      <c r="M1339" t="s">
        <v>308</v>
      </c>
      <c r="T1339" t="s">
        <v>68</v>
      </c>
      <c r="U1339" t="s">
        <v>392</v>
      </c>
      <c r="V1339" t="s">
        <v>761</v>
      </c>
      <c r="Z1339" t="s">
        <v>49</v>
      </c>
      <c r="AA1339" t="s">
        <v>49</v>
      </c>
      <c r="AB1339" t="s">
        <v>50</v>
      </c>
      <c r="AC1339" t="s">
        <v>117</v>
      </c>
      <c r="AD1339" t="s">
        <v>52</v>
      </c>
      <c r="AE1339" t="s">
        <v>53</v>
      </c>
      <c r="AF1339" t="s">
        <v>54</v>
      </c>
      <c r="AG1339" t="s">
        <v>52</v>
      </c>
      <c r="AH1339" t="s">
        <v>65</v>
      </c>
      <c r="AK1339">
        <v>5</v>
      </c>
      <c r="AL1339">
        <v>5</v>
      </c>
      <c r="AN1339">
        <v>401</v>
      </c>
      <c r="AO1339">
        <v>4</v>
      </c>
      <c r="AP1339" t="s">
        <v>56</v>
      </c>
      <c r="AQ1339" t="s">
        <v>109</v>
      </c>
      <c r="AR1339">
        <v>8.07</v>
      </c>
      <c r="AS1339">
        <v>0.01</v>
      </c>
      <c r="AT1339" t="s">
        <v>56</v>
      </c>
      <c r="AU1339">
        <v>430</v>
      </c>
      <c r="AV1339">
        <v>5</v>
      </c>
      <c r="AW1339" t="s">
        <v>56</v>
      </c>
      <c r="AX1339">
        <v>8.0399999999999991</v>
      </c>
      <c r="AY1339">
        <v>0.01</v>
      </c>
      <c r="AZ1339" t="s">
        <v>56</v>
      </c>
      <c r="BB1339">
        <f>LOG(AU1339)</f>
        <v>2.6334684555795866</v>
      </c>
      <c r="BC1339">
        <v>15.7</v>
      </c>
      <c r="BD1339">
        <v>0.1</v>
      </c>
      <c r="BE1339" t="s">
        <v>56</v>
      </c>
      <c r="BF1339">
        <v>18.600000000000001</v>
      </c>
      <c r="BG1339">
        <v>0.1</v>
      </c>
      <c r="BH1339" t="s">
        <v>56</v>
      </c>
      <c r="BI1339">
        <v>29</v>
      </c>
      <c r="BJ1339">
        <v>2.9</v>
      </c>
      <c r="BK1339" t="s">
        <v>282</v>
      </c>
      <c r="BL1339" t="s">
        <v>182</v>
      </c>
      <c r="BM1339" t="s">
        <v>59</v>
      </c>
      <c r="BN1339" t="s">
        <v>60</v>
      </c>
      <c r="BO1339" t="s">
        <v>762</v>
      </c>
      <c r="BP1339" t="s">
        <v>62</v>
      </c>
      <c r="BR1339" t="s">
        <v>63</v>
      </c>
      <c r="BT1339">
        <v>-3.74</v>
      </c>
      <c r="BU1339">
        <v>-3.7435230000000002</v>
      </c>
      <c r="BV1339">
        <v>0.65</v>
      </c>
      <c r="BW1339">
        <f>BV1339*SQRT(AK1339)</f>
        <v>1.4534441853748634</v>
      </c>
      <c r="BX1339">
        <v>-3.12</v>
      </c>
      <c r="BY1339">
        <v>-3.1217617</v>
      </c>
      <c r="BZ1339">
        <v>0.57999999999999996</v>
      </c>
      <c r="CA1339">
        <f>BZ1339*SQRT(AL1339)</f>
        <v>1.2969194269498781</v>
      </c>
      <c r="CB1339">
        <v>90</v>
      </c>
      <c r="CC1339">
        <v>5</v>
      </c>
      <c r="CD1339">
        <v>-0.182</v>
      </c>
      <c r="CE1339">
        <v>6.4799999999999996E-2</v>
      </c>
    </row>
    <row r="1340" spans="4:83" hidden="1" x14ac:dyDescent="0.2">
      <c r="D1340">
        <v>97</v>
      </c>
      <c r="G1340" t="s">
        <v>43</v>
      </c>
      <c r="H1340" t="s">
        <v>760</v>
      </c>
      <c r="J1340">
        <v>2018</v>
      </c>
      <c r="M1340" t="s">
        <v>308</v>
      </c>
      <c r="T1340" t="s">
        <v>68</v>
      </c>
      <c r="U1340" t="s">
        <v>392</v>
      </c>
      <c r="V1340" t="s">
        <v>761</v>
      </c>
      <c r="Z1340" t="s">
        <v>49</v>
      </c>
      <c r="AA1340" t="s">
        <v>49</v>
      </c>
      <c r="AB1340" t="s">
        <v>50</v>
      </c>
      <c r="AC1340" t="s">
        <v>117</v>
      </c>
      <c r="AD1340" t="s">
        <v>52</v>
      </c>
      <c r="AE1340" t="s">
        <v>53</v>
      </c>
      <c r="AF1340" t="s">
        <v>52</v>
      </c>
      <c r="AG1340" t="s">
        <v>52</v>
      </c>
      <c r="AH1340" t="s">
        <v>64</v>
      </c>
      <c r="AK1340">
        <v>5</v>
      </c>
      <c r="AL1340">
        <v>5</v>
      </c>
      <c r="AN1340">
        <v>401</v>
      </c>
      <c r="AO1340">
        <v>4</v>
      </c>
      <c r="AP1340" t="s">
        <v>56</v>
      </c>
      <c r="AQ1340" t="s">
        <v>109</v>
      </c>
      <c r="AR1340">
        <v>8.07</v>
      </c>
      <c r="AS1340">
        <v>0.01</v>
      </c>
      <c r="AT1340" t="s">
        <v>56</v>
      </c>
      <c r="AU1340">
        <v>986</v>
      </c>
      <c r="AV1340">
        <v>12</v>
      </c>
      <c r="AW1340" t="s">
        <v>56</v>
      </c>
      <c r="AX1340">
        <v>7.72</v>
      </c>
      <c r="AY1340">
        <v>0.01</v>
      </c>
      <c r="AZ1340" t="s">
        <v>56</v>
      </c>
      <c r="BB1340">
        <f>LOG(AU1340)</f>
        <v>2.993876914941211</v>
      </c>
      <c r="BC1340">
        <v>15.7</v>
      </c>
      <c r="BD1340">
        <v>0.1</v>
      </c>
      <c r="BE1340" t="s">
        <v>56</v>
      </c>
      <c r="BF1340">
        <v>18.600000000000001</v>
      </c>
      <c r="BG1340">
        <v>0.1</v>
      </c>
      <c r="BH1340" t="s">
        <v>56</v>
      </c>
      <c r="BI1340">
        <v>585</v>
      </c>
      <c r="BJ1340">
        <v>2.9</v>
      </c>
      <c r="BK1340" t="s">
        <v>282</v>
      </c>
      <c r="BL1340" t="s">
        <v>182</v>
      </c>
      <c r="BM1340" t="s">
        <v>59</v>
      </c>
      <c r="BN1340" t="s">
        <v>60</v>
      </c>
      <c r="BO1340" t="s">
        <v>762</v>
      </c>
      <c r="BP1340" t="s">
        <v>62</v>
      </c>
      <c r="BR1340" t="s">
        <v>63</v>
      </c>
      <c r="BT1340">
        <v>-3.74</v>
      </c>
      <c r="BU1340">
        <v>-3.7435230000000002</v>
      </c>
      <c r="BV1340">
        <v>0.65</v>
      </c>
      <c r="BW1340">
        <f>BV1340*SQRT(AK1340)</f>
        <v>1.4534441853748634</v>
      </c>
      <c r="BX1340">
        <v>-3.13</v>
      </c>
      <c r="BY1340">
        <v>-3.1347149999999999</v>
      </c>
      <c r="BZ1340">
        <v>0.63</v>
      </c>
      <c r="CA1340">
        <f>BZ1340*SQRT(AL1340)</f>
        <v>1.4087228258248676</v>
      </c>
      <c r="CB1340">
        <v>90</v>
      </c>
      <c r="CC1340">
        <v>5</v>
      </c>
      <c r="CD1340">
        <v>-0.17699999999999999</v>
      </c>
      <c r="CE1340">
        <v>7.0900000000000005E-2</v>
      </c>
    </row>
    <row r="1341" spans="4:83" hidden="1" x14ac:dyDescent="0.2">
      <c r="D1341">
        <v>97</v>
      </c>
      <c r="G1341" t="s">
        <v>43</v>
      </c>
      <c r="H1341" t="s">
        <v>760</v>
      </c>
      <c r="J1341">
        <v>2018</v>
      </c>
      <c r="M1341" t="s">
        <v>308</v>
      </c>
      <c r="T1341" t="s">
        <v>68</v>
      </c>
      <c r="U1341" t="s">
        <v>392</v>
      </c>
      <c r="V1341" t="s">
        <v>761</v>
      </c>
      <c r="Z1341" t="s">
        <v>49</v>
      </c>
      <c r="AA1341" t="s">
        <v>49</v>
      </c>
      <c r="AB1341" t="s">
        <v>50</v>
      </c>
      <c r="AC1341" t="s">
        <v>117</v>
      </c>
      <c r="AD1341" t="s">
        <v>52</v>
      </c>
      <c r="AE1341" t="s">
        <v>53</v>
      </c>
      <c r="AF1341" t="s">
        <v>52</v>
      </c>
      <c r="AG1341" t="s">
        <v>54</v>
      </c>
      <c r="AH1341" t="s">
        <v>55</v>
      </c>
      <c r="AK1341">
        <v>5</v>
      </c>
      <c r="AL1341">
        <v>5</v>
      </c>
      <c r="AN1341">
        <v>401</v>
      </c>
      <c r="AO1341">
        <v>4</v>
      </c>
      <c r="AP1341" t="s">
        <v>56</v>
      </c>
      <c r="AQ1341" t="s">
        <v>109</v>
      </c>
      <c r="AR1341">
        <v>8.07</v>
      </c>
      <c r="AS1341">
        <v>0.01</v>
      </c>
      <c r="AT1341" t="s">
        <v>56</v>
      </c>
      <c r="AU1341">
        <v>887</v>
      </c>
      <c r="AV1341">
        <v>20</v>
      </c>
      <c r="AW1341" t="s">
        <v>56</v>
      </c>
      <c r="AX1341">
        <v>7.75</v>
      </c>
      <c r="AY1341">
        <v>0.01</v>
      </c>
      <c r="AZ1341" t="s">
        <v>56</v>
      </c>
      <c r="BB1341">
        <f>LOG(AU1341)</f>
        <v>2.9479236198317262</v>
      </c>
      <c r="BC1341">
        <v>15.7</v>
      </c>
      <c r="BD1341">
        <v>0.1</v>
      </c>
      <c r="BE1341" t="s">
        <v>56</v>
      </c>
      <c r="BF1341">
        <v>15.5</v>
      </c>
      <c r="BG1341">
        <v>0.1</v>
      </c>
      <c r="BH1341" t="s">
        <v>56</v>
      </c>
      <c r="BI1341">
        <v>486</v>
      </c>
      <c r="BJ1341">
        <v>-0.2</v>
      </c>
      <c r="BK1341" t="s">
        <v>282</v>
      </c>
      <c r="BL1341" t="s">
        <v>182</v>
      </c>
      <c r="BM1341" t="s">
        <v>59</v>
      </c>
      <c r="BN1341" t="s">
        <v>60</v>
      </c>
      <c r="BO1341" t="s">
        <v>762</v>
      </c>
      <c r="BP1341" t="s">
        <v>62</v>
      </c>
      <c r="BR1341" t="s">
        <v>63</v>
      </c>
      <c r="BT1341">
        <v>-3.74</v>
      </c>
      <c r="BU1341">
        <v>-3.7435230000000002</v>
      </c>
      <c r="BV1341">
        <v>0.65</v>
      </c>
      <c r="BW1341">
        <f>BV1341*SQRT(AK1341)</f>
        <v>1.4534441853748634</v>
      </c>
      <c r="BX1341">
        <v>-3.86</v>
      </c>
      <c r="BY1341">
        <v>-3.8601036</v>
      </c>
      <c r="BZ1341">
        <v>0.31</v>
      </c>
      <c r="CA1341">
        <f>BZ1341*SQRT(AL1341)</f>
        <v>0.69318107302493481</v>
      </c>
      <c r="CB1341">
        <v>90</v>
      </c>
      <c r="CC1341">
        <v>5</v>
      </c>
      <c r="CD1341">
        <v>3.1E-2</v>
      </c>
      <c r="CE1341">
        <v>3.6400000000000002E-2</v>
      </c>
    </row>
    <row r="1342" spans="4:83" hidden="1" x14ac:dyDescent="0.2">
      <c r="D1342">
        <v>97</v>
      </c>
      <c r="G1342" t="s">
        <v>43</v>
      </c>
      <c r="H1342" t="s">
        <v>760</v>
      </c>
      <c r="J1342">
        <v>2018</v>
      </c>
      <c r="M1342" t="s">
        <v>308</v>
      </c>
      <c r="T1342" t="s">
        <v>68</v>
      </c>
      <c r="U1342" t="s">
        <v>763</v>
      </c>
      <c r="V1342" t="s">
        <v>764</v>
      </c>
      <c r="Z1342" t="s">
        <v>49</v>
      </c>
      <c r="AA1342" t="s">
        <v>49</v>
      </c>
      <c r="AB1342" t="s">
        <v>50</v>
      </c>
      <c r="AC1342" t="s">
        <v>117</v>
      </c>
      <c r="AD1342" t="s">
        <v>52</v>
      </c>
      <c r="AE1342" t="s">
        <v>53</v>
      </c>
      <c r="AF1342" t="s">
        <v>52</v>
      </c>
      <c r="AG1342" t="s">
        <v>54</v>
      </c>
      <c r="AH1342" t="s">
        <v>55</v>
      </c>
      <c r="AK1342">
        <v>5</v>
      </c>
      <c r="AL1342">
        <v>5</v>
      </c>
      <c r="AN1342">
        <v>401</v>
      </c>
      <c r="AO1342">
        <v>4</v>
      </c>
      <c r="AP1342" t="s">
        <v>56</v>
      </c>
      <c r="AQ1342" t="s">
        <v>109</v>
      </c>
      <c r="AR1342">
        <v>8.07</v>
      </c>
      <c r="AS1342">
        <v>0.01</v>
      </c>
      <c r="AT1342" t="s">
        <v>56</v>
      </c>
      <c r="AU1342">
        <v>887</v>
      </c>
      <c r="AV1342">
        <v>20</v>
      </c>
      <c r="AW1342" t="s">
        <v>56</v>
      </c>
      <c r="AX1342">
        <v>7.75</v>
      </c>
      <c r="AY1342">
        <v>0.01</v>
      </c>
      <c r="AZ1342" t="s">
        <v>56</v>
      </c>
      <c r="BB1342">
        <f>LOG(AU1342)</f>
        <v>2.9479236198317262</v>
      </c>
      <c r="BC1342">
        <v>15.7</v>
      </c>
      <c r="BD1342">
        <v>0.1</v>
      </c>
      <c r="BE1342" t="s">
        <v>56</v>
      </c>
      <c r="BF1342">
        <v>15.5</v>
      </c>
      <c r="BG1342">
        <v>0.1</v>
      </c>
      <c r="BH1342" t="s">
        <v>56</v>
      </c>
      <c r="BI1342">
        <v>486</v>
      </c>
      <c r="BJ1342">
        <v>-0.2</v>
      </c>
      <c r="BK1342" t="s">
        <v>282</v>
      </c>
      <c r="BL1342" t="s">
        <v>182</v>
      </c>
      <c r="BM1342" t="s">
        <v>59</v>
      </c>
      <c r="BN1342" t="s">
        <v>60</v>
      </c>
      <c r="BO1342" t="s">
        <v>762</v>
      </c>
      <c r="BP1342" t="s">
        <v>62</v>
      </c>
      <c r="BR1342" t="s">
        <v>63</v>
      </c>
      <c r="BT1342">
        <v>-0.36</v>
      </c>
      <c r="BU1342">
        <v>-0.36426599999999998</v>
      </c>
      <c r="BV1342">
        <v>0.33</v>
      </c>
      <c r="BW1342">
        <f>BV1342*SQRT(AK1342)</f>
        <v>0.73790243257493071</v>
      </c>
      <c r="BX1342">
        <v>-0.81</v>
      </c>
      <c r="BY1342">
        <v>-0.80747919999999995</v>
      </c>
      <c r="BZ1342">
        <v>0.19</v>
      </c>
      <c r="CA1342">
        <f>BZ1342*SQRT(AL1342)</f>
        <v>0.42485291572496009</v>
      </c>
      <c r="CB1342">
        <v>90</v>
      </c>
      <c r="CC1342">
        <v>5</v>
      </c>
      <c r="CD1342">
        <v>0.79600000000000004</v>
      </c>
      <c r="CE1342">
        <v>0.89039999999999997</v>
      </c>
    </row>
    <row r="1343" spans="4:83" hidden="1" x14ac:dyDescent="0.2">
      <c r="D1343">
        <v>97</v>
      </c>
      <c r="G1343" t="s">
        <v>43</v>
      </c>
      <c r="H1343" t="s">
        <v>760</v>
      </c>
      <c r="J1343">
        <v>2018</v>
      </c>
      <c r="M1343" t="s">
        <v>308</v>
      </c>
      <c r="T1343" t="s">
        <v>68</v>
      </c>
      <c r="U1343" t="s">
        <v>763</v>
      </c>
      <c r="V1343" t="s">
        <v>764</v>
      </c>
      <c r="Z1343" t="s">
        <v>49</v>
      </c>
      <c r="AA1343" t="s">
        <v>49</v>
      </c>
      <c r="AB1343" t="s">
        <v>50</v>
      </c>
      <c r="AC1343" t="s">
        <v>117</v>
      </c>
      <c r="AD1343" t="s">
        <v>52</v>
      </c>
      <c r="AE1343" t="s">
        <v>53</v>
      </c>
      <c r="AF1343" t="s">
        <v>52</v>
      </c>
      <c r="AG1343" t="s">
        <v>52</v>
      </c>
      <c r="AH1343" t="s">
        <v>64</v>
      </c>
      <c r="AK1343">
        <v>5</v>
      </c>
      <c r="AL1343">
        <v>5</v>
      </c>
      <c r="AN1343">
        <v>401</v>
      </c>
      <c r="AO1343">
        <v>4</v>
      </c>
      <c r="AP1343" t="s">
        <v>56</v>
      </c>
      <c r="AQ1343" t="s">
        <v>109</v>
      </c>
      <c r="AR1343">
        <v>8.07</v>
      </c>
      <c r="AS1343">
        <v>0.01</v>
      </c>
      <c r="AT1343" t="s">
        <v>56</v>
      </c>
      <c r="AU1343">
        <v>986</v>
      </c>
      <c r="AV1343">
        <v>12</v>
      </c>
      <c r="AW1343" t="s">
        <v>56</v>
      </c>
      <c r="AX1343">
        <v>7.72</v>
      </c>
      <c r="AY1343">
        <v>0.01</v>
      </c>
      <c r="AZ1343" t="s">
        <v>56</v>
      </c>
      <c r="BB1343">
        <f>LOG(AU1343)</f>
        <v>2.993876914941211</v>
      </c>
      <c r="BC1343">
        <v>15.7</v>
      </c>
      <c r="BD1343">
        <v>0.1</v>
      </c>
      <c r="BE1343" t="s">
        <v>56</v>
      </c>
      <c r="BF1343">
        <v>18.600000000000001</v>
      </c>
      <c r="BG1343">
        <v>0.1</v>
      </c>
      <c r="BH1343" t="s">
        <v>56</v>
      </c>
      <c r="BI1343">
        <v>585</v>
      </c>
      <c r="BJ1343">
        <v>2.9</v>
      </c>
      <c r="BK1343" t="s">
        <v>282</v>
      </c>
      <c r="BL1343" t="s">
        <v>182</v>
      </c>
      <c r="BM1343" t="s">
        <v>59</v>
      </c>
      <c r="BN1343" t="s">
        <v>60</v>
      </c>
      <c r="BO1343" t="s">
        <v>762</v>
      </c>
      <c r="BP1343" t="s">
        <v>62</v>
      </c>
      <c r="BR1343" t="s">
        <v>63</v>
      </c>
      <c r="BT1343">
        <v>-0.36</v>
      </c>
      <c r="BU1343">
        <v>-0.36426599999999998</v>
      </c>
      <c r="BV1343">
        <v>0.33</v>
      </c>
      <c r="BW1343">
        <f>BV1343*SQRT(AK1343)</f>
        <v>0.73790243257493071</v>
      </c>
      <c r="BX1343">
        <v>-0.91</v>
      </c>
      <c r="BY1343">
        <v>-0.91274239999999995</v>
      </c>
      <c r="BZ1343">
        <v>0.13</v>
      </c>
      <c r="CA1343">
        <f>BZ1343*SQRT(AL1343)</f>
        <v>0.29068883707497267</v>
      </c>
      <c r="CB1343">
        <v>90</v>
      </c>
      <c r="CC1343">
        <v>5</v>
      </c>
      <c r="CD1343">
        <v>0.91900000000000004</v>
      </c>
      <c r="CE1343">
        <v>0.85399999999999998</v>
      </c>
    </row>
    <row r="1344" spans="4:83" hidden="1" x14ac:dyDescent="0.2">
      <c r="D1344">
        <v>97</v>
      </c>
      <c r="G1344" t="s">
        <v>43</v>
      </c>
      <c r="H1344" t="s">
        <v>760</v>
      </c>
      <c r="J1344">
        <v>2018</v>
      </c>
      <c r="M1344" t="s">
        <v>308</v>
      </c>
      <c r="T1344" t="s">
        <v>68</v>
      </c>
      <c r="U1344" t="s">
        <v>763</v>
      </c>
      <c r="V1344" t="s">
        <v>764</v>
      </c>
      <c r="Z1344" t="s">
        <v>49</v>
      </c>
      <c r="AA1344" t="s">
        <v>49</v>
      </c>
      <c r="AB1344" t="s">
        <v>50</v>
      </c>
      <c r="AC1344" t="s">
        <v>117</v>
      </c>
      <c r="AD1344" t="s">
        <v>52</v>
      </c>
      <c r="AE1344" t="s">
        <v>53</v>
      </c>
      <c r="AF1344" t="s">
        <v>54</v>
      </c>
      <c r="AG1344" t="s">
        <v>52</v>
      </c>
      <c r="AH1344" t="s">
        <v>65</v>
      </c>
      <c r="AK1344">
        <v>5</v>
      </c>
      <c r="AL1344">
        <v>5</v>
      </c>
      <c r="AN1344">
        <v>401</v>
      </c>
      <c r="AO1344">
        <v>4</v>
      </c>
      <c r="AP1344" t="s">
        <v>56</v>
      </c>
      <c r="AQ1344" t="s">
        <v>109</v>
      </c>
      <c r="AR1344">
        <v>8.07</v>
      </c>
      <c r="AS1344">
        <v>0.01</v>
      </c>
      <c r="AT1344" t="s">
        <v>56</v>
      </c>
      <c r="AU1344">
        <v>430</v>
      </c>
      <c r="AV1344">
        <v>5</v>
      </c>
      <c r="AW1344" t="s">
        <v>56</v>
      </c>
      <c r="AX1344">
        <v>8.0399999999999991</v>
      </c>
      <c r="AY1344">
        <v>0.01</v>
      </c>
      <c r="AZ1344" t="s">
        <v>56</v>
      </c>
      <c r="BB1344">
        <f>LOG(AU1344)</f>
        <v>2.6334684555795866</v>
      </c>
      <c r="BC1344">
        <v>15.7</v>
      </c>
      <c r="BD1344">
        <v>0.1</v>
      </c>
      <c r="BE1344" t="s">
        <v>56</v>
      </c>
      <c r="BF1344">
        <v>18.600000000000001</v>
      </c>
      <c r="BG1344">
        <v>0.1</v>
      </c>
      <c r="BH1344" t="s">
        <v>56</v>
      </c>
      <c r="BI1344">
        <v>29</v>
      </c>
      <c r="BJ1344">
        <v>2.9</v>
      </c>
      <c r="BK1344" t="s">
        <v>282</v>
      </c>
      <c r="BL1344" t="s">
        <v>182</v>
      </c>
      <c r="BM1344" t="s">
        <v>59</v>
      </c>
      <c r="BN1344" t="s">
        <v>60</v>
      </c>
      <c r="BO1344" t="s">
        <v>762</v>
      </c>
      <c r="BP1344" t="s">
        <v>62</v>
      </c>
      <c r="BR1344" t="s">
        <v>63</v>
      </c>
      <c r="BT1344">
        <v>-0.36</v>
      </c>
      <c r="BU1344">
        <v>-0.36426599999999998</v>
      </c>
      <c r="BV1344">
        <v>0.33</v>
      </c>
      <c r="BW1344">
        <f>BV1344*SQRT(AK1344)</f>
        <v>0.73790243257493071</v>
      </c>
      <c r="BX1344">
        <v>-1.1399999999999999</v>
      </c>
      <c r="BY1344">
        <v>-1.1398892</v>
      </c>
      <c r="BZ1344">
        <v>0.15</v>
      </c>
      <c r="CA1344">
        <f>BZ1344*SQRT(AL1344)</f>
        <v>0.33541019662496846</v>
      </c>
      <c r="CB1344">
        <v>90</v>
      </c>
      <c r="CC1344">
        <v>5</v>
      </c>
      <c r="CD1344">
        <v>1.141</v>
      </c>
      <c r="CE1344">
        <v>0.85</v>
      </c>
    </row>
    <row r="1345" spans="1:84" hidden="1" x14ac:dyDescent="0.2">
      <c r="A1345" s="8"/>
      <c r="B1345" t="str">
        <f>ROW()-1&amp;"_AltersInvert"</f>
        <v>1344_AltersInvert</v>
      </c>
      <c r="C1345" t="str">
        <f>D1345&amp;"_"&amp;
SUBSTITUTE(TRIM(V1345)," ","_")&amp;"_"&amp;
TRIM(AC1345)&amp;"_"&amp;
"CO2"&amp;TEXT(AN1345,"0.00")&amp;"_"&amp;
"pH"&amp;TEXT(AR1345,"0.00")&amp;"_"&amp;
"T"&amp;TEXT(BC1345,"0.##")</f>
        <v>201_Centrostephanus_rodgersii_EMBRYO_CO2324.00_pH8.25_T18.</v>
      </c>
      <c r="D1345" s="8">
        <v>201</v>
      </c>
      <c r="E1345" s="8"/>
      <c r="F1345" s="8"/>
      <c r="G1345" s="8" t="s">
        <v>43</v>
      </c>
      <c r="H1345" s="8" t="s">
        <v>950</v>
      </c>
      <c r="I1345" s="8"/>
      <c r="J1345" s="8">
        <v>2010</v>
      </c>
      <c r="K1345" s="8"/>
      <c r="L1345" s="8"/>
      <c r="M1345" s="8" t="s">
        <v>67</v>
      </c>
      <c r="N1345" s="8"/>
      <c r="O1345" s="8"/>
      <c r="P1345" t="s">
        <v>1135</v>
      </c>
      <c r="Q1345" s="8"/>
      <c r="R1345" s="8" t="s">
        <v>1127</v>
      </c>
      <c r="S1345" t="s">
        <v>1128</v>
      </c>
      <c r="T1345" s="8" t="s">
        <v>46</v>
      </c>
      <c r="U1345" s="8" t="s">
        <v>570</v>
      </c>
      <c r="V1345" s="8" t="s">
        <v>571</v>
      </c>
      <c r="W1345" s="8" t="str">
        <f>IF(ISNUMBER(MATCH(V739,{"Doryteuthis pealeii","Loligo vulgaris","Leptuca thayeri","Stylocheilus striatus","Ophryotrocha labronica"},0)),"N","Y")</f>
        <v>Y</v>
      </c>
      <c r="X1345" s="8"/>
      <c r="Y1345" s="8"/>
      <c r="Z1345" s="8" t="s">
        <v>177</v>
      </c>
      <c r="AA1345" s="8" t="s">
        <v>177</v>
      </c>
      <c r="AB1345" s="8" t="s">
        <v>71</v>
      </c>
      <c r="AC1345" s="8" t="s">
        <v>195</v>
      </c>
      <c r="AD1345" s="8" t="s">
        <v>52</v>
      </c>
      <c r="AE1345" s="8" t="s">
        <v>53</v>
      </c>
      <c r="AF1345" s="8" t="s">
        <v>52</v>
      </c>
      <c r="AG1345" s="8" t="s">
        <v>52</v>
      </c>
      <c r="AH1345" s="8" t="s">
        <v>64</v>
      </c>
      <c r="AI1345" s="8"/>
      <c r="AJ1345" s="8"/>
      <c r="AK1345" s="8">
        <v>3</v>
      </c>
      <c r="AL1345" s="8">
        <v>3</v>
      </c>
      <c r="AM1345" s="8"/>
      <c r="AN1345" s="8">
        <v>324</v>
      </c>
      <c r="AO1345" s="8">
        <v>22</v>
      </c>
      <c r="AP1345" s="8" t="s">
        <v>56</v>
      </c>
      <c r="AQ1345" s="8" t="s">
        <v>57</v>
      </c>
      <c r="AR1345" s="8">
        <v>8.25</v>
      </c>
      <c r="AS1345" s="8" t="s">
        <v>56</v>
      </c>
      <c r="AT1345" s="8" t="s">
        <v>56</v>
      </c>
      <c r="AU1345" s="8">
        <v>1069</v>
      </c>
      <c r="AV1345">
        <v>16</v>
      </c>
      <c r="AW1345" t="s">
        <v>56</v>
      </c>
      <c r="AX1345">
        <v>7.8</v>
      </c>
      <c r="AY1345" t="s">
        <v>56</v>
      </c>
      <c r="AZ1345" t="s">
        <v>56</v>
      </c>
      <c r="BA1345" s="8"/>
      <c r="BB1345" s="8">
        <f>LOG(AU1345)</f>
        <v>3.0289777052087778</v>
      </c>
      <c r="BC1345" s="8">
        <v>18</v>
      </c>
      <c r="BD1345" s="8" t="s">
        <v>56</v>
      </c>
      <c r="BE1345" s="8" t="s">
        <v>56</v>
      </c>
      <c r="BF1345" s="8">
        <v>22</v>
      </c>
      <c r="BG1345" s="8" t="s">
        <v>56</v>
      </c>
      <c r="BH1345" s="8" t="s">
        <v>56</v>
      </c>
      <c r="BI1345" s="8">
        <v>745</v>
      </c>
      <c r="BJ1345" s="8">
        <v>4</v>
      </c>
      <c r="BK1345" s="8" t="s">
        <v>56</v>
      </c>
      <c r="BL1345" s="8" t="s">
        <v>933</v>
      </c>
      <c r="BM1345" s="8" t="s">
        <v>473</v>
      </c>
      <c r="BN1345" s="8" t="s">
        <v>81</v>
      </c>
      <c r="BO1345" s="8" t="s">
        <v>82</v>
      </c>
      <c r="BP1345" s="8" t="s">
        <v>190</v>
      </c>
      <c r="BQ1345" s="8" t="s">
        <v>190</v>
      </c>
      <c r="BR1345" s="8" t="s">
        <v>84</v>
      </c>
      <c r="BS1345" s="8"/>
      <c r="BT1345" s="8">
        <v>96.12</v>
      </c>
      <c r="BU1345" s="8">
        <v>96.12</v>
      </c>
      <c r="BV1345" s="8">
        <v>3.01</v>
      </c>
      <c r="BW1345" s="8">
        <f>BV1345*SQRT(AK1345)</f>
        <v>5.21347293078232</v>
      </c>
      <c r="BX1345" s="8">
        <v>95.04</v>
      </c>
      <c r="BY1345" s="8">
        <v>95.04</v>
      </c>
      <c r="BZ1345" s="8">
        <v>3.61</v>
      </c>
      <c r="CA1345" s="8">
        <f>BZ1345*SQRT(AL1345)</f>
        <v>6.252703415323646</v>
      </c>
      <c r="CB1345" s="8">
        <v>1</v>
      </c>
      <c r="CC1345" s="8">
        <v>1</v>
      </c>
      <c r="CD1345" s="8">
        <v>-1.0999999999999999E-2</v>
      </c>
      <c r="CE1345" s="8">
        <v>2.3999999999999998E-3</v>
      </c>
      <c r="CF1345" s="8" t="s">
        <v>1134</v>
      </c>
    </row>
    <row r="1346" spans="1:84" hidden="1" x14ac:dyDescent="0.2">
      <c r="A1346" s="8"/>
      <c r="B1346" t="str">
        <f>ROW()-1&amp;"_AltersInvert"</f>
        <v>1345_AltersInvert</v>
      </c>
      <c r="C1346" t="str">
        <f>D1346&amp;"_"&amp;
SUBSTITUTE(TRIM(V1346)," ","_")&amp;"_"&amp;
TRIM(AC1346)&amp;"_"&amp;
"CO2"&amp;TEXT(AN1346,"0.00")&amp;"_"&amp;
"pH"&amp;TEXT(AR1346,"0.00")&amp;"_"&amp;
"T"&amp;TEXT(BC1346,"0.##")</f>
        <v>201_Centrostephanus_rodgersii_EMBRYO_CO2324.00_pH8.25_T18.</v>
      </c>
      <c r="D1346" s="8">
        <v>201</v>
      </c>
      <c r="E1346" s="8"/>
      <c r="F1346" s="8"/>
      <c r="G1346" s="8" t="s">
        <v>43</v>
      </c>
      <c r="H1346" s="8" t="s">
        <v>950</v>
      </c>
      <c r="I1346" s="8"/>
      <c r="J1346" s="8">
        <v>2010</v>
      </c>
      <c r="K1346" s="8"/>
      <c r="L1346" s="8"/>
      <c r="M1346" s="8" t="s">
        <v>67</v>
      </c>
      <c r="N1346" s="8"/>
      <c r="O1346" s="8"/>
      <c r="P1346" t="s">
        <v>1135</v>
      </c>
      <c r="Q1346" s="8"/>
      <c r="R1346" s="8" t="s">
        <v>1127</v>
      </c>
      <c r="S1346" t="s">
        <v>1128</v>
      </c>
      <c r="T1346" s="8" t="s">
        <v>46</v>
      </c>
      <c r="U1346" s="8" t="s">
        <v>570</v>
      </c>
      <c r="V1346" s="8" t="s">
        <v>571</v>
      </c>
      <c r="W1346" s="8" t="str">
        <f>IF(ISNUMBER(MATCH(V740,{"Doryteuthis pealeii","Loligo vulgaris","Leptuca thayeri","Stylocheilus striatus","Ophryotrocha labronica"},0)),"N","Y")</f>
        <v>Y</v>
      </c>
      <c r="X1346" s="8"/>
      <c r="Y1346" s="8"/>
      <c r="Z1346" s="8" t="s">
        <v>177</v>
      </c>
      <c r="AA1346" s="8" t="s">
        <v>177</v>
      </c>
      <c r="AB1346" s="8" t="s">
        <v>71</v>
      </c>
      <c r="AC1346" s="8" t="s">
        <v>195</v>
      </c>
      <c r="AD1346" s="8" t="s">
        <v>52</v>
      </c>
      <c r="AE1346" s="8" t="s">
        <v>53</v>
      </c>
      <c r="AF1346" s="8" t="s">
        <v>52</v>
      </c>
      <c r="AG1346" s="8" t="s">
        <v>52</v>
      </c>
      <c r="AH1346" s="8" t="s">
        <v>64</v>
      </c>
      <c r="AI1346" s="8"/>
      <c r="AJ1346" s="8"/>
      <c r="AK1346" s="8">
        <v>3</v>
      </c>
      <c r="AL1346" s="8">
        <v>3</v>
      </c>
      <c r="AM1346" s="8"/>
      <c r="AN1346" s="8">
        <v>324</v>
      </c>
      <c r="AO1346" s="8">
        <v>22</v>
      </c>
      <c r="AP1346" s="8" t="s">
        <v>56</v>
      </c>
      <c r="AQ1346" s="8" t="s">
        <v>57</v>
      </c>
      <c r="AR1346" s="8">
        <v>8.25</v>
      </c>
      <c r="AS1346" s="8" t="s">
        <v>56</v>
      </c>
      <c r="AT1346" s="8" t="s">
        <v>56</v>
      </c>
      <c r="AU1346" s="8">
        <v>1087</v>
      </c>
      <c r="AV1346">
        <v>16</v>
      </c>
      <c r="AW1346" t="s">
        <v>56</v>
      </c>
      <c r="AX1346">
        <v>7.8</v>
      </c>
      <c r="AY1346" t="s">
        <v>56</v>
      </c>
      <c r="AZ1346" t="s">
        <v>56</v>
      </c>
      <c r="BA1346" s="8"/>
      <c r="BB1346" s="8">
        <f>LOG(AU1346)</f>
        <v>3.0362295440862948</v>
      </c>
      <c r="BC1346" s="8">
        <v>18</v>
      </c>
      <c r="BD1346" s="8" t="s">
        <v>56</v>
      </c>
      <c r="BE1346" s="8" t="s">
        <v>56</v>
      </c>
      <c r="BF1346" s="8">
        <v>24</v>
      </c>
      <c r="BG1346" s="8" t="s">
        <v>56</v>
      </c>
      <c r="BH1346" s="8" t="s">
        <v>56</v>
      </c>
      <c r="BI1346" s="8">
        <v>763</v>
      </c>
      <c r="BJ1346" s="8">
        <v>6</v>
      </c>
      <c r="BK1346" s="8" t="s">
        <v>56</v>
      </c>
      <c r="BL1346" s="8" t="s">
        <v>933</v>
      </c>
      <c r="BM1346" s="8" t="s">
        <v>473</v>
      </c>
      <c r="BN1346" s="8" t="s">
        <v>81</v>
      </c>
      <c r="BO1346" s="8" t="s">
        <v>82</v>
      </c>
      <c r="BP1346" s="8" t="s">
        <v>190</v>
      </c>
      <c r="BQ1346" s="8" t="s">
        <v>190</v>
      </c>
      <c r="BR1346" s="8" t="s">
        <v>84</v>
      </c>
      <c r="BS1346" s="8"/>
      <c r="BT1346" s="8">
        <v>96.12</v>
      </c>
      <c r="BU1346" s="8">
        <v>96.12</v>
      </c>
      <c r="BV1346" s="8">
        <v>3.01</v>
      </c>
      <c r="BW1346" s="8">
        <f>BV1346*SQRT(AK1346)</f>
        <v>5.21347293078232</v>
      </c>
      <c r="BX1346" s="8">
        <v>95.05</v>
      </c>
      <c r="BY1346" s="8">
        <v>95.05</v>
      </c>
      <c r="BZ1346" s="8">
        <v>3.62</v>
      </c>
      <c r="CA1346" s="8">
        <f>BZ1346*SQRT(AL1346)</f>
        <v>6.2700239233993358</v>
      </c>
      <c r="CB1346" s="8">
        <v>1</v>
      </c>
      <c r="CC1346" s="8">
        <v>1</v>
      </c>
      <c r="CD1346" s="8">
        <v>-1.0999999999999999E-2</v>
      </c>
      <c r="CE1346" s="8">
        <v>2.3999999999999998E-3</v>
      </c>
      <c r="CF1346" s="8" t="s">
        <v>1134</v>
      </c>
    </row>
    <row r="1347" spans="1:84" hidden="1" x14ac:dyDescent="0.2">
      <c r="A1347" s="8"/>
      <c r="B1347" t="str">
        <f>ROW()-1&amp;"_AltersInvert"</f>
        <v>1346_AltersInvert</v>
      </c>
      <c r="C1347" t="str">
        <f>D1347&amp;"_"&amp;
SUBSTITUTE(TRIM(V1347)," ","_")&amp;"_"&amp;
TRIM(AC1347)&amp;"_"&amp;
"CO2"&amp;TEXT(AN1347,"0.00")&amp;"_"&amp;
"pH"&amp;TEXT(AR1347,"0.00")&amp;"_"&amp;
"T"&amp;TEXT(BC1347,"0.##")</f>
        <v>201_Centrostephanus_rodgersii_EMBRYO_CO2324.00_pH8.25_T18.</v>
      </c>
      <c r="D1347" s="8">
        <v>201</v>
      </c>
      <c r="E1347" s="8"/>
      <c r="F1347" s="8"/>
      <c r="G1347" s="8" t="s">
        <v>43</v>
      </c>
      <c r="H1347" s="8" t="s">
        <v>950</v>
      </c>
      <c r="I1347" s="8"/>
      <c r="J1347" s="8">
        <v>2010</v>
      </c>
      <c r="K1347" s="8"/>
      <c r="L1347" s="8"/>
      <c r="M1347" s="8" t="s">
        <v>67</v>
      </c>
      <c r="N1347" s="8"/>
      <c r="O1347" s="8"/>
      <c r="P1347" t="s">
        <v>1135</v>
      </c>
      <c r="Q1347" s="8"/>
      <c r="R1347" s="8" t="s">
        <v>1127</v>
      </c>
      <c r="S1347" t="s">
        <v>1128</v>
      </c>
      <c r="T1347" s="8" t="s">
        <v>46</v>
      </c>
      <c r="U1347" s="8" t="s">
        <v>570</v>
      </c>
      <c r="V1347" s="8" t="s">
        <v>571</v>
      </c>
      <c r="W1347" s="8" t="str">
        <f>IF(ISNUMBER(MATCH(V741,{"Doryteuthis pealeii","Loligo vulgaris","Leptuca thayeri","Stylocheilus striatus","Ophryotrocha labronica"},0)),"N","Y")</f>
        <v>Y</v>
      </c>
      <c r="X1347" s="8"/>
      <c r="Y1347" s="8"/>
      <c r="Z1347" s="8" t="s">
        <v>177</v>
      </c>
      <c r="AA1347" s="8" t="s">
        <v>177</v>
      </c>
      <c r="AB1347" s="8" t="s">
        <v>71</v>
      </c>
      <c r="AC1347" s="8" t="s">
        <v>195</v>
      </c>
      <c r="AD1347" s="8" t="s">
        <v>52</v>
      </c>
      <c r="AE1347" s="8" t="s">
        <v>53</v>
      </c>
      <c r="AF1347" s="8" t="s">
        <v>52</v>
      </c>
      <c r="AG1347" s="8" t="s">
        <v>52</v>
      </c>
      <c r="AH1347" s="8" t="s">
        <v>64</v>
      </c>
      <c r="AI1347" s="8"/>
      <c r="AJ1347" s="8"/>
      <c r="AK1347" s="8">
        <v>3</v>
      </c>
      <c r="AL1347" s="8">
        <v>3</v>
      </c>
      <c r="AM1347" s="8"/>
      <c r="AN1347" s="8">
        <v>324</v>
      </c>
      <c r="AO1347" s="8">
        <v>22</v>
      </c>
      <c r="AP1347" s="8" t="s">
        <v>56</v>
      </c>
      <c r="AQ1347" s="8" t="s">
        <v>57</v>
      </c>
      <c r="AR1347" s="8">
        <v>8.25</v>
      </c>
      <c r="AS1347" s="8" t="s">
        <v>56</v>
      </c>
      <c r="AT1347" s="8" t="s">
        <v>56</v>
      </c>
      <c r="AU1347" s="8">
        <v>1762</v>
      </c>
      <c r="AV1347">
        <v>26</v>
      </c>
      <c r="AW1347" t="s">
        <v>56</v>
      </c>
      <c r="AX1347">
        <v>7.6</v>
      </c>
      <c r="AY1347" t="s">
        <v>56</v>
      </c>
      <c r="AZ1347" t="s">
        <v>56</v>
      </c>
      <c r="BA1347" s="8"/>
      <c r="BB1347" s="8">
        <f>LOG(AU1347)</f>
        <v>3.246005904076029</v>
      </c>
      <c r="BC1347" s="8">
        <v>18</v>
      </c>
      <c r="BD1347" s="8" t="s">
        <v>56</v>
      </c>
      <c r="BE1347" s="8" t="s">
        <v>56</v>
      </c>
      <c r="BF1347" s="8">
        <v>22</v>
      </c>
      <c r="BG1347" s="8" t="s">
        <v>56</v>
      </c>
      <c r="BH1347" s="8" t="s">
        <v>56</v>
      </c>
      <c r="BI1347" s="8">
        <v>1438</v>
      </c>
      <c r="BJ1347" s="8">
        <v>4</v>
      </c>
      <c r="BK1347" s="8" t="s">
        <v>56</v>
      </c>
      <c r="BL1347" s="8" t="s">
        <v>933</v>
      </c>
      <c r="BM1347" s="8" t="s">
        <v>473</v>
      </c>
      <c r="BN1347" s="8" t="s">
        <v>81</v>
      </c>
      <c r="BO1347" s="8" t="s">
        <v>82</v>
      </c>
      <c r="BP1347" s="8" t="s">
        <v>190</v>
      </c>
      <c r="BQ1347" s="8" t="s">
        <v>190</v>
      </c>
      <c r="BR1347" s="8" t="s">
        <v>84</v>
      </c>
      <c r="BS1347" s="8"/>
      <c r="BT1347" s="8">
        <v>96.12</v>
      </c>
      <c r="BU1347" s="8">
        <v>96.12</v>
      </c>
      <c r="BV1347" s="8">
        <v>3.01</v>
      </c>
      <c r="BW1347" s="8">
        <f>BV1347*SQRT(AK1347)</f>
        <v>5.21347293078232</v>
      </c>
      <c r="BX1347" s="8">
        <v>95.13</v>
      </c>
      <c r="BY1347" s="8">
        <v>95.13</v>
      </c>
      <c r="BZ1347" s="8">
        <v>3.62</v>
      </c>
      <c r="CA1347" s="8">
        <f>BZ1347*SQRT(AL1347)</f>
        <v>6.2700239233993358</v>
      </c>
      <c r="CB1347" s="8">
        <v>1</v>
      </c>
      <c r="CC1347" s="8">
        <v>1</v>
      </c>
      <c r="CD1347" s="8">
        <v>-0.01</v>
      </c>
      <c r="CE1347" s="8">
        <v>2.3999999999999998E-3</v>
      </c>
      <c r="CF1347" s="8" t="s">
        <v>1134</v>
      </c>
    </row>
    <row r="1348" spans="1:84" hidden="1" x14ac:dyDescent="0.2">
      <c r="A1348" s="8"/>
      <c r="B1348" s="8"/>
      <c r="C1348" s="8"/>
      <c r="D1348" s="8">
        <v>104</v>
      </c>
      <c r="E1348" s="8"/>
      <c r="F1348" s="8"/>
      <c r="G1348" t="s">
        <v>43</v>
      </c>
      <c r="H1348" s="8" t="s">
        <v>788</v>
      </c>
      <c r="I1348" s="8" t="s">
        <v>1130</v>
      </c>
      <c r="J1348" s="8">
        <v>2017</v>
      </c>
      <c r="K1348" s="8"/>
      <c r="L1348" s="8"/>
      <c r="M1348" s="8" t="s">
        <v>789</v>
      </c>
      <c r="N1348" s="8"/>
      <c r="O1348" s="8"/>
      <c r="P1348" t="s">
        <v>1135</v>
      </c>
      <c r="Q1348" s="8"/>
      <c r="R1348" s="8" t="s">
        <v>1127</v>
      </c>
      <c r="S1348" t="s">
        <v>1128</v>
      </c>
      <c r="T1348" s="8" t="s">
        <v>46</v>
      </c>
      <c r="U1348" s="8" t="s">
        <v>794</v>
      </c>
      <c r="V1348" s="8" t="s">
        <v>796</v>
      </c>
      <c r="W1348" s="8" t="str">
        <f>IF(ISNUMBER(MATCH(#REF!,{"Doryteuthis pealeii","Loligo vulgaris","Leptuca thayeri","Stylocheilus striatus","Ophryotrocha labronica"},0)),"N","Y")</f>
        <v>Y</v>
      </c>
      <c r="X1348" s="8"/>
      <c r="Y1348" s="8"/>
      <c r="Z1348" s="8" t="s">
        <v>49</v>
      </c>
      <c r="AA1348" s="8" t="s">
        <v>49</v>
      </c>
      <c r="AB1348" s="8" t="s">
        <v>71</v>
      </c>
      <c r="AC1348" s="8" t="s">
        <v>195</v>
      </c>
      <c r="AD1348" s="8" t="s">
        <v>52</v>
      </c>
      <c r="AE1348" s="8" t="s">
        <v>53</v>
      </c>
      <c r="AF1348" s="8" t="s">
        <v>54</v>
      </c>
      <c r="AG1348" s="8" t="s">
        <v>52</v>
      </c>
      <c r="AH1348" s="8" t="s">
        <v>65</v>
      </c>
      <c r="AI1348" s="8"/>
      <c r="AJ1348" s="8"/>
      <c r="AK1348" s="8">
        <v>4</v>
      </c>
      <c r="AL1348" s="8">
        <v>4</v>
      </c>
      <c r="AM1348" s="8" t="s">
        <v>793</v>
      </c>
      <c r="AN1348" s="8">
        <v>441</v>
      </c>
      <c r="AO1348" s="8" t="s">
        <v>56</v>
      </c>
      <c r="AP1348" s="8" t="s">
        <v>56</v>
      </c>
      <c r="AQ1348" s="8" t="s">
        <v>118</v>
      </c>
      <c r="AR1348" s="8">
        <v>8.1199999999999992</v>
      </c>
      <c r="AS1348" s="8" t="s">
        <v>56</v>
      </c>
      <c r="AT1348" s="8" t="s">
        <v>56</v>
      </c>
      <c r="AU1348" s="8">
        <v>441</v>
      </c>
      <c r="AV1348" t="s">
        <v>56</v>
      </c>
      <c r="AW1348" t="s">
        <v>56</v>
      </c>
      <c r="AX1348">
        <v>8.14</v>
      </c>
      <c r="AY1348" t="s">
        <v>56</v>
      </c>
      <c r="AZ1348" t="s">
        <v>56</v>
      </c>
      <c r="BA1348" s="8"/>
      <c r="BB1348" s="8">
        <f>LOG(AU1348)</f>
        <v>2.6444385894678386</v>
      </c>
      <c r="BC1348" s="8">
        <v>17.5</v>
      </c>
      <c r="BD1348" s="8" t="s">
        <v>56</v>
      </c>
      <c r="BE1348" s="8" t="s">
        <v>56</v>
      </c>
      <c r="BF1348" s="8">
        <v>27</v>
      </c>
      <c r="BG1348" s="8" t="s">
        <v>56</v>
      </c>
      <c r="BH1348" s="8" t="s">
        <v>56</v>
      </c>
      <c r="BI1348" s="8">
        <v>0</v>
      </c>
      <c r="BJ1348" s="8">
        <v>10</v>
      </c>
      <c r="BK1348" s="8" t="s">
        <v>56</v>
      </c>
      <c r="BL1348" s="8" t="s">
        <v>792</v>
      </c>
      <c r="BM1348" s="8" t="s">
        <v>86</v>
      </c>
      <c r="BN1348" s="8" t="s">
        <v>81</v>
      </c>
      <c r="BO1348" s="8" t="s">
        <v>82</v>
      </c>
      <c r="BP1348" s="8" t="s">
        <v>9</v>
      </c>
      <c r="BQ1348" s="8" t="s">
        <v>9</v>
      </c>
      <c r="BR1348" s="8" t="s">
        <v>84</v>
      </c>
      <c r="BS1348" s="8"/>
      <c r="BT1348" s="8">
        <v>86.75</v>
      </c>
      <c r="BU1348" s="8">
        <v>86.754966999999994</v>
      </c>
      <c r="BV1348" s="8">
        <v>2.6490070000000001</v>
      </c>
      <c r="BW1348" s="8">
        <f>BV1348*SQRT(AK1348)</f>
        <v>5.2980140000000002</v>
      </c>
      <c r="BX1348" s="8">
        <v>0</v>
      </c>
      <c r="BY1348" s="8">
        <v>0.86754969999999998</v>
      </c>
      <c r="BZ1348" s="8">
        <v>0</v>
      </c>
      <c r="CA1348" s="8">
        <f>BZ1348*SQRT(AL1348)</f>
        <v>0</v>
      </c>
      <c r="CB1348" s="8">
        <v>1</v>
      </c>
      <c r="CC1348" s="8">
        <v>4</v>
      </c>
      <c r="CD1348" s="8">
        <v>-4.6050000000000004</v>
      </c>
      <c r="CE1348" s="8">
        <v>8.9999999999999998E-4</v>
      </c>
      <c r="CF1348" s="8" t="s">
        <v>1134</v>
      </c>
    </row>
    <row r="1349" spans="1:84" hidden="1" x14ac:dyDescent="0.2">
      <c r="A1349" s="8"/>
      <c r="B1349" s="8"/>
      <c r="C1349" s="8"/>
      <c r="D1349" s="8">
        <v>104</v>
      </c>
      <c r="E1349" s="8"/>
      <c r="F1349" s="8"/>
      <c r="G1349" t="s">
        <v>43</v>
      </c>
      <c r="H1349" s="8" t="s">
        <v>788</v>
      </c>
      <c r="I1349" s="8" t="s">
        <v>1130</v>
      </c>
      <c r="J1349" s="8">
        <v>2017</v>
      </c>
      <c r="K1349" s="8"/>
      <c r="L1349" s="8"/>
      <c r="M1349" s="8" t="s">
        <v>789</v>
      </c>
      <c r="N1349" s="8"/>
      <c r="O1349" s="8"/>
      <c r="P1349" t="s">
        <v>1135</v>
      </c>
      <c r="Q1349" s="8"/>
      <c r="R1349" s="8" t="s">
        <v>1127</v>
      </c>
      <c r="S1349" t="s">
        <v>1128</v>
      </c>
      <c r="T1349" s="8" t="s">
        <v>46</v>
      </c>
      <c r="U1349" s="8" t="s">
        <v>794</v>
      </c>
      <c r="V1349" s="8" t="s">
        <v>796</v>
      </c>
      <c r="W1349" s="8" t="str">
        <f>IF(ISNUMBER(MATCH(#REF!,{"Doryteuthis pealeii","Loligo vulgaris","Leptuca thayeri","Stylocheilus striatus","Ophryotrocha labronica"},0)),"N","Y")</f>
        <v>Y</v>
      </c>
      <c r="X1349" s="8"/>
      <c r="Y1349" s="8"/>
      <c r="Z1349" s="8" t="s">
        <v>49</v>
      </c>
      <c r="AA1349" s="8" t="s">
        <v>49</v>
      </c>
      <c r="AB1349" s="8" t="s">
        <v>71</v>
      </c>
      <c r="AC1349" s="8" t="s">
        <v>195</v>
      </c>
      <c r="AD1349" s="8" t="s">
        <v>52</v>
      </c>
      <c r="AE1349" s="8" t="s">
        <v>53</v>
      </c>
      <c r="AF1349" s="8" t="s">
        <v>52</v>
      </c>
      <c r="AG1349" s="8" t="s">
        <v>54</v>
      </c>
      <c r="AH1349" s="8" t="s">
        <v>55</v>
      </c>
      <c r="AI1349" s="8"/>
      <c r="AJ1349" s="8"/>
      <c r="AK1349" s="8">
        <v>4</v>
      </c>
      <c r="AL1349" s="8">
        <v>4</v>
      </c>
      <c r="AM1349" s="8" t="s">
        <v>793</v>
      </c>
      <c r="AN1349" s="8">
        <v>441</v>
      </c>
      <c r="AO1349" s="8" t="s">
        <v>56</v>
      </c>
      <c r="AP1349" s="8" t="s">
        <v>56</v>
      </c>
      <c r="AQ1349" s="8" t="s">
        <v>118</v>
      </c>
      <c r="AR1349" s="8">
        <v>8.1199999999999992</v>
      </c>
      <c r="AS1349" s="8" t="s">
        <v>56</v>
      </c>
      <c r="AT1349" s="8" t="s">
        <v>56</v>
      </c>
      <c r="AU1349" s="8">
        <v>912</v>
      </c>
      <c r="AV1349" t="s">
        <v>56</v>
      </c>
      <c r="AW1349" t="s">
        <v>56</v>
      </c>
      <c r="AX1349">
        <v>7.87</v>
      </c>
      <c r="AY1349" t="s">
        <v>56</v>
      </c>
      <c r="AZ1349" t="s">
        <v>56</v>
      </c>
      <c r="BA1349" s="8"/>
      <c r="BB1349" s="8">
        <f>LOG(AU1349)</f>
        <v>2.959994838328416</v>
      </c>
      <c r="BC1349" s="8">
        <v>17.5</v>
      </c>
      <c r="BD1349" s="8" t="s">
        <v>56</v>
      </c>
      <c r="BE1349" s="8" t="s">
        <v>56</v>
      </c>
      <c r="BF1349" s="8">
        <v>27</v>
      </c>
      <c r="BG1349" s="8" t="s">
        <v>56</v>
      </c>
      <c r="BH1349" s="8" t="s">
        <v>56</v>
      </c>
      <c r="BI1349" s="8">
        <v>471</v>
      </c>
      <c r="BJ1349" s="8">
        <v>10</v>
      </c>
      <c r="BK1349" s="8" t="s">
        <v>56</v>
      </c>
      <c r="BL1349" s="8" t="s">
        <v>792</v>
      </c>
      <c r="BM1349" s="8" t="s">
        <v>86</v>
      </c>
      <c r="BN1349" s="8" t="s">
        <v>81</v>
      </c>
      <c r="BO1349" s="8" t="s">
        <v>82</v>
      </c>
      <c r="BP1349" s="8" t="s">
        <v>9</v>
      </c>
      <c r="BQ1349" s="8" t="s">
        <v>83</v>
      </c>
      <c r="BR1349" s="8" t="s">
        <v>84</v>
      </c>
      <c r="BS1349" s="8"/>
      <c r="BT1349" s="8">
        <v>86.75</v>
      </c>
      <c r="BU1349" s="8">
        <v>86.754966999999994</v>
      </c>
      <c r="BV1349" s="8">
        <v>2.6490070000000001</v>
      </c>
      <c r="BW1349" s="8">
        <f>BV1349*SQRT(AK1349)</f>
        <v>5.2980140000000002</v>
      </c>
      <c r="BX1349" s="8">
        <v>0</v>
      </c>
      <c r="BY1349" s="8">
        <v>0.86754969999999998</v>
      </c>
      <c r="BZ1349" s="8">
        <v>0</v>
      </c>
      <c r="CA1349" s="8">
        <f>BZ1349*SQRT(AL1349)</f>
        <v>0</v>
      </c>
      <c r="CB1349" s="8">
        <v>1</v>
      </c>
      <c r="CC1349" s="8">
        <v>4</v>
      </c>
      <c r="CD1349" s="8">
        <v>-4.6050000000000004</v>
      </c>
      <c r="CE1349" s="8">
        <v>8.9999999999999998E-4</v>
      </c>
      <c r="CF1349" s="8" t="s">
        <v>1134</v>
      </c>
    </row>
    <row r="1350" spans="1:84" hidden="1" x14ac:dyDescent="0.2">
      <c r="A1350" s="8"/>
      <c r="B1350" s="8"/>
      <c r="C1350" s="8"/>
      <c r="D1350" s="8">
        <v>104</v>
      </c>
      <c r="E1350" s="8"/>
      <c r="F1350" s="8"/>
      <c r="G1350" t="s">
        <v>43</v>
      </c>
      <c r="H1350" s="8" t="s">
        <v>788</v>
      </c>
      <c r="I1350" s="8" t="s">
        <v>1130</v>
      </c>
      <c r="J1350" s="8">
        <v>2017</v>
      </c>
      <c r="K1350" s="8"/>
      <c r="L1350" s="8"/>
      <c r="M1350" s="8" t="s">
        <v>789</v>
      </c>
      <c r="N1350" s="8"/>
      <c r="O1350" s="8"/>
      <c r="P1350" t="s">
        <v>1135</v>
      </c>
      <c r="Q1350" s="8"/>
      <c r="R1350" s="8" t="s">
        <v>1127</v>
      </c>
      <c r="S1350" t="s">
        <v>1128</v>
      </c>
      <c r="T1350" s="8" t="s">
        <v>46</v>
      </c>
      <c r="U1350" s="8" t="s">
        <v>797</v>
      </c>
      <c r="V1350" s="8" t="s">
        <v>798</v>
      </c>
      <c r="W1350" s="8" t="str">
        <f>IF(ISNUMBER(MATCH(#REF!,{"Doryteuthis pealeii","Loligo vulgaris","Leptuca thayeri","Stylocheilus striatus","Ophryotrocha labronica"},0)),"N","Y")</f>
        <v>Y</v>
      </c>
      <c r="X1350" s="8"/>
      <c r="Y1350" s="8"/>
      <c r="Z1350" s="8" t="s">
        <v>475</v>
      </c>
      <c r="AA1350" s="8" t="s">
        <v>475</v>
      </c>
      <c r="AB1350" s="8" t="s">
        <v>71</v>
      </c>
      <c r="AC1350" s="8" t="s">
        <v>195</v>
      </c>
      <c r="AD1350" s="8" t="s">
        <v>52</v>
      </c>
      <c r="AE1350" s="8" t="s">
        <v>53</v>
      </c>
      <c r="AF1350" s="8" t="s">
        <v>52</v>
      </c>
      <c r="AG1350" s="8" t="s">
        <v>54</v>
      </c>
      <c r="AH1350" s="8" t="s">
        <v>55</v>
      </c>
      <c r="AI1350" s="8"/>
      <c r="AJ1350" s="8"/>
      <c r="AK1350" s="8">
        <v>4</v>
      </c>
      <c r="AL1350" s="8">
        <v>4</v>
      </c>
      <c r="AM1350" s="8" t="s">
        <v>793</v>
      </c>
      <c r="AN1350" s="8">
        <v>454</v>
      </c>
      <c r="AO1350" s="8" t="s">
        <v>56</v>
      </c>
      <c r="AP1350" s="8" t="s">
        <v>56</v>
      </c>
      <c r="AQ1350" s="8" t="s">
        <v>118</v>
      </c>
      <c r="AR1350" s="8">
        <v>8.07</v>
      </c>
      <c r="AS1350" s="8" t="s">
        <v>56</v>
      </c>
      <c r="AT1350" s="8" t="s">
        <v>56</v>
      </c>
      <c r="AU1350" s="8">
        <v>946</v>
      </c>
      <c r="AV1350" t="s">
        <v>56</v>
      </c>
      <c r="AW1350" t="s">
        <v>56</v>
      </c>
      <c r="AX1350">
        <v>7.8</v>
      </c>
      <c r="AY1350" t="s">
        <v>56</v>
      </c>
      <c r="AZ1350" t="s">
        <v>56</v>
      </c>
      <c r="BA1350" s="8"/>
      <c r="BB1350" s="8">
        <f>LOG(AU1350)</f>
        <v>2.9758911364017928</v>
      </c>
      <c r="BC1350" s="8">
        <v>-1.1000000000000001</v>
      </c>
      <c r="BD1350" s="8" t="s">
        <v>56</v>
      </c>
      <c r="BE1350" s="8" t="s">
        <v>56</v>
      </c>
      <c r="BF1350" s="8">
        <v>5.7</v>
      </c>
      <c r="BG1350" s="8" t="s">
        <v>56</v>
      </c>
      <c r="BH1350" s="8" t="s">
        <v>56</v>
      </c>
      <c r="BI1350" s="8">
        <v>492</v>
      </c>
      <c r="BJ1350" s="8">
        <v>7</v>
      </c>
      <c r="BK1350" s="8" t="s">
        <v>56</v>
      </c>
      <c r="BL1350" s="8" t="s">
        <v>792</v>
      </c>
      <c r="BM1350" s="8" t="s">
        <v>86</v>
      </c>
      <c r="BN1350" s="8" t="s">
        <v>81</v>
      </c>
      <c r="BO1350" s="8" t="s">
        <v>82</v>
      </c>
      <c r="BP1350" s="8" t="s">
        <v>9</v>
      </c>
      <c r="BQ1350" s="8" t="s">
        <v>194</v>
      </c>
      <c r="BR1350" s="8" t="s">
        <v>84</v>
      </c>
      <c r="BS1350" s="8"/>
      <c r="BT1350" s="8">
        <v>88.74</v>
      </c>
      <c r="BU1350" s="8">
        <v>88.741721999999996</v>
      </c>
      <c r="BV1350" s="8">
        <v>2.6490070000000001</v>
      </c>
      <c r="BW1350" s="8">
        <f>BV1350*SQRT(AK1350)</f>
        <v>5.2980140000000002</v>
      </c>
      <c r="BX1350" s="8">
        <v>0</v>
      </c>
      <c r="BY1350" s="8">
        <v>0.88741720000000002</v>
      </c>
      <c r="BZ1350" s="8">
        <v>0</v>
      </c>
      <c r="CA1350" s="8">
        <f>BZ1350*SQRT(AL1350)</f>
        <v>0</v>
      </c>
      <c r="CB1350" s="8">
        <v>2</v>
      </c>
      <c r="CC1350" s="8">
        <v>4</v>
      </c>
      <c r="CD1350" s="8">
        <v>-4.6050000000000004</v>
      </c>
      <c r="CE1350" s="8">
        <v>8.9999999999999998E-4</v>
      </c>
      <c r="CF1350" s="8" t="s">
        <v>1134</v>
      </c>
    </row>
    <row r="1351" spans="1:84" hidden="1" x14ac:dyDescent="0.2">
      <c r="A1351" s="8"/>
      <c r="B1351" s="8"/>
      <c r="C1351" s="8"/>
      <c r="D1351" s="8">
        <v>104</v>
      </c>
      <c r="E1351" s="8"/>
      <c r="F1351" s="8"/>
      <c r="G1351" t="s">
        <v>43</v>
      </c>
      <c r="H1351" s="8" t="s">
        <v>788</v>
      </c>
      <c r="I1351" s="8" t="s">
        <v>1130</v>
      </c>
      <c r="J1351" s="8">
        <v>2017</v>
      </c>
      <c r="K1351" s="8"/>
      <c r="L1351" s="8"/>
      <c r="M1351" s="8" t="s">
        <v>789</v>
      </c>
      <c r="N1351" s="8"/>
      <c r="O1351" s="8"/>
      <c r="P1351" t="s">
        <v>1135</v>
      </c>
      <c r="Q1351" s="8"/>
      <c r="R1351" s="8" t="s">
        <v>1127</v>
      </c>
      <c r="S1351" t="s">
        <v>1128</v>
      </c>
      <c r="T1351" s="8" t="s">
        <v>46</v>
      </c>
      <c r="U1351" s="8" t="s">
        <v>797</v>
      </c>
      <c r="V1351" s="8" t="s">
        <v>798</v>
      </c>
      <c r="W1351" s="8" t="str">
        <f>IF(ISNUMBER(MATCH(#REF!,{"Doryteuthis pealeii","Loligo vulgaris","Leptuca thayeri","Stylocheilus striatus","Ophryotrocha labronica"},0)),"N","Y")</f>
        <v>Y</v>
      </c>
      <c r="X1351" s="8"/>
      <c r="Y1351" s="8"/>
      <c r="Z1351" s="8" t="s">
        <v>475</v>
      </c>
      <c r="AA1351" s="8" t="s">
        <v>475</v>
      </c>
      <c r="AB1351" s="8" t="s">
        <v>71</v>
      </c>
      <c r="AC1351" s="8" t="s">
        <v>195</v>
      </c>
      <c r="AD1351" s="8" t="s">
        <v>52</v>
      </c>
      <c r="AE1351" s="8" t="s">
        <v>53</v>
      </c>
      <c r="AF1351" s="8" t="s">
        <v>54</v>
      </c>
      <c r="AG1351" s="8" t="s">
        <v>52</v>
      </c>
      <c r="AH1351" s="8" t="s">
        <v>65</v>
      </c>
      <c r="AI1351" s="8"/>
      <c r="AJ1351" s="8"/>
      <c r="AK1351" s="8">
        <v>4</v>
      </c>
      <c r="AL1351" s="8">
        <v>4</v>
      </c>
      <c r="AM1351" s="8" t="s">
        <v>793</v>
      </c>
      <c r="AN1351" s="8">
        <v>454</v>
      </c>
      <c r="AO1351" s="8" t="s">
        <v>56</v>
      </c>
      <c r="AP1351" s="8" t="s">
        <v>56</v>
      </c>
      <c r="AQ1351" s="8" t="s">
        <v>118</v>
      </c>
      <c r="AR1351" s="8">
        <v>8.07</v>
      </c>
      <c r="AS1351" s="8" t="s">
        <v>56</v>
      </c>
      <c r="AT1351" s="8" t="s">
        <v>56</v>
      </c>
      <c r="AU1351" s="8">
        <v>454</v>
      </c>
      <c r="AV1351" t="s">
        <v>56</v>
      </c>
      <c r="AW1351" t="s">
        <v>56</v>
      </c>
      <c r="AX1351">
        <v>8.1</v>
      </c>
      <c r="AY1351" t="s">
        <v>56</v>
      </c>
      <c r="AZ1351" t="s">
        <v>56</v>
      </c>
      <c r="BA1351" s="8"/>
      <c r="BB1351" s="8">
        <f>LOG(AU1351)</f>
        <v>2.6570558528571038</v>
      </c>
      <c r="BC1351" s="8">
        <v>-1.1000000000000001</v>
      </c>
      <c r="BD1351" s="8" t="s">
        <v>56</v>
      </c>
      <c r="BE1351" s="8" t="s">
        <v>56</v>
      </c>
      <c r="BF1351" s="8">
        <v>5.7</v>
      </c>
      <c r="BG1351" s="8" t="s">
        <v>56</v>
      </c>
      <c r="BH1351" s="8" t="s">
        <v>56</v>
      </c>
      <c r="BI1351" s="8">
        <v>0</v>
      </c>
      <c r="BJ1351" s="8">
        <v>7</v>
      </c>
      <c r="BK1351" s="8" t="s">
        <v>56</v>
      </c>
      <c r="BL1351" s="8" t="s">
        <v>792</v>
      </c>
      <c r="BM1351" s="8" t="s">
        <v>86</v>
      </c>
      <c r="BN1351" s="8" t="s">
        <v>81</v>
      </c>
      <c r="BO1351" s="8" t="s">
        <v>82</v>
      </c>
      <c r="BP1351" s="8" t="s">
        <v>9</v>
      </c>
      <c r="BQ1351" s="8" t="s">
        <v>83</v>
      </c>
      <c r="BR1351" s="8" t="s">
        <v>84</v>
      </c>
      <c r="BS1351" s="8"/>
      <c r="BT1351" s="8">
        <v>88.74</v>
      </c>
      <c r="BU1351" s="8">
        <v>88.741721999999996</v>
      </c>
      <c r="BV1351" s="8">
        <v>2.6490070000000001</v>
      </c>
      <c r="BW1351" s="8">
        <f>BV1351*SQRT(AK1351)</f>
        <v>5.2980140000000002</v>
      </c>
      <c r="BX1351" s="8">
        <v>0</v>
      </c>
      <c r="BY1351" s="8">
        <v>0.88741720000000002</v>
      </c>
      <c r="BZ1351" s="8">
        <v>0</v>
      </c>
      <c r="CA1351" s="8">
        <f>BZ1351*SQRT(AL1351)</f>
        <v>0</v>
      </c>
      <c r="CB1351" s="8">
        <v>2</v>
      </c>
      <c r="CC1351" s="8">
        <v>4</v>
      </c>
      <c r="CD1351" s="8">
        <v>-4.6050000000000004</v>
      </c>
      <c r="CE1351" s="8">
        <v>8.9999999999999998E-4</v>
      </c>
      <c r="CF1351" s="8" t="s">
        <v>1134</v>
      </c>
    </row>
    <row r="1352" spans="1:84" hidden="1" x14ac:dyDescent="0.2">
      <c r="A1352" s="8"/>
      <c r="B1352" t="str">
        <f>ROW()-1&amp;"_AltersInvert"</f>
        <v>1351_AltersInvert</v>
      </c>
      <c r="C1352" t="str">
        <f>D1352&amp;"_"&amp;
SUBSTITUTE(TRIM(V1352)," ","_")&amp;"_"&amp;
TRIM(AC1352)&amp;"_"&amp;
"CO2"&amp;TEXT(AN1352,"0.00")&amp;"_"&amp;
"pH"&amp;TEXT(AR1352,"0.00")&amp;"_"&amp;
"T"&amp;TEXT(BC1352,"0.##")</f>
        <v>104_Sterechinus_neumayeri_EMBRYO_CO2454.00_pH8.07_T-1.1</v>
      </c>
      <c r="D1352" s="8">
        <v>104</v>
      </c>
      <c r="E1352" s="8"/>
      <c r="F1352" s="8"/>
      <c r="G1352" s="8" t="s">
        <v>43</v>
      </c>
      <c r="H1352" s="8" t="s">
        <v>788</v>
      </c>
      <c r="I1352" s="8" t="s">
        <v>1130</v>
      </c>
      <c r="J1352" s="8">
        <v>2017</v>
      </c>
      <c r="K1352" s="8"/>
      <c r="L1352" s="8"/>
      <c r="M1352" s="8" t="s">
        <v>789</v>
      </c>
      <c r="N1352" s="8"/>
      <c r="O1352" s="8"/>
      <c r="P1352" t="s">
        <v>1135</v>
      </c>
      <c r="Q1352" s="8"/>
      <c r="R1352" s="8" t="s">
        <v>1127</v>
      </c>
      <c r="S1352" t="s">
        <v>1128</v>
      </c>
      <c r="T1352" s="8" t="s">
        <v>46</v>
      </c>
      <c r="U1352" s="8" t="s">
        <v>797</v>
      </c>
      <c r="V1352" s="8" t="s">
        <v>798</v>
      </c>
      <c r="W1352" s="8" t="str">
        <f>IF(ISNUMBER(MATCH(V746,{"Doryteuthis pealeii","Loligo vulgaris","Leptuca thayeri","Stylocheilus striatus","Ophryotrocha labronica"},0)),"N","Y")</f>
        <v>Y</v>
      </c>
      <c r="X1352" s="8"/>
      <c r="Y1352" s="8"/>
      <c r="Z1352" s="8" t="s">
        <v>475</v>
      </c>
      <c r="AA1352" s="8" t="s">
        <v>475</v>
      </c>
      <c r="AB1352" s="8" t="s">
        <v>71</v>
      </c>
      <c r="AC1352" s="8" t="s">
        <v>195</v>
      </c>
      <c r="AD1352" s="8" t="s">
        <v>52</v>
      </c>
      <c r="AE1352" s="8" t="s">
        <v>53</v>
      </c>
      <c r="AF1352" s="8" t="s">
        <v>52</v>
      </c>
      <c r="AG1352" s="8" t="s">
        <v>54</v>
      </c>
      <c r="AH1352" s="8" t="s">
        <v>55</v>
      </c>
      <c r="AI1352" s="8"/>
      <c r="AJ1352" s="8"/>
      <c r="AK1352" s="8">
        <v>4</v>
      </c>
      <c r="AL1352" s="8">
        <v>4</v>
      </c>
      <c r="AM1352" s="8"/>
      <c r="AN1352" s="8">
        <v>454</v>
      </c>
      <c r="AO1352" s="8" t="s">
        <v>56</v>
      </c>
      <c r="AP1352" s="8" t="s">
        <v>56</v>
      </c>
      <c r="AQ1352" s="8" t="s">
        <v>118</v>
      </c>
      <c r="AR1352" s="8">
        <v>8.07</v>
      </c>
      <c r="AS1352" s="8" t="s">
        <v>56</v>
      </c>
      <c r="AT1352" s="8" t="s">
        <v>56</v>
      </c>
      <c r="AU1352" s="8">
        <v>946</v>
      </c>
      <c r="AV1352" t="s">
        <v>56</v>
      </c>
      <c r="AW1352" t="s">
        <v>56</v>
      </c>
      <c r="AX1352">
        <v>7.77</v>
      </c>
      <c r="AY1352" t="s">
        <v>56</v>
      </c>
      <c r="AZ1352" t="s">
        <v>56</v>
      </c>
      <c r="BA1352" s="8"/>
      <c r="BB1352" s="8">
        <f>LOG(AU1352)</f>
        <v>2.9758911364017928</v>
      </c>
      <c r="BC1352" s="8">
        <v>-1.1000000000000001</v>
      </c>
      <c r="BD1352" s="8" t="s">
        <v>56</v>
      </c>
      <c r="BE1352" s="8" t="s">
        <v>56</v>
      </c>
      <c r="BF1352" s="8">
        <v>-1.1000000000000001</v>
      </c>
      <c r="BG1352" s="8" t="s">
        <v>56</v>
      </c>
      <c r="BH1352" s="8" t="s">
        <v>56</v>
      </c>
      <c r="BI1352" s="8">
        <v>492</v>
      </c>
      <c r="BJ1352" s="8">
        <v>0</v>
      </c>
      <c r="BK1352" s="8" t="s">
        <v>56</v>
      </c>
      <c r="BL1352" s="8" t="s">
        <v>792</v>
      </c>
      <c r="BM1352" s="8" t="s">
        <v>86</v>
      </c>
      <c r="BN1352" s="8" t="s">
        <v>81</v>
      </c>
      <c r="BO1352" s="8" t="s">
        <v>82</v>
      </c>
      <c r="BP1352" s="8" t="s">
        <v>9</v>
      </c>
      <c r="BQ1352" s="8" t="s">
        <v>9</v>
      </c>
      <c r="BR1352" s="8" t="s">
        <v>84</v>
      </c>
      <c r="BS1352" s="8"/>
      <c r="BT1352" s="8">
        <v>88.74</v>
      </c>
      <c r="BU1352" s="8">
        <v>88.741721999999996</v>
      </c>
      <c r="BV1352" s="8">
        <v>2.65</v>
      </c>
      <c r="BW1352" s="8">
        <f>BV1352*SQRT(AK1352)</f>
        <v>5.3</v>
      </c>
      <c r="BX1352" s="8">
        <v>88.74</v>
      </c>
      <c r="BY1352" s="8">
        <v>88.741721900000002</v>
      </c>
      <c r="BZ1352" s="8">
        <v>1.99</v>
      </c>
      <c r="CA1352" s="8">
        <f>BZ1352*SQRT(AL1352)</f>
        <v>3.98</v>
      </c>
      <c r="CB1352" s="8">
        <v>2</v>
      </c>
      <c r="CC1352" s="8">
        <v>4</v>
      </c>
      <c r="CD1352" s="8">
        <v>0</v>
      </c>
      <c r="CE1352" s="8">
        <v>1.4E-3</v>
      </c>
      <c r="CF1352" s="8" t="s">
        <v>1134</v>
      </c>
    </row>
    <row r="1353" spans="1:84" hidden="1" x14ac:dyDescent="0.2">
      <c r="A1353" s="8"/>
      <c r="B1353" t="str">
        <f>ROW()-1&amp;"_AltersInvert"</f>
        <v>1352_AltersInvert</v>
      </c>
      <c r="C1353" t="str">
        <f>D1353&amp;"_"&amp;
SUBSTITUTE(TRIM(V1353)," ","_")&amp;"_"&amp;
TRIM(AC1353)&amp;"_"&amp;
"CO2"&amp;TEXT(AN1353,"0.00")&amp;"_"&amp;
"pH"&amp;TEXT(AR1353,"0.00")&amp;"_"&amp;
"T"&amp;TEXT(BC1353,"0.##")</f>
        <v>104_Fellaster_zelandiae_EMBRYO_CO2441.00_pH8.12_T17.5</v>
      </c>
      <c r="D1353" s="8">
        <v>104</v>
      </c>
      <c r="E1353" s="8"/>
      <c r="F1353" s="8"/>
      <c r="G1353" s="8" t="s">
        <v>43</v>
      </c>
      <c r="H1353" s="8" t="s">
        <v>788</v>
      </c>
      <c r="I1353" s="8" t="s">
        <v>1130</v>
      </c>
      <c r="J1353" s="8">
        <v>2017</v>
      </c>
      <c r="K1353" s="8"/>
      <c r="L1353" s="8"/>
      <c r="M1353" s="8" t="s">
        <v>789</v>
      </c>
      <c r="N1353" s="8"/>
      <c r="O1353" s="8"/>
      <c r="P1353" t="s">
        <v>1135</v>
      </c>
      <c r="Q1353" s="8"/>
      <c r="R1353" s="8" t="s">
        <v>1127</v>
      </c>
      <c r="S1353" t="s">
        <v>1128</v>
      </c>
      <c r="T1353" s="8" t="s">
        <v>46</v>
      </c>
      <c r="U1353" s="8" t="s">
        <v>794</v>
      </c>
      <c r="V1353" s="8" t="s">
        <v>796</v>
      </c>
      <c r="W1353" s="8" t="str">
        <f>IF(ISNUMBER(MATCH(V747,{"Doryteuthis pealeii","Loligo vulgaris","Leptuca thayeri","Stylocheilus striatus","Ophryotrocha labronica"},0)),"N","Y")</f>
        <v>Y</v>
      </c>
      <c r="X1353" s="8"/>
      <c r="Y1353" s="8"/>
      <c r="Z1353" s="8" t="s">
        <v>49</v>
      </c>
      <c r="AA1353" s="8" t="s">
        <v>49</v>
      </c>
      <c r="AB1353" s="8" t="s">
        <v>71</v>
      </c>
      <c r="AC1353" s="8" t="s">
        <v>195</v>
      </c>
      <c r="AD1353" s="8" t="s">
        <v>52</v>
      </c>
      <c r="AE1353" s="8" t="s">
        <v>53</v>
      </c>
      <c r="AF1353" s="8" t="s">
        <v>52</v>
      </c>
      <c r="AG1353" s="8" t="s">
        <v>54</v>
      </c>
      <c r="AH1353" s="8" t="s">
        <v>55</v>
      </c>
      <c r="AI1353" s="8"/>
      <c r="AJ1353" s="8"/>
      <c r="AK1353" s="8">
        <v>4</v>
      </c>
      <c r="AL1353" s="8">
        <v>4</v>
      </c>
      <c r="AM1353" s="8"/>
      <c r="AN1353" s="8">
        <v>441</v>
      </c>
      <c r="AO1353" s="8" t="s">
        <v>56</v>
      </c>
      <c r="AP1353" s="8" t="s">
        <v>56</v>
      </c>
      <c r="AQ1353" s="8" t="s">
        <v>118</v>
      </c>
      <c r="AR1353" s="8">
        <v>8.1199999999999992</v>
      </c>
      <c r="AS1353" s="8" t="s">
        <v>56</v>
      </c>
      <c r="AT1353" s="8" t="s">
        <v>56</v>
      </c>
      <c r="AU1353" s="8">
        <v>912</v>
      </c>
      <c r="AV1353" t="s">
        <v>56</v>
      </c>
      <c r="AW1353" t="s">
        <v>56</v>
      </c>
      <c r="AX1353">
        <v>7.84</v>
      </c>
      <c r="AY1353" t="s">
        <v>56</v>
      </c>
      <c r="AZ1353" t="s">
        <v>56</v>
      </c>
      <c r="BA1353" s="8"/>
      <c r="BB1353" s="8">
        <f>LOG(AU1353)</f>
        <v>2.959994838328416</v>
      </c>
      <c r="BC1353" s="8">
        <v>17.5</v>
      </c>
      <c r="BD1353" s="8" t="s">
        <v>56</v>
      </c>
      <c r="BE1353" s="8" t="s">
        <v>56</v>
      </c>
      <c r="BF1353" s="8">
        <v>17.5</v>
      </c>
      <c r="BG1353" s="8" t="s">
        <v>56</v>
      </c>
      <c r="BH1353" s="8" t="s">
        <v>56</v>
      </c>
      <c r="BI1353" s="8">
        <v>471</v>
      </c>
      <c r="BJ1353" s="8">
        <v>0</v>
      </c>
      <c r="BK1353" s="8" t="s">
        <v>56</v>
      </c>
      <c r="BL1353" s="8" t="s">
        <v>792</v>
      </c>
      <c r="BM1353" s="8" t="s">
        <v>86</v>
      </c>
      <c r="BN1353" s="8" t="s">
        <v>81</v>
      </c>
      <c r="BO1353" s="8" t="s">
        <v>82</v>
      </c>
      <c r="BP1353" s="8" t="s">
        <v>9</v>
      </c>
      <c r="BQ1353" s="8" t="s">
        <v>9</v>
      </c>
      <c r="BR1353" s="8" t="s">
        <v>84</v>
      </c>
      <c r="BS1353" s="8"/>
      <c r="BT1353" s="8">
        <v>86.75</v>
      </c>
      <c r="BU1353" s="8">
        <v>86.754966999999994</v>
      </c>
      <c r="BV1353" s="8">
        <v>2.65</v>
      </c>
      <c r="BW1353" s="8">
        <f>BV1353*SQRT(AK1353)</f>
        <v>5.3</v>
      </c>
      <c r="BX1353" s="8">
        <v>90.07</v>
      </c>
      <c r="BY1353" s="8">
        <v>90.066225200000005</v>
      </c>
      <c r="BZ1353" s="8">
        <v>0.66</v>
      </c>
      <c r="CA1353" s="8">
        <f>BZ1353*SQRT(AL1353)</f>
        <v>1.32</v>
      </c>
      <c r="CB1353" s="8">
        <v>1</v>
      </c>
      <c r="CC1353" s="8">
        <v>4</v>
      </c>
      <c r="CD1353" s="8">
        <v>3.6999999999999998E-2</v>
      </c>
      <c r="CE1353" s="8">
        <v>1E-3</v>
      </c>
      <c r="CF1353" s="8" t="s">
        <v>1134</v>
      </c>
    </row>
    <row r="1354" spans="1:84" hidden="1" x14ac:dyDescent="0.2">
      <c r="A1354" s="8"/>
      <c r="B1354" t="str">
        <f>ROW()-1&amp;"_AltersInvert"</f>
        <v>1353_AltersInvert</v>
      </c>
      <c r="C1354" t="str">
        <f>D1354&amp;"_"&amp;
SUBSTITUTE(TRIM(V1354)," ","_")&amp;"_"&amp;
TRIM(AC1354)&amp;"_"&amp;
"CO2"&amp;TEXT(AN1354,"0.00")&amp;"_"&amp;
"pH"&amp;TEXT(AR1354,"0.00")&amp;"_"&amp;
"T"&amp;TEXT(BC1354,"0.##")</f>
        <v>104_Sterechinus_neumayeri_EMBRYO_CO2454.00_pH8.07_T-1.1</v>
      </c>
      <c r="D1354" s="8">
        <v>104</v>
      </c>
      <c r="E1354" s="8"/>
      <c r="F1354" s="8"/>
      <c r="G1354" s="8" t="s">
        <v>43</v>
      </c>
      <c r="H1354" s="8" t="s">
        <v>788</v>
      </c>
      <c r="I1354" s="8" t="s">
        <v>1130</v>
      </c>
      <c r="J1354" s="8">
        <v>2017</v>
      </c>
      <c r="K1354" s="8"/>
      <c r="L1354" s="8"/>
      <c r="M1354" s="8" t="s">
        <v>789</v>
      </c>
      <c r="N1354" s="8"/>
      <c r="O1354" s="8"/>
      <c r="P1354" t="s">
        <v>1135</v>
      </c>
      <c r="Q1354" s="8"/>
      <c r="R1354" s="8" t="s">
        <v>1127</v>
      </c>
      <c r="S1354" t="s">
        <v>1128</v>
      </c>
      <c r="T1354" s="8" t="s">
        <v>46</v>
      </c>
      <c r="U1354" s="8" t="s">
        <v>797</v>
      </c>
      <c r="V1354" s="8" t="s">
        <v>798</v>
      </c>
      <c r="W1354" s="8" t="str">
        <f>IF(ISNUMBER(MATCH(V748,{"Doryteuthis pealeii","Loligo vulgaris","Leptuca thayeri","Stylocheilus striatus","Ophryotrocha labronica"},0)),"N","Y")</f>
        <v>Y</v>
      </c>
      <c r="X1354" s="8"/>
      <c r="Y1354" s="8"/>
      <c r="Z1354" s="8" t="s">
        <v>475</v>
      </c>
      <c r="AA1354" s="8" t="s">
        <v>475</v>
      </c>
      <c r="AB1354" s="8" t="s">
        <v>71</v>
      </c>
      <c r="AC1354" s="8" t="s">
        <v>195</v>
      </c>
      <c r="AD1354" s="8" t="s">
        <v>52</v>
      </c>
      <c r="AE1354" s="8" t="s">
        <v>53</v>
      </c>
      <c r="AF1354" s="8" t="s">
        <v>54</v>
      </c>
      <c r="AG1354" s="8" t="s">
        <v>52</v>
      </c>
      <c r="AH1354" s="8" t="s">
        <v>65</v>
      </c>
      <c r="AI1354" s="8"/>
      <c r="AJ1354" s="8"/>
      <c r="AK1354" s="8">
        <v>4</v>
      </c>
      <c r="AL1354" s="8">
        <v>4</v>
      </c>
      <c r="AM1354" s="8"/>
      <c r="AN1354" s="8">
        <v>454</v>
      </c>
      <c r="AO1354" s="8" t="s">
        <v>56</v>
      </c>
      <c r="AP1354" s="8" t="s">
        <v>56</v>
      </c>
      <c r="AQ1354" s="8" t="s">
        <v>118</v>
      </c>
      <c r="AR1354" s="8">
        <v>8.07</v>
      </c>
      <c r="AS1354" s="8" t="s">
        <v>56</v>
      </c>
      <c r="AT1354" s="8" t="s">
        <v>56</v>
      </c>
      <c r="AU1354" s="8">
        <v>454</v>
      </c>
      <c r="AV1354" t="s">
        <v>56</v>
      </c>
      <c r="AW1354" t="s">
        <v>56</v>
      </c>
      <c r="AX1354">
        <v>8.09</v>
      </c>
      <c r="AY1354" t="s">
        <v>56</v>
      </c>
      <c r="AZ1354" t="s">
        <v>56</v>
      </c>
      <c r="BA1354" s="8"/>
      <c r="BB1354" s="8">
        <f>LOG(AU1354)</f>
        <v>2.6570558528571038</v>
      </c>
      <c r="BC1354" s="8">
        <v>-1.1000000000000001</v>
      </c>
      <c r="BD1354" s="8" t="s">
        <v>56</v>
      </c>
      <c r="BE1354" s="8" t="s">
        <v>56</v>
      </c>
      <c r="BF1354" s="8">
        <v>3.3</v>
      </c>
      <c r="BG1354" s="8" t="s">
        <v>56</v>
      </c>
      <c r="BH1354" s="8" t="s">
        <v>56</v>
      </c>
      <c r="BI1354" s="8">
        <v>0</v>
      </c>
      <c r="BJ1354" s="8">
        <v>4.4000000000000004</v>
      </c>
      <c r="BK1354" s="8" t="s">
        <v>56</v>
      </c>
      <c r="BL1354" s="8" t="s">
        <v>792</v>
      </c>
      <c r="BM1354" s="8" t="s">
        <v>86</v>
      </c>
      <c r="BN1354" s="8" t="s">
        <v>81</v>
      </c>
      <c r="BO1354" s="8" t="s">
        <v>82</v>
      </c>
      <c r="BP1354" s="8" t="s">
        <v>9</v>
      </c>
      <c r="BQ1354" s="8" t="s">
        <v>194</v>
      </c>
      <c r="BR1354" s="8" t="s">
        <v>84</v>
      </c>
      <c r="BS1354" s="8"/>
      <c r="BT1354" s="8">
        <v>88.74</v>
      </c>
      <c r="BU1354" s="8">
        <v>88.741721999999996</v>
      </c>
      <c r="BV1354" s="8">
        <v>2.65</v>
      </c>
      <c r="BW1354" s="8">
        <f>BV1354*SQRT(AK1354)</f>
        <v>5.3</v>
      </c>
      <c r="BX1354" s="8">
        <v>9.93</v>
      </c>
      <c r="BY1354" s="8">
        <v>9.9337748000000001</v>
      </c>
      <c r="BZ1354" s="8">
        <v>1.99</v>
      </c>
      <c r="CA1354" s="8">
        <f>BZ1354*SQRT(AL1354)</f>
        <v>3.98</v>
      </c>
      <c r="CB1354" s="8">
        <v>2</v>
      </c>
      <c r="CC1354" s="8">
        <v>4</v>
      </c>
      <c r="CD1354" s="8">
        <v>-2.19</v>
      </c>
      <c r="CE1354" s="8">
        <v>4.0899999999999999E-2</v>
      </c>
      <c r="CF1354" s="8" t="s">
        <v>1134</v>
      </c>
    </row>
    <row r="1355" spans="1:84" hidden="1" x14ac:dyDescent="0.2">
      <c r="A1355" s="8"/>
      <c r="B1355" t="str">
        <f>ROW()-1&amp;"_AltersInvert"</f>
        <v>1354_AltersInvert</v>
      </c>
      <c r="C1355" t="str">
        <f>D1355&amp;"_"&amp;
SUBSTITUTE(TRIM(V1355)," ","_")&amp;"_"&amp;
TRIM(AC1355)&amp;"_"&amp;
"CO2"&amp;TEXT(AN1355,"0.00")&amp;"_"&amp;
"pH"&amp;TEXT(AR1355,"0.00")&amp;"_"&amp;
"T"&amp;TEXT(BC1355,"0.##")</f>
        <v>104_Sterechinus_neumayeri_EMBRYO_CO2454.00_pH8.07_T-1.1</v>
      </c>
      <c r="D1355" s="8">
        <v>104</v>
      </c>
      <c r="E1355" s="8"/>
      <c r="F1355" s="8"/>
      <c r="G1355" s="8" t="s">
        <v>43</v>
      </c>
      <c r="H1355" s="8" t="s">
        <v>788</v>
      </c>
      <c r="I1355" s="8" t="s">
        <v>1130</v>
      </c>
      <c r="J1355" s="8">
        <v>2017</v>
      </c>
      <c r="K1355" s="8"/>
      <c r="L1355" s="8"/>
      <c r="M1355" s="8" t="s">
        <v>789</v>
      </c>
      <c r="N1355" s="8"/>
      <c r="O1355" s="8"/>
      <c r="P1355" t="s">
        <v>1135</v>
      </c>
      <c r="Q1355" s="8"/>
      <c r="R1355" s="8" t="s">
        <v>1127</v>
      </c>
      <c r="S1355" t="s">
        <v>1128</v>
      </c>
      <c r="T1355" s="8" t="s">
        <v>46</v>
      </c>
      <c r="U1355" s="8" t="s">
        <v>797</v>
      </c>
      <c r="V1355" s="8" t="s">
        <v>798</v>
      </c>
      <c r="W1355" s="8" t="str">
        <f>IF(ISNUMBER(MATCH(V749,{"Doryteuthis pealeii","Loligo vulgaris","Leptuca thayeri","Stylocheilus striatus","Ophryotrocha labronica"},0)),"N","Y")</f>
        <v>Y</v>
      </c>
      <c r="X1355" s="8"/>
      <c r="Y1355" s="8"/>
      <c r="Z1355" s="8" t="s">
        <v>475</v>
      </c>
      <c r="AA1355" s="8" t="s">
        <v>475</v>
      </c>
      <c r="AB1355" s="8" t="s">
        <v>71</v>
      </c>
      <c r="AC1355" s="8" t="s">
        <v>195</v>
      </c>
      <c r="AD1355" s="8" t="s">
        <v>52</v>
      </c>
      <c r="AE1355" s="8" t="s">
        <v>53</v>
      </c>
      <c r="AF1355" s="8" t="s">
        <v>52</v>
      </c>
      <c r="AG1355" s="8" t="s">
        <v>52</v>
      </c>
      <c r="AH1355" s="8" t="s">
        <v>64</v>
      </c>
      <c r="AI1355" s="8"/>
      <c r="AJ1355" s="8"/>
      <c r="AK1355" s="8">
        <v>4</v>
      </c>
      <c r="AL1355" s="8">
        <v>4</v>
      </c>
      <c r="AM1355" s="8"/>
      <c r="AN1355" s="8">
        <v>454</v>
      </c>
      <c r="AO1355" s="8" t="s">
        <v>56</v>
      </c>
      <c r="AP1355" s="8" t="s">
        <v>56</v>
      </c>
      <c r="AQ1355" s="8" t="s">
        <v>118</v>
      </c>
      <c r="AR1355" s="8">
        <v>8.07</v>
      </c>
      <c r="AS1355" s="8" t="s">
        <v>56</v>
      </c>
      <c r="AT1355" s="8" t="s">
        <v>56</v>
      </c>
      <c r="AU1355" s="8">
        <v>946</v>
      </c>
      <c r="AV1355" t="s">
        <v>56</v>
      </c>
      <c r="AW1355" t="s">
        <v>56</v>
      </c>
      <c r="AX1355">
        <v>7.79</v>
      </c>
      <c r="AY1355" t="s">
        <v>56</v>
      </c>
      <c r="AZ1355" t="s">
        <v>56</v>
      </c>
      <c r="BA1355" s="8"/>
      <c r="BB1355" s="8">
        <f>LOG(AU1355)</f>
        <v>2.9758911364017928</v>
      </c>
      <c r="BC1355" s="8">
        <v>-1.1000000000000001</v>
      </c>
      <c r="BD1355" s="8" t="s">
        <v>56</v>
      </c>
      <c r="BE1355" s="8" t="s">
        <v>56</v>
      </c>
      <c r="BF1355" s="8">
        <v>3.3</v>
      </c>
      <c r="BG1355" s="8" t="s">
        <v>56</v>
      </c>
      <c r="BH1355" s="8" t="s">
        <v>56</v>
      </c>
      <c r="BI1355" s="8">
        <v>492</v>
      </c>
      <c r="BJ1355" s="8">
        <v>4.4000000000000004</v>
      </c>
      <c r="BK1355" s="8" t="s">
        <v>56</v>
      </c>
      <c r="BL1355" s="8" t="s">
        <v>792</v>
      </c>
      <c r="BM1355" s="8" t="s">
        <v>86</v>
      </c>
      <c r="BN1355" s="8" t="s">
        <v>81</v>
      </c>
      <c r="BO1355" s="8" t="s">
        <v>82</v>
      </c>
      <c r="BP1355" s="8" t="s">
        <v>9</v>
      </c>
      <c r="BQ1355" s="8" t="s">
        <v>194</v>
      </c>
      <c r="BR1355" s="8" t="s">
        <v>84</v>
      </c>
      <c r="BS1355" s="8"/>
      <c r="BT1355" s="8">
        <v>88.74</v>
      </c>
      <c r="BU1355" s="8">
        <v>88.741721999999996</v>
      </c>
      <c r="BV1355" s="8">
        <v>2.65</v>
      </c>
      <c r="BW1355" s="8">
        <f>BV1355*SQRT(AK1355)</f>
        <v>5.3</v>
      </c>
      <c r="BX1355" s="8">
        <v>7.28</v>
      </c>
      <c r="BY1355" s="8">
        <v>7.2847682000000002</v>
      </c>
      <c r="BZ1355" s="8">
        <v>1.32</v>
      </c>
      <c r="CA1355" s="8">
        <f>BZ1355*SQRT(AL1355)</f>
        <v>2.64</v>
      </c>
      <c r="CB1355" s="8">
        <v>2</v>
      </c>
      <c r="CC1355" s="8">
        <v>4</v>
      </c>
      <c r="CD1355" s="8">
        <v>-2.5</v>
      </c>
      <c r="CE1355" s="8">
        <v>3.39E-2</v>
      </c>
      <c r="CF1355" s="8" t="s">
        <v>1134</v>
      </c>
    </row>
    <row r="1356" spans="1:84" hidden="1" x14ac:dyDescent="0.2">
      <c r="B1356" t="str">
        <f>ROW()-1&amp;"_AltersInvert"</f>
        <v>1355_AltersInvert</v>
      </c>
      <c r="C1356" t="str">
        <f>D1356&amp;"_"&amp;
SUBSTITUTE(TRIM(V1356)," ","_")&amp;"_"&amp;
TRIM(AC1356)&amp;"_"&amp;
"CO2"&amp;TEXT(AN1356,"0.00")&amp;"_"&amp;
"pH"&amp;TEXT(AR1356,"0.00")&amp;"_"&amp;
"T"&amp;TEXT(BC1356,"0.##")</f>
        <v>62_Patiriella_regularis_LARVA_CO2423.00_pH8.15_T19.</v>
      </c>
      <c r="D1356">
        <v>62</v>
      </c>
      <c r="G1356" t="s">
        <v>43</v>
      </c>
      <c r="H1356" t="s">
        <v>601</v>
      </c>
      <c r="J1356">
        <v>2013</v>
      </c>
      <c r="M1356" t="s">
        <v>257</v>
      </c>
      <c r="P1356" t="s">
        <v>1135</v>
      </c>
      <c r="R1356" t="s">
        <v>1127</v>
      </c>
      <c r="S1356" t="s">
        <v>1128</v>
      </c>
      <c r="T1356" t="s">
        <v>46</v>
      </c>
      <c r="U1356" t="s">
        <v>602</v>
      </c>
      <c r="V1356" t="s">
        <v>603</v>
      </c>
      <c r="Z1356" t="s">
        <v>49</v>
      </c>
      <c r="AA1356" t="s">
        <v>49</v>
      </c>
      <c r="AB1356" t="s">
        <v>71</v>
      </c>
      <c r="AC1356" t="s">
        <v>72</v>
      </c>
      <c r="AD1356" t="s">
        <v>52</v>
      </c>
      <c r="AE1356" t="s">
        <v>53</v>
      </c>
      <c r="AF1356" t="s">
        <v>52</v>
      </c>
      <c r="AG1356" t="s">
        <v>54</v>
      </c>
      <c r="AH1356" t="s">
        <v>55</v>
      </c>
      <c r="AK1356">
        <v>7</v>
      </c>
      <c r="AL1356">
        <v>7</v>
      </c>
      <c r="AN1356">
        <v>423</v>
      </c>
      <c r="AO1356">
        <v>2</v>
      </c>
      <c r="AP1356" t="s">
        <v>56</v>
      </c>
      <c r="AQ1356" t="s">
        <v>118</v>
      </c>
      <c r="AR1356">
        <v>8.15</v>
      </c>
      <c r="AS1356" t="s">
        <v>56</v>
      </c>
      <c r="AT1356" t="s">
        <v>56</v>
      </c>
      <c r="AU1356">
        <v>1738</v>
      </c>
      <c r="AV1356">
        <v>6</v>
      </c>
      <c r="AW1356" t="s">
        <v>56</v>
      </c>
      <c r="AX1356">
        <v>7.6</v>
      </c>
      <c r="AY1356" t="s">
        <v>56</v>
      </c>
      <c r="AZ1356" t="s">
        <v>56</v>
      </c>
      <c r="BB1356">
        <f>LOG(AU1356)</f>
        <v>3.2400497721126476</v>
      </c>
      <c r="BC1356">
        <v>19</v>
      </c>
      <c r="BD1356" t="s">
        <v>56</v>
      </c>
      <c r="BE1356" t="s">
        <v>56</v>
      </c>
      <c r="BF1356">
        <v>19</v>
      </c>
      <c r="BG1356" t="s">
        <v>56</v>
      </c>
      <c r="BH1356" t="s">
        <v>56</v>
      </c>
      <c r="BI1356">
        <v>1315</v>
      </c>
      <c r="BJ1356">
        <v>0</v>
      </c>
      <c r="BK1356" t="s">
        <v>56</v>
      </c>
      <c r="BL1356" t="s">
        <v>86</v>
      </c>
      <c r="BM1356" t="s">
        <v>86</v>
      </c>
      <c r="BN1356" t="s">
        <v>81</v>
      </c>
      <c r="BO1356" t="s">
        <v>82</v>
      </c>
      <c r="BP1356" t="s">
        <v>9</v>
      </c>
      <c r="BQ1356" t="s">
        <v>9</v>
      </c>
      <c r="BR1356" t="s">
        <v>84</v>
      </c>
      <c r="BT1356">
        <v>96.05</v>
      </c>
      <c r="BU1356">
        <v>96.05</v>
      </c>
      <c r="BV1356">
        <v>2.0099999999999998</v>
      </c>
      <c r="BW1356">
        <f>BV1356*SQRT(AK1356)</f>
        <v>5.3179601352398267</v>
      </c>
      <c r="BX1356">
        <v>94.62</v>
      </c>
      <c r="BY1356">
        <v>94.62</v>
      </c>
      <c r="BZ1356">
        <v>2.86</v>
      </c>
      <c r="CA1356">
        <f>BZ1356*SQRT(AL1356)</f>
        <v>7.5668487496447288</v>
      </c>
      <c r="CB1356">
        <v>3</v>
      </c>
      <c r="CC1356">
        <v>7</v>
      </c>
      <c r="CD1356">
        <v>-1.4999999999999999E-2</v>
      </c>
      <c r="CE1356">
        <v>1.4E-3</v>
      </c>
      <c r="CF1356" s="8"/>
    </row>
    <row r="1357" spans="1:84" hidden="1" x14ac:dyDescent="0.2">
      <c r="B1357" t="str">
        <f>ROW()-1&amp;"_AltersInvert"</f>
        <v>1356_AltersInvert</v>
      </c>
      <c r="C1357" t="str">
        <f>D1357&amp;"_"&amp;
SUBSTITUTE(TRIM(V1357)," ","_")&amp;"_"&amp;
TRIM(AC1357)&amp;"_"&amp;
"CO2"&amp;TEXT(AN1357,"0.00")&amp;"_"&amp;
"pH"&amp;TEXT(AR1357,"0.00")&amp;"_"&amp;
"T"&amp;TEXT(BC1357,"0.##")</f>
        <v>62_Patiriella_regularis_LARVA_CO2423.00_pH8.15_T19.</v>
      </c>
      <c r="D1357">
        <v>62</v>
      </c>
      <c r="G1357" t="s">
        <v>43</v>
      </c>
      <c r="H1357" t="s">
        <v>601</v>
      </c>
      <c r="J1357">
        <v>2013</v>
      </c>
      <c r="M1357" t="s">
        <v>257</v>
      </c>
      <c r="P1357" t="s">
        <v>1135</v>
      </c>
      <c r="R1357" t="s">
        <v>1127</v>
      </c>
      <c r="S1357" t="s">
        <v>1128</v>
      </c>
      <c r="T1357" t="s">
        <v>46</v>
      </c>
      <c r="U1357" t="s">
        <v>602</v>
      </c>
      <c r="V1357" t="s">
        <v>603</v>
      </c>
      <c r="Z1357" t="s">
        <v>49</v>
      </c>
      <c r="AA1357" t="s">
        <v>49</v>
      </c>
      <c r="AB1357" t="s">
        <v>71</v>
      </c>
      <c r="AC1357" t="s">
        <v>72</v>
      </c>
      <c r="AD1357" t="s">
        <v>52</v>
      </c>
      <c r="AE1357" t="s">
        <v>53</v>
      </c>
      <c r="AF1357" t="s">
        <v>52</v>
      </c>
      <c r="AG1357" t="s">
        <v>54</v>
      </c>
      <c r="AH1357" t="s">
        <v>55</v>
      </c>
      <c r="AK1357">
        <v>7</v>
      </c>
      <c r="AL1357">
        <v>7</v>
      </c>
      <c r="AN1357">
        <v>423</v>
      </c>
      <c r="AO1357">
        <v>2</v>
      </c>
      <c r="AP1357" t="s">
        <v>56</v>
      </c>
      <c r="AQ1357" t="s">
        <v>118</v>
      </c>
      <c r="AR1357">
        <v>8.15</v>
      </c>
      <c r="AS1357" t="s">
        <v>56</v>
      </c>
      <c r="AT1357" t="s">
        <v>56</v>
      </c>
      <c r="AU1357">
        <v>1058</v>
      </c>
      <c r="AV1357">
        <v>4</v>
      </c>
      <c r="AW1357" t="s">
        <v>56</v>
      </c>
      <c r="AX1357">
        <v>7.8</v>
      </c>
      <c r="AY1357" t="s">
        <v>56</v>
      </c>
      <c r="AZ1357" t="s">
        <v>56</v>
      </c>
      <c r="BB1357">
        <f>LOG(AU1357)</f>
        <v>3.0244856676991669</v>
      </c>
      <c r="BC1357">
        <v>19</v>
      </c>
      <c r="BD1357" t="s">
        <v>56</v>
      </c>
      <c r="BE1357" t="s">
        <v>56</v>
      </c>
      <c r="BF1357">
        <v>19</v>
      </c>
      <c r="BG1357" t="s">
        <v>56</v>
      </c>
      <c r="BH1357" t="s">
        <v>56</v>
      </c>
      <c r="BI1357">
        <v>635</v>
      </c>
      <c r="BJ1357">
        <v>0</v>
      </c>
      <c r="BK1357" t="s">
        <v>56</v>
      </c>
      <c r="BL1357" t="s">
        <v>86</v>
      </c>
      <c r="BM1357" t="s">
        <v>86</v>
      </c>
      <c r="BN1357" t="s">
        <v>81</v>
      </c>
      <c r="BO1357" t="s">
        <v>82</v>
      </c>
      <c r="BP1357" t="s">
        <v>9</v>
      </c>
      <c r="BQ1357" t="s">
        <v>9</v>
      </c>
      <c r="BR1357" t="s">
        <v>84</v>
      </c>
      <c r="BT1357">
        <v>96.05</v>
      </c>
      <c r="BU1357">
        <v>96.05</v>
      </c>
      <c r="BV1357">
        <v>2.0099999999999998</v>
      </c>
      <c r="BW1357">
        <f>BV1357*SQRT(AK1357)</f>
        <v>5.3179601352398267</v>
      </c>
      <c r="BX1357">
        <v>95.79</v>
      </c>
      <c r="BY1357">
        <v>95.79</v>
      </c>
      <c r="BZ1357">
        <v>4.21</v>
      </c>
      <c r="CA1357">
        <f>BZ1357*SQRT(AL1357)</f>
        <v>11.138613019581927</v>
      </c>
      <c r="CB1357">
        <v>3</v>
      </c>
      <c r="CC1357">
        <v>7</v>
      </c>
      <c r="CD1357">
        <v>-3.0000000000000001E-3</v>
      </c>
      <c r="CE1357">
        <v>2.3999999999999998E-3</v>
      </c>
      <c r="CF1357" s="8"/>
    </row>
    <row r="1358" spans="1:84" hidden="1" x14ac:dyDescent="0.2">
      <c r="B1358" t="str">
        <f>ROW()-1&amp;"_AltersInvert"</f>
        <v>1357_AltersInvert</v>
      </c>
      <c r="C1358" t="str">
        <f>D1358&amp;"_"&amp;
SUBSTITUTE(TRIM(V1358)," ","_")&amp;"_"&amp;
TRIM(AC1358)&amp;"_"&amp;
"CO2"&amp;TEXT(AN1358,"0.00")&amp;"_"&amp;
"pH"&amp;TEXT(AR1358,"0.00")&amp;"_"&amp;
"T"&amp;TEXT(BC1358,"0.##")</f>
        <v>62_Patiriella_regularis_LARVA_CO2423.00_pH8.15_T19.</v>
      </c>
      <c r="D1358">
        <v>62</v>
      </c>
      <c r="G1358" t="s">
        <v>43</v>
      </c>
      <c r="H1358" t="s">
        <v>601</v>
      </c>
      <c r="J1358">
        <v>2013</v>
      </c>
      <c r="M1358" t="s">
        <v>257</v>
      </c>
      <c r="P1358" t="s">
        <v>1135</v>
      </c>
      <c r="R1358" t="s">
        <v>1127</v>
      </c>
      <c r="S1358" t="s">
        <v>1128</v>
      </c>
      <c r="T1358" t="s">
        <v>46</v>
      </c>
      <c r="U1358" t="s">
        <v>602</v>
      </c>
      <c r="V1358" t="s">
        <v>603</v>
      </c>
      <c r="Z1358" t="s">
        <v>49</v>
      </c>
      <c r="AA1358" t="s">
        <v>49</v>
      </c>
      <c r="AB1358" t="s">
        <v>71</v>
      </c>
      <c r="AC1358" t="s">
        <v>72</v>
      </c>
      <c r="AD1358" t="s">
        <v>52</v>
      </c>
      <c r="AE1358" t="s">
        <v>53</v>
      </c>
      <c r="AF1358" t="s">
        <v>54</v>
      </c>
      <c r="AG1358" t="s">
        <v>52</v>
      </c>
      <c r="AH1358" t="s">
        <v>65</v>
      </c>
      <c r="AK1358">
        <v>7</v>
      </c>
      <c r="AL1358">
        <v>7</v>
      </c>
      <c r="AN1358">
        <v>423</v>
      </c>
      <c r="AO1358">
        <v>2</v>
      </c>
      <c r="AP1358" t="s">
        <v>56</v>
      </c>
      <c r="AQ1358" t="s">
        <v>118</v>
      </c>
      <c r="AR1358">
        <v>8.15</v>
      </c>
      <c r="AS1358" t="s">
        <v>56</v>
      </c>
      <c r="AT1358" t="s">
        <v>56</v>
      </c>
      <c r="AU1358">
        <v>432</v>
      </c>
      <c r="AV1358">
        <v>2</v>
      </c>
      <c r="AW1358" t="s">
        <v>56</v>
      </c>
      <c r="AX1358">
        <v>8.15</v>
      </c>
      <c r="AY1358" t="s">
        <v>56</v>
      </c>
      <c r="AZ1358" t="s">
        <v>56</v>
      </c>
      <c r="BB1358">
        <f>LOG(AU1358)</f>
        <v>2.6354837468149119</v>
      </c>
      <c r="BC1358">
        <v>19</v>
      </c>
      <c r="BD1358" t="s">
        <v>56</v>
      </c>
      <c r="BE1358" t="s">
        <v>56</v>
      </c>
      <c r="BF1358">
        <v>23</v>
      </c>
      <c r="BG1358" t="s">
        <v>56</v>
      </c>
      <c r="BH1358" t="s">
        <v>56</v>
      </c>
      <c r="BI1358">
        <v>9</v>
      </c>
      <c r="BJ1358">
        <v>4</v>
      </c>
      <c r="BK1358" t="s">
        <v>56</v>
      </c>
      <c r="BL1358" t="s">
        <v>86</v>
      </c>
      <c r="BM1358" t="s">
        <v>86</v>
      </c>
      <c r="BN1358" t="s">
        <v>81</v>
      </c>
      <c r="BO1358" t="s">
        <v>82</v>
      </c>
      <c r="BP1358" t="s">
        <v>9</v>
      </c>
      <c r="BQ1358" t="s">
        <v>9</v>
      </c>
      <c r="BR1358" t="s">
        <v>84</v>
      </c>
      <c r="BT1358">
        <v>96.05</v>
      </c>
      <c r="BU1358">
        <v>96.05</v>
      </c>
      <c r="BV1358">
        <v>2.0099999999999998</v>
      </c>
      <c r="BW1358">
        <f>BV1358*SQRT(AK1358)</f>
        <v>5.3179601352398267</v>
      </c>
      <c r="BX1358">
        <v>77.47</v>
      </c>
      <c r="BY1358">
        <v>77.47</v>
      </c>
      <c r="BZ1358">
        <v>6.98</v>
      </c>
      <c r="CA1358">
        <f>BZ1358*SQRT(AL1358)</f>
        <v>18.467344151230844</v>
      </c>
      <c r="CB1358">
        <v>3</v>
      </c>
      <c r="CC1358">
        <v>7</v>
      </c>
      <c r="CD1358">
        <v>-0.215</v>
      </c>
      <c r="CE1358">
        <v>8.6E-3</v>
      </c>
      <c r="CF1358" s="8"/>
    </row>
    <row r="1359" spans="1:84" hidden="1" x14ac:dyDescent="0.2">
      <c r="B1359" t="str">
        <f>ROW()-1&amp;"_AltersInvert"</f>
        <v>1358_AltersInvert</v>
      </c>
      <c r="C1359" t="str">
        <f>D1359&amp;"_"&amp;
SUBSTITUTE(TRIM(V1359)," ","_")&amp;"_"&amp;
TRIM(AC1359)&amp;"_"&amp;
"CO2"&amp;TEXT(AN1359,"0.00")&amp;"_"&amp;
"pH"&amp;TEXT(AR1359,"0.00")&amp;"_"&amp;
"T"&amp;TEXT(BC1359,"0.##")</f>
        <v>62_Patiriella_regularis_LARVA_CO2423.00_pH8.15_T19.</v>
      </c>
      <c r="D1359">
        <v>62</v>
      </c>
      <c r="G1359" t="s">
        <v>43</v>
      </c>
      <c r="H1359" t="s">
        <v>601</v>
      </c>
      <c r="J1359">
        <v>2013</v>
      </c>
      <c r="M1359" t="s">
        <v>257</v>
      </c>
      <c r="P1359" t="s">
        <v>1135</v>
      </c>
      <c r="R1359" t="s">
        <v>1127</v>
      </c>
      <c r="S1359" t="s">
        <v>1128</v>
      </c>
      <c r="T1359" t="s">
        <v>46</v>
      </c>
      <c r="U1359" t="s">
        <v>602</v>
      </c>
      <c r="V1359" t="s">
        <v>603</v>
      </c>
      <c r="Z1359" t="s">
        <v>49</v>
      </c>
      <c r="AA1359" t="s">
        <v>49</v>
      </c>
      <c r="AB1359" t="s">
        <v>71</v>
      </c>
      <c r="AC1359" t="s">
        <v>72</v>
      </c>
      <c r="AD1359" t="s">
        <v>52</v>
      </c>
      <c r="AE1359" t="s">
        <v>53</v>
      </c>
      <c r="AF1359" t="s">
        <v>54</v>
      </c>
      <c r="AG1359" t="s">
        <v>52</v>
      </c>
      <c r="AH1359" t="s">
        <v>65</v>
      </c>
      <c r="AK1359">
        <v>7</v>
      </c>
      <c r="AL1359">
        <v>7</v>
      </c>
      <c r="AN1359">
        <v>423</v>
      </c>
      <c r="AO1359">
        <v>2</v>
      </c>
      <c r="AP1359" t="s">
        <v>56</v>
      </c>
      <c r="AQ1359" t="s">
        <v>118</v>
      </c>
      <c r="AR1359">
        <v>8.15</v>
      </c>
      <c r="AS1359" t="s">
        <v>56</v>
      </c>
      <c r="AT1359" t="s">
        <v>56</v>
      </c>
      <c r="AU1359">
        <v>427</v>
      </c>
      <c r="AV1359">
        <v>2</v>
      </c>
      <c r="AW1359" t="s">
        <v>56</v>
      </c>
      <c r="AX1359">
        <v>8.15</v>
      </c>
      <c r="AY1359" t="s">
        <v>56</v>
      </c>
      <c r="AZ1359" t="s">
        <v>56</v>
      </c>
      <c r="BB1359">
        <f>LOG(AU1359)</f>
        <v>2.6304278750250241</v>
      </c>
      <c r="BC1359">
        <v>19</v>
      </c>
      <c r="BD1359" t="s">
        <v>56</v>
      </c>
      <c r="BE1359" t="s">
        <v>56</v>
      </c>
      <c r="BF1359">
        <v>21</v>
      </c>
      <c r="BG1359" t="s">
        <v>56</v>
      </c>
      <c r="BH1359" t="s">
        <v>56</v>
      </c>
      <c r="BI1359">
        <v>4</v>
      </c>
      <c r="BJ1359">
        <v>2</v>
      </c>
      <c r="BK1359" t="s">
        <v>56</v>
      </c>
      <c r="BL1359" t="s">
        <v>86</v>
      </c>
      <c r="BM1359" t="s">
        <v>86</v>
      </c>
      <c r="BN1359" t="s">
        <v>81</v>
      </c>
      <c r="BO1359" t="s">
        <v>82</v>
      </c>
      <c r="BP1359" t="s">
        <v>9</v>
      </c>
      <c r="BQ1359" t="s">
        <v>9</v>
      </c>
      <c r="BR1359" t="s">
        <v>84</v>
      </c>
      <c r="BT1359">
        <v>96.05</v>
      </c>
      <c r="BU1359">
        <v>96.05</v>
      </c>
      <c r="BV1359">
        <v>2.0099999999999998</v>
      </c>
      <c r="BW1359">
        <f>BV1359*SQRT(AK1359)</f>
        <v>5.3179601352398267</v>
      </c>
      <c r="BX1359">
        <v>83.02</v>
      </c>
      <c r="BY1359">
        <v>83.02</v>
      </c>
      <c r="BZ1359">
        <v>4.54</v>
      </c>
      <c r="CA1359">
        <f>BZ1359*SQRT(AL1359)</f>
        <v>12.011710952233242</v>
      </c>
      <c r="CB1359">
        <v>3</v>
      </c>
      <c r="CC1359">
        <v>7</v>
      </c>
      <c r="CD1359">
        <v>-0.14599999999999999</v>
      </c>
      <c r="CE1359">
        <v>3.3999999999999998E-3</v>
      </c>
      <c r="CF1359" s="8"/>
    </row>
    <row r="1360" spans="1:84" hidden="1" x14ac:dyDescent="0.2">
      <c r="B1360" t="str">
        <f>ROW()-1&amp;"_AltersInvert"</f>
        <v>1359_AltersInvert</v>
      </c>
      <c r="C1360" t="str">
        <f>D1360&amp;"_"&amp;
SUBSTITUTE(TRIM(V1360)," ","_")&amp;"_"&amp;
TRIM(AC1360)&amp;"_"&amp;
"CO2"&amp;TEXT(AN1360,"0.00")&amp;"_"&amp;
"pH"&amp;TEXT(AR1360,"0.00")&amp;"_"&amp;
"T"&amp;TEXT(BC1360,"0.##")</f>
        <v>62_Patiriella_regularis_LARVA_CO2423.00_pH8.15_T19.</v>
      </c>
      <c r="D1360">
        <v>62</v>
      </c>
      <c r="G1360" t="s">
        <v>43</v>
      </c>
      <c r="H1360" t="s">
        <v>601</v>
      </c>
      <c r="J1360">
        <v>2013</v>
      </c>
      <c r="M1360" t="s">
        <v>257</v>
      </c>
      <c r="P1360" t="s">
        <v>1135</v>
      </c>
      <c r="R1360" t="s">
        <v>1127</v>
      </c>
      <c r="S1360" t="s">
        <v>1128</v>
      </c>
      <c r="T1360" t="s">
        <v>46</v>
      </c>
      <c r="U1360" t="s">
        <v>602</v>
      </c>
      <c r="V1360" t="s">
        <v>603</v>
      </c>
      <c r="Z1360" t="s">
        <v>49</v>
      </c>
      <c r="AA1360" t="s">
        <v>49</v>
      </c>
      <c r="AB1360" t="s">
        <v>71</v>
      </c>
      <c r="AC1360" t="s">
        <v>72</v>
      </c>
      <c r="AD1360" t="s">
        <v>52</v>
      </c>
      <c r="AE1360" t="s">
        <v>53</v>
      </c>
      <c r="AF1360" t="s">
        <v>52</v>
      </c>
      <c r="AG1360" t="s">
        <v>52</v>
      </c>
      <c r="AH1360" t="s">
        <v>64</v>
      </c>
      <c r="AK1360">
        <v>7</v>
      </c>
      <c r="AL1360">
        <v>7</v>
      </c>
      <c r="AN1360">
        <v>423</v>
      </c>
      <c r="AO1360">
        <v>2</v>
      </c>
      <c r="AP1360" t="s">
        <v>56</v>
      </c>
      <c r="AQ1360" t="s">
        <v>118</v>
      </c>
      <c r="AR1360">
        <v>8.15</v>
      </c>
      <c r="AS1360" t="s">
        <v>56</v>
      </c>
      <c r="AT1360" t="s">
        <v>56</v>
      </c>
      <c r="AU1360">
        <v>1076</v>
      </c>
      <c r="AV1360">
        <v>4</v>
      </c>
      <c r="AW1360" t="s">
        <v>56</v>
      </c>
      <c r="AX1360">
        <v>7.8</v>
      </c>
      <c r="AY1360" t="s">
        <v>56</v>
      </c>
      <c r="AZ1360" t="s">
        <v>56</v>
      </c>
      <c r="BB1360">
        <f>LOG(AU1360)</f>
        <v>3.0318122713303706</v>
      </c>
      <c r="BC1360">
        <v>19</v>
      </c>
      <c r="BD1360" t="s">
        <v>56</v>
      </c>
      <c r="BE1360" t="s">
        <v>56</v>
      </c>
      <c r="BF1360">
        <v>21</v>
      </c>
      <c r="BG1360" t="s">
        <v>56</v>
      </c>
      <c r="BH1360" t="s">
        <v>56</v>
      </c>
      <c r="BI1360">
        <v>653</v>
      </c>
      <c r="BJ1360">
        <v>2</v>
      </c>
      <c r="BK1360" t="s">
        <v>56</v>
      </c>
      <c r="BL1360" t="s">
        <v>86</v>
      </c>
      <c r="BM1360" t="s">
        <v>86</v>
      </c>
      <c r="BN1360" t="s">
        <v>81</v>
      </c>
      <c r="BO1360" t="s">
        <v>82</v>
      </c>
      <c r="BP1360" t="s">
        <v>9</v>
      </c>
      <c r="BQ1360" t="s">
        <v>9</v>
      </c>
      <c r="BR1360" t="s">
        <v>84</v>
      </c>
      <c r="BT1360">
        <v>96.05</v>
      </c>
      <c r="BU1360">
        <v>96.05</v>
      </c>
      <c r="BV1360">
        <v>2.0099999999999998</v>
      </c>
      <c r="BW1360">
        <f>BV1360*SQRT(AK1360)</f>
        <v>5.3179601352398267</v>
      </c>
      <c r="BX1360">
        <v>84.87</v>
      </c>
      <c r="BY1360">
        <v>84.87</v>
      </c>
      <c r="BZ1360">
        <v>3.7</v>
      </c>
      <c r="CA1360">
        <f>BZ1360*SQRT(AL1360)</f>
        <v>9.7892798509389856</v>
      </c>
      <c r="CB1360">
        <v>3</v>
      </c>
      <c r="CC1360">
        <v>7</v>
      </c>
      <c r="CD1360">
        <v>-0.124</v>
      </c>
      <c r="CE1360">
        <v>2.3E-3</v>
      </c>
      <c r="CF1360" s="8"/>
    </row>
    <row r="1361" spans="1:84" hidden="1" x14ac:dyDescent="0.2">
      <c r="B1361" t="str">
        <f>ROW()-1&amp;"_AltersInvert"</f>
        <v>1360_AltersInvert</v>
      </c>
      <c r="C1361" t="str">
        <f>D1361&amp;"_"&amp;
SUBSTITUTE(TRIM(V1361)," ","_")&amp;"_"&amp;
TRIM(AC1361)&amp;"_"&amp;
"CO2"&amp;TEXT(AN1361,"0.00")&amp;"_"&amp;
"pH"&amp;TEXT(AR1361,"0.00")&amp;"_"&amp;
"T"&amp;TEXT(BC1361,"0.##")</f>
        <v>62_Patiriella_regularis_LARVA_CO2423.00_pH8.15_T19.</v>
      </c>
      <c r="D1361">
        <v>62</v>
      </c>
      <c r="G1361" t="s">
        <v>43</v>
      </c>
      <c r="H1361" t="s">
        <v>601</v>
      </c>
      <c r="J1361">
        <v>2013</v>
      </c>
      <c r="M1361" t="s">
        <v>257</v>
      </c>
      <c r="P1361" t="s">
        <v>1135</v>
      </c>
      <c r="R1361" t="s">
        <v>1127</v>
      </c>
      <c r="S1361" t="s">
        <v>1128</v>
      </c>
      <c r="T1361" t="s">
        <v>46</v>
      </c>
      <c r="U1361" t="s">
        <v>602</v>
      </c>
      <c r="V1361" t="s">
        <v>603</v>
      </c>
      <c r="Z1361" t="s">
        <v>49</v>
      </c>
      <c r="AA1361" t="s">
        <v>49</v>
      </c>
      <c r="AB1361" t="s">
        <v>71</v>
      </c>
      <c r="AC1361" t="s">
        <v>72</v>
      </c>
      <c r="AD1361" t="s">
        <v>52</v>
      </c>
      <c r="AE1361" t="s">
        <v>53</v>
      </c>
      <c r="AF1361" t="s">
        <v>52</v>
      </c>
      <c r="AG1361" t="s">
        <v>52</v>
      </c>
      <c r="AH1361" t="s">
        <v>64</v>
      </c>
      <c r="AK1361">
        <v>7</v>
      </c>
      <c r="AL1361">
        <v>7</v>
      </c>
      <c r="AN1361">
        <v>423</v>
      </c>
      <c r="AO1361">
        <v>2</v>
      </c>
      <c r="AP1361" t="s">
        <v>56</v>
      </c>
      <c r="AQ1361" t="s">
        <v>118</v>
      </c>
      <c r="AR1361">
        <v>8.15</v>
      </c>
      <c r="AS1361" t="s">
        <v>56</v>
      </c>
      <c r="AT1361" t="s">
        <v>56</v>
      </c>
      <c r="AU1361">
        <v>1094</v>
      </c>
      <c r="AV1361">
        <v>4</v>
      </c>
      <c r="AW1361" t="s">
        <v>56</v>
      </c>
      <c r="AX1361">
        <v>7.8</v>
      </c>
      <c r="AY1361" t="s">
        <v>56</v>
      </c>
      <c r="AZ1361" t="s">
        <v>56</v>
      </c>
      <c r="BB1361">
        <f>LOG(AU1361)</f>
        <v>3.0390173219974121</v>
      </c>
      <c r="BC1361">
        <v>19</v>
      </c>
      <c r="BD1361" t="s">
        <v>56</v>
      </c>
      <c r="BE1361" t="s">
        <v>56</v>
      </c>
      <c r="BF1361">
        <v>23</v>
      </c>
      <c r="BG1361" t="s">
        <v>56</v>
      </c>
      <c r="BH1361" t="s">
        <v>56</v>
      </c>
      <c r="BI1361">
        <v>671</v>
      </c>
      <c r="BJ1361">
        <v>4</v>
      </c>
      <c r="BK1361" t="s">
        <v>56</v>
      </c>
      <c r="BL1361" t="s">
        <v>86</v>
      </c>
      <c r="BM1361" t="s">
        <v>86</v>
      </c>
      <c r="BN1361" t="s">
        <v>81</v>
      </c>
      <c r="BO1361" t="s">
        <v>82</v>
      </c>
      <c r="BP1361" t="s">
        <v>9</v>
      </c>
      <c r="BQ1361" t="s">
        <v>9</v>
      </c>
      <c r="BR1361" t="s">
        <v>84</v>
      </c>
      <c r="BT1361">
        <v>96.05</v>
      </c>
      <c r="BU1361">
        <v>96.05</v>
      </c>
      <c r="BV1361">
        <v>2.0099999999999998</v>
      </c>
      <c r="BW1361">
        <f>BV1361*SQRT(AK1361)</f>
        <v>5.3179601352398267</v>
      </c>
      <c r="BX1361">
        <v>85.79</v>
      </c>
      <c r="BY1361">
        <v>85.79</v>
      </c>
      <c r="BZ1361">
        <v>4.78</v>
      </c>
      <c r="CA1361">
        <f>BZ1361*SQRT(AL1361)</f>
        <v>12.646691266888745</v>
      </c>
      <c r="CB1361">
        <v>3</v>
      </c>
      <c r="CC1361">
        <v>7</v>
      </c>
      <c r="CD1361">
        <v>-0.113</v>
      </c>
      <c r="CE1361">
        <v>3.5000000000000001E-3</v>
      </c>
      <c r="CF1361" s="8"/>
    </row>
    <row r="1362" spans="1:84" hidden="1" x14ac:dyDescent="0.2">
      <c r="B1362" t="str">
        <f>ROW()-1&amp;"_AltersInvert"</f>
        <v>1361_AltersInvert</v>
      </c>
      <c r="C1362" t="str">
        <f>D1362&amp;"_"&amp;
SUBSTITUTE(TRIM(V1362)," ","_")&amp;"_"&amp;
TRIM(AC1362)&amp;"_"&amp;
"CO2"&amp;TEXT(AN1362,"0.00")&amp;"_"&amp;
"pH"&amp;TEXT(AR1362,"0.00")&amp;"_"&amp;
"T"&amp;TEXT(BC1362,"0.##")</f>
        <v>62_Patiriella_regularis_LARVA_CO2423.00_pH8.15_T19.</v>
      </c>
      <c r="D1362">
        <v>62</v>
      </c>
      <c r="G1362" t="s">
        <v>43</v>
      </c>
      <c r="H1362" t="s">
        <v>601</v>
      </c>
      <c r="J1362">
        <v>2013</v>
      </c>
      <c r="M1362" t="s">
        <v>257</v>
      </c>
      <c r="P1362" t="s">
        <v>1135</v>
      </c>
      <c r="R1362" t="s">
        <v>1127</v>
      </c>
      <c r="S1362" t="s">
        <v>1128</v>
      </c>
      <c r="T1362" t="s">
        <v>46</v>
      </c>
      <c r="U1362" t="s">
        <v>602</v>
      </c>
      <c r="V1362" t="s">
        <v>603</v>
      </c>
      <c r="Z1362" t="s">
        <v>49</v>
      </c>
      <c r="AA1362" t="s">
        <v>49</v>
      </c>
      <c r="AB1362" t="s">
        <v>71</v>
      </c>
      <c r="AC1362" t="s">
        <v>72</v>
      </c>
      <c r="AD1362" t="s">
        <v>52</v>
      </c>
      <c r="AE1362" t="s">
        <v>53</v>
      </c>
      <c r="AF1362" t="s">
        <v>52</v>
      </c>
      <c r="AG1362" t="s">
        <v>52</v>
      </c>
      <c r="AH1362" t="s">
        <v>64</v>
      </c>
      <c r="AK1362">
        <v>7</v>
      </c>
      <c r="AL1362">
        <v>7</v>
      </c>
      <c r="AN1362">
        <v>423</v>
      </c>
      <c r="AO1362">
        <v>2</v>
      </c>
      <c r="AP1362" t="s">
        <v>56</v>
      </c>
      <c r="AQ1362" t="s">
        <v>118</v>
      </c>
      <c r="AR1362">
        <v>8.15</v>
      </c>
      <c r="AS1362" t="s">
        <v>56</v>
      </c>
      <c r="AT1362" t="s">
        <v>56</v>
      </c>
      <c r="AU1362">
        <v>1772</v>
      </c>
      <c r="AV1362">
        <v>6</v>
      </c>
      <c r="AW1362" t="s">
        <v>56</v>
      </c>
      <c r="AX1362">
        <v>7.6</v>
      </c>
      <c r="AY1362" t="s">
        <v>56</v>
      </c>
      <c r="AZ1362" t="s">
        <v>56</v>
      </c>
      <c r="BB1362">
        <f>LOG(AU1362)</f>
        <v>3.248463717551032</v>
      </c>
      <c r="BC1362">
        <v>19</v>
      </c>
      <c r="BD1362" t="s">
        <v>56</v>
      </c>
      <c r="BE1362" t="s">
        <v>56</v>
      </c>
      <c r="BF1362">
        <v>21</v>
      </c>
      <c r="BG1362" t="s">
        <v>56</v>
      </c>
      <c r="BH1362" t="s">
        <v>56</v>
      </c>
      <c r="BI1362">
        <v>1349</v>
      </c>
      <c r="BJ1362">
        <v>2</v>
      </c>
      <c r="BK1362" t="s">
        <v>56</v>
      </c>
      <c r="BL1362" t="s">
        <v>86</v>
      </c>
      <c r="BM1362" t="s">
        <v>86</v>
      </c>
      <c r="BN1362" t="s">
        <v>81</v>
      </c>
      <c r="BO1362" t="s">
        <v>82</v>
      </c>
      <c r="BP1362" t="s">
        <v>9</v>
      </c>
      <c r="BQ1362" t="s">
        <v>9</v>
      </c>
      <c r="BR1362" t="s">
        <v>84</v>
      </c>
      <c r="BT1362">
        <v>96.05</v>
      </c>
      <c r="BU1362">
        <v>96.05</v>
      </c>
      <c r="BV1362">
        <v>2.0099999999999998</v>
      </c>
      <c r="BW1362">
        <f>BV1362*SQRT(AK1362)</f>
        <v>5.3179601352398267</v>
      </c>
      <c r="BX1362">
        <v>88.4</v>
      </c>
      <c r="BY1362">
        <v>88.4</v>
      </c>
      <c r="BZ1362">
        <v>4.12</v>
      </c>
      <c r="CA1362">
        <f>BZ1362*SQRT(AL1362)</f>
        <v>10.900495401586115</v>
      </c>
      <c r="CB1362">
        <v>3</v>
      </c>
      <c r="CC1362">
        <v>7</v>
      </c>
      <c r="CD1362">
        <v>-8.3000000000000004E-2</v>
      </c>
      <c r="CE1362">
        <v>2.5999999999999999E-3</v>
      </c>
      <c r="CF1362" s="8"/>
    </row>
    <row r="1363" spans="1:84" hidden="1" x14ac:dyDescent="0.2">
      <c r="B1363" t="str">
        <f>ROW()-1&amp;"_AltersInvert"</f>
        <v>1362_AltersInvert</v>
      </c>
      <c r="C1363" t="str">
        <f>D1363&amp;"_"&amp;
SUBSTITUTE(TRIM(V1363)," ","_")&amp;"_"&amp;
TRIM(AC1363)&amp;"_"&amp;
"CO2"&amp;TEXT(AN1363,"0.00")&amp;"_"&amp;
"pH"&amp;TEXT(AR1363,"0.00")&amp;"_"&amp;
"T"&amp;TEXT(BC1363,"0.##")</f>
        <v>62_Patiriella_regularis_LARVA_CO2423.00_pH8.15_T19.</v>
      </c>
      <c r="D1363">
        <v>62</v>
      </c>
      <c r="G1363" t="s">
        <v>43</v>
      </c>
      <c r="H1363" t="s">
        <v>601</v>
      </c>
      <c r="J1363">
        <v>2013</v>
      </c>
      <c r="M1363" t="s">
        <v>257</v>
      </c>
      <c r="P1363" t="s">
        <v>1135</v>
      </c>
      <c r="R1363" t="s">
        <v>1127</v>
      </c>
      <c r="S1363" t="s">
        <v>1128</v>
      </c>
      <c r="T1363" t="s">
        <v>46</v>
      </c>
      <c r="U1363" t="s">
        <v>602</v>
      </c>
      <c r="V1363" t="s">
        <v>603</v>
      </c>
      <c r="Z1363" t="s">
        <v>49</v>
      </c>
      <c r="AA1363" t="s">
        <v>49</v>
      </c>
      <c r="AB1363" t="s">
        <v>71</v>
      </c>
      <c r="AC1363" t="s">
        <v>72</v>
      </c>
      <c r="AD1363" t="s">
        <v>52</v>
      </c>
      <c r="AE1363" t="s">
        <v>53</v>
      </c>
      <c r="AF1363" t="s">
        <v>52</v>
      </c>
      <c r="AG1363" t="s">
        <v>52</v>
      </c>
      <c r="AH1363" t="s">
        <v>64</v>
      </c>
      <c r="AK1363">
        <v>7</v>
      </c>
      <c r="AL1363">
        <v>7</v>
      </c>
      <c r="AN1363">
        <v>423</v>
      </c>
      <c r="AO1363">
        <v>2</v>
      </c>
      <c r="AP1363" t="s">
        <v>56</v>
      </c>
      <c r="AQ1363" t="s">
        <v>118</v>
      </c>
      <c r="AR1363">
        <v>8.15</v>
      </c>
      <c r="AS1363" t="s">
        <v>56</v>
      </c>
      <c r="AT1363" t="s">
        <v>56</v>
      </c>
      <c r="AU1363">
        <v>1805</v>
      </c>
      <c r="AV1363">
        <v>6</v>
      </c>
      <c r="AW1363" t="s">
        <v>56</v>
      </c>
      <c r="AX1363">
        <v>7.6</v>
      </c>
      <c r="AY1363" t="s">
        <v>56</v>
      </c>
      <c r="AZ1363" t="s">
        <v>56</v>
      </c>
      <c r="BB1363">
        <f>LOG(AU1363)</f>
        <v>3.2564772062416769</v>
      </c>
      <c r="BC1363">
        <v>19</v>
      </c>
      <c r="BD1363" t="s">
        <v>56</v>
      </c>
      <c r="BE1363" t="s">
        <v>56</v>
      </c>
      <c r="BF1363">
        <v>23</v>
      </c>
      <c r="BG1363" t="s">
        <v>56</v>
      </c>
      <c r="BH1363" t="s">
        <v>56</v>
      </c>
      <c r="BI1363">
        <v>1382</v>
      </c>
      <c r="BJ1363">
        <v>4</v>
      </c>
      <c r="BK1363" t="s">
        <v>56</v>
      </c>
      <c r="BL1363" t="s">
        <v>86</v>
      </c>
      <c r="BM1363" t="s">
        <v>86</v>
      </c>
      <c r="BN1363" t="s">
        <v>81</v>
      </c>
      <c r="BO1363" t="s">
        <v>82</v>
      </c>
      <c r="BP1363" t="s">
        <v>9</v>
      </c>
      <c r="BQ1363" t="s">
        <v>9</v>
      </c>
      <c r="BR1363" t="s">
        <v>84</v>
      </c>
      <c r="BT1363">
        <v>96.05</v>
      </c>
      <c r="BU1363">
        <v>96.05</v>
      </c>
      <c r="BV1363">
        <v>2.0099999999999998</v>
      </c>
      <c r="BW1363">
        <f>BV1363*SQRT(AK1363)</f>
        <v>5.3179601352398267</v>
      </c>
      <c r="BX1363">
        <v>93.86</v>
      </c>
      <c r="BY1363">
        <v>93.86</v>
      </c>
      <c r="BZ1363">
        <v>1.26</v>
      </c>
      <c r="CA1363">
        <f>BZ1363*SQRT(AL1363)</f>
        <v>3.3336466519413843</v>
      </c>
      <c r="CB1363">
        <v>3</v>
      </c>
      <c r="CC1363">
        <v>7</v>
      </c>
      <c r="CD1363">
        <v>-2.3E-2</v>
      </c>
      <c r="CE1363">
        <v>5.9999999999999995E-4</v>
      </c>
      <c r="CF1363" s="8"/>
    </row>
    <row r="1364" spans="1:84" hidden="1" x14ac:dyDescent="0.2">
      <c r="A1364" s="8"/>
      <c r="B1364" t="str">
        <f>ROW()-1&amp;"_AltersInvert"</f>
        <v>1363_AltersInvert</v>
      </c>
      <c r="C1364" t="str">
        <f>D1364&amp;"_"&amp;
SUBSTITUTE(TRIM(V1364)," ","_")&amp;"_"&amp;
TRIM(AC1364)&amp;"_"&amp;
"CO2"&amp;TEXT(AN1364,"0.00")&amp;"_"&amp;
"pH"&amp;TEXT(AR1364,"0.00")&amp;"_"&amp;
"T"&amp;TEXT(BC1364,"0.##")</f>
        <v>212_Crassostrea_gigas_EMBRYO_CO2375.00_pH0.00_T18.</v>
      </c>
      <c r="D1364" s="8">
        <v>212</v>
      </c>
      <c r="E1364" s="8"/>
      <c r="F1364" s="8"/>
      <c r="G1364" s="8" t="s">
        <v>43</v>
      </c>
      <c r="H1364" s="8" t="s">
        <v>1063</v>
      </c>
      <c r="I1364" s="8"/>
      <c r="J1364" s="8">
        <v>2010</v>
      </c>
      <c r="K1364" s="8" t="s">
        <v>1075</v>
      </c>
      <c r="L1364" s="8"/>
      <c r="M1364" s="8" t="s">
        <v>67</v>
      </c>
      <c r="N1364" s="8"/>
      <c r="O1364" s="8"/>
      <c r="P1364" t="s">
        <v>1135</v>
      </c>
      <c r="Q1364" s="8"/>
      <c r="R1364" s="8" t="s">
        <v>1127</v>
      </c>
      <c r="S1364" t="s">
        <v>1128</v>
      </c>
      <c r="T1364" s="8" t="s">
        <v>68</v>
      </c>
      <c r="U1364" s="8" t="s">
        <v>167</v>
      </c>
      <c r="V1364" s="8" t="s">
        <v>168</v>
      </c>
      <c r="W1364" s="8" t="str">
        <f>IF(ISNUMBER(MATCH(V758,{"Doryteuthis pealeii","Loligo vulgaris","Leptuca thayeri","Stylocheilus striatus","Ophryotrocha labronica"},0)),"N","Y")</f>
        <v>Y</v>
      </c>
      <c r="X1364" s="8"/>
      <c r="Y1364" s="8"/>
      <c r="Z1364" s="8"/>
      <c r="AA1364" s="8"/>
      <c r="AB1364" s="8"/>
      <c r="AC1364" s="8" t="s">
        <v>195</v>
      </c>
      <c r="AD1364" s="8"/>
      <c r="AE1364" s="8"/>
      <c r="AF1364" s="8" t="s">
        <v>52</v>
      </c>
      <c r="AG1364" s="8" t="s">
        <v>54</v>
      </c>
      <c r="AH1364" s="8" t="s">
        <v>55</v>
      </c>
      <c r="AI1364" s="8"/>
      <c r="AJ1364" s="8"/>
      <c r="AK1364" s="8">
        <v>3</v>
      </c>
      <c r="AL1364" s="8">
        <v>3</v>
      </c>
      <c r="AM1364" s="8"/>
      <c r="AN1364" s="8">
        <v>375</v>
      </c>
      <c r="AO1364" s="8"/>
      <c r="AP1364" s="8"/>
      <c r="AQ1364" s="8"/>
      <c r="AR1364" s="8"/>
      <c r="AS1364" s="8"/>
      <c r="AT1364" s="8"/>
      <c r="AU1364" s="8">
        <v>1000</v>
      </c>
      <c r="BA1364" s="8"/>
      <c r="BB1364" s="8">
        <f>LOG(AU1364)</f>
        <v>3</v>
      </c>
      <c r="BC1364" s="8">
        <v>18</v>
      </c>
      <c r="BD1364" s="8"/>
      <c r="BE1364" s="8"/>
      <c r="BF1364" s="8">
        <v>18</v>
      </c>
      <c r="BG1364" s="8"/>
      <c r="BH1364" s="8"/>
      <c r="BI1364" s="8">
        <v>625</v>
      </c>
      <c r="BJ1364" s="8">
        <v>0</v>
      </c>
      <c r="BK1364" s="8" t="s">
        <v>1064</v>
      </c>
      <c r="BL1364" s="8" t="s">
        <v>933</v>
      </c>
      <c r="BM1364" s="8" t="s">
        <v>473</v>
      </c>
      <c r="BN1364" s="8" t="s">
        <v>81</v>
      </c>
      <c r="BO1364" s="8" t="s">
        <v>82</v>
      </c>
      <c r="BP1364" s="8" t="s">
        <v>190</v>
      </c>
      <c r="BQ1364" s="8" t="s">
        <v>190</v>
      </c>
      <c r="BR1364" s="8" t="s">
        <v>84</v>
      </c>
      <c r="BS1364" s="8"/>
      <c r="BT1364" s="8">
        <v>86.8</v>
      </c>
      <c r="BU1364" s="8">
        <v>86.798000000000002</v>
      </c>
      <c r="BV1364" s="8">
        <v>3.09</v>
      </c>
      <c r="BW1364" s="8">
        <f>BV1364*SQRT(AK1364)</f>
        <v>5.35203699538783</v>
      </c>
      <c r="BX1364" s="8">
        <v>67.14</v>
      </c>
      <c r="BY1364" s="8">
        <v>67.135000000000005</v>
      </c>
      <c r="BZ1364" s="8">
        <v>1.4</v>
      </c>
      <c r="CA1364" s="8">
        <f>BZ1364*SQRT(AL1364)</f>
        <v>2.4248711305964279</v>
      </c>
      <c r="CB1364" s="8">
        <v>0</v>
      </c>
      <c r="CC1364" s="8">
        <v>3</v>
      </c>
      <c r="CD1364" s="8">
        <v>-0.25700000000000001</v>
      </c>
      <c r="CE1364" s="8">
        <v>1.6999999999999999E-3</v>
      </c>
      <c r="CF1364" s="8" t="s">
        <v>1134</v>
      </c>
    </row>
    <row r="1365" spans="1:84" hidden="1" x14ac:dyDescent="0.2">
      <c r="D1365">
        <v>100</v>
      </c>
      <c r="G1365" t="s">
        <v>43</v>
      </c>
      <c r="H1365" t="s">
        <v>768</v>
      </c>
      <c r="J1365">
        <v>2015</v>
      </c>
      <c r="M1365" t="s">
        <v>769</v>
      </c>
      <c r="T1365" t="s">
        <v>68</v>
      </c>
      <c r="U1365" t="s">
        <v>770</v>
      </c>
      <c r="V1365" t="s">
        <v>771</v>
      </c>
      <c r="Z1365" t="s">
        <v>49</v>
      </c>
      <c r="AA1365" t="s">
        <v>49</v>
      </c>
      <c r="AB1365" t="s">
        <v>50</v>
      </c>
      <c r="AC1365" t="s">
        <v>108</v>
      </c>
      <c r="AD1365" t="s">
        <v>772</v>
      </c>
      <c r="AE1365" t="s">
        <v>53</v>
      </c>
      <c r="AF1365" t="s">
        <v>52</v>
      </c>
      <c r="AG1365" t="s">
        <v>54</v>
      </c>
      <c r="AH1365" t="s">
        <v>55</v>
      </c>
      <c r="AK1365">
        <v>29</v>
      </c>
      <c r="AL1365">
        <v>29</v>
      </c>
      <c r="AN1365">
        <v>592</v>
      </c>
      <c r="AO1365">
        <v>44</v>
      </c>
      <c r="AP1365" t="s">
        <v>56</v>
      </c>
      <c r="AQ1365" t="s">
        <v>109</v>
      </c>
      <c r="AR1365">
        <v>7.94</v>
      </c>
      <c r="AS1365">
        <v>0.03</v>
      </c>
      <c r="AT1365" t="s">
        <v>56</v>
      </c>
      <c r="AU1365">
        <v>1164</v>
      </c>
      <c r="AV1365">
        <v>156</v>
      </c>
      <c r="AW1365" t="s">
        <v>56</v>
      </c>
      <c r="AX1365">
        <v>7.7</v>
      </c>
      <c r="AY1365">
        <v>7.0000000000000007E-2</v>
      </c>
      <c r="AZ1365" t="s">
        <v>56</v>
      </c>
      <c r="BB1365">
        <f>LOG(AU1365)</f>
        <v>3.0659529803138699</v>
      </c>
      <c r="BC1365">
        <v>21.3</v>
      </c>
      <c r="BD1365">
        <v>0</v>
      </c>
      <c r="BE1365" t="s">
        <v>56</v>
      </c>
      <c r="BF1365">
        <v>21.3</v>
      </c>
      <c r="BG1365">
        <v>0</v>
      </c>
      <c r="BH1365" t="s">
        <v>56</v>
      </c>
      <c r="BI1365">
        <v>572</v>
      </c>
      <c r="BJ1365">
        <v>0</v>
      </c>
      <c r="BK1365" t="s">
        <v>56</v>
      </c>
      <c r="BL1365" t="s">
        <v>58</v>
      </c>
      <c r="BM1365" t="s">
        <v>59</v>
      </c>
      <c r="BN1365" t="s">
        <v>60</v>
      </c>
      <c r="BO1365" t="s">
        <v>773</v>
      </c>
      <c r="BP1365" t="s">
        <v>62</v>
      </c>
      <c r="BQ1365" s="8" t="s">
        <v>83</v>
      </c>
      <c r="BR1365" t="s">
        <v>63</v>
      </c>
      <c r="BT1365">
        <v>1.83</v>
      </c>
      <c r="BU1365">
        <v>1.8333330000000001</v>
      </c>
      <c r="BV1365">
        <v>0.49</v>
      </c>
      <c r="BW1365">
        <f>BV1365*SQRT(AK1365)</f>
        <v>2.638730755495907</v>
      </c>
      <c r="BX1365">
        <v>0.8</v>
      </c>
      <c r="BY1365">
        <v>0.7982456</v>
      </c>
      <c r="BZ1365">
        <v>0.11</v>
      </c>
      <c r="CA1365">
        <f>BZ1365*SQRT(AL1365)</f>
        <v>0.59236812878479539</v>
      </c>
      <c r="CB1365">
        <v>36</v>
      </c>
      <c r="CC1365">
        <v>5</v>
      </c>
      <c r="CD1365">
        <v>-0.83099999999999996</v>
      </c>
      <c r="CE1365">
        <v>9.2200000000000004E-2</v>
      </c>
    </row>
    <row r="1366" spans="1:84" hidden="1" x14ac:dyDescent="0.2">
      <c r="D1366">
        <v>100</v>
      </c>
      <c r="G1366" t="s">
        <v>43</v>
      </c>
      <c r="H1366" t="s">
        <v>768</v>
      </c>
      <c r="J1366">
        <v>2015</v>
      </c>
      <c r="M1366" t="s">
        <v>769</v>
      </c>
      <c r="T1366" t="s">
        <v>68</v>
      </c>
      <c r="U1366" t="s">
        <v>770</v>
      </c>
      <c r="V1366" t="s">
        <v>771</v>
      </c>
      <c r="Z1366" t="s">
        <v>49</v>
      </c>
      <c r="AA1366" t="s">
        <v>49</v>
      </c>
      <c r="AB1366" t="s">
        <v>50</v>
      </c>
      <c r="AC1366" t="s">
        <v>108</v>
      </c>
      <c r="AD1366" t="s">
        <v>772</v>
      </c>
      <c r="AE1366" t="s">
        <v>53</v>
      </c>
      <c r="AF1366" t="s">
        <v>54</v>
      </c>
      <c r="AG1366" t="s">
        <v>52</v>
      </c>
      <c r="AH1366" t="s">
        <v>65</v>
      </c>
      <c r="AK1366">
        <v>29</v>
      </c>
      <c r="AL1366">
        <v>29</v>
      </c>
      <c r="AN1366">
        <v>592</v>
      </c>
      <c r="AO1366">
        <v>44</v>
      </c>
      <c r="AP1366" t="s">
        <v>56</v>
      </c>
      <c r="AQ1366" t="s">
        <v>109</v>
      </c>
      <c r="AR1366">
        <v>7.94</v>
      </c>
      <c r="AS1366">
        <v>0.03</v>
      </c>
      <c r="AT1366" t="s">
        <v>56</v>
      </c>
      <c r="AU1366">
        <v>612</v>
      </c>
      <c r="AV1366">
        <v>48</v>
      </c>
      <c r="AW1366" t="s">
        <v>56</v>
      </c>
      <c r="AX1366">
        <v>7.92</v>
      </c>
      <c r="AY1366">
        <v>0.03</v>
      </c>
      <c r="AZ1366" t="s">
        <v>56</v>
      </c>
      <c r="BB1366">
        <f>LOG(AU1366)</f>
        <v>2.7867514221455614</v>
      </c>
      <c r="BC1366">
        <v>21.3</v>
      </c>
      <c r="BD1366">
        <v>0</v>
      </c>
      <c r="BE1366" t="s">
        <v>56</v>
      </c>
      <c r="BF1366">
        <v>23.3</v>
      </c>
      <c r="BG1366">
        <v>0</v>
      </c>
      <c r="BH1366" t="s">
        <v>56</v>
      </c>
      <c r="BI1366">
        <v>20</v>
      </c>
      <c r="BJ1366">
        <v>2</v>
      </c>
      <c r="BK1366" t="s">
        <v>56</v>
      </c>
      <c r="BL1366" t="s">
        <v>58</v>
      </c>
      <c r="BM1366" t="s">
        <v>59</v>
      </c>
      <c r="BN1366" t="s">
        <v>60</v>
      </c>
      <c r="BO1366" t="s">
        <v>773</v>
      </c>
      <c r="BP1366" t="s">
        <v>62</v>
      </c>
      <c r="BQ1366" s="8" t="s">
        <v>83</v>
      </c>
      <c r="BR1366" t="s">
        <v>63</v>
      </c>
      <c r="BT1366">
        <v>1.83</v>
      </c>
      <c r="BU1366">
        <v>1.8333330000000001</v>
      </c>
      <c r="BV1366">
        <v>0.49</v>
      </c>
      <c r="BW1366">
        <f>BV1366*SQRT(AK1366)</f>
        <v>2.638730755495907</v>
      </c>
      <c r="BX1366">
        <v>0.82</v>
      </c>
      <c r="BY1366">
        <v>0.81578949999999995</v>
      </c>
      <c r="BZ1366">
        <v>0.18</v>
      </c>
      <c r="CA1366">
        <f>BZ1366*SQRT(AL1366)</f>
        <v>0.96932966528421061</v>
      </c>
      <c r="CB1366">
        <v>36</v>
      </c>
      <c r="CC1366">
        <v>5</v>
      </c>
      <c r="CD1366">
        <v>-0.81</v>
      </c>
      <c r="CE1366">
        <v>0.12280000000000001</v>
      </c>
    </row>
    <row r="1367" spans="1:84" hidden="1" x14ac:dyDescent="0.2">
      <c r="D1367">
        <v>100</v>
      </c>
      <c r="G1367" t="s">
        <v>43</v>
      </c>
      <c r="H1367" t="s">
        <v>768</v>
      </c>
      <c r="J1367">
        <v>2015</v>
      </c>
      <c r="M1367" t="s">
        <v>769</v>
      </c>
      <c r="T1367" t="s">
        <v>68</v>
      </c>
      <c r="U1367" t="s">
        <v>770</v>
      </c>
      <c r="V1367" t="s">
        <v>771</v>
      </c>
      <c r="Z1367" t="s">
        <v>49</v>
      </c>
      <c r="AA1367" t="s">
        <v>49</v>
      </c>
      <c r="AB1367" t="s">
        <v>50</v>
      </c>
      <c r="AC1367" t="s">
        <v>108</v>
      </c>
      <c r="AD1367" t="s">
        <v>772</v>
      </c>
      <c r="AE1367" t="s">
        <v>53</v>
      </c>
      <c r="AF1367" t="s">
        <v>54</v>
      </c>
      <c r="AG1367" t="s">
        <v>52</v>
      </c>
      <c r="AH1367" t="s">
        <v>65</v>
      </c>
      <c r="AK1367">
        <v>91</v>
      </c>
      <c r="AL1367">
        <v>91</v>
      </c>
      <c r="AN1367">
        <v>592</v>
      </c>
      <c r="AO1367">
        <v>44</v>
      </c>
      <c r="AP1367" t="s">
        <v>56</v>
      </c>
      <c r="AQ1367" t="s">
        <v>109</v>
      </c>
      <c r="AR1367">
        <v>7.94</v>
      </c>
      <c r="AS1367">
        <v>0.03</v>
      </c>
      <c r="AT1367" t="s">
        <v>56</v>
      </c>
      <c r="AU1367">
        <v>612</v>
      </c>
      <c r="AV1367">
        <v>48</v>
      </c>
      <c r="AW1367" t="s">
        <v>56</v>
      </c>
      <c r="AX1367">
        <v>7.92</v>
      </c>
      <c r="AY1367">
        <v>0.03</v>
      </c>
      <c r="AZ1367" t="s">
        <v>56</v>
      </c>
      <c r="BB1367">
        <f>LOG(AU1367)</f>
        <v>2.7867514221455614</v>
      </c>
      <c r="BC1367">
        <v>21.3</v>
      </c>
      <c r="BD1367">
        <v>0</v>
      </c>
      <c r="BE1367" t="s">
        <v>56</v>
      </c>
      <c r="BF1367">
        <v>23.3</v>
      </c>
      <c r="BG1367">
        <v>0</v>
      </c>
      <c r="BH1367" t="s">
        <v>56</v>
      </c>
      <c r="BI1367">
        <v>20</v>
      </c>
      <c r="BJ1367">
        <v>2</v>
      </c>
      <c r="BK1367" t="s">
        <v>56</v>
      </c>
      <c r="BL1367" t="s">
        <v>774</v>
      </c>
      <c r="BM1367" t="s">
        <v>262</v>
      </c>
      <c r="BN1367" t="s">
        <v>81</v>
      </c>
      <c r="BO1367" t="s">
        <v>775</v>
      </c>
      <c r="BP1367" t="s">
        <v>450</v>
      </c>
      <c r="BQ1367" s="8" t="s">
        <v>83</v>
      </c>
      <c r="BR1367" t="s">
        <v>63</v>
      </c>
      <c r="BT1367">
        <v>0.04</v>
      </c>
      <c r="BU1367">
        <v>4.1988999999999999E-2</v>
      </c>
      <c r="BV1367">
        <v>0.01</v>
      </c>
      <c r="BW1367">
        <f>BV1367*SQRT(AK1367)</f>
        <v>9.5393920141694566E-2</v>
      </c>
      <c r="BX1367">
        <v>0.03</v>
      </c>
      <c r="BY1367">
        <v>3.16759E-2</v>
      </c>
      <c r="BZ1367">
        <v>0.01</v>
      </c>
      <c r="CA1367">
        <f>BZ1367*SQRT(AL1367)</f>
        <v>9.5393920141694566E-2</v>
      </c>
      <c r="CB1367">
        <v>36</v>
      </c>
      <c r="CC1367">
        <v>5</v>
      </c>
      <c r="CD1367">
        <v>-0.28199999999999997</v>
      </c>
      <c r="CE1367">
        <v>0.16500000000000001</v>
      </c>
    </row>
    <row r="1368" spans="1:84" hidden="1" x14ac:dyDescent="0.2">
      <c r="D1368">
        <v>100</v>
      </c>
      <c r="G1368" t="s">
        <v>43</v>
      </c>
      <c r="H1368" t="s">
        <v>768</v>
      </c>
      <c r="J1368">
        <v>2015</v>
      </c>
      <c r="M1368" t="s">
        <v>769</v>
      </c>
      <c r="T1368" t="s">
        <v>68</v>
      </c>
      <c r="U1368" t="s">
        <v>770</v>
      </c>
      <c r="V1368" t="s">
        <v>771</v>
      </c>
      <c r="Z1368" t="s">
        <v>49</v>
      </c>
      <c r="AA1368" t="s">
        <v>49</v>
      </c>
      <c r="AB1368" t="s">
        <v>50</v>
      </c>
      <c r="AC1368" t="s">
        <v>108</v>
      </c>
      <c r="AD1368" t="s">
        <v>772</v>
      </c>
      <c r="AE1368" t="s">
        <v>53</v>
      </c>
      <c r="AF1368" t="s">
        <v>54</v>
      </c>
      <c r="AG1368" t="s">
        <v>52</v>
      </c>
      <c r="AH1368" t="s">
        <v>65</v>
      </c>
      <c r="AK1368">
        <v>91</v>
      </c>
      <c r="AL1368">
        <v>91</v>
      </c>
      <c r="AN1368">
        <v>592</v>
      </c>
      <c r="AO1368">
        <v>44</v>
      </c>
      <c r="AP1368" t="s">
        <v>56</v>
      </c>
      <c r="AQ1368" t="s">
        <v>109</v>
      </c>
      <c r="AR1368">
        <v>7.94</v>
      </c>
      <c r="AS1368">
        <v>0.03</v>
      </c>
      <c r="AT1368" t="s">
        <v>56</v>
      </c>
      <c r="AU1368">
        <v>568</v>
      </c>
      <c r="AV1368">
        <v>41</v>
      </c>
      <c r="AW1368" t="s">
        <v>56</v>
      </c>
      <c r="AX1368">
        <v>7.96</v>
      </c>
      <c r="AY1368">
        <v>0.02</v>
      </c>
      <c r="AZ1368" t="s">
        <v>56</v>
      </c>
      <c r="BB1368">
        <f>LOG(AU1368)</f>
        <v>2.7543483357110188</v>
      </c>
      <c r="BC1368">
        <v>21.3</v>
      </c>
      <c r="BD1368">
        <v>0</v>
      </c>
      <c r="BE1368" t="s">
        <v>56</v>
      </c>
      <c r="BF1368">
        <v>26.3</v>
      </c>
      <c r="BG1368">
        <v>0</v>
      </c>
      <c r="BH1368" t="s">
        <v>56</v>
      </c>
      <c r="BI1368">
        <v>-24</v>
      </c>
      <c r="BJ1368">
        <v>5</v>
      </c>
      <c r="BK1368" t="s">
        <v>56</v>
      </c>
      <c r="BL1368" t="s">
        <v>774</v>
      </c>
      <c r="BM1368" t="s">
        <v>262</v>
      </c>
      <c r="BN1368" t="s">
        <v>81</v>
      </c>
      <c r="BO1368" t="s">
        <v>775</v>
      </c>
      <c r="BP1368" t="s">
        <v>450</v>
      </c>
      <c r="BQ1368" s="8" t="s">
        <v>83</v>
      </c>
      <c r="BR1368" t="s">
        <v>63</v>
      </c>
      <c r="BT1368">
        <v>0.04</v>
      </c>
      <c r="BU1368">
        <v>4.1988999999999999E-2</v>
      </c>
      <c r="BV1368">
        <v>0.01</v>
      </c>
      <c r="BW1368">
        <f>BV1368*SQRT(AK1368)</f>
        <v>9.5393920141694566E-2</v>
      </c>
      <c r="BX1368">
        <v>0.03</v>
      </c>
      <c r="BY1368">
        <v>3.2044200000000002E-2</v>
      </c>
      <c r="BZ1368">
        <v>0.01</v>
      </c>
      <c r="CA1368">
        <f>BZ1368*SQRT(AL1368)</f>
        <v>9.5393920141694566E-2</v>
      </c>
      <c r="CB1368">
        <v>36</v>
      </c>
      <c r="CC1368">
        <v>5</v>
      </c>
      <c r="CD1368">
        <v>-0.27</v>
      </c>
      <c r="CE1368">
        <v>0.24060000000000001</v>
      </c>
    </row>
    <row r="1369" spans="1:84" hidden="1" x14ac:dyDescent="0.2">
      <c r="D1369">
        <v>100</v>
      </c>
      <c r="G1369" t="s">
        <v>43</v>
      </c>
      <c r="H1369" t="s">
        <v>768</v>
      </c>
      <c r="J1369">
        <v>2015</v>
      </c>
      <c r="M1369" t="s">
        <v>769</v>
      </c>
      <c r="T1369" t="s">
        <v>68</v>
      </c>
      <c r="U1369" t="s">
        <v>770</v>
      </c>
      <c r="V1369" t="s">
        <v>771</v>
      </c>
      <c r="Z1369" t="s">
        <v>49</v>
      </c>
      <c r="AA1369" t="s">
        <v>49</v>
      </c>
      <c r="AB1369" t="s">
        <v>50</v>
      </c>
      <c r="AC1369" t="s">
        <v>108</v>
      </c>
      <c r="AD1369" t="s">
        <v>772</v>
      </c>
      <c r="AE1369" t="s">
        <v>53</v>
      </c>
      <c r="AF1369" t="s">
        <v>52</v>
      </c>
      <c r="AG1369" t="s">
        <v>52</v>
      </c>
      <c r="AH1369" t="s">
        <v>64</v>
      </c>
      <c r="AK1369">
        <v>29</v>
      </c>
      <c r="AL1369">
        <v>29</v>
      </c>
      <c r="AN1369">
        <v>592</v>
      </c>
      <c r="AO1369">
        <v>44</v>
      </c>
      <c r="AP1369" t="s">
        <v>56</v>
      </c>
      <c r="AQ1369" t="s">
        <v>109</v>
      </c>
      <c r="AR1369">
        <v>7.94</v>
      </c>
      <c r="AS1369">
        <v>0.03</v>
      </c>
      <c r="AT1369" t="s">
        <v>56</v>
      </c>
      <c r="AU1369">
        <v>1106</v>
      </c>
      <c r="AV1369">
        <v>58</v>
      </c>
      <c r="AW1369" t="s">
        <v>56</v>
      </c>
      <c r="AX1369">
        <v>7.7</v>
      </c>
      <c r="AY1369">
        <v>0.02</v>
      </c>
      <c r="AZ1369" t="s">
        <v>56</v>
      </c>
      <c r="BB1369">
        <f>LOG(AU1369)</f>
        <v>3.0437551269686796</v>
      </c>
      <c r="BC1369">
        <v>21.3</v>
      </c>
      <c r="BD1369">
        <v>0</v>
      </c>
      <c r="BE1369" t="s">
        <v>56</v>
      </c>
      <c r="BF1369">
        <v>23.3</v>
      </c>
      <c r="BG1369">
        <v>0</v>
      </c>
      <c r="BH1369" t="s">
        <v>56</v>
      </c>
      <c r="BI1369">
        <v>514</v>
      </c>
      <c r="BJ1369">
        <v>2</v>
      </c>
      <c r="BK1369" t="s">
        <v>56</v>
      </c>
      <c r="BL1369" t="s">
        <v>58</v>
      </c>
      <c r="BM1369" t="s">
        <v>59</v>
      </c>
      <c r="BN1369" t="s">
        <v>60</v>
      </c>
      <c r="BO1369" t="s">
        <v>773</v>
      </c>
      <c r="BP1369" t="s">
        <v>62</v>
      </c>
      <c r="BQ1369" s="8" t="s">
        <v>83</v>
      </c>
      <c r="BR1369" t="s">
        <v>63</v>
      </c>
      <c r="BT1369">
        <v>1.83</v>
      </c>
      <c r="BU1369">
        <v>1.8333330000000001</v>
      </c>
      <c r="BV1369">
        <v>0.49</v>
      </c>
      <c r="BW1369">
        <f>BV1369*SQRT(AK1369)</f>
        <v>2.638730755495907</v>
      </c>
      <c r="BX1369">
        <v>1.61</v>
      </c>
      <c r="BY1369">
        <v>1.6140350999999999</v>
      </c>
      <c r="BZ1369">
        <v>0.15</v>
      </c>
      <c r="CA1369">
        <f>BZ1369*SQRT(AL1369)</f>
        <v>0.80777472107017556</v>
      </c>
      <c r="CB1369">
        <v>36</v>
      </c>
      <c r="CC1369">
        <v>5</v>
      </c>
      <c r="CD1369">
        <v>-0.127</v>
      </c>
      <c r="CE1369">
        <v>8.0299999999999996E-2</v>
      </c>
    </row>
    <row r="1370" spans="1:84" hidden="1" x14ac:dyDescent="0.2">
      <c r="D1370">
        <v>100</v>
      </c>
      <c r="G1370" t="s">
        <v>43</v>
      </c>
      <c r="H1370" t="s">
        <v>768</v>
      </c>
      <c r="J1370">
        <v>2015</v>
      </c>
      <c r="M1370" t="s">
        <v>769</v>
      </c>
      <c r="T1370" t="s">
        <v>68</v>
      </c>
      <c r="U1370" t="s">
        <v>770</v>
      </c>
      <c r="V1370" t="s">
        <v>771</v>
      </c>
      <c r="Z1370" t="s">
        <v>49</v>
      </c>
      <c r="AA1370" t="s">
        <v>49</v>
      </c>
      <c r="AB1370" t="s">
        <v>50</v>
      </c>
      <c r="AC1370" t="s">
        <v>108</v>
      </c>
      <c r="AD1370" t="s">
        <v>772</v>
      </c>
      <c r="AE1370" t="s">
        <v>53</v>
      </c>
      <c r="AF1370" t="s">
        <v>52</v>
      </c>
      <c r="AG1370" t="s">
        <v>52</v>
      </c>
      <c r="AH1370" t="s">
        <v>64</v>
      </c>
      <c r="AK1370">
        <v>29</v>
      </c>
      <c r="AL1370">
        <v>29</v>
      </c>
      <c r="AN1370">
        <v>592</v>
      </c>
      <c r="AO1370">
        <v>44</v>
      </c>
      <c r="AP1370" t="s">
        <v>56</v>
      </c>
      <c r="AQ1370" t="s">
        <v>109</v>
      </c>
      <c r="AR1370">
        <v>7.94</v>
      </c>
      <c r="AS1370">
        <v>0.03</v>
      </c>
      <c r="AT1370" t="s">
        <v>56</v>
      </c>
      <c r="AU1370">
        <v>1122</v>
      </c>
      <c r="AV1370">
        <v>90</v>
      </c>
      <c r="AW1370" t="s">
        <v>56</v>
      </c>
      <c r="AX1370">
        <v>7.7</v>
      </c>
      <c r="AY1370">
        <v>0.03</v>
      </c>
      <c r="AZ1370" t="s">
        <v>56</v>
      </c>
      <c r="BB1370">
        <f>LOG(AU1370)</f>
        <v>3.0499928569201424</v>
      </c>
      <c r="BC1370">
        <v>21.3</v>
      </c>
      <c r="BD1370">
        <v>0</v>
      </c>
      <c r="BE1370" t="s">
        <v>56</v>
      </c>
      <c r="BF1370">
        <v>26.3</v>
      </c>
      <c r="BG1370">
        <v>0</v>
      </c>
      <c r="BH1370" t="s">
        <v>56</v>
      </c>
      <c r="BI1370">
        <v>530</v>
      </c>
      <c r="BJ1370">
        <v>5</v>
      </c>
      <c r="BK1370" t="s">
        <v>56</v>
      </c>
      <c r="BL1370" t="s">
        <v>58</v>
      </c>
      <c r="BM1370" t="s">
        <v>59</v>
      </c>
      <c r="BN1370" t="s">
        <v>60</v>
      </c>
      <c r="BO1370" t="s">
        <v>773</v>
      </c>
      <c r="BP1370" t="s">
        <v>62</v>
      </c>
      <c r="BQ1370" s="8" t="s">
        <v>83</v>
      </c>
      <c r="BR1370" t="s">
        <v>63</v>
      </c>
      <c r="BT1370">
        <v>1.83</v>
      </c>
      <c r="BU1370">
        <v>1.8333330000000001</v>
      </c>
      <c r="BV1370">
        <v>0.49</v>
      </c>
      <c r="BW1370">
        <f>BV1370*SQRT(AK1370)</f>
        <v>2.638730755495907</v>
      </c>
      <c r="BX1370">
        <v>1.92</v>
      </c>
      <c r="BY1370">
        <v>1.9210526000000001</v>
      </c>
      <c r="BZ1370">
        <v>0.56999999999999995</v>
      </c>
      <c r="CA1370">
        <f>BZ1370*SQRT(AL1370)</f>
        <v>3.0695439400666671</v>
      </c>
      <c r="CB1370">
        <v>36</v>
      </c>
      <c r="CC1370">
        <v>5</v>
      </c>
      <c r="CD1370">
        <v>4.7E-2</v>
      </c>
      <c r="CE1370">
        <v>0.15989999999999999</v>
      </c>
    </row>
    <row r="1371" spans="1:84" hidden="1" x14ac:dyDescent="0.2">
      <c r="D1371">
        <v>100</v>
      </c>
      <c r="G1371" t="s">
        <v>43</v>
      </c>
      <c r="H1371" t="s">
        <v>768</v>
      </c>
      <c r="J1371">
        <v>2015</v>
      </c>
      <c r="M1371" t="s">
        <v>769</v>
      </c>
      <c r="T1371" t="s">
        <v>68</v>
      </c>
      <c r="U1371" t="s">
        <v>770</v>
      </c>
      <c r="V1371" t="s">
        <v>771</v>
      </c>
      <c r="Z1371" t="s">
        <v>49</v>
      </c>
      <c r="AA1371" t="s">
        <v>49</v>
      </c>
      <c r="AB1371" t="s">
        <v>50</v>
      </c>
      <c r="AC1371" t="s">
        <v>108</v>
      </c>
      <c r="AD1371" t="s">
        <v>772</v>
      </c>
      <c r="AE1371" t="s">
        <v>53</v>
      </c>
      <c r="AF1371" t="s">
        <v>54</v>
      </c>
      <c r="AG1371" t="s">
        <v>52</v>
      </c>
      <c r="AH1371" t="s">
        <v>65</v>
      </c>
      <c r="AK1371">
        <v>29</v>
      </c>
      <c r="AL1371">
        <v>29</v>
      </c>
      <c r="AN1371">
        <v>592</v>
      </c>
      <c r="AO1371">
        <v>44</v>
      </c>
      <c r="AP1371" t="s">
        <v>56</v>
      </c>
      <c r="AQ1371" t="s">
        <v>109</v>
      </c>
      <c r="AR1371">
        <v>7.94</v>
      </c>
      <c r="AS1371">
        <v>0.03</v>
      </c>
      <c r="AT1371" t="s">
        <v>56</v>
      </c>
      <c r="AU1371">
        <v>568</v>
      </c>
      <c r="AV1371">
        <v>41</v>
      </c>
      <c r="AW1371" t="s">
        <v>56</v>
      </c>
      <c r="AX1371">
        <v>7.96</v>
      </c>
      <c r="AY1371">
        <v>0.02</v>
      </c>
      <c r="AZ1371" t="s">
        <v>56</v>
      </c>
      <c r="BB1371">
        <f>LOG(AU1371)</f>
        <v>2.7543483357110188</v>
      </c>
      <c r="BC1371">
        <v>21.3</v>
      </c>
      <c r="BD1371">
        <v>0</v>
      </c>
      <c r="BE1371" t="s">
        <v>56</v>
      </c>
      <c r="BF1371">
        <v>26.3</v>
      </c>
      <c r="BG1371">
        <v>0</v>
      </c>
      <c r="BH1371" t="s">
        <v>56</v>
      </c>
      <c r="BI1371">
        <v>-24</v>
      </c>
      <c r="BJ1371">
        <v>5</v>
      </c>
      <c r="BK1371" t="s">
        <v>56</v>
      </c>
      <c r="BL1371" t="s">
        <v>58</v>
      </c>
      <c r="BM1371" t="s">
        <v>59</v>
      </c>
      <c r="BN1371" t="s">
        <v>60</v>
      </c>
      <c r="BO1371" t="s">
        <v>773</v>
      </c>
      <c r="BP1371" t="s">
        <v>62</v>
      </c>
      <c r="BQ1371" s="8" t="s">
        <v>83</v>
      </c>
      <c r="BR1371" t="s">
        <v>63</v>
      </c>
      <c r="BT1371">
        <v>1.83</v>
      </c>
      <c r="BU1371">
        <v>1.8333330000000001</v>
      </c>
      <c r="BV1371">
        <v>0.49</v>
      </c>
      <c r="BW1371">
        <f>BV1371*SQRT(AK1371)</f>
        <v>2.638730755495907</v>
      </c>
      <c r="BX1371">
        <v>3.32</v>
      </c>
      <c r="BY1371">
        <v>3.3157895000000002</v>
      </c>
      <c r="BZ1371">
        <v>1</v>
      </c>
      <c r="CA1371">
        <f>BZ1371*SQRT(AL1371)</f>
        <v>5.3851648071345037</v>
      </c>
      <c r="CB1371">
        <v>36</v>
      </c>
      <c r="CC1371">
        <v>5</v>
      </c>
      <c r="CD1371">
        <v>0.59299999999999997</v>
      </c>
      <c r="CE1371">
        <v>0.16270000000000001</v>
      </c>
    </row>
    <row r="1372" spans="1:84" hidden="1" x14ac:dyDescent="0.2">
      <c r="D1372">
        <v>100</v>
      </c>
      <c r="G1372" t="s">
        <v>43</v>
      </c>
      <c r="H1372" t="s">
        <v>768</v>
      </c>
      <c r="J1372">
        <v>2015</v>
      </c>
      <c r="M1372" t="s">
        <v>769</v>
      </c>
      <c r="T1372" t="s">
        <v>68</v>
      </c>
      <c r="U1372" t="s">
        <v>770</v>
      </c>
      <c r="V1372" t="s">
        <v>771</v>
      </c>
      <c r="Z1372" t="s">
        <v>49</v>
      </c>
      <c r="AA1372" t="s">
        <v>49</v>
      </c>
      <c r="AB1372" t="s">
        <v>50</v>
      </c>
      <c r="AC1372" t="s">
        <v>108</v>
      </c>
      <c r="AD1372" t="s">
        <v>772</v>
      </c>
      <c r="AE1372" t="s">
        <v>53</v>
      </c>
      <c r="AF1372" t="s">
        <v>52</v>
      </c>
      <c r="AG1372" t="s">
        <v>54</v>
      </c>
      <c r="AH1372" t="s">
        <v>55</v>
      </c>
      <c r="AK1372">
        <v>91</v>
      </c>
      <c r="AL1372">
        <v>91</v>
      </c>
      <c r="AN1372">
        <v>592</v>
      </c>
      <c r="AO1372">
        <v>44</v>
      </c>
      <c r="AP1372" t="s">
        <v>56</v>
      </c>
      <c r="AQ1372" t="s">
        <v>109</v>
      </c>
      <c r="AR1372">
        <v>7.94</v>
      </c>
      <c r="AS1372">
        <v>0.03</v>
      </c>
      <c r="AT1372" t="s">
        <v>56</v>
      </c>
      <c r="AU1372">
        <v>1164</v>
      </c>
      <c r="AV1372">
        <v>156</v>
      </c>
      <c r="AW1372" t="s">
        <v>56</v>
      </c>
      <c r="AX1372">
        <v>7.7</v>
      </c>
      <c r="AY1372">
        <v>7.0000000000000007E-2</v>
      </c>
      <c r="AZ1372" t="s">
        <v>56</v>
      </c>
      <c r="BB1372">
        <f>LOG(AU1372)</f>
        <v>3.0659529803138699</v>
      </c>
      <c r="BC1372">
        <v>21.3</v>
      </c>
      <c r="BD1372">
        <v>0</v>
      </c>
      <c r="BE1372" t="s">
        <v>56</v>
      </c>
      <c r="BF1372">
        <v>21.3</v>
      </c>
      <c r="BG1372">
        <v>0</v>
      </c>
      <c r="BH1372" t="s">
        <v>56</v>
      </c>
      <c r="BI1372">
        <v>572</v>
      </c>
      <c r="BJ1372">
        <v>0</v>
      </c>
      <c r="BK1372" t="s">
        <v>56</v>
      </c>
      <c r="BL1372" t="s">
        <v>774</v>
      </c>
      <c r="BM1372" t="s">
        <v>262</v>
      </c>
      <c r="BN1372" t="s">
        <v>81</v>
      </c>
      <c r="BO1372" t="s">
        <v>775</v>
      </c>
      <c r="BP1372" t="s">
        <v>450</v>
      </c>
      <c r="BQ1372" s="8" t="s">
        <v>83</v>
      </c>
      <c r="BR1372" t="s">
        <v>63</v>
      </c>
      <c r="BT1372">
        <v>0.04</v>
      </c>
      <c r="BU1372">
        <v>4.1988999999999999E-2</v>
      </c>
      <c r="BV1372">
        <v>0.01</v>
      </c>
      <c r="BW1372">
        <f>BV1372*SQRT(AK1372)</f>
        <v>9.5393920141694566E-2</v>
      </c>
      <c r="BX1372">
        <v>0.09</v>
      </c>
      <c r="BY1372">
        <v>8.6924500000000002E-2</v>
      </c>
      <c r="BZ1372">
        <v>0.01</v>
      </c>
      <c r="CA1372">
        <f>BZ1372*SQRT(AL1372)</f>
        <v>9.5393920141694566E-2</v>
      </c>
      <c r="CB1372">
        <v>36</v>
      </c>
      <c r="CC1372">
        <v>5</v>
      </c>
      <c r="CD1372">
        <v>0.72799999999999998</v>
      </c>
      <c r="CE1372">
        <v>0.1326</v>
      </c>
    </row>
    <row r="1373" spans="1:84" hidden="1" x14ac:dyDescent="0.2">
      <c r="D1373">
        <v>100</v>
      </c>
      <c r="G1373" t="s">
        <v>43</v>
      </c>
      <c r="H1373" t="s">
        <v>768</v>
      </c>
      <c r="J1373">
        <v>2015</v>
      </c>
      <c r="M1373" t="s">
        <v>769</v>
      </c>
      <c r="T1373" t="s">
        <v>68</v>
      </c>
      <c r="U1373" t="s">
        <v>770</v>
      </c>
      <c r="V1373" t="s">
        <v>771</v>
      </c>
      <c r="Z1373" t="s">
        <v>49</v>
      </c>
      <c r="AA1373" t="s">
        <v>49</v>
      </c>
      <c r="AB1373" t="s">
        <v>50</v>
      </c>
      <c r="AC1373" t="s">
        <v>108</v>
      </c>
      <c r="AD1373" t="s">
        <v>772</v>
      </c>
      <c r="AE1373" t="s">
        <v>53</v>
      </c>
      <c r="AF1373" t="s">
        <v>52</v>
      </c>
      <c r="AG1373" t="s">
        <v>52</v>
      </c>
      <c r="AH1373" t="s">
        <v>64</v>
      </c>
      <c r="AK1373">
        <v>91</v>
      </c>
      <c r="AL1373">
        <v>91</v>
      </c>
      <c r="AN1373">
        <v>592</v>
      </c>
      <c r="AO1373">
        <v>44</v>
      </c>
      <c r="AP1373" t="s">
        <v>56</v>
      </c>
      <c r="AQ1373" t="s">
        <v>109</v>
      </c>
      <c r="AR1373">
        <v>7.94</v>
      </c>
      <c r="AS1373">
        <v>0.03</v>
      </c>
      <c r="AT1373" t="s">
        <v>56</v>
      </c>
      <c r="AU1373">
        <v>1122</v>
      </c>
      <c r="AV1373">
        <v>90</v>
      </c>
      <c r="AW1373" t="s">
        <v>56</v>
      </c>
      <c r="AX1373">
        <v>7.7</v>
      </c>
      <c r="AY1373">
        <v>0.03</v>
      </c>
      <c r="AZ1373" t="s">
        <v>56</v>
      </c>
      <c r="BB1373">
        <f>LOG(AU1373)</f>
        <v>3.0499928569201424</v>
      </c>
      <c r="BC1373">
        <v>21.3</v>
      </c>
      <c r="BD1373">
        <v>0</v>
      </c>
      <c r="BE1373" t="s">
        <v>56</v>
      </c>
      <c r="BF1373">
        <v>26.3</v>
      </c>
      <c r="BG1373">
        <v>0</v>
      </c>
      <c r="BH1373" t="s">
        <v>56</v>
      </c>
      <c r="BI1373">
        <v>530</v>
      </c>
      <c r="BJ1373">
        <v>5</v>
      </c>
      <c r="BK1373" t="s">
        <v>56</v>
      </c>
      <c r="BL1373" t="s">
        <v>774</v>
      </c>
      <c r="BM1373" t="s">
        <v>262</v>
      </c>
      <c r="BN1373" t="s">
        <v>81</v>
      </c>
      <c r="BO1373" t="s">
        <v>775</v>
      </c>
      <c r="BP1373" t="s">
        <v>450</v>
      </c>
      <c r="BQ1373" s="8" t="s">
        <v>83</v>
      </c>
      <c r="BR1373" t="s">
        <v>63</v>
      </c>
      <c r="BT1373">
        <v>0.04</v>
      </c>
      <c r="BU1373">
        <v>4.1988999999999999E-2</v>
      </c>
      <c r="BV1373">
        <v>0.01</v>
      </c>
      <c r="BW1373">
        <f>BV1373*SQRT(AK1373)</f>
        <v>9.5393920141694566E-2</v>
      </c>
      <c r="BX1373">
        <v>0.09</v>
      </c>
      <c r="BY1373">
        <v>9.1712699999999994E-2</v>
      </c>
      <c r="BZ1373">
        <v>0.02</v>
      </c>
      <c r="CA1373">
        <f>BZ1373*SQRT(AL1373)</f>
        <v>0.19078784028338913</v>
      </c>
      <c r="CB1373">
        <v>36</v>
      </c>
      <c r="CC1373">
        <v>5</v>
      </c>
      <c r="CD1373">
        <v>0.78100000000000003</v>
      </c>
      <c r="CE1373">
        <v>0.1457</v>
      </c>
    </row>
    <row r="1374" spans="1:84" hidden="1" x14ac:dyDescent="0.2">
      <c r="D1374">
        <v>100</v>
      </c>
      <c r="G1374" t="s">
        <v>43</v>
      </c>
      <c r="H1374" t="s">
        <v>768</v>
      </c>
      <c r="J1374">
        <v>2015</v>
      </c>
      <c r="M1374" t="s">
        <v>769</v>
      </c>
      <c r="T1374" t="s">
        <v>68</v>
      </c>
      <c r="U1374" t="s">
        <v>770</v>
      </c>
      <c r="V1374" t="s">
        <v>771</v>
      </c>
      <c r="Z1374" t="s">
        <v>49</v>
      </c>
      <c r="AA1374" t="s">
        <v>49</v>
      </c>
      <c r="AB1374" t="s">
        <v>50</v>
      </c>
      <c r="AC1374" t="s">
        <v>108</v>
      </c>
      <c r="AD1374" t="s">
        <v>772</v>
      </c>
      <c r="AE1374" t="s">
        <v>53</v>
      </c>
      <c r="AF1374" t="s">
        <v>52</v>
      </c>
      <c r="AG1374" t="s">
        <v>52</v>
      </c>
      <c r="AH1374" t="s">
        <v>64</v>
      </c>
      <c r="AK1374">
        <v>91</v>
      </c>
      <c r="AL1374">
        <v>91</v>
      </c>
      <c r="AN1374">
        <v>592</v>
      </c>
      <c r="AO1374">
        <v>44</v>
      </c>
      <c r="AP1374" t="s">
        <v>56</v>
      </c>
      <c r="AQ1374" t="s">
        <v>109</v>
      </c>
      <c r="AR1374">
        <v>7.94</v>
      </c>
      <c r="AS1374">
        <v>0.03</v>
      </c>
      <c r="AT1374" t="s">
        <v>56</v>
      </c>
      <c r="AU1374">
        <v>1106</v>
      </c>
      <c r="AV1374">
        <v>58</v>
      </c>
      <c r="AW1374" t="s">
        <v>56</v>
      </c>
      <c r="AX1374">
        <v>7.7</v>
      </c>
      <c r="AY1374">
        <v>0.02</v>
      </c>
      <c r="AZ1374" t="s">
        <v>56</v>
      </c>
      <c r="BB1374">
        <f>LOG(AU1374)</f>
        <v>3.0437551269686796</v>
      </c>
      <c r="BC1374">
        <v>21.3</v>
      </c>
      <c r="BD1374">
        <v>0</v>
      </c>
      <c r="BE1374" t="s">
        <v>56</v>
      </c>
      <c r="BF1374">
        <v>23.3</v>
      </c>
      <c r="BG1374">
        <v>0</v>
      </c>
      <c r="BH1374" t="s">
        <v>56</v>
      </c>
      <c r="BI1374">
        <v>514</v>
      </c>
      <c r="BJ1374">
        <v>2</v>
      </c>
      <c r="BK1374" t="s">
        <v>56</v>
      </c>
      <c r="BL1374" t="s">
        <v>774</v>
      </c>
      <c r="BM1374" t="s">
        <v>262</v>
      </c>
      <c r="BN1374" t="s">
        <v>81</v>
      </c>
      <c r="BO1374" t="s">
        <v>775</v>
      </c>
      <c r="BP1374" t="s">
        <v>450</v>
      </c>
      <c r="BQ1374" s="8" t="s">
        <v>83</v>
      </c>
      <c r="BR1374" t="s">
        <v>63</v>
      </c>
      <c r="BT1374">
        <v>0.04</v>
      </c>
      <c r="BU1374">
        <v>4.1988999999999999E-2</v>
      </c>
      <c r="BV1374">
        <v>0.01</v>
      </c>
      <c r="BW1374">
        <f>BV1374*SQRT(AK1374)</f>
        <v>9.5393920141694566E-2</v>
      </c>
      <c r="BX1374">
        <v>0.12</v>
      </c>
      <c r="BY1374">
        <v>0.121547</v>
      </c>
      <c r="BZ1374">
        <v>0.06</v>
      </c>
      <c r="CA1374">
        <f>BZ1374*SQRT(AL1374)</f>
        <v>0.5723635208501674</v>
      </c>
      <c r="CB1374">
        <v>36</v>
      </c>
      <c r="CC1374">
        <v>5</v>
      </c>
      <c r="CD1374">
        <v>1.0629999999999999</v>
      </c>
      <c r="CE1374">
        <v>0.32879999999999998</v>
      </c>
    </row>
    <row r="1375" spans="1:84" hidden="1" x14ac:dyDescent="0.2">
      <c r="D1375">
        <v>101</v>
      </c>
      <c r="G1375" t="s">
        <v>114</v>
      </c>
      <c r="H1375" t="s">
        <v>776</v>
      </c>
      <c r="J1375">
        <v>2017</v>
      </c>
      <c r="M1375" t="s">
        <v>265</v>
      </c>
      <c r="T1375" t="s">
        <v>103</v>
      </c>
      <c r="U1375" t="s">
        <v>777</v>
      </c>
      <c r="V1375" t="s">
        <v>778</v>
      </c>
      <c r="Z1375" t="s">
        <v>49</v>
      </c>
      <c r="AA1375" t="s">
        <v>49</v>
      </c>
      <c r="AB1375" t="s">
        <v>50</v>
      </c>
      <c r="AC1375" t="s">
        <v>51</v>
      </c>
      <c r="AD1375" t="s">
        <v>52</v>
      </c>
      <c r="AE1375" t="s">
        <v>53</v>
      </c>
      <c r="AF1375" t="s">
        <v>52</v>
      </c>
      <c r="AG1375" t="s">
        <v>54</v>
      </c>
      <c r="AH1375" t="s">
        <v>55</v>
      </c>
      <c r="AK1375">
        <v>4</v>
      </c>
      <c r="AL1375">
        <v>4</v>
      </c>
      <c r="AN1375">
        <v>434</v>
      </c>
      <c r="AO1375" t="s">
        <v>56</v>
      </c>
      <c r="AP1375">
        <v>80</v>
      </c>
      <c r="AQ1375" t="s">
        <v>109</v>
      </c>
      <c r="AR1375">
        <v>7.94</v>
      </c>
      <c r="AS1375" t="s">
        <v>56</v>
      </c>
      <c r="AT1375">
        <v>0.06</v>
      </c>
      <c r="AU1375">
        <v>807</v>
      </c>
      <c r="AV1375" t="s">
        <v>56</v>
      </c>
      <c r="AW1375">
        <v>145</v>
      </c>
      <c r="AX1375">
        <v>7.75</v>
      </c>
      <c r="AY1375" t="s">
        <v>56</v>
      </c>
      <c r="AZ1375">
        <v>7.0000000000000007E-2</v>
      </c>
      <c r="BB1375">
        <f>LOG(AU1375)</f>
        <v>2.9068735347220702</v>
      </c>
      <c r="BC1375">
        <v>7.9</v>
      </c>
      <c r="BD1375" t="s">
        <v>56</v>
      </c>
      <c r="BE1375">
        <v>0.1</v>
      </c>
      <c r="BF1375">
        <v>7.9</v>
      </c>
      <c r="BG1375" t="s">
        <v>56</v>
      </c>
      <c r="BH1375">
        <v>0.1</v>
      </c>
      <c r="BI1375">
        <v>373</v>
      </c>
      <c r="BJ1375">
        <v>0</v>
      </c>
      <c r="BK1375" t="s">
        <v>779</v>
      </c>
      <c r="BL1375" t="s">
        <v>774</v>
      </c>
      <c r="BM1375" t="s">
        <v>262</v>
      </c>
      <c r="BN1375" t="s">
        <v>81</v>
      </c>
      <c r="BO1375" t="s">
        <v>780</v>
      </c>
      <c r="BP1375" t="s">
        <v>450</v>
      </c>
      <c r="BQ1375" s="8" t="s">
        <v>83</v>
      </c>
      <c r="BR1375" t="s">
        <v>63</v>
      </c>
      <c r="BT1375">
        <v>0.01</v>
      </c>
      <c r="BU1375">
        <v>6.0000000000000001E-3</v>
      </c>
      <c r="BV1375">
        <v>0</v>
      </c>
      <c r="BW1375">
        <f>BV1375*SQRT(AK1375)</f>
        <v>0</v>
      </c>
      <c r="BX1375">
        <v>0</v>
      </c>
      <c r="BY1375">
        <v>6.0000000000000002E-5</v>
      </c>
      <c r="BZ1375">
        <v>0</v>
      </c>
      <c r="CA1375">
        <f>BZ1375*SQRT(AL1375)</f>
        <v>0</v>
      </c>
      <c r="CB1375">
        <v>180</v>
      </c>
      <c r="CC1375">
        <v>4</v>
      </c>
      <c r="CD1375">
        <v>-4.6050000000000004</v>
      </c>
      <c r="CE1375">
        <v>625.17359999999996</v>
      </c>
    </row>
    <row r="1376" spans="1:84" hidden="1" x14ac:dyDescent="0.2">
      <c r="D1376">
        <v>101</v>
      </c>
      <c r="G1376" t="s">
        <v>43</v>
      </c>
      <c r="H1376" t="s">
        <v>776</v>
      </c>
      <c r="J1376">
        <v>2017</v>
      </c>
      <c r="M1376" t="s">
        <v>265</v>
      </c>
      <c r="T1376" t="s">
        <v>103</v>
      </c>
      <c r="U1376" t="s">
        <v>777</v>
      </c>
      <c r="V1376" t="s">
        <v>778</v>
      </c>
      <c r="Z1376" t="s">
        <v>49</v>
      </c>
      <c r="AA1376" t="s">
        <v>49</v>
      </c>
      <c r="AB1376" t="s">
        <v>50</v>
      </c>
      <c r="AC1376" t="s">
        <v>51</v>
      </c>
      <c r="AD1376" t="s">
        <v>52</v>
      </c>
      <c r="AE1376" t="s">
        <v>53</v>
      </c>
      <c r="AF1376" t="s">
        <v>52</v>
      </c>
      <c r="AG1376" t="s">
        <v>52</v>
      </c>
      <c r="AH1376" t="s">
        <v>64</v>
      </c>
      <c r="AK1376">
        <v>4</v>
      </c>
      <c r="AL1376">
        <v>4</v>
      </c>
      <c r="AN1376">
        <v>434</v>
      </c>
      <c r="AO1376" t="s">
        <v>56</v>
      </c>
      <c r="AP1376">
        <v>80</v>
      </c>
      <c r="AQ1376" t="s">
        <v>109</v>
      </c>
      <c r="AR1376">
        <v>7.94</v>
      </c>
      <c r="AS1376" t="s">
        <v>56</v>
      </c>
      <c r="AT1376">
        <v>0.06</v>
      </c>
      <c r="AU1376">
        <v>804</v>
      </c>
      <c r="AV1376" t="s">
        <v>56</v>
      </c>
      <c r="AW1376">
        <v>172</v>
      </c>
      <c r="AX1376">
        <v>7.7</v>
      </c>
      <c r="AY1376" t="s">
        <v>56</v>
      </c>
      <c r="AZ1376">
        <v>0.06</v>
      </c>
      <c r="BB1376">
        <f>LOG(AU1376)</f>
        <v>2.9052560487484511</v>
      </c>
      <c r="BC1376">
        <v>7.9</v>
      </c>
      <c r="BD1376" t="s">
        <v>56</v>
      </c>
      <c r="BE1376">
        <v>0.1</v>
      </c>
      <c r="BF1376">
        <v>11.9</v>
      </c>
      <c r="BG1376" t="s">
        <v>56</v>
      </c>
      <c r="BH1376">
        <v>0.1</v>
      </c>
      <c r="BI1376">
        <v>370</v>
      </c>
      <c r="BJ1376">
        <v>4</v>
      </c>
      <c r="BK1376" t="s">
        <v>779</v>
      </c>
      <c r="BL1376" t="s">
        <v>206</v>
      </c>
      <c r="BM1376" t="s">
        <v>206</v>
      </c>
      <c r="BN1376" t="s">
        <v>60</v>
      </c>
      <c r="BO1376" t="s">
        <v>56</v>
      </c>
      <c r="BP1376" t="s">
        <v>194</v>
      </c>
      <c r="BQ1376" s="8" t="s">
        <v>83</v>
      </c>
      <c r="BR1376" t="s">
        <v>63</v>
      </c>
      <c r="BT1376">
        <v>1.03</v>
      </c>
      <c r="BU1376">
        <v>1.03</v>
      </c>
      <c r="BV1376">
        <v>0.2</v>
      </c>
      <c r="BW1376">
        <f>BV1376*SQRT(AK1376)</f>
        <v>0.4</v>
      </c>
      <c r="BX1376">
        <v>0.88</v>
      </c>
      <c r="BY1376">
        <v>0.88</v>
      </c>
      <c r="BZ1376">
        <v>0.12</v>
      </c>
      <c r="CA1376">
        <f>BZ1376*SQRT(AL1376)</f>
        <v>0.24</v>
      </c>
      <c r="CB1376">
        <v>180</v>
      </c>
      <c r="CC1376">
        <v>4</v>
      </c>
      <c r="CD1376">
        <v>-0.157</v>
      </c>
      <c r="CE1376">
        <v>5.6300000000000003E-2</v>
      </c>
    </row>
    <row r="1377" spans="4:83" hidden="1" x14ac:dyDescent="0.2">
      <c r="D1377">
        <v>101</v>
      </c>
      <c r="G1377" t="s">
        <v>43</v>
      </c>
      <c r="H1377" t="s">
        <v>776</v>
      </c>
      <c r="J1377">
        <v>2017</v>
      </c>
      <c r="M1377" t="s">
        <v>265</v>
      </c>
      <c r="T1377" t="s">
        <v>103</v>
      </c>
      <c r="U1377" t="s">
        <v>777</v>
      </c>
      <c r="V1377" t="s">
        <v>778</v>
      </c>
      <c r="Z1377" t="s">
        <v>49</v>
      </c>
      <c r="AA1377" t="s">
        <v>49</v>
      </c>
      <c r="AB1377" t="s">
        <v>50</v>
      </c>
      <c r="AC1377" t="s">
        <v>51</v>
      </c>
      <c r="AD1377" t="s">
        <v>52</v>
      </c>
      <c r="AE1377" t="s">
        <v>53</v>
      </c>
      <c r="AF1377" t="s">
        <v>52</v>
      </c>
      <c r="AG1377" t="s">
        <v>54</v>
      </c>
      <c r="AH1377" t="s">
        <v>55</v>
      </c>
      <c r="AK1377">
        <v>4</v>
      </c>
      <c r="AL1377">
        <v>4</v>
      </c>
      <c r="AN1377">
        <v>434</v>
      </c>
      <c r="AO1377" t="s">
        <v>56</v>
      </c>
      <c r="AP1377">
        <v>80</v>
      </c>
      <c r="AQ1377" t="s">
        <v>109</v>
      </c>
      <c r="AR1377">
        <v>7.94</v>
      </c>
      <c r="AS1377" t="s">
        <v>56</v>
      </c>
      <c r="AT1377">
        <v>0.06</v>
      </c>
      <c r="AU1377">
        <v>807</v>
      </c>
      <c r="AV1377" t="s">
        <v>56</v>
      </c>
      <c r="AW1377">
        <v>145</v>
      </c>
      <c r="AX1377">
        <v>7.75</v>
      </c>
      <c r="AY1377" t="s">
        <v>56</v>
      </c>
      <c r="AZ1377">
        <v>7.0000000000000007E-2</v>
      </c>
      <c r="BB1377">
        <f>LOG(AU1377)</f>
        <v>2.9068735347220702</v>
      </c>
      <c r="BC1377">
        <v>7.9</v>
      </c>
      <c r="BD1377" t="s">
        <v>56</v>
      </c>
      <c r="BE1377">
        <v>0.1</v>
      </c>
      <c r="BF1377">
        <v>7.9</v>
      </c>
      <c r="BG1377" t="s">
        <v>56</v>
      </c>
      <c r="BH1377">
        <v>0.1</v>
      </c>
      <c r="BI1377">
        <v>373</v>
      </c>
      <c r="BJ1377">
        <v>0</v>
      </c>
      <c r="BK1377" t="s">
        <v>779</v>
      </c>
      <c r="BL1377" t="s">
        <v>88</v>
      </c>
      <c r="BM1377" t="s">
        <v>83</v>
      </c>
      <c r="BN1377" t="s">
        <v>81</v>
      </c>
      <c r="BO1377" t="s">
        <v>82</v>
      </c>
      <c r="BP1377" t="s">
        <v>83</v>
      </c>
      <c r="BQ1377" s="8" t="s">
        <v>83</v>
      </c>
      <c r="BR1377" t="s">
        <v>84</v>
      </c>
      <c r="BT1377">
        <v>9.24</v>
      </c>
      <c r="BU1377">
        <v>90.76</v>
      </c>
      <c r="BV1377">
        <v>3.39</v>
      </c>
      <c r="BW1377">
        <f>BV1377*SQRT(AK1377)</f>
        <v>6.78</v>
      </c>
      <c r="BX1377">
        <v>13.12</v>
      </c>
      <c r="BY1377">
        <v>86.88</v>
      </c>
      <c r="BZ1377">
        <v>2.4300000000000002</v>
      </c>
      <c r="CA1377">
        <f>BZ1377*SQRT(AL1377)</f>
        <v>4.8600000000000003</v>
      </c>
      <c r="CB1377">
        <v>180</v>
      </c>
      <c r="CC1377">
        <v>4</v>
      </c>
      <c r="CD1377">
        <v>-4.3999999999999997E-2</v>
      </c>
      <c r="CE1377">
        <v>2.2000000000000001E-3</v>
      </c>
    </row>
    <row r="1378" spans="4:83" hidden="1" x14ac:dyDescent="0.2">
      <c r="D1378">
        <v>101</v>
      </c>
      <c r="G1378" t="s">
        <v>43</v>
      </c>
      <c r="H1378" t="s">
        <v>776</v>
      </c>
      <c r="J1378">
        <v>2017</v>
      </c>
      <c r="M1378" t="s">
        <v>265</v>
      </c>
      <c r="T1378" t="s">
        <v>103</v>
      </c>
      <c r="U1378" t="s">
        <v>777</v>
      </c>
      <c r="V1378" t="s">
        <v>778</v>
      </c>
      <c r="Z1378" t="s">
        <v>49</v>
      </c>
      <c r="AA1378" t="s">
        <v>49</v>
      </c>
      <c r="AB1378" t="s">
        <v>50</v>
      </c>
      <c r="AC1378" t="s">
        <v>51</v>
      </c>
      <c r="AD1378" t="s">
        <v>52</v>
      </c>
      <c r="AE1378" t="s">
        <v>53</v>
      </c>
      <c r="AF1378" t="s">
        <v>52</v>
      </c>
      <c r="AG1378" t="s">
        <v>52</v>
      </c>
      <c r="AH1378" t="s">
        <v>64</v>
      </c>
      <c r="AK1378">
        <v>4</v>
      </c>
      <c r="AL1378">
        <v>4</v>
      </c>
      <c r="AN1378">
        <v>434</v>
      </c>
      <c r="AO1378" t="s">
        <v>56</v>
      </c>
      <c r="AP1378">
        <v>80</v>
      </c>
      <c r="AQ1378" t="s">
        <v>109</v>
      </c>
      <c r="AR1378">
        <v>7.94</v>
      </c>
      <c r="AS1378" t="s">
        <v>56</v>
      </c>
      <c r="AT1378">
        <v>0.06</v>
      </c>
      <c r="AU1378">
        <v>804</v>
      </c>
      <c r="AV1378" t="s">
        <v>56</v>
      </c>
      <c r="AW1378">
        <v>172</v>
      </c>
      <c r="AX1378">
        <v>7.7</v>
      </c>
      <c r="AY1378" t="s">
        <v>56</v>
      </c>
      <c r="AZ1378">
        <v>0.06</v>
      </c>
      <c r="BB1378">
        <f>LOG(AU1378)</f>
        <v>2.9052560487484511</v>
      </c>
      <c r="BC1378">
        <v>7.9</v>
      </c>
      <c r="BD1378" t="s">
        <v>56</v>
      </c>
      <c r="BE1378">
        <v>0.1</v>
      </c>
      <c r="BF1378">
        <v>11.9</v>
      </c>
      <c r="BG1378" t="s">
        <v>56</v>
      </c>
      <c r="BH1378">
        <v>0.1</v>
      </c>
      <c r="BI1378">
        <v>370</v>
      </c>
      <c r="BJ1378">
        <v>4</v>
      </c>
      <c r="BK1378" t="s">
        <v>779</v>
      </c>
      <c r="BL1378" t="s">
        <v>88</v>
      </c>
      <c r="BM1378" t="s">
        <v>83</v>
      </c>
      <c r="BN1378" t="s">
        <v>81</v>
      </c>
      <c r="BO1378" t="s">
        <v>82</v>
      </c>
      <c r="BP1378" t="s">
        <v>83</v>
      </c>
      <c r="BQ1378" s="8" t="s">
        <v>83</v>
      </c>
      <c r="BR1378" t="s">
        <v>84</v>
      </c>
      <c r="BT1378">
        <v>9.24</v>
      </c>
      <c r="BU1378">
        <v>90.76</v>
      </c>
      <c r="BV1378">
        <v>3.39</v>
      </c>
      <c r="BW1378">
        <f>BV1378*SQRT(AK1378)</f>
        <v>6.78</v>
      </c>
      <c r="BX1378">
        <v>12.49</v>
      </c>
      <c r="BY1378">
        <v>87.51</v>
      </c>
      <c r="BZ1378">
        <v>7.9</v>
      </c>
      <c r="CA1378">
        <f>BZ1378*SQRT(AL1378)</f>
        <v>15.8</v>
      </c>
      <c r="CB1378">
        <v>180</v>
      </c>
      <c r="CC1378">
        <v>4</v>
      </c>
      <c r="CD1378">
        <v>-3.5999999999999997E-2</v>
      </c>
      <c r="CE1378">
        <v>9.4999999999999998E-3</v>
      </c>
    </row>
    <row r="1379" spans="4:83" hidden="1" x14ac:dyDescent="0.2">
      <c r="D1379">
        <v>101</v>
      </c>
      <c r="G1379" t="s">
        <v>43</v>
      </c>
      <c r="H1379" t="s">
        <v>776</v>
      </c>
      <c r="J1379">
        <v>2017</v>
      </c>
      <c r="M1379" t="s">
        <v>265</v>
      </c>
      <c r="T1379" t="s">
        <v>103</v>
      </c>
      <c r="U1379" t="s">
        <v>777</v>
      </c>
      <c r="V1379" t="s">
        <v>778</v>
      </c>
      <c r="Z1379" t="s">
        <v>49</v>
      </c>
      <c r="AA1379" t="s">
        <v>49</v>
      </c>
      <c r="AB1379" t="s">
        <v>50</v>
      </c>
      <c r="AC1379" t="s">
        <v>51</v>
      </c>
      <c r="AD1379" t="s">
        <v>52</v>
      </c>
      <c r="AE1379" t="s">
        <v>53</v>
      </c>
      <c r="AF1379" t="s">
        <v>54</v>
      </c>
      <c r="AG1379" t="s">
        <v>52</v>
      </c>
      <c r="AH1379" t="s">
        <v>65</v>
      </c>
      <c r="AK1379">
        <v>4</v>
      </c>
      <c r="AL1379">
        <v>4</v>
      </c>
      <c r="AN1379">
        <v>434</v>
      </c>
      <c r="AO1379" t="s">
        <v>56</v>
      </c>
      <c r="AP1379">
        <v>80</v>
      </c>
      <c r="AQ1379" t="s">
        <v>109</v>
      </c>
      <c r="AR1379">
        <v>7.94</v>
      </c>
      <c r="AS1379" t="s">
        <v>56</v>
      </c>
      <c r="AT1379">
        <v>0.06</v>
      </c>
      <c r="AU1379">
        <v>392</v>
      </c>
      <c r="AV1379" t="s">
        <v>56</v>
      </c>
      <c r="AW1379">
        <v>66</v>
      </c>
      <c r="AX1379">
        <v>7.9</v>
      </c>
      <c r="AY1379" t="s">
        <v>56</v>
      </c>
      <c r="AZ1379">
        <v>0.05</v>
      </c>
      <c r="BB1379">
        <f>LOG(AU1379)</f>
        <v>2.5932860670204572</v>
      </c>
      <c r="BC1379">
        <v>7.9</v>
      </c>
      <c r="BD1379" t="s">
        <v>56</v>
      </c>
      <c r="BE1379">
        <v>0.1</v>
      </c>
      <c r="BF1379">
        <v>11.9</v>
      </c>
      <c r="BG1379" t="s">
        <v>56</v>
      </c>
      <c r="BH1379">
        <v>0</v>
      </c>
      <c r="BI1379">
        <v>-42</v>
      </c>
      <c r="BJ1379">
        <v>4</v>
      </c>
      <c r="BK1379" t="s">
        <v>779</v>
      </c>
      <c r="BL1379" t="s">
        <v>88</v>
      </c>
      <c r="BM1379" t="s">
        <v>83</v>
      </c>
      <c r="BN1379" t="s">
        <v>81</v>
      </c>
      <c r="BO1379" t="s">
        <v>82</v>
      </c>
      <c r="BP1379" t="s">
        <v>83</v>
      </c>
      <c r="BQ1379" s="8" t="s">
        <v>83</v>
      </c>
      <c r="BR1379" t="s">
        <v>84</v>
      </c>
      <c r="BT1379">
        <v>9.24</v>
      </c>
      <c r="BU1379">
        <v>90.76</v>
      </c>
      <c r="BV1379">
        <v>3.39</v>
      </c>
      <c r="BW1379">
        <f>BV1379*SQRT(AK1379)</f>
        <v>6.78</v>
      </c>
      <c r="BX1379">
        <v>6.98</v>
      </c>
      <c r="BY1379">
        <v>93.02</v>
      </c>
      <c r="BZ1379">
        <v>3.97</v>
      </c>
      <c r="CA1379">
        <f>BZ1379*SQRT(AL1379)</f>
        <v>7.94</v>
      </c>
      <c r="CB1379">
        <v>180</v>
      </c>
      <c r="CC1379">
        <v>4</v>
      </c>
      <c r="CD1379">
        <v>2.5000000000000001E-2</v>
      </c>
      <c r="CE1379">
        <v>3.2000000000000002E-3</v>
      </c>
    </row>
    <row r="1380" spans="4:83" hidden="1" x14ac:dyDescent="0.2">
      <c r="D1380">
        <v>101</v>
      </c>
      <c r="G1380" t="s">
        <v>43</v>
      </c>
      <c r="H1380" t="s">
        <v>776</v>
      </c>
      <c r="J1380">
        <v>2017</v>
      </c>
      <c r="M1380" t="s">
        <v>265</v>
      </c>
      <c r="T1380" t="s">
        <v>103</v>
      </c>
      <c r="U1380" t="s">
        <v>777</v>
      </c>
      <c r="V1380" t="s">
        <v>778</v>
      </c>
      <c r="Z1380" t="s">
        <v>49</v>
      </c>
      <c r="AA1380" t="s">
        <v>49</v>
      </c>
      <c r="AB1380" t="s">
        <v>50</v>
      </c>
      <c r="AC1380" t="s">
        <v>51</v>
      </c>
      <c r="AD1380" t="s">
        <v>52</v>
      </c>
      <c r="AE1380" t="s">
        <v>53</v>
      </c>
      <c r="AF1380" t="s">
        <v>52</v>
      </c>
      <c r="AG1380" t="s">
        <v>54</v>
      </c>
      <c r="AH1380" t="s">
        <v>55</v>
      </c>
      <c r="AK1380">
        <v>4</v>
      </c>
      <c r="AL1380">
        <v>4</v>
      </c>
      <c r="AN1380">
        <v>434</v>
      </c>
      <c r="AO1380" t="s">
        <v>56</v>
      </c>
      <c r="AP1380">
        <v>80</v>
      </c>
      <c r="AQ1380" t="s">
        <v>109</v>
      </c>
      <c r="AR1380">
        <v>7.94</v>
      </c>
      <c r="AS1380" t="s">
        <v>56</v>
      </c>
      <c r="AT1380">
        <v>0.06</v>
      </c>
      <c r="AU1380">
        <v>807</v>
      </c>
      <c r="AV1380" t="s">
        <v>56</v>
      </c>
      <c r="AW1380">
        <v>145</v>
      </c>
      <c r="AX1380">
        <v>7.75</v>
      </c>
      <c r="AY1380" t="s">
        <v>56</v>
      </c>
      <c r="AZ1380">
        <v>7.0000000000000007E-2</v>
      </c>
      <c r="BB1380">
        <f>LOG(AU1380)</f>
        <v>2.9068735347220702</v>
      </c>
      <c r="BC1380">
        <v>7.9</v>
      </c>
      <c r="BD1380" t="s">
        <v>56</v>
      </c>
      <c r="BE1380">
        <v>0.1</v>
      </c>
      <c r="BF1380">
        <v>7.9</v>
      </c>
      <c r="BG1380" t="s">
        <v>56</v>
      </c>
      <c r="BH1380">
        <v>0.1</v>
      </c>
      <c r="BI1380">
        <v>373</v>
      </c>
      <c r="BJ1380">
        <v>0</v>
      </c>
      <c r="BK1380" t="s">
        <v>779</v>
      </c>
      <c r="BL1380" t="s">
        <v>206</v>
      </c>
      <c r="BM1380" t="s">
        <v>206</v>
      </c>
      <c r="BN1380" t="s">
        <v>60</v>
      </c>
      <c r="BO1380" t="s">
        <v>56</v>
      </c>
      <c r="BP1380" t="s">
        <v>194</v>
      </c>
      <c r="BQ1380" s="8" t="s">
        <v>83</v>
      </c>
      <c r="BR1380" t="s">
        <v>63</v>
      </c>
      <c r="BT1380">
        <v>1.03</v>
      </c>
      <c r="BU1380">
        <v>1.03</v>
      </c>
      <c r="BV1380">
        <v>0.2</v>
      </c>
      <c r="BW1380">
        <f>BV1380*SQRT(AK1380)</f>
        <v>0.4</v>
      </c>
      <c r="BX1380">
        <v>1.1299999999999999</v>
      </c>
      <c r="BY1380">
        <v>1.1299999999999999</v>
      </c>
      <c r="BZ1380">
        <v>0.06</v>
      </c>
      <c r="CA1380">
        <f>BZ1380*SQRT(AL1380)</f>
        <v>0.12</v>
      </c>
      <c r="CB1380">
        <v>180</v>
      </c>
      <c r="CC1380">
        <v>4</v>
      </c>
      <c r="CD1380">
        <v>9.2999999999999999E-2</v>
      </c>
      <c r="CE1380">
        <v>4.0500000000000001E-2</v>
      </c>
    </row>
    <row r="1381" spans="4:83" hidden="1" x14ac:dyDescent="0.2">
      <c r="D1381">
        <v>101</v>
      </c>
      <c r="G1381" t="s">
        <v>43</v>
      </c>
      <c r="H1381" t="s">
        <v>776</v>
      </c>
      <c r="J1381">
        <v>2017</v>
      </c>
      <c r="M1381" t="s">
        <v>265</v>
      </c>
      <c r="T1381" t="s">
        <v>103</v>
      </c>
      <c r="U1381" t="s">
        <v>777</v>
      </c>
      <c r="V1381" t="s">
        <v>778</v>
      </c>
      <c r="Z1381" t="s">
        <v>49</v>
      </c>
      <c r="AA1381" t="s">
        <v>49</v>
      </c>
      <c r="AB1381" t="s">
        <v>50</v>
      </c>
      <c r="AC1381" t="s">
        <v>51</v>
      </c>
      <c r="AD1381" t="s">
        <v>52</v>
      </c>
      <c r="AE1381" t="s">
        <v>53</v>
      </c>
      <c r="AF1381" t="s">
        <v>52</v>
      </c>
      <c r="AG1381" t="s">
        <v>52</v>
      </c>
      <c r="AH1381" t="s">
        <v>64</v>
      </c>
      <c r="AK1381">
        <v>4</v>
      </c>
      <c r="AL1381">
        <v>4</v>
      </c>
      <c r="AN1381">
        <v>434</v>
      </c>
      <c r="AO1381" t="s">
        <v>56</v>
      </c>
      <c r="AP1381">
        <v>80</v>
      </c>
      <c r="AQ1381" t="s">
        <v>109</v>
      </c>
      <c r="AR1381">
        <v>7.94</v>
      </c>
      <c r="AS1381" t="s">
        <v>56</v>
      </c>
      <c r="AT1381">
        <v>0.06</v>
      </c>
      <c r="AU1381">
        <v>804</v>
      </c>
      <c r="AV1381" t="s">
        <v>56</v>
      </c>
      <c r="AW1381">
        <v>172</v>
      </c>
      <c r="AX1381">
        <v>7.7</v>
      </c>
      <c r="AY1381" t="s">
        <v>56</v>
      </c>
      <c r="AZ1381">
        <v>0.06</v>
      </c>
      <c r="BB1381">
        <f>LOG(AU1381)</f>
        <v>2.9052560487484511</v>
      </c>
      <c r="BC1381">
        <v>7.9</v>
      </c>
      <c r="BD1381" t="s">
        <v>56</v>
      </c>
      <c r="BE1381">
        <v>0.1</v>
      </c>
      <c r="BF1381">
        <v>11.9</v>
      </c>
      <c r="BG1381" t="s">
        <v>56</v>
      </c>
      <c r="BH1381">
        <v>0.1</v>
      </c>
      <c r="BI1381">
        <v>370</v>
      </c>
      <c r="BJ1381">
        <v>4</v>
      </c>
      <c r="BK1381" t="s">
        <v>779</v>
      </c>
      <c r="BL1381" t="s">
        <v>774</v>
      </c>
      <c r="BM1381" t="s">
        <v>262</v>
      </c>
      <c r="BN1381" t="s">
        <v>81</v>
      </c>
      <c r="BO1381" t="s">
        <v>780</v>
      </c>
      <c r="BP1381" t="s">
        <v>450</v>
      </c>
      <c r="BQ1381" s="8" t="s">
        <v>83</v>
      </c>
      <c r="BR1381" t="s">
        <v>63</v>
      </c>
      <c r="BT1381">
        <v>0.01</v>
      </c>
      <c r="BU1381">
        <v>6.0000000000000001E-3</v>
      </c>
      <c r="BV1381">
        <v>0</v>
      </c>
      <c r="BW1381">
        <f>BV1381*SQRT(AK1381)</f>
        <v>0</v>
      </c>
      <c r="BX1381">
        <v>0.01</v>
      </c>
      <c r="BY1381">
        <v>8.9999999999999993E-3</v>
      </c>
      <c r="BZ1381">
        <v>0</v>
      </c>
      <c r="CA1381">
        <f>BZ1381*SQRT(AL1381)</f>
        <v>0</v>
      </c>
      <c r="CB1381">
        <v>180</v>
      </c>
      <c r="CC1381">
        <v>4</v>
      </c>
      <c r="CD1381">
        <v>0.40500000000000003</v>
      </c>
      <c r="CE1381">
        <v>0.2014</v>
      </c>
    </row>
    <row r="1382" spans="4:83" hidden="1" x14ac:dyDescent="0.2">
      <c r="D1382">
        <v>101</v>
      </c>
      <c r="G1382" t="s">
        <v>43</v>
      </c>
      <c r="H1382" t="s">
        <v>776</v>
      </c>
      <c r="J1382">
        <v>2017</v>
      </c>
      <c r="M1382" t="s">
        <v>265</v>
      </c>
      <c r="T1382" t="s">
        <v>103</v>
      </c>
      <c r="U1382" t="s">
        <v>777</v>
      </c>
      <c r="V1382" t="s">
        <v>778</v>
      </c>
      <c r="Z1382" t="s">
        <v>49</v>
      </c>
      <c r="AA1382" t="s">
        <v>49</v>
      </c>
      <c r="AB1382" t="s">
        <v>50</v>
      </c>
      <c r="AC1382" t="s">
        <v>51</v>
      </c>
      <c r="AD1382" t="s">
        <v>52</v>
      </c>
      <c r="AE1382" t="s">
        <v>53</v>
      </c>
      <c r="AF1382" t="s">
        <v>54</v>
      </c>
      <c r="AG1382" t="s">
        <v>52</v>
      </c>
      <c r="AH1382" t="s">
        <v>65</v>
      </c>
      <c r="AK1382">
        <v>4</v>
      </c>
      <c r="AL1382">
        <v>4</v>
      </c>
      <c r="AN1382">
        <v>434</v>
      </c>
      <c r="AO1382" t="s">
        <v>56</v>
      </c>
      <c r="AP1382">
        <v>80</v>
      </c>
      <c r="AQ1382" t="s">
        <v>109</v>
      </c>
      <c r="AR1382">
        <v>7.94</v>
      </c>
      <c r="AS1382" t="s">
        <v>56</v>
      </c>
      <c r="AT1382">
        <v>0.06</v>
      </c>
      <c r="AU1382">
        <v>392</v>
      </c>
      <c r="AV1382" t="s">
        <v>56</v>
      </c>
      <c r="AW1382">
        <v>66</v>
      </c>
      <c r="AX1382">
        <v>7.9</v>
      </c>
      <c r="AY1382" t="s">
        <v>56</v>
      </c>
      <c r="AZ1382">
        <v>0.05</v>
      </c>
      <c r="BB1382">
        <f>LOG(AU1382)</f>
        <v>2.5932860670204572</v>
      </c>
      <c r="BC1382">
        <v>7.9</v>
      </c>
      <c r="BD1382" t="s">
        <v>56</v>
      </c>
      <c r="BE1382">
        <v>0.1</v>
      </c>
      <c r="BF1382">
        <v>11.9</v>
      </c>
      <c r="BG1382" t="s">
        <v>56</v>
      </c>
      <c r="BH1382">
        <v>0</v>
      </c>
      <c r="BI1382">
        <v>-42</v>
      </c>
      <c r="BJ1382">
        <v>4</v>
      </c>
      <c r="BK1382" t="s">
        <v>779</v>
      </c>
      <c r="BL1382" t="s">
        <v>206</v>
      </c>
      <c r="BM1382" t="s">
        <v>206</v>
      </c>
      <c r="BN1382" t="s">
        <v>60</v>
      </c>
      <c r="BO1382" t="s">
        <v>56</v>
      </c>
      <c r="BP1382" t="s">
        <v>194</v>
      </c>
      <c r="BQ1382" s="8" t="s">
        <v>83</v>
      </c>
      <c r="BR1382" t="s">
        <v>63</v>
      </c>
      <c r="BT1382">
        <v>1.03</v>
      </c>
      <c r="BU1382">
        <v>1.03</v>
      </c>
      <c r="BV1382">
        <v>0.2</v>
      </c>
      <c r="BW1382">
        <f>BV1382*SQRT(AK1382)</f>
        <v>0.4</v>
      </c>
      <c r="BX1382">
        <v>1.84</v>
      </c>
      <c r="BY1382">
        <v>1.84</v>
      </c>
      <c r="BZ1382">
        <v>0.25</v>
      </c>
      <c r="CA1382">
        <f>BZ1382*SQRT(AL1382)</f>
        <v>0.5</v>
      </c>
      <c r="CB1382">
        <v>180</v>
      </c>
      <c r="CC1382">
        <v>4</v>
      </c>
      <c r="CD1382">
        <v>0.57999999999999996</v>
      </c>
      <c r="CE1382">
        <v>5.5399999999999998E-2</v>
      </c>
    </row>
    <row r="1383" spans="4:83" hidden="1" x14ac:dyDescent="0.2">
      <c r="D1383">
        <v>101</v>
      </c>
      <c r="G1383" t="s">
        <v>43</v>
      </c>
      <c r="H1383" t="s">
        <v>776</v>
      </c>
      <c r="J1383">
        <v>2017</v>
      </c>
      <c r="M1383" t="s">
        <v>265</v>
      </c>
      <c r="T1383" t="s">
        <v>103</v>
      </c>
      <c r="U1383" t="s">
        <v>777</v>
      </c>
      <c r="V1383" t="s">
        <v>778</v>
      </c>
      <c r="Z1383" t="s">
        <v>49</v>
      </c>
      <c r="AA1383" t="s">
        <v>49</v>
      </c>
      <c r="AB1383" t="s">
        <v>50</v>
      </c>
      <c r="AC1383" t="s">
        <v>51</v>
      </c>
      <c r="AD1383" t="s">
        <v>52</v>
      </c>
      <c r="AE1383" t="s">
        <v>53</v>
      </c>
      <c r="AF1383" t="s">
        <v>54</v>
      </c>
      <c r="AG1383" t="s">
        <v>52</v>
      </c>
      <c r="AH1383" t="s">
        <v>65</v>
      </c>
      <c r="AK1383">
        <v>4</v>
      </c>
      <c r="AL1383">
        <v>4</v>
      </c>
      <c r="AN1383">
        <v>434</v>
      </c>
      <c r="AO1383" t="s">
        <v>56</v>
      </c>
      <c r="AP1383">
        <v>80</v>
      </c>
      <c r="AQ1383" t="s">
        <v>109</v>
      </c>
      <c r="AR1383">
        <v>7.94</v>
      </c>
      <c r="AS1383" t="s">
        <v>56</v>
      </c>
      <c r="AT1383">
        <v>0.06</v>
      </c>
      <c r="AU1383">
        <v>392</v>
      </c>
      <c r="AV1383" t="s">
        <v>56</v>
      </c>
      <c r="AW1383">
        <v>66</v>
      </c>
      <c r="AX1383">
        <v>7.9</v>
      </c>
      <c r="AY1383" t="s">
        <v>56</v>
      </c>
      <c r="AZ1383">
        <v>0.05</v>
      </c>
      <c r="BB1383">
        <f>LOG(AU1383)</f>
        <v>2.5932860670204572</v>
      </c>
      <c r="BC1383">
        <v>7.9</v>
      </c>
      <c r="BD1383" t="s">
        <v>56</v>
      </c>
      <c r="BE1383">
        <v>0.1</v>
      </c>
      <c r="BF1383">
        <v>11.9</v>
      </c>
      <c r="BG1383" t="s">
        <v>56</v>
      </c>
      <c r="BH1383">
        <v>0</v>
      </c>
      <c r="BI1383">
        <v>-42</v>
      </c>
      <c r="BJ1383">
        <v>4</v>
      </c>
      <c r="BK1383" t="s">
        <v>779</v>
      </c>
      <c r="BL1383" t="s">
        <v>774</v>
      </c>
      <c r="BM1383" t="s">
        <v>262</v>
      </c>
      <c r="BN1383" t="s">
        <v>81</v>
      </c>
      <c r="BO1383" t="s">
        <v>780</v>
      </c>
      <c r="BP1383" t="s">
        <v>450</v>
      </c>
      <c r="BQ1383" s="8" t="s">
        <v>83</v>
      </c>
      <c r="BR1383" t="s">
        <v>63</v>
      </c>
      <c r="BT1383">
        <v>0.01</v>
      </c>
      <c r="BU1383">
        <v>6.0000000000000001E-3</v>
      </c>
      <c r="BV1383">
        <v>0</v>
      </c>
      <c r="BW1383">
        <f>BV1383*SQRT(AK1383)</f>
        <v>0</v>
      </c>
      <c r="BX1383">
        <v>0.02</v>
      </c>
      <c r="BY1383">
        <v>1.7000000000000001E-2</v>
      </c>
      <c r="BZ1383">
        <v>0</v>
      </c>
      <c r="CA1383">
        <f>BZ1383*SQRT(AL1383)</f>
        <v>0</v>
      </c>
      <c r="CB1383">
        <v>180</v>
      </c>
      <c r="CC1383">
        <v>4</v>
      </c>
      <c r="CD1383">
        <v>1.0409999999999999</v>
      </c>
      <c r="CE1383">
        <v>0.20480000000000001</v>
      </c>
    </row>
    <row r="1384" spans="4:83" hidden="1" x14ac:dyDescent="0.2">
      <c r="D1384">
        <v>103</v>
      </c>
      <c r="G1384" t="s">
        <v>43</v>
      </c>
      <c r="H1384" t="s">
        <v>781</v>
      </c>
      <c r="J1384">
        <v>2012</v>
      </c>
      <c r="M1384" t="s">
        <v>782</v>
      </c>
      <c r="T1384" t="s">
        <v>131</v>
      </c>
      <c r="U1384" t="s">
        <v>300</v>
      </c>
      <c r="V1384" t="s">
        <v>783</v>
      </c>
      <c r="Z1384" t="s">
        <v>49</v>
      </c>
      <c r="AA1384" t="s">
        <v>49</v>
      </c>
      <c r="AB1384" t="s">
        <v>50</v>
      </c>
      <c r="AC1384" t="s">
        <v>51</v>
      </c>
      <c r="AD1384" t="s">
        <v>52</v>
      </c>
      <c r="AE1384" t="s">
        <v>134</v>
      </c>
      <c r="AF1384" t="s">
        <v>54</v>
      </c>
      <c r="AG1384" t="s">
        <v>52</v>
      </c>
      <c r="AH1384" t="s">
        <v>65</v>
      </c>
      <c r="AK1384">
        <v>5</v>
      </c>
      <c r="AL1384">
        <v>5</v>
      </c>
      <c r="AN1384">
        <v>715</v>
      </c>
      <c r="AO1384" t="s">
        <v>56</v>
      </c>
      <c r="AP1384">
        <v>30</v>
      </c>
      <c r="AQ1384" t="s">
        <v>57</v>
      </c>
      <c r="AR1384">
        <v>8.2100000000000009</v>
      </c>
      <c r="AS1384" t="s">
        <v>56</v>
      </c>
      <c r="AT1384">
        <v>0.01</v>
      </c>
      <c r="AU1384">
        <v>642</v>
      </c>
      <c r="AV1384" t="s">
        <v>56</v>
      </c>
      <c r="AW1384">
        <v>50</v>
      </c>
      <c r="AX1384">
        <v>8.2200000000000006</v>
      </c>
      <c r="AY1384" t="s">
        <v>56</v>
      </c>
      <c r="AZ1384">
        <v>0.01</v>
      </c>
      <c r="BB1384">
        <f>LOG(AU1384)</f>
        <v>2.8075350280688531</v>
      </c>
      <c r="BC1384">
        <v>19.5</v>
      </c>
      <c r="BD1384" t="s">
        <v>56</v>
      </c>
      <c r="BE1384">
        <v>0.3</v>
      </c>
      <c r="BF1384">
        <v>23.3</v>
      </c>
      <c r="BG1384" t="s">
        <v>56</v>
      </c>
      <c r="BH1384">
        <v>0.4</v>
      </c>
      <c r="BI1384">
        <v>-73</v>
      </c>
      <c r="BJ1384">
        <v>3.9</v>
      </c>
      <c r="BK1384" t="s">
        <v>56</v>
      </c>
      <c r="BL1384" t="s">
        <v>784</v>
      </c>
      <c r="BM1384" t="s">
        <v>253</v>
      </c>
      <c r="BN1384" t="s">
        <v>81</v>
      </c>
      <c r="BO1384" t="s">
        <v>785</v>
      </c>
      <c r="BP1384" t="s">
        <v>92</v>
      </c>
      <c r="BQ1384" s="8" t="s">
        <v>83</v>
      </c>
      <c r="BR1384" t="s">
        <v>84</v>
      </c>
      <c r="BT1384">
        <v>0.6</v>
      </c>
      <c r="BU1384">
        <v>0.6</v>
      </c>
      <c r="BV1384">
        <v>0.11</v>
      </c>
      <c r="BW1384">
        <f>BV1384*SQRT(AK1384)</f>
        <v>0.24596747752497689</v>
      </c>
      <c r="BX1384">
        <v>0.3</v>
      </c>
      <c r="BY1384">
        <v>0.29714289999999999</v>
      </c>
      <c r="BZ1384">
        <v>0.02</v>
      </c>
      <c r="CA1384">
        <f>BZ1384*SQRT(AL1384)</f>
        <v>4.4721359549995794E-2</v>
      </c>
      <c r="CB1384">
        <v>35</v>
      </c>
      <c r="CC1384">
        <v>5</v>
      </c>
      <c r="CD1384">
        <v>-0.70299999999999996</v>
      </c>
      <c r="CE1384">
        <v>3.61E-2</v>
      </c>
    </row>
    <row r="1385" spans="4:83" hidden="1" x14ac:dyDescent="0.2">
      <c r="D1385">
        <v>103</v>
      </c>
      <c r="G1385" t="s">
        <v>43</v>
      </c>
      <c r="H1385" t="s">
        <v>781</v>
      </c>
      <c r="J1385">
        <v>2012</v>
      </c>
      <c r="M1385" t="s">
        <v>782</v>
      </c>
      <c r="T1385" t="s">
        <v>131</v>
      </c>
      <c r="U1385" t="s">
        <v>300</v>
      </c>
      <c r="V1385" t="s">
        <v>783</v>
      </c>
      <c r="Z1385" t="s">
        <v>49</v>
      </c>
      <c r="AA1385" t="s">
        <v>49</v>
      </c>
      <c r="AB1385" t="s">
        <v>50</v>
      </c>
      <c r="AC1385" t="s">
        <v>51</v>
      </c>
      <c r="AD1385" t="s">
        <v>52</v>
      </c>
      <c r="AE1385" t="s">
        <v>134</v>
      </c>
      <c r="AF1385" t="s">
        <v>54</v>
      </c>
      <c r="AG1385" t="s">
        <v>52</v>
      </c>
      <c r="AH1385" t="s">
        <v>65</v>
      </c>
      <c r="AK1385">
        <v>5</v>
      </c>
      <c r="AL1385">
        <v>5</v>
      </c>
      <c r="AN1385">
        <v>715</v>
      </c>
      <c r="AO1385" t="s">
        <v>56</v>
      </c>
      <c r="AP1385">
        <v>30</v>
      </c>
      <c r="AQ1385" t="s">
        <v>57</v>
      </c>
      <c r="AR1385">
        <v>8.2100000000000009</v>
      </c>
      <c r="AS1385" t="s">
        <v>56</v>
      </c>
      <c r="AT1385">
        <v>0.01</v>
      </c>
      <c r="AU1385">
        <v>642</v>
      </c>
      <c r="AV1385" t="s">
        <v>56</v>
      </c>
      <c r="AW1385">
        <v>50</v>
      </c>
      <c r="AX1385">
        <v>8.2200000000000006</v>
      </c>
      <c r="AY1385" t="s">
        <v>56</v>
      </c>
      <c r="AZ1385">
        <v>0.01</v>
      </c>
      <c r="BB1385">
        <f>LOG(AU1385)</f>
        <v>2.8075350280688531</v>
      </c>
      <c r="BC1385">
        <v>19.5</v>
      </c>
      <c r="BD1385" t="s">
        <v>56</v>
      </c>
      <c r="BE1385">
        <v>0.3</v>
      </c>
      <c r="BF1385">
        <v>23.3</v>
      </c>
      <c r="BG1385" t="s">
        <v>56</v>
      </c>
      <c r="BH1385">
        <v>0.4</v>
      </c>
      <c r="BI1385">
        <v>-73</v>
      </c>
      <c r="BJ1385">
        <v>3.9</v>
      </c>
      <c r="BK1385" t="s">
        <v>56</v>
      </c>
      <c r="BL1385" t="s">
        <v>786</v>
      </c>
      <c r="BM1385" t="s">
        <v>120</v>
      </c>
      <c r="BN1385" t="s">
        <v>81</v>
      </c>
      <c r="BO1385" t="s">
        <v>121</v>
      </c>
      <c r="BP1385" t="s">
        <v>83</v>
      </c>
      <c r="BQ1385" s="8" t="s">
        <v>83</v>
      </c>
      <c r="BR1385" t="s">
        <v>84</v>
      </c>
      <c r="BT1385">
        <v>483.45</v>
      </c>
      <c r="BU1385">
        <v>483.453237</v>
      </c>
      <c r="BV1385">
        <v>107.91</v>
      </c>
      <c r="BW1385">
        <f>BV1385*SQRT(AK1385)</f>
        <v>241.29409545200232</v>
      </c>
      <c r="BX1385">
        <v>263.31</v>
      </c>
      <c r="BY1385">
        <v>263.30935249999999</v>
      </c>
      <c r="BZ1385">
        <v>17.27</v>
      </c>
      <c r="CA1385">
        <f>BZ1385*SQRT(AL1385)</f>
        <v>38.616893971421369</v>
      </c>
      <c r="CB1385">
        <v>35</v>
      </c>
      <c r="CC1385">
        <v>5</v>
      </c>
      <c r="CD1385">
        <v>-0.60799999999999998</v>
      </c>
      <c r="CE1385">
        <v>5.4100000000000002E-2</v>
      </c>
    </row>
    <row r="1386" spans="4:83" hidden="1" x14ac:dyDescent="0.2">
      <c r="D1386">
        <v>103</v>
      </c>
      <c r="G1386" t="s">
        <v>43</v>
      </c>
      <c r="H1386" t="s">
        <v>781</v>
      </c>
      <c r="J1386">
        <v>2012</v>
      </c>
      <c r="M1386" t="s">
        <v>782</v>
      </c>
      <c r="T1386" t="s">
        <v>131</v>
      </c>
      <c r="U1386" t="s">
        <v>300</v>
      </c>
      <c r="V1386" t="s">
        <v>783</v>
      </c>
      <c r="Z1386" t="s">
        <v>49</v>
      </c>
      <c r="AA1386" t="s">
        <v>49</v>
      </c>
      <c r="AB1386" t="s">
        <v>50</v>
      </c>
      <c r="AC1386" t="s">
        <v>51</v>
      </c>
      <c r="AD1386" t="s">
        <v>52</v>
      </c>
      <c r="AE1386" t="s">
        <v>134</v>
      </c>
      <c r="AF1386" t="s">
        <v>52</v>
      </c>
      <c r="AG1386" t="s">
        <v>52</v>
      </c>
      <c r="AH1386" t="s">
        <v>64</v>
      </c>
      <c r="AK1386">
        <v>5</v>
      </c>
      <c r="AL1386">
        <v>5</v>
      </c>
      <c r="AN1386">
        <v>715</v>
      </c>
      <c r="AO1386" t="s">
        <v>56</v>
      </c>
      <c r="AP1386">
        <v>30</v>
      </c>
      <c r="AQ1386" t="s">
        <v>57</v>
      </c>
      <c r="AR1386">
        <v>8.2100000000000009</v>
      </c>
      <c r="AS1386" t="s">
        <v>56</v>
      </c>
      <c r="AT1386">
        <v>0.01</v>
      </c>
      <c r="AU1386">
        <v>1716</v>
      </c>
      <c r="AV1386" t="s">
        <v>56</v>
      </c>
      <c r="AW1386">
        <v>290</v>
      </c>
      <c r="AX1386">
        <v>7.86</v>
      </c>
      <c r="AY1386" t="s">
        <v>56</v>
      </c>
      <c r="AZ1386">
        <v>0.1</v>
      </c>
      <c r="BB1386">
        <f>LOG(AU1386)</f>
        <v>3.2345172835126865</v>
      </c>
      <c r="BC1386">
        <v>19.5</v>
      </c>
      <c r="BD1386" t="s">
        <v>56</v>
      </c>
      <c r="BE1386">
        <v>0.3</v>
      </c>
      <c r="BF1386">
        <v>23.3</v>
      </c>
      <c r="BG1386" t="s">
        <v>56</v>
      </c>
      <c r="BH1386">
        <v>0.4</v>
      </c>
      <c r="BI1386">
        <v>1001</v>
      </c>
      <c r="BJ1386">
        <v>3.8</v>
      </c>
      <c r="BK1386" t="s">
        <v>56</v>
      </c>
      <c r="BL1386" t="s">
        <v>784</v>
      </c>
      <c r="BM1386" t="s">
        <v>253</v>
      </c>
      <c r="BN1386" t="s">
        <v>81</v>
      </c>
      <c r="BO1386" t="s">
        <v>785</v>
      </c>
      <c r="BP1386" t="s">
        <v>92</v>
      </c>
      <c r="BQ1386" s="8" t="s">
        <v>83</v>
      </c>
      <c r="BR1386" t="s">
        <v>84</v>
      </c>
      <c r="BT1386">
        <v>0.6</v>
      </c>
      <c r="BU1386">
        <v>0.6</v>
      </c>
      <c r="BV1386">
        <v>0.11</v>
      </c>
      <c r="BW1386">
        <f>BV1386*SQRT(AK1386)</f>
        <v>0.24596747752497689</v>
      </c>
      <c r="BX1386">
        <v>0.36</v>
      </c>
      <c r="BY1386">
        <v>0.36</v>
      </c>
      <c r="BZ1386">
        <v>7.0000000000000007E-2</v>
      </c>
      <c r="CA1386">
        <f>BZ1386*SQRT(AL1386)</f>
        <v>0.15652475842498531</v>
      </c>
      <c r="CB1386">
        <v>35</v>
      </c>
      <c r="CC1386">
        <v>5</v>
      </c>
      <c r="CD1386">
        <v>-0.51100000000000001</v>
      </c>
      <c r="CE1386">
        <v>6.9000000000000006E-2</v>
      </c>
    </row>
    <row r="1387" spans="4:83" hidden="1" x14ac:dyDescent="0.2">
      <c r="D1387">
        <v>103</v>
      </c>
      <c r="G1387" t="s">
        <v>43</v>
      </c>
      <c r="H1387" t="s">
        <v>781</v>
      </c>
      <c r="J1387">
        <v>2012</v>
      </c>
      <c r="M1387" t="s">
        <v>782</v>
      </c>
      <c r="T1387" t="s">
        <v>131</v>
      </c>
      <c r="U1387" t="s">
        <v>300</v>
      </c>
      <c r="V1387" t="s">
        <v>783</v>
      </c>
      <c r="Z1387" t="s">
        <v>49</v>
      </c>
      <c r="AA1387" t="s">
        <v>49</v>
      </c>
      <c r="AB1387" t="s">
        <v>50</v>
      </c>
      <c r="AC1387" t="s">
        <v>51</v>
      </c>
      <c r="AD1387" t="s">
        <v>52</v>
      </c>
      <c r="AE1387" t="s">
        <v>134</v>
      </c>
      <c r="AF1387" t="s">
        <v>52</v>
      </c>
      <c r="AG1387" t="s">
        <v>52</v>
      </c>
      <c r="AH1387" t="s">
        <v>64</v>
      </c>
      <c r="AK1387">
        <v>5</v>
      </c>
      <c r="AL1387">
        <v>5</v>
      </c>
      <c r="AN1387">
        <v>715</v>
      </c>
      <c r="AO1387" t="s">
        <v>56</v>
      </c>
      <c r="AP1387">
        <v>30</v>
      </c>
      <c r="AQ1387" t="s">
        <v>57</v>
      </c>
      <c r="AR1387">
        <v>8.2100000000000009</v>
      </c>
      <c r="AS1387" t="s">
        <v>56</v>
      </c>
      <c r="AT1387">
        <v>0.01</v>
      </c>
      <c r="AU1387">
        <v>1716</v>
      </c>
      <c r="AV1387" t="s">
        <v>56</v>
      </c>
      <c r="AW1387">
        <v>290</v>
      </c>
      <c r="AX1387">
        <v>7.86</v>
      </c>
      <c r="AY1387" t="s">
        <v>56</v>
      </c>
      <c r="AZ1387">
        <v>0.1</v>
      </c>
      <c r="BB1387">
        <f>LOG(AU1387)</f>
        <v>3.2345172835126865</v>
      </c>
      <c r="BC1387">
        <v>19.5</v>
      </c>
      <c r="BD1387" t="s">
        <v>56</v>
      </c>
      <c r="BE1387">
        <v>0.3</v>
      </c>
      <c r="BF1387">
        <v>23.3</v>
      </c>
      <c r="BG1387" t="s">
        <v>56</v>
      </c>
      <c r="BH1387">
        <v>0.4</v>
      </c>
      <c r="BI1387">
        <v>1001</v>
      </c>
      <c r="BJ1387">
        <v>3.8</v>
      </c>
      <c r="BK1387" t="s">
        <v>56</v>
      </c>
      <c r="BL1387" t="s">
        <v>786</v>
      </c>
      <c r="BM1387" t="s">
        <v>120</v>
      </c>
      <c r="BN1387" t="s">
        <v>81</v>
      </c>
      <c r="BO1387" t="s">
        <v>121</v>
      </c>
      <c r="BP1387" t="s">
        <v>83</v>
      </c>
      <c r="BQ1387" s="8" t="s">
        <v>83</v>
      </c>
      <c r="BR1387" t="s">
        <v>84</v>
      </c>
      <c r="BT1387">
        <v>483.45</v>
      </c>
      <c r="BU1387">
        <v>483.453237</v>
      </c>
      <c r="BV1387">
        <v>107.91</v>
      </c>
      <c r="BW1387">
        <f>BV1387*SQRT(AK1387)</f>
        <v>241.29409545200232</v>
      </c>
      <c r="BX1387">
        <v>315.11</v>
      </c>
      <c r="BY1387">
        <v>315.10791369999998</v>
      </c>
      <c r="BZ1387">
        <v>43.17</v>
      </c>
      <c r="CA1387">
        <f>BZ1387*SQRT(AL1387)</f>
        <v>96.531054588665924</v>
      </c>
      <c r="CB1387">
        <v>35</v>
      </c>
      <c r="CC1387">
        <v>5</v>
      </c>
      <c r="CD1387">
        <v>-0.42799999999999999</v>
      </c>
      <c r="CE1387">
        <v>6.8599999999999994E-2</v>
      </c>
    </row>
    <row r="1388" spans="4:83" hidden="1" x14ac:dyDescent="0.2">
      <c r="D1388">
        <v>103</v>
      </c>
      <c r="G1388" t="s">
        <v>43</v>
      </c>
      <c r="H1388" t="s">
        <v>781</v>
      </c>
      <c r="J1388">
        <v>2012</v>
      </c>
      <c r="M1388" t="s">
        <v>782</v>
      </c>
      <c r="T1388" t="s">
        <v>131</v>
      </c>
      <c r="U1388" t="s">
        <v>300</v>
      </c>
      <c r="V1388" t="s">
        <v>783</v>
      </c>
      <c r="Z1388" t="s">
        <v>49</v>
      </c>
      <c r="AA1388" t="s">
        <v>49</v>
      </c>
      <c r="AB1388" t="s">
        <v>50</v>
      </c>
      <c r="AC1388" t="s">
        <v>51</v>
      </c>
      <c r="AD1388" t="s">
        <v>52</v>
      </c>
      <c r="AE1388" t="s">
        <v>134</v>
      </c>
      <c r="AF1388" t="s">
        <v>52</v>
      </c>
      <c r="AG1388" t="s">
        <v>54</v>
      </c>
      <c r="AH1388" t="s">
        <v>55</v>
      </c>
      <c r="AK1388">
        <v>5</v>
      </c>
      <c r="AL1388">
        <v>5</v>
      </c>
      <c r="AN1388">
        <v>715</v>
      </c>
      <c r="AO1388" t="s">
        <v>56</v>
      </c>
      <c r="AP1388">
        <v>30</v>
      </c>
      <c r="AQ1388" t="s">
        <v>57</v>
      </c>
      <c r="AR1388">
        <v>8.2100000000000009</v>
      </c>
      <c r="AS1388" t="s">
        <v>56</v>
      </c>
      <c r="AT1388">
        <v>0.01</v>
      </c>
      <c r="AU1388">
        <v>1868</v>
      </c>
      <c r="AV1388" t="s">
        <v>56</v>
      </c>
      <c r="AW1388">
        <v>190</v>
      </c>
      <c r="AX1388">
        <v>7.86</v>
      </c>
      <c r="AY1388" t="s">
        <v>56</v>
      </c>
      <c r="AZ1388">
        <v>0.01</v>
      </c>
      <c r="BB1388">
        <f>LOG(AU1388)</f>
        <v>3.2713768718940743</v>
      </c>
      <c r="BC1388">
        <v>19.5</v>
      </c>
      <c r="BD1388" t="s">
        <v>56</v>
      </c>
      <c r="BE1388">
        <v>0.3</v>
      </c>
      <c r="BF1388">
        <v>19.5</v>
      </c>
      <c r="BG1388" t="s">
        <v>56</v>
      </c>
      <c r="BH1388">
        <v>0.3</v>
      </c>
      <c r="BI1388">
        <v>1153</v>
      </c>
      <c r="BJ1388">
        <v>0.1</v>
      </c>
      <c r="BK1388" t="s">
        <v>56</v>
      </c>
      <c r="BL1388" t="s">
        <v>786</v>
      </c>
      <c r="BM1388" t="s">
        <v>120</v>
      </c>
      <c r="BN1388" t="s">
        <v>81</v>
      </c>
      <c r="BO1388" t="s">
        <v>121</v>
      </c>
      <c r="BP1388" t="s">
        <v>83</v>
      </c>
      <c r="BQ1388" s="8" t="s">
        <v>92</v>
      </c>
      <c r="BR1388" t="s">
        <v>84</v>
      </c>
      <c r="BT1388">
        <v>483.45</v>
      </c>
      <c r="BU1388">
        <v>483.453237</v>
      </c>
      <c r="BV1388">
        <v>107.91</v>
      </c>
      <c r="BW1388">
        <f>BV1388*SQRT(AK1388)</f>
        <v>241.29409545200232</v>
      </c>
      <c r="BX1388">
        <v>332.37</v>
      </c>
      <c r="BY1388">
        <v>332.37410069999999</v>
      </c>
      <c r="BZ1388">
        <v>73.38</v>
      </c>
      <c r="CA1388">
        <f>BZ1388*SQRT(AL1388)</f>
        <v>164.08266818893458</v>
      </c>
      <c r="CB1388">
        <v>35</v>
      </c>
      <c r="CC1388">
        <v>5</v>
      </c>
      <c r="CD1388">
        <v>-0.375</v>
      </c>
      <c r="CE1388">
        <v>9.8599999999999993E-2</v>
      </c>
    </row>
    <row r="1389" spans="4:83" hidden="1" x14ac:dyDescent="0.2">
      <c r="D1389">
        <v>103</v>
      </c>
      <c r="G1389" t="s">
        <v>43</v>
      </c>
      <c r="H1389" t="s">
        <v>781</v>
      </c>
      <c r="J1389">
        <v>2012</v>
      </c>
      <c r="M1389" t="s">
        <v>782</v>
      </c>
      <c r="T1389" t="s">
        <v>131</v>
      </c>
      <c r="U1389" t="s">
        <v>300</v>
      </c>
      <c r="V1389" t="s">
        <v>783</v>
      </c>
      <c r="Z1389" t="s">
        <v>49</v>
      </c>
      <c r="AA1389" t="s">
        <v>49</v>
      </c>
      <c r="AB1389" t="s">
        <v>50</v>
      </c>
      <c r="AC1389" t="s">
        <v>51</v>
      </c>
      <c r="AD1389" t="s">
        <v>52</v>
      </c>
      <c r="AE1389" t="s">
        <v>134</v>
      </c>
      <c r="AF1389" t="s">
        <v>52</v>
      </c>
      <c r="AG1389" t="s">
        <v>54</v>
      </c>
      <c r="AH1389" t="s">
        <v>55</v>
      </c>
      <c r="AK1389">
        <v>5</v>
      </c>
      <c r="AL1389">
        <v>5</v>
      </c>
      <c r="AN1389">
        <v>715</v>
      </c>
      <c r="AO1389" t="s">
        <v>56</v>
      </c>
      <c r="AP1389">
        <v>30</v>
      </c>
      <c r="AQ1389" t="s">
        <v>57</v>
      </c>
      <c r="AR1389">
        <v>8.2100000000000009</v>
      </c>
      <c r="AS1389" t="s">
        <v>56</v>
      </c>
      <c r="AT1389">
        <v>0.01</v>
      </c>
      <c r="AU1389">
        <v>1868</v>
      </c>
      <c r="AV1389" t="s">
        <v>56</v>
      </c>
      <c r="AW1389">
        <v>190</v>
      </c>
      <c r="AX1389">
        <v>7.86</v>
      </c>
      <c r="AY1389" t="s">
        <v>56</v>
      </c>
      <c r="AZ1389">
        <v>0.01</v>
      </c>
      <c r="BB1389">
        <f>LOG(AU1389)</f>
        <v>3.2713768718940743</v>
      </c>
      <c r="BC1389">
        <v>19.5</v>
      </c>
      <c r="BD1389" t="s">
        <v>56</v>
      </c>
      <c r="BE1389">
        <v>0.3</v>
      </c>
      <c r="BF1389">
        <v>19.5</v>
      </c>
      <c r="BG1389" t="s">
        <v>56</v>
      </c>
      <c r="BH1389">
        <v>0.3</v>
      </c>
      <c r="BI1389">
        <v>1153</v>
      </c>
      <c r="BJ1389">
        <v>0.1</v>
      </c>
      <c r="BK1389" t="s">
        <v>56</v>
      </c>
      <c r="BL1389" t="s">
        <v>784</v>
      </c>
      <c r="BM1389" t="s">
        <v>253</v>
      </c>
      <c r="BN1389" t="s">
        <v>81</v>
      </c>
      <c r="BO1389" t="s">
        <v>785</v>
      </c>
      <c r="BP1389" t="s">
        <v>92</v>
      </c>
      <c r="BQ1389" s="8" t="s">
        <v>83</v>
      </c>
      <c r="BR1389" t="s">
        <v>84</v>
      </c>
      <c r="BT1389">
        <v>0.6</v>
      </c>
      <c r="BU1389">
        <v>0.6</v>
      </c>
      <c r="BV1389">
        <v>0.11</v>
      </c>
      <c r="BW1389">
        <f>BV1389*SQRT(AK1389)</f>
        <v>0.24596747752497689</v>
      </c>
      <c r="BX1389">
        <v>0.43</v>
      </c>
      <c r="BY1389">
        <v>0.4342857</v>
      </c>
      <c r="BZ1389">
        <v>0.09</v>
      </c>
      <c r="CA1389">
        <f>BZ1389*SQRT(AL1389)</f>
        <v>0.20124611797498107</v>
      </c>
      <c r="CB1389">
        <v>35</v>
      </c>
      <c r="CC1389">
        <v>5</v>
      </c>
      <c r="CD1389">
        <v>-0.32300000000000001</v>
      </c>
      <c r="CE1389">
        <v>7.7100000000000002E-2</v>
      </c>
    </row>
    <row r="1390" spans="4:83" hidden="1" x14ac:dyDescent="0.2">
      <c r="D1390">
        <v>103</v>
      </c>
      <c r="G1390" t="s">
        <v>43</v>
      </c>
      <c r="H1390" t="s">
        <v>781</v>
      </c>
      <c r="J1390">
        <v>2012</v>
      </c>
      <c r="M1390" t="s">
        <v>782</v>
      </c>
      <c r="T1390" t="s">
        <v>68</v>
      </c>
      <c r="U1390" t="s">
        <v>258</v>
      </c>
      <c r="V1390" t="s">
        <v>259</v>
      </c>
      <c r="Z1390" t="s">
        <v>49</v>
      </c>
      <c r="AA1390" t="s">
        <v>49</v>
      </c>
      <c r="AB1390" t="s">
        <v>50</v>
      </c>
      <c r="AC1390" t="s">
        <v>51</v>
      </c>
      <c r="AD1390" t="s">
        <v>52</v>
      </c>
      <c r="AE1390" t="s">
        <v>53</v>
      </c>
      <c r="AF1390" t="s">
        <v>52</v>
      </c>
      <c r="AG1390" t="s">
        <v>54</v>
      </c>
      <c r="AH1390" t="s">
        <v>55</v>
      </c>
      <c r="AK1390">
        <v>5</v>
      </c>
      <c r="AL1390">
        <v>5</v>
      </c>
      <c r="AN1390">
        <v>715</v>
      </c>
      <c r="AO1390" t="s">
        <v>56</v>
      </c>
      <c r="AP1390">
        <v>30</v>
      </c>
      <c r="AQ1390" t="s">
        <v>57</v>
      </c>
      <c r="AR1390">
        <v>8.2100000000000009</v>
      </c>
      <c r="AS1390" t="s">
        <v>56</v>
      </c>
      <c r="AT1390">
        <v>0.01</v>
      </c>
      <c r="AU1390">
        <v>1868</v>
      </c>
      <c r="AV1390" t="s">
        <v>56</v>
      </c>
      <c r="AW1390">
        <v>190</v>
      </c>
      <c r="AX1390">
        <v>7.86</v>
      </c>
      <c r="AY1390" t="s">
        <v>56</v>
      </c>
      <c r="AZ1390">
        <v>0.01</v>
      </c>
      <c r="BB1390">
        <f>LOG(AU1390)</f>
        <v>3.2713768718940743</v>
      </c>
      <c r="BC1390">
        <v>19.5</v>
      </c>
      <c r="BD1390" t="s">
        <v>56</v>
      </c>
      <c r="BE1390">
        <v>0.3</v>
      </c>
      <c r="BF1390">
        <v>19.5</v>
      </c>
      <c r="BG1390" t="s">
        <v>56</v>
      </c>
      <c r="BH1390">
        <v>0.3</v>
      </c>
      <c r="BI1390">
        <v>1153</v>
      </c>
      <c r="BJ1390">
        <v>0.1</v>
      </c>
      <c r="BK1390" t="s">
        <v>56</v>
      </c>
      <c r="BL1390" t="s">
        <v>784</v>
      </c>
      <c r="BM1390" t="s">
        <v>253</v>
      </c>
      <c r="BN1390" t="s">
        <v>81</v>
      </c>
      <c r="BO1390" t="s">
        <v>785</v>
      </c>
      <c r="BP1390" t="s">
        <v>92</v>
      </c>
      <c r="BQ1390" s="8" t="s">
        <v>92</v>
      </c>
      <c r="BR1390" t="s">
        <v>84</v>
      </c>
      <c r="BT1390">
        <v>18.62</v>
      </c>
      <c r="BU1390">
        <v>18.617021000000001</v>
      </c>
      <c r="BV1390">
        <v>1.42</v>
      </c>
      <c r="BW1390">
        <f>BV1390*SQRT(AK1390)</f>
        <v>3.1752165280497016</v>
      </c>
      <c r="BX1390">
        <v>16.489999999999998</v>
      </c>
      <c r="BY1390">
        <v>16.4893617</v>
      </c>
      <c r="BZ1390">
        <v>0.53</v>
      </c>
      <c r="CA1390">
        <f>BZ1390*SQRT(AL1390)</f>
        <v>1.1851160280748887</v>
      </c>
      <c r="CB1390">
        <v>35</v>
      </c>
      <c r="CC1390">
        <v>5</v>
      </c>
      <c r="CD1390">
        <v>-0.121</v>
      </c>
      <c r="CE1390">
        <v>6.7999999999999996E-3</v>
      </c>
    </row>
    <row r="1391" spans="4:83" hidden="1" x14ac:dyDescent="0.2">
      <c r="D1391">
        <v>103</v>
      </c>
      <c r="G1391" t="s">
        <v>43</v>
      </c>
      <c r="H1391" t="s">
        <v>781</v>
      </c>
      <c r="J1391">
        <v>2012</v>
      </c>
      <c r="M1391" t="s">
        <v>782</v>
      </c>
      <c r="T1391" t="s">
        <v>68</v>
      </c>
      <c r="U1391" t="s">
        <v>258</v>
      </c>
      <c r="V1391" t="s">
        <v>259</v>
      </c>
      <c r="Z1391" t="s">
        <v>49</v>
      </c>
      <c r="AA1391" t="s">
        <v>49</v>
      </c>
      <c r="AB1391" t="s">
        <v>50</v>
      </c>
      <c r="AC1391" t="s">
        <v>51</v>
      </c>
      <c r="AD1391" t="s">
        <v>52</v>
      </c>
      <c r="AE1391" t="s">
        <v>53</v>
      </c>
      <c r="AF1391" t="s">
        <v>52</v>
      </c>
      <c r="AG1391" t="s">
        <v>52</v>
      </c>
      <c r="AH1391" t="s">
        <v>64</v>
      </c>
      <c r="AK1391">
        <v>5</v>
      </c>
      <c r="AL1391">
        <v>5</v>
      </c>
      <c r="AN1391">
        <v>715</v>
      </c>
      <c r="AO1391" t="s">
        <v>56</v>
      </c>
      <c r="AP1391">
        <v>30</v>
      </c>
      <c r="AQ1391" t="s">
        <v>57</v>
      </c>
      <c r="AR1391">
        <v>8.2100000000000009</v>
      </c>
      <c r="AS1391" t="s">
        <v>56</v>
      </c>
      <c r="AT1391">
        <v>0.01</v>
      </c>
      <c r="AU1391">
        <v>1716</v>
      </c>
      <c r="AV1391" t="s">
        <v>56</v>
      </c>
      <c r="AW1391">
        <v>290</v>
      </c>
      <c r="AX1391">
        <v>7.86</v>
      </c>
      <c r="AY1391" t="s">
        <v>56</v>
      </c>
      <c r="AZ1391">
        <v>0.1</v>
      </c>
      <c r="BB1391">
        <f>LOG(AU1391)</f>
        <v>3.2345172835126865</v>
      </c>
      <c r="BC1391">
        <v>19.5</v>
      </c>
      <c r="BD1391" t="s">
        <v>56</v>
      </c>
      <c r="BE1391">
        <v>0.3</v>
      </c>
      <c r="BF1391">
        <v>23.3</v>
      </c>
      <c r="BG1391" t="s">
        <v>56</v>
      </c>
      <c r="BH1391">
        <v>0.4</v>
      </c>
      <c r="BI1391">
        <v>1001</v>
      </c>
      <c r="BJ1391">
        <v>3.8</v>
      </c>
      <c r="BK1391" t="s">
        <v>56</v>
      </c>
      <c r="BL1391" t="s">
        <v>784</v>
      </c>
      <c r="BM1391" t="s">
        <v>253</v>
      </c>
      <c r="BN1391" t="s">
        <v>81</v>
      </c>
      <c r="BO1391" t="s">
        <v>785</v>
      </c>
      <c r="BP1391" t="s">
        <v>92</v>
      </c>
      <c r="BQ1391" s="8" t="s">
        <v>92</v>
      </c>
      <c r="BR1391" t="s">
        <v>84</v>
      </c>
      <c r="BT1391">
        <v>18.62</v>
      </c>
      <c r="BU1391">
        <v>18.617021000000001</v>
      </c>
      <c r="BV1391">
        <v>1.42</v>
      </c>
      <c r="BW1391">
        <f>BV1391*SQRT(AK1391)</f>
        <v>3.1752165280497016</v>
      </c>
      <c r="BX1391">
        <v>16.489999999999998</v>
      </c>
      <c r="BY1391">
        <v>16.4893617</v>
      </c>
      <c r="BZ1391">
        <v>1.24</v>
      </c>
      <c r="CA1391">
        <f>BZ1391*SQRT(AL1391)</f>
        <v>2.7727242920997393</v>
      </c>
      <c r="CB1391">
        <v>35</v>
      </c>
      <c r="CC1391">
        <v>5</v>
      </c>
      <c r="CD1391">
        <v>-0.121</v>
      </c>
      <c r="CE1391">
        <v>1.15E-2</v>
      </c>
    </row>
    <row r="1392" spans="4:83" hidden="1" x14ac:dyDescent="0.2">
      <c r="D1392">
        <v>103</v>
      </c>
      <c r="G1392" t="s">
        <v>43</v>
      </c>
      <c r="H1392" t="s">
        <v>781</v>
      </c>
      <c r="J1392">
        <v>2012</v>
      </c>
      <c r="M1392" t="s">
        <v>782</v>
      </c>
      <c r="T1392" t="s">
        <v>68</v>
      </c>
      <c r="U1392" t="s">
        <v>258</v>
      </c>
      <c r="V1392" t="s">
        <v>259</v>
      </c>
      <c r="Z1392" t="s">
        <v>49</v>
      </c>
      <c r="AA1392" t="s">
        <v>49</v>
      </c>
      <c r="AB1392" t="s">
        <v>50</v>
      </c>
      <c r="AC1392" t="s">
        <v>51</v>
      </c>
      <c r="AD1392" t="s">
        <v>52</v>
      </c>
      <c r="AE1392" t="s">
        <v>53</v>
      </c>
      <c r="AF1392" t="s">
        <v>54</v>
      </c>
      <c r="AG1392" t="s">
        <v>52</v>
      </c>
      <c r="AH1392" t="s">
        <v>65</v>
      </c>
      <c r="AK1392">
        <v>5</v>
      </c>
      <c r="AL1392">
        <v>5</v>
      </c>
      <c r="AN1392">
        <v>715</v>
      </c>
      <c r="AO1392" t="s">
        <v>56</v>
      </c>
      <c r="AP1392">
        <v>30</v>
      </c>
      <c r="AQ1392" t="s">
        <v>57</v>
      </c>
      <c r="AR1392">
        <v>8.2100000000000009</v>
      </c>
      <c r="AS1392" t="s">
        <v>56</v>
      </c>
      <c r="AT1392">
        <v>0.01</v>
      </c>
      <c r="AU1392">
        <v>642</v>
      </c>
      <c r="AV1392" t="s">
        <v>56</v>
      </c>
      <c r="AW1392">
        <v>50</v>
      </c>
      <c r="AX1392">
        <v>8.2200000000000006</v>
      </c>
      <c r="AY1392" t="s">
        <v>56</v>
      </c>
      <c r="AZ1392">
        <v>0.01</v>
      </c>
      <c r="BB1392">
        <f>LOG(AU1392)</f>
        <v>2.8075350280688531</v>
      </c>
      <c r="BC1392">
        <v>19.5</v>
      </c>
      <c r="BD1392" t="s">
        <v>56</v>
      </c>
      <c r="BE1392">
        <v>0.3</v>
      </c>
      <c r="BF1392">
        <v>23.3</v>
      </c>
      <c r="BG1392" t="s">
        <v>56</v>
      </c>
      <c r="BH1392">
        <v>0.4</v>
      </c>
      <c r="BI1392">
        <v>-73</v>
      </c>
      <c r="BJ1392">
        <v>3.9</v>
      </c>
      <c r="BK1392" t="s">
        <v>56</v>
      </c>
      <c r="BL1392" t="s">
        <v>784</v>
      </c>
      <c r="BM1392" t="s">
        <v>253</v>
      </c>
      <c r="BN1392" t="s">
        <v>81</v>
      </c>
      <c r="BO1392" t="s">
        <v>785</v>
      </c>
      <c r="BP1392" t="s">
        <v>92</v>
      </c>
      <c r="BQ1392" s="8" t="s">
        <v>92</v>
      </c>
      <c r="BR1392" t="s">
        <v>84</v>
      </c>
      <c r="BT1392">
        <v>18.62</v>
      </c>
      <c r="BU1392">
        <v>18.617021000000001</v>
      </c>
      <c r="BV1392">
        <v>1.42</v>
      </c>
      <c r="BW1392">
        <f>BV1392*SQRT(AK1392)</f>
        <v>3.1752165280497016</v>
      </c>
      <c r="BX1392">
        <v>16.84</v>
      </c>
      <c r="BY1392">
        <v>16.8439716</v>
      </c>
      <c r="BZ1392">
        <v>0.89</v>
      </c>
      <c r="CA1392">
        <f>BZ1392*SQRT(AL1392)</f>
        <v>1.9901004999748129</v>
      </c>
      <c r="CB1392">
        <v>35</v>
      </c>
      <c r="CC1392">
        <v>5</v>
      </c>
      <c r="CD1392">
        <v>-0.1</v>
      </c>
      <c r="CE1392">
        <v>8.6E-3</v>
      </c>
    </row>
    <row r="1393" spans="2:84" hidden="1" x14ac:dyDescent="0.2">
      <c r="D1393">
        <v>103</v>
      </c>
      <c r="G1393" t="s">
        <v>43</v>
      </c>
      <c r="H1393" t="s">
        <v>781</v>
      </c>
      <c r="J1393">
        <v>2012</v>
      </c>
      <c r="M1393" t="s">
        <v>782</v>
      </c>
      <c r="T1393" t="s">
        <v>68</v>
      </c>
      <c r="U1393" t="s">
        <v>258</v>
      </c>
      <c r="V1393" t="s">
        <v>259</v>
      </c>
      <c r="Z1393" t="s">
        <v>49</v>
      </c>
      <c r="AA1393" t="s">
        <v>49</v>
      </c>
      <c r="AB1393" t="s">
        <v>50</v>
      </c>
      <c r="AC1393" t="s">
        <v>51</v>
      </c>
      <c r="AD1393" t="s">
        <v>52</v>
      </c>
      <c r="AE1393" t="s">
        <v>53</v>
      </c>
      <c r="AF1393" t="s">
        <v>54</v>
      </c>
      <c r="AG1393" t="s">
        <v>52</v>
      </c>
      <c r="AH1393" t="s">
        <v>65</v>
      </c>
      <c r="AK1393">
        <v>5</v>
      </c>
      <c r="AL1393">
        <v>5</v>
      </c>
      <c r="AN1393">
        <v>715</v>
      </c>
      <c r="AO1393" t="s">
        <v>56</v>
      </c>
      <c r="AP1393">
        <v>30</v>
      </c>
      <c r="AQ1393" t="s">
        <v>57</v>
      </c>
      <c r="AR1393">
        <v>8.2100000000000009</v>
      </c>
      <c r="AS1393" t="s">
        <v>56</v>
      </c>
      <c r="AT1393">
        <v>0.01</v>
      </c>
      <c r="AU1393">
        <v>642</v>
      </c>
      <c r="AV1393" t="s">
        <v>56</v>
      </c>
      <c r="AW1393">
        <v>50</v>
      </c>
      <c r="AX1393">
        <v>8.2200000000000006</v>
      </c>
      <c r="AY1393" t="s">
        <v>56</v>
      </c>
      <c r="AZ1393">
        <v>0.01</v>
      </c>
      <c r="BB1393">
        <f>LOG(AU1393)</f>
        <v>2.8075350280688531</v>
      </c>
      <c r="BC1393">
        <v>19.5</v>
      </c>
      <c r="BD1393" t="s">
        <v>56</v>
      </c>
      <c r="BE1393">
        <v>0.3</v>
      </c>
      <c r="BF1393">
        <v>23.3</v>
      </c>
      <c r="BG1393" t="s">
        <v>56</v>
      </c>
      <c r="BH1393">
        <v>0.4</v>
      </c>
      <c r="BI1393">
        <v>-73</v>
      </c>
      <c r="BJ1393">
        <v>3.9</v>
      </c>
      <c r="BK1393" t="s">
        <v>56</v>
      </c>
      <c r="BL1393" t="s">
        <v>786</v>
      </c>
      <c r="BM1393" t="s">
        <v>120</v>
      </c>
      <c r="BN1393" t="s">
        <v>81</v>
      </c>
      <c r="BO1393" t="s">
        <v>121</v>
      </c>
      <c r="BP1393" t="s">
        <v>83</v>
      </c>
      <c r="BQ1393" s="8" t="s">
        <v>92</v>
      </c>
      <c r="BR1393" t="s">
        <v>84</v>
      </c>
      <c r="BT1393">
        <v>6.81</v>
      </c>
      <c r="BU1393">
        <v>6.8085110000000002</v>
      </c>
      <c r="BV1393">
        <v>0.23</v>
      </c>
      <c r="BW1393">
        <f>BV1393*SQRT(AK1393)</f>
        <v>0.51429563482495166</v>
      </c>
      <c r="BX1393">
        <v>6.41</v>
      </c>
      <c r="BY1393">
        <v>6.4113474999999998</v>
      </c>
      <c r="BZ1393">
        <v>0.4</v>
      </c>
      <c r="CA1393">
        <f>BZ1393*SQRT(AL1393)</f>
        <v>0.89442719099991597</v>
      </c>
      <c r="CB1393">
        <v>35</v>
      </c>
      <c r="CC1393">
        <v>5</v>
      </c>
      <c r="CD1393">
        <v>-0.06</v>
      </c>
      <c r="CE1393">
        <v>4.8999999999999998E-3</v>
      </c>
    </row>
    <row r="1394" spans="2:84" hidden="1" x14ac:dyDescent="0.2">
      <c r="D1394">
        <v>103</v>
      </c>
      <c r="G1394" t="s">
        <v>43</v>
      </c>
      <c r="H1394" t="s">
        <v>781</v>
      </c>
      <c r="J1394">
        <v>2012</v>
      </c>
      <c r="M1394" t="s">
        <v>782</v>
      </c>
      <c r="T1394" t="s">
        <v>68</v>
      </c>
      <c r="U1394" t="s">
        <v>124</v>
      </c>
      <c r="V1394" t="s">
        <v>787</v>
      </c>
      <c r="Z1394" t="s">
        <v>49</v>
      </c>
      <c r="AA1394" t="s">
        <v>49</v>
      </c>
      <c r="AB1394" t="s">
        <v>50</v>
      </c>
      <c r="AC1394" t="s">
        <v>51</v>
      </c>
      <c r="AD1394" t="s">
        <v>52</v>
      </c>
      <c r="AE1394" t="s">
        <v>53</v>
      </c>
      <c r="AF1394" t="s">
        <v>52</v>
      </c>
      <c r="AG1394" t="s">
        <v>54</v>
      </c>
      <c r="AH1394" t="s">
        <v>55</v>
      </c>
      <c r="AK1394">
        <v>5</v>
      </c>
      <c r="AL1394">
        <v>5</v>
      </c>
      <c r="AN1394">
        <v>715</v>
      </c>
      <c r="AO1394" t="s">
        <v>56</v>
      </c>
      <c r="AP1394">
        <v>30</v>
      </c>
      <c r="AQ1394" t="s">
        <v>57</v>
      </c>
      <c r="AR1394">
        <v>8.2100000000000009</v>
      </c>
      <c r="AS1394" t="s">
        <v>56</v>
      </c>
      <c r="AT1394">
        <v>0.01</v>
      </c>
      <c r="AU1394">
        <v>1868</v>
      </c>
      <c r="AV1394" t="s">
        <v>56</v>
      </c>
      <c r="AW1394">
        <v>190</v>
      </c>
      <c r="AX1394">
        <v>7.86</v>
      </c>
      <c r="AY1394" t="s">
        <v>56</v>
      </c>
      <c r="AZ1394">
        <v>0.01</v>
      </c>
      <c r="BB1394">
        <f>LOG(AU1394)</f>
        <v>3.2713768718940743</v>
      </c>
      <c r="BC1394">
        <v>19.5</v>
      </c>
      <c r="BD1394" t="s">
        <v>56</v>
      </c>
      <c r="BE1394">
        <v>0.3</v>
      </c>
      <c r="BF1394">
        <v>19.5</v>
      </c>
      <c r="BG1394" t="s">
        <v>56</v>
      </c>
      <c r="BH1394">
        <v>0.3</v>
      </c>
      <c r="BI1394">
        <v>1153</v>
      </c>
      <c r="BJ1394">
        <v>0.1</v>
      </c>
      <c r="BK1394" t="s">
        <v>56</v>
      </c>
      <c r="BL1394" t="s">
        <v>784</v>
      </c>
      <c r="BM1394" t="s">
        <v>253</v>
      </c>
      <c r="BN1394" t="s">
        <v>81</v>
      </c>
      <c r="BO1394" t="s">
        <v>785</v>
      </c>
      <c r="BP1394" t="s">
        <v>92</v>
      </c>
      <c r="BQ1394" s="8" t="s">
        <v>92</v>
      </c>
      <c r="BR1394" t="s">
        <v>84</v>
      </c>
      <c r="BT1394">
        <v>1.73</v>
      </c>
      <c r="BU1394">
        <v>1.7266189999999999</v>
      </c>
      <c r="BV1394">
        <v>0.19</v>
      </c>
      <c r="BW1394">
        <f>BV1394*SQRT(AK1394)</f>
        <v>0.42485291572496009</v>
      </c>
      <c r="BX1394">
        <v>1.64</v>
      </c>
      <c r="BY1394">
        <v>1.6402878000000001</v>
      </c>
      <c r="BZ1394">
        <v>0.17</v>
      </c>
      <c r="CA1394">
        <f>BZ1394*SQRT(AL1394)</f>
        <v>0.3801315561749643</v>
      </c>
      <c r="CB1394">
        <v>35</v>
      </c>
      <c r="CC1394">
        <v>5</v>
      </c>
      <c r="CD1394">
        <v>-5.0999999999999997E-2</v>
      </c>
      <c r="CE1394">
        <v>2.3699999999999999E-2</v>
      </c>
    </row>
    <row r="1395" spans="2:84" hidden="1" x14ac:dyDescent="0.2">
      <c r="D1395">
        <v>103</v>
      </c>
      <c r="G1395" t="s">
        <v>43</v>
      </c>
      <c r="H1395" t="s">
        <v>781</v>
      </c>
      <c r="J1395">
        <v>2012</v>
      </c>
      <c r="M1395" t="s">
        <v>782</v>
      </c>
      <c r="T1395" t="s">
        <v>68</v>
      </c>
      <c r="U1395" t="s">
        <v>124</v>
      </c>
      <c r="V1395" t="s">
        <v>787</v>
      </c>
      <c r="Z1395" t="s">
        <v>49</v>
      </c>
      <c r="AA1395" t="s">
        <v>49</v>
      </c>
      <c r="AB1395" t="s">
        <v>50</v>
      </c>
      <c r="AC1395" t="s">
        <v>51</v>
      </c>
      <c r="AD1395" t="s">
        <v>52</v>
      </c>
      <c r="AE1395" t="s">
        <v>53</v>
      </c>
      <c r="AF1395" t="s">
        <v>54</v>
      </c>
      <c r="AG1395" t="s">
        <v>52</v>
      </c>
      <c r="AH1395" t="s">
        <v>65</v>
      </c>
      <c r="AK1395">
        <v>5</v>
      </c>
      <c r="AL1395">
        <v>5</v>
      </c>
      <c r="AN1395">
        <v>715</v>
      </c>
      <c r="AO1395" t="s">
        <v>56</v>
      </c>
      <c r="AP1395">
        <v>30</v>
      </c>
      <c r="AQ1395" t="s">
        <v>57</v>
      </c>
      <c r="AR1395">
        <v>8.2100000000000009</v>
      </c>
      <c r="AS1395" t="s">
        <v>56</v>
      </c>
      <c r="AT1395">
        <v>0.01</v>
      </c>
      <c r="AU1395">
        <v>642</v>
      </c>
      <c r="AV1395" t="s">
        <v>56</v>
      </c>
      <c r="AW1395">
        <v>50</v>
      </c>
      <c r="AX1395">
        <v>8.2200000000000006</v>
      </c>
      <c r="AY1395" t="s">
        <v>56</v>
      </c>
      <c r="AZ1395">
        <v>0.01</v>
      </c>
      <c r="BB1395">
        <f>LOG(AU1395)</f>
        <v>2.8075350280688531</v>
      </c>
      <c r="BC1395">
        <v>19.5</v>
      </c>
      <c r="BD1395" t="s">
        <v>56</v>
      </c>
      <c r="BE1395">
        <v>0.3</v>
      </c>
      <c r="BF1395">
        <v>23.3</v>
      </c>
      <c r="BG1395" t="s">
        <v>56</v>
      </c>
      <c r="BH1395">
        <v>0.4</v>
      </c>
      <c r="BI1395">
        <v>-73</v>
      </c>
      <c r="BJ1395">
        <v>3.9</v>
      </c>
      <c r="BK1395" t="s">
        <v>56</v>
      </c>
      <c r="BL1395" t="s">
        <v>784</v>
      </c>
      <c r="BM1395" t="s">
        <v>253</v>
      </c>
      <c r="BN1395" t="s">
        <v>81</v>
      </c>
      <c r="BO1395" t="s">
        <v>785</v>
      </c>
      <c r="BP1395" t="s">
        <v>92</v>
      </c>
      <c r="BQ1395" s="8" t="s">
        <v>92</v>
      </c>
      <c r="BR1395" t="s">
        <v>84</v>
      </c>
      <c r="BT1395">
        <v>1.73</v>
      </c>
      <c r="BU1395">
        <v>1.7266189999999999</v>
      </c>
      <c r="BV1395">
        <v>0.19</v>
      </c>
      <c r="BW1395">
        <f>BV1395*SQRT(AK1395)</f>
        <v>0.42485291572496009</v>
      </c>
      <c r="BX1395">
        <v>1.66</v>
      </c>
      <c r="BY1395">
        <v>1.6618705</v>
      </c>
      <c r="BZ1395">
        <v>0.24</v>
      </c>
      <c r="CA1395">
        <f>BZ1395*SQRT(AL1395)</f>
        <v>0.53665631459994956</v>
      </c>
      <c r="CB1395">
        <v>35</v>
      </c>
      <c r="CC1395">
        <v>5</v>
      </c>
      <c r="CD1395">
        <v>-3.7999999999999999E-2</v>
      </c>
      <c r="CE1395">
        <v>3.3099999999999997E-2</v>
      </c>
    </row>
    <row r="1396" spans="2:84" hidden="1" x14ac:dyDescent="0.2">
      <c r="D1396">
        <v>103</v>
      </c>
      <c r="G1396" t="s">
        <v>43</v>
      </c>
      <c r="H1396" t="s">
        <v>781</v>
      </c>
      <c r="J1396">
        <v>2012</v>
      </c>
      <c r="M1396" t="s">
        <v>782</v>
      </c>
      <c r="T1396" t="s">
        <v>68</v>
      </c>
      <c r="U1396" t="s">
        <v>124</v>
      </c>
      <c r="V1396" t="s">
        <v>787</v>
      </c>
      <c r="Z1396" t="s">
        <v>49</v>
      </c>
      <c r="AA1396" t="s">
        <v>49</v>
      </c>
      <c r="AB1396" t="s">
        <v>50</v>
      </c>
      <c r="AC1396" t="s">
        <v>51</v>
      </c>
      <c r="AD1396" t="s">
        <v>52</v>
      </c>
      <c r="AE1396" t="s">
        <v>53</v>
      </c>
      <c r="AF1396" t="s">
        <v>52</v>
      </c>
      <c r="AG1396" t="s">
        <v>54</v>
      </c>
      <c r="AH1396" t="s">
        <v>55</v>
      </c>
      <c r="AK1396">
        <v>5</v>
      </c>
      <c r="AL1396">
        <v>5</v>
      </c>
      <c r="AN1396">
        <v>715</v>
      </c>
      <c r="AO1396" t="s">
        <v>56</v>
      </c>
      <c r="AP1396">
        <v>30</v>
      </c>
      <c r="AQ1396" t="s">
        <v>57</v>
      </c>
      <c r="AR1396">
        <v>8.2100000000000009</v>
      </c>
      <c r="AS1396" t="s">
        <v>56</v>
      </c>
      <c r="AT1396">
        <v>0.01</v>
      </c>
      <c r="AU1396">
        <v>1868</v>
      </c>
      <c r="AV1396" t="s">
        <v>56</v>
      </c>
      <c r="AW1396">
        <v>190</v>
      </c>
      <c r="AX1396">
        <v>7.86</v>
      </c>
      <c r="AY1396" t="s">
        <v>56</v>
      </c>
      <c r="AZ1396">
        <v>0.01</v>
      </c>
      <c r="BB1396">
        <f>LOG(AU1396)</f>
        <v>3.2713768718940743</v>
      </c>
      <c r="BC1396">
        <v>19.5</v>
      </c>
      <c r="BD1396" t="s">
        <v>56</v>
      </c>
      <c r="BE1396">
        <v>0.3</v>
      </c>
      <c r="BF1396">
        <v>19.5</v>
      </c>
      <c r="BG1396" t="s">
        <v>56</v>
      </c>
      <c r="BH1396">
        <v>0.3</v>
      </c>
      <c r="BI1396">
        <v>1153</v>
      </c>
      <c r="BJ1396">
        <v>0.1</v>
      </c>
      <c r="BK1396" t="s">
        <v>56</v>
      </c>
      <c r="BL1396" t="s">
        <v>786</v>
      </c>
      <c r="BM1396" t="s">
        <v>120</v>
      </c>
      <c r="BN1396" t="s">
        <v>81</v>
      </c>
      <c r="BO1396" t="s">
        <v>121</v>
      </c>
      <c r="BP1396" t="s">
        <v>83</v>
      </c>
      <c r="BQ1396" s="8" t="s">
        <v>92</v>
      </c>
      <c r="BR1396" t="s">
        <v>84</v>
      </c>
      <c r="BT1396">
        <v>4.62</v>
      </c>
      <c r="BU1396">
        <v>4.6187050000000003</v>
      </c>
      <c r="BV1396">
        <v>0.26</v>
      </c>
      <c r="BW1396">
        <f>BV1396*SQRT(AK1396)</f>
        <v>0.58137767414994534</v>
      </c>
      <c r="BX1396">
        <v>4.58</v>
      </c>
      <c r="BY1396">
        <v>4.5755395999999999</v>
      </c>
      <c r="BZ1396">
        <v>0.47</v>
      </c>
      <c r="CA1396">
        <f>BZ1396*SQRT(AL1396)</f>
        <v>1.0509519494249011</v>
      </c>
      <c r="CB1396">
        <v>35</v>
      </c>
      <c r="CC1396">
        <v>5</v>
      </c>
      <c r="CD1396">
        <v>-8.9999999999999993E-3</v>
      </c>
      <c r="CE1396">
        <v>1.3899999999999999E-2</v>
      </c>
    </row>
    <row r="1397" spans="2:84" hidden="1" x14ac:dyDescent="0.2">
      <c r="D1397">
        <v>103</v>
      </c>
      <c r="G1397" t="s">
        <v>43</v>
      </c>
      <c r="H1397" t="s">
        <v>781</v>
      </c>
      <c r="J1397">
        <v>2012</v>
      </c>
      <c r="M1397" t="s">
        <v>782</v>
      </c>
      <c r="T1397" t="s">
        <v>68</v>
      </c>
      <c r="U1397" t="s">
        <v>124</v>
      </c>
      <c r="V1397" t="s">
        <v>787</v>
      </c>
      <c r="Z1397" t="s">
        <v>49</v>
      </c>
      <c r="AA1397" t="s">
        <v>49</v>
      </c>
      <c r="AB1397" t="s">
        <v>50</v>
      </c>
      <c r="AC1397" t="s">
        <v>51</v>
      </c>
      <c r="AD1397" t="s">
        <v>52</v>
      </c>
      <c r="AE1397" t="s">
        <v>53</v>
      </c>
      <c r="AF1397" t="s">
        <v>54</v>
      </c>
      <c r="AG1397" t="s">
        <v>52</v>
      </c>
      <c r="AH1397" t="s">
        <v>65</v>
      </c>
      <c r="AK1397">
        <v>5</v>
      </c>
      <c r="AL1397">
        <v>5</v>
      </c>
      <c r="AN1397">
        <v>715</v>
      </c>
      <c r="AO1397" t="s">
        <v>56</v>
      </c>
      <c r="AP1397">
        <v>30</v>
      </c>
      <c r="AQ1397" t="s">
        <v>57</v>
      </c>
      <c r="AR1397">
        <v>8.2100000000000009</v>
      </c>
      <c r="AS1397" t="s">
        <v>56</v>
      </c>
      <c r="AT1397">
        <v>0.01</v>
      </c>
      <c r="AU1397">
        <v>642</v>
      </c>
      <c r="AV1397" t="s">
        <v>56</v>
      </c>
      <c r="AW1397">
        <v>50</v>
      </c>
      <c r="AX1397">
        <v>8.2200000000000006</v>
      </c>
      <c r="AY1397" t="s">
        <v>56</v>
      </c>
      <c r="AZ1397">
        <v>0.01</v>
      </c>
      <c r="BB1397">
        <f>LOG(AU1397)</f>
        <v>2.8075350280688531</v>
      </c>
      <c r="BC1397">
        <v>19.5</v>
      </c>
      <c r="BD1397" t="s">
        <v>56</v>
      </c>
      <c r="BE1397">
        <v>0.3</v>
      </c>
      <c r="BF1397">
        <v>23.3</v>
      </c>
      <c r="BG1397" t="s">
        <v>56</v>
      </c>
      <c r="BH1397">
        <v>0.4</v>
      </c>
      <c r="BI1397">
        <v>-73</v>
      </c>
      <c r="BJ1397">
        <v>3.9</v>
      </c>
      <c r="BK1397" t="s">
        <v>56</v>
      </c>
      <c r="BL1397" t="s">
        <v>786</v>
      </c>
      <c r="BM1397" t="s">
        <v>120</v>
      </c>
      <c r="BN1397" t="s">
        <v>81</v>
      </c>
      <c r="BO1397" t="s">
        <v>121</v>
      </c>
      <c r="BP1397" t="s">
        <v>83</v>
      </c>
      <c r="BQ1397" s="8" t="s">
        <v>92</v>
      </c>
      <c r="BR1397" t="s">
        <v>84</v>
      </c>
      <c r="BT1397">
        <v>4.62</v>
      </c>
      <c r="BU1397">
        <v>4.6187050000000003</v>
      </c>
      <c r="BV1397">
        <v>0.26</v>
      </c>
      <c r="BW1397">
        <f>BV1397*SQRT(AK1397)</f>
        <v>0.58137767414994534</v>
      </c>
      <c r="BX1397">
        <v>4.58</v>
      </c>
      <c r="BY1397">
        <v>4.5755395999999999</v>
      </c>
      <c r="BZ1397">
        <v>0.43</v>
      </c>
      <c r="CA1397">
        <f>BZ1397*SQRT(AL1397)</f>
        <v>0.96150923032490965</v>
      </c>
      <c r="CB1397">
        <v>35</v>
      </c>
      <c r="CC1397">
        <v>5</v>
      </c>
      <c r="CD1397">
        <v>-8.9999999999999993E-3</v>
      </c>
      <c r="CE1397">
        <v>1.2E-2</v>
      </c>
    </row>
    <row r="1398" spans="2:84" hidden="1" x14ac:dyDescent="0.2">
      <c r="D1398">
        <v>103</v>
      </c>
      <c r="G1398" t="s">
        <v>43</v>
      </c>
      <c r="H1398" t="s">
        <v>781</v>
      </c>
      <c r="J1398">
        <v>2012</v>
      </c>
      <c r="M1398" t="s">
        <v>782</v>
      </c>
      <c r="T1398" t="s">
        <v>68</v>
      </c>
      <c r="U1398" t="s">
        <v>258</v>
      </c>
      <c r="V1398" t="s">
        <v>259</v>
      </c>
      <c r="Z1398" t="s">
        <v>49</v>
      </c>
      <c r="AA1398" t="s">
        <v>49</v>
      </c>
      <c r="AB1398" t="s">
        <v>50</v>
      </c>
      <c r="AC1398" t="s">
        <v>51</v>
      </c>
      <c r="AD1398" t="s">
        <v>52</v>
      </c>
      <c r="AE1398" t="s">
        <v>53</v>
      </c>
      <c r="AF1398" t="s">
        <v>52</v>
      </c>
      <c r="AG1398" t="s">
        <v>54</v>
      </c>
      <c r="AH1398" t="s">
        <v>55</v>
      </c>
      <c r="AK1398">
        <v>5</v>
      </c>
      <c r="AL1398">
        <v>5</v>
      </c>
      <c r="AN1398">
        <v>715</v>
      </c>
      <c r="AO1398" t="s">
        <v>56</v>
      </c>
      <c r="AP1398">
        <v>30</v>
      </c>
      <c r="AQ1398" t="s">
        <v>57</v>
      </c>
      <c r="AR1398">
        <v>8.2100000000000009</v>
      </c>
      <c r="AS1398" t="s">
        <v>56</v>
      </c>
      <c r="AT1398">
        <v>0.01</v>
      </c>
      <c r="AU1398">
        <v>1868</v>
      </c>
      <c r="AV1398" t="s">
        <v>56</v>
      </c>
      <c r="AW1398">
        <v>190</v>
      </c>
      <c r="AX1398">
        <v>7.86</v>
      </c>
      <c r="AY1398" t="s">
        <v>56</v>
      </c>
      <c r="AZ1398">
        <v>0.01</v>
      </c>
      <c r="BB1398">
        <f>LOG(AU1398)</f>
        <v>3.2713768718940743</v>
      </c>
      <c r="BC1398">
        <v>19.5</v>
      </c>
      <c r="BD1398" t="s">
        <v>56</v>
      </c>
      <c r="BE1398">
        <v>0.3</v>
      </c>
      <c r="BF1398">
        <v>19.5</v>
      </c>
      <c r="BG1398" t="s">
        <v>56</v>
      </c>
      <c r="BH1398">
        <v>0.3</v>
      </c>
      <c r="BI1398">
        <v>1153</v>
      </c>
      <c r="BJ1398">
        <v>0.1</v>
      </c>
      <c r="BK1398" t="s">
        <v>56</v>
      </c>
      <c r="BL1398" t="s">
        <v>786</v>
      </c>
      <c r="BM1398" t="s">
        <v>120</v>
      </c>
      <c r="BN1398" t="s">
        <v>81</v>
      </c>
      <c r="BO1398" t="s">
        <v>121</v>
      </c>
      <c r="BP1398" t="s">
        <v>83</v>
      </c>
      <c r="BQ1398" s="8" t="s">
        <v>92</v>
      </c>
      <c r="BR1398" t="s">
        <v>84</v>
      </c>
      <c r="BT1398">
        <v>6.81</v>
      </c>
      <c r="BU1398">
        <v>6.8085110000000002</v>
      </c>
      <c r="BV1398">
        <v>0.23</v>
      </c>
      <c r="BW1398">
        <f>BV1398*SQRT(AK1398)</f>
        <v>0.51429563482495166</v>
      </c>
      <c r="BX1398">
        <v>6.75</v>
      </c>
      <c r="BY1398">
        <v>6.751773</v>
      </c>
      <c r="BZ1398">
        <v>0.23</v>
      </c>
      <c r="CA1398">
        <f>BZ1398*SQRT(AL1398)</f>
        <v>0.51429563482495166</v>
      </c>
      <c r="CB1398">
        <v>35</v>
      </c>
      <c r="CC1398">
        <v>5</v>
      </c>
      <c r="CD1398">
        <v>-8.0000000000000002E-3</v>
      </c>
      <c r="CE1398">
        <v>2.2000000000000001E-3</v>
      </c>
    </row>
    <row r="1399" spans="2:84" hidden="1" x14ac:dyDescent="0.2">
      <c r="D1399">
        <v>103</v>
      </c>
      <c r="G1399" t="s">
        <v>43</v>
      </c>
      <c r="H1399" t="s">
        <v>781</v>
      </c>
      <c r="J1399">
        <v>2012</v>
      </c>
      <c r="M1399" t="s">
        <v>782</v>
      </c>
      <c r="T1399" t="s">
        <v>68</v>
      </c>
      <c r="U1399" t="s">
        <v>258</v>
      </c>
      <c r="V1399" t="s">
        <v>259</v>
      </c>
      <c r="Z1399" t="s">
        <v>49</v>
      </c>
      <c r="AA1399" t="s">
        <v>49</v>
      </c>
      <c r="AB1399" t="s">
        <v>50</v>
      </c>
      <c r="AC1399" t="s">
        <v>51</v>
      </c>
      <c r="AD1399" t="s">
        <v>52</v>
      </c>
      <c r="AE1399" t="s">
        <v>53</v>
      </c>
      <c r="AF1399" t="s">
        <v>52</v>
      </c>
      <c r="AG1399" t="s">
        <v>52</v>
      </c>
      <c r="AH1399" t="s">
        <v>64</v>
      </c>
      <c r="AK1399">
        <v>5</v>
      </c>
      <c r="AL1399">
        <v>5</v>
      </c>
      <c r="AN1399">
        <v>715</v>
      </c>
      <c r="AO1399" t="s">
        <v>56</v>
      </c>
      <c r="AP1399">
        <v>30</v>
      </c>
      <c r="AQ1399" t="s">
        <v>57</v>
      </c>
      <c r="AR1399">
        <v>8.2100000000000009</v>
      </c>
      <c r="AS1399" t="s">
        <v>56</v>
      </c>
      <c r="AT1399">
        <v>0.01</v>
      </c>
      <c r="AU1399">
        <v>1716</v>
      </c>
      <c r="AV1399" t="s">
        <v>56</v>
      </c>
      <c r="AW1399">
        <v>290</v>
      </c>
      <c r="AX1399">
        <v>7.86</v>
      </c>
      <c r="AY1399" t="s">
        <v>56</v>
      </c>
      <c r="AZ1399">
        <v>0.1</v>
      </c>
      <c r="BB1399">
        <f>LOG(AU1399)</f>
        <v>3.2345172835126865</v>
      </c>
      <c r="BC1399">
        <v>19.5</v>
      </c>
      <c r="BD1399" t="s">
        <v>56</v>
      </c>
      <c r="BE1399">
        <v>0.3</v>
      </c>
      <c r="BF1399">
        <v>23.3</v>
      </c>
      <c r="BG1399" t="s">
        <v>56</v>
      </c>
      <c r="BH1399">
        <v>0.4</v>
      </c>
      <c r="BI1399">
        <v>1001</v>
      </c>
      <c r="BJ1399">
        <v>3.8</v>
      </c>
      <c r="BK1399" t="s">
        <v>56</v>
      </c>
      <c r="BL1399" t="s">
        <v>786</v>
      </c>
      <c r="BM1399" t="s">
        <v>120</v>
      </c>
      <c r="BN1399" t="s">
        <v>81</v>
      </c>
      <c r="BO1399" t="s">
        <v>121</v>
      </c>
      <c r="BP1399" t="s">
        <v>83</v>
      </c>
      <c r="BQ1399" s="8" t="s">
        <v>92</v>
      </c>
      <c r="BR1399" t="s">
        <v>84</v>
      </c>
      <c r="BT1399">
        <v>6.81</v>
      </c>
      <c r="BU1399">
        <v>6.8085110000000002</v>
      </c>
      <c r="BV1399">
        <v>0.23</v>
      </c>
      <c r="BW1399">
        <f>BV1399*SQRT(AK1399)</f>
        <v>0.51429563482495166</v>
      </c>
      <c r="BX1399">
        <v>6.81</v>
      </c>
      <c r="BY1399">
        <v>6.8085106</v>
      </c>
      <c r="BZ1399">
        <v>0.23</v>
      </c>
      <c r="CA1399">
        <f>BZ1399*SQRT(AL1399)</f>
        <v>0.51429563482495166</v>
      </c>
      <c r="CB1399">
        <v>35</v>
      </c>
      <c r="CC1399">
        <v>5</v>
      </c>
      <c r="CD1399">
        <v>0</v>
      </c>
      <c r="CE1399">
        <v>2.2000000000000001E-3</v>
      </c>
    </row>
    <row r="1400" spans="2:84" hidden="1" x14ac:dyDescent="0.2">
      <c r="D1400">
        <v>103</v>
      </c>
      <c r="G1400" t="s">
        <v>43</v>
      </c>
      <c r="H1400" t="s">
        <v>781</v>
      </c>
      <c r="J1400">
        <v>2012</v>
      </c>
      <c r="M1400" t="s">
        <v>782</v>
      </c>
      <c r="T1400" t="s">
        <v>68</v>
      </c>
      <c r="U1400" t="s">
        <v>124</v>
      </c>
      <c r="V1400" t="s">
        <v>787</v>
      </c>
      <c r="Z1400" t="s">
        <v>49</v>
      </c>
      <c r="AA1400" t="s">
        <v>49</v>
      </c>
      <c r="AB1400" t="s">
        <v>50</v>
      </c>
      <c r="AC1400" t="s">
        <v>51</v>
      </c>
      <c r="AD1400" t="s">
        <v>52</v>
      </c>
      <c r="AE1400" t="s">
        <v>53</v>
      </c>
      <c r="AF1400" t="s">
        <v>52</v>
      </c>
      <c r="AG1400" t="s">
        <v>52</v>
      </c>
      <c r="AH1400" t="s">
        <v>64</v>
      </c>
      <c r="AK1400">
        <v>5</v>
      </c>
      <c r="AL1400">
        <v>5</v>
      </c>
      <c r="AN1400">
        <v>715</v>
      </c>
      <c r="AO1400" t="s">
        <v>56</v>
      </c>
      <c r="AP1400">
        <v>30</v>
      </c>
      <c r="AQ1400" t="s">
        <v>57</v>
      </c>
      <c r="AR1400">
        <v>8.2100000000000009</v>
      </c>
      <c r="AS1400" t="s">
        <v>56</v>
      </c>
      <c r="AT1400">
        <v>0.01</v>
      </c>
      <c r="AU1400">
        <v>1716</v>
      </c>
      <c r="AV1400" t="s">
        <v>56</v>
      </c>
      <c r="AW1400">
        <v>290</v>
      </c>
      <c r="AX1400">
        <v>7.86</v>
      </c>
      <c r="AY1400" t="s">
        <v>56</v>
      </c>
      <c r="AZ1400">
        <v>0.1</v>
      </c>
      <c r="BB1400">
        <f>LOG(AU1400)</f>
        <v>3.2345172835126865</v>
      </c>
      <c r="BC1400">
        <v>19.5</v>
      </c>
      <c r="BD1400" t="s">
        <v>56</v>
      </c>
      <c r="BE1400">
        <v>0.3</v>
      </c>
      <c r="BF1400">
        <v>23.3</v>
      </c>
      <c r="BG1400" t="s">
        <v>56</v>
      </c>
      <c r="BH1400">
        <v>0.4</v>
      </c>
      <c r="BI1400">
        <v>1001</v>
      </c>
      <c r="BJ1400">
        <v>3.8</v>
      </c>
      <c r="BK1400" t="s">
        <v>56</v>
      </c>
      <c r="BL1400" t="s">
        <v>784</v>
      </c>
      <c r="BM1400" t="s">
        <v>253</v>
      </c>
      <c r="BN1400" t="s">
        <v>81</v>
      </c>
      <c r="BO1400" t="s">
        <v>785</v>
      </c>
      <c r="BP1400" t="s">
        <v>92</v>
      </c>
      <c r="BQ1400" s="8" t="s">
        <v>92</v>
      </c>
      <c r="BR1400" t="s">
        <v>84</v>
      </c>
      <c r="BT1400">
        <v>1.73</v>
      </c>
      <c r="BU1400">
        <v>1.7266189999999999</v>
      </c>
      <c r="BV1400">
        <v>0.19</v>
      </c>
      <c r="BW1400">
        <f>BV1400*SQRT(AK1400)</f>
        <v>0.42485291572496009</v>
      </c>
      <c r="BX1400">
        <v>1.75</v>
      </c>
      <c r="BY1400">
        <v>1.7482013999999999</v>
      </c>
      <c r="BZ1400">
        <v>0.19</v>
      </c>
      <c r="CA1400">
        <f>BZ1400*SQRT(AL1400)</f>
        <v>0.42485291572496009</v>
      </c>
      <c r="CB1400">
        <v>35</v>
      </c>
      <c r="CC1400">
        <v>5</v>
      </c>
      <c r="CD1400">
        <v>1.2E-2</v>
      </c>
      <c r="CE1400">
        <v>2.5000000000000001E-2</v>
      </c>
    </row>
    <row r="1401" spans="2:84" hidden="1" x14ac:dyDescent="0.2">
      <c r="D1401">
        <v>103</v>
      </c>
      <c r="G1401" t="s">
        <v>43</v>
      </c>
      <c r="H1401" t="s">
        <v>781</v>
      </c>
      <c r="J1401">
        <v>2012</v>
      </c>
      <c r="M1401" t="s">
        <v>782</v>
      </c>
      <c r="T1401" t="s">
        <v>68</v>
      </c>
      <c r="U1401" t="s">
        <v>124</v>
      </c>
      <c r="V1401" t="s">
        <v>787</v>
      </c>
      <c r="Z1401" t="s">
        <v>49</v>
      </c>
      <c r="AA1401" t="s">
        <v>49</v>
      </c>
      <c r="AB1401" t="s">
        <v>50</v>
      </c>
      <c r="AC1401" t="s">
        <v>51</v>
      </c>
      <c r="AD1401" t="s">
        <v>52</v>
      </c>
      <c r="AE1401" t="s">
        <v>53</v>
      </c>
      <c r="AF1401" t="s">
        <v>52</v>
      </c>
      <c r="AG1401" t="s">
        <v>52</v>
      </c>
      <c r="AH1401" t="s">
        <v>64</v>
      </c>
      <c r="AK1401">
        <v>5</v>
      </c>
      <c r="AL1401">
        <v>5</v>
      </c>
      <c r="AN1401">
        <v>715</v>
      </c>
      <c r="AO1401" t="s">
        <v>56</v>
      </c>
      <c r="AP1401">
        <v>30</v>
      </c>
      <c r="AQ1401" t="s">
        <v>57</v>
      </c>
      <c r="AR1401">
        <v>8.2100000000000009</v>
      </c>
      <c r="AS1401" t="s">
        <v>56</v>
      </c>
      <c r="AT1401">
        <v>0.01</v>
      </c>
      <c r="AU1401">
        <v>1716</v>
      </c>
      <c r="AV1401" t="s">
        <v>56</v>
      </c>
      <c r="AW1401">
        <v>290</v>
      </c>
      <c r="AX1401">
        <v>7.86</v>
      </c>
      <c r="AY1401" t="s">
        <v>56</v>
      </c>
      <c r="AZ1401">
        <v>0.1</v>
      </c>
      <c r="BB1401">
        <f>LOG(AU1401)</f>
        <v>3.2345172835126865</v>
      </c>
      <c r="BC1401">
        <v>19.5</v>
      </c>
      <c r="BD1401" t="s">
        <v>56</v>
      </c>
      <c r="BE1401">
        <v>0.3</v>
      </c>
      <c r="BF1401">
        <v>23.3</v>
      </c>
      <c r="BG1401" t="s">
        <v>56</v>
      </c>
      <c r="BH1401">
        <v>0.4</v>
      </c>
      <c r="BI1401">
        <v>1001</v>
      </c>
      <c r="BJ1401">
        <v>3.8</v>
      </c>
      <c r="BK1401" t="s">
        <v>56</v>
      </c>
      <c r="BL1401" t="s">
        <v>786</v>
      </c>
      <c r="BM1401" t="s">
        <v>120</v>
      </c>
      <c r="BN1401" t="s">
        <v>81</v>
      </c>
      <c r="BO1401" t="s">
        <v>121</v>
      </c>
      <c r="BP1401" t="s">
        <v>83</v>
      </c>
      <c r="BQ1401" s="8" t="s">
        <v>92</v>
      </c>
      <c r="BR1401" t="s">
        <v>84</v>
      </c>
      <c r="BT1401">
        <v>4.62</v>
      </c>
      <c r="BU1401">
        <v>4.6187050000000003</v>
      </c>
      <c r="BV1401">
        <v>0.26</v>
      </c>
      <c r="BW1401">
        <f>BV1401*SQRT(AK1401)</f>
        <v>0.58137767414994534</v>
      </c>
      <c r="BX1401">
        <v>4.83</v>
      </c>
      <c r="BY1401">
        <v>4.8345323999999996</v>
      </c>
      <c r="BZ1401">
        <v>0.17</v>
      </c>
      <c r="CA1401">
        <f>BZ1401*SQRT(AL1401)</f>
        <v>0.3801315561749643</v>
      </c>
      <c r="CB1401">
        <v>35</v>
      </c>
      <c r="CC1401">
        <v>5</v>
      </c>
      <c r="CD1401">
        <v>4.5999999999999999E-2</v>
      </c>
      <c r="CE1401">
        <v>4.4000000000000003E-3</v>
      </c>
    </row>
    <row r="1402" spans="2:84" s="8" customFormat="1" hidden="1" x14ac:dyDescent="0.2">
      <c r="B1402" t="str">
        <f>ROW()-1&amp;"_AltersInvert"</f>
        <v>1401_AltersInvert</v>
      </c>
      <c r="C1402" t="str">
        <f>D1402&amp;"_"&amp;
SUBSTITUTE(TRIM(V1402)," ","_")&amp;"_"&amp;
TRIM(AC1402)&amp;"_"&amp;
"CO2"&amp;TEXT(AN1402,"0.00")&amp;"_"&amp;
"pH"&amp;TEXT(AR1402,"0.00")&amp;"_"&amp;
"T"&amp;TEXT(BC1402,"0.##")</f>
        <v>212_Crassostrea_gigas_EMBRYO_CO2375.00_pH0.00_T18.</v>
      </c>
      <c r="D1402" s="8">
        <v>212</v>
      </c>
      <c r="G1402" s="8" t="s">
        <v>43</v>
      </c>
      <c r="H1402" s="8" t="s">
        <v>1063</v>
      </c>
      <c r="J1402" s="8">
        <v>2010</v>
      </c>
      <c r="K1402" s="8" t="s">
        <v>1075</v>
      </c>
      <c r="M1402" s="8" t="s">
        <v>67</v>
      </c>
      <c r="P1402" t="s">
        <v>1135</v>
      </c>
      <c r="R1402" s="8" t="s">
        <v>1127</v>
      </c>
      <c r="S1402" t="s">
        <v>1128</v>
      </c>
      <c r="T1402" s="8" t="s">
        <v>68</v>
      </c>
      <c r="U1402" s="8" t="s">
        <v>167</v>
      </c>
      <c r="V1402" s="8" t="s">
        <v>168</v>
      </c>
      <c r="W1402" s="8" t="str">
        <f>IF(ISNUMBER(MATCH(V796,{"Doryteuthis pealeii","Loligo vulgaris","Leptuca thayeri","Stylocheilus striatus","Ophryotrocha labronica"},0)),"N","Y")</f>
        <v>Y</v>
      </c>
      <c r="AC1402" s="8" t="s">
        <v>195</v>
      </c>
      <c r="AF1402" s="8" t="s">
        <v>52</v>
      </c>
      <c r="AG1402" s="8" t="s">
        <v>54</v>
      </c>
      <c r="AH1402" s="8" t="s">
        <v>55</v>
      </c>
      <c r="AK1402" s="8">
        <v>3</v>
      </c>
      <c r="AL1402" s="8">
        <v>3</v>
      </c>
      <c r="AN1402" s="8">
        <v>375</v>
      </c>
      <c r="AU1402" s="8">
        <v>750</v>
      </c>
      <c r="AV1402"/>
      <c r="AW1402"/>
      <c r="AX1402"/>
      <c r="AY1402"/>
      <c r="AZ1402"/>
      <c r="BB1402" s="8">
        <f>LOG(AU1402)</f>
        <v>2.8750612633917001</v>
      </c>
      <c r="BC1402" s="8">
        <v>18</v>
      </c>
      <c r="BF1402" s="8">
        <v>18</v>
      </c>
      <c r="BI1402" s="8">
        <v>375</v>
      </c>
      <c r="BJ1402" s="8">
        <v>0</v>
      </c>
      <c r="BK1402" s="8" t="s">
        <v>1064</v>
      </c>
      <c r="BL1402" s="8" t="s">
        <v>933</v>
      </c>
      <c r="BM1402" s="8" t="s">
        <v>473</v>
      </c>
      <c r="BN1402" s="8" t="s">
        <v>81</v>
      </c>
      <c r="BO1402" s="8" t="s">
        <v>82</v>
      </c>
      <c r="BP1402" s="8" t="s">
        <v>190</v>
      </c>
      <c r="BQ1402" s="8" t="s">
        <v>190</v>
      </c>
      <c r="BR1402" s="8" t="s">
        <v>84</v>
      </c>
      <c r="BT1402" s="8">
        <v>86.8</v>
      </c>
      <c r="BU1402" s="8">
        <v>86.798000000000002</v>
      </c>
      <c r="BV1402" s="8">
        <v>3.09</v>
      </c>
      <c r="BW1402" s="8">
        <f>BV1402*SQRT(AK1402)</f>
        <v>5.35203699538783</v>
      </c>
      <c r="BX1402" s="8">
        <v>68.540000000000006</v>
      </c>
      <c r="BY1402" s="8">
        <v>68.539000000000001</v>
      </c>
      <c r="BZ1402" s="8">
        <v>0.56000000000000005</v>
      </c>
      <c r="CA1402" s="8">
        <f>BZ1402*SQRT(AL1402)</f>
        <v>0.96994845223857129</v>
      </c>
      <c r="CB1402" s="8">
        <v>0</v>
      </c>
      <c r="CC1402" s="8">
        <v>3</v>
      </c>
      <c r="CD1402" s="8">
        <v>-0.23599999999999999</v>
      </c>
      <c r="CE1402" s="8">
        <v>1.2999999999999999E-3</v>
      </c>
      <c r="CF1402" s="8" t="s">
        <v>1134</v>
      </c>
    </row>
    <row r="1403" spans="2:84" s="8" customFormat="1" hidden="1" x14ac:dyDescent="0.2">
      <c r="B1403" t="str">
        <f>ROW()-1&amp;"_AltersInvert"</f>
        <v>1402_AltersInvert</v>
      </c>
      <c r="C1403" t="str">
        <f>D1403&amp;"_"&amp;
SUBSTITUTE(TRIM(V1403)," ","_")&amp;"_"&amp;
TRIM(AC1403)&amp;"_"&amp;
"CO2"&amp;TEXT(AN1403,"0.00")&amp;"_"&amp;
"pH"&amp;TEXT(AR1403,"0.00")&amp;"_"&amp;
"T"&amp;TEXT(BC1403,"0.##")</f>
        <v>212_Crassostrea_gigas_EMBRYO_CO2375.00_pH0.00_T18.</v>
      </c>
      <c r="D1403" s="8">
        <v>212</v>
      </c>
      <c r="G1403" s="8" t="s">
        <v>43</v>
      </c>
      <c r="H1403" s="8" t="s">
        <v>1063</v>
      </c>
      <c r="J1403" s="8">
        <v>2010</v>
      </c>
      <c r="K1403" s="8" t="s">
        <v>1075</v>
      </c>
      <c r="M1403" s="8" t="s">
        <v>67</v>
      </c>
      <c r="P1403" t="s">
        <v>1135</v>
      </c>
      <c r="R1403" s="8" t="s">
        <v>1127</v>
      </c>
      <c r="S1403" t="s">
        <v>1128</v>
      </c>
      <c r="T1403" s="8" t="s">
        <v>68</v>
      </c>
      <c r="U1403" s="8" t="s">
        <v>167</v>
      </c>
      <c r="V1403" s="8" t="s">
        <v>168</v>
      </c>
      <c r="W1403" s="8" t="str">
        <f>IF(ISNUMBER(MATCH(V797,{"Doryteuthis pealeii","Loligo vulgaris","Leptuca thayeri","Stylocheilus striatus","Ophryotrocha labronica"},0)),"N","Y")</f>
        <v>Y</v>
      </c>
      <c r="AC1403" s="8" t="s">
        <v>195</v>
      </c>
      <c r="AF1403" s="8" t="s">
        <v>52</v>
      </c>
      <c r="AG1403" s="8" t="s">
        <v>54</v>
      </c>
      <c r="AH1403" s="8" t="s">
        <v>55</v>
      </c>
      <c r="AK1403" s="8">
        <v>3</v>
      </c>
      <c r="AL1403" s="8">
        <v>3</v>
      </c>
      <c r="AN1403" s="8">
        <v>375</v>
      </c>
      <c r="AU1403" s="8">
        <v>600</v>
      </c>
      <c r="AV1403"/>
      <c r="AW1403"/>
      <c r="AX1403"/>
      <c r="AY1403"/>
      <c r="AZ1403"/>
      <c r="BB1403" s="8">
        <f>LOG(AU1403)</f>
        <v>2.7781512503836434</v>
      </c>
      <c r="BC1403" s="8">
        <v>18</v>
      </c>
      <c r="BF1403" s="8">
        <v>18</v>
      </c>
      <c r="BI1403" s="8">
        <v>225</v>
      </c>
      <c r="BJ1403" s="8">
        <v>0</v>
      </c>
      <c r="BK1403" s="8" t="s">
        <v>1064</v>
      </c>
      <c r="BL1403" s="8" t="s">
        <v>933</v>
      </c>
      <c r="BM1403" s="8" t="s">
        <v>473</v>
      </c>
      <c r="BN1403" s="8" t="s">
        <v>81</v>
      </c>
      <c r="BO1403" s="8" t="s">
        <v>82</v>
      </c>
      <c r="BP1403" s="8" t="s">
        <v>190</v>
      </c>
      <c r="BQ1403" s="8" t="s">
        <v>190</v>
      </c>
      <c r="BR1403" s="8" t="s">
        <v>84</v>
      </c>
      <c r="BT1403" s="8">
        <v>86.8</v>
      </c>
      <c r="BU1403" s="8">
        <v>86.798000000000002</v>
      </c>
      <c r="BV1403" s="8">
        <v>3.09</v>
      </c>
      <c r="BW1403" s="8">
        <f>BV1403*SQRT(AK1403)</f>
        <v>5.35203699538783</v>
      </c>
      <c r="BX1403" s="8">
        <v>72.75</v>
      </c>
      <c r="BY1403" s="8">
        <v>72.753</v>
      </c>
      <c r="BZ1403" s="8">
        <v>3.09</v>
      </c>
      <c r="CA1403" s="8">
        <f>BZ1403*SQRT(AL1403)</f>
        <v>5.35203699538783</v>
      </c>
      <c r="CB1403" s="8">
        <v>0</v>
      </c>
      <c r="CC1403" s="8">
        <v>3</v>
      </c>
      <c r="CD1403" s="8">
        <v>-0.17699999999999999</v>
      </c>
      <c r="CE1403" s="8">
        <v>3.0999999999999999E-3</v>
      </c>
      <c r="CF1403" s="8" t="s">
        <v>1134</v>
      </c>
    </row>
    <row r="1404" spans="2:84" s="8" customFormat="1" hidden="1" x14ac:dyDescent="0.2">
      <c r="B1404" t="str">
        <f>ROW()-1&amp;"_AltersInvert"</f>
        <v>1403_AltersInvert</v>
      </c>
      <c r="C1404" t="str">
        <f>D1404&amp;"_"&amp;
SUBSTITUTE(TRIM(V1404)," ","_")&amp;"_"&amp;
TRIM(AC1404)&amp;"_"&amp;
"CO2"&amp;TEXT(AN1404,"0.00")&amp;"_"&amp;
"pH"&amp;TEXT(AR1404,"0.00")&amp;"_"&amp;
"T"&amp;TEXT(BC1404,"0.##")</f>
        <v>212_Crassostrea_gigas_EMBRYO_CO2375.00_pH0.00_T18.</v>
      </c>
      <c r="D1404" s="8">
        <v>212</v>
      </c>
      <c r="G1404" s="8" t="s">
        <v>43</v>
      </c>
      <c r="H1404" s="8" t="s">
        <v>1063</v>
      </c>
      <c r="J1404" s="8">
        <v>2010</v>
      </c>
      <c r="K1404" s="8" t="s">
        <v>1075</v>
      </c>
      <c r="M1404" s="8" t="s">
        <v>67</v>
      </c>
      <c r="P1404" t="s">
        <v>1135</v>
      </c>
      <c r="R1404" s="8" t="s">
        <v>1127</v>
      </c>
      <c r="S1404" t="s">
        <v>1128</v>
      </c>
      <c r="T1404" s="8" t="s">
        <v>68</v>
      </c>
      <c r="U1404" s="8" t="s">
        <v>167</v>
      </c>
      <c r="V1404" s="8" t="s">
        <v>168</v>
      </c>
      <c r="W1404" s="8" t="str">
        <f>IF(ISNUMBER(MATCH(V798,{"Doryteuthis pealeii","Loligo vulgaris","Leptuca thayeri","Stylocheilus striatus","Ophryotrocha labronica"},0)),"N","Y")</f>
        <v>Y</v>
      </c>
      <c r="AC1404" s="8" t="s">
        <v>195</v>
      </c>
      <c r="AF1404" s="8" t="s">
        <v>54</v>
      </c>
      <c r="AG1404" s="8" t="s">
        <v>52</v>
      </c>
      <c r="AH1404" s="8" t="s">
        <v>65</v>
      </c>
      <c r="AK1404" s="8">
        <v>3</v>
      </c>
      <c r="AL1404" s="8">
        <v>3</v>
      </c>
      <c r="AN1404" s="8">
        <v>375</v>
      </c>
      <c r="AU1404" s="8">
        <v>375</v>
      </c>
      <c r="AV1404"/>
      <c r="AW1404"/>
      <c r="AX1404"/>
      <c r="AY1404"/>
      <c r="AZ1404"/>
      <c r="BB1404" s="8">
        <f>LOG(AU1404)</f>
        <v>2.5740312677277188</v>
      </c>
      <c r="BC1404" s="8">
        <v>18</v>
      </c>
      <c r="BF1404" s="8">
        <v>30</v>
      </c>
      <c r="BI1404" s="8">
        <v>0</v>
      </c>
      <c r="BJ1404" s="8">
        <v>12</v>
      </c>
      <c r="BK1404" s="8" t="s">
        <v>1064</v>
      </c>
      <c r="BL1404" s="8" t="s">
        <v>933</v>
      </c>
      <c r="BM1404" s="8" t="s">
        <v>473</v>
      </c>
      <c r="BN1404" s="8" t="s">
        <v>81</v>
      </c>
      <c r="BO1404" s="8" t="s">
        <v>82</v>
      </c>
      <c r="BP1404" s="8" t="s">
        <v>190</v>
      </c>
      <c r="BQ1404" s="8" t="s">
        <v>190</v>
      </c>
      <c r="BR1404" s="8" t="s">
        <v>84</v>
      </c>
      <c r="BT1404" s="8">
        <v>86.8</v>
      </c>
      <c r="BU1404" s="8">
        <v>86.798000000000002</v>
      </c>
      <c r="BV1404" s="8">
        <v>3.09</v>
      </c>
      <c r="BW1404" s="8">
        <f>BV1404*SQRT(AK1404)</f>
        <v>5.35203699538783</v>
      </c>
      <c r="BX1404" s="8">
        <v>75</v>
      </c>
      <c r="BY1404" s="8">
        <v>75</v>
      </c>
      <c r="BZ1404" s="8">
        <v>2.5299999999999998</v>
      </c>
      <c r="CA1404" s="8">
        <f>BZ1404*SQRT(AL1404)</f>
        <v>4.3820885431492593</v>
      </c>
      <c r="CB1404" s="8">
        <v>0</v>
      </c>
      <c r="CC1404" s="8">
        <v>3</v>
      </c>
      <c r="CD1404" s="8">
        <v>-0.14599999999999999</v>
      </c>
      <c r="CE1404" s="8">
        <v>2.3999999999999998E-3</v>
      </c>
      <c r="CF1404" s="8" t="s">
        <v>1134</v>
      </c>
    </row>
    <row r="1405" spans="2:84" s="8" customFormat="1" hidden="1" x14ac:dyDescent="0.2">
      <c r="B1405" t="str">
        <f>ROW()-1&amp;"_AltersInvert"</f>
        <v>1404_AltersInvert</v>
      </c>
      <c r="C1405" t="str">
        <f>D1405&amp;"_"&amp;
SUBSTITUTE(TRIM(V1405)," ","_")&amp;"_"&amp;
TRIM(AC1405)&amp;"_"&amp;
"CO2"&amp;TEXT(AN1405,"0.00")&amp;"_"&amp;
"pH"&amp;TEXT(AR1405,"0.00")&amp;"_"&amp;
"T"&amp;TEXT(BC1405,"0.##")</f>
        <v>212_Crassostrea_gigas_EMBRYO_CO2375.00_pH0.00_T18.</v>
      </c>
      <c r="D1405" s="8">
        <v>212</v>
      </c>
      <c r="G1405" s="8" t="s">
        <v>43</v>
      </c>
      <c r="H1405" s="8" t="s">
        <v>1063</v>
      </c>
      <c r="J1405" s="8">
        <v>2010</v>
      </c>
      <c r="K1405" s="8" t="s">
        <v>1075</v>
      </c>
      <c r="M1405" s="8" t="s">
        <v>67</v>
      </c>
      <c r="P1405" t="s">
        <v>1135</v>
      </c>
      <c r="R1405" s="8" t="s">
        <v>1127</v>
      </c>
      <c r="S1405" t="s">
        <v>1128</v>
      </c>
      <c r="T1405" s="8" t="s">
        <v>68</v>
      </c>
      <c r="U1405" s="8" t="s">
        <v>167</v>
      </c>
      <c r="V1405" s="8" t="s">
        <v>168</v>
      </c>
      <c r="W1405" s="8" t="str">
        <f>IF(ISNUMBER(MATCH(V799,{"Doryteuthis pealeii","Loligo vulgaris","Leptuca thayeri","Stylocheilus striatus","Ophryotrocha labronica"},0)),"N","Y")</f>
        <v>Y</v>
      </c>
      <c r="AC1405" s="8" t="s">
        <v>195</v>
      </c>
      <c r="AF1405" s="8" t="s">
        <v>54</v>
      </c>
      <c r="AG1405" s="8" t="s">
        <v>52</v>
      </c>
      <c r="AH1405" s="8" t="s">
        <v>65</v>
      </c>
      <c r="AK1405" s="8">
        <v>3</v>
      </c>
      <c r="AL1405" s="8">
        <v>3</v>
      </c>
      <c r="AN1405" s="8">
        <v>375</v>
      </c>
      <c r="AU1405" s="8">
        <v>375</v>
      </c>
      <c r="AV1405"/>
      <c r="AW1405"/>
      <c r="AX1405"/>
      <c r="AY1405"/>
      <c r="AZ1405"/>
      <c r="BB1405" s="8">
        <f>LOG(AU1405)</f>
        <v>2.5740312677277188</v>
      </c>
      <c r="BC1405" s="8">
        <v>18</v>
      </c>
      <c r="BF1405" s="8">
        <v>22</v>
      </c>
      <c r="BI1405" s="8">
        <v>0</v>
      </c>
      <c r="BJ1405" s="8">
        <v>4</v>
      </c>
      <c r="BK1405" s="8" t="s">
        <v>1064</v>
      </c>
      <c r="BL1405" s="8" t="s">
        <v>933</v>
      </c>
      <c r="BM1405" s="8" t="s">
        <v>473</v>
      </c>
      <c r="BN1405" s="8" t="s">
        <v>81</v>
      </c>
      <c r="BO1405" s="8" t="s">
        <v>82</v>
      </c>
      <c r="BP1405" s="8" t="s">
        <v>190</v>
      </c>
      <c r="BQ1405" s="8" t="s">
        <v>190</v>
      </c>
      <c r="BR1405" s="8" t="s">
        <v>84</v>
      </c>
      <c r="BT1405" s="8">
        <v>86.8</v>
      </c>
      <c r="BU1405" s="8">
        <v>86.798000000000002</v>
      </c>
      <c r="BV1405" s="8">
        <v>3.09</v>
      </c>
      <c r="BW1405" s="8">
        <f>BV1405*SQRT(AK1405)</f>
        <v>5.35203699538783</v>
      </c>
      <c r="BX1405" s="8">
        <v>84.27</v>
      </c>
      <c r="BY1405" s="8">
        <v>84.27</v>
      </c>
      <c r="BZ1405" s="8">
        <v>2.81</v>
      </c>
      <c r="CA1405" s="8">
        <f>BZ1405*SQRT(AL1405)</f>
        <v>4.8670627692685446</v>
      </c>
      <c r="CB1405" s="8">
        <v>0</v>
      </c>
      <c r="CC1405" s="8">
        <v>3</v>
      </c>
      <c r="CD1405" s="8">
        <v>-0.03</v>
      </c>
      <c r="CE1405" s="8">
        <v>2.3999999999999998E-3</v>
      </c>
      <c r="CF1405" s="8" t="s">
        <v>1134</v>
      </c>
    </row>
    <row r="1406" spans="2:84" s="8" customFormat="1" hidden="1" x14ac:dyDescent="0.2">
      <c r="B1406" t="str">
        <f>ROW()-1&amp;"_AltersInvert"</f>
        <v>1405_AltersInvert</v>
      </c>
      <c r="C1406" t="str">
        <f>D1406&amp;"_"&amp;
SUBSTITUTE(TRIM(V1406)," ","_")&amp;"_"&amp;
TRIM(AC1406)&amp;"_"&amp;
"CO2"&amp;TEXT(AN1406,"0.00")&amp;"_"&amp;
"pH"&amp;TEXT(AR1406,"0.00")&amp;"_"&amp;
"T"&amp;TEXT(BC1406,"0.##")</f>
        <v>212_Crassostrea_gigas_EMBRYO_CO2375.00_pH0.00_T18.</v>
      </c>
      <c r="D1406" s="8">
        <v>212</v>
      </c>
      <c r="G1406" s="8" t="s">
        <v>43</v>
      </c>
      <c r="H1406" s="8" t="s">
        <v>1063</v>
      </c>
      <c r="J1406" s="8">
        <v>2010</v>
      </c>
      <c r="K1406" s="8" t="s">
        <v>1075</v>
      </c>
      <c r="M1406" s="8" t="s">
        <v>67</v>
      </c>
      <c r="P1406" t="s">
        <v>1135</v>
      </c>
      <c r="R1406" s="8" t="s">
        <v>1127</v>
      </c>
      <c r="S1406" t="s">
        <v>1128</v>
      </c>
      <c r="T1406" s="8" t="s">
        <v>68</v>
      </c>
      <c r="U1406" s="8" t="s">
        <v>167</v>
      </c>
      <c r="V1406" s="8" t="s">
        <v>168</v>
      </c>
      <c r="W1406" s="8" t="str">
        <f>IF(ISNUMBER(MATCH(V800,{"Doryteuthis pealeii","Loligo vulgaris","Leptuca thayeri","Stylocheilus striatus","Ophryotrocha labronica"},0)),"N","Y")</f>
        <v>Y</v>
      </c>
      <c r="AC1406" s="8" t="s">
        <v>195</v>
      </c>
      <c r="AF1406" s="8" t="s">
        <v>54</v>
      </c>
      <c r="AG1406" s="8" t="s">
        <v>52</v>
      </c>
      <c r="AH1406" s="8" t="s">
        <v>65</v>
      </c>
      <c r="AK1406" s="8">
        <v>3</v>
      </c>
      <c r="AL1406" s="8">
        <v>3</v>
      </c>
      <c r="AN1406" s="8">
        <v>375</v>
      </c>
      <c r="AU1406" s="8">
        <v>375</v>
      </c>
      <c r="AV1406"/>
      <c r="AW1406"/>
      <c r="AX1406"/>
      <c r="AY1406"/>
      <c r="AZ1406"/>
      <c r="BB1406" s="8">
        <f>LOG(AU1406)</f>
        <v>2.5740312677277188</v>
      </c>
      <c r="BC1406" s="8">
        <v>18</v>
      </c>
      <c r="BF1406" s="8">
        <v>26</v>
      </c>
      <c r="BI1406" s="8">
        <v>0</v>
      </c>
      <c r="BJ1406" s="8">
        <v>8</v>
      </c>
      <c r="BK1406" s="8" t="s">
        <v>1064</v>
      </c>
      <c r="BL1406" s="8" t="s">
        <v>933</v>
      </c>
      <c r="BM1406" s="8" t="s">
        <v>473</v>
      </c>
      <c r="BN1406" s="8" t="s">
        <v>81</v>
      </c>
      <c r="BO1406" s="8" t="s">
        <v>82</v>
      </c>
      <c r="BP1406" s="8" t="s">
        <v>190</v>
      </c>
      <c r="BQ1406" s="8" t="s">
        <v>190</v>
      </c>
      <c r="BR1406" s="8" t="s">
        <v>84</v>
      </c>
      <c r="BT1406" s="8">
        <v>86.8</v>
      </c>
      <c r="BU1406" s="8">
        <v>86.798000000000002</v>
      </c>
      <c r="BV1406" s="8">
        <v>3.09</v>
      </c>
      <c r="BW1406" s="8">
        <f>BV1406*SQRT(AK1406)</f>
        <v>5.35203699538783</v>
      </c>
      <c r="BX1406" s="8">
        <v>91.85</v>
      </c>
      <c r="BY1406" s="8">
        <v>91.853999999999999</v>
      </c>
      <c r="BZ1406" s="8">
        <v>0.84</v>
      </c>
      <c r="CA1406" s="8">
        <f>BZ1406*SQRT(AL1406)</f>
        <v>1.4549226783578568</v>
      </c>
      <c r="CB1406" s="8">
        <v>0</v>
      </c>
      <c r="CC1406" s="8">
        <v>3</v>
      </c>
      <c r="CD1406" s="8">
        <v>5.7000000000000002E-2</v>
      </c>
      <c r="CE1406" s="8">
        <v>1.4E-3</v>
      </c>
      <c r="CF1406" s="8" t="s">
        <v>1134</v>
      </c>
    </row>
    <row r="1407" spans="2:84" s="8" customFormat="1" hidden="1" x14ac:dyDescent="0.2">
      <c r="B1407" t="str">
        <f>ROW()-1&amp;"_AltersInvert"</f>
        <v>1406_AltersInvert</v>
      </c>
      <c r="C1407" t="str">
        <f>D1407&amp;"_"&amp;
SUBSTITUTE(TRIM(V1407)," ","_")&amp;"_"&amp;
TRIM(AC1407)&amp;"_"&amp;
"CO2"&amp;TEXT(AN1407,"0.00")&amp;"_"&amp;
"pH"&amp;TEXT(AR1407,"0.00")&amp;"_"&amp;
"T"&amp;TEXT(BC1407,"0.##")</f>
        <v>212_Crassostrea_gigas_EMBRYO_CO2375.00_pH0.00_T18.</v>
      </c>
      <c r="D1407" s="8">
        <v>212</v>
      </c>
      <c r="G1407" s="8" t="s">
        <v>43</v>
      </c>
      <c r="H1407" s="8" t="s">
        <v>1063</v>
      </c>
      <c r="J1407" s="8">
        <v>2010</v>
      </c>
      <c r="K1407" s="8" t="s">
        <v>1075</v>
      </c>
      <c r="M1407" s="8" t="s">
        <v>67</v>
      </c>
      <c r="P1407" t="s">
        <v>1135</v>
      </c>
      <c r="R1407" s="8" t="s">
        <v>1127</v>
      </c>
      <c r="S1407" t="s">
        <v>1128</v>
      </c>
      <c r="T1407" s="8" t="s">
        <v>68</v>
      </c>
      <c r="U1407" s="8" t="s">
        <v>167</v>
      </c>
      <c r="V1407" s="8" t="s">
        <v>168</v>
      </c>
      <c r="W1407" s="8" t="str">
        <f>IF(ISNUMBER(MATCH(V801,{"Doryteuthis pealeii","Loligo vulgaris","Leptuca thayeri","Stylocheilus striatus","Ophryotrocha labronica"},0)),"N","Y")</f>
        <v>Y</v>
      </c>
      <c r="AC1407" s="8" t="s">
        <v>195</v>
      </c>
      <c r="AF1407" s="8" t="s">
        <v>52</v>
      </c>
      <c r="AG1407" s="8" t="s">
        <v>52</v>
      </c>
      <c r="AH1407" s="8" t="s">
        <v>64</v>
      </c>
      <c r="AK1407" s="8">
        <v>3</v>
      </c>
      <c r="AL1407" s="8">
        <v>3</v>
      </c>
      <c r="AN1407" s="8">
        <v>375</v>
      </c>
      <c r="AU1407" s="8">
        <v>1000</v>
      </c>
      <c r="AV1407"/>
      <c r="AW1407"/>
      <c r="AX1407"/>
      <c r="AY1407"/>
      <c r="AZ1407"/>
      <c r="BB1407" s="8">
        <f>LOG(AU1407)</f>
        <v>3</v>
      </c>
      <c r="BC1407" s="8">
        <v>18</v>
      </c>
      <c r="BF1407" s="8">
        <v>26</v>
      </c>
      <c r="BI1407" s="8">
        <v>625</v>
      </c>
      <c r="BJ1407" s="8">
        <v>8</v>
      </c>
      <c r="BK1407" s="8" t="s">
        <v>1064</v>
      </c>
      <c r="BL1407" s="8" t="s">
        <v>933</v>
      </c>
      <c r="BM1407" s="8" t="s">
        <v>473</v>
      </c>
      <c r="BN1407" s="8" t="s">
        <v>81</v>
      </c>
      <c r="BO1407" s="8" t="s">
        <v>82</v>
      </c>
      <c r="BP1407" s="8" t="s">
        <v>190</v>
      </c>
      <c r="BQ1407" s="8" t="s">
        <v>190</v>
      </c>
      <c r="BR1407" s="8" t="s">
        <v>84</v>
      </c>
      <c r="BT1407" s="8">
        <v>86.8</v>
      </c>
      <c r="BU1407" s="8">
        <v>86.798000000000002</v>
      </c>
      <c r="BV1407" s="8">
        <v>3.09</v>
      </c>
      <c r="BW1407" s="8">
        <f>BV1407*SQRT(AK1407)</f>
        <v>5.35203699538783</v>
      </c>
      <c r="BX1407" s="8">
        <v>58.43</v>
      </c>
      <c r="BY1407" s="8">
        <v>58.427</v>
      </c>
      <c r="BZ1407" s="8">
        <v>2.81</v>
      </c>
      <c r="CA1407" s="8">
        <f>BZ1407*SQRT(AL1407)</f>
        <v>4.8670627692685446</v>
      </c>
      <c r="CB1407" s="8">
        <v>0</v>
      </c>
      <c r="CC1407" s="8">
        <v>3</v>
      </c>
      <c r="CD1407" s="8">
        <v>-0.39600000000000002</v>
      </c>
      <c r="CE1407" s="8">
        <v>3.5999999999999999E-3</v>
      </c>
      <c r="CF1407" s="8" t="s">
        <v>1134</v>
      </c>
    </row>
    <row r="1408" spans="2:84" s="8" customFormat="1" hidden="1" x14ac:dyDescent="0.2">
      <c r="B1408" t="str">
        <f>ROW()-1&amp;"_AltersInvert"</f>
        <v>1407_AltersInvert</v>
      </c>
      <c r="C1408" t="str">
        <f>D1408&amp;"_"&amp;
SUBSTITUTE(TRIM(V1408)," ","_")&amp;"_"&amp;
TRIM(AC1408)&amp;"_"&amp;
"CO2"&amp;TEXT(AN1408,"0.00")&amp;"_"&amp;
"pH"&amp;TEXT(AR1408,"0.00")&amp;"_"&amp;
"T"&amp;TEXT(BC1408,"0.##")</f>
        <v>212_Crassostrea_gigas_EMBRYO_CO2375.00_pH0.00_T18.</v>
      </c>
      <c r="D1408" s="8">
        <v>212</v>
      </c>
      <c r="G1408" s="8" t="s">
        <v>43</v>
      </c>
      <c r="H1408" s="8" t="s">
        <v>1063</v>
      </c>
      <c r="J1408" s="8">
        <v>2010</v>
      </c>
      <c r="K1408" s="8" t="s">
        <v>1075</v>
      </c>
      <c r="M1408" s="8" t="s">
        <v>67</v>
      </c>
      <c r="P1408" t="s">
        <v>1135</v>
      </c>
      <c r="R1408" s="8" t="s">
        <v>1127</v>
      </c>
      <c r="S1408" t="s">
        <v>1128</v>
      </c>
      <c r="T1408" s="8" t="s">
        <v>68</v>
      </c>
      <c r="U1408" s="8" t="s">
        <v>167</v>
      </c>
      <c r="V1408" s="8" t="s">
        <v>168</v>
      </c>
      <c r="W1408" s="8" t="str">
        <f>IF(ISNUMBER(MATCH(V802,{"Doryteuthis pealeii","Loligo vulgaris","Leptuca thayeri","Stylocheilus striatus","Ophryotrocha labronica"},0)),"N","Y")</f>
        <v>Y</v>
      </c>
      <c r="AC1408" s="8" t="s">
        <v>195</v>
      </c>
      <c r="AF1408" s="8" t="s">
        <v>52</v>
      </c>
      <c r="AG1408" s="8" t="s">
        <v>52</v>
      </c>
      <c r="AH1408" s="8" t="s">
        <v>64</v>
      </c>
      <c r="AK1408" s="8">
        <v>3</v>
      </c>
      <c r="AL1408" s="8">
        <v>3</v>
      </c>
      <c r="AN1408" s="8">
        <v>375</v>
      </c>
      <c r="AU1408" s="8">
        <v>1000</v>
      </c>
      <c r="AV1408"/>
      <c r="AW1408"/>
      <c r="AX1408"/>
      <c r="AY1408"/>
      <c r="AZ1408"/>
      <c r="BB1408" s="8">
        <f>LOG(AU1408)</f>
        <v>3</v>
      </c>
      <c r="BC1408" s="8">
        <v>18</v>
      </c>
      <c r="BF1408" s="8">
        <v>30</v>
      </c>
      <c r="BI1408" s="8">
        <v>625</v>
      </c>
      <c r="BJ1408" s="8">
        <v>12</v>
      </c>
      <c r="BK1408" s="8" t="s">
        <v>1064</v>
      </c>
      <c r="BL1408" s="8" t="s">
        <v>933</v>
      </c>
      <c r="BM1408" s="8" t="s">
        <v>473</v>
      </c>
      <c r="BN1408" s="8" t="s">
        <v>81</v>
      </c>
      <c r="BO1408" s="8" t="s">
        <v>82</v>
      </c>
      <c r="BP1408" s="8" t="s">
        <v>190</v>
      </c>
      <c r="BQ1408" s="8" t="s">
        <v>190</v>
      </c>
      <c r="BR1408" s="8" t="s">
        <v>84</v>
      </c>
      <c r="BT1408" s="8">
        <v>86.8</v>
      </c>
      <c r="BU1408" s="8">
        <v>86.798000000000002</v>
      </c>
      <c r="BV1408" s="8">
        <v>3.09</v>
      </c>
      <c r="BW1408" s="8">
        <f>BV1408*SQRT(AK1408)</f>
        <v>5.35203699538783</v>
      </c>
      <c r="BX1408" s="8">
        <v>61.24</v>
      </c>
      <c r="BY1408" s="8">
        <v>61.235999999999997</v>
      </c>
      <c r="BZ1408" s="8">
        <v>3.65</v>
      </c>
      <c r="CA1408" s="8">
        <f>BZ1408*SQRT(AL1408)</f>
        <v>6.3219854476264015</v>
      </c>
      <c r="CB1408" s="8">
        <v>0</v>
      </c>
      <c r="CC1408" s="8">
        <v>3</v>
      </c>
      <c r="CD1408" s="8">
        <v>-0.34899999999999998</v>
      </c>
      <c r="CE1408" s="8">
        <v>4.7999999999999996E-3</v>
      </c>
      <c r="CF1408" s="8" t="s">
        <v>1134</v>
      </c>
    </row>
    <row r="1409" spans="1:84" s="8" customFormat="1" hidden="1" x14ac:dyDescent="0.2">
      <c r="B1409" t="str">
        <f>ROW()-1&amp;"_AltersInvert"</f>
        <v>1408_AltersInvert</v>
      </c>
      <c r="C1409" t="str">
        <f>D1409&amp;"_"&amp;
SUBSTITUTE(TRIM(V1409)," ","_")&amp;"_"&amp;
TRIM(AC1409)&amp;"_"&amp;
"CO2"&amp;TEXT(AN1409,"0.00")&amp;"_"&amp;
"pH"&amp;TEXT(AR1409,"0.00")&amp;"_"&amp;
"T"&amp;TEXT(BC1409,"0.##")</f>
        <v>212_Crassostrea_gigas_EMBRYO_CO2375.00_pH0.00_T18.</v>
      </c>
      <c r="D1409" s="8">
        <v>212</v>
      </c>
      <c r="G1409" s="8" t="s">
        <v>43</v>
      </c>
      <c r="H1409" s="8" t="s">
        <v>1063</v>
      </c>
      <c r="J1409" s="8">
        <v>2010</v>
      </c>
      <c r="K1409" s="8" t="s">
        <v>1075</v>
      </c>
      <c r="M1409" s="8" t="s">
        <v>67</v>
      </c>
      <c r="P1409" t="s">
        <v>1135</v>
      </c>
      <c r="R1409" s="8" t="s">
        <v>1127</v>
      </c>
      <c r="S1409" t="s">
        <v>1128</v>
      </c>
      <c r="T1409" s="8" t="s">
        <v>68</v>
      </c>
      <c r="U1409" s="8" t="s">
        <v>167</v>
      </c>
      <c r="V1409" s="8" t="s">
        <v>168</v>
      </c>
      <c r="W1409" s="8" t="str">
        <f>IF(ISNUMBER(MATCH(V803,{"Doryteuthis pealeii","Loligo vulgaris","Leptuca thayeri","Stylocheilus striatus","Ophryotrocha labronica"},0)),"N","Y")</f>
        <v>Y</v>
      </c>
      <c r="AC1409" s="8" t="s">
        <v>195</v>
      </c>
      <c r="AF1409" s="8" t="s">
        <v>52</v>
      </c>
      <c r="AG1409" s="8" t="s">
        <v>52</v>
      </c>
      <c r="AH1409" s="8" t="s">
        <v>64</v>
      </c>
      <c r="AK1409" s="8">
        <v>3</v>
      </c>
      <c r="AL1409" s="8">
        <v>3</v>
      </c>
      <c r="AN1409" s="8">
        <v>375</v>
      </c>
      <c r="AU1409" s="8">
        <v>1000</v>
      </c>
      <c r="AV1409"/>
      <c r="AW1409"/>
      <c r="AX1409"/>
      <c r="AY1409"/>
      <c r="AZ1409"/>
      <c r="BB1409" s="8">
        <f>LOG(AU1409)</f>
        <v>3</v>
      </c>
      <c r="BC1409" s="8">
        <v>18</v>
      </c>
      <c r="BF1409" s="8">
        <v>22</v>
      </c>
      <c r="BI1409" s="8">
        <v>625</v>
      </c>
      <c r="BJ1409" s="8">
        <v>4</v>
      </c>
      <c r="BK1409" s="8" t="s">
        <v>1064</v>
      </c>
      <c r="BL1409" s="8" t="s">
        <v>933</v>
      </c>
      <c r="BM1409" s="8" t="s">
        <v>473</v>
      </c>
      <c r="BN1409" s="8" t="s">
        <v>81</v>
      </c>
      <c r="BO1409" s="8" t="s">
        <v>82</v>
      </c>
      <c r="BP1409" s="8" t="s">
        <v>190</v>
      </c>
      <c r="BQ1409" s="8" t="s">
        <v>190</v>
      </c>
      <c r="BR1409" s="8" t="s">
        <v>84</v>
      </c>
      <c r="BT1409" s="8">
        <v>86.8</v>
      </c>
      <c r="BU1409" s="8">
        <v>86.798000000000002</v>
      </c>
      <c r="BV1409" s="8">
        <v>3.09</v>
      </c>
      <c r="BW1409" s="8">
        <f>BV1409*SQRT(AK1409)</f>
        <v>5.35203699538783</v>
      </c>
      <c r="BX1409" s="8">
        <v>61.8</v>
      </c>
      <c r="BY1409" s="8">
        <v>61.798000000000002</v>
      </c>
      <c r="BZ1409" s="8">
        <v>4.49</v>
      </c>
      <c r="CA1409" s="8">
        <f>BZ1409*SQRT(AL1409)</f>
        <v>7.7769081259842592</v>
      </c>
      <c r="CB1409" s="8">
        <v>0</v>
      </c>
      <c r="CC1409" s="8">
        <v>3</v>
      </c>
      <c r="CD1409" s="8">
        <v>-0.34</v>
      </c>
      <c r="CE1409" s="8">
        <v>6.6E-3</v>
      </c>
      <c r="CF1409" s="8" t="s">
        <v>1134</v>
      </c>
    </row>
    <row r="1410" spans="1:84" s="8" customFormat="1" hidden="1" x14ac:dyDescent="0.2">
      <c r="B1410" t="str">
        <f>ROW()-1&amp;"_AltersInvert"</f>
        <v>1409_AltersInvert</v>
      </c>
      <c r="C1410" t="str">
        <f>D1410&amp;"_"&amp;
SUBSTITUTE(TRIM(V1410)," ","_")&amp;"_"&amp;
TRIM(AC1410)&amp;"_"&amp;
"CO2"&amp;TEXT(AN1410,"0.00")&amp;"_"&amp;
"pH"&amp;TEXT(AR1410,"0.00")&amp;"_"&amp;
"T"&amp;TEXT(BC1410,"0.##")</f>
        <v>212_Crassostrea_gigas_EMBRYO_CO2375.00_pH0.00_T18.</v>
      </c>
      <c r="D1410" s="8">
        <v>212</v>
      </c>
      <c r="G1410" s="8" t="s">
        <v>43</v>
      </c>
      <c r="H1410" s="8" t="s">
        <v>1063</v>
      </c>
      <c r="J1410" s="8">
        <v>2010</v>
      </c>
      <c r="K1410" s="8" t="s">
        <v>1075</v>
      </c>
      <c r="M1410" s="8" t="s">
        <v>67</v>
      </c>
      <c r="P1410" t="s">
        <v>1135</v>
      </c>
      <c r="R1410" s="8" t="s">
        <v>1127</v>
      </c>
      <c r="S1410" t="s">
        <v>1128</v>
      </c>
      <c r="T1410" s="8" t="s">
        <v>68</v>
      </c>
      <c r="U1410" s="8" t="s">
        <v>167</v>
      </c>
      <c r="V1410" s="8" t="s">
        <v>168</v>
      </c>
      <c r="W1410" s="8" t="str">
        <f>IF(ISNUMBER(MATCH(V804,{"Doryteuthis pealeii","Loligo vulgaris","Leptuca thayeri","Stylocheilus striatus","Ophryotrocha labronica"},0)),"N","Y")</f>
        <v>Y</v>
      </c>
      <c r="AC1410" s="8" t="s">
        <v>195</v>
      </c>
      <c r="AF1410" s="8" t="s">
        <v>52</v>
      </c>
      <c r="AG1410" s="8" t="s">
        <v>52</v>
      </c>
      <c r="AH1410" s="8" t="s">
        <v>64</v>
      </c>
      <c r="AK1410" s="8">
        <v>3</v>
      </c>
      <c r="AL1410" s="8">
        <v>3</v>
      </c>
      <c r="AN1410" s="8">
        <v>375</v>
      </c>
      <c r="AU1410" s="8">
        <v>750</v>
      </c>
      <c r="AV1410"/>
      <c r="AW1410"/>
      <c r="AX1410"/>
      <c r="AY1410"/>
      <c r="AZ1410"/>
      <c r="BB1410" s="8">
        <f>LOG(AU1410)</f>
        <v>2.8750612633917001</v>
      </c>
      <c r="BC1410" s="8">
        <v>18</v>
      </c>
      <c r="BF1410" s="8">
        <v>30</v>
      </c>
      <c r="BI1410" s="8">
        <v>375</v>
      </c>
      <c r="BJ1410" s="8">
        <v>12</v>
      </c>
      <c r="BK1410" s="8" t="s">
        <v>1064</v>
      </c>
      <c r="BL1410" s="8" t="s">
        <v>933</v>
      </c>
      <c r="BM1410" s="8" t="s">
        <v>473</v>
      </c>
      <c r="BN1410" s="8" t="s">
        <v>81</v>
      </c>
      <c r="BO1410" s="8" t="s">
        <v>82</v>
      </c>
      <c r="BP1410" s="8" t="s">
        <v>190</v>
      </c>
      <c r="BQ1410" s="8" t="s">
        <v>190</v>
      </c>
      <c r="BR1410" s="8" t="s">
        <v>84</v>
      </c>
      <c r="BT1410" s="8">
        <v>86.8</v>
      </c>
      <c r="BU1410" s="8">
        <v>86.798000000000002</v>
      </c>
      <c r="BV1410" s="8">
        <v>3.09</v>
      </c>
      <c r="BW1410" s="8">
        <f>BV1410*SQRT(AK1410)</f>
        <v>5.35203699538783</v>
      </c>
      <c r="BX1410" s="8">
        <v>62.64</v>
      </c>
      <c r="BY1410" s="8">
        <v>62.64</v>
      </c>
      <c r="BZ1410" s="8">
        <v>2.25</v>
      </c>
      <c r="CA1410" s="8">
        <f>BZ1410*SQRT(AL1410)</f>
        <v>3.8971143170299736</v>
      </c>
      <c r="CB1410" s="8">
        <v>0</v>
      </c>
      <c r="CC1410" s="8">
        <v>3</v>
      </c>
      <c r="CD1410" s="8">
        <v>-0.32600000000000001</v>
      </c>
      <c r="CE1410" s="8">
        <v>2.5999999999999999E-3</v>
      </c>
      <c r="CF1410" s="8" t="s">
        <v>1134</v>
      </c>
    </row>
    <row r="1411" spans="1:84" s="8" customFormat="1" hidden="1" x14ac:dyDescent="0.2">
      <c r="B1411" t="str">
        <f>ROW()-1&amp;"_AltersInvert"</f>
        <v>1410_AltersInvert</v>
      </c>
      <c r="C1411" t="str">
        <f>D1411&amp;"_"&amp;
SUBSTITUTE(TRIM(V1411)," ","_")&amp;"_"&amp;
TRIM(AC1411)&amp;"_"&amp;
"CO2"&amp;TEXT(AN1411,"0.00")&amp;"_"&amp;
"pH"&amp;TEXT(AR1411,"0.00")&amp;"_"&amp;
"T"&amp;TEXT(BC1411,"0.##")</f>
        <v>212_Crassostrea_gigas_EMBRYO_CO2375.00_pH0.00_T18.</v>
      </c>
      <c r="D1411" s="8">
        <v>212</v>
      </c>
      <c r="G1411" s="8" t="s">
        <v>43</v>
      </c>
      <c r="H1411" s="8" t="s">
        <v>1063</v>
      </c>
      <c r="J1411" s="8">
        <v>2010</v>
      </c>
      <c r="K1411" s="8" t="s">
        <v>1075</v>
      </c>
      <c r="M1411" s="8" t="s">
        <v>67</v>
      </c>
      <c r="P1411" t="s">
        <v>1135</v>
      </c>
      <c r="R1411" s="8" t="s">
        <v>1127</v>
      </c>
      <c r="S1411" t="s">
        <v>1128</v>
      </c>
      <c r="T1411" s="8" t="s">
        <v>68</v>
      </c>
      <c r="U1411" s="8" t="s">
        <v>167</v>
      </c>
      <c r="V1411" s="8" t="s">
        <v>168</v>
      </c>
      <c r="W1411" s="8" t="str">
        <f>IF(ISNUMBER(MATCH(V805,{"Doryteuthis pealeii","Loligo vulgaris","Leptuca thayeri","Stylocheilus striatus","Ophryotrocha labronica"},0)),"N","Y")</f>
        <v>Y</v>
      </c>
      <c r="AC1411" s="8" t="s">
        <v>195</v>
      </c>
      <c r="AF1411" s="8" t="s">
        <v>52</v>
      </c>
      <c r="AG1411" s="8" t="s">
        <v>52</v>
      </c>
      <c r="AH1411" s="8" t="s">
        <v>64</v>
      </c>
      <c r="AK1411" s="8">
        <v>3</v>
      </c>
      <c r="AL1411" s="8">
        <v>3</v>
      </c>
      <c r="AN1411" s="8">
        <v>375</v>
      </c>
      <c r="AU1411" s="8">
        <v>750</v>
      </c>
      <c r="AV1411"/>
      <c r="AW1411"/>
      <c r="AX1411"/>
      <c r="AY1411"/>
      <c r="AZ1411"/>
      <c r="BB1411" s="8">
        <f>LOG(AU1411)</f>
        <v>2.8750612633917001</v>
      </c>
      <c r="BC1411" s="8">
        <v>18</v>
      </c>
      <c r="BF1411" s="8">
        <v>22</v>
      </c>
      <c r="BI1411" s="8">
        <v>375</v>
      </c>
      <c r="BJ1411" s="8">
        <v>4</v>
      </c>
      <c r="BK1411" s="8" t="s">
        <v>1064</v>
      </c>
      <c r="BL1411" s="8" t="s">
        <v>933</v>
      </c>
      <c r="BM1411" s="8" t="s">
        <v>473</v>
      </c>
      <c r="BN1411" s="8" t="s">
        <v>81</v>
      </c>
      <c r="BO1411" s="8" t="s">
        <v>82</v>
      </c>
      <c r="BP1411" s="8" t="s">
        <v>190</v>
      </c>
      <c r="BQ1411" s="8" t="s">
        <v>190</v>
      </c>
      <c r="BR1411" s="8" t="s">
        <v>84</v>
      </c>
      <c r="BT1411" s="8">
        <v>86.8</v>
      </c>
      <c r="BU1411" s="8">
        <v>86.798000000000002</v>
      </c>
      <c r="BV1411" s="8">
        <v>3.09</v>
      </c>
      <c r="BW1411" s="8">
        <f>BV1411*SQRT(AK1411)</f>
        <v>5.35203699538783</v>
      </c>
      <c r="BX1411" s="8">
        <v>63.2</v>
      </c>
      <c r="BY1411" s="8">
        <v>63.201999999999998</v>
      </c>
      <c r="BZ1411" s="8">
        <v>3.37</v>
      </c>
      <c r="CA1411" s="8">
        <f>BZ1411*SQRT(AL1411)</f>
        <v>5.8370112215071162</v>
      </c>
      <c r="CB1411" s="8">
        <v>0</v>
      </c>
      <c r="CC1411" s="8">
        <v>3</v>
      </c>
      <c r="CD1411" s="8">
        <v>-0.317</v>
      </c>
      <c r="CE1411" s="8">
        <v>4.1000000000000003E-3</v>
      </c>
      <c r="CF1411" s="8" t="s">
        <v>1134</v>
      </c>
    </row>
    <row r="1412" spans="1:84" s="8" customFormat="1" hidden="1" x14ac:dyDescent="0.2">
      <c r="B1412" t="str">
        <f>ROW()-1&amp;"_AltersInvert"</f>
        <v>1411_AltersInvert</v>
      </c>
      <c r="C1412" t="str">
        <f>D1412&amp;"_"&amp;
SUBSTITUTE(TRIM(V1412)," ","_")&amp;"_"&amp;
TRIM(AC1412)&amp;"_"&amp;
"CO2"&amp;TEXT(AN1412,"0.00")&amp;"_"&amp;
"pH"&amp;TEXT(AR1412,"0.00")&amp;"_"&amp;
"T"&amp;TEXT(BC1412,"0.##")</f>
        <v>212_Crassostrea_gigas_EMBRYO_CO2375.00_pH0.00_T18.</v>
      </c>
      <c r="D1412" s="8">
        <v>212</v>
      </c>
      <c r="G1412" s="8" t="s">
        <v>43</v>
      </c>
      <c r="H1412" s="8" t="s">
        <v>1063</v>
      </c>
      <c r="J1412" s="8">
        <v>2010</v>
      </c>
      <c r="K1412" s="8" t="s">
        <v>1075</v>
      </c>
      <c r="M1412" s="8" t="s">
        <v>67</v>
      </c>
      <c r="P1412" t="s">
        <v>1135</v>
      </c>
      <c r="R1412" s="8" t="s">
        <v>1127</v>
      </c>
      <c r="S1412" t="s">
        <v>1128</v>
      </c>
      <c r="T1412" s="8" t="s">
        <v>68</v>
      </c>
      <c r="U1412" s="8" t="s">
        <v>167</v>
      </c>
      <c r="V1412" s="8" t="s">
        <v>168</v>
      </c>
      <c r="W1412" s="8" t="str">
        <f>IF(ISNUMBER(MATCH(V806,{"Doryteuthis pealeii","Loligo vulgaris","Leptuca thayeri","Stylocheilus striatus","Ophryotrocha labronica"},0)),"N","Y")</f>
        <v>Y</v>
      </c>
      <c r="AC1412" s="8" t="s">
        <v>195</v>
      </c>
      <c r="AF1412" s="8" t="s">
        <v>52</v>
      </c>
      <c r="AG1412" s="8" t="s">
        <v>52</v>
      </c>
      <c r="AH1412" s="8" t="s">
        <v>64</v>
      </c>
      <c r="AK1412" s="8">
        <v>3</v>
      </c>
      <c r="AL1412" s="8">
        <v>3</v>
      </c>
      <c r="AN1412" s="8">
        <v>375</v>
      </c>
      <c r="AU1412" s="8">
        <v>750</v>
      </c>
      <c r="AV1412"/>
      <c r="AW1412"/>
      <c r="AX1412"/>
      <c r="AY1412"/>
      <c r="AZ1412"/>
      <c r="BB1412" s="8">
        <f>LOG(AU1412)</f>
        <v>2.8750612633917001</v>
      </c>
      <c r="BC1412" s="8">
        <v>18</v>
      </c>
      <c r="BF1412" s="8">
        <v>26</v>
      </c>
      <c r="BI1412" s="8">
        <v>375</v>
      </c>
      <c r="BJ1412" s="8">
        <v>8</v>
      </c>
      <c r="BK1412" s="8" t="s">
        <v>1064</v>
      </c>
      <c r="BL1412" s="8" t="s">
        <v>933</v>
      </c>
      <c r="BM1412" s="8" t="s">
        <v>473</v>
      </c>
      <c r="BN1412" s="8" t="s">
        <v>81</v>
      </c>
      <c r="BO1412" s="8" t="s">
        <v>82</v>
      </c>
      <c r="BP1412" s="8" t="s">
        <v>190</v>
      </c>
      <c r="BQ1412" s="8" t="s">
        <v>190</v>
      </c>
      <c r="BR1412" s="8" t="s">
        <v>84</v>
      </c>
      <c r="BT1412" s="8">
        <v>86.8</v>
      </c>
      <c r="BU1412" s="8">
        <v>86.798000000000002</v>
      </c>
      <c r="BV1412" s="8">
        <v>3.09</v>
      </c>
      <c r="BW1412" s="8">
        <f>BV1412*SQRT(AK1412)</f>
        <v>5.35203699538783</v>
      </c>
      <c r="BX1412" s="8">
        <v>65.17</v>
      </c>
      <c r="BY1412" s="8">
        <v>65.168999999999997</v>
      </c>
      <c r="BZ1412" s="8">
        <v>3.65</v>
      </c>
      <c r="CA1412" s="8">
        <f>BZ1412*SQRT(AL1412)</f>
        <v>6.3219854476264015</v>
      </c>
      <c r="CB1412" s="8">
        <v>0</v>
      </c>
      <c r="CC1412" s="8">
        <v>3</v>
      </c>
      <c r="CD1412" s="8">
        <v>-0.28699999999999998</v>
      </c>
      <c r="CE1412" s="8">
        <v>4.4000000000000003E-3</v>
      </c>
      <c r="CF1412" s="8" t="s">
        <v>1134</v>
      </c>
    </row>
    <row r="1413" spans="1:84" s="8" customFormat="1" hidden="1" x14ac:dyDescent="0.2">
      <c r="B1413" t="str">
        <f>ROW()-1&amp;"_AltersInvert"</f>
        <v>1412_AltersInvert</v>
      </c>
      <c r="C1413" t="str">
        <f>D1413&amp;"_"&amp;
SUBSTITUTE(TRIM(V1413)," ","_")&amp;"_"&amp;
TRIM(AC1413)&amp;"_"&amp;
"CO2"&amp;TEXT(AN1413,"0.00")&amp;"_"&amp;
"pH"&amp;TEXT(AR1413,"0.00")&amp;"_"&amp;
"T"&amp;TEXT(BC1413,"0.##")</f>
        <v>212_Crassostrea_gigas_EMBRYO_CO2375.00_pH0.00_T18.</v>
      </c>
      <c r="D1413" s="8">
        <v>212</v>
      </c>
      <c r="G1413" s="8" t="s">
        <v>43</v>
      </c>
      <c r="H1413" s="8" t="s">
        <v>1063</v>
      </c>
      <c r="J1413" s="8">
        <v>2010</v>
      </c>
      <c r="K1413" s="8" t="s">
        <v>1075</v>
      </c>
      <c r="M1413" s="8" t="s">
        <v>67</v>
      </c>
      <c r="P1413" t="s">
        <v>1135</v>
      </c>
      <c r="R1413" s="8" t="s">
        <v>1127</v>
      </c>
      <c r="S1413" t="s">
        <v>1128</v>
      </c>
      <c r="T1413" s="8" t="s">
        <v>68</v>
      </c>
      <c r="U1413" s="8" t="s">
        <v>167</v>
      </c>
      <c r="V1413" s="8" t="s">
        <v>168</v>
      </c>
      <c r="W1413" s="8" t="str">
        <f>IF(ISNUMBER(MATCH(V807,{"Doryteuthis pealeii","Loligo vulgaris","Leptuca thayeri","Stylocheilus striatus","Ophryotrocha labronica"},0)),"N","Y")</f>
        <v>Y</v>
      </c>
      <c r="AC1413" s="8" t="s">
        <v>195</v>
      </c>
      <c r="AF1413" s="8" t="s">
        <v>52</v>
      </c>
      <c r="AG1413" s="8" t="s">
        <v>52</v>
      </c>
      <c r="AH1413" s="8" t="s">
        <v>64</v>
      </c>
      <c r="AK1413" s="8">
        <v>3</v>
      </c>
      <c r="AL1413" s="8">
        <v>3</v>
      </c>
      <c r="AN1413" s="8">
        <v>375</v>
      </c>
      <c r="AU1413" s="8">
        <v>600</v>
      </c>
      <c r="AV1413"/>
      <c r="AW1413"/>
      <c r="AX1413"/>
      <c r="AY1413"/>
      <c r="AZ1413"/>
      <c r="BB1413" s="8">
        <f>LOG(AU1413)</f>
        <v>2.7781512503836434</v>
      </c>
      <c r="BC1413" s="8">
        <v>18</v>
      </c>
      <c r="BF1413" s="8">
        <v>30</v>
      </c>
      <c r="BI1413" s="8">
        <v>225</v>
      </c>
      <c r="BJ1413" s="8">
        <v>12</v>
      </c>
      <c r="BK1413" s="8" t="s">
        <v>1064</v>
      </c>
      <c r="BL1413" s="8" t="s">
        <v>933</v>
      </c>
      <c r="BM1413" s="8" t="s">
        <v>473</v>
      </c>
      <c r="BN1413" s="8" t="s">
        <v>81</v>
      </c>
      <c r="BO1413" s="8" t="s">
        <v>82</v>
      </c>
      <c r="BP1413" s="8" t="s">
        <v>190</v>
      </c>
      <c r="BQ1413" s="8" t="s">
        <v>190</v>
      </c>
      <c r="BR1413" s="8" t="s">
        <v>84</v>
      </c>
      <c r="BT1413" s="8">
        <v>86.8</v>
      </c>
      <c r="BU1413" s="8">
        <v>86.798000000000002</v>
      </c>
      <c r="BV1413" s="8">
        <v>3.09</v>
      </c>
      <c r="BW1413" s="8">
        <f>BV1413*SQRT(AK1413)</f>
        <v>5.35203699538783</v>
      </c>
      <c r="BX1413" s="8">
        <v>65.73</v>
      </c>
      <c r="BY1413" s="8">
        <v>65.73</v>
      </c>
      <c r="BZ1413" s="8">
        <v>2.25</v>
      </c>
      <c r="CA1413" s="8">
        <f>BZ1413*SQRT(AL1413)</f>
        <v>3.8971143170299736</v>
      </c>
      <c r="CB1413" s="8">
        <v>0</v>
      </c>
      <c r="CC1413" s="8">
        <v>3</v>
      </c>
      <c r="CD1413" s="8">
        <v>-0.27800000000000002</v>
      </c>
      <c r="CE1413" s="8">
        <v>2.3999999999999998E-3</v>
      </c>
      <c r="CF1413" s="8" t="s">
        <v>1134</v>
      </c>
    </row>
    <row r="1414" spans="1:84" s="8" customFormat="1" hidden="1" x14ac:dyDescent="0.2">
      <c r="B1414" t="str">
        <f>ROW()-1&amp;"_AltersInvert"</f>
        <v>1413_AltersInvert</v>
      </c>
      <c r="C1414" t="str">
        <f>D1414&amp;"_"&amp;
SUBSTITUTE(TRIM(V1414)," ","_")&amp;"_"&amp;
TRIM(AC1414)&amp;"_"&amp;
"CO2"&amp;TEXT(AN1414,"0.00")&amp;"_"&amp;
"pH"&amp;TEXT(AR1414,"0.00")&amp;"_"&amp;
"T"&amp;TEXT(BC1414,"0.##")</f>
        <v>212_Crassostrea_gigas_EMBRYO_CO2375.00_pH0.00_T18.</v>
      </c>
      <c r="D1414" s="8">
        <v>212</v>
      </c>
      <c r="G1414" s="8" t="s">
        <v>43</v>
      </c>
      <c r="H1414" s="8" t="s">
        <v>1063</v>
      </c>
      <c r="J1414" s="8">
        <v>2010</v>
      </c>
      <c r="K1414" s="8" t="s">
        <v>1075</v>
      </c>
      <c r="M1414" s="8" t="s">
        <v>67</v>
      </c>
      <c r="P1414" t="s">
        <v>1135</v>
      </c>
      <c r="R1414" s="8" t="s">
        <v>1127</v>
      </c>
      <c r="S1414" t="s">
        <v>1128</v>
      </c>
      <c r="T1414" s="8" t="s">
        <v>68</v>
      </c>
      <c r="U1414" s="8" t="s">
        <v>167</v>
      </c>
      <c r="V1414" s="8" t="s">
        <v>168</v>
      </c>
      <c r="W1414" s="8" t="str">
        <f>IF(ISNUMBER(MATCH(V808,{"Doryteuthis pealeii","Loligo vulgaris","Leptuca thayeri","Stylocheilus striatus","Ophryotrocha labronica"},0)),"N","Y")</f>
        <v>Y</v>
      </c>
      <c r="AC1414" s="8" t="s">
        <v>195</v>
      </c>
      <c r="AF1414" s="8" t="s">
        <v>52</v>
      </c>
      <c r="AG1414" s="8" t="s">
        <v>52</v>
      </c>
      <c r="AH1414" s="8" t="s">
        <v>64</v>
      </c>
      <c r="AK1414" s="8">
        <v>3</v>
      </c>
      <c r="AL1414" s="8">
        <v>3</v>
      </c>
      <c r="AN1414" s="8">
        <v>375</v>
      </c>
      <c r="AU1414" s="8">
        <v>600</v>
      </c>
      <c r="AV1414"/>
      <c r="AW1414"/>
      <c r="AX1414"/>
      <c r="AY1414"/>
      <c r="AZ1414"/>
      <c r="BB1414" s="8">
        <f>LOG(AU1414)</f>
        <v>2.7781512503836434</v>
      </c>
      <c r="BC1414" s="8">
        <v>18</v>
      </c>
      <c r="BF1414" s="8">
        <v>22</v>
      </c>
      <c r="BI1414" s="8">
        <v>225</v>
      </c>
      <c r="BJ1414" s="8">
        <v>4</v>
      </c>
      <c r="BK1414" s="8" t="s">
        <v>1064</v>
      </c>
      <c r="BL1414" s="8" t="s">
        <v>933</v>
      </c>
      <c r="BM1414" s="8" t="s">
        <v>473</v>
      </c>
      <c r="BN1414" s="8" t="s">
        <v>81</v>
      </c>
      <c r="BO1414" s="8" t="s">
        <v>82</v>
      </c>
      <c r="BP1414" s="8" t="s">
        <v>190</v>
      </c>
      <c r="BQ1414" s="8" t="s">
        <v>190</v>
      </c>
      <c r="BR1414" s="8" t="s">
        <v>84</v>
      </c>
      <c r="BT1414" s="8">
        <v>86.8</v>
      </c>
      <c r="BU1414" s="8">
        <v>86.798000000000002</v>
      </c>
      <c r="BV1414" s="8">
        <v>3.09</v>
      </c>
      <c r="BW1414" s="8">
        <f>BV1414*SQRT(AK1414)</f>
        <v>5.35203699538783</v>
      </c>
      <c r="BX1414" s="8">
        <v>71.91</v>
      </c>
      <c r="BY1414" s="8">
        <v>71.91</v>
      </c>
      <c r="BZ1414" s="8">
        <v>1.1200000000000001</v>
      </c>
      <c r="CA1414" s="8">
        <f>BZ1414*SQRT(AL1414)</f>
        <v>1.9398969044771426</v>
      </c>
      <c r="CB1414" s="8">
        <v>0</v>
      </c>
      <c r="CC1414" s="8">
        <v>3</v>
      </c>
      <c r="CD1414" s="8">
        <v>-0.188</v>
      </c>
      <c r="CE1414" s="8">
        <v>1.5E-3</v>
      </c>
      <c r="CF1414" s="8" t="s">
        <v>1134</v>
      </c>
    </row>
    <row r="1415" spans="1:84" s="8" customFormat="1" hidden="1" x14ac:dyDescent="0.2">
      <c r="B1415" t="str">
        <f>ROW()-1&amp;"_AltersInvert"</f>
        <v>1414_AltersInvert</v>
      </c>
      <c r="C1415" t="str">
        <f>D1415&amp;"_"&amp;
SUBSTITUTE(TRIM(V1415)," ","_")&amp;"_"&amp;
TRIM(AC1415)&amp;"_"&amp;
"CO2"&amp;TEXT(AN1415,"0.00")&amp;"_"&amp;
"pH"&amp;TEXT(AR1415,"0.00")&amp;"_"&amp;
"T"&amp;TEXT(BC1415,"0.##")</f>
        <v>212_Crassostrea_gigas_EMBRYO_CO2375.00_pH0.00_T18.</v>
      </c>
      <c r="D1415" s="8">
        <v>212</v>
      </c>
      <c r="G1415" s="8" t="s">
        <v>43</v>
      </c>
      <c r="H1415" s="8" t="s">
        <v>1063</v>
      </c>
      <c r="J1415" s="8">
        <v>2010</v>
      </c>
      <c r="K1415" s="8" t="s">
        <v>1075</v>
      </c>
      <c r="M1415" s="8" t="s">
        <v>67</v>
      </c>
      <c r="P1415" t="s">
        <v>1135</v>
      </c>
      <c r="R1415" s="8" t="s">
        <v>1127</v>
      </c>
      <c r="S1415" t="s">
        <v>1128</v>
      </c>
      <c r="T1415" s="8" t="s">
        <v>68</v>
      </c>
      <c r="U1415" s="8" t="s">
        <v>167</v>
      </c>
      <c r="V1415" s="8" t="s">
        <v>168</v>
      </c>
      <c r="W1415" s="8" t="str">
        <f>IF(ISNUMBER(MATCH(V809,{"Doryteuthis pealeii","Loligo vulgaris","Leptuca thayeri","Stylocheilus striatus","Ophryotrocha labronica"},0)),"N","Y")</f>
        <v>Y</v>
      </c>
      <c r="AC1415" s="8" t="s">
        <v>195</v>
      </c>
      <c r="AF1415" s="8" t="s">
        <v>52</v>
      </c>
      <c r="AG1415" s="8" t="s">
        <v>52</v>
      </c>
      <c r="AH1415" s="8" t="s">
        <v>64</v>
      </c>
      <c r="AK1415" s="8">
        <v>3</v>
      </c>
      <c r="AL1415" s="8">
        <v>3</v>
      </c>
      <c r="AN1415" s="8">
        <v>375</v>
      </c>
      <c r="AU1415" s="8">
        <v>600</v>
      </c>
      <c r="AV1415"/>
      <c r="AW1415"/>
      <c r="AX1415"/>
      <c r="AY1415"/>
      <c r="AZ1415"/>
      <c r="BB1415" s="8">
        <f>LOG(AU1415)</f>
        <v>2.7781512503836434</v>
      </c>
      <c r="BC1415" s="8">
        <v>18</v>
      </c>
      <c r="BF1415" s="8">
        <v>26</v>
      </c>
      <c r="BI1415" s="8">
        <v>225</v>
      </c>
      <c r="BJ1415" s="8">
        <v>8</v>
      </c>
      <c r="BK1415" s="8" t="s">
        <v>1064</v>
      </c>
      <c r="BL1415" s="8" t="s">
        <v>933</v>
      </c>
      <c r="BM1415" s="8" t="s">
        <v>473</v>
      </c>
      <c r="BN1415" s="8" t="s">
        <v>81</v>
      </c>
      <c r="BO1415" s="8" t="s">
        <v>82</v>
      </c>
      <c r="BP1415" s="8" t="s">
        <v>190</v>
      </c>
      <c r="BQ1415" s="8" t="s">
        <v>190</v>
      </c>
      <c r="BR1415" s="8" t="s">
        <v>84</v>
      </c>
      <c r="BT1415" s="8">
        <v>86.8</v>
      </c>
      <c r="BU1415" s="8">
        <v>86.798000000000002</v>
      </c>
      <c r="BV1415" s="8">
        <v>3.09</v>
      </c>
      <c r="BW1415" s="8">
        <f>BV1415*SQRT(AK1415)</f>
        <v>5.35203699538783</v>
      </c>
      <c r="BX1415" s="8">
        <v>74.72</v>
      </c>
      <c r="BY1415" s="8">
        <v>74.718999999999994</v>
      </c>
      <c r="BZ1415" s="8">
        <v>0.84</v>
      </c>
      <c r="CA1415" s="8">
        <f>BZ1415*SQRT(AL1415)</f>
        <v>1.4549226783578568</v>
      </c>
      <c r="CB1415" s="8">
        <v>0</v>
      </c>
      <c r="CC1415" s="8">
        <v>3</v>
      </c>
      <c r="CD1415" s="8">
        <v>-0.15</v>
      </c>
      <c r="CE1415" s="8">
        <v>1.4E-3</v>
      </c>
      <c r="CF1415" s="8" t="s">
        <v>1134</v>
      </c>
    </row>
    <row r="1416" spans="1:84" s="8" customFormat="1" hidden="1" x14ac:dyDescent="0.2">
      <c r="B1416" t="str">
        <f>ROW()-1&amp;"_AltersInvert"</f>
        <v>1415_AltersInvert</v>
      </c>
      <c r="C1416" t="str">
        <f>D1416&amp;"_"&amp;
SUBSTITUTE(TRIM(V1416)," ","_")&amp;"_"&amp;
TRIM(AC1416)&amp;"_"&amp;
"CO2"&amp;TEXT(AN1416,"0.00")&amp;"_"&amp;
"pH"&amp;TEXT(AR1416,"0.00")&amp;"_"&amp;
"T"&amp;TEXT(BC1416,"0.##")</f>
        <v>43_Heliocidaris_erythrogramma_EMBRYO_CO2367.00_pH8.17_T22.</v>
      </c>
      <c r="D1416" s="8">
        <v>43</v>
      </c>
      <c r="G1416" s="8" t="s">
        <v>43</v>
      </c>
      <c r="H1416" s="8" t="s">
        <v>471</v>
      </c>
      <c r="I1416" s="8" t="s">
        <v>1130</v>
      </c>
      <c r="J1416" s="8">
        <v>2010</v>
      </c>
      <c r="M1416" s="8" t="s">
        <v>308</v>
      </c>
      <c r="P1416" t="s">
        <v>1135</v>
      </c>
      <c r="R1416" s="8" t="s">
        <v>1127</v>
      </c>
      <c r="S1416" t="s">
        <v>1128</v>
      </c>
      <c r="T1416" s="8" t="s">
        <v>46</v>
      </c>
      <c r="U1416" s="8" t="s">
        <v>382</v>
      </c>
      <c r="V1416" s="8" t="s">
        <v>383</v>
      </c>
      <c r="W1416" s="8" t="str">
        <f>IF(ISNUMBER(MATCH(#REF!,{"Doryteuthis pealeii","Loligo vulgaris","Leptuca thayeri","Stylocheilus striatus","Ophryotrocha labronica"},0)),"N","Y")</f>
        <v>Y</v>
      </c>
      <c r="Z1416" s="8" t="s">
        <v>177</v>
      </c>
      <c r="AA1416" s="8" t="s">
        <v>177</v>
      </c>
      <c r="AB1416" s="8" t="s">
        <v>71</v>
      </c>
      <c r="AC1416" s="8" t="s">
        <v>195</v>
      </c>
      <c r="AD1416" s="8" t="s">
        <v>52</v>
      </c>
      <c r="AE1416" s="8" t="s">
        <v>53</v>
      </c>
      <c r="AF1416" s="8" t="s">
        <v>52</v>
      </c>
      <c r="AG1416" s="8" t="s">
        <v>54</v>
      </c>
      <c r="AH1416" s="8" t="s">
        <v>55</v>
      </c>
      <c r="AK1416" s="8">
        <v>12</v>
      </c>
      <c r="AL1416" s="8">
        <v>12</v>
      </c>
      <c r="AN1416" s="8">
        <v>367</v>
      </c>
      <c r="AO1416" s="8">
        <v>26</v>
      </c>
      <c r="AP1416" s="8" t="s">
        <v>56</v>
      </c>
      <c r="AQ1416" s="8" t="s">
        <v>57</v>
      </c>
      <c r="AR1416" s="8">
        <v>8.17</v>
      </c>
      <c r="AS1416" s="8" t="s">
        <v>56</v>
      </c>
      <c r="AT1416" s="8" t="s">
        <v>56</v>
      </c>
      <c r="AU1416" s="8">
        <v>1105</v>
      </c>
      <c r="AV1416">
        <v>5</v>
      </c>
      <c r="AW1416" t="s">
        <v>56</v>
      </c>
      <c r="AX1416">
        <v>7.8</v>
      </c>
      <c r="AY1416" t="s">
        <v>56</v>
      </c>
      <c r="AZ1416" t="s">
        <v>56</v>
      </c>
      <c r="BB1416" s="8">
        <f>LOG(AU1416)</f>
        <v>3.0433622780211294</v>
      </c>
      <c r="BC1416" s="8">
        <v>22</v>
      </c>
      <c r="BD1416" s="8" t="s">
        <v>56</v>
      </c>
      <c r="BE1416" s="8" t="s">
        <v>56</v>
      </c>
      <c r="BF1416" s="8">
        <v>22</v>
      </c>
      <c r="BG1416" s="8" t="s">
        <v>56</v>
      </c>
      <c r="BH1416" s="8" t="s">
        <v>56</v>
      </c>
      <c r="BI1416" s="8">
        <v>738</v>
      </c>
      <c r="BJ1416" s="8">
        <v>0</v>
      </c>
      <c r="BK1416" s="8" t="s">
        <v>472</v>
      </c>
      <c r="BL1416" s="8" t="s">
        <v>473</v>
      </c>
      <c r="BM1416" s="8" t="s">
        <v>473</v>
      </c>
      <c r="BN1416" s="8" t="s">
        <v>81</v>
      </c>
      <c r="BO1416" s="8" t="s">
        <v>82</v>
      </c>
      <c r="BP1416" s="8" t="s">
        <v>190</v>
      </c>
      <c r="BQ1416" s="8" t="s">
        <v>190</v>
      </c>
      <c r="BR1416" s="8" t="s">
        <v>84</v>
      </c>
      <c r="BT1416" s="8">
        <v>74.53</v>
      </c>
      <c r="BU1416" s="8">
        <v>74.525745000000001</v>
      </c>
      <c r="BV1416" s="8">
        <v>1.56</v>
      </c>
      <c r="BW1416" s="8">
        <f>BV1416*SQRT(AK1416)</f>
        <v>5.4039985196148974</v>
      </c>
      <c r="BX1416" s="8">
        <v>73.44</v>
      </c>
      <c r="BY1416" s="8">
        <v>73.441734400000001</v>
      </c>
      <c r="BZ1416" s="8">
        <v>0.8</v>
      </c>
      <c r="CA1416" s="8">
        <f>BZ1416*SQRT(AL1416)</f>
        <v>2.7712812921102037</v>
      </c>
      <c r="CB1416" s="8">
        <v>0</v>
      </c>
      <c r="CC1416" s="8">
        <v>3</v>
      </c>
      <c r="CD1416" s="8">
        <v>-1.4999999999999999E-2</v>
      </c>
      <c r="CE1416" s="8">
        <v>5.9999999999999995E-4</v>
      </c>
      <c r="CF1416" s="8" t="s">
        <v>1134</v>
      </c>
    </row>
    <row r="1417" spans="1:84" s="8" customFormat="1" hidden="1" x14ac:dyDescent="0.2">
      <c r="B1417" t="str">
        <f>ROW()-1&amp;"_AltersInvert"</f>
        <v>1416_AltersInvert</v>
      </c>
      <c r="C1417" t="str">
        <f>D1417&amp;"_"&amp;
SUBSTITUTE(TRIM(V1417)," ","_")&amp;"_"&amp;
TRIM(AC1417)&amp;"_"&amp;
"CO2"&amp;TEXT(AN1417,"0.00")&amp;"_"&amp;
"pH"&amp;TEXT(AR1417,"0.00")&amp;"_"&amp;
"T"&amp;TEXT(BC1417,"0.##")</f>
        <v>43_Heliocidaris_erythrogramma_EMBRYO_CO2367.00_pH8.17_T22.</v>
      </c>
      <c r="D1417" s="8">
        <v>43</v>
      </c>
      <c r="G1417" s="8" t="s">
        <v>43</v>
      </c>
      <c r="H1417" s="8" t="s">
        <v>471</v>
      </c>
      <c r="I1417" s="8" t="s">
        <v>1130</v>
      </c>
      <c r="J1417" s="8">
        <v>2010</v>
      </c>
      <c r="M1417" s="8" t="s">
        <v>308</v>
      </c>
      <c r="P1417" t="s">
        <v>1135</v>
      </c>
      <c r="R1417" s="8" t="s">
        <v>1127</v>
      </c>
      <c r="S1417" t="s">
        <v>1128</v>
      </c>
      <c r="T1417" s="8" t="s">
        <v>46</v>
      </c>
      <c r="U1417" s="8" t="s">
        <v>382</v>
      </c>
      <c r="V1417" s="8" t="s">
        <v>383</v>
      </c>
      <c r="W1417" s="8" t="str">
        <f>IF(ISNUMBER(MATCH(#REF!,{"Doryteuthis pealeii","Loligo vulgaris","Leptuca thayeri","Stylocheilus striatus","Ophryotrocha labronica"},0)),"N","Y")</f>
        <v>Y</v>
      </c>
      <c r="Z1417" s="8" t="s">
        <v>177</v>
      </c>
      <c r="AA1417" s="8" t="s">
        <v>177</v>
      </c>
      <c r="AB1417" s="8" t="s">
        <v>71</v>
      </c>
      <c r="AC1417" s="8" t="s">
        <v>195</v>
      </c>
      <c r="AD1417" s="8" t="s">
        <v>52</v>
      </c>
      <c r="AE1417" s="8" t="s">
        <v>53</v>
      </c>
      <c r="AF1417" s="8" t="s">
        <v>52</v>
      </c>
      <c r="AG1417" s="8" t="s">
        <v>54</v>
      </c>
      <c r="AH1417" s="8" t="s">
        <v>55</v>
      </c>
      <c r="AK1417" s="8">
        <v>12</v>
      </c>
      <c r="AL1417" s="8">
        <v>12</v>
      </c>
      <c r="AN1417" s="8">
        <v>367</v>
      </c>
      <c r="AO1417" s="8">
        <v>26</v>
      </c>
      <c r="AP1417" s="8" t="s">
        <v>56</v>
      </c>
      <c r="AQ1417" s="8" t="s">
        <v>57</v>
      </c>
      <c r="AR1417" s="8">
        <v>8.17</v>
      </c>
      <c r="AS1417" s="8" t="s">
        <v>56</v>
      </c>
      <c r="AT1417" s="8" t="s">
        <v>56</v>
      </c>
      <c r="AU1417" s="8">
        <v>1823</v>
      </c>
      <c r="AV1417">
        <v>8</v>
      </c>
      <c r="AW1417" t="s">
        <v>56</v>
      </c>
      <c r="AX1417">
        <v>7.6</v>
      </c>
      <c r="AY1417" t="s">
        <v>56</v>
      </c>
      <c r="AZ1417" t="s">
        <v>56</v>
      </c>
      <c r="BB1417" s="8">
        <f>LOG(AU1417)</f>
        <v>3.2607866686549762</v>
      </c>
      <c r="BC1417" s="8">
        <v>22</v>
      </c>
      <c r="BD1417" s="8" t="s">
        <v>56</v>
      </c>
      <c r="BE1417" s="8" t="s">
        <v>56</v>
      </c>
      <c r="BF1417" s="8">
        <v>22</v>
      </c>
      <c r="BG1417" s="8" t="s">
        <v>56</v>
      </c>
      <c r="BH1417" s="8" t="s">
        <v>56</v>
      </c>
      <c r="BI1417" s="8">
        <v>1456</v>
      </c>
      <c r="BJ1417" s="8">
        <v>0</v>
      </c>
      <c r="BK1417" s="8" t="s">
        <v>472</v>
      </c>
      <c r="BL1417" s="8" t="s">
        <v>473</v>
      </c>
      <c r="BM1417" s="8" t="s">
        <v>473</v>
      </c>
      <c r="BN1417" s="8" t="s">
        <v>81</v>
      </c>
      <c r="BO1417" s="8" t="s">
        <v>82</v>
      </c>
      <c r="BP1417" s="8" t="s">
        <v>190</v>
      </c>
      <c r="BQ1417" s="8" t="s">
        <v>190</v>
      </c>
      <c r="BR1417" s="8" t="s">
        <v>84</v>
      </c>
      <c r="BT1417" s="8">
        <v>74.53</v>
      </c>
      <c r="BU1417" s="8">
        <v>74.525745000000001</v>
      </c>
      <c r="BV1417" s="8">
        <v>1.56</v>
      </c>
      <c r="BW1417" s="8">
        <f>BV1417*SQRT(AK1417)</f>
        <v>5.4039985196148974</v>
      </c>
      <c r="BX1417" s="8">
        <v>73.78</v>
      </c>
      <c r="BY1417" s="8">
        <v>73.780487800000003</v>
      </c>
      <c r="BZ1417" s="8">
        <v>0.97</v>
      </c>
      <c r="CA1417" s="8">
        <f>BZ1417*SQRT(AL1417)</f>
        <v>3.3601785666836217</v>
      </c>
      <c r="CB1417" s="8">
        <v>0</v>
      </c>
      <c r="CC1417" s="8">
        <v>3</v>
      </c>
      <c r="CD1417" s="8">
        <v>-0.01</v>
      </c>
      <c r="CE1417" s="8">
        <v>5.9999999999999995E-4</v>
      </c>
      <c r="CF1417" s="8" t="s">
        <v>1134</v>
      </c>
    </row>
    <row r="1418" spans="1:84" s="8" customFormat="1" hidden="1" x14ac:dyDescent="0.2">
      <c r="B1418" t="str">
        <f>ROW()-1&amp;"_AltersInvert"</f>
        <v>1417_AltersInvert</v>
      </c>
      <c r="C1418" t="str">
        <f>D1418&amp;"_"&amp;
SUBSTITUTE(TRIM(V1418)," ","_")&amp;"_"&amp;
TRIM(AC1418)&amp;"_"&amp;
"CO2"&amp;TEXT(AN1418,"0.00")&amp;"_"&amp;
"pH"&amp;TEXT(AR1418,"0.00")&amp;"_"&amp;
"T"&amp;TEXT(BC1418,"0.##")</f>
        <v>43_Heliocidaris_erythrogramma_EMBRYO_CO2367.00_pH8.17_T22.</v>
      </c>
      <c r="D1418" s="8">
        <v>43</v>
      </c>
      <c r="G1418" s="8" t="s">
        <v>43</v>
      </c>
      <c r="H1418" s="8" t="s">
        <v>471</v>
      </c>
      <c r="I1418" s="8" t="s">
        <v>1130</v>
      </c>
      <c r="J1418" s="8">
        <v>2010</v>
      </c>
      <c r="M1418" s="8" t="s">
        <v>308</v>
      </c>
      <c r="P1418" t="s">
        <v>1135</v>
      </c>
      <c r="R1418" s="8" t="s">
        <v>1127</v>
      </c>
      <c r="S1418" t="s">
        <v>1128</v>
      </c>
      <c r="T1418" s="8" t="s">
        <v>46</v>
      </c>
      <c r="U1418" s="8" t="s">
        <v>382</v>
      </c>
      <c r="V1418" s="8" t="s">
        <v>383</v>
      </c>
      <c r="W1418" s="8" t="str">
        <f>IF(ISNUMBER(MATCH(#REF!,{"Doryteuthis pealeii","Loligo vulgaris","Leptuca thayeri","Stylocheilus striatus","Ophryotrocha labronica"},0)),"N","Y")</f>
        <v>Y</v>
      </c>
      <c r="Z1418" s="8" t="s">
        <v>177</v>
      </c>
      <c r="AA1418" s="8" t="s">
        <v>177</v>
      </c>
      <c r="AB1418" s="8" t="s">
        <v>71</v>
      </c>
      <c r="AC1418" s="8" t="s">
        <v>195</v>
      </c>
      <c r="AD1418" s="8" t="s">
        <v>52</v>
      </c>
      <c r="AE1418" s="8" t="s">
        <v>53</v>
      </c>
      <c r="AF1418" s="8" t="s">
        <v>54</v>
      </c>
      <c r="AG1418" s="8" t="s">
        <v>52</v>
      </c>
      <c r="AH1418" s="8" t="s">
        <v>65</v>
      </c>
      <c r="AK1418" s="8">
        <v>12</v>
      </c>
      <c r="AL1418" s="8">
        <v>12</v>
      </c>
      <c r="AN1418" s="8">
        <v>367</v>
      </c>
      <c r="AO1418" s="8">
        <v>26</v>
      </c>
      <c r="AP1418" s="8" t="s">
        <v>56</v>
      </c>
      <c r="AQ1418" s="8" t="s">
        <v>57</v>
      </c>
      <c r="AR1418" s="8">
        <v>8.17</v>
      </c>
      <c r="AS1418" s="8" t="s">
        <v>56</v>
      </c>
      <c r="AT1418" s="8" t="s">
        <v>56</v>
      </c>
      <c r="AU1418" s="8">
        <v>370</v>
      </c>
      <c r="AV1418">
        <v>26</v>
      </c>
      <c r="AW1418" t="s">
        <v>56</v>
      </c>
      <c r="AX1418">
        <v>8.17</v>
      </c>
      <c r="AY1418" t="s">
        <v>56</v>
      </c>
      <c r="AZ1418" t="s">
        <v>56</v>
      </c>
      <c r="BB1418" s="8">
        <f>LOG(AU1418)</f>
        <v>2.568201724066995</v>
      </c>
      <c r="BC1418" s="8">
        <v>22</v>
      </c>
      <c r="BD1418" s="8" t="s">
        <v>56</v>
      </c>
      <c r="BE1418" s="8" t="s">
        <v>56</v>
      </c>
      <c r="BF1418" s="8">
        <v>24</v>
      </c>
      <c r="BG1418" s="8" t="s">
        <v>56</v>
      </c>
      <c r="BH1418" s="8" t="s">
        <v>56</v>
      </c>
      <c r="BI1418" s="8">
        <v>3</v>
      </c>
      <c r="BJ1418" s="8">
        <v>2</v>
      </c>
      <c r="BK1418" s="8" t="s">
        <v>472</v>
      </c>
      <c r="BL1418" s="8" t="s">
        <v>473</v>
      </c>
      <c r="BM1418" s="8" t="s">
        <v>473</v>
      </c>
      <c r="BN1418" s="8" t="s">
        <v>81</v>
      </c>
      <c r="BO1418" s="8" t="s">
        <v>82</v>
      </c>
      <c r="BP1418" s="8" t="s">
        <v>190</v>
      </c>
      <c r="BQ1418" s="8" t="s">
        <v>190</v>
      </c>
      <c r="BR1418" s="8" t="s">
        <v>84</v>
      </c>
      <c r="BT1418" s="8">
        <v>74.53</v>
      </c>
      <c r="BU1418" s="8">
        <v>74.525745000000001</v>
      </c>
      <c r="BV1418" s="8">
        <v>1.56</v>
      </c>
      <c r="BW1418" s="8">
        <f>BV1418*SQRT(AK1418)</f>
        <v>5.4039985196148974</v>
      </c>
      <c r="BX1418" s="8">
        <v>72.52</v>
      </c>
      <c r="BY1418" s="8">
        <v>72.520107199999998</v>
      </c>
      <c r="BZ1418" s="8">
        <v>1.42</v>
      </c>
      <c r="CA1418" s="8">
        <f>BZ1418*SQRT(AL1418)</f>
        <v>4.9190242934956112</v>
      </c>
      <c r="CB1418" s="8">
        <v>0</v>
      </c>
      <c r="CC1418" s="8">
        <v>3</v>
      </c>
      <c r="CD1418" s="8">
        <v>-2.7E-2</v>
      </c>
      <c r="CE1418" s="8">
        <v>8.0000000000000004E-4</v>
      </c>
      <c r="CF1418" s="8" t="s">
        <v>1134</v>
      </c>
    </row>
    <row r="1419" spans="1:84" s="8" customFormat="1" hidden="1" x14ac:dyDescent="0.2">
      <c r="B1419" t="str">
        <f>ROW()-1&amp;"_AltersInvert"</f>
        <v>1418_AltersInvert</v>
      </c>
      <c r="C1419" t="str">
        <f>D1419&amp;"_"&amp;
SUBSTITUTE(TRIM(V1419)," ","_")&amp;"_"&amp;
TRIM(AC1419)&amp;"_"&amp;
"CO2"&amp;TEXT(AN1419,"0.00")&amp;"_"&amp;
"pH"&amp;TEXT(AR1419,"0.00")&amp;"_"&amp;
"T"&amp;TEXT(BC1419,"0.##")</f>
        <v>43_Heliocidaris_erythrogramma_EMBRYO_CO2367.00_pH8.17_T22.</v>
      </c>
      <c r="D1419" s="8">
        <v>43</v>
      </c>
      <c r="G1419" s="8" t="s">
        <v>43</v>
      </c>
      <c r="H1419" s="8" t="s">
        <v>471</v>
      </c>
      <c r="I1419" s="8" t="s">
        <v>1130</v>
      </c>
      <c r="J1419" s="8">
        <v>2010</v>
      </c>
      <c r="M1419" s="8" t="s">
        <v>308</v>
      </c>
      <c r="P1419" t="s">
        <v>1135</v>
      </c>
      <c r="R1419" s="8" t="s">
        <v>1127</v>
      </c>
      <c r="S1419" t="s">
        <v>1128</v>
      </c>
      <c r="T1419" s="8" t="s">
        <v>46</v>
      </c>
      <c r="U1419" s="8" t="s">
        <v>382</v>
      </c>
      <c r="V1419" s="8" t="s">
        <v>383</v>
      </c>
      <c r="W1419" s="8" t="str">
        <f>IF(ISNUMBER(MATCH(#REF!,{"Doryteuthis pealeii","Loligo vulgaris","Leptuca thayeri","Stylocheilus striatus","Ophryotrocha labronica"},0)),"N","Y")</f>
        <v>Y</v>
      </c>
      <c r="Z1419" s="8" t="s">
        <v>177</v>
      </c>
      <c r="AA1419" s="8" t="s">
        <v>177</v>
      </c>
      <c r="AB1419" s="8" t="s">
        <v>71</v>
      </c>
      <c r="AC1419" s="8" t="s">
        <v>195</v>
      </c>
      <c r="AD1419" s="8" t="s">
        <v>52</v>
      </c>
      <c r="AE1419" s="8" t="s">
        <v>53</v>
      </c>
      <c r="AF1419" s="8" t="s">
        <v>54</v>
      </c>
      <c r="AG1419" s="8" t="s">
        <v>52</v>
      </c>
      <c r="AH1419" s="8" t="s">
        <v>65</v>
      </c>
      <c r="AK1419" s="8">
        <v>12</v>
      </c>
      <c r="AL1419" s="8">
        <v>12</v>
      </c>
      <c r="AN1419" s="8">
        <v>367</v>
      </c>
      <c r="AO1419" s="8">
        <v>26</v>
      </c>
      <c r="AP1419" s="8" t="s">
        <v>56</v>
      </c>
      <c r="AQ1419" s="8" t="s">
        <v>57</v>
      </c>
      <c r="AR1419" s="8">
        <v>8.17</v>
      </c>
      <c r="AS1419" s="8" t="s">
        <v>56</v>
      </c>
      <c r="AT1419" s="8" t="s">
        <v>56</v>
      </c>
      <c r="AU1419" s="8">
        <v>373</v>
      </c>
      <c r="AV1419">
        <v>27</v>
      </c>
      <c r="AW1419" t="s">
        <v>56</v>
      </c>
      <c r="AX1419">
        <v>8.17</v>
      </c>
      <c r="AY1419" t="s">
        <v>56</v>
      </c>
      <c r="AZ1419" t="s">
        <v>56</v>
      </c>
      <c r="BB1419" s="8">
        <f>LOG(AU1419)</f>
        <v>2.5717088318086878</v>
      </c>
      <c r="BC1419" s="8">
        <v>22</v>
      </c>
      <c r="BD1419" s="8" t="s">
        <v>56</v>
      </c>
      <c r="BE1419" s="8" t="s">
        <v>56</v>
      </c>
      <c r="BF1419" s="8">
        <v>26</v>
      </c>
      <c r="BG1419" s="8" t="s">
        <v>56</v>
      </c>
      <c r="BH1419" s="8" t="s">
        <v>56</v>
      </c>
      <c r="BI1419" s="8">
        <v>6</v>
      </c>
      <c r="BJ1419" s="8">
        <v>4</v>
      </c>
      <c r="BK1419" s="8" t="s">
        <v>472</v>
      </c>
      <c r="BL1419" s="8" t="s">
        <v>473</v>
      </c>
      <c r="BM1419" s="8" t="s">
        <v>473</v>
      </c>
      <c r="BN1419" s="8" t="s">
        <v>81</v>
      </c>
      <c r="BO1419" s="8" t="s">
        <v>82</v>
      </c>
      <c r="BP1419" s="8" t="s">
        <v>190</v>
      </c>
      <c r="BQ1419" s="8" t="s">
        <v>190</v>
      </c>
      <c r="BR1419" s="8" t="s">
        <v>84</v>
      </c>
      <c r="BT1419" s="8">
        <v>74.53</v>
      </c>
      <c r="BU1419" s="8">
        <v>74.525745000000001</v>
      </c>
      <c r="BV1419" s="8">
        <v>1.56</v>
      </c>
      <c r="BW1419" s="8">
        <f>BV1419*SQRT(AK1419)</f>
        <v>5.4039985196148974</v>
      </c>
      <c r="BX1419" s="8">
        <v>74.28</v>
      </c>
      <c r="BY1419" s="8">
        <v>74.279835399999996</v>
      </c>
      <c r="BZ1419" s="8">
        <v>1.26</v>
      </c>
      <c r="CA1419" s="8">
        <f>BZ1419*SQRT(AL1419)</f>
        <v>4.3647680350735705</v>
      </c>
      <c r="CB1419" s="8">
        <v>0</v>
      </c>
      <c r="CC1419" s="8">
        <v>3</v>
      </c>
      <c r="CD1419" s="8">
        <v>-3.0000000000000001E-3</v>
      </c>
      <c r="CE1419" s="8">
        <v>6.9999999999999999E-4</v>
      </c>
      <c r="CF1419" s="8" t="s">
        <v>1134</v>
      </c>
    </row>
    <row r="1420" spans="1:84" s="8" customFormat="1" hidden="1" x14ac:dyDescent="0.2">
      <c r="B1420" t="str">
        <f>ROW()-1&amp;"_AltersInvert"</f>
        <v>1419_AltersInvert</v>
      </c>
      <c r="C1420" t="str">
        <f>D1420&amp;"_"&amp;
SUBSTITUTE(TRIM(V1420)," ","_")&amp;"_"&amp;
TRIM(AC1420)&amp;"_"&amp;
"CO2"&amp;TEXT(AN1420,"0.00")&amp;"_"&amp;
"pH"&amp;TEXT(AR1420,"0.00")&amp;"_"&amp;
"T"&amp;TEXT(BC1420,"0.##")</f>
        <v>43_Heliocidaris_erythrogramma_EMBRYO_CO2367.00_pH8.17_T22.</v>
      </c>
      <c r="D1420" s="8">
        <v>43</v>
      </c>
      <c r="G1420" s="8" t="s">
        <v>43</v>
      </c>
      <c r="H1420" s="8" t="s">
        <v>471</v>
      </c>
      <c r="I1420" s="8" t="s">
        <v>1130</v>
      </c>
      <c r="J1420" s="8">
        <v>2010</v>
      </c>
      <c r="M1420" s="8" t="s">
        <v>308</v>
      </c>
      <c r="P1420" t="s">
        <v>1135</v>
      </c>
      <c r="R1420" s="8" t="s">
        <v>1127</v>
      </c>
      <c r="S1420" t="s">
        <v>1128</v>
      </c>
      <c r="T1420" s="8" t="s">
        <v>46</v>
      </c>
      <c r="U1420" s="8" t="s">
        <v>382</v>
      </c>
      <c r="V1420" s="8" t="s">
        <v>383</v>
      </c>
      <c r="W1420" s="8" t="str">
        <f>IF(ISNUMBER(MATCH(#REF!,{"Doryteuthis pealeii","Loligo vulgaris","Leptuca thayeri","Stylocheilus striatus","Ophryotrocha labronica"},0)),"N","Y")</f>
        <v>Y</v>
      </c>
      <c r="Z1420" s="8" t="s">
        <v>177</v>
      </c>
      <c r="AA1420" s="8" t="s">
        <v>177</v>
      </c>
      <c r="AB1420" s="8" t="s">
        <v>71</v>
      </c>
      <c r="AC1420" s="8" t="s">
        <v>195</v>
      </c>
      <c r="AD1420" s="8" t="s">
        <v>52</v>
      </c>
      <c r="AE1420" s="8" t="s">
        <v>53</v>
      </c>
      <c r="AF1420" s="8" t="s">
        <v>52</v>
      </c>
      <c r="AG1420" s="8" t="s">
        <v>52</v>
      </c>
      <c r="AH1420" s="8" t="s">
        <v>64</v>
      </c>
      <c r="AK1420" s="8">
        <v>12</v>
      </c>
      <c r="AL1420" s="8">
        <v>12</v>
      </c>
      <c r="AN1420" s="8">
        <v>367</v>
      </c>
      <c r="AO1420" s="8">
        <v>26</v>
      </c>
      <c r="AP1420" s="8" t="s">
        <v>56</v>
      </c>
      <c r="AQ1420" s="8" t="s">
        <v>57</v>
      </c>
      <c r="AR1420" s="8">
        <v>8.17</v>
      </c>
      <c r="AS1420" s="8" t="s">
        <v>56</v>
      </c>
      <c r="AT1420" s="8" t="s">
        <v>56</v>
      </c>
      <c r="AU1420" s="8">
        <v>1142</v>
      </c>
      <c r="AV1420">
        <v>5</v>
      </c>
      <c r="AW1420" t="s">
        <v>56</v>
      </c>
      <c r="AX1420">
        <v>7.8</v>
      </c>
      <c r="AY1420" t="s">
        <v>56</v>
      </c>
      <c r="AZ1420" t="s">
        <v>56</v>
      </c>
      <c r="BB1420" s="8">
        <f>LOG(AU1420)</f>
        <v>3.0576661039098294</v>
      </c>
      <c r="BC1420" s="8">
        <v>22</v>
      </c>
      <c r="BD1420" s="8" t="s">
        <v>56</v>
      </c>
      <c r="BE1420" s="8" t="s">
        <v>56</v>
      </c>
      <c r="BF1420" s="8">
        <v>26</v>
      </c>
      <c r="BG1420" s="8" t="s">
        <v>56</v>
      </c>
      <c r="BH1420" s="8" t="s">
        <v>56</v>
      </c>
      <c r="BI1420" s="8">
        <v>775</v>
      </c>
      <c r="BJ1420" s="8">
        <v>4</v>
      </c>
      <c r="BK1420" s="8" t="s">
        <v>472</v>
      </c>
      <c r="BL1420" s="8" t="s">
        <v>473</v>
      </c>
      <c r="BM1420" s="8" t="s">
        <v>473</v>
      </c>
      <c r="BN1420" s="8" t="s">
        <v>81</v>
      </c>
      <c r="BO1420" s="8" t="s">
        <v>82</v>
      </c>
      <c r="BP1420" s="8" t="s">
        <v>190</v>
      </c>
      <c r="BQ1420" s="8" t="s">
        <v>190</v>
      </c>
      <c r="BR1420" s="8" t="s">
        <v>84</v>
      </c>
      <c r="BT1420" s="8">
        <v>74.53</v>
      </c>
      <c r="BU1420" s="8">
        <v>74.525745000000001</v>
      </c>
      <c r="BV1420" s="8">
        <v>1.56</v>
      </c>
      <c r="BW1420" s="8">
        <f>BV1420*SQRT(AK1420)</f>
        <v>5.4039985196148974</v>
      </c>
      <c r="BX1420" s="8">
        <v>69.069999999999993</v>
      </c>
      <c r="BY1420" s="8">
        <v>69.067215399999995</v>
      </c>
      <c r="BZ1420" s="8">
        <v>1.35</v>
      </c>
      <c r="CA1420" s="8">
        <f>BZ1420*SQRT(AL1420)</f>
        <v>4.676537180435969</v>
      </c>
      <c r="CB1420" s="8">
        <v>0</v>
      </c>
      <c r="CC1420" s="8">
        <v>3</v>
      </c>
      <c r="CD1420" s="8">
        <v>-7.5999999999999998E-2</v>
      </c>
      <c r="CE1420" s="8">
        <v>8.0000000000000004E-4</v>
      </c>
      <c r="CF1420" s="8" t="s">
        <v>1134</v>
      </c>
    </row>
    <row r="1421" spans="1:84" s="8" customFormat="1" hidden="1" x14ac:dyDescent="0.2">
      <c r="B1421" t="str">
        <f>ROW()-1&amp;"_AltersInvert"</f>
        <v>1420_AltersInvert</v>
      </c>
      <c r="C1421" t="str">
        <f>D1421&amp;"_"&amp;
SUBSTITUTE(TRIM(V1421)," ","_")&amp;"_"&amp;
TRIM(AC1421)&amp;"_"&amp;
"CO2"&amp;TEXT(AN1421,"0.00")&amp;"_"&amp;
"pH"&amp;TEXT(AR1421,"0.00")&amp;"_"&amp;
"T"&amp;TEXT(BC1421,"0.##")</f>
        <v>43_Heliocidaris_erythrogramma_EMBRYO_CO2367.00_pH8.17_T22.</v>
      </c>
      <c r="D1421" s="8">
        <v>43</v>
      </c>
      <c r="G1421" s="8" t="s">
        <v>43</v>
      </c>
      <c r="H1421" s="8" t="s">
        <v>471</v>
      </c>
      <c r="I1421" s="8" t="s">
        <v>1130</v>
      </c>
      <c r="J1421" s="8">
        <v>2010</v>
      </c>
      <c r="M1421" s="8" t="s">
        <v>308</v>
      </c>
      <c r="P1421" t="s">
        <v>1135</v>
      </c>
      <c r="R1421" s="8" t="s">
        <v>1127</v>
      </c>
      <c r="S1421" t="s">
        <v>1128</v>
      </c>
      <c r="T1421" s="8" t="s">
        <v>46</v>
      </c>
      <c r="U1421" s="8" t="s">
        <v>382</v>
      </c>
      <c r="V1421" s="8" t="s">
        <v>383</v>
      </c>
      <c r="W1421" s="8" t="str">
        <f>IF(ISNUMBER(MATCH(#REF!,{"Doryteuthis pealeii","Loligo vulgaris","Leptuca thayeri","Stylocheilus striatus","Ophryotrocha labronica"},0)),"N","Y")</f>
        <v>Y</v>
      </c>
      <c r="Z1421" s="8" t="s">
        <v>177</v>
      </c>
      <c r="AA1421" s="8" t="s">
        <v>177</v>
      </c>
      <c r="AB1421" s="8" t="s">
        <v>71</v>
      </c>
      <c r="AC1421" s="8" t="s">
        <v>195</v>
      </c>
      <c r="AD1421" s="8" t="s">
        <v>52</v>
      </c>
      <c r="AE1421" s="8" t="s">
        <v>53</v>
      </c>
      <c r="AF1421" s="8" t="s">
        <v>52</v>
      </c>
      <c r="AG1421" s="8" t="s">
        <v>52</v>
      </c>
      <c r="AH1421" s="8" t="s">
        <v>64</v>
      </c>
      <c r="AK1421" s="8">
        <v>12</v>
      </c>
      <c r="AL1421" s="8">
        <v>12</v>
      </c>
      <c r="AN1421" s="8">
        <v>367</v>
      </c>
      <c r="AO1421" s="8">
        <v>26</v>
      </c>
      <c r="AP1421" s="8" t="s">
        <v>56</v>
      </c>
      <c r="AQ1421" s="8" t="s">
        <v>57</v>
      </c>
      <c r="AR1421" s="8">
        <v>8.17</v>
      </c>
      <c r="AS1421" s="8" t="s">
        <v>56</v>
      </c>
      <c r="AT1421" s="8" t="s">
        <v>56</v>
      </c>
      <c r="AU1421" s="8">
        <v>1124</v>
      </c>
      <c r="AV1421">
        <v>5</v>
      </c>
      <c r="AW1421" t="s">
        <v>56</v>
      </c>
      <c r="AX1421">
        <v>7.8</v>
      </c>
      <c r="AY1421" t="s">
        <v>56</v>
      </c>
      <c r="AZ1421" t="s">
        <v>56</v>
      </c>
      <c r="BB1421" s="8">
        <f>LOG(AU1421)</f>
        <v>3.0507663112330423</v>
      </c>
      <c r="BC1421" s="8">
        <v>22</v>
      </c>
      <c r="BD1421" s="8" t="s">
        <v>56</v>
      </c>
      <c r="BE1421" s="8" t="s">
        <v>56</v>
      </c>
      <c r="BF1421" s="8">
        <v>24</v>
      </c>
      <c r="BG1421" s="8" t="s">
        <v>56</v>
      </c>
      <c r="BH1421" s="8" t="s">
        <v>56</v>
      </c>
      <c r="BI1421" s="8">
        <v>757</v>
      </c>
      <c r="BJ1421" s="8">
        <v>2</v>
      </c>
      <c r="BK1421" s="8" t="s">
        <v>472</v>
      </c>
      <c r="BL1421" s="8" t="s">
        <v>473</v>
      </c>
      <c r="BM1421" s="8" t="s">
        <v>473</v>
      </c>
      <c r="BN1421" s="8" t="s">
        <v>81</v>
      </c>
      <c r="BO1421" s="8" t="s">
        <v>82</v>
      </c>
      <c r="BP1421" s="8" t="s">
        <v>190</v>
      </c>
      <c r="BQ1421" s="8" t="s">
        <v>190</v>
      </c>
      <c r="BR1421" s="8" t="s">
        <v>84</v>
      </c>
      <c r="BT1421" s="8">
        <v>74.53</v>
      </c>
      <c r="BU1421" s="8">
        <v>74.525745000000001</v>
      </c>
      <c r="BV1421" s="8">
        <v>1.56</v>
      </c>
      <c r="BW1421" s="8">
        <f>BV1421*SQRT(AK1421)</f>
        <v>5.4039985196148974</v>
      </c>
      <c r="BX1421" s="8">
        <v>69.97</v>
      </c>
      <c r="BY1421" s="8">
        <v>69.973190299999999</v>
      </c>
      <c r="BZ1421" s="8">
        <v>1.05</v>
      </c>
      <c r="CA1421" s="8">
        <f>BZ1421*SQRT(AL1421)</f>
        <v>3.6373066958946421</v>
      </c>
      <c r="CB1421" s="8">
        <v>0</v>
      </c>
      <c r="CC1421" s="8">
        <v>3</v>
      </c>
      <c r="CD1421" s="8">
        <v>-6.3E-2</v>
      </c>
      <c r="CE1421" s="8">
        <v>6.9999999999999999E-4</v>
      </c>
      <c r="CF1421" s="8" t="s">
        <v>1134</v>
      </c>
    </row>
    <row r="1422" spans="1:84" s="8" customFormat="1" hidden="1" x14ac:dyDescent="0.2">
      <c r="B1422" t="str">
        <f>ROW()-1&amp;"_AltersInvert"</f>
        <v>1421_AltersInvert</v>
      </c>
      <c r="C1422" t="str">
        <f>D1422&amp;"_"&amp;
SUBSTITUTE(TRIM(V1422)," ","_")&amp;"_"&amp;
TRIM(AC1422)&amp;"_"&amp;
"CO2"&amp;TEXT(AN1422,"0.00")&amp;"_"&amp;
"pH"&amp;TEXT(AR1422,"0.00")&amp;"_"&amp;
"T"&amp;TEXT(BC1422,"0.##")</f>
        <v>43_Heliocidaris_erythrogramma_EMBRYO_CO2367.00_pH8.17_T22.</v>
      </c>
      <c r="D1422" s="8">
        <v>43</v>
      </c>
      <c r="G1422" s="8" t="s">
        <v>43</v>
      </c>
      <c r="H1422" s="8" t="s">
        <v>471</v>
      </c>
      <c r="I1422" s="8" t="s">
        <v>1130</v>
      </c>
      <c r="J1422" s="8">
        <v>2010</v>
      </c>
      <c r="M1422" s="8" t="s">
        <v>308</v>
      </c>
      <c r="P1422" t="s">
        <v>1135</v>
      </c>
      <c r="R1422" s="8" t="s">
        <v>1127</v>
      </c>
      <c r="S1422" t="s">
        <v>1128</v>
      </c>
      <c r="T1422" s="8" t="s">
        <v>46</v>
      </c>
      <c r="U1422" s="8" t="s">
        <v>382</v>
      </c>
      <c r="V1422" s="8" t="s">
        <v>383</v>
      </c>
      <c r="W1422" s="8" t="str">
        <f>IF(ISNUMBER(MATCH(#REF!,{"Doryteuthis pealeii","Loligo vulgaris","Leptuca thayeri","Stylocheilus striatus","Ophryotrocha labronica"},0)),"N","Y")</f>
        <v>Y</v>
      </c>
      <c r="Z1422" s="8" t="s">
        <v>177</v>
      </c>
      <c r="AA1422" s="8" t="s">
        <v>177</v>
      </c>
      <c r="AB1422" s="8" t="s">
        <v>71</v>
      </c>
      <c r="AC1422" s="8" t="s">
        <v>195</v>
      </c>
      <c r="AD1422" s="8" t="s">
        <v>52</v>
      </c>
      <c r="AE1422" s="8" t="s">
        <v>53</v>
      </c>
      <c r="AF1422" s="8" t="s">
        <v>52</v>
      </c>
      <c r="AG1422" s="8" t="s">
        <v>52</v>
      </c>
      <c r="AH1422" s="8" t="s">
        <v>64</v>
      </c>
      <c r="AK1422" s="8">
        <v>12</v>
      </c>
      <c r="AL1422" s="8">
        <v>12</v>
      </c>
      <c r="AN1422" s="8">
        <v>367</v>
      </c>
      <c r="AO1422" s="8">
        <v>26</v>
      </c>
      <c r="AP1422" s="8" t="s">
        <v>56</v>
      </c>
      <c r="AQ1422" s="8" t="s">
        <v>57</v>
      </c>
      <c r="AR1422" s="8">
        <v>8.17</v>
      </c>
      <c r="AS1422" s="8" t="s">
        <v>56</v>
      </c>
      <c r="AT1422" s="8" t="s">
        <v>56</v>
      </c>
      <c r="AU1422" s="8">
        <v>1858</v>
      </c>
      <c r="AV1422">
        <v>8</v>
      </c>
      <c r="AW1422" t="s">
        <v>56</v>
      </c>
      <c r="AX1422">
        <v>7.6</v>
      </c>
      <c r="AY1422" t="s">
        <v>56</v>
      </c>
      <c r="AZ1422" t="s">
        <v>56</v>
      </c>
      <c r="BB1422" s="8">
        <f>LOG(AU1422)</f>
        <v>3.2690457096576231</v>
      </c>
      <c r="BC1422" s="8">
        <v>22</v>
      </c>
      <c r="BD1422" s="8" t="s">
        <v>56</v>
      </c>
      <c r="BE1422" s="8" t="s">
        <v>56</v>
      </c>
      <c r="BF1422" s="8">
        <v>24</v>
      </c>
      <c r="BG1422" s="8" t="s">
        <v>56</v>
      </c>
      <c r="BH1422" s="8" t="s">
        <v>56</v>
      </c>
      <c r="BI1422" s="8">
        <v>1491</v>
      </c>
      <c r="BJ1422" s="8">
        <v>2</v>
      </c>
      <c r="BK1422" s="8" t="s">
        <v>472</v>
      </c>
      <c r="BL1422" s="8" t="s">
        <v>473</v>
      </c>
      <c r="BM1422" s="8" t="s">
        <v>473</v>
      </c>
      <c r="BN1422" s="8" t="s">
        <v>81</v>
      </c>
      <c r="BO1422" s="8" t="s">
        <v>82</v>
      </c>
      <c r="BP1422" s="8" t="s">
        <v>190</v>
      </c>
      <c r="BQ1422" s="8" t="s">
        <v>190</v>
      </c>
      <c r="BR1422" s="8" t="s">
        <v>84</v>
      </c>
      <c r="BT1422" s="8">
        <v>74.53</v>
      </c>
      <c r="BU1422" s="8">
        <v>74.525745000000001</v>
      </c>
      <c r="BV1422" s="8">
        <v>1.56</v>
      </c>
      <c r="BW1422" s="8">
        <f>BV1422*SQRT(AK1422)</f>
        <v>5.4039985196148974</v>
      </c>
      <c r="BX1422" s="8">
        <v>70.48</v>
      </c>
      <c r="BY1422" s="8">
        <v>70.475871299999994</v>
      </c>
      <c r="BZ1422" s="8">
        <v>1.66</v>
      </c>
      <c r="CA1422" s="8">
        <f>BZ1422*SQRT(AL1422)</f>
        <v>5.7504086811286719</v>
      </c>
      <c r="CB1422" s="8">
        <v>0</v>
      </c>
      <c r="CC1422" s="8">
        <v>3</v>
      </c>
      <c r="CD1422" s="8">
        <v>-5.6000000000000001E-2</v>
      </c>
      <c r="CE1422" s="8">
        <v>1E-3</v>
      </c>
      <c r="CF1422" s="8" t="s">
        <v>1134</v>
      </c>
    </row>
    <row r="1423" spans="1:84" s="8" customFormat="1" hidden="1" x14ac:dyDescent="0.2">
      <c r="B1423" t="str">
        <f>ROW()-1&amp;"_AltersInvert"</f>
        <v>1422_AltersInvert</v>
      </c>
      <c r="C1423" t="str">
        <f>D1423&amp;"_"&amp;
SUBSTITUTE(TRIM(V1423)," ","_")&amp;"_"&amp;
TRIM(AC1423)&amp;"_"&amp;
"CO2"&amp;TEXT(AN1423,"0.00")&amp;"_"&amp;
"pH"&amp;TEXT(AR1423,"0.00")&amp;"_"&amp;
"T"&amp;TEXT(BC1423,"0.##")</f>
        <v>43_Heliocidaris_erythrogramma_EMBRYO_CO2367.00_pH8.17_T22.</v>
      </c>
      <c r="D1423" s="8">
        <v>43</v>
      </c>
      <c r="G1423" s="8" t="s">
        <v>43</v>
      </c>
      <c r="H1423" s="8" t="s">
        <v>471</v>
      </c>
      <c r="I1423" s="8" t="s">
        <v>1130</v>
      </c>
      <c r="J1423" s="8">
        <v>2010</v>
      </c>
      <c r="M1423" s="8" t="s">
        <v>308</v>
      </c>
      <c r="P1423" t="s">
        <v>1135</v>
      </c>
      <c r="R1423" s="8" t="s">
        <v>1127</v>
      </c>
      <c r="S1423" t="s">
        <v>1128</v>
      </c>
      <c r="T1423" s="8" t="s">
        <v>46</v>
      </c>
      <c r="U1423" s="8" t="s">
        <v>382</v>
      </c>
      <c r="V1423" s="8" t="s">
        <v>383</v>
      </c>
      <c r="W1423" s="8" t="str">
        <f>IF(ISNUMBER(MATCH(#REF!,{"Doryteuthis pealeii","Loligo vulgaris","Leptuca thayeri","Stylocheilus striatus","Ophryotrocha labronica"},0)),"N","Y")</f>
        <v>Y</v>
      </c>
      <c r="Z1423" s="8" t="s">
        <v>177</v>
      </c>
      <c r="AA1423" s="8" t="s">
        <v>177</v>
      </c>
      <c r="AB1423" s="8" t="s">
        <v>71</v>
      </c>
      <c r="AC1423" s="8" t="s">
        <v>195</v>
      </c>
      <c r="AD1423" s="8" t="s">
        <v>52</v>
      </c>
      <c r="AE1423" s="8" t="s">
        <v>53</v>
      </c>
      <c r="AF1423" s="8" t="s">
        <v>52</v>
      </c>
      <c r="AG1423" s="8" t="s">
        <v>52</v>
      </c>
      <c r="AH1423" s="8" t="s">
        <v>64</v>
      </c>
      <c r="AK1423" s="8">
        <v>12</v>
      </c>
      <c r="AL1423" s="8">
        <v>12</v>
      </c>
      <c r="AN1423" s="8">
        <v>367</v>
      </c>
      <c r="AO1423" s="8">
        <v>26</v>
      </c>
      <c r="AP1423" s="8" t="s">
        <v>56</v>
      </c>
      <c r="AQ1423" s="8" t="s">
        <v>57</v>
      </c>
      <c r="AR1423" s="8">
        <v>8.17</v>
      </c>
      <c r="AS1423" s="8" t="s">
        <v>56</v>
      </c>
      <c r="AT1423" s="8" t="s">
        <v>56</v>
      </c>
      <c r="AU1423" s="8">
        <v>1892</v>
      </c>
      <c r="AV1423">
        <v>8</v>
      </c>
      <c r="AW1423" t="s">
        <v>56</v>
      </c>
      <c r="AX1423">
        <v>7.6</v>
      </c>
      <c r="AY1423" t="s">
        <v>56</v>
      </c>
      <c r="AZ1423" t="s">
        <v>56</v>
      </c>
      <c r="BB1423" s="8">
        <f>LOG(AU1423)</f>
        <v>3.2769211320657741</v>
      </c>
      <c r="BC1423" s="8">
        <v>22</v>
      </c>
      <c r="BD1423" s="8" t="s">
        <v>56</v>
      </c>
      <c r="BE1423" s="8" t="s">
        <v>56</v>
      </c>
      <c r="BF1423" s="8">
        <v>26</v>
      </c>
      <c r="BG1423" s="8" t="s">
        <v>56</v>
      </c>
      <c r="BH1423" s="8" t="s">
        <v>56</v>
      </c>
      <c r="BI1423" s="8">
        <v>1525</v>
      </c>
      <c r="BJ1423" s="8">
        <v>4</v>
      </c>
      <c r="BK1423" s="8" t="s">
        <v>472</v>
      </c>
      <c r="BL1423" s="8" t="s">
        <v>473</v>
      </c>
      <c r="BM1423" s="8" t="s">
        <v>473</v>
      </c>
      <c r="BN1423" s="8" t="s">
        <v>81</v>
      </c>
      <c r="BO1423" s="8" t="s">
        <v>82</v>
      </c>
      <c r="BP1423" s="8" t="s">
        <v>190</v>
      </c>
      <c r="BQ1423" s="8" t="s">
        <v>190</v>
      </c>
      <c r="BR1423" s="8" t="s">
        <v>84</v>
      </c>
      <c r="BT1423" s="8">
        <v>74.53</v>
      </c>
      <c r="BU1423" s="8">
        <v>74.525745000000001</v>
      </c>
      <c r="BV1423" s="8">
        <v>1.56</v>
      </c>
      <c r="BW1423" s="8">
        <f>BV1423*SQRT(AK1423)</f>
        <v>5.4039985196148974</v>
      </c>
      <c r="BX1423" s="8">
        <v>72.63</v>
      </c>
      <c r="BY1423" s="8">
        <v>72.633744899999996</v>
      </c>
      <c r="BZ1423" s="8">
        <v>1.23</v>
      </c>
      <c r="CA1423" s="8">
        <f>BZ1423*SQRT(AL1423)</f>
        <v>4.2608449866194382</v>
      </c>
      <c r="CB1423" s="8">
        <v>0</v>
      </c>
      <c r="CC1423" s="8">
        <v>3</v>
      </c>
      <c r="CD1423" s="8">
        <v>-2.5999999999999999E-2</v>
      </c>
      <c r="CE1423" s="8">
        <v>6.9999999999999999E-4</v>
      </c>
      <c r="CF1423" s="8" t="s">
        <v>1134</v>
      </c>
    </row>
    <row r="1424" spans="1:84" s="8" customFormat="1" hidden="1" x14ac:dyDescent="0.2">
      <c r="A1424"/>
      <c r="B1424" t="str">
        <f>ROW()-1&amp;"_AltersInvert"</f>
        <v>1423_AltersInvert</v>
      </c>
      <c r="C1424" t="str">
        <f>D1424&amp;"_"&amp;
SUBSTITUTE(TRIM(V1424)," ","_")&amp;"_"&amp;
TRIM(AC1424)&amp;"_"&amp;
"CO2"&amp;TEXT(AN1424,"0.00")&amp;"_"&amp;
"pH"&amp;TEXT(AR1424,"0.00")&amp;"_"&amp;
"T"&amp;TEXT(BC1424,"0.##")</f>
        <v>198_Acanthaster_planci_LARVA_CO2477.00_pH8.10_T26.3</v>
      </c>
      <c r="D1424">
        <v>198</v>
      </c>
      <c r="E1424"/>
      <c r="F1424"/>
      <c r="G1424" t="s">
        <v>43</v>
      </c>
      <c r="H1424" t="s">
        <v>936</v>
      </c>
      <c r="I1424"/>
      <c r="J1424">
        <v>2014</v>
      </c>
      <c r="K1424"/>
      <c r="L1424"/>
      <c r="M1424" t="s">
        <v>381</v>
      </c>
      <c r="N1424"/>
      <c r="O1424"/>
      <c r="P1424" t="s">
        <v>1135</v>
      </c>
      <c r="Q1424"/>
      <c r="R1424" t="s">
        <v>1127</v>
      </c>
      <c r="S1424" t="s">
        <v>1128</v>
      </c>
      <c r="T1424" t="s">
        <v>46</v>
      </c>
      <c r="U1424" t="s">
        <v>937</v>
      </c>
      <c r="V1424" t="s">
        <v>938</v>
      </c>
      <c r="W1424"/>
      <c r="X1424"/>
      <c r="Y1424"/>
      <c r="Z1424" t="s">
        <v>106</v>
      </c>
      <c r="AA1424" t="s">
        <v>107</v>
      </c>
      <c r="AB1424" t="s">
        <v>71</v>
      </c>
      <c r="AC1424" t="s">
        <v>72</v>
      </c>
      <c r="AD1424" t="s">
        <v>52</v>
      </c>
      <c r="AE1424" t="s">
        <v>53</v>
      </c>
      <c r="AF1424" t="s">
        <v>52</v>
      </c>
      <c r="AG1424" t="s">
        <v>54</v>
      </c>
      <c r="AH1424" t="s">
        <v>55</v>
      </c>
      <c r="AI1424"/>
      <c r="AJ1424"/>
      <c r="AK1424">
        <v>5</v>
      </c>
      <c r="AL1424">
        <v>5</v>
      </c>
      <c r="AM1424"/>
      <c r="AN1424">
        <v>477</v>
      </c>
      <c r="AO1424">
        <v>6</v>
      </c>
      <c r="AP1424" t="s">
        <v>56</v>
      </c>
      <c r="AQ1424" t="s">
        <v>118</v>
      </c>
      <c r="AR1424">
        <v>8.1</v>
      </c>
      <c r="AS1424" t="s">
        <v>56</v>
      </c>
      <c r="AT1424" t="s">
        <v>56</v>
      </c>
      <c r="AU1424">
        <v>1895</v>
      </c>
      <c r="AV1424">
        <v>13</v>
      </c>
      <c r="AW1424" t="s">
        <v>56</v>
      </c>
      <c r="AX1424">
        <v>7.6</v>
      </c>
      <c r="AY1424" t="s">
        <v>56</v>
      </c>
      <c r="AZ1424" t="s">
        <v>56</v>
      </c>
      <c r="BA1424"/>
      <c r="BB1424">
        <f>LOG(AU1424)</f>
        <v>3.2776092143040914</v>
      </c>
      <c r="BC1424">
        <v>26.3</v>
      </c>
      <c r="BD1424">
        <v>0</v>
      </c>
      <c r="BE1424" t="s">
        <v>56</v>
      </c>
      <c r="BF1424">
        <v>26.3</v>
      </c>
      <c r="BG1424">
        <v>0</v>
      </c>
      <c r="BH1424" t="s">
        <v>56</v>
      </c>
      <c r="BI1424">
        <v>1418</v>
      </c>
      <c r="BJ1424">
        <v>0</v>
      </c>
      <c r="BK1424" t="s">
        <v>939</v>
      </c>
      <c r="BL1424" t="s">
        <v>940</v>
      </c>
      <c r="BM1424" t="s">
        <v>86</v>
      </c>
      <c r="BN1424" t="s">
        <v>81</v>
      </c>
      <c r="BO1424" t="s">
        <v>82</v>
      </c>
      <c r="BP1424" t="s">
        <v>9</v>
      </c>
      <c r="BQ1424" t="s">
        <v>9</v>
      </c>
      <c r="BR1424" t="s">
        <v>84</v>
      </c>
      <c r="BS1424"/>
      <c r="BT1424">
        <v>70.260000000000005</v>
      </c>
      <c r="BU1424">
        <v>70.260000000000005</v>
      </c>
      <c r="BV1424">
        <v>2.4300000000000002</v>
      </c>
      <c r="BW1424">
        <f>BV1424*SQRT(AK1424)</f>
        <v>5.4336451853244894</v>
      </c>
      <c r="BX1424">
        <v>45.56</v>
      </c>
      <c r="BY1424">
        <v>45.56</v>
      </c>
      <c r="BZ1424">
        <v>6.26</v>
      </c>
      <c r="CA1424">
        <f>BZ1424*SQRT(AL1424)</f>
        <v>13.997785539148683</v>
      </c>
      <c r="CB1424">
        <v>10</v>
      </c>
      <c r="CC1424">
        <v>10</v>
      </c>
      <c r="CD1424">
        <v>-0.433</v>
      </c>
      <c r="CE1424">
        <v>2.01E-2</v>
      </c>
      <c r="CF1424"/>
    </row>
    <row r="1425" spans="1:84" s="8" customFormat="1" hidden="1" x14ac:dyDescent="0.2">
      <c r="A1425"/>
      <c r="B1425" t="str">
        <f>ROW()-1&amp;"_AltersInvert"</f>
        <v>1424_AltersInvert</v>
      </c>
      <c r="C1425" t="str">
        <f>D1425&amp;"_"&amp;
SUBSTITUTE(TRIM(V1425)," ","_")&amp;"_"&amp;
TRIM(AC1425)&amp;"_"&amp;
"CO2"&amp;TEXT(AN1425,"0.00")&amp;"_"&amp;
"pH"&amp;TEXT(AR1425,"0.00")&amp;"_"&amp;
"T"&amp;TEXT(BC1425,"0.##")</f>
        <v>198_Acanthaster_planci_LARVA_CO2477.00_pH8.10_T26.3</v>
      </c>
      <c r="D1425">
        <v>198</v>
      </c>
      <c r="E1425"/>
      <c r="F1425"/>
      <c r="G1425" t="s">
        <v>43</v>
      </c>
      <c r="H1425" t="s">
        <v>936</v>
      </c>
      <c r="I1425"/>
      <c r="J1425">
        <v>2014</v>
      </c>
      <c r="K1425"/>
      <c r="L1425"/>
      <c r="M1425" t="s">
        <v>381</v>
      </c>
      <c r="N1425"/>
      <c r="O1425"/>
      <c r="P1425" t="s">
        <v>1135</v>
      </c>
      <c r="Q1425"/>
      <c r="R1425" t="s">
        <v>1127</v>
      </c>
      <c r="S1425" t="s">
        <v>1128</v>
      </c>
      <c r="T1425" t="s">
        <v>46</v>
      </c>
      <c r="U1425" t="s">
        <v>937</v>
      </c>
      <c r="V1425" t="s">
        <v>938</v>
      </c>
      <c r="W1425"/>
      <c r="X1425"/>
      <c r="Y1425"/>
      <c r="Z1425" t="s">
        <v>106</v>
      </c>
      <c r="AA1425" t="s">
        <v>107</v>
      </c>
      <c r="AB1425" t="s">
        <v>71</v>
      </c>
      <c r="AC1425" t="s">
        <v>72</v>
      </c>
      <c r="AD1425" t="s">
        <v>52</v>
      </c>
      <c r="AE1425" t="s">
        <v>53</v>
      </c>
      <c r="AF1425" t="s">
        <v>52</v>
      </c>
      <c r="AG1425" t="s">
        <v>54</v>
      </c>
      <c r="AH1425" t="s">
        <v>55</v>
      </c>
      <c r="AI1425"/>
      <c r="AJ1425"/>
      <c r="AK1425">
        <v>5</v>
      </c>
      <c r="AL1425">
        <v>5</v>
      </c>
      <c r="AM1425"/>
      <c r="AN1425">
        <v>477</v>
      </c>
      <c r="AO1425">
        <v>6</v>
      </c>
      <c r="AP1425" t="s">
        <v>56</v>
      </c>
      <c r="AQ1425" t="s">
        <v>118</v>
      </c>
      <c r="AR1425">
        <v>8.1</v>
      </c>
      <c r="AS1425" t="s">
        <v>56</v>
      </c>
      <c r="AT1425" t="s">
        <v>56</v>
      </c>
      <c r="AU1425">
        <v>1060</v>
      </c>
      <c r="AV1425">
        <v>9</v>
      </c>
      <c r="AW1425" t="s">
        <v>56</v>
      </c>
      <c r="AX1425">
        <v>7.8</v>
      </c>
      <c r="AY1425" t="s">
        <v>56</v>
      </c>
      <c r="AZ1425" t="s">
        <v>56</v>
      </c>
      <c r="BA1425"/>
      <c r="BB1425">
        <f>LOG(AU1425)</f>
        <v>3.0253058652647704</v>
      </c>
      <c r="BC1425">
        <v>26.3</v>
      </c>
      <c r="BD1425">
        <v>0</v>
      </c>
      <c r="BE1425" t="s">
        <v>56</v>
      </c>
      <c r="BF1425">
        <v>26.3</v>
      </c>
      <c r="BG1425">
        <v>0</v>
      </c>
      <c r="BH1425" t="s">
        <v>56</v>
      </c>
      <c r="BI1425">
        <v>583</v>
      </c>
      <c r="BJ1425">
        <v>0</v>
      </c>
      <c r="BK1425" t="s">
        <v>939</v>
      </c>
      <c r="BL1425" t="s">
        <v>940</v>
      </c>
      <c r="BM1425" t="s">
        <v>86</v>
      </c>
      <c r="BN1425" t="s">
        <v>81</v>
      </c>
      <c r="BO1425" t="s">
        <v>82</v>
      </c>
      <c r="BP1425" t="s">
        <v>9</v>
      </c>
      <c r="BQ1425" t="s">
        <v>9</v>
      </c>
      <c r="BR1425" t="s">
        <v>84</v>
      </c>
      <c r="BS1425"/>
      <c r="BT1425">
        <v>70.260000000000005</v>
      </c>
      <c r="BU1425">
        <v>70.260000000000005</v>
      </c>
      <c r="BV1425">
        <v>2.4300000000000002</v>
      </c>
      <c r="BW1425">
        <f>BV1425*SQRT(AK1425)</f>
        <v>5.4336451853244894</v>
      </c>
      <c r="BX1425">
        <v>57.39</v>
      </c>
      <c r="BY1425">
        <v>57.39</v>
      </c>
      <c r="BZ1425">
        <v>2.08</v>
      </c>
      <c r="CA1425">
        <f>BZ1425*SQRT(AL1425)</f>
        <v>4.6510213931995628</v>
      </c>
      <c r="CB1425">
        <v>10</v>
      </c>
      <c r="CC1425">
        <v>10</v>
      </c>
      <c r="CD1425">
        <v>-0.20200000000000001</v>
      </c>
      <c r="CE1425">
        <v>2.5000000000000001E-3</v>
      </c>
      <c r="CF1425"/>
    </row>
    <row r="1426" spans="1:84" s="8" customFormat="1" hidden="1" x14ac:dyDescent="0.2">
      <c r="A1426"/>
      <c r="B1426" t="str">
        <f>ROW()-1&amp;"_AltersInvert"</f>
        <v>1425_AltersInvert</v>
      </c>
      <c r="C1426" t="str">
        <f>D1426&amp;"_"&amp;
SUBSTITUTE(TRIM(V1426)," ","_")&amp;"_"&amp;
TRIM(AC1426)&amp;"_"&amp;
"CO2"&amp;TEXT(AN1426,"0.00")&amp;"_"&amp;
"pH"&amp;TEXT(AR1426,"0.00")&amp;"_"&amp;
"T"&amp;TEXT(BC1426,"0.##")</f>
        <v>198_Acanthaster_planci_LARVA_CO2477.00_pH8.10_T26.3</v>
      </c>
      <c r="D1426">
        <v>198</v>
      </c>
      <c r="E1426"/>
      <c r="F1426"/>
      <c r="G1426" t="s">
        <v>43</v>
      </c>
      <c r="H1426" t="s">
        <v>936</v>
      </c>
      <c r="I1426"/>
      <c r="J1426">
        <v>2014</v>
      </c>
      <c r="K1426"/>
      <c r="L1426"/>
      <c r="M1426" t="s">
        <v>381</v>
      </c>
      <c r="N1426"/>
      <c r="O1426"/>
      <c r="P1426" t="s">
        <v>1135</v>
      </c>
      <c r="Q1426"/>
      <c r="R1426" t="s">
        <v>1127</v>
      </c>
      <c r="S1426" t="s">
        <v>1128</v>
      </c>
      <c r="T1426" t="s">
        <v>46</v>
      </c>
      <c r="U1426" t="s">
        <v>937</v>
      </c>
      <c r="V1426" t="s">
        <v>938</v>
      </c>
      <c r="W1426"/>
      <c r="X1426"/>
      <c r="Y1426"/>
      <c r="Z1426" t="s">
        <v>106</v>
      </c>
      <c r="AA1426" t="s">
        <v>107</v>
      </c>
      <c r="AB1426" t="s">
        <v>71</v>
      </c>
      <c r="AC1426" t="s">
        <v>72</v>
      </c>
      <c r="AD1426" t="s">
        <v>52</v>
      </c>
      <c r="AE1426" t="s">
        <v>53</v>
      </c>
      <c r="AF1426" t="s">
        <v>54</v>
      </c>
      <c r="AG1426" t="s">
        <v>52</v>
      </c>
      <c r="AH1426" t="s">
        <v>65</v>
      </c>
      <c r="AI1426"/>
      <c r="AJ1426"/>
      <c r="AK1426">
        <v>5</v>
      </c>
      <c r="AL1426">
        <v>5</v>
      </c>
      <c r="AM1426"/>
      <c r="AN1426">
        <v>477</v>
      </c>
      <c r="AO1426">
        <v>6</v>
      </c>
      <c r="AP1426" t="s">
        <v>56</v>
      </c>
      <c r="AQ1426" t="s">
        <v>118</v>
      </c>
      <c r="AR1426">
        <v>8.1</v>
      </c>
      <c r="AS1426" t="s">
        <v>56</v>
      </c>
      <c r="AT1426" t="s">
        <v>56</v>
      </c>
      <c r="AU1426">
        <v>480</v>
      </c>
      <c r="AV1426">
        <v>6</v>
      </c>
      <c r="AW1426" t="s">
        <v>56</v>
      </c>
      <c r="AX1426">
        <v>8.1</v>
      </c>
      <c r="AY1426" t="s">
        <v>56</v>
      </c>
      <c r="AZ1426" t="s">
        <v>56</v>
      </c>
      <c r="BA1426"/>
      <c r="BB1426">
        <f>LOG(AU1426)</f>
        <v>2.6812412373755872</v>
      </c>
      <c r="BC1426">
        <v>26.3</v>
      </c>
      <c r="BD1426">
        <v>0</v>
      </c>
      <c r="BE1426" t="s">
        <v>56</v>
      </c>
      <c r="BF1426">
        <v>27.8</v>
      </c>
      <c r="BG1426">
        <v>0</v>
      </c>
      <c r="BH1426" t="s">
        <v>56</v>
      </c>
      <c r="BI1426">
        <v>3</v>
      </c>
      <c r="BJ1426">
        <v>1.5</v>
      </c>
      <c r="BK1426" t="s">
        <v>939</v>
      </c>
      <c r="BL1426" t="s">
        <v>940</v>
      </c>
      <c r="BM1426" t="s">
        <v>86</v>
      </c>
      <c r="BN1426" t="s">
        <v>81</v>
      </c>
      <c r="BO1426" t="s">
        <v>82</v>
      </c>
      <c r="BP1426" t="s">
        <v>9</v>
      </c>
      <c r="BQ1426" t="s">
        <v>9</v>
      </c>
      <c r="BR1426" t="s">
        <v>84</v>
      </c>
      <c r="BS1426"/>
      <c r="BT1426">
        <v>70.260000000000005</v>
      </c>
      <c r="BU1426">
        <v>70.260000000000005</v>
      </c>
      <c r="BV1426">
        <v>2.4300000000000002</v>
      </c>
      <c r="BW1426">
        <f>BV1426*SQRT(AK1426)</f>
        <v>5.4336451853244894</v>
      </c>
      <c r="BX1426">
        <v>74.430000000000007</v>
      </c>
      <c r="BY1426">
        <v>74.430000000000007</v>
      </c>
      <c r="BZ1426">
        <v>1.39</v>
      </c>
      <c r="CA1426">
        <f>BZ1426*SQRT(AL1426)</f>
        <v>3.1081344887247075</v>
      </c>
      <c r="CB1426">
        <v>10</v>
      </c>
      <c r="CC1426">
        <v>10</v>
      </c>
      <c r="CD1426">
        <v>5.8000000000000003E-2</v>
      </c>
      <c r="CE1426">
        <v>1.5E-3</v>
      </c>
      <c r="CF1426"/>
    </row>
    <row r="1427" spans="1:84" s="8" customFormat="1" hidden="1" x14ac:dyDescent="0.2">
      <c r="A1427"/>
      <c r="B1427" t="str">
        <f>ROW()-1&amp;"_AltersInvert"</f>
        <v>1426_AltersInvert</v>
      </c>
      <c r="C1427" t="str">
        <f>D1427&amp;"_"&amp;
SUBSTITUTE(TRIM(V1427)," ","_")&amp;"_"&amp;
TRIM(AC1427)&amp;"_"&amp;
"CO2"&amp;TEXT(AN1427,"0.00")&amp;"_"&amp;
"pH"&amp;TEXT(AR1427,"0.00")&amp;"_"&amp;
"T"&amp;TEXT(BC1427,"0.##")</f>
        <v>198_Acanthaster_planci_LARVA_CO2477.00_pH8.10_T26.3</v>
      </c>
      <c r="D1427">
        <v>198</v>
      </c>
      <c r="E1427"/>
      <c r="F1427"/>
      <c r="G1427" t="s">
        <v>43</v>
      </c>
      <c r="H1427" t="s">
        <v>936</v>
      </c>
      <c r="I1427"/>
      <c r="J1427">
        <v>2014</v>
      </c>
      <c r="K1427"/>
      <c r="L1427"/>
      <c r="M1427" t="s">
        <v>381</v>
      </c>
      <c r="N1427"/>
      <c r="O1427"/>
      <c r="P1427" t="s">
        <v>1135</v>
      </c>
      <c r="Q1427"/>
      <c r="R1427" t="s">
        <v>1127</v>
      </c>
      <c r="S1427" t="s">
        <v>1128</v>
      </c>
      <c r="T1427" t="s">
        <v>46</v>
      </c>
      <c r="U1427" t="s">
        <v>937</v>
      </c>
      <c r="V1427" t="s">
        <v>938</v>
      </c>
      <c r="W1427"/>
      <c r="X1427"/>
      <c r="Y1427"/>
      <c r="Z1427" t="s">
        <v>106</v>
      </c>
      <c r="AA1427" t="s">
        <v>107</v>
      </c>
      <c r="AB1427" t="s">
        <v>71</v>
      </c>
      <c r="AC1427" t="s">
        <v>72</v>
      </c>
      <c r="AD1427" t="s">
        <v>52</v>
      </c>
      <c r="AE1427" t="s">
        <v>53</v>
      </c>
      <c r="AF1427" t="s">
        <v>52</v>
      </c>
      <c r="AG1427" t="s">
        <v>52</v>
      </c>
      <c r="AH1427" t="s">
        <v>64</v>
      </c>
      <c r="AI1427"/>
      <c r="AJ1427"/>
      <c r="AK1427">
        <v>5</v>
      </c>
      <c r="AL1427">
        <v>5</v>
      </c>
      <c r="AM1427"/>
      <c r="AN1427">
        <v>477</v>
      </c>
      <c r="AO1427">
        <v>6</v>
      </c>
      <c r="AP1427" t="s">
        <v>56</v>
      </c>
      <c r="AQ1427" t="s">
        <v>118</v>
      </c>
      <c r="AR1427">
        <v>8.1</v>
      </c>
      <c r="AS1427" t="s">
        <v>56</v>
      </c>
      <c r="AT1427" t="s">
        <v>56</v>
      </c>
      <c r="AU1427">
        <v>1919</v>
      </c>
      <c r="AV1427">
        <v>13</v>
      </c>
      <c r="AW1427" t="s">
        <v>56</v>
      </c>
      <c r="AX1427">
        <v>7.6</v>
      </c>
      <c r="AY1427" t="s">
        <v>56</v>
      </c>
      <c r="AZ1427" t="s">
        <v>56</v>
      </c>
      <c r="BA1427"/>
      <c r="BB1427">
        <f>LOG(AU1427)</f>
        <v>3.2830749747354715</v>
      </c>
      <c r="BC1427">
        <v>26.3</v>
      </c>
      <c r="BD1427">
        <v>0</v>
      </c>
      <c r="BE1427" t="s">
        <v>56</v>
      </c>
      <c r="BF1427">
        <v>27.8</v>
      </c>
      <c r="BG1427">
        <v>0</v>
      </c>
      <c r="BH1427" t="s">
        <v>56</v>
      </c>
      <c r="BI1427">
        <v>1442</v>
      </c>
      <c r="BJ1427">
        <v>1.5</v>
      </c>
      <c r="BK1427" t="s">
        <v>939</v>
      </c>
      <c r="BL1427" t="s">
        <v>940</v>
      </c>
      <c r="BM1427" t="s">
        <v>86</v>
      </c>
      <c r="BN1427" t="s">
        <v>81</v>
      </c>
      <c r="BO1427" t="s">
        <v>82</v>
      </c>
      <c r="BP1427" t="s">
        <v>9</v>
      </c>
      <c r="BQ1427" t="s">
        <v>9</v>
      </c>
      <c r="BR1427" t="s">
        <v>84</v>
      </c>
      <c r="BS1427"/>
      <c r="BT1427">
        <v>70.260000000000005</v>
      </c>
      <c r="BU1427">
        <v>70.260000000000005</v>
      </c>
      <c r="BV1427">
        <v>2.4300000000000002</v>
      </c>
      <c r="BW1427">
        <f>BV1427*SQRT(AK1427)</f>
        <v>5.4336451853244894</v>
      </c>
      <c r="BX1427">
        <v>51.82</v>
      </c>
      <c r="BY1427">
        <v>51.82</v>
      </c>
      <c r="BZ1427">
        <v>3.48</v>
      </c>
      <c r="CA1427">
        <f>BZ1427*SQRT(AL1427)</f>
        <v>7.7815165616992683</v>
      </c>
      <c r="CB1427">
        <v>10</v>
      </c>
      <c r="CC1427">
        <v>10</v>
      </c>
      <c r="CD1427">
        <v>-0.30399999999999999</v>
      </c>
      <c r="CE1427">
        <v>5.7000000000000002E-3</v>
      </c>
      <c r="CF1427"/>
    </row>
    <row r="1428" spans="1:84" s="8" customFormat="1" hidden="1" x14ac:dyDescent="0.2">
      <c r="A1428"/>
      <c r="B1428" t="str">
        <f>ROW()-1&amp;"_AltersInvert"</f>
        <v>1427_AltersInvert</v>
      </c>
      <c r="C1428" t="str">
        <f>D1428&amp;"_"&amp;
SUBSTITUTE(TRIM(V1428)," ","_")&amp;"_"&amp;
TRIM(AC1428)&amp;"_"&amp;
"CO2"&amp;TEXT(AN1428,"0.00")&amp;"_"&amp;
"pH"&amp;TEXT(AR1428,"0.00")&amp;"_"&amp;
"T"&amp;TEXT(BC1428,"0.##")</f>
        <v>198_Acanthaster_planci_LARVA_CO2477.00_pH8.10_T26.3</v>
      </c>
      <c r="D1428">
        <v>198</v>
      </c>
      <c r="E1428"/>
      <c r="F1428"/>
      <c r="G1428" t="s">
        <v>43</v>
      </c>
      <c r="H1428" t="s">
        <v>936</v>
      </c>
      <c r="I1428"/>
      <c r="J1428">
        <v>2014</v>
      </c>
      <c r="K1428"/>
      <c r="L1428"/>
      <c r="M1428" t="s">
        <v>381</v>
      </c>
      <c r="N1428"/>
      <c r="O1428"/>
      <c r="P1428" t="s">
        <v>1135</v>
      </c>
      <c r="Q1428"/>
      <c r="R1428" t="s">
        <v>1127</v>
      </c>
      <c r="S1428" t="s">
        <v>1128</v>
      </c>
      <c r="T1428" t="s">
        <v>46</v>
      </c>
      <c r="U1428" t="s">
        <v>937</v>
      </c>
      <c r="V1428" t="s">
        <v>938</v>
      </c>
      <c r="W1428"/>
      <c r="X1428"/>
      <c r="Y1428"/>
      <c r="Z1428" t="s">
        <v>106</v>
      </c>
      <c r="AA1428" t="s">
        <v>107</v>
      </c>
      <c r="AB1428" t="s">
        <v>71</v>
      </c>
      <c r="AC1428" t="s">
        <v>72</v>
      </c>
      <c r="AD1428" t="s">
        <v>52</v>
      </c>
      <c r="AE1428" t="s">
        <v>53</v>
      </c>
      <c r="AF1428" t="s">
        <v>52</v>
      </c>
      <c r="AG1428" t="s">
        <v>52</v>
      </c>
      <c r="AH1428" t="s">
        <v>64</v>
      </c>
      <c r="AI1428"/>
      <c r="AJ1428"/>
      <c r="AK1428">
        <v>5</v>
      </c>
      <c r="AL1428">
        <v>5</v>
      </c>
      <c r="AM1428"/>
      <c r="AN1428">
        <v>477</v>
      </c>
      <c r="AO1428">
        <v>6</v>
      </c>
      <c r="AP1428" t="s">
        <v>56</v>
      </c>
      <c r="AQ1428" t="s">
        <v>118</v>
      </c>
      <c r="AR1428">
        <v>8.1</v>
      </c>
      <c r="AS1428" t="s">
        <v>56</v>
      </c>
      <c r="AT1428" t="s">
        <v>56</v>
      </c>
      <c r="AU1428">
        <v>1072</v>
      </c>
      <c r="AV1428">
        <v>9</v>
      </c>
      <c r="AW1428" t="s">
        <v>56</v>
      </c>
      <c r="AX1428">
        <v>7.8</v>
      </c>
      <c r="AY1428" t="s">
        <v>56</v>
      </c>
      <c r="AZ1428" t="s">
        <v>56</v>
      </c>
      <c r="BA1428"/>
      <c r="BB1428">
        <f>LOG(AU1428)</f>
        <v>3.030194785356751</v>
      </c>
      <c r="BC1428">
        <v>26.3</v>
      </c>
      <c r="BD1428">
        <v>0</v>
      </c>
      <c r="BE1428" t="s">
        <v>56</v>
      </c>
      <c r="BF1428">
        <v>27.8</v>
      </c>
      <c r="BG1428">
        <v>0</v>
      </c>
      <c r="BH1428" t="s">
        <v>56</v>
      </c>
      <c r="BI1428">
        <v>595</v>
      </c>
      <c r="BJ1428">
        <v>1.5</v>
      </c>
      <c r="BK1428" t="s">
        <v>939</v>
      </c>
      <c r="BL1428" t="s">
        <v>940</v>
      </c>
      <c r="BM1428" t="s">
        <v>86</v>
      </c>
      <c r="BN1428" t="s">
        <v>81</v>
      </c>
      <c r="BO1428" t="s">
        <v>82</v>
      </c>
      <c r="BP1428" t="s">
        <v>9</v>
      </c>
      <c r="BQ1428" t="s">
        <v>9</v>
      </c>
      <c r="BR1428" t="s">
        <v>84</v>
      </c>
      <c r="BS1428"/>
      <c r="BT1428">
        <v>70.260000000000005</v>
      </c>
      <c r="BU1428">
        <v>70.260000000000005</v>
      </c>
      <c r="BV1428">
        <v>2.4300000000000002</v>
      </c>
      <c r="BW1428">
        <f>BV1428*SQRT(AK1428)</f>
        <v>5.4336451853244894</v>
      </c>
      <c r="BX1428">
        <v>66.08</v>
      </c>
      <c r="BY1428">
        <v>66.08</v>
      </c>
      <c r="BZ1428">
        <v>2.78</v>
      </c>
      <c r="CA1428">
        <f>BZ1428*SQRT(AL1428)</f>
        <v>6.2162689774494151</v>
      </c>
      <c r="CB1428">
        <v>10</v>
      </c>
      <c r="CC1428">
        <v>10</v>
      </c>
      <c r="CD1428">
        <v>-6.0999999999999999E-2</v>
      </c>
      <c r="CE1428">
        <v>3.0000000000000001E-3</v>
      </c>
      <c r="CF1428"/>
    </row>
    <row r="1429" spans="1:84" s="8" customFormat="1" hidden="1" x14ac:dyDescent="0.2">
      <c r="A1429"/>
      <c r="B1429" t="str">
        <f>ROW()-1&amp;"_AltersInvert"</f>
        <v>1428_AltersInvert</v>
      </c>
      <c r="C1429" t="str">
        <f>D1429&amp;"_"&amp;
SUBSTITUTE(TRIM(V1429)," ","_")&amp;"_"&amp;
TRIM(AC1429)&amp;"_"&amp;
"CO2"&amp;TEXT(AN1429,"0.00")&amp;"_"&amp;
"pH"&amp;TEXT(AR1429,"0.00")&amp;"_"&amp;
"T"&amp;TEXT(BC1429,"0.##")</f>
        <v>5_Acropora_spicifera_LARVA_CO2242.00_pH8.22_T24.4</v>
      </c>
      <c r="D1429">
        <v>5</v>
      </c>
      <c r="E1429"/>
      <c r="F1429"/>
      <c r="G1429" t="s">
        <v>43</v>
      </c>
      <c r="H1429" t="s">
        <v>101</v>
      </c>
      <c r="I1429"/>
      <c r="J1429">
        <v>2015</v>
      </c>
      <c r="K1429"/>
      <c r="L1429"/>
      <c r="M1429" t="s">
        <v>102</v>
      </c>
      <c r="N1429"/>
      <c r="O1429"/>
      <c r="P1429" t="s">
        <v>1135</v>
      </c>
      <c r="Q1429"/>
      <c r="R1429" t="s">
        <v>1127</v>
      </c>
      <c r="S1429" t="s">
        <v>1128</v>
      </c>
      <c r="T1429" t="s">
        <v>103</v>
      </c>
      <c r="U1429" t="s">
        <v>104</v>
      </c>
      <c r="V1429" t="s">
        <v>105</v>
      </c>
      <c r="W1429"/>
      <c r="X1429"/>
      <c r="Y1429"/>
      <c r="Z1429" t="s">
        <v>106</v>
      </c>
      <c r="AA1429" t="s">
        <v>107</v>
      </c>
      <c r="AB1429" t="s">
        <v>50</v>
      </c>
      <c r="AC1429" t="s">
        <v>72</v>
      </c>
      <c r="AD1429" t="s">
        <v>52</v>
      </c>
      <c r="AE1429" t="s">
        <v>53</v>
      </c>
      <c r="AF1429" t="s">
        <v>52</v>
      </c>
      <c r="AG1429" t="s">
        <v>54</v>
      </c>
      <c r="AH1429" t="s">
        <v>55</v>
      </c>
      <c r="AI1429"/>
      <c r="AJ1429"/>
      <c r="AK1429">
        <v>4</v>
      </c>
      <c r="AL1429">
        <v>4</v>
      </c>
      <c r="AM1429"/>
      <c r="AN1429">
        <v>242</v>
      </c>
      <c r="AO1429" t="s">
        <v>56</v>
      </c>
      <c r="AP1429">
        <v>22</v>
      </c>
      <c r="AQ1429" t="s">
        <v>109</v>
      </c>
      <c r="AR1429">
        <v>8.2200000000000006</v>
      </c>
      <c r="AS1429" t="s">
        <v>56</v>
      </c>
      <c r="AT1429">
        <v>0.05</v>
      </c>
      <c r="AU1429">
        <v>872</v>
      </c>
      <c r="AV1429" t="s">
        <v>56</v>
      </c>
      <c r="AW1429">
        <v>58</v>
      </c>
      <c r="AX1429">
        <v>7.77</v>
      </c>
      <c r="AY1429" t="s">
        <v>56</v>
      </c>
      <c r="AZ1429">
        <v>0.06</v>
      </c>
      <c r="BA1429"/>
      <c r="BB1429">
        <f>LOG(AU1429)</f>
        <v>2.9405164849325671</v>
      </c>
      <c r="BC1429">
        <v>24.4</v>
      </c>
      <c r="BD1429" t="s">
        <v>56</v>
      </c>
      <c r="BE1429">
        <v>0.5</v>
      </c>
      <c r="BF1429">
        <v>24.1</v>
      </c>
      <c r="BG1429" t="s">
        <v>56</v>
      </c>
      <c r="BH1429">
        <v>0.6</v>
      </c>
      <c r="BI1429">
        <v>630</v>
      </c>
      <c r="BJ1429">
        <v>-0.3</v>
      </c>
      <c r="BK1429" t="s">
        <v>56</v>
      </c>
      <c r="BL1429" t="s">
        <v>113</v>
      </c>
      <c r="BM1429" t="s">
        <v>113</v>
      </c>
      <c r="BN1429" t="s">
        <v>81</v>
      </c>
      <c r="BO1429" t="s">
        <v>82</v>
      </c>
      <c r="BP1429" t="s">
        <v>9</v>
      </c>
      <c r="BQ1429" t="s">
        <v>9</v>
      </c>
      <c r="BR1429" t="s">
        <v>84</v>
      </c>
      <c r="BS1429"/>
      <c r="BT1429">
        <v>33.54</v>
      </c>
      <c r="BU1429">
        <v>33.542245000000001</v>
      </c>
      <c r="BV1429">
        <v>2.77</v>
      </c>
      <c r="BW1429">
        <f>BV1429*SQRT(AK1429)</f>
        <v>5.54</v>
      </c>
      <c r="BX1429">
        <v>37.14</v>
      </c>
      <c r="BY1429">
        <v>37.138563900000001</v>
      </c>
      <c r="BZ1429">
        <v>5.46</v>
      </c>
      <c r="CA1429">
        <f>BZ1429*SQRT(AL1429)</f>
        <v>10.92</v>
      </c>
      <c r="CB1429">
        <v>28</v>
      </c>
      <c r="CC1429">
        <v>4</v>
      </c>
      <c r="CD1429">
        <v>0.10199999999999999</v>
      </c>
      <c r="CE1429">
        <v>2.8400000000000002E-2</v>
      </c>
      <c r="CF1429"/>
    </row>
    <row r="1430" spans="1:84" s="8" customFormat="1" hidden="1" x14ac:dyDescent="0.2">
      <c r="A1430"/>
      <c r="B1430" t="str">
        <f>ROW()-1&amp;"_AltersInvert"</f>
        <v>1429_AltersInvert</v>
      </c>
      <c r="C1430" t="str">
        <f>D1430&amp;"_"&amp;
SUBSTITUTE(TRIM(V1430)," ","_")&amp;"_"&amp;
TRIM(AC1430)&amp;"_"&amp;
"CO2"&amp;TEXT(AN1430,"0.00")&amp;"_"&amp;
"pH"&amp;TEXT(AR1430,"0.00")&amp;"_"&amp;
"T"&amp;TEXT(BC1430,"0.##")</f>
        <v>5_Acropora_spicifera_LARVA_CO2242.00_pH8.22_T24.4</v>
      </c>
      <c r="D1430">
        <v>5</v>
      </c>
      <c r="E1430"/>
      <c r="F1430"/>
      <c r="G1430" t="s">
        <v>43</v>
      </c>
      <c r="H1430" t="s">
        <v>101</v>
      </c>
      <c r="I1430"/>
      <c r="J1430">
        <v>2015</v>
      </c>
      <c r="K1430"/>
      <c r="L1430"/>
      <c r="M1430" t="s">
        <v>102</v>
      </c>
      <c r="N1430"/>
      <c r="O1430"/>
      <c r="P1430" t="s">
        <v>1135</v>
      </c>
      <c r="Q1430"/>
      <c r="R1430" t="s">
        <v>1127</v>
      </c>
      <c r="S1430" t="s">
        <v>1128</v>
      </c>
      <c r="T1430" t="s">
        <v>103</v>
      </c>
      <c r="U1430" t="s">
        <v>104</v>
      </c>
      <c r="V1430" t="s">
        <v>105</v>
      </c>
      <c r="W1430"/>
      <c r="X1430"/>
      <c r="Y1430"/>
      <c r="Z1430" t="s">
        <v>106</v>
      </c>
      <c r="AA1430" t="s">
        <v>107</v>
      </c>
      <c r="AB1430" t="s">
        <v>50</v>
      </c>
      <c r="AC1430" t="s">
        <v>72</v>
      </c>
      <c r="AD1430" t="s">
        <v>52</v>
      </c>
      <c r="AE1430" t="s">
        <v>53</v>
      </c>
      <c r="AF1430" t="s">
        <v>54</v>
      </c>
      <c r="AG1430" t="s">
        <v>52</v>
      </c>
      <c r="AH1430" t="s">
        <v>65</v>
      </c>
      <c r="AI1430"/>
      <c r="AJ1430"/>
      <c r="AK1430">
        <v>4</v>
      </c>
      <c r="AL1430">
        <v>4</v>
      </c>
      <c r="AM1430"/>
      <c r="AN1430">
        <v>242</v>
      </c>
      <c r="AO1430" t="s">
        <v>56</v>
      </c>
      <c r="AP1430">
        <v>22</v>
      </c>
      <c r="AQ1430" t="s">
        <v>109</v>
      </c>
      <c r="AR1430">
        <v>8.2200000000000006</v>
      </c>
      <c r="AS1430" t="s">
        <v>56</v>
      </c>
      <c r="AT1430">
        <v>0.05</v>
      </c>
      <c r="AU1430">
        <v>275</v>
      </c>
      <c r="AV1430" t="s">
        <v>56</v>
      </c>
      <c r="AW1430">
        <v>24</v>
      </c>
      <c r="AX1430">
        <v>8.18</v>
      </c>
      <c r="AY1430" t="s">
        <v>56</v>
      </c>
      <c r="AZ1430">
        <v>0.05</v>
      </c>
      <c r="BA1430"/>
      <c r="BB1430">
        <f>LOG(AU1430)</f>
        <v>2.4393326938302629</v>
      </c>
      <c r="BC1430">
        <v>24.4</v>
      </c>
      <c r="BD1430" t="s">
        <v>56</v>
      </c>
      <c r="BE1430">
        <v>0.5</v>
      </c>
      <c r="BF1430">
        <v>27.6</v>
      </c>
      <c r="BG1430" t="s">
        <v>56</v>
      </c>
      <c r="BH1430">
        <v>0.8</v>
      </c>
      <c r="BI1430">
        <v>33</v>
      </c>
      <c r="BJ1430">
        <v>3.2</v>
      </c>
      <c r="BK1430" t="s">
        <v>56</v>
      </c>
      <c r="BL1430" t="s">
        <v>113</v>
      </c>
      <c r="BM1430" t="s">
        <v>113</v>
      </c>
      <c r="BN1430" t="s">
        <v>81</v>
      </c>
      <c r="BO1430" t="s">
        <v>82</v>
      </c>
      <c r="BP1430" t="s">
        <v>9</v>
      </c>
      <c r="BQ1430" t="s">
        <v>9</v>
      </c>
      <c r="BR1430" t="s">
        <v>84</v>
      </c>
      <c r="BS1430"/>
      <c r="BT1430">
        <v>33.54</v>
      </c>
      <c r="BU1430">
        <v>33.542245000000001</v>
      </c>
      <c r="BV1430">
        <v>2.77</v>
      </c>
      <c r="BW1430">
        <f>BV1430*SQRT(AK1430)</f>
        <v>5.54</v>
      </c>
      <c r="BX1430">
        <v>33.299999999999997</v>
      </c>
      <c r="BY1430">
        <v>33.304009299999997</v>
      </c>
      <c r="BZ1430">
        <v>1.99</v>
      </c>
      <c r="CA1430">
        <f>BZ1430*SQRT(AL1430)</f>
        <v>3.98</v>
      </c>
      <c r="CB1430">
        <v>28</v>
      </c>
      <c r="CC1430">
        <v>4</v>
      </c>
      <c r="CD1430">
        <v>-7.0000000000000001E-3</v>
      </c>
      <c r="CE1430">
        <v>1.04E-2</v>
      </c>
      <c r="CF1430"/>
    </row>
    <row r="1431" spans="1:84" s="8" customFormat="1" hidden="1" x14ac:dyDescent="0.2">
      <c r="A1431"/>
      <c r="B1431" t="str">
        <f>ROW()-1&amp;"_AltersInvert"</f>
        <v>1430_AltersInvert</v>
      </c>
      <c r="C1431" t="str">
        <f>D1431&amp;"_"&amp;
SUBSTITUTE(TRIM(V1431)," ","_")&amp;"_"&amp;
TRIM(AC1431)&amp;"_"&amp;
"CO2"&amp;TEXT(AN1431,"0.00")&amp;"_"&amp;
"pH"&amp;TEXT(AR1431,"0.00")&amp;"_"&amp;
"T"&amp;TEXT(BC1431,"0.##")</f>
        <v>5_Acropora_spicifera_LARVA_CO2242.00_pH8.22_T24.4</v>
      </c>
      <c r="D1431">
        <v>5</v>
      </c>
      <c r="E1431"/>
      <c r="F1431"/>
      <c r="G1431" t="s">
        <v>43</v>
      </c>
      <c r="H1431" t="s">
        <v>101</v>
      </c>
      <c r="I1431"/>
      <c r="J1431">
        <v>2015</v>
      </c>
      <c r="K1431"/>
      <c r="L1431"/>
      <c r="M1431" t="s">
        <v>102</v>
      </c>
      <c r="N1431"/>
      <c r="O1431"/>
      <c r="P1431" t="s">
        <v>1135</v>
      </c>
      <c r="Q1431"/>
      <c r="R1431" t="s">
        <v>1127</v>
      </c>
      <c r="S1431" t="s">
        <v>1128</v>
      </c>
      <c r="T1431" t="s">
        <v>103</v>
      </c>
      <c r="U1431" t="s">
        <v>104</v>
      </c>
      <c r="V1431" t="s">
        <v>105</v>
      </c>
      <c r="W1431"/>
      <c r="X1431"/>
      <c r="Y1431"/>
      <c r="Z1431" t="s">
        <v>106</v>
      </c>
      <c r="AA1431" t="s">
        <v>107</v>
      </c>
      <c r="AB1431" t="s">
        <v>50</v>
      </c>
      <c r="AC1431" t="s">
        <v>72</v>
      </c>
      <c r="AD1431" t="s">
        <v>52</v>
      </c>
      <c r="AE1431" t="s">
        <v>53</v>
      </c>
      <c r="AF1431" t="s">
        <v>52</v>
      </c>
      <c r="AG1431" t="s">
        <v>52</v>
      </c>
      <c r="AH1431" t="s">
        <v>64</v>
      </c>
      <c r="AI1431"/>
      <c r="AJ1431"/>
      <c r="AK1431">
        <v>4</v>
      </c>
      <c r="AL1431">
        <v>4</v>
      </c>
      <c r="AM1431"/>
      <c r="AN1431">
        <v>242</v>
      </c>
      <c r="AO1431" t="s">
        <v>56</v>
      </c>
      <c r="AP1431">
        <v>22</v>
      </c>
      <c r="AQ1431" t="s">
        <v>109</v>
      </c>
      <c r="AR1431">
        <v>8.2200000000000006</v>
      </c>
      <c r="AS1431" t="s">
        <v>56</v>
      </c>
      <c r="AT1431">
        <v>0.05</v>
      </c>
      <c r="AU1431">
        <v>976</v>
      </c>
      <c r="AV1431" t="s">
        <v>56</v>
      </c>
      <c r="AW1431">
        <v>103</v>
      </c>
      <c r="AX1431">
        <v>7.75</v>
      </c>
      <c r="AY1431" t="s">
        <v>56</v>
      </c>
      <c r="AZ1431">
        <v>0.08</v>
      </c>
      <c r="BA1431"/>
      <c r="BB1431">
        <f>LOG(AU1431)</f>
        <v>2.9894498176666917</v>
      </c>
      <c r="BC1431">
        <v>24.4</v>
      </c>
      <c r="BD1431" t="s">
        <v>56</v>
      </c>
      <c r="BE1431">
        <v>0.5</v>
      </c>
      <c r="BF1431">
        <v>27.4</v>
      </c>
      <c r="BG1431" t="s">
        <v>56</v>
      </c>
      <c r="BH1431">
        <v>0.9</v>
      </c>
      <c r="BI1431">
        <v>734</v>
      </c>
      <c r="BJ1431">
        <v>3</v>
      </c>
      <c r="BK1431" t="s">
        <v>56</v>
      </c>
      <c r="BL1431" t="s">
        <v>113</v>
      </c>
      <c r="BM1431" t="s">
        <v>113</v>
      </c>
      <c r="BN1431" t="s">
        <v>81</v>
      </c>
      <c r="BO1431" t="s">
        <v>82</v>
      </c>
      <c r="BP1431" t="s">
        <v>9</v>
      </c>
      <c r="BQ1431" t="s">
        <v>9</v>
      </c>
      <c r="BR1431" t="s">
        <v>84</v>
      </c>
      <c r="BS1431"/>
      <c r="BT1431">
        <v>33.54</v>
      </c>
      <c r="BU1431">
        <v>33.542245000000001</v>
      </c>
      <c r="BV1431">
        <v>2.77</v>
      </c>
      <c r="BW1431">
        <f>BV1431*SQRT(AK1431)</f>
        <v>5.54</v>
      </c>
      <c r="BX1431">
        <v>44.01</v>
      </c>
      <c r="BY1431">
        <v>44.0060474</v>
      </c>
      <c r="BZ1431">
        <v>3.64</v>
      </c>
      <c r="CA1431">
        <f>BZ1431*SQRT(AL1431)</f>
        <v>7.28</v>
      </c>
      <c r="CB1431">
        <v>28</v>
      </c>
      <c r="CC1431">
        <v>4</v>
      </c>
      <c r="CD1431">
        <v>0.27200000000000002</v>
      </c>
      <c r="CE1431">
        <v>1.37E-2</v>
      </c>
      <c r="CF1431"/>
    </row>
    <row r="1432" spans="1:84" s="8" customFormat="1" hidden="1" x14ac:dyDescent="0.2">
      <c r="B1432" t="str">
        <f>ROW()-1&amp;"_AltersInvert"</f>
        <v>1431_AltersInvert</v>
      </c>
      <c r="C1432" t="str">
        <f>D1432&amp;"_"&amp;
SUBSTITUTE(TRIM(V1432)," ","_")&amp;"_"&amp;
TRIM(AC1432)&amp;"_"&amp;
"CO2"&amp;TEXT(AN1432,"0.00")&amp;"_"&amp;
"pH"&amp;TEXT(AR1432,"0.00")&amp;"_"&amp;
"T"&amp;TEXT(BC1432,"0.##")</f>
        <v>51_Acropora_hyacinthus_EMBRYO_CO2404.00_pH8.18_T27.</v>
      </c>
      <c r="D1432" s="8">
        <v>51</v>
      </c>
      <c r="G1432" s="8" t="s">
        <v>43</v>
      </c>
      <c r="H1432" s="8" t="s">
        <v>527</v>
      </c>
      <c r="I1432" s="8" t="s">
        <v>1130</v>
      </c>
      <c r="J1432" s="8">
        <v>2015</v>
      </c>
      <c r="M1432" s="8" t="s">
        <v>528</v>
      </c>
      <c r="P1432" t="s">
        <v>1135</v>
      </c>
      <c r="R1432" s="8" t="s">
        <v>1127</v>
      </c>
      <c r="S1432" t="s">
        <v>1128</v>
      </c>
      <c r="T1432" s="8" t="s">
        <v>103</v>
      </c>
      <c r="U1432" s="8" t="s">
        <v>228</v>
      </c>
      <c r="V1432" s="8" t="s">
        <v>529</v>
      </c>
      <c r="W1432" s="8" t="str">
        <f>IF(ISNUMBER(MATCH(#REF!,{"Doryteuthis pealeii","Loligo vulgaris","Leptuca thayeri","Stylocheilus striatus","Ophryotrocha labronica"},0)),"N","Y")</f>
        <v>Y</v>
      </c>
      <c r="Z1432" s="8" t="s">
        <v>106</v>
      </c>
      <c r="AA1432" s="8" t="s">
        <v>107</v>
      </c>
      <c r="AB1432" s="8" t="s">
        <v>71</v>
      </c>
      <c r="AC1432" s="8" t="s">
        <v>195</v>
      </c>
      <c r="AD1432" s="8" t="s">
        <v>52</v>
      </c>
      <c r="AE1432" s="8" t="s">
        <v>53</v>
      </c>
      <c r="AF1432" s="8" t="s">
        <v>52</v>
      </c>
      <c r="AG1432" s="8" t="s">
        <v>54</v>
      </c>
      <c r="AH1432" s="8" t="s">
        <v>55</v>
      </c>
      <c r="AK1432" s="8">
        <v>5</v>
      </c>
      <c r="AL1432" s="8">
        <v>5</v>
      </c>
      <c r="AM1432" s="8" t="s">
        <v>532</v>
      </c>
      <c r="AN1432" s="8">
        <v>404</v>
      </c>
      <c r="AO1432" s="8" t="s">
        <v>56</v>
      </c>
      <c r="AP1432" s="8" t="s">
        <v>56</v>
      </c>
      <c r="AQ1432" s="8" t="s">
        <v>57</v>
      </c>
      <c r="AR1432" s="8">
        <v>8.18</v>
      </c>
      <c r="AS1432" s="8" t="s">
        <v>56</v>
      </c>
      <c r="AT1432" s="8" t="s">
        <v>56</v>
      </c>
      <c r="AU1432" s="8">
        <v>934</v>
      </c>
      <c r="AV1432" t="s">
        <v>56</v>
      </c>
      <c r="AW1432" t="s">
        <v>56</v>
      </c>
      <c r="AX1432">
        <v>7.78</v>
      </c>
      <c r="AY1432" t="s">
        <v>56</v>
      </c>
      <c r="AZ1432" t="s">
        <v>56</v>
      </c>
      <c r="BB1432" s="8">
        <f>LOG(AU1432)</f>
        <v>2.9703468762300935</v>
      </c>
      <c r="BC1432" s="8">
        <v>27</v>
      </c>
      <c r="BD1432" s="8" t="s">
        <v>56</v>
      </c>
      <c r="BE1432" s="8" t="s">
        <v>56</v>
      </c>
      <c r="BF1432" s="8">
        <v>27</v>
      </c>
      <c r="BG1432" s="8" t="s">
        <v>56</v>
      </c>
      <c r="BH1432" s="8" t="s">
        <v>56</v>
      </c>
      <c r="BI1432" s="8">
        <v>530</v>
      </c>
      <c r="BJ1432" s="8">
        <v>0</v>
      </c>
      <c r="BK1432" s="8" t="s">
        <v>533</v>
      </c>
      <c r="BL1432" s="8" t="s">
        <v>473</v>
      </c>
      <c r="BM1432" s="8" t="s">
        <v>473</v>
      </c>
      <c r="BN1432" s="8" t="s">
        <v>81</v>
      </c>
      <c r="BO1432" s="8" t="s">
        <v>82</v>
      </c>
      <c r="BP1432" s="8" t="s">
        <v>190</v>
      </c>
      <c r="BQ1432" s="8" t="s">
        <v>190</v>
      </c>
      <c r="BR1432" s="8" t="s">
        <v>84</v>
      </c>
      <c r="BT1432" s="8">
        <v>41.89</v>
      </c>
      <c r="BU1432" s="8">
        <v>41.891891999999999</v>
      </c>
      <c r="BV1432" s="8">
        <v>2.52</v>
      </c>
      <c r="BW1432" s="8">
        <f>BV1432*SQRT(AK1432)</f>
        <v>5.6348913032994705</v>
      </c>
      <c r="BX1432" s="8">
        <v>47.97</v>
      </c>
      <c r="BY1432" s="8">
        <v>47.972973000000003</v>
      </c>
      <c r="BZ1432" s="8">
        <v>2.2200000000000002</v>
      </c>
      <c r="CA1432" s="8">
        <f>BZ1432*SQRT(AL1432)</f>
        <v>4.9640709100495339</v>
      </c>
      <c r="CB1432" s="8">
        <v>0</v>
      </c>
      <c r="CC1432" s="8">
        <v>5</v>
      </c>
      <c r="CD1432" s="8">
        <v>0.13600000000000001</v>
      </c>
      <c r="CE1432" s="8">
        <v>5.7000000000000002E-3</v>
      </c>
      <c r="CF1432" s="8" t="s">
        <v>1134</v>
      </c>
    </row>
    <row r="1433" spans="1:84" s="8" customFormat="1" hidden="1" x14ac:dyDescent="0.2">
      <c r="B1433" t="str">
        <f>ROW()-1&amp;"_AltersInvert"</f>
        <v>1432_AltersInvert</v>
      </c>
      <c r="C1433" t="str">
        <f>D1433&amp;"_"&amp;
SUBSTITUTE(TRIM(V1433)," ","_")&amp;"_"&amp;
TRIM(AC1433)&amp;"_"&amp;
"CO2"&amp;TEXT(AN1433,"0.00")&amp;"_"&amp;
"pH"&amp;TEXT(AR1433,"0.00")&amp;"_"&amp;
"T"&amp;TEXT(BC1433,"0.##")</f>
        <v>51_Acropora_hyacinthus_EMBRYO_CO2404.00_pH8.18_T27.</v>
      </c>
      <c r="D1433" s="8">
        <v>51</v>
      </c>
      <c r="G1433" s="8" t="s">
        <v>43</v>
      </c>
      <c r="H1433" s="8" t="s">
        <v>527</v>
      </c>
      <c r="I1433" s="8" t="s">
        <v>1130</v>
      </c>
      <c r="J1433" s="8">
        <v>2015</v>
      </c>
      <c r="M1433" s="8" t="s">
        <v>528</v>
      </c>
      <c r="P1433" t="s">
        <v>1135</v>
      </c>
      <c r="R1433" s="8" t="s">
        <v>1127</v>
      </c>
      <c r="S1433" t="s">
        <v>1128</v>
      </c>
      <c r="T1433" s="8" t="s">
        <v>103</v>
      </c>
      <c r="U1433" s="8" t="s">
        <v>228</v>
      </c>
      <c r="V1433" s="8" t="s">
        <v>529</v>
      </c>
      <c r="W1433" s="8" t="str">
        <f>IF(ISNUMBER(MATCH(V827,{"Doryteuthis pealeii","Loligo vulgaris","Leptuca thayeri","Stylocheilus striatus","Ophryotrocha labronica"},0)),"N","Y")</f>
        <v>Y</v>
      </c>
      <c r="Z1433" s="8" t="s">
        <v>106</v>
      </c>
      <c r="AA1433" s="8" t="s">
        <v>107</v>
      </c>
      <c r="AB1433" s="8" t="s">
        <v>71</v>
      </c>
      <c r="AC1433" s="8" t="s">
        <v>195</v>
      </c>
      <c r="AD1433" s="8" t="s">
        <v>52</v>
      </c>
      <c r="AE1433" s="8" t="s">
        <v>53</v>
      </c>
      <c r="AF1433" s="8" t="s">
        <v>54</v>
      </c>
      <c r="AG1433" s="8" t="s">
        <v>52</v>
      </c>
      <c r="AH1433" s="8" t="s">
        <v>65</v>
      </c>
      <c r="AK1433" s="8">
        <v>5</v>
      </c>
      <c r="AL1433" s="8">
        <v>5</v>
      </c>
      <c r="AM1433" s="8" t="s">
        <v>532</v>
      </c>
      <c r="AN1433" s="8">
        <v>404</v>
      </c>
      <c r="AO1433" s="8" t="s">
        <v>56</v>
      </c>
      <c r="AP1433" s="8" t="s">
        <v>56</v>
      </c>
      <c r="AQ1433" s="8" t="s">
        <v>57</v>
      </c>
      <c r="AR1433" s="8">
        <v>8.18</v>
      </c>
      <c r="AS1433" s="8" t="s">
        <v>56</v>
      </c>
      <c r="AT1433" s="8" t="s">
        <v>56</v>
      </c>
      <c r="AU1433" s="8">
        <v>446</v>
      </c>
      <c r="AV1433" t="s">
        <v>56</v>
      </c>
      <c r="AW1433" t="s">
        <v>56</v>
      </c>
      <c r="AX1433">
        <v>8.15</v>
      </c>
      <c r="AY1433" t="s">
        <v>56</v>
      </c>
      <c r="AZ1433" t="s">
        <v>56</v>
      </c>
      <c r="BB1433" s="8">
        <f>LOG(AU1433)</f>
        <v>2.6493348587121419</v>
      </c>
      <c r="BC1433" s="8">
        <v>27</v>
      </c>
      <c r="BD1433" s="8" t="s">
        <v>56</v>
      </c>
      <c r="BE1433" s="8" t="s">
        <v>56</v>
      </c>
      <c r="BF1433" s="8">
        <v>31</v>
      </c>
      <c r="BG1433" s="8" t="s">
        <v>56</v>
      </c>
      <c r="BH1433" s="8" t="s">
        <v>56</v>
      </c>
      <c r="BI1433" s="8">
        <v>42</v>
      </c>
      <c r="BJ1433" s="8">
        <v>4</v>
      </c>
      <c r="BK1433" s="8" t="s">
        <v>533</v>
      </c>
      <c r="BL1433" s="8" t="s">
        <v>473</v>
      </c>
      <c r="BM1433" s="8" t="s">
        <v>473</v>
      </c>
      <c r="BN1433" s="8" t="s">
        <v>81</v>
      </c>
      <c r="BO1433" s="8" t="s">
        <v>82</v>
      </c>
      <c r="BP1433" s="8" t="s">
        <v>190</v>
      </c>
      <c r="BQ1433" s="8" t="s">
        <v>190</v>
      </c>
      <c r="BR1433" s="8" t="s">
        <v>84</v>
      </c>
      <c r="BT1433" s="8">
        <v>41.89</v>
      </c>
      <c r="BU1433" s="8">
        <v>41.891891999999999</v>
      </c>
      <c r="BV1433" s="8">
        <v>2.52</v>
      </c>
      <c r="BW1433" s="8">
        <f>BV1433*SQRT(AK1433)</f>
        <v>5.6348913032994705</v>
      </c>
      <c r="BX1433" s="8">
        <v>20.72</v>
      </c>
      <c r="BY1433" s="8">
        <v>20.720720700000001</v>
      </c>
      <c r="BZ1433" s="8">
        <v>2.3199999999999998</v>
      </c>
      <c r="CA1433" s="8">
        <f>BZ1433*SQRT(AL1433)</f>
        <v>5.1876777077995122</v>
      </c>
      <c r="CB1433" s="8">
        <v>0</v>
      </c>
      <c r="CC1433" s="8">
        <v>5</v>
      </c>
      <c r="CD1433" s="8">
        <v>-0.70399999999999996</v>
      </c>
      <c r="CE1433" s="8">
        <v>1.61E-2</v>
      </c>
      <c r="CF1433" s="8" t="s">
        <v>1134</v>
      </c>
    </row>
    <row r="1434" spans="1:84" s="8" customFormat="1" hidden="1" x14ac:dyDescent="0.2">
      <c r="B1434" t="str">
        <f>ROW()-1&amp;"_AltersInvert"</f>
        <v>1433_AltersInvert</v>
      </c>
      <c r="C1434" t="str">
        <f>D1434&amp;"_"&amp;
SUBSTITUTE(TRIM(V1434)," ","_")&amp;"_"&amp;
TRIM(AC1434)&amp;"_"&amp;
"CO2"&amp;TEXT(AN1434,"0.00")&amp;"_"&amp;
"pH"&amp;TEXT(AR1434,"0.00")&amp;"_"&amp;
"T"&amp;TEXT(BC1434,"0.##")</f>
        <v>51_Acropora_hyacinthus_EMBRYO_CO2404.00_pH8.18_T27.</v>
      </c>
      <c r="D1434" s="8">
        <v>51</v>
      </c>
      <c r="G1434" s="8" t="s">
        <v>43</v>
      </c>
      <c r="H1434" s="8" t="s">
        <v>527</v>
      </c>
      <c r="I1434" s="8" t="s">
        <v>1130</v>
      </c>
      <c r="J1434" s="8">
        <v>2015</v>
      </c>
      <c r="M1434" s="8" t="s">
        <v>528</v>
      </c>
      <c r="P1434" t="s">
        <v>1135</v>
      </c>
      <c r="R1434" s="8" t="s">
        <v>1127</v>
      </c>
      <c r="S1434" t="s">
        <v>1128</v>
      </c>
      <c r="T1434" s="8" t="s">
        <v>103</v>
      </c>
      <c r="U1434" s="8" t="s">
        <v>228</v>
      </c>
      <c r="V1434" s="8" t="s">
        <v>529</v>
      </c>
      <c r="W1434" s="8" t="str">
        <f>IF(ISNUMBER(MATCH(V828,{"Doryteuthis pealeii","Loligo vulgaris","Leptuca thayeri","Stylocheilus striatus","Ophryotrocha labronica"},0)),"N","Y")</f>
        <v>Y</v>
      </c>
      <c r="Z1434" s="8" t="s">
        <v>106</v>
      </c>
      <c r="AA1434" s="8" t="s">
        <v>107</v>
      </c>
      <c r="AB1434" s="8" t="s">
        <v>71</v>
      </c>
      <c r="AC1434" s="8" t="s">
        <v>195</v>
      </c>
      <c r="AD1434" s="8" t="s">
        <v>52</v>
      </c>
      <c r="AE1434" s="8" t="s">
        <v>53</v>
      </c>
      <c r="AF1434" s="8" t="s">
        <v>52</v>
      </c>
      <c r="AG1434" s="8" t="s">
        <v>52</v>
      </c>
      <c r="AH1434" s="8" t="s">
        <v>64</v>
      </c>
      <c r="AK1434" s="8">
        <v>5</v>
      </c>
      <c r="AL1434" s="8">
        <v>5</v>
      </c>
      <c r="AM1434" s="8" t="s">
        <v>532</v>
      </c>
      <c r="AN1434" s="8">
        <v>404</v>
      </c>
      <c r="AO1434" s="8" t="s">
        <v>56</v>
      </c>
      <c r="AP1434" s="8" t="s">
        <v>56</v>
      </c>
      <c r="AQ1434" s="8" t="s">
        <v>57</v>
      </c>
      <c r="AR1434" s="8">
        <v>8.18</v>
      </c>
      <c r="AS1434" s="8" t="s">
        <v>56</v>
      </c>
      <c r="AT1434" s="8" t="s">
        <v>56</v>
      </c>
      <c r="AU1434" s="8">
        <v>863</v>
      </c>
      <c r="AV1434" t="s">
        <v>56</v>
      </c>
      <c r="AW1434" t="s">
        <v>56</v>
      </c>
      <c r="AX1434">
        <v>7.91</v>
      </c>
      <c r="AY1434" t="s">
        <v>56</v>
      </c>
      <c r="AZ1434" t="s">
        <v>56</v>
      </c>
      <c r="BB1434" s="8">
        <f>LOG(AU1434)</f>
        <v>2.9360107957152097</v>
      </c>
      <c r="BC1434" s="8">
        <v>27</v>
      </c>
      <c r="BD1434" s="8" t="s">
        <v>56</v>
      </c>
      <c r="BE1434" s="8" t="s">
        <v>56</v>
      </c>
      <c r="BF1434" s="8">
        <v>31</v>
      </c>
      <c r="BG1434" s="8" t="s">
        <v>56</v>
      </c>
      <c r="BH1434" s="8" t="s">
        <v>56</v>
      </c>
      <c r="BI1434" s="8">
        <v>459</v>
      </c>
      <c r="BJ1434" s="8">
        <v>4</v>
      </c>
      <c r="BK1434" s="8" t="s">
        <v>533</v>
      </c>
      <c r="BL1434" s="8" t="s">
        <v>473</v>
      </c>
      <c r="BM1434" s="8" t="s">
        <v>473</v>
      </c>
      <c r="BN1434" s="8" t="s">
        <v>81</v>
      </c>
      <c r="BO1434" s="8" t="s">
        <v>82</v>
      </c>
      <c r="BP1434" s="8" t="s">
        <v>190</v>
      </c>
      <c r="BQ1434" s="8" t="s">
        <v>9</v>
      </c>
      <c r="BR1434" s="8" t="s">
        <v>84</v>
      </c>
      <c r="BT1434" s="8">
        <v>41.89</v>
      </c>
      <c r="BU1434" s="8">
        <v>41.891891999999999</v>
      </c>
      <c r="BV1434" s="8">
        <v>2.52</v>
      </c>
      <c r="BW1434" s="8">
        <f>BV1434*SQRT(AK1434)</f>
        <v>5.6348913032994705</v>
      </c>
      <c r="BX1434" s="8">
        <v>7.66</v>
      </c>
      <c r="BY1434" s="8">
        <v>7.6576576999999997</v>
      </c>
      <c r="BZ1434" s="8">
        <v>1.31</v>
      </c>
      <c r="CA1434" s="8">
        <f>BZ1434*SQRT(AL1434)</f>
        <v>2.9292490505247248</v>
      </c>
      <c r="CB1434" s="8">
        <v>0</v>
      </c>
      <c r="CC1434" s="8">
        <v>5</v>
      </c>
      <c r="CD1434" s="8">
        <v>-1.6990000000000001</v>
      </c>
      <c r="CE1434" s="8">
        <v>3.2899999999999999E-2</v>
      </c>
      <c r="CF1434" s="8" t="s">
        <v>1134</v>
      </c>
    </row>
    <row r="1435" spans="1:84" s="8" customFormat="1" hidden="1" x14ac:dyDescent="0.2">
      <c r="A1435"/>
      <c r="B1435" t="str">
        <f>ROW()-1&amp;"_AltersInvert"</f>
        <v>1434_AltersInvert</v>
      </c>
      <c r="C1435" t="str">
        <f>D1435&amp;"_"&amp;
SUBSTITUTE(TRIM(V1435)," ","_")&amp;"_"&amp;
TRIM(AC1435)&amp;"_"&amp;
"CO2"&amp;TEXT(AN1435,"0.00")&amp;"_"&amp;
"pH"&amp;TEXT(AR1435,"0.00")&amp;"_"&amp;
"T"&amp;TEXT(BC1435,"0.##")</f>
        <v>192_Balanus_amphitrite_LARVA_CO2416.00_pHNA_T29.8</v>
      </c>
      <c r="D1435">
        <v>192</v>
      </c>
      <c r="E1435"/>
      <c r="F1435"/>
      <c r="G1435" t="s">
        <v>43</v>
      </c>
      <c r="H1435" t="s">
        <v>911</v>
      </c>
      <c r="I1435"/>
      <c r="J1435">
        <v>2015</v>
      </c>
      <c r="K1435"/>
      <c r="L1435"/>
      <c r="M1435" t="s">
        <v>45</v>
      </c>
      <c r="N1435"/>
      <c r="O1435"/>
      <c r="P1435" t="s">
        <v>1135</v>
      </c>
      <c r="Q1435"/>
      <c r="R1435" t="s">
        <v>1127</v>
      </c>
      <c r="S1435" t="s">
        <v>1128</v>
      </c>
      <c r="T1435" t="s">
        <v>131</v>
      </c>
      <c r="U1435" t="s">
        <v>860</v>
      </c>
      <c r="V1435" t="s">
        <v>912</v>
      </c>
      <c r="W1435"/>
      <c r="X1435"/>
      <c r="Y1435"/>
      <c r="Z1435" t="s">
        <v>106</v>
      </c>
      <c r="AA1435" t="s">
        <v>107</v>
      </c>
      <c r="AB1435" t="s">
        <v>71</v>
      </c>
      <c r="AC1435" t="s">
        <v>72</v>
      </c>
      <c r="AD1435" t="s">
        <v>52</v>
      </c>
      <c r="AE1435" t="s">
        <v>53</v>
      </c>
      <c r="AF1435" t="s">
        <v>52</v>
      </c>
      <c r="AG1435" t="s">
        <v>54</v>
      </c>
      <c r="AH1435" t="s">
        <v>55</v>
      </c>
      <c r="AI1435"/>
      <c r="AJ1435"/>
      <c r="AK1435">
        <v>3</v>
      </c>
      <c r="AL1435">
        <v>3</v>
      </c>
      <c r="AM1435"/>
      <c r="AN1435">
        <v>416</v>
      </c>
      <c r="AO1435" t="s">
        <v>56</v>
      </c>
      <c r="AP1435">
        <v>31</v>
      </c>
      <c r="AQ1435" t="s">
        <v>56</v>
      </c>
      <c r="AR1435" t="s">
        <v>56</v>
      </c>
      <c r="AS1435" t="s">
        <v>56</v>
      </c>
      <c r="AT1435" t="s">
        <v>56</v>
      </c>
      <c r="AU1435">
        <v>784</v>
      </c>
      <c r="AV1435" t="s">
        <v>56</v>
      </c>
      <c r="AW1435">
        <v>19</v>
      </c>
      <c r="AX1435" t="s">
        <v>56</v>
      </c>
      <c r="AY1435" t="s">
        <v>56</v>
      </c>
      <c r="AZ1435" t="s">
        <v>56</v>
      </c>
      <c r="BA1435"/>
      <c r="BB1435">
        <f>LOG(AU1435)</f>
        <v>2.8943160626844384</v>
      </c>
      <c r="BC1435">
        <v>29.8</v>
      </c>
      <c r="BD1435" t="s">
        <v>56</v>
      </c>
      <c r="BE1435">
        <v>0.2</v>
      </c>
      <c r="BF1435">
        <v>29.8</v>
      </c>
      <c r="BG1435" t="s">
        <v>56</v>
      </c>
      <c r="BH1435">
        <v>0.2</v>
      </c>
      <c r="BI1435">
        <v>368</v>
      </c>
      <c r="BJ1435">
        <v>0</v>
      </c>
      <c r="BK1435" t="s">
        <v>914</v>
      </c>
      <c r="BL1435" t="s">
        <v>651</v>
      </c>
      <c r="BM1435" t="s">
        <v>651</v>
      </c>
      <c r="BN1435" t="s">
        <v>81</v>
      </c>
      <c r="BO1435" t="s">
        <v>82</v>
      </c>
      <c r="BP1435" t="s">
        <v>9</v>
      </c>
      <c r="BQ1435" t="s">
        <v>9</v>
      </c>
      <c r="BR1435" t="s">
        <v>84</v>
      </c>
      <c r="BS1435"/>
      <c r="BT1435">
        <v>54.85</v>
      </c>
      <c r="BU1435">
        <v>54.85</v>
      </c>
      <c r="BV1435">
        <v>3.64</v>
      </c>
      <c r="BW1435">
        <f>BV1435*SQRT(AK1435)</f>
        <v>6.3046649395507135</v>
      </c>
      <c r="BX1435">
        <v>50.65</v>
      </c>
      <c r="BY1435">
        <v>50.65</v>
      </c>
      <c r="BZ1435">
        <v>6.36</v>
      </c>
      <c r="CA1435">
        <f>BZ1435*SQRT(AL1435)</f>
        <v>11.015843136138059</v>
      </c>
      <c r="CB1435">
        <v>9</v>
      </c>
      <c r="CC1435">
        <v>3</v>
      </c>
      <c r="CD1435">
        <v>-0.08</v>
      </c>
      <c r="CE1435">
        <v>2.0199999999999999E-2</v>
      </c>
      <c r="CF1435"/>
    </row>
    <row r="1436" spans="1:84" s="8" customFormat="1" hidden="1" x14ac:dyDescent="0.2">
      <c r="A1436"/>
      <c r="B1436" t="str">
        <f>ROW()-1&amp;"_AltersInvert"</f>
        <v>1435_AltersInvert</v>
      </c>
      <c r="C1436" t="str">
        <f>D1436&amp;"_"&amp;
SUBSTITUTE(TRIM(V1436)," ","_")&amp;"_"&amp;
TRIM(AC1436)&amp;"_"&amp;
"CO2"&amp;TEXT(AN1436,"0.00")&amp;"_"&amp;
"pH"&amp;TEXT(AR1436,"0.00")&amp;"_"&amp;
"T"&amp;TEXT(BC1436,"0.##")</f>
        <v>192_Balanus_amphitrite_LARVA_CO2416.00_pHNA_T29.8</v>
      </c>
      <c r="D1436">
        <v>192</v>
      </c>
      <c r="E1436"/>
      <c r="F1436"/>
      <c r="G1436" t="s">
        <v>43</v>
      </c>
      <c r="H1436" t="s">
        <v>911</v>
      </c>
      <c r="I1436"/>
      <c r="J1436">
        <v>2015</v>
      </c>
      <c r="K1436"/>
      <c r="L1436"/>
      <c r="M1436" t="s">
        <v>45</v>
      </c>
      <c r="N1436"/>
      <c r="O1436"/>
      <c r="P1436" t="s">
        <v>1135</v>
      </c>
      <c r="Q1436"/>
      <c r="R1436" t="s">
        <v>1127</v>
      </c>
      <c r="S1436" t="s">
        <v>1128</v>
      </c>
      <c r="T1436" t="s">
        <v>131</v>
      </c>
      <c r="U1436" t="s">
        <v>860</v>
      </c>
      <c r="V1436" t="s">
        <v>912</v>
      </c>
      <c r="W1436"/>
      <c r="X1436"/>
      <c r="Y1436"/>
      <c r="Z1436" t="s">
        <v>106</v>
      </c>
      <c r="AA1436" t="s">
        <v>107</v>
      </c>
      <c r="AB1436" t="s">
        <v>71</v>
      </c>
      <c r="AC1436" t="s">
        <v>72</v>
      </c>
      <c r="AD1436" t="s">
        <v>52</v>
      </c>
      <c r="AE1436" t="s">
        <v>53</v>
      </c>
      <c r="AF1436" t="s">
        <v>54</v>
      </c>
      <c r="AG1436" t="s">
        <v>52</v>
      </c>
      <c r="AH1436" t="s">
        <v>65</v>
      </c>
      <c r="AI1436"/>
      <c r="AJ1436"/>
      <c r="AK1436">
        <v>3</v>
      </c>
      <c r="AL1436">
        <v>3</v>
      </c>
      <c r="AM1436"/>
      <c r="AN1436">
        <v>416</v>
      </c>
      <c r="AO1436" t="s">
        <v>56</v>
      </c>
      <c r="AP1436">
        <v>31</v>
      </c>
      <c r="AQ1436" t="s">
        <v>56</v>
      </c>
      <c r="AR1436" t="s">
        <v>56</v>
      </c>
      <c r="AS1436" t="s">
        <v>56</v>
      </c>
      <c r="AT1436" t="s">
        <v>56</v>
      </c>
      <c r="AU1436">
        <v>412</v>
      </c>
      <c r="AV1436" t="s">
        <v>56</v>
      </c>
      <c r="AW1436">
        <v>9</v>
      </c>
      <c r="AX1436" t="s">
        <v>56</v>
      </c>
      <c r="AY1436" t="s">
        <v>56</v>
      </c>
      <c r="AZ1436" t="s">
        <v>56</v>
      </c>
      <c r="BA1436"/>
      <c r="BB1436">
        <f>LOG(AU1436)</f>
        <v>2.6148972160331345</v>
      </c>
      <c r="BC1436">
        <v>29.8</v>
      </c>
      <c r="BD1436" t="s">
        <v>56</v>
      </c>
      <c r="BE1436">
        <v>0.2</v>
      </c>
      <c r="BF1436">
        <v>33.9</v>
      </c>
      <c r="BG1436" t="s">
        <v>56</v>
      </c>
      <c r="BH1436">
        <v>0.4</v>
      </c>
      <c r="BI1436">
        <v>-4</v>
      </c>
      <c r="BJ1436">
        <v>4.0999999999999996</v>
      </c>
      <c r="BK1436" t="s">
        <v>914</v>
      </c>
      <c r="BL1436" t="s">
        <v>651</v>
      </c>
      <c r="BM1436" t="s">
        <v>651</v>
      </c>
      <c r="BN1436" t="s">
        <v>81</v>
      </c>
      <c r="BO1436" t="s">
        <v>82</v>
      </c>
      <c r="BP1436" t="s">
        <v>9</v>
      </c>
      <c r="BQ1436" t="s">
        <v>9</v>
      </c>
      <c r="BR1436" t="s">
        <v>84</v>
      </c>
      <c r="BS1436"/>
      <c r="BT1436">
        <v>54.85</v>
      </c>
      <c r="BU1436">
        <v>54.85</v>
      </c>
      <c r="BV1436">
        <v>3.64</v>
      </c>
      <c r="BW1436">
        <f>BV1436*SQRT(AK1436)</f>
        <v>6.3046649395507135</v>
      </c>
      <c r="BX1436">
        <v>43.04</v>
      </c>
      <c r="BY1436">
        <v>43.04</v>
      </c>
      <c r="BZ1436">
        <v>5.31</v>
      </c>
      <c r="CA1436">
        <f>BZ1436*SQRT(AL1436)</f>
        <v>9.1971897881907374</v>
      </c>
      <c r="CB1436">
        <v>9</v>
      </c>
      <c r="CC1436">
        <v>3</v>
      </c>
      <c r="CD1436">
        <v>-0.24199999999999999</v>
      </c>
      <c r="CE1436">
        <v>1.9599999999999999E-2</v>
      </c>
      <c r="CF1436"/>
    </row>
    <row r="1437" spans="1:84" s="8" customFormat="1" hidden="1" x14ac:dyDescent="0.2">
      <c r="A1437"/>
      <c r="B1437" t="str">
        <f>ROW()-1&amp;"_AltersInvert"</f>
        <v>1436_AltersInvert</v>
      </c>
      <c r="C1437" t="str">
        <f>D1437&amp;"_"&amp;
SUBSTITUTE(TRIM(V1437)," ","_")&amp;"_"&amp;
TRIM(AC1437)&amp;"_"&amp;
"CO2"&amp;TEXT(AN1437,"0.00")&amp;"_"&amp;
"pH"&amp;TEXT(AR1437,"0.00")&amp;"_"&amp;
"T"&amp;TEXT(BC1437,"0.##")</f>
        <v>192_Balanus_amphitrite_LARVA_CO2416.00_pHNA_T29.8</v>
      </c>
      <c r="D1437">
        <v>192</v>
      </c>
      <c r="E1437"/>
      <c r="F1437"/>
      <c r="G1437" t="s">
        <v>43</v>
      </c>
      <c r="H1437" t="s">
        <v>911</v>
      </c>
      <c r="I1437"/>
      <c r="J1437">
        <v>2015</v>
      </c>
      <c r="K1437"/>
      <c r="L1437"/>
      <c r="M1437" t="s">
        <v>45</v>
      </c>
      <c r="N1437"/>
      <c r="O1437"/>
      <c r="P1437" t="s">
        <v>1135</v>
      </c>
      <c r="Q1437"/>
      <c r="R1437" t="s">
        <v>1127</v>
      </c>
      <c r="S1437" t="s">
        <v>1128</v>
      </c>
      <c r="T1437" t="s">
        <v>131</v>
      </c>
      <c r="U1437" t="s">
        <v>860</v>
      </c>
      <c r="V1437" t="s">
        <v>912</v>
      </c>
      <c r="W1437"/>
      <c r="X1437"/>
      <c r="Y1437"/>
      <c r="Z1437" t="s">
        <v>106</v>
      </c>
      <c r="AA1437" t="s">
        <v>107</v>
      </c>
      <c r="AB1437" t="s">
        <v>71</v>
      </c>
      <c r="AC1437" t="s">
        <v>72</v>
      </c>
      <c r="AD1437" t="s">
        <v>52</v>
      </c>
      <c r="AE1437" t="s">
        <v>53</v>
      </c>
      <c r="AF1437" t="s">
        <v>52</v>
      </c>
      <c r="AG1437" t="s">
        <v>52</v>
      </c>
      <c r="AH1437" t="s">
        <v>64</v>
      </c>
      <c r="AI1437"/>
      <c r="AJ1437"/>
      <c r="AK1437">
        <v>3</v>
      </c>
      <c r="AL1437">
        <v>3</v>
      </c>
      <c r="AM1437"/>
      <c r="AN1437">
        <v>416</v>
      </c>
      <c r="AO1437" t="s">
        <v>56</v>
      </c>
      <c r="AP1437">
        <v>31</v>
      </c>
      <c r="AQ1437" t="s">
        <v>56</v>
      </c>
      <c r="AR1437" t="s">
        <v>56</v>
      </c>
      <c r="AS1437" t="s">
        <v>56</v>
      </c>
      <c r="AT1437" t="s">
        <v>56</v>
      </c>
      <c r="AU1437">
        <v>781</v>
      </c>
      <c r="AV1437" t="s">
        <v>56</v>
      </c>
      <c r="AW1437">
        <v>22</v>
      </c>
      <c r="AX1437" t="s">
        <v>56</v>
      </c>
      <c r="AY1437" t="s">
        <v>56</v>
      </c>
      <c r="AZ1437" t="s">
        <v>56</v>
      </c>
      <c r="BA1437"/>
      <c r="BB1437">
        <f>LOG(AU1437)</f>
        <v>2.8926510338773004</v>
      </c>
      <c r="BC1437">
        <v>29.8</v>
      </c>
      <c r="BD1437" t="s">
        <v>56</v>
      </c>
      <c r="BE1437">
        <v>0.2</v>
      </c>
      <c r="BF1437">
        <v>33.9</v>
      </c>
      <c r="BG1437" t="s">
        <v>56</v>
      </c>
      <c r="BH1437">
        <v>0.4</v>
      </c>
      <c r="BI1437">
        <v>365</v>
      </c>
      <c r="BJ1437">
        <v>4.0999999999999996</v>
      </c>
      <c r="BK1437" t="s">
        <v>914</v>
      </c>
      <c r="BL1437" t="s">
        <v>651</v>
      </c>
      <c r="BM1437" t="s">
        <v>651</v>
      </c>
      <c r="BN1437" t="s">
        <v>81</v>
      </c>
      <c r="BO1437" t="s">
        <v>82</v>
      </c>
      <c r="BP1437" t="s">
        <v>9</v>
      </c>
      <c r="BQ1437" t="s">
        <v>9</v>
      </c>
      <c r="BR1437" t="s">
        <v>84</v>
      </c>
      <c r="BS1437"/>
      <c r="BT1437">
        <v>54.85</v>
      </c>
      <c r="BU1437">
        <v>54.85</v>
      </c>
      <c r="BV1437">
        <v>3.64</v>
      </c>
      <c r="BW1437">
        <f>BV1437*SQRT(AK1437)</f>
        <v>6.3046649395507135</v>
      </c>
      <c r="BX1437">
        <v>37.01</v>
      </c>
      <c r="BY1437">
        <v>37.01</v>
      </c>
      <c r="BZ1437">
        <v>5.46</v>
      </c>
      <c r="CA1437">
        <f>BZ1437*SQRT(AL1437)</f>
        <v>9.4569974093260694</v>
      </c>
      <c r="CB1437">
        <v>8</v>
      </c>
      <c r="CC1437">
        <v>3</v>
      </c>
      <c r="CD1437">
        <v>-0.39300000000000002</v>
      </c>
      <c r="CE1437">
        <v>2.6200000000000001E-2</v>
      </c>
      <c r="CF1437"/>
    </row>
    <row r="1438" spans="1:84" s="8" customFormat="1" hidden="1" x14ac:dyDescent="0.2">
      <c r="A1438"/>
      <c r="B1438" t="str">
        <f>ROW()-1&amp;"_AltersInvert"</f>
        <v>1437_AltersInvert</v>
      </c>
      <c r="C1438" t="str">
        <f>D1438&amp;"_"&amp;
SUBSTITUTE(TRIM(V1438)," ","_")&amp;"_"&amp;
TRIM(AC1438)&amp;"_"&amp;
"CO2"&amp;TEXT(AN1438,"0.00")&amp;"_"&amp;
"pH"&amp;TEXT(AR1438,"0.00")&amp;"_"&amp;
"T"&amp;TEXT(BC1438,"0.##")</f>
        <v>52_Pocillopora_damicornis_LARVA_CO2494.00_pH7.97_T27.8</v>
      </c>
      <c r="D1438">
        <v>52</v>
      </c>
      <c r="E1438"/>
      <c r="F1438"/>
      <c r="G1438" t="s">
        <v>43</v>
      </c>
      <c r="H1438" t="s">
        <v>536</v>
      </c>
      <c r="I1438"/>
      <c r="J1438">
        <v>2017</v>
      </c>
      <c r="K1438"/>
      <c r="L1438"/>
      <c r="M1438" t="s">
        <v>174</v>
      </c>
      <c r="N1438"/>
      <c r="O1438"/>
      <c r="P1438" t="s">
        <v>1135</v>
      </c>
      <c r="Q1438"/>
      <c r="R1438" t="s">
        <v>1127</v>
      </c>
      <c r="S1438" t="s">
        <v>1128</v>
      </c>
      <c r="T1438" t="s">
        <v>103</v>
      </c>
      <c r="U1438" t="s">
        <v>201</v>
      </c>
      <c r="V1438" t="s">
        <v>214</v>
      </c>
      <c r="W1438"/>
      <c r="X1438"/>
      <c r="Y1438"/>
      <c r="Z1438" t="s">
        <v>106</v>
      </c>
      <c r="AA1438" t="s">
        <v>107</v>
      </c>
      <c r="AB1438" t="s">
        <v>71</v>
      </c>
      <c r="AC1438" t="s">
        <v>72</v>
      </c>
      <c r="AD1438" t="s">
        <v>52</v>
      </c>
      <c r="AE1438" t="s">
        <v>53</v>
      </c>
      <c r="AF1438" t="s">
        <v>52</v>
      </c>
      <c r="AG1438" t="s">
        <v>54</v>
      </c>
      <c r="AH1438" t="s">
        <v>55</v>
      </c>
      <c r="AI1438"/>
      <c r="AJ1438"/>
      <c r="AK1438">
        <v>4</v>
      </c>
      <c r="AL1438">
        <v>4</v>
      </c>
      <c r="AM1438"/>
      <c r="AN1438">
        <v>494</v>
      </c>
      <c r="AO1438">
        <v>9</v>
      </c>
      <c r="AP1438" t="s">
        <v>56</v>
      </c>
      <c r="AQ1438" t="s">
        <v>109</v>
      </c>
      <c r="AR1438">
        <v>7.97</v>
      </c>
      <c r="AS1438">
        <v>0.01</v>
      </c>
      <c r="AT1438" t="s">
        <v>56</v>
      </c>
      <c r="AU1438">
        <v>923</v>
      </c>
      <c r="AV1438">
        <v>14</v>
      </c>
      <c r="AW1438" t="s">
        <v>56</v>
      </c>
      <c r="AX1438">
        <v>7.73</v>
      </c>
      <c r="AY1438">
        <v>0.01</v>
      </c>
      <c r="AZ1438" t="s">
        <v>56</v>
      </c>
      <c r="BA1438"/>
      <c r="BB1438">
        <f>LOG(AU1438)</f>
        <v>2.965201701025912</v>
      </c>
      <c r="BC1438">
        <v>27.8</v>
      </c>
      <c r="BD1438">
        <v>0.2</v>
      </c>
      <c r="BE1438" t="s">
        <v>56</v>
      </c>
      <c r="BF1438">
        <v>27.7</v>
      </c>
      <c r="BG1438">
        <v>0.2</v>
      </c>
      <c r="BH1438" t="s">
        <v>56</v>
      </c>
      <c r="BI1438">
        <v>429</v>
      </c>
      <c r="BJ1438">
        <v>-0.1</v>
      </c>
      <c r="BK1438" t="s">
        <v>539</v>
      </c>
      <c r="BL1438" t="s">
        <v>540</v>
      </c>
      <c r="BM1438" t="s">
        <v>354</v>
      </c>
      <c r="BN1438" t="s">
        <v>60</v>
      </c>
      <c r="BO1438" t="s">
        <v>541</v>
      </c>
      <c r="BP1438" t="s">
        <v>194</v>
      </c>
      <c r="BQ1438" t="s">
        <v>194</v>
      </c>
      <c r="BR1438" t="s">
        <v>63</v>
      </c>
      <c r="BS1438"/>
      <c r="BT1438">
        <v>0.83</v>
      </c>
      <c r="BU1438">
        <v>0.83491499999999996</v>
      </c>
      <c r="BV1438">
        <v>3.16</v>
      </c>
      <c r="BW1438">
        <f>BV1438*SQRT(AK1438)</f>
        <v>6.32</v>
      </c>
      <c r="BX1438">
        <v>0.83</v>
      </c>
      <c r="BY1438">
        <v>0.83491459999999995</v>
      </c>
      <c r="BZ1438">
        <v>1.31</v>
      </c>
      <c r="CA1438">
        <f>BZ1438*SQRT(AL1438)</f>
        <v>2.62</v>
      </c>
      <c r="CB1438">
        <v>1</v>
      </c>
      <c r="CC1438">
        <v>2</v>
      </c>
      <c r="CD1438">
        <v>0</v>
      </c>
      <c r="CE1438">
        <v>16.7471</v>
      </c>
      <c r="CF1438"/>
    </row>
    <row r="1439" spans="1:84" s="8" customFormat="1" hidden="1" x14ac:dyDescent="0.2">
      <c r="A1439"/>
      <c r="B1439"/>
      <c r="C1439"/>
      <c r="D1439">
        <v>52</v>
      </c>
      <c r="E1439"/>
      <c r="F1439"/>
      <c r="G1439" t="s">
        <v>43</v>
      </c>
      <c r="H1439" t="s">
        <v>536</v>
      </c>
      <c r="I1439"/>
      <c r="J1439">
        <v>2017</v>
      </c>
      <c r="K1439"/>
      <c r="L1439"/>
      <c r="M1439" t="s">
        <v>174</v>
      </c>
      <c r="N1439"/>
      <c r="O1439"/>
      <c r="P1439" t="s">
        <v>1135</v>
      </c>
      <c r="Q1439"/>
      <c r="R1439" t="s">
        <v>1127</v>
      </c>
      <c r="S1439" t="s">
        <v>1128</v>
      </c>
      <c r="T1439" t="s">
        <v>103</v>
      </c>
      <c r="U1439" t="s">
        <v>201</v>
      </c>
      <c r="V1439" t="s">
        <v>214</v>
      </c>
      <c r="W1439"/>
      <c r="X1439"/>
      <c r="Y1439"/>
      <c r="Z1439" t="s">
        <v>106</v>
      </c>
      <c r="AA1439" t="s">
        <v>107</v>
      </c>
      <c r="AB1439" t="s">
        <v>71</v>
      </c>
      <c r="AC1439" t="s">
        <v>72</v>
      </c>
      <c r="AD1439" t="s">
        <v>52</v>
      </c>
      <c r="AE1439" t="s">
        <v>53</v>
      </c>
      <c r="AF1439" t="s">
        <v>52</v>
      </c>
      <c r="AG1439" t="s">
        <v>52</v>
      </c>
      <c r="AH1439" t="s">
        <v>64</v>
      </c>
      <c r="AI1439"/>
      <c r="AJ1439"/>
      <c r="AK1439">
        <v>4</v>
      </c>
      <c r="AL1439">
        <v>4</v>
      </c>
      <c r="AM1439" t="s">
        <v>263</v>
      </c>
      <c r="AN1439">
        <v>494</v>
      </c>
      <c r="AO1439">
        <v>9</v>
      </c>
      <c r="AP1439" t="s">
        <v>56</v>
      </c>
      <c r="AQ1439" t="s">
        <v>109</v>
      </c>
      <c r="AR1439">
        <v>7.97</v>
      </c>
      <c r="AS1439">
        <v>0.01</v>
      </c>
      <c r="AT1439" t="s">
        <v>56</v>
      </c>
      <c r="AU1439">
        <v>900</v>
      </c>
      <c r="AV1439">
        <v>9</v>
      </c>
      <c r="AW1439" t="s">
        <v>56</v>
      </c>
      <c r="AX1439">
        <v>7.75</v>
      </c>
      <c r="AY1439">
        <v>0</v>
      </c>
      <c r="AZ1439" t="s">
        <v>56</v>
      </c>
      <c r="BA1439"/>
      <c r="BB1439">
        <f>LOG(AU1439)</f>
        <v>2.9542425094393248</v>
      </c>
      <c r="BC1439">
        <v>27.8</v>
      </c>
      <c r="BD1439">
        <v>0.2</v>
      </c>
      <c r="BE1439" t="s">
        <v>56</v>
      </c>
      <c r="BF1439">
        <v>30.4</v>
      </c>
      <c r="BG1439">
        <v>0</v>
      </c>
      <c r="BH1439" t="s">
        <v>56</v>
      </c>
      <c r="BI1439">
        <v>406</v>
      </c>
      <c r="BJ1439">
        <v>3</v>
      </c>
      <c r="BK1439" t="s">
        <v>539</v>
      </c>
      <c r="BL1439" t="s">
        <v>540</v>
      </c>
      <c r="BM1439" t="s">
        <v>354</v>
      </c>
      <c r="BN1439" t="s">
        <v>60</v>
      </c>
      <c r="BO1439" t="s">
        <v>541</v>
      </c>
      <c r="BP1439" t="s">
        <v>194</v>
      </c>
      <c r="BQ1439" s="8" t="s">
        <v>190</v>
      </c>
      <c r="BR1439" t="s">
        <v>63</v>
      </c>
      <c r="BS1439"/>
      <c r="BT1439">
        <v>0.83</v>
      </c>
      <c r="BU1439">
        <v>4.4478179999999998</v>
      </c>
      <c r="BV1439">
        <v>3.16</v>
      </c>
      <c r="BW1439">
        <f>BV1439*SQRT(AK1439)</f>
        <v>6.32</v>
      </c>
      <c r="BX1439">
        <v>-1.81</v>
      </c>
      <c r="BY1439">
        <v>1.8064515999999999</v>
      </c>
      <c r="BZ1439">
        <v>3.86</v>
      </c>
      <c r="CA1439">
        <f>BZ1439*SQRT(AL1439)</f>
        <v>7.72</v>
      </c>
      <c r="CB1439">
        <v>1</v>
      </c>
      <c r="CC1439">
        <v>2</v>
      </c>
      <c r="CD1439"/>
      <c r="CE1439">
        <v>5.0598000000000001</v>
      </c>
    </row>
    <row r="1440" spans="1:84" hidden="1" x14ac:dyDescent="0.2">
      <c r="D1440">
        <v>105</v>
      </c>
      <c r="G1440" t="s">
        <v>43</v>
      </c>
      <c r="H1440" t="s">
        <v>801</v>
      </c>
      <c r="J1440">
        <v>2015</v>
      </c>
      <c r="M1440" t="s">
        <v>802</v>
      </c>
      <c r="T1440" t="s">
        <v>46</v>
      </c>
      <c r="U1440" t="s">
        <v>631</v>
      </c>
      <c r="V1440" t="s">
        <v>803</v>
      </c>
      <c r="Z1440" t="s">
        <v>49</v>
      </c>
      <c r="AA1440" t="s">
        <v>49</v>
      </c>
      <c r="AB1440" t="s">
        <v>50</v>
      </c>
      <c r="AC1440" t="s">
        <v>117</v>
      </c>
      <c r="AD1440" t="s">
        <v>52</v>
      </c>
      <c r="AE1440" t="s">
        <v>53</v>
      </c>
      <c r="AF1440" t="s">
        <v>52</v>
      </c>
      <c r="AG1440" t="s">
        <v>52</v>
      </c>
      <c r="AH1440" t="s">
        <v>64</v>
      </c>
      <c r="AK1440">
        <v>11</v>
      </c>
      <c r="AL1440">
        <v>11</v>
      </c>
      <c r="AN1440">
        <v>400</v>
      </c>
      <c r="AO1440" t="s">
        <v>56</v>
      </c>
      <c r="AP1440" t="s">
        <v>56</v>
      </c>
      <c r="AQ1440" t="s">
        <v>56</v>
      </c>
      <c r="AR1440">
        <v>8.1</v>
      </c>
      <c r="AS1440">
        <v>0</v>
      </c>
      <c r="AT1440" t="s">
        <v>56</v>
      </c>
      <c r="AU1440">
        <v>760</v>
      </c>
      <c r="AV1440" t="s">
        <v>56</v>
      </c>
      <c r="AW1440" t="s">
        <v>56</v>
      </c>
      <c r="AX1440">
        <v>7.94</v>
      </c>
      <c r="AY1440">
        <v>0.01</v>
      </c>
      <c r="AZ1440" t="s">
        <v>56</v>
      </c>
      <c r="BB1440">
        <f>LOG(AU1440)</f>
        <v>2.8808135922807914</v>
      </c>
      <c r="BC1440">
        <v>20</v>
      </c>
      <c r="BD1440" t="s">
        <v>56</v>
      </c>
      <c r="BE1440" t="s">
        <v>56</v>
      </c>
      <c r="BF1440">
        <v>24</v>
      </c>
      <c r="BG1440" t="s">
        <v>56</v>
      </c>
      <c r="BH1440" t="s">
        <v>56</v>
      </c>
      <c r="BI1440">
        <v>360</v>
      </c>
      <c r="BJ1440">
        <v>4</v>
      </c>
      <c r="BK1440" t="s">
        <v>56</v>
      </c>
      <c r="BL1440" t="s">
        <v>804</v>
      </c>
      <c r="BM1440" t="s">
        <v>262</v>
      </c>
      <c r="BN1440" t="s">
        <v>81</v>
      </c>
      <c r="BO1440" t="s">
        <v>805</v>
      </c>
      <c r="BP1440" t="s">
        <v>92</v>
      </c>
      <c r="BQ1440" s="8" t="s">
        <v>83</v>
      </c>
      <c r="BR1440" t="s">
        <v>63</v>
      </c>
      <c r="BT1440">
        <v>0.11</v>
      </c>
      <c r="BU1440">
        <v>0.11290600000000001</v>
      </c>
      <c r="BV1440">
        <v>0.01</v>
      </c>
      <c r="BW1440">
        <f>BV1440*SQRT(AK1440)</f>
        <v>3.3166247903553998E-2</v>
      </c>
      <c r="BX1440">
        <v>0.03</v>
      </c>
      <c r="BY1440">
        <v>2.8981099999999999E-2</v>
      </c>
      <c r="BZ1440">
        <v>0.01</v>
      </c>
      <c r="CA1440">
        <f>BZ1440*SQRT(AL1440)</f>
        <v>3.3166247903553998E-2</v>
      </c>
      <c r="CB1440">
        <v>70</v>
      </c>
      <c r="CC1440">
        <v>4</v>
      </c>
      <c r="CD1440">
        <v>-1.36</v>
      </c>
      <c r="CE1440">
        <v>0.1875</v>
      </c>
    </row>
    <row r="1441" spans="4:83" hidden="1" x14ac:dyDescent="0.2">
      <c r="D1441">
        <v>105</v>
      </c>
      <c r="G1441" t="s">
        <v>43</v>
      </c>
      <c r="H1441" t="s">
        <v>801</v>
      </c>
      <c r="J1441">
        <v>2015</v>
      </c>
      <c r="M1441" t="s">
        <v>802</v>
      </c>
      <c r="T1441" t="s">
        <v>68</v>
      </c>
      <c r="U1441" t="s">
        <v>266</v>
      </c>
      <c r="V1441" t="s">
        <v>437</v>
      </c>
      <c r="Z1441" t="s">
        <v>49</v>
      </c>
      <c r="AA1441" t="s">
        <v>49</v>
      </c>
      <c r="AB1441" t="s">
        <v>50</v>
      </c>
      <c r="AC1441" t="s">
        <v>117</v>
      </c>
      <c r="AD1441" t="s">
        <v>52</v>
      </c>
      <c r="AE1441" t="s">
        <v>53</v>
      </c>
      <c r="AF1441" t="s">
        <v>54</v>
      </c>
      <c r="AG1441" t="s">
        <v>52</v>
      </c>
      <c r="AH1441" t="s">
        <v>65</v>
      </c>
      <c r="AK1441">
        <v>10</v>
      </c>
      <c r="AL1441">
        <v>10</v>
      </c>
      <c r="AN1441">
        <v>400</v>
      </c>
      <c r="AO1441" t="s">
        <v>56</v>
      </c>
      <c r="AP1441" t="s">
        <v>56</v>
      </c>
      <c r="AQ1441" t="s">
        <v>56</v>
      </c>
      <c r="AR1441">
        <v>8.1</v>
      </c>
      <c r="AS1441">
        <v>0</v>
      </c>
      <c r="AT1441" t="s">
        <v>56</v>
      </c>
      <c r="AU1441">
        <v>400</v>
      </c>
      <c r="AV1441" t="s">
        <v>56</v>
      </c>
      <c r="AW1441" t="s">
        <v>56</v>
      </c>
      <c r="AX1441">
        <v>8.1</v>
      </c>
      <c r="AY1441">
        <v>0</v>
      </c>
      <c r="AZ1441" t="s">
        <v>56</v>
      </c>
      <c r="BB1441">
        <f>LOG(AU1441)</f>
        <v>2.6020599913279625</v>
      </c>
      <c r="BC1441">
        <v>20</v>
      </c>
      <c r="BD1441" t="s">
        <v>56</v>
      </c>
      <c r="BE1441" t="s">
        <v>56</v>
      </c>
      <c r="BF1441">
        <v>24</v>
      </c>
      <c r="BG1441" t="s">
        <v>56</v>
      </c>
      <c r="BH1441" t="s">
        <v>56</v>
      </c>
      <c r="BI1441">
        <v>0</v>
      </c>
      <c r="BJ1441">
        <v>4</v>
      </c>
      <c r="BK1441" t="s">
        <v>56</v>
      </c>
      <c r="BL1441" t="s">
        <v>806</v>
      </c>
      <c r="BM1441" t="s">
        <v>806</v>
      </c>
      <c r="BN1441" t="s">
        <v>60</v>
      </c>
      <c r="BO1441" t="s">
        <v>56</v>
      </c>
      <c r="BP1441" t="s">
        <v>234</v>
      </c>
      <c r="BQ1441" s="8" t="s">
        <v>190</v>
      </c>
      <c r="BR1441" t="s">
        <v>63</v>
      </c>
      <c r="BT1441">
        <v>6.47</v>
      </c>
      <c r="BU1441">
        <v>6.4661650000000002</v>
      </c>
      <c r="BV1441">
        <v>1</v>
      </c>
      <c r="BW1441">
        <f>BV1441*SQRT(AK1441)</f>
        <v>3.1622776601683795</v>
      </c>
      <c r="BX1441">
        <v>5.01</v>
      </c>
      <c r="BY1441">
        <v>5.0125313</v>
      </c>
      <c r="BZ1441">
        <v>1.7</v>
      </c>
      <c r="CA1441">
        <f>BZ1441*SQRT(AL1441)</f>
        <v>5.3758720222862451</v>
      </c>
      <c r="CB1441">
        <v>70</v>
      </c>
      <c r="CC1441">
        <v>4</v>
      </c>
      <c r="CD1441">
        <v>-0.255</v>
      </c>
      <c r="CE1441">
        <v>0.1396</v>
      </c>
    </row>
    <row r="1442" spans="4:83" hidden="1" x14ac:dyDescent="0.2">
      <c r="D1442">
        <v>105</v>
      </c>
      <c r="G1442" t="s">
        <v>43</v>
      </c>
      <c r="H1442" t="s">
        <v>801</v>
      </c>
      <c r="J1442">
        <v>2015</v>
      </c>
      <c r="M1442" t="s">
        <v>802</v>
      </c>
      <c r="T1442" t="s">
        <v>46</v>
      </c>
      <c r="U1442" t="s">
        <v>631</v>
      </c>
      <c r="V1442" t="s">
        <v>803</v>
      </c>
      <c r="Z1442" t="s">
        <v>49</v>
      </c>
      <c r="AA1442" t="s">
        <v>49</v>
      </c>
      <c r="AB1442" t="s">
        <v>50</v>
      </c>
      <c r="AC1442" t="s">
        <v>117</v>
      </c>
      <c r="AD1442" t="s">
        <v>52</v>
      </c>
      <c r="AE1442" t="s">
        <v>53</v>
      </c>
      <c r="AF1442" t="s">
        <v>52</v>
      </c>
      <c r="AG1442" t="s">
        <v>54</v>
      </c>
      <c r="AH1442" t="s">
        <v>55</v>
      </c>
      <c r="AK1442">
        <v>11</v>
      </c>
      <c r="AL1442">
        <v>11</v>
      </c>
      <c r="AN1442">
        <v>400</v>
      </c>
      <c r="AO1442" t="s">
        <v>56</v>
      </c>
      <c r="AP1442" t="s">
        <v>56</v>
      </c>
      <c r="AQ1442" t="s">
        <v>56</v>
      </c>
      <c r="AR1442">
        <v>8.1</v>
      </c>
      <c r="AS1442">
        <v>0</v>
      </c>
      <c r="AT1442" t="s">
        <v>56</v>
      </c>
      <c r="AU1442">
        <v>760</v>
      </c>
      <c r="AV1442" t="s">
        <v>56</v>
      </c>
      <c r="AW1442" t="s">
        <v>56</v>
      </c>
      <c r="AX1442">
        <v>7.94</v>
      </c>
      <c r="AY1442">
        <v>0.01</v>
      </c>
      <c r="AZ1442" t="s">
        <v>56</v>
      </c>
      <c r="BB1442">
        <f>LOG(AU1442)</f>
        <v>2.8808135922807914</v>
      </c>
      <c r="BC1442">
        <v>20</v>
      </c>
      <c r="BD1442" t="s">
        <v>56</v>
      </c>
      <c r="BE1442" t="s">
        <v>56</v>
      </c>
      <c r="BF1442">
        <v>20</v>
      </c>
      <c r="BG1442" t="s">
        <v>56</v>
      </c>
      <c r="BH1442" t="s">
        <v>56</v>
      </c>
      <c r="BI1442">
        <v>360</v>
      </c>
      <c r="BJ1442">
        <v>0</v>
      </c>
      <c r="BK1442" t="s">
        <v>56</v>
      </c>
      <c r="BL1442" t="s">
        <v>804</v>
      </c>
      <c r="BM1442" t="s">
        <v>262</v>
      </c>
      <c r="BN1442" t="s">
        <v>81</v>
      </c>
      <c r="BO1442" t="s">
        <v>805</v>
      </c>
      <c r="BP1442" t="s">
        <v>92</v>
      </c>
      <c r="BQ1442" s="8" t="s">
        <v>190</v>
      </c>
      <c r="BR1442" t="s">
        <v>63</v>
      </c>
      <c r="BT1442">
        <v>0.11</v>
      </c>
      <c r="BU1442">
        <v>0.11290600000000001</v>
      </c>
      <c r="BV1442">
        <v>0.01</v>
      </c>
      <c r="BW1442">
        <f>BV1442*SQRT(AK1442)</f>
        <v>3.3166247903553998E-2</v>
      </c>
      <c r="BX1442">
        <v>0.1</v>
      </c>
      <c r="BY1442">
        <v>9.5698099999999994E-2</v>
      </c>
      <c r="BZ1442">
        <v>0.02</v>
      </c>
      <c r="CA1442">
        <f>BZ1442*SQRT(AL1442)</f>
        <v>6.6332495807107997E-2</v>
      </c>
      <c r="CB1442">
        <v>70</v>
      </c>
      <c r="CC1442">
        <v>4</v>
      </c>
      <c r="CD1442">
        <v>-0.16500000000000001</v>
      </c>
      <c r="CE1442">
        <v>4.8500000000000001E-2</v>
      </c>
    </row>
    <row r="1443" spans="4:83" hidden="1" x14ac:dyDescent="0.2">
      <c r="D1443">
        <v>105</v>
      </c>
      <c r="G1443" t="s">
        <v>43</v>
      </c>
      <c r="H1443" t="s">
        <v>801</v>
      </c>
      <c r="J1443">
        <v>2015</v>
      </c>
      <c r="M1443" t="s">
        <v>802</v>
      </c>
      <c r="T1443" t="s">
        <v>68</v>
      </c>
      <c r="U1443" t="s">
        <v>266</v>
      </c>
      <c r="V1443" t="s">
        <v>437</v>
      </c>
      <c r="Z1443" t="s">
        <v>49</v>
      </c>
      <c r="AA1443" t="s">
        <v>49</v>
      </c>
      <c r="AB1443" t="s">
        <v>50</v>
      </c>
      <c r="AC1443" t="s">
        <v>117</v>
      </c>
      <c r="AD1443" t="s">
        <v>52</v>
      </c>
      <c r="AE1443" t="s">
        <v>53</v>
      </c>
      <c r="AF1443" t="s">
        <v>52</v>
      </c>
      <c r="AG1443" t="s">
        <v>54</v>
      </c>
      <c r="AH1443" t="s">
        <v>55</v>
      </c>
      <c r="AK1443">
        <v>10</v>
      </c>
      <c r="AL1443">
        <v>10</v>
      </c>
      <c r="AN1443">
        <v>400</v>
      </c>
      <c r="AO1443" t="s">
        <v>56</v>
      </c>
      <c r="AP1443" t="s">
        <v>56</v>
      </c>
      <c r="AQ1443" t="s">
        <v>56</v>
      </c>
      <c r="AR1443">
        <v>8.1</v>
      </c>
      <c r="AS1443">
        <v>0</v>
      </c>
      <c r="AT1443" t="s">
        <v>56</v>
      </c>
      <c r="AU1443">
        <v>760</v>
      </c>
      <c r="AV1443" t="s">
        <v>56</v>
      </c>
      <c r="AW1443" t="s">
        <v>56</v>
      </c>
      <c r="AX1443">
        <v>7.94</v>
      </c>
      <c r="AY1443">
        <v>0.01</v>
      </c>
      <c r="AZ1443" t="s">
        <v>56</v>
      </c>
      <c r="BB1443">
        <f>LOG(AU1443)</f>
        <v>2.8808135922807914</v>
      </c>
      <c r="BC1443">
        <v>20</v>
      </c>
      <c r="BD1443" t="s">
        <v>56</v>
      </c>
      <c r="BE1443" t="s">
        <v>56</v>
      </c>
      <c r="BF1443">
        <v>20</v>
      </c>
      <c r="BG1443" t="s">
        <v>56</v>
      </c>
      <c r="BH1443" t="s">
        <v>56</v>
      </c>
      <c r="BI1443">
        <v>360</v>
      </c>
      <c r="BJ1443">
        <v>0</v>
      </c>
      <c r="BK1443" t="s">
        <v>56</v>
      </c>
      <c r="BL1443" t="s">
        <v>806</v>
      </c>
      <c r="BM1443" t="s">
        <v>806</v>
      </c>
      <c r="BN1443" t="s">
        <v>60</v>
      </c>
      <c r="BO1443" t="s">
        <v>56</v>
      </c>
      <c r="BP1443" t="s">
        <v>234</v>
      </c>
      <c r="BQ1443" s="8" t="s">
        <v>83</v>
      </c>
      <c r="BR1443" t="s">
        <v>63</v>
      </c>
      <c r="BT1443">
        <v>6.47</v>
      </c>
      <c r="BU1443">
        <v>6.4661650000000002</v>
      </c>
      <c r="BV1443">
        <v>1</v>
      </c>
      <c r="BW1443">
        <f>BV1443*SQRT(AK1443)</f>
        <v>3.1622776601683795</v>
      </c>
      <c r="BX1443">
        <v>8.02</v>
      </c>
      <c r="BY1443">
        <v>8.0200501000000006</v>
      </c>
      <c r="BZ1443">
        <v>2.2599999999999998</v>
      </c>
      <c r="CA1443">
        <f>BZ1443*SQRT(AL1443)</f>
        <v>7.1467475119805375</v>
      </c>
      <c r="CB1443">
        <v>70</v>
      </c>
      <c r="CC1443">
        <v>4</v>
      </c>
      <c r="CD1443">
        <v>0.215</v>
      </c>
      <c r="CE1443">
        <v>0.1031</v>
      </c>
    </row>
    <row r="1444" spans="4:83" hidden="1" x14ac:dyDescent="0.2">
      <c r="D1444">
        <v>105</v>
      </c>
      <c r="G1444" t="s">
        <v>43</v>
      </c>
      <c r="H1444" t="s">
        <v>801</v>
      </c>
      <c r="J1444">
        <v>2015</v>
      </c>
      <c r="M1444" t="s">
        <v>802</v>
      </c>
      <c r="T1444" t="s">
        <v>46</v>
      </c>
      <c r="U1444" t="s">
        <v>631</v>
      </c>
      <c r="V1444" t="s">
        <v>803</v>
      </c>
      <c r="Z1444" t="s">
        <v>49</v>
      </c>
      <c r="AA1444" t="s">
        <v>49</v>
      </c>
      <c r="AB1444" t="s">
        <v>50</v>
      </c>
      <c r="AC1444" t="s">
        <v>117</v>
      </c>
      <c r="AD1444" t="s">
        <v>52</v>
      </c>
      <c r="AE1444" t="s">
        <v>53</v>
      </c>
      <c r="AF1444" t="s">
        <v>54</v>
      </c>
      <c r="AG1444" t="s">
        <v>52</v>
      </c>
      <c r="AH1444" t="s">
        <v>65</v>
      </c>
      <c r="AK1444">
        <v>11</v>
      </c>
      <c r="AL1444">
        <v>11</v>
      </c>
      <c r="AN1444">
        <v>400</v>
      </c>
      <c r="AO1444" t="s">
        <v>56</v>
      </c>
      <c r="AP1444" t="s">
        <v>56</v>
      </c>
      <c r="AQ1444" t="s">
        <v>56</v>
      </c>
      <c r="AR1444">
        <v>8.1</v>
      </c>
      <c r="AS1444">
        <v>0</v>
      </c>
      <c r="AT1444" t="s">
        <v>56</v>
      </c>
      <c r="AU1444">
        <v>400</v>
      </c>
      <c r="AV1444" t="s">
        <v>56</v>
      </c>
      <c r="AW1444" t="s">
        <v>56</v>
      </c>
      <c r="AX1444">
        <v>8.1</v>
      </c>
      <c r="AY1444">
        <v>0</v>
      </c>
      <c r="AZ1444" t="s">
        <v>56</v>
      </c>
      <c r="BB1444">
        <f>LOG(AU1444)</f>
        <v>2.6020599913279625</v>
      </c>
      <c r="BC1444">
        <v>20</v>
      </c>
      <c r="BD1444" t="s">
        <v>56</v>
      </c>
      <c r="BE1444" t="s">
        <v>56</v>
      </c>
      <c r="BF1444">
        <v>24</v>
      </c>
      <c r="BG1444" t="s">
        <v>56</v>
      </c>
      <c r="BH1444" t="s">
        <v>56</v>
      </c>
      <c r="BI1444">
        <v>0</v>
      </c>
      <c r="BJ1444">
        <v>4</v>
      </c>
      <c r="BK1444" t="s">
        <v>56</v>
      </c>
      <c r="BL1444" t="s">
        <v>804</v>
      </c>
      <c r="BM1444" t="s">
        <v>262</v>
      </c>
      <c r="BN1444" t="s">
        <v>81</v>
      </c>
      <c r="BO1444" t="s">
        <v>805</v>
      </c>
      <c r="BP1444" t="s">
        <v>92</v>
      </c>
      <c r="BQ1444" s="8" t="s">
        <v>190</v>
      </c>
      <c r="BR1444" t="s">
        <v>63</v>
      </c>
      <c r="BT1444">
        <v>0.11</v>
      </c>
      <c r="BU1444">
        <v>0.11290600000000001</v>
      </c>
      <c r="BV1444">
        <v>0.01</v>
      </c>
      <c r="BW1444">
        <f>BV1444*SQRT(AK1444)</f>
        <v>3.3166247903553998E-2</v>
      </c>
      <c r="BX1444">
        <v>0.14000000000000001</v>
      </c>
      <c r="BY1444">
        <v>0.1433962</v>
      </c>
      <c r="BZ1444">
        <v>0.01</v>
      </c>
      <c r="CA1444">
        <f>BZ1444*SQRT(AL1444)</f>
        <v>3.3166247903553998E-2</v>
      </c>
      <c r="CB1444">
        <v>70</v>
      </c>
      <c r="CC1444">
        <v>4</v>
      </c>
      <c r="CD1444">
        <v>0.23899999999999999</v>
      </c>
      <c r="CE1444">
        <v>2.2800000000000001E-2</v>
      </c>
    </row>
    <row r="1445" spans="4:83" hidden="1" x14ac:dyDescent="0.2">
      <c r="D1445">
        <v>105</v>
      </c>
      <c r="G1445" t="s">
        <v>43</v>
      </c>
      <c r="H1445" t="s">
        <v>801</v>
      </c>
      <c r="J1445">
        <v>2015</v>
      </c>
      <c r="M1445" t="s">
        <v>802</v>
      </c>
      <c r="T1445" t="s">
        <v>68</v>
      </c>
      <c r="U1445" t="s">
        <v>266</v>
      </c>
      <c r="V1445" t="s">
        <v>437</v>
      </c>
      <c r="Z1445" t="s">
        <v>49</v>
      </c>
      <c r="AA1445" t="s">
        <v>49</v>
      </c>
      <c r="AB1445" t="s">
        <v>50</v>
      </c>
      <c r="AC1445" t="s">
        <v>117</v>
      </c>
      <c r="AD1445" t="s">
        <v>52</v>
      </c>
      <c r="AE1445" t="s">
        <v>53</v>
      </c>
      <c r="AF1445" t="s">
        <v>52</v>
      </c>
      <c r="AG1445" t="s">
        <v>52</v>
      </c>
      <c r="AH1445" t="s">
        <v>64</v>
      </c>
      <c r="AK1445">
        <v>10</v>
      </c>
      <c r="AL1445">
        <v>10</v>
      </c>
      <c r="AN1445">
        <v>400</v>
      </c>
      <c r="AO1445" t="s">
        <v>56</v>
      </c>
      <c r="AP1445" t="s">
        <v>56</v>
      </c>
      <c r="AQ1445" t="s">
        <v>56</v>
      </c>
      <c r="AR1445">
        <v>8.1</v>
      </c>
      <c r="AS1445">
        <v>0</v>
      </c>
      <c r="AT1445" t="s">
        <v>56</v>
      </c>
      <c r="AU1445">
        <v>760</v>
      </c>
      <c r="AV1445" t="s">
        <v>56</v>
      </c>
      <c r="AW1445" t="s">
        <v>56</v>
      </c>
      <c r="AX1445">
        <v>7.94</v>
      </c>
      <c r="AY1445">
        <v>0.01</v>
      </c>
      <c r="AZ1445" t="s">
        <v>56</v>
      </c>
      <c r="BB1445">
        <f>LOG(AU1445)</f>
        <v>2.8808135922807914</v>
      </c>
      <c r="BC1445">
        <v>20</v>
      </c>
      <c r="BD1445" t="s">
        <v>56</v>
      </c>
      <c r="BE1445" t="s">
        <v>56</v>
      </c>
      <c r="BF1445">
        <v>24</v>
      </c>
      <c r="BG1445" t="s">
        <v>56</v>
      </c>
      <c r="BH1445" t="s">
        <v>56</v>
      </c>
      <c r="BI1445">
        <v>360</v>
      </c>
      <c r="BJ1445">
        <v>4</v>
      </c>
      <c r="BK1445" t="s">
        <v>56</v>
      </c>
      <c r="BL1445" t="s">
        <v>806</v>
      </c>
      <c r="BM1445" t="s">
        <v>806</v>
      </c>
      <c r="BN1445" t="s">
        <v>60</v>
      </c>
      <c r="BO1445" t="s">
        <v>56</v>
      </c>
      <c r="BP1445" t="s">
        <v>234</v>
      </c>
      <c r="BQ1445" s="8" t="s">
        <v>9</v>
      </c>
      <c r="BR1445" t="s">
        <v>63</v>
      </c>
      <c r="BT1445">
        <v>6.47</v>
      </c>
      <c r="BU1445">
        <v>6.4661650000000002</v>
      </c>
      <c r="BV1445">
        <v>1</v>
      </c>
      <c r="BW1445">
        <f>BV1445*SQRT(AK1445)</f>
        <v>3.1622776601683795</v>
      </c>
      <c r="BX1445">
        <v>17.489999999999998</v>
      </c>
      <c r="BY1445">
        <v>17.4937343</v>
      </c>
      <c r="BZ1445">
        <v>6.32</v>
      </c>
      <c r="CA1445">
        <f>BZ1445*SQRT(AL1445)</f>
        <v>19.985594812264161</v>
      </c>
      <c r="CB1445">
        <v>70</v>
      </c>
      <c r="CC1445">
        <v>4</v>
      </c>
      <c r="CD1445">
        <v>0.995</v>
      </c>
      <c r="CE1445">
        <v>0.15440000000000001</v>
      </c>
    </row>
    <row r="1446" spans="4:83" hidden="1" x14ac:dyDescent="0.2">
      <c r="D1446">
        <v>106</v>
      </c>
      <c r="G1446" t="s">
        <v>43</v>
      </c>
      <c r="H1446" t="s">
        <v>807</v>
      </c>
      <c r="J1446">
        <v>2016</v>
      </c>
      <c r="M1446" t="s">
        <v>808</v>
      </c>
      <c r="T1446" t="s">
        <v>136</v>
      </c>
      <c r="U1446" t="s">
        <v>809</v>
      </c>
      <c r="V1446" t="s">
        <v>810</v>
      </c>
      <c r="Z1446" t="s">
        <v>106</v>
      </c>
      <c r="AA1446" t="s">
        <v>107</v>
      </c>
      <c r="AB1446" t="s">
        <v>50</v>
      </c>
      <c r="AC1446" t="s">
        <v>51</v>
      </c>
      <c r="AD1446" t="s">
        <v>52</v>
      </c>
      <c r="AE1446" t="s">
        <v>53</v>
      </c>
      <c r="AF1446" t="s">
        <v>52</v>
      </c>
      <c r="AG1446" t="s">
        <v>54</v>
      </c>
      <c r="AH1446" t="s">
        <v>55</v>
      </c>
      <c r="AK1446">
        <v>4</v>
      </c>
      <c r="AL1446">
        <v>4</v>
      </c>
      <c r="AN1446">
        <v>516</v>
      </c>
      <c r="AO1446" t="s">
        <v>56</v>
      </c>
      <c r="AP1446">
        <v>44</v>
      </c>
      <c r="AQ1446" t="s">
        <v>57</v>
      </c>
      <c r="AR1446">
        <v>8.0500000000000007</v>
      </c>
      <c r="AS1446" t="s">
        <v>56</v>
      </c>
      <c r="AT1446">
        <v>0.03</v>
      </c>
      <c r="AU1446">
        <v>985</v>
      </c>
      <c r="AV1446" t="s">
        <v>56</v>
      </c>
      <c r="AW1446">
        <v>14</v>
      </c>
      <c r="AX1446">
        <v>7.8</v>
      </c>
      <c r="AY1446" t="s">
        <v>56</v>
      </c>
      <c r="AZ1446">
        <v>0.01</v>
      </c>
      <c r="BB1446">
        <f>LOG(AU1446)</f>
        <v>2.9934362304976116</v>
      </c>
      <c r="BC1446">
        <v>22.3</v>
      </c>
      <c r="BD1446" t="s">
        <v>56</v>
      </c>
      <c r="BE1446">
        <v>0.1</v>
      </c>
      <c r="BF1446">
        <v>22.4</v>
      </c>
      <c r="BG1446" t="s">
        <v>56</v>
      </c>
      <c r="BH1446">
        <v>0.2</v>
      </c>
      <c r="BI1446">
        <v>469</v>
      </c>
      <c r="BJ1446">
        <v>0.1</v>
      </c>
      <c r="BK1446" t="s">
        <v>56</v>
      </c>
      <c r="BL1446" t="s">
        <v>98</v>
      </c>
      <c r="BM1446" t="s">
        <v>98</v>
      </c>
      <c r="BN1446" t="s">
        <v>81</v>
      </c>
      <c r="BO1446" t="s">
        <v>439</v>
      </c>
      <c r="BP1446" t="s">
        <v>100</v>
      </c>
      <c r="BQ1446" s="8" t="s">
        <v>83</v>
      </c>
      <c r="BR1446" t="s">
        <v>63</v>
      </c>
      <c r="BT1446">
        <v>3.67</v>
      </c>
      <c r="BU1446">
        <v>3.6678700000000002</v>
      </c>
      <c r="BV1446">
        <v>0.25</v>
      </c>
      <c r="BW1446">
        <f>BV1446*SQRT(AK1446)</f>
        <v>0.5</v>
      </c>
      <c r="BX1446">
        <v>2.3199999999999998</v>
      </c>
      <c r="BY1446">
        <v>2.3249097000000001</v>
      </c>
      <c r="BZ1446">
        <v>7.0000000000000007E-2</v>
      </c>
      <c r="CA1446">
        <f>BZ1446*SQRT(AL1446)</f>
        <v>0.14000000000000001</v>
      </c>
      <c r="CB1446">
        <v>18</v>
      </c>
      <c r="CC1446">
        <v>4</v>
      </c>
      <c r="CD1446">
        <v>-0.45600000000000002</v>
      </c>
      <c r="CE1446">
        <v>5.7000000000000002E-3</v>
      </c>
    </row>
    <row r="1447" spans="4:83" hidden="1" x14ac:dyDescent="0.2">
      <c r="D1447">
        <v>106</v>
      </c>
      <c r="G1447" t="s">
        <v>43</v>
      </c>
      <c r="H1447" t="s">
        <v>807</v>
      </c>
      <c r="J1447">
        <v>2016</v>
      </c>
      <c r="M1447" t="s">
        <v>808</v>
      </c>
      <c r="T1447" t="s">
        <v>136</v>
      </c>
      <c r="U1447" t="s">
        <v>809</v>
      </c>
      <c r="V1447" t="s">
        <v>810</v>
      </c>
      <c r="Z1447" t="s">
        <v>106</v>
      </c>
      <c r="AA1447" t="s">
        <v>107</v>
      </c>
      <c r="AB1447" t="s">
        <v>50</v>
      </c>
      <c r="AC1447" t="s">
        <v>51</v>
      </c>
      <c r="AD1447" t="s">
        <v>52</v>
      </c>
      <c r="AE1447" t="s">
        <v>53</v>
      </c>
      <c r="AF1447" t="s">
        <v>52</v>
      </c>
      <c r="AG1447" t="s">
        <v>54</v>
      </c>
      <c r="AH1447" t="s">
        <v>55</v>
      </c>
      <c r="AK1447">
        <v>4</v>
      </c>
      <c r="AL1447">
        <v>4</v>
      </c>
      <c r="AN1447">
        <v>516</v>
      </c>
      <c r="AO1447" t="s">
        <v>56</v>
      </c>
      <c r="AP1447">
        <v>44</v>
      </c>
      <c r="AQ1447" t="s">
        <v>57</v>
      </c>
      <c r="AR1447">
        <v>8.0500000000000007</v>
      </c>
      <c r="AS1447" t="s">
        <v>56</v>
      </c>
      <c r="AT1447">
        <v>0.03</v>
      </c>
      <c r="AU1447">
        <v>985</v>
      </c>
      <c r="AV1447" t="s">
        <v>56</v>
      </c>
      <c r="AW1447">
        <v>14</v>
      </c>
      <c r="AX1447">
        <v>7.8</v>
      </c>
      <c r="AY1447" t="s">
        <v>56</v>
      </c>
      <c r="AZ1447">
        <v>0.01</v>
      </c>
      <c r="BB1447">
        <f>LOG(AU1447)</f>
        <v>2.9934362304976116</v>
      </c>
      <c r="BC1447">
        <v>22.3</v>
      </c>
      <c r="BD1447" t="s">
        <v>56</v>
      </c>
      <c r="BE1447">
        <v>0.1</v>
      </c>
      <c r="BF1447">
        <v>22.4</v>
      </c>
      <c r="BG1447" t="s">
        <v>56</v>
      </c>
      <c r="BH1447">
        <v>0.2</v>
      </c>
      <c r="BI1447">
        <v>469</v>
      </c>
      <c r="BJ1447">
        <v>0.1</v>
      </c>
      <c r="BK1447" t="s">
        <v>56</v>
      </c>
      <c r="BL1447" t="s">
        <v>811</v>
      </c>
      <c r="BM1447" t="s">
        <v>811</v>
      </c>
      <c r="BN1447" t="s">
        <v>60</v>
      </c>
      <c r="BO1447" t="s">
        <v>812</v>
      </c>
      <c r="BP1447" t="s">
        <v>92</v>
      </c>
      <c r="BQ1447" s="8" t="s">
        <v>190</v>
      </c>
      <c r="BR1447" t="s">
        <v>63</v>
      </c>
      <c r="BT1447">
        <v>0.05</v>
      </c>
      <c r="BU1447">
        <v>4.6899000000000003E-2</v>
      </c>
      <c r="BV1447">
        <v>0.01</v>
      </c>
      <c r="BW1447">
        <f>BV1447*SQRT(AK1447)</f>
        <v>0.02</v>
      </c>
      <c r="BX1447">
        <v>0.03</v>
      </c>
      <c r="BY1447">
        <v>3.2945700000000001E-2</v>
      </c>
      <c r="BZ1447">
        <v>0</v>
      </c>
      <c r="CA1447">
        <f>BZ1447*SQRT(AL1447)</f>
        <v>0</v>
      </c>
      <c r="CB1447">
        <v>18</v>
      </c>
      <c r="CC1447">
        <v>4</v>
      </c>
      <c r="CD1447">
        <v>-0.35299999999999998</v>
      </c>
      <c r="CE1447">
        <v>4.3099999999999999E-2</v>
      </c>
    </row>
    <row r="1448" spans="4:83" hidden="1" x14ac:dyDescent="0.2">
      <c r="D1448">
        <v>106</v>
      </c>
      <c r="G1448" t="s">
        <v>43</v>
      </c>
      <c r="H1448" t="s">
        <v>807</v>
      </c>
      <c r="J1448">
        <v>2016</v>
      </c>
      <c r="M1448" t="s">
        <v>808</v>
      </c>
      <c r="T1448" t="s">
        <v>136</v>
      </c>
      <c r="U1448" t="s">
        <v>809</v>
      </c>
      <c r="V1448" t="s">
        <v>810</v>
      </c>
      <c r="Z1448" t="s">
        <v>106</v>
      </c>
      <c r="AA1448" t="s">
        <v>107</v>
      </c>
      <c r="AB1448" t="s">
        <v>50</v>
      </c>
      <c r="AC1448" t="s">
        <v>51</v>
      </c>
      <c r="AD1448" t="s">
        <v>52</v>
      </c>
      <c r="AE1448" t="s">
        <v>53</v>
      </c>
      <c r="AF1448" t="s">
        <v>52</v>
      </c>
      <c r="AG1448" t="s">
        <v>52</v>
      </c>
      <c r="AH1448" t="s">
        <v>64</v>
      </c>
      <c r="AK1448">
        <v>4</v>
      </c>
      <c r="AL1448">
        <v>4</v>
      </c>
      <c r="AN1448">
        <v>516</v>
      </c>
      <c r="AO1448" t="s">
        <v>56</v>
      </c>
      <c r="AP1448">
        <v>44</v>
      </c>
      <c r="AQ1448" t="s">
        <v>57</v>
      </c>
      <c r="AR1448">
        <v>8.0500000000000007</v>
      </c>
      <c r="AS1448" t="s">
        <v>56</v>
      </c>
      <c r="AT1448">
        <v>0.03</v>
      </c>
      <c r="AU1448">
        <v>1005</v>
      </c>
      <c r="AV1448" t="s">
        <v>56</v>
      </c>
      <c r="AW1448">
        <v>33</v>
      </c>
      <c r="AX1448">
        <v>7.8</v>
      </c>
      <c r="AY1448" t="s">
        <v>56</v>
      </c>
      <c r="AZ1448">
        <v>0.01</v>
      </c>
      <c r="BB1448">
        <f>LOG(AU1448)</f>
        <v>3.0021660617565078</v>
      </c>
      <c r="BC1448">
        <v>22.3</v>
      </c>
      <c r="BD1448" t="s">
        <v>56</v>
      </c>
      <c r="BE1448">
        <v>0.1</v>
      </c>
      <c r="BF1448">
        <v>29.4</v>
      </c>
      <c r="BG1448" t="s">
        <v>56</v>
      </c>
      <c r="BH1448">
        <v>0.1</v>
      </c>
      <c r="BI1448">
        <v>489</v>
      </c>
      <c r="BJ1448">
        <v>7.1</v>
      </c>
      <c r="BK1448" t="s">
        <v>56</v>
      </c>
      <c r="BL1448" t="s">
        <v>98</v>
      </c>
      <c r="BM1448" t="s">
        <v>98</v>
      </c>
      <c r="BN1448" t="s">
        <v>81</v>
      </c>
      <c r="BO1448" t="s">
        <v>439</v>
      </c>
      <c r="BP1448" t="s">
        <v>100</v>
      </c>
      <c r="BQ1448" s="8" t="s">
        <v>9</v>
      </c>
      <c r="BR1448" t="s">
        <v>63</v>
      </c>
      <c r="BT1448">
        <v>3.67</v>
      </c>
      <c r="BU1448">
        <v>3.6678700000000002</v>
      </c>
      <c r="BV1448">
        <v>0.25</v>
      </c>
      <c r="BW1448">
        <f>BV1448*SQRT(AK1448)</f>
        <v>0.5</v>
      </c>
      <c r="BX1448">
        <v>3.97</v>
      </c>
      <c r="BY1448">
        <v>3.9711191000000001</v>
      </c>
      <c r="BZ1448">
        <v>0.04</v>
      </c>
      <c r="CA1448">
        <f>BZ1448*SQRT(AL1448)</f>
        <v>0.08</v>
      </c>
      <c r="CB1448">
        <v>18</v>
      </c>
      <c r="CC1448">
        <v>4</v>
      </c>
      <c r="CD1448">
        <v>7.9000000000000001E-2</v>
      </c>
      <c r="CE1448">
        <v>4.8999999999999998E-3</v>
      </c>
    </row>
    <row r="1449" spans="4:83" hidden="1" x14ac:dyDescent="0.2">
      <c r="D1449">
        <v>106</v>
      </c>
      <c r="G1449" t="s">
        <v>43</v>
      </c>
      <c r="H1449" t="s">
        <v>807</v>
      </c>
      <c r="J1449">
        <v>2016</v>
      </c>
      <c r="M1449" t="s">
        <v>808</v>
      </c>
      <c r="T1449" t="s">
        <v>136</v>
      </c>
      <c r="U1449" t="s">
        <v>809</v>
      </c>
      <c r="V1449" t="s">
        <v>810</v>
      </c>
      <c r="Z1449" t="s">
        <v>106</v>
      </c>
      <c r="AA1449" t="s">
        <v>107</v>
      </c>
      <c r="AB1449" t="s">
        <v>50</v>
      </c>
      <c r="AC1449" t="s">
        <v>51</v>
      </c>
      <c r="AD1449" t="s">
        <v>52</v>
      </c>
      <c r="AE1449" t="s">
        <v>53</v>
      </c>
      <c r="AF1449" t="s">
        <v>54</v>
      </c>
      <c r="AG1449" t="s">
        <v>52</v>
      </c>
      <c r="AH1449" t="s">
        <v>65</v>
      </c>
      <c r="AK1449">
        <v>4</v>
      </c>
      <c r="AL1449">
        <v>4</v>
      </c>
      <c r="AN1449">
        <v>516</v>
      </c>
      <c r="AO1449" t="s">
        <v>56</v>
      </c>
      <c r="AP1449">
        <v>44</v>
      </c>
      <c r="AQ1449" t="s">
        <v>57</v>
      </c>
      <c r="AR1449">
        <v>8.0500000000000007</v>
      </c>
      <c r="AS1449" t="s">
        <v>56</v>
      </c>
      <c r="AT1449">
        <v>0.03</v>
      </c>
      <c r="AU1449">
        <v>550</v>
      </c>
      <c r="AV1449" t="s">
        <v>56</v>
      </c>
      <c r="AW1449">
        <v>7</v>
      </c>
      <c r="AX1449">
        <v>8.06</v>
      </c>
      <c r="AY1449" t="s">
        <v>56</v>
      </c>
      <c r="AZ1449">
        <v>0.02</v>
      </c>
      <c r="BB1449">
        <f>LOG(AU1449)</f>
        <v>2.7403626894942437</v>
      </c>
      <c r="BC1449">
        <v>22.3</v>
      </c>
      <c r="BD1449" t="s">
        <v>56</v>
      </c>
      <c r="BE1449">
        <v>0.1</v>
      </c>
      <c r="BF1449">
        <v>29.4</v>
      </c>
      <c r="BG1449" t="s">
        <v>56</v>
      </c>
      <c r="BH1449">
        <v>0.1</v>
      </c>
      <c r="BI1449">
        <v>34</v>
      </c>
      <c r="BJ1449">
        <v>7.1</v>
      </c>
      <c r="BK1449" t="s">
        <v>56</v>
      </c>
      <c r="BL1449" t="s">
        <v>98</v>
      </c>
      <c r="BM1449" t="s">
        <v>98</v>
      </c>
      <c r="BN1449" t="s">
        <v>81</v>
      </c>
      <c r="BO1449" t="s">
        <v>439</v>
      </c>
      <c r="BP1449" t="s">
        <v>100</v>
      </c>
      <c r="BQ1449" s="8" t="s">
        <v>83</v>
      </c>
      <c r="BR1449" t="s">
        <v>63</v>
      </c>
      <c r="BT1449">
        <v>3.67</v>
      </c>
      <c r="BU1449">
        <v>3.6678700000000002</v>
      </c>
      <c r="BV1449">
        <v>0.25</v>
      </c>
      <c r="BW1449">
        <f>BV1449*SQRT(AK1449)</f>
        <v>0.5</v>
      </c>
      <c r="BX1449">
        <v>4.9400000000000004</v>
      </c>
      <c r="BY1449">
        <v>4.9386282000000001</v>
      </c>
      <c r="BZ1449">
        <v>0.22</v>
      </c>
      <c r="CA1449">
        <f>BZ1449*SQRT(AL1449)</f>
        <v>0.44</v>
      </c>
      <c r="CB1449">
        <v>18</v>
      </c>
      <c r="CC1449">
        <v>4</v>
      </c>
      <c r="CD1449">
        <v>0.29699999999999999</v>
      </c>
      <c r="CE1449">
        <v>6.7999999999999996E-3</v>
      </c>
    </row>
    <row r="1450" spans="4:83" hidden="1" x14ac:dyDescent="0.2">
      <c r="D1450">
        <v>106</v>
      </c>
      <c r="G1450" t="s">
        <v>43</v>
      </c>
      <c r="H1450" t="s">
        <v>807</v>
      </c>
      <c r="J1450">
        <v>2016</v>
      </c>
      <c r="M1450" t="s">
        <v>808</v>
      </c>
      <c r="T1450" t="s">
        <v>136</v>
      </c>
      <c r="U1450" t="s">
        <v>809</v>
      </c>
      <c r="V1450" t="s">
        <v>810</v>
      </c>
      <c r="Z1450" t="s">
        <v>106</v>
      </c>
      <c r="AA1450" t="s">
        <v>107</v>
      </c>
      <c r="AB1450" t="s">
        <v>50</v>
      </c>
      <c r="AC1450" t="s">
        <v>51</v>
      </c>
      <c r="AD1450" t="s">
        <v>52</v>
      </c>
      <c r="AE1450" t="s">
        <v>53</v>
      </c>
      <c r="AF1450" t="s">
        <v>52</v>
      </c>
      <c r="AG1450" t="s">
        <v>52</v>
      </c>
      <c r="AH1450" t="s">
        <v>64</v>
      </c>
      <c r="AK1450">
        <v>4</v>
      </c>
      <c r="AL1450">
        <v>4</v>
      </c>
      <c r="AN1450">
        <v>516</v>
      </c>
      <c r="AO1450" t="s">
        <v>56</v>
      </c>
      <c r="AP1450">
        <v>44</v>
      </c>
      <c r="AQ1450" t="s">
        <v>57</v>
      </c>
      <c r="AR1450">
        <v>8.0500000000000007</v>
      </c>
      <c r="AS1450" t="s">
        <v>56</v>
      </c>
      <c r="AT1450">
        <v>0.03</v>
      </c>
      <c r="AU1450">
        <v>1005</v>
      </c>
      <c r="AV1450" t="s">
        <v>56</v>
      </c>
      <c r="AW1450">
        <v>33</v>
      </c>
      <c r="AX1450">
        <v>7.8</v>
      </c>
      <c r="AY1450" t="s">
        <v>56</v>
      </c>
      <c r="AZ1450">
        <v>0.01</v>
      </c>
      <c r="BB1450">
        <f>LOG(AU1450)</f>
        <v>3.0021660617565078</v>
      </c>
      <c r="BC1450">
        <v>22.3</v>
      </c>
      <c r="BD1450" t="s">
        <v>56</v>
      </c>
      <c r="BE1450">
        <v>0.1</v>
      </c>
      <c r="BF1450">
        <v>29.4</v>
      </c>
      <c r="BG1450" t="s">
        <v>56</v>
      </c>
      <c r="BH1450">
        <v>0.1</v>
      </c>
      <c r="BI1450">
        <v>489</v>
      </c>
      <c r="BJ1450">
        <v>7.1</v>
      </c>
      <c r="BK1450" t="s">
        <v>56</v>
      </c>
      <c r="BL1450" t="s">
        <v>811</v>
      </c>
      <c r="BM1450" t="s">
        <v>811</v>
      </c>
      <c r="BN1450" t="s">
        <v>60</v>
      </c>
      <c r="BO1450" t="s">
        <v>812</v>
      </c>
      <c r="BP1450" t="s">
        <v>92</v>
      </c>
      <c r="BQ1450" s="8" t="s">
        <v>9</v>
      </c>
      <c r="BR1450" t="s">
        <v>63</v>
      </c>
      <c r="BT1450">
        <v>0.05</v>
      </c>
      <c r="BU1450">
        <v>4.6899000000000003E-2</v>
      </c>
      <c r="BV1450">
        <v>0.01</v>
      </c>
      <c r="BW1450">
        <f>BV1450*SQRT(AK1450)</f>
        <v>0.02</v>
      </c>
      <c r="BX1450">
        <v>0.09</v>
      </c>
      <c r="BY1450">
        <v>8.5658899999999996E-2</v>
      </c>
      <c r="BZ1450">
        <v>0.01</v>
      </c>
      <c r="CA1450">
        <f>BZ1450*SQRT(AL1450)</f>
        <v>0.02</v>
      </c>
      <c r="CB1450">
        <v>18</v>
      </c>
      <c r="CC1450">
        <v>4</v>
      </c>
      <c r="CD1450">
        <v>0.60199999999999998</v>
      </c>
      <c r="CE1450">
        <v>5.6000000000000001E-2</v>
      </c>
    </row>
    <row r="1451" spans="4:83" hidden="1" x14ac:dyDescent="0.2">
      <c r="D1451">
        <v>106</v>
      </c>
      <c r="G1451" t="s">
        <v>43</v>
      </c>
      <c r="H1451" t="s">
        <v>807</v>
      </c>
      <c r="J1451">
        <v>2016</v>
      </c>
      <c r="M1451" t="s">
        <v>808</v>
      </c>
      <c r="T1451" t="s">
        <v>136</v>
      </c>
      <c r="U1451" t="s">
        <v>809</v>
      </c>
      <c r="V1451" t="s">
        <v>810</v>
      </c>
      <c r="Z1451" t="s">
        <v>106</v>
      </c>
      <c r="AA1451" t="s">
        <v>107</v>
      </c>
      <c r="AB1451" t="s">
        <v>50</v>
      </c>
      <c r="AC1451" t="s">
        <v>51</v>
      </c>
      <c r="AD1451" t="s">
        <v>52</v>
      </c>
      <c r="AE1451" t="s">
        <v>53</v>
      </c>
      <c r="AF1451" t="s">
        <v>54</v>
      </c>
      <c r="AG1451" t="s">
        <v>52</v>
      </c>
      <c r="AH1451" t="s">
        <v>65</v>
      </c>
      <c r="AK1451">
        <v>4</v>
      </c>
      <c r="AL1451">
        <v>4</v>
      </c>
      <c r="AN1451">
        <v>516</v>
      </c>
      <c r="AO1451" t="s">
        <v>56</v>
      </c>
      <c r="AP1451">
        <v>44</v>
      </c>
      <c r="AQ1451" t="s">
        <v>57</v>
      </c>
      <c r="AR1451">
        <v>8.0500000000000007</v>
      </c>
      <c r="AS1451" t="s">
        <v>56</v>
      </c>
      <c r="AT1451">
        <v>0.03</v>
      </c>
      <c r="AU1451">
        <v>550</v>
      </c>
      <c r="AV1451" t="s">
        <v>56</v>
      </c>
      <c r="AW1451">
        <v>7</v>
      </c>
      <c r="AX1451">
        <v>8.06</v>
      </c>
      <c r="AY1451" t="s">
        <v>56</v>
      </c>
      <c r="AZ1451">
        <v>0.02</v>
      </c>
      <c r="BB1451">
        <f>LOG(AU1451)</f>
        <v>2.7403626894942437</v>
      </c>
      <c r="BC1451">
        <v>22.3</v>
      </c>
      <c r="BD1451" t="s">
        <v>56</v>
      </c>
      <c r="BE1451">
        <v>0.1</v>
      </c>
      <c r="BF1451">
        <v>29.4</v>
      </c>
      <c r="BG1451" t="s">
        <v>56</v>
      </c>
      <c r="BH1451">
        <v>0.1</v>
      </c>
      <c r="BI1451">
        <v>34</v>
      </c>
      <c r="BJ1451">
        <v>7.1</v>
      </c>
      <c r="BK1451" t="s">
        <v>56</v>
      </c>
      <c r="BL1451" t="s">
        <v>811</v>
      </c>
      <c r="BM1451" t="s">
        <v>811</v>
      </c>
      <c r="BN1451" t="s">
        <v>60</v>
      </c>
      <c r="BO1451" t="s">
        <v>812</v>
      </c>
      <c r="BP1451" t="s">
        <v>92</v>
      </c>
      <c r="BQ1451" s="8" t="s">
        <v>9</v>
      </c>
      <c r="BR1451" t="s">
        <v>63</v>
      </c>
      <c r="BT1451">
        <v>0.05</v>
      </c>
      <c r="BU1451">
        <v>4.6899000000000003E-2</v>
      </c>
      <c r="BV1451">
        <v>0.01</v>
      </c>
      <c r="BW1451">
        <f>BV1451*SQRT(AK1451)</f>
        <v>0.02</v>
      </c>
      <c r="BX1451">
        <v>0.12</v>
      </c>
      <c r="BY1451">
        <v>0.12170540000000001</v>
      </c>
      <c r="BZ1451">
        <v>0.01</v>
      </c>
      <c r="CA1451">
        <f>BZ1451*SQRT(AL1451)</f>
        <v>0.02</v>
      </c>
      <c r="CB1451">
        <v>18</v>
      </c>
      <c r="CC1451">
        <v>4</v>
      </c>
      <c r="CD1451">
        <v>0.95399999999999996</v>
      </c>
      <c r="CE1451">
        <v>3.5999999999999997E-2</v>
      </c>
    </row>
    <row r="1452" spans="4:83" hidden="1" x14ac:dyDescent="0.2">
      <c r="D1452">
        <v>107</v>
      </c>
      <c r="G1452" t="s">
        <v>43</v>
      </c>
      <c r="H1452" t="s">
        <v>813</v>
      </c>
      <c r="J1452">
        <v>2016</v>
      </c>
      <c r="M1452" t="s">
        <v>213</v>
      </c>
      <c r="T1452" t="s">
        <v>68</v>
      </c>
      <c r="U1452" t="s">
        <v>639</v>
      </c>
      <c r="V1452" t="s">
        <v>465</v>
      </c>
      <c r="Z1452" t="s">
        <v>49</v>
      </c>
      <c r="AA1452" t="s">
        <v>49</v>
      </c>
      <c r="AB1452" t="s">
        <v>50</v>
      </c>
      <c r="AC1452" t="s">
        <v>108</v>
      </c>
      <c r="AD1452" t="s">
        <v>52</v>
      </c>
      <c r="AE1452" t="s">
        <v>53</v>
      </c>
      <c r="AF1452" t="s">
        <v>52</v>
      </c>
      <c r="AG1452" t="s">
        <v>54</v>
      </c>
      <c r="AH1452" t="s">
        <v>55</v>
      </c>
      <c r="AK1452">
        <v>10</v>
      </c>
      <c r="AL1452">
        <v>10</v>
      </c>
      <c r="AN1452">
        <v>539</v>
      </c>
      <c r="AO1452">
        <v>10</v>
      </c>
      <c r="AP1452" t="s">
        <v>56</v>
      </c>
      <c r="AQ1452" t="s">
        <v>109</v>
      </c>
      <c r="AR1452">
        <v>7.85</v>
      </c>
      <c r="AS1452">
        <v>0.02</v>
      </c>
      <c r="AT1452" t="s">
        <v>56</v>
      </c>
      <c r="AU1452">
        <v>1463</v>
      </c>
      <c r="AV1452">
        <v>26</v>
      </c>
      <c r="AW1452" t="s">
        <v>56</v>
      </c>
      <c r="AX1452">
        <v>7.47</v>
      </c>
      <c r="AY1452">
        <v>0.01</v>
      </c>
      <c r="AZ1452" t="s">
        <v>56</v>
      </c>
      <c r="BB1452">
        <f>LOG(AU1452)</f>
        <v>3.1652443261253107</v>
      </c>
      <c r="BC1452">
        <v>15.7</v>
      </c>
      <c r="BD1452">
        <v>0.1</v>
      </c>
      <c r="BE1452" t="s">
        <v>56</v>
      </c>
      <c r="BF1452">
        <v>15.6</v>
      </c>
      <c r="BG1452">
        <v>0.1</v>
      </c>
      <c r="BH1452" t="s">
        <v>56</v>
      </c>
      <c r="BI1452">
        <v>923</v>
      </c>
      <c r="BJ1452">
        <v>-0.1</v>
      </c>
      <c r="BK1452" t="s">
        <v>56</v>
      </c>
      <c r="BL1452" t="s">
        <v>234</v>
      </c>
      <c r="BM1452" t="s">
        <v>232</v>
      </c>
      <c r="BN1452" t="s">
        <v>81</v>
      </c>
      <c r="BO1452" t="s">
        <v>814</v>
      </c>
      <c r="BP1452" t="s">
        <v>234</v>
      </c>
      <c r="BQ1452" s="8" t="s">
        <v>83</v>
      </c>
      <c r="BR1452" t="s">
        <v>63</v>
      </c>
      <c r="BT1452">
        <v>0.78</v>
      </c>
      <c r="BU1452">
        <v>0.77695599999999998</v>
      </c>
      <c r="BV1452">
        <v>0.08</v>
      </c>
      <c r="BW1452">
        <f>BV1452*SQRT(AK1452)</f>
        <v>0.25298221281347039</v>
      </c>
      <c r="BX1452">
        <v>0.49</v>
      </c>
      <c r="BY1452">
        <v>0.49154330000000002</v>
      </c>
      <c r="BZ1452">
        <v>0.06</v>
      </c>
      <c r="CA1452">
        <f>BZ1452*SQRT(AL1452)</f>
        <v>0.18973665961010278</v>
      </c>
      <c r="CB1452">
        <v>180</v>
      </c>
      <c r="CC1452">
        <v>10</v>
      </c>
      <c r="CD1452">
        <v>-0.45800000000000002</v>
      </c>
      <c r="CE1452">
        <v>2.3099999999999999E-2</v>
      </c>
    </row>
    <row r="1453" spans="4:83" hidden="1" x14ac:dyDescent="0.2">
      <c r="D1453">
        <v>107</v>
      </c>
      <c r="G1453" t="s">
        <v>43</v>
      </c>
      <c r="H1453" t="s">
        <v>813</v>
      </c>
      <c r="J1453">
        <v>2016</v>
      </c>
      <c r="M1453" t="s">
        <v>213</v>
      </c>
      <c r="T1453" t="s">
        <v>68</v>
      </c>
      <c r="U1453" t="s">
        <v>639</v>
      </c>
      <c r="V1453" t="s">
        <v>465</v>
      </c>
      <c r="Z1453" t="s">
        <v>49</v>
      </c>
      <c r="AA1453" t="s">
        <v>49</v>
      </c>
      <c r="AB1453" t="s">
        <v>50</v>
      </c>
      <c r="AC1453" t="s">
        <v>108</v>
      </c>
      <c r="AD1453" t="s">
        <v>52</v>
      </c>
      <c r="AE1453" t="s">
        <v>53</v>
      </c>
      <c r="AF1453" t="s">
        <v>52</v>
      </c>
      <c r="AG1453" t="s">
        <v>54</v>
      </c>
      <c r="AH1453" t="s">
        <v>55</v>
      </c>
      <c r="AK1453">
        <v>10</v>
      </c>
      <c r="AL1453">
        <v>10</v>
      </c>
      <c r="AN1453">
        <v>539</v>
      </c>
      <c r="AO1453">
        <v>10</v>
      </c>
      <c r="AP1453" t="s">
        <v>56</v>
      </c>
      <c r="AQ1453" t="s">
        <v>109</v>
      </c>
      <c r="AR1453">
        <v>7.85</v>
      </c>
      <c r="AS1453">
        <v>0.02</v>
      </c>
      <c r="AT1453" t="s">
        <v>56</v>
      </c>
      <c r="AU1453">
        <v>1463</v>
      </c>
      <c r="AV1453">
        <v>26</v>
      </c>
      <c r="AW1453" t="s">
        <v>56</v>
      </c>
      <c r="AX1453">
        <v>7.47</v>
      </c>
      <c r="AY1453">
        <v>0.01</v>
      </c>
      <c r="AZ1453" t="s">
        <v>56</v>
      </c>
      <c r="BB1453">
        <f>LOG(AU1453)</f>
        <v>3.1652443261253107</v>
      </c>
      <c r="BC1453">
        <v>15.7</v>
      </c>
      <c r="BD1453">
        <v>0.1</v>
      </c>
      <c r="BE1453" t="s">
        <v>56</v>
      </c>
      <c r="BF1453">
        <v>15.6</v>
      </c>
      <c r="BG1453">
        <v>0.1</v>
      </c>
      <c r="BH1453" t="s">
        <v>56</v>
      </c>
      <c r="BI1453">
        <v>923</v>
      </c>
      <c r="BJ1453">
        <v>-0.1</v>
      </c>
      <c r="BK1453" t="s">
        <v>56</v>
      </c>
      <c r="BL1453" t="s">
        <v>815</v>
      </c>
      <c r="BM1453" t="s">
        <v>262</v>
      </c>
      <c r="BN1453" t="s">
        <v>81</v>
      </c>
      <c r="BO1453" t="s">
        <v>814</v>
      </c>
      <c r="BP1453" t="s">
        <v>92</v>
      </c>
      <c r="BQ1453" s="8" t="s">
        <v>9</v>
      </c>
      <c r="BR1453" t="s">
        <v>63</v>
      </c>
      <c r="BT1453">
        <v>0.62</v>
      </c>
      <c r="BU1453">
        <v>0.62133899999999997</v>
      </c>
      <c r="BV1453">
        <v>0.06</v>
      </c>
      <c r="BW1453">
        <f>BV1453*SQRT(AK1453)</f>
        <v>0.18973665961010278</v>
      </c>
      <c r="BX1453">
        <v>0.42</v>
      </c>
      <c r="BY1453">
        <v>0.42364020000000002</v>
      </c>
      <c r="BZ1453">
        <v>0.06</v>
      </c>
      <c r="CA1453">
        <f>BZ1453*SQRT(AL1453)</f>
        <v>0.18973665961010278</v>
      </c>
      <c r="CB1453">
        <v>180</v>
      </c>
      <c r="CC1453">
        <v>10</v>
      </c>
      <c r="CD1453">
        <v>-0.38300000000000001</v>
      </c>
      <c r="CE1453">
        <v>2.8000000000000001E-2</v>
      </c>
    </row>
    <row r="1454" spans="4:83" hidden="1" x14ac:dyDescent="0.2">
      <c r="D1454">
        <v>107</v>
      </c>
      <c r="G1454" t="s">
        <v>43</v>
      </c>
      <c r="H1454" t="s">
        <v>813</v>
      </c>
      <c r="J1454">
        <v>2016</v>
      </c>
      <c r="M1454" t="s">
        <v>213</v>
      </c>
      <c r="T1454" t="s">
        <v>68</v>
      </c>
      <c r="U1454" t="s">
        <v>639</v>
      </c>
      <c r="V1454" t="s">
        <v>465</v>
      </c>
      <c r="Z1454" t="s">
        <v>49</v>
      </c>
      <c r="AA1454" t="s">
        <v>49</v>
      </c>
      <c r="AB1454" t="s">
        <v>50</v>
      </c>
      <c r="AC1454" t="s">
        <v>108</v>
      </c>
      <c r="AD1454" t="s">
        <v>52</v>
      </c>
      <c r="AE1454" t="s">
        <v>53</v>
      </c>
      <c r="AF1454" t="s">
        <v>52</v>
      </c>
      <c r="AG1454" t="s">
        <v>52</v>
      </c>
      <c r="AH1454" t="s">
        <v>64</v>
      </c>
      <c r="AK1454">
        <v>10</v>
      </c>
      <c r="AL1454">
        <v>10</v>
      </c>
      <c r="AN1454">
        <v>539</v>
      </c>
      <c r="AO1454">
        <v>10</v>
      </c>
      <c r="AP1454" t="s">
        <v>56</v>
      </c>
      <c r="AQ1454" t="s">
        <v>109</v>
      </c>
      <c r="AR1454">
        <v>7.85</v>
      </c>
      <c r="AS1454">
        <v>0.02</v>
      </c>
      <c r="AT1454" t="s">
        <v>56</v>
      </c>
      <c r="AU1454">
        <v>1446</v>
      </c>
      <c r="AV1454">
        <v>33</v>
      </c>
      <c r="AW1454" t="s">
        <v>56</v>
      </c>
      <c r="AX1454">
        <v>7.47</v>
      </c>
      <c r="AY1454">
        <v>0.02</v>
      </c>
      <c r="AZ1454" t="s">
        <v>56</v>
      </c>
      <c r="BB1454">
        <f>LOG(AU1454)</f>
        <v>3.1601682929585122</v>
      </c>
      <c r="BC1454">
        <v>15.7</v>
      </c>
      <c r="BD1454">
        <v>0.1</v>
      </c>
      <c r="BE1454" t="s">
        <v>56</v>
      </c>
      <c r="BF1454">
        <v>19.3</v>
      </c>
      <c r="BG1454">
        <v>0.1</v>
      </c>
      <c r="BH1454" t="s">
        <v>56</v>
      </c>
      <c r="BI1454">
        <v>906</v>
      </c>
      <c r="BJ1454">
        <v>3.6</v>
      </c>
      <c r="BK1454" t="s">
        <v>56</v>
      </c>
      <c r="BL1454" t="s">
        <v>815</v>
      </c>
      <c r="BM1454" t="s">
        <v>262</v>
      </c>
      <c r="BN1454" t="s">
        <v>81</v>
      </c>
      <c r="BO1454" t="s">
        <v>814</v>
      </c>
      <c r="BP1454" t="s">
        <v>92</v>
      </c>
      <c r="BQ1454" s="8" t="s">
        <v>9</v>
      </c>
      <c r="BR1454" t="s">
        <v>63</v>
      </c>
      <c r="BT1454">
        <v>0.62</v>
      </c>
      <c r="BU1454">
        <v>0.62133899999999997</v>
      </c>
      <c r="BV1454">
        <v>0.06</v>
      </c>
      <c r="BW1454">
        <f>BV1454*SQRT(AK1454)</f>
        <v>0.18973665961010278</v>
      </c>
      <c r="BX1454">
        <v>0.47</v>
      </c>
      <c r="BY1454">
        <v>0.4707113</v>
      </c>
      <c r="BZ1454">
        <v>0.06</v>
      </c>
      <c r="CA1454">
        <f>BZ1454*SQRT(AL1454)</f>
        <v>0.18973665961010278</v>
      </c>
      <c r="CB1454">
        <v>180</v>
      </c>
      <c r="CC1454">
        <v>10</v>
      </c>
      <c r="CD1454">
        <v>-0.27800000000000002</v>
      </c>
      <c r="CE1454">
        <v>2.6200000000000001E-2</v>
      </c>
    </row>
    <row r="1455" spans="4:83" hidden="1" x14ac:dyDescent="0.2">
      <c r="D1455">
        <v>107</v>
      </c>
      <c r="G1455" t="s">
        <v>43</v>
      </c>
      <c r="H1455" t="s">
        <v>813</v>
      </c>
      <c r="J1455">
        <v>2016</v>
      </c>
      <c r="M1455" t="s">
        <v>213</v>
      </c>
      <c r="T1455" t="s">
        <v>68</v>
      </c>
      <c r="U1455" t="s">
        <v>639</v>
      </c>
      <c r="V1455" t="s">
        <v>465</v>
      </c>
      <c r="Z1455" t="s">
        <v>49</v>
      </c>
      <c r="AA1455" t="s">
        <v>49</v>
      </c>
      <c r="AB1455" t="s">
        <v>50</v>
      </c>
      <c r="AC1455" t="s">
        <v>108</v>
      </c>
      <c r="AD1455" t="s">
        <v>52</v>
      </c>
      <c r="AE1455" t="s">
        <v>53</v>
      </c>
      <c r="AF1455" t="s">
        <v>52</v>
      </c>
      <c r="AG1455" t="s">
        <v>52</v>
      </c>
      <c r="AH1455" t="s">
        <v>64</v>
      </c>
      <c r="AK1455">
        <v>10</v>
      </c>
      <c r="AL1455">
        <v>10</v>
      </c>
      <c r="AN1455">
        <v>539</v>
      </c>
      <c r="AO1455">
        <v>10</v>
      </c>
      <c r="AP1455" t="s">
        <v>56</v>
      </c>
      <c r="AQ1455" t="s">
        <v>109</v>
      </c>
      <c r="AR1455">
        <v>7.85</v>
      </c>
      <c r="AS1455">
        <v>0.02</v>
      </c>
      <c r="AT1455" t="s">
        <v>56</v>
      </c>
      <c r="AU1455">
        <v>1446</v>
      </c>
      <c r="AV1455">
        <v>33</v>
      </c>
      <c r="AW1455" t="s">
        <v>56</v>
      </c>
      <c r="AX1455">
        <v>7.47</v>
      </c>
      <c r="AY1455">
        <v>0.02</v>
      </c>
      <c r="AZ1455" t="s">
        <v>56</v>
      </c>
      <c r="BB1455">
        <f>LOG(AU1455)</f>
        <v>3.1601682929585122</v>
      </c>
      <c r="BC1455">
        <v>15.7</v>
      </c>
      <c r="BD1455">
        <v>0.1</v>
      </c>
      <c r="BE1455" t="s">
        <v>56</v>
      </c>
      <c r="BF1455">
        <v>19.3</v>
      </c>
      <c r="BG1455">
        <v>0.1</v>
      </c>
      <c r="BH1455" t="s">
        <v>56</v>
      </c>
      <c r="BI1455">
        <v>906</v>
      </c>
      <c r="BJ1455">
        <v>3.6</v>
      </c>
      <c r="BK1455" t="s">
        <v>56</v>
      </c>
      <c r="BL1455" t="s">
        <v>234</v>
      </c>
      <c r="BM1455" t="s">
        <v>232</v>
      </c>
      <c r="BN1455" t="s">
        <v>81</v>
      </c>
      <c r="BO1455" t="s">
        <v>814</v>
      </c>
      <c r="BP1455" t="s">
        <v>234</v>
      </c>
      <c r="BQ1455" s="8" t="s">
        <v>9</v>
      </c>
      <c r="BR1455" t="s">
        <v>63</v>
      </c>
      <c r="BT1455">
        <v>0.78</v>
      </c>
      <c r="BU1455">
        <v>0.77695599999999998</v>
      </c>
      <c r="BV1455">
        <v>0.08</v>
      </c>
      <c r="BW1455">
        <f>BV1455*SQRT(AK1455)</f>
        <v>0.25298221281347039</v>
      </c>
      <c r="BX1455">
        <v>0.6</v>
      </c>
      <c r="BY1455">
        <v>0.60253699999999999</v>
      </c>
      <c r="BZ1455">
        <v>0.06</v>
      </c>
      <c r="CA1455">
        <f>BZ1455*SQRT(AL1455)</f>
        <v>0.18973665961010278</v>
      </c>
      <c r="CB1455">
        <v>180</v>
      </c>
      <c r="CC1455">
        <v>10</v>
      </c>
      <c r="CD1455">
        <v>-0.254</v>
      </c>
      <c r="CE1455">
        <v>1.8599999999999998E-2</v>
      </c>
    </row>
    <row r="1456" spans="4:83" hidden="1" x14ac:dyDescent="0.2">
      <c r="D1456">
        <v>107</v>
      </c>
      <c r="G1456" t="s">
        <v>43</v>
      </c>
      <c r="H1456" t="s">
        <v>813</v>
      </c>
      <c r="J1456">
        <v>2016</v>
      </c>
      <c r="M1456" t="s">
        <v>213</v>
      </c>
      <c r="T1456" t="s">
        <v>68</v>
      </c>
      <c r="U1456" t="s">
        <v>639</v>
      </c>
      <c r="V1456" t="s">
        <v>465</v>
      </c>
      <c r="Z1456" t="s">
        <v>49</v>
      </c>
      <c r="AA1456" t="s">
        <v>49</v>
      </c>
      <c r="AB1456" t="s">
        <v>50</v>
      </c>
      <c r="AC1456" t="s">
        <v>108</v>
      </c>
      <c r="AD1456" t="s">
        <v>52</v>
      </c>
      <c r="AE1456" t="s">
        <v>53</v>
      </c>
      <c r="AF1456" t="s">
        <v>54</v>
      </c>
      <c r="AG1456" t="s">
        <v>52</v>
      </c>
      <c r="AH1456" t="s">
        <v>65</v>
      </c>
      <c r="AK1456">
        <v>10</v>
      </c>
      <c r="AL1456">
        <v>10</v>
      </c>
      <c r="AN1456">
        <v>539</v>
      </c>
      <c r="AO1456">
        <v>10</v>
      </c>
      <c r="AP1456" t="s">
        <v>56</v>
      </c>
      <c r="AQ1456" t="s">
        <v>109</v>
      </c>
      <c r="AR1456">
        <v>7.85</v>
      </c>
      <c r="AS1456">
        <v>0.02</v>
      </c>
      <c r="AT1456" t="s">
        <v>56</v>
      </c>
      <c r="AU1456">
        <v>651</v>
      </c>
      <c r="AV1456">
        <v>26</v>
      </c>
      <c r="AW1456" t="s">
        <v>56</v>
      </c>
      <c r="AX1456">
        <v>7.73</v>
      </c>
      <c r="AY1456">
        <v>0.03</v>
      </c>
      <c r="AZ1456" t="s">
        <v>56</v>
      </c>
      <c r="BB1456">
        <f>LOG(AU1456)</f>
        <v>2.8135809885681922</v>
      </c>
      <c r="BC1456">
        <v>15.7</v>
      </c>
      <c r="BD1456">
        <v>0.1</v>
      </c>
      <c r="BE1456" t="s">
        <v>56</v>
      </c>
      <c r="BF1456">
        <v>19.2</v>
      </c>
      <c r="BG1456">
        <v>0.1</v>
      </c>
      <c r="BH1456" t="s">
        <v>56</v>
      </c>
      <c r="BI1456">
        <v>112</v>
      </c>
      <c r="BJ1456">
        <v>3.4</v>
      </c>
      <c r="BK1456" t="s">
        <v>56</v>
      </c>
      <c r="BL1456" t="s">
        <v>815</v>
      </c>
      <c r="BM1456" t="s">
        <v>262</v>
      </c>
      <c r="BN1456" t="s">
        <v>81</v>
      </c>
      <c r="BO1456" t="s">
        <v>814</v>
      </c>
      <c r="BP1456" t="s">
        <v>92</v>
      </c>
      <c r="BQ1456" s="8" t="s">
        <v>9</v>
      </c>
      <c r="BR1456" t="s">
        <v>63</v>
      </c>
      <c r="BT1456">
        <v>0.62</v>
      </c>
      <c r="BU1456">
        <v>0.62133899999999997</v>
      </c>
      <c r="BV1456">
        <v>0.06</v>
      </c>
      <c r="BW1456">
        <f>BV1456*SQRT(AK1456)</f>
        <v>0.18973665961010278</v>
      </c>
      <c r="BX1456">
        <v>0.66</v>
      </c>
      <c r="BY1456">
        <v>0.65899580000000002</v>
      </c>
      <c r="BZ1456">
        <v>0.04</v>
      </c>
      <c r="CA1456">
        <f>BZ1456*SQRT(AL1456)</f>
        <v>0.12649110640673519</v>
      </c>
      <c r="CB1456">
        <v>180</v>
      </c>
      <c r="CC1456">
        <v>10</v>
      </c>
      <c r="CD1456">
        <v>5.8999999999999997E-2</v>
      </c>
      <c r="CE1456">
        <v>1.35E-2</v>
      </c>
    </row>
    <row r="1457" spans="4:83" hidden="1" x14ac:dyDescent="0.2">
      <c r="D1457">
        <v>107</v>
      </c>
      <c r="G1457" t="s">
        <v>43</v>
      </c>
      <c r="H1457" t="s">
        <v>813</v>
      </c>
      <c r="J1457">
        <v>2016</v>
      </c>
      <c r="M1457" t="s">
        <v>213</v>
      </c>
      <c r="T1457" t="s">
        <v>68</v>
      </c>
      <c r="U1457" t="s">
        <v>639</v>
      </c>
      <c r="V1457" t="s">
        <v>465</v>
      </c>
      <c r="Z1457" t="s">
        <v>49</v>
      </c>
      <c r="AA1457" t="s">
        <v>49</v>
      </c>
      <c r="AB1457" t="s">
        <v>50</v>
      </c>
      <c r="AC1457" t="s">
        <v>108</v>
      </c>
      <c r="AD1457" t="s">
        <v>52</v>
      </c>
      <c r="AE1457" t="s">
        <v>53</v>
      </c>
      <c r="AF1457" t="s">
        <v>54</v>
      </c>
      <c r="AG1457" t="s">
        <v>52</v>
      </c>
      <c r="AH1457" t="s">
        <v>65</v>
      </c>
      <c r="AK1457">
        <v>10</v>
      </c>
      <c r="AL1457">
        <v>10</v>
      </c>
      <c r="AN1457">
        <v>539</v>
      </c>
      <c r="AO1457">
        <v>10</v>
      </c>
      <c r="AP1457" t="s">
        <v>56</v>
      </c>
      <c r="AQ1457" t="s">
        <v>109</v>
      </c>
      <c r="AR1457">
        <v>7.85</v>
      </c>
      <c r="AS1457">
        <v>0.02</v>
      </c>
      <c r="AT1457" t="s">
        <v>56</v>
      </c>
      <c r="AU1457">
        <v>651</v>
      </c>
      <c r="AV1457">
        <v>26</v>
      </c>
      <c r="AW1457" t="s">
        <v>56</v>
      </c>
      <c r="AX1457">
        <v>7.73</v>
      </c>
      <c r="AY1457">
        <v>0.03</v>
      </c>
      <c r="AZ1457" t="s">
        <v>56</v>
      </c>
      <c r="BB1457">
        <f>LOG(AU1457)</f>
        <v>2.8135809885681922</v>
      </c>
      <c r="BC1457">
        <v>15.7</v>
      </c>
      <c r="BD1457">
        <v>0.1</v>
      </c>
      <c r="BE1457" t="s">
        <v>56</v>
      </c>
      <c r="BF1457">
        <v>19.2</v>
      </c>
      <c r="BG1457">
        <v>0.1</v>
      </c>
      <c r="BH1457" t="s">
        <v>56</v>
      </c>
      <c r="BI1457">
        <v>112</v>
      </c>
      <c r="BJ1457">
        <v>3.4</v>
      </c>
      <c r="BK1457" t="s">
        <v>56</v>
      </c>
      <c r="BL1457" t="s">
        <v>234</v>
      </c>
      <c r="BM1457" t="s">
        <v>232</v>
      </c>
      <c r="BN1457" t="s">
        <v>81</v>
      </c>
      <c r="BO1457" t="s">
        <v>814</v>
      </c>
      <c r="BP1457" t="s">
        <v>234</v>
      </c>
      <c r="BQ1457" s="8" t="s">
        <v>9</v>
      </c>
      <c r="BR1457" t="s">
        <v>63</v>
      </c>
      <c r="BT1457">
        <v>0.78</v>
      </c>
      <c r="BU1457">
        <v>0.77695599999999998</v>
      </c>
      <c r="BV1457">
        <v>0.08</v>
      </c>
      <c r="BW1457">
        <f>BV1457*SQRT(AK1457)</f>
        <v>0.25298221281347039</v>
      </c>
      <c r="BX1457">
        <v>0.9</v>
      </c>
      <c r="BY1457">
        <v>0.90063420000000005</v>
      </c>
      <c r="BZ1457">
        <v>0.04</v>
      </c>
      <c r="CA1457">
        <f>BZ1457*SQRT(AL1457)</f>
        <v>0.12649110640673519</v>
      </c>
      <c r="CB1457">
        <v>180</v>
      </c>
      <c r="CC1457">
        <v>10</v>
      </c>
      <c r="CD1457">
        <v>0.14799999999999999</v>
      </c>
      <c r="CE1457">
        <v>1.14E-2</v>
      </c>
    </row>
    <row r="1458" spans="4:83" hidden="1" x14ac:dyDescent="0.2">
      <c r="D1458">
        <v>107</v>
      </c>
      <c r="G1458" t="s">
        <v>43</v>
      </c>
      <c r="H1458" t="s">
        <v>813</v>
      </c>
      <c r="J1458">
        <v>2016</v>
      </c>
      <c r="M1458" t="s">
        <v>213</v>
      </c>
      <c r="T1458" t="s">
        <v>68</v>
      </c>
      <c r="U1458" t="s">
        <v>639</v>
      </c>
      <c r="V1458" t="s">
        <v>465</v>
      </c>
      <c r="Z1458" t="s">
        <v>49</v>
      </c>
      <c r="AA1458" t="s">
        <v>49</v>
      </c>
      <c r="AB1458" t="s">
        <v>50</v>
      </c>
      <c r="AC1458" t="s">
        <v>108</v>
      </c>
      <c r="AD1458" t="s">
        <v>52</v>
      </c>
      <c r="AE1458" t="s">
        <v>53</v>
      </c>
      <c r="AF1458" t="s">
        <v>54</v>
      </c>
      <c r="AG1458" t="s">
        <v>52</v>
      </c>
      <c r="AH1458" t="s">
        <v>65</v>
      </c>
      <c r="AK1458">
        <v>10</v>
      </c>
      <c r="AL1458">
        <v>9</v>
      </c>
      <c r="AM1458" t="s">
        <v>342</v>
      </c>
      <c r="AN1458">
        <v>539</v>
      </c>
      <c r="AO1458">
        <v>10</v>
      </c>
      <c r="AP1458" t="s">
        <v>56</v>
      </c>
      <c r="AQ1458" t="s">
        <v>109</v>
      </c>
      <c r="AR1458">
        <v>7.85</v>
      </c>
      <c r="AS1458">
        <v>0.02</v>
      </c>
      <c r="AT1458" t="s">
        <v>56</v>
      </c>
      <c r="AU1458">
        <v>651</v>
      </c>
      <c r="AV1458">
        <v>26</v>
      </c>
      <c r="AW1458" t="s">
        <v>56</v>
      </c>
      <c r="AX1458">
        <v>7.73</v>
      </c>
      <c r="AY1458">
        <v>0.03</v>
      </c>
      <c r="AZ1458" t="s">
        <v>56</v>
      </c>
      <c r="BB1458">
        <f>LOG(AU1458)</f>
        <v>2.8135809885681922</v>
      </c>
      <c r="BC1458">
        <v>15.7</v>
      </c>
      <c r="BD1458">
        <v>0.1</v>
      </c>
      <c r="BE1458" t="s">
        <v>56</v>
      </c>
      <c r="BF1458">
        <v>19.2</v>
      </c>
      <c r="BG1458">
        <v>0.1</v>
      </c>
      <c r="BH1458" t="s">
        <v>56</v>
      </c>
      <c r="BI1458">
        <v>112</v>
      </c>
      <c r="BJ1458">
        <v>3.4</v>
      </c>
      <c r="BK1458" t="s">
        <v>56</v>
      </c>
      <c r="BL1458" t="s">
        <v>478</v>
      </c>
      <c r="BM1458" t="s">
        <v>478</v>
      </c>
      <c r="BN1458" t="s">
        <v>340</v>
      </c>
      <c r="BO1458" t="s">
        <v>500</v>
      </c>
      <c r="BP1458" t="s">
        <v>77</v>
      </c>
      <c r="BQ1458" s="8" t="s">
        <v>9</v>
      </c>
      <c r="BR1458" t="s">
        <v>63</v>
      </c>
      <c r="BT1458">
        <v>5.63</v>
      </c>
      <c r="BU1458">
        <v>5.631373</v>
      </c>
      <c r="BV1458">
        <v>0.6</v>
      </c>
      <c r="BW1458">
        <f>BV1458*SQRT(AK1458)</f>
        <v>1.8973665961010275</v>
      </c>
      <c r="BX1458">
        <v>4.7699999999999996</v>
      </c>
      <c r="BY1458">
        <v>4.7686275</v>
      </c>
      <c r="BZ1458">
        <v>0.44</v>
      </c>
      <c r="CA1458">
        <f>BZ1458*SQRT(AL1458)</f>
        <v>1.32</v>
      </c>
      <c r="CB1458">
        <v>180</v>
      </c>
      <c r="CC1458">
        <v>10</v>
      </c>
      <c r="CD1458">
        <v>0.16600000000000001</v>
      </c>
      <c r="CE1458">
        <v>1.9699999999999999E-2</v>
      </c>
    </row>
    <row r="1459" spans="4:83" hidden="1" x14ac:dyDescent="0.2">
      <c r="D1459">
        <v>107</v>
      </c>
      <c r="G1459" t="s">
        <v>43</v>
      </c>
      <c r="H1459" t="s">
        <v>813</v>
      </c>
      <c r="J1459">
        <v>2016</v>
      </c>
      <c r="M1459" t="s">
        <v>213</v>
      </c>
      <c r="T1459" t="s">
        <v>68</v>
      </c>
      <c r="U1459" t="s">
        <v>639</v>
      </c>
      <c r="V1459" t="s">
        <v>465</v>
      </c>
      <c r="Z1459" t="s">
        <v>49</v>
      </c>
      <c r="AA1459" t="s">
        <v>49</v>
      </c>
      <c r="AB1459" t="s">
        <v>50</v>
      </c>
      <c r="AC1459" t="s">
        <v>108</v>
      </c>
      <c r="AD1459" t="s">
        <v>52</v>
      </c>
      <c r="AE1459" t="s">
        <v>53</v>
      </c>
      <c r="AF1459" t="s">
        <v>52</v>
      </c>
      <c r="AG1459" t="s">
        <v>54</v>
      </c>
      <c r="AH1459" t="s">
        <v>55</v>
      </c>
      <c r="AK1459">
        <v>10</v>
      </c>
      <c r="AL1459">
        <v>10</v>
      </c>
      <c r="AN1459">
        <v>539</v>
      </c>
      <c r="AO1459">
        <v>10</v>
      </c>
      <c r="AP1459" t="s">
        <v>56</v>
      </c>
      <c r="AQ1459" t="s">
        <v>109</v>
      </c>
      <c r="AR1459">
        <v>7.85</v>
      </c>
      <c r="AS1459">
        <v>0.02</v>
      </c>
      <c r="AT1459" t="s">
        <v>56</v>
      </c>
      <c r="AU1459">
        <v>1463</v>
      </c>
      <c r="AV1459">
        <v>26</v>
      </c>
      <c r="AW1459" t="s">
        <v>56</v>
      </c>
      <c r="AX1459">
        <v>7.47</v>
      </c>
      <c r="AY1459">
        <v>0.01</v>
      </c>
      <c r="AZ1459" t="s">
        <v>56</v>
      </c>
      <c r="BB1459">
        <f>LOG(AU1459)</f>
        <v>3.1652443261253107</v>
      </c>
      <c r="BC1459">
        <v>15.7</v>
      </c>
      <c r="BD1459">
        <v>0.1</v>
      </c>
      <c r="BE1459" t="s">
        <v>56</v>
      </c>
      <c r="BF1459">
        <v>15.6</v>
      </c>
      <c r="BG1459">
        <v>0.1</v>
      </c>
      <c r="BH1459" t="s">
        <v>56</v>
      </c>
      <c r="BI1459">
        <v>923</v>
      </c>
      <c r="BJ1459">
        <v>-0.1</v>
      </c>
      <c r="BK1459" t="s">
        <v>56</v>
      </c>
      <c r="BL1459" t="s">
        <v>504</v>
      </c>
      <c r="BM1459" t="s">
        <v>59</v>
      </c>
      <c r="BN1459" t="s">
        <v>60</v>
      </c>
      <c r="BO1459" t="s">
        <v>816</v>
      </c>
      <c r="BP1459" t="s">
        <v>62</v>
      </c>
      <c r="BQ1459" s="8" t="s">
        <v>190</v>
      </c>
      <c r="BR1459" t="s">
        <v>63</v>
      </c>
      <c r="BT1459">
        <v>0.35</v>
      </c>
      <c r="BU1459">
        <v>0.348333</v>
      </c>
      <c r="BV1459">
        <v>0.03</v>
      </c>
      <c r="BW1459">
        <f>BV1459*SQRT(AK1459)</f>
        <v>9.4868329805051388E-2</v>
      </c>
      <c r="BX1459">
        <v>0.42</v>
      </c>
      <c r="BY1459">
        <v>0.42333330000000002</v>
      </c>
      <c r="BZ1459">
        <v>0.06</v>
      </c>
      <c r="CA1459">
        <f>BZ1459*SQRT(AL1459)</f>
        <v>0.18973665961010278</v>
      </c>
      <c r="CB1459">
        <v>180</v>
      </c>
      <c r="CC1459">
        <v>10</v>
      </c>
      <c r="CD1459">
        <v>0.19500000000000001</v>
      </c>
      <c r="CE1459">
        <v>2.4500000000000001E-2</v>
      </c>
    </row>
    <row r="1460" spans="4:83" hidden="1" x14ac:dyDescent="0.2">
      <c r="D1460">
        <v>107</v>
      </c>
      <c r="G1460" t="s">
        <v>43</v>
      </c>
      <c r="H1460" t="s">
        <v>813</v>
      </c>
      <c r="J1460">
        <v>2016</v>
      </c>
      <c r="M1460" t="s">
        <v>213</v>
      </c>
      <c r="T1460" t="s">
        <v>68</v>
      </c>
      <c r="U1460" t="s">
        <v>639</v>
      </c>
      <c r="V1460" t="s">
        <v>465</v>
      </c>
      <c r="Z1460" t="s">
        <v>49</v>
      </c>
      <c r="AA1460" t="s">
        <v>49</v>
      </c>
      <c r="AB1460" t="s">
        <v>50</v>
      </c>
      <c r="AC1460" t="s">
        <v>108</v>
      </c>
      <c r="AD1460" t="s">
        <v>52</v>
      </c>
      <c r="AE1460" t="s">
        <v>53</v>
      </c>
      <c r="AF1460" t="s">
        <v>52</v>
      </c>
      <c r="AG1460" t="s">
        <v>52</v>
      </c>
      <c r="AH1460" t="s">
        <v>64</v>
      </c>
      <c r="AK1460">
        <v>10</v>
      </c>
      <c r="AL1460">
        <v>10</v>
      </c>
      <c r="AN1460">
        <v>539</v>
      </c>
      <c r="AO1460">
        <v>10</v>
      </c>
      <c r="AP1460" t="s">
        <v>56</v>
      </c>
      <c r="AQ1460" t="s">
        <v>109</v>
      </c>
      <c r="AR1460">
        <v>7.85</v>
      </c>
      <c r="AS1460">
        <v>0.02</v>
      </c>
      <c r="AT1460" t="s">
        <v>56</v>
      </c>
      <c r="AU1460">
        <v>1446</v>
      </c>
      <c r="AV1460">
        <v>33</v>
      </c>
      <c r="AW1460" t="s">
        <v>56</v>
      </c>
      <c r="AX1460">
        <v>7.47</v>
      </c>
      <c r="AY1460">
        <v>0.02</v>
      </c>
      <c r="AZ1460" t="s">
        <v>56</v>
      </c>
      <c r="BB1460">
        <f>LOG(AU1460)</f>
        <v>3.1601682929585122</v>
      </c>
      <c r="BC1460">
        <v>15.7</v>
      </c>
      <c r="BD1460">
        <v>0.1</v>
      </c>
      <c r="BE1460" t="s">
        <v>56</v>
      </c>
      <c r="BF1460">
        <v>19.3</v>
      </c>
      <c r="BG1460">
        <v>0.1</v>
      </c>
      <c r="BH1460" t="s">
        <v>56</v>
      </c>
      <c r="BI1460">
        <v>906</v>
      </c>
      <c r="BJ1460">
        <v>3.6</v>
      </c>
      <c r="BK1460" t="s">
        <v>56</v>
      </c>
      <c r="BL1460" t="s">
        <v>504</v>
      </c>
      <c r="BM1460" t="s">
        <v>59</v>
      </c>
      <c r="BN1460" t="s">
        <v>60</v>
      </c>
      <c r="BO1460" t="s">
        <v>816</v>
      </c>
      <c r="BP1460" t="s">
        <v>62</v>
      </c>
      <c r="BQ1460" s="8" t="s">
        <v>9</v>
      </c>
      <c r="BR1460" t="s">
        <v>63</v>
      </c>
      <c r="BT1460">
        <v>0.35</v>
      </c>
      <c r="BU1460">
        <v>0.348333</v>
      </c>
      <c r="BV1460">
        <v>0.03</v>
      </c>
      <c r="BW1460">
        <f>BV1460*SQRT(AK1460)</f>
        <v>9.4868329805051388E-2</v>
      </c>
      <c r="BX1460">
        <v>0.59</v>
      </c>
      <c r="BY1460">
        <v>0.59333329999999995</v>
      </c>
      <c r="BZ1460">
        <v>0.1</v>
      </c>
      <c r="CA1460">
        <f>BZ1460*SQRT(AL1460)</f>
        <v>0.316227766016838</v>
      </c>
      <c r="CB1460">
        <v>180</v>
      </c>
      <c r="CC1460">
        <v>10</v>
      </c>
      <c r="CD1460">
        <v>0.53300000000000003</v>
      </c>
      <c r="CE1460">
        <v>3.4099999999999998E-2</v>
      </c>
    </row>
    <row r="1461" spans="4:83" hidden="1" x14ac:dyDescent="0.2">
      <c r="D1461">
        <v>107</v>
      </c>
      <c r="G1461" t="s">
        <v>43</v>
      </c>
      <c r="H1461" t="s">
        <v>813</v>
      </c>
      <c r="J1461">
        <v>2016</v>
      </c>
      <c r="M1461" t="s">
        <v>213</v>
      </c>
      <c r="T1461" t="s">
        <v>68</v>
      </c>
      <c r="U1461" t="s">
        <v>639</v>
      </c>
      <c r="V1461" t="s">
        <v>465</v>
      </c>
      <c r="Z1461" t="s">
        <v>49</v>
      </c>
      <c r="AA1461" t="s">
        <v>49</v>
      </c>
      <c r="AB1461" t="s">
        <v>50</v>
      </c>
      <c r="AC1461" t="s">
        <v>108</v>
      </c>
      <c r="AD1461" t="s">
        <v>52</v>
      </c>
      <c r="AE1461" t="s">
        <v>53</v>
      </c>
      <c r="AF1461" t="s">
        <v>54</v>
      </c>
      <c r="AG1461" t="s">
        <v>52</v>
      </c>
      <c r="AH1461" t="s">
        <v>65</v>
      </c>
      <c r="AK1461">
        <v>10</v>
      </c>
      <c r="AL1461">
        <v>10</v>
      </c>
      <c r="AN1461">
        <v>539</v>
      </c>
      <c r="AO1461">
        <v>10</v>
      </c>
      <c r="AP1461" t="s">
        <v>56</v>
      </c>
      <c r="AQ1461" t="s">
        <v>109</v>
      </c>
      <c r="AR1461">
        <v>7.85</v>
      </c>
      <c r="AS1461">
        <v>0.02</v>
      </c>
      <c r="AT1461" t="s">
        <v>56</v>
      </c>
      <c r="AU1461">
        <v>651</v>
      </c>
      <c r="AV1461">
        <v>26</v>
      </c>
      <c r="AW1461" t="s">
        <v>56</v>
      </c>
      <c r="AX1461">
        <v>7.73</v>
      </c>
      <c r="AY1461">
        <v>0.03</v>
      </c>
      <c r="AZ1461" t="s">
        <v>56</v>
      </c>
      <c r="BB1461">
        <f>LOG(AU1461)</f>
        <v>2.8135809885681922</v>
      </c>
      <c r="BC1461">
        <v>15.7</v>
      </c>
      <c r="BD1461">
        <v>0.1</v>
      </c>
      <c r="BE1461" t="s">
        <v>56</v>
      </c>
      <c r="BF1461">
        <v>19.2</v>
      </c>
      <c r="BG1461">
        <v>0.1</v>
      </c>
      <c r="BH1461" t="s">
        <v>56</v>
      </c>
      <c r="BI1461">
        <v>112</v>
      </c>
      <c r="BJ1461">
        <v>3.4</v>
      </c>
      <c r="BK1461" t="s">
        <v>56</v>
      </c>
      <c r="BL1461" t="s">
        <v>504</v>
      </c>
      <c r="BM1461" t="s">
        <v>59</v>
      </c>
      <c r="BN1461" t="s">
        <v>60</v>
      </c>
      <c r="BO1461" t="s">
        <v>816</v>
      </c>
      <c r="BP1461" t="s">
        <v>62</v>
      </c>
      <c r="BQ1461" s="8" t="s">
        <v>9</v>
      </c>
      <c r="BR1461" t="s">
        <v>63</v>
      </c>
      <c r="BT1461">
        <v>0.35</v>
      </c>
      <c r="BU1461">
        <v>0.348333</v>
      </c>
      <c r="BV1461">
        <v>0.03</v>
      </c>
      <c r="BW1461">
        <f>BV1461*SQRT(AK1461)</f>
        <v>9.4868329805051388E-2</v>
      </c>
      <c r="BX1461">
        <v>0.65</v>
      </c>
      <c r="BY1461">
        <v>0.65166670000000004</v>
      </c>
      <c r="BZ1461">
        <v>0.08</v>
      </c>
      <c r="CA1461">
        <f>BZ1461*SQRT(AL1461)</f>
        <v>0.25298221281347039</v>
      </c>
      <c r="CB1461">
        <v>180</v>
      </c>
      <c r="CC1461">
        <v>10</v>
      </c>
      <c r="CD1461">
        <v>0.626</v>
      </c>
      <c r="CE1461">
        <v>2.23E-2</v>
      </c>
    </row>
    <row r="1462" spans="4:83" hidden="1" x14ac:dyDescent="0.2">
      <c r="D1462">
        <v>107</v>
      </c>
      <c r="G1462" t="s">
        <v>43</v>
      </c>
      <c r="H1462" t="s">
        <v>813</v>
      </c>
      <c r="J1462">
        <v>2016</v>
      </c>
      <c r="M1462" t="s">
        <v>213</v>
      </c>
      <c r="T1462" t="s">
        <v>68</v>
      </c>
      <c r="U1462" t="s">
        <v>639</v>
      </c>
      <c r="V1462" t="s">
        <v>465</v>
      </c>
      <c r="Z1462" t="s">
        <v>49</v>
      </c>
      <c r="AA1462" t="s">
        <v>49</v>
      </c>
      <c r="AB1462" t="s">
        <v>50</v>
      </c>
      <c r="AC1462" t="s">
        <v>108</v>
      </c>
      <c r="AD1462" t="s">
        <v>52</v>
      </c>
      <c r="AE1462" t="s">
        <v>53</v>
      </c>
      <c r="AF1462" t="s">
        <v>52</v>
      </c>
      <c r="AG1462" t="s">
        <v>52</v>
      </c>
      <c r="AH1462" t="s">
        <v>64</v>
      </c>
      <c r="AK1462">
        <v>10</v>
      </c>
      <c r="AL1462">
        <v>10</v>
      </c>
      <c r="AM1462" t="s">
        <v>342</v>
      </c>
      <c r="AN1462">
        <v>539</v>
      </c>
      <c r="AO1462">
        <v>10</v>
      </c>
      <c r="AP1462" t="s">
        <v>56</v>
      </c>
      <c r="AQ1462" t="s">
        <v>109</v>
      </c>
      <c r="AR1462">
        <v>7.85</v>
      </c>
      <c r="AS1462">
        <v>0.02</v>
      </c>
      <c r="AT1462" t="s">
        <v>56</v>
      </c>
      <c r="AU1462">
        <v>1446</v>
      </c>
      <c r="AV1462">
        <v>33</v>
      </c>
      <c r="AW1462" t="s">
        <v>56</v>
      </c>
      <c r="AX1462">
        <v>7.47</v>
      </c>
      <c r="AY1462">
        <v>0.02</v>
      </c>
      <c r="AZ1462" t="s">
        <v>56</v>
      </c>
      <c r="BB1462">
        <f>LOG(AU1462)</f>
        <v>3.1601682929585122</v>
      </c>
      <c r="BC1462">
        <v>15.7</v>
      </c>
      <c r="BD1462">
        <v>0.1</v>
      </c>
      <c r="BE1462" t="s">
        <v>56</v>
      </c>
      <c r="BF1462">
        <v>19.3</v>
      </c>
      <c r="BG1462">
        <v>0.1</v>
      </c>
      <c r="BH1462" t="s">
        <v>56</v>
      </c>
      <c r="BI1462">
        <v>906</v>
      </c>
      <c r="BJ1462">
        <v>3.6</v>
      </c>
      <c r="BK1462" t="s">
        <v>56</v>
      </c>
      <c r="BL1462" t="s">
        <v>478</v>
      </c>
      <c r="BM1462" t="s">
        <v>478</v>
      </c>
      <c r="BN1462" t="s">
        <v>340</v>
      </c>
      <c r="BO1462" t="s">
        <v>500</v>
      </c>
      <c r="BP1462" t="s">
        <v>77</v>
      </c>
      <c r="BQ1462" s="8" t="s">
        <v>9</v>
      </c>
      <c r="BR1462" t="s">
        <v>63</v>
      </c>
      <c r="BT1462">
        <v>5.63</v>
      </c>
      <c r="BU1462">
        <v>5.631373</v>
      </c>
      <c r="BV1462">
        <v>0.6</v>
      </c>
      <c r="BW1462">
        <f>BV1462*SQRT(AK1462)</f>
        <v>1.8973665961010275</v>
      </c>
      <c r="BX1462">
        <v>2.96</v>
      </c>
      <c r="BY1462">
        <v>2.9647058999999998</v>
      </c>
      <c r="BZ1462">
        <v>0.27</v>
      </c>
      <c r="CA1462">
        <f>BZ1462*SQRT(AL1462)</f>
        <v>0.85381496824546255</v>
      </c>
      <c r="CB1462">
        <v>180</v>
      </c>
      <c r="CC1462">
        <v>10</v>
      </c>
      <c r="CD1462">
        <v>0.64200000000000002</v>
      </c>
      <c r="CE1462">
        <v>1.9300000000000001E-2</v>
      </c>
    </row>
    <row r="1463" spans="4:83" hidden="1" x14ac:dyDescent="0.2">
      <c r="D1463">
        <v>107</v>
      </c>
      <c r="G1463" t="s">
        <v>43</v>
      </c>
      <c r="H1463" t="s">
        <v>813</v>
      </c>
      <c r="J1463">
        <v>2016</v>
      </c>
      <c r="M1463" t="s">
        <v>213</v>
      </c>
      <c r="T1463" t="s">
        <v>68</v>
      </c>
      <c r="U1463" t="s">
        <v>639</v>
      </c>
      <c r="V1463" t="s">
        <v>465</v>
      </c>
      <c r="Z1463" t="s">
        <v>49</v>
      </c>
      <c r="AA1463" t="s">
        <v>49</v>
      </c>
      <c r="AB1463" t="s">
        <v>50</v>
      </c>
      <c r="AC1463" t="s">
        <v>108</v>
      </c>
      <c r="AD1463" t="s">
        <v>52</v>
      </c>
      <c r="AE1463" t="s">
        <v>53</v>
      </c>
      <c r="AF1463" t="s">
        <v>52</v>
      </c>
      <c r="AG1463" t="s">
        <v>54</v>
      </c>
      <c r="AH1463" t="s">
        <v>55</v>
      </c>
      <c r="AK1463">
        <v>10</v>
      </c>
      <c r="AL1463">
        <v>9</v>
      </c>
      <c r="AM1463" t="s">
        <v>342</v>
      </c>
      <c r="AN1463">
        <v>539</v>
      </c>
      <c r="AO1463">
        <v>10</v>
      </c>
      <c r="AP1463" t="s">
        <v>56</v>
      </c>
      <c r="AQ1463" t="s">
        <v>109</v>
      </c>
      <c r="AR1463">
        <v>7.85</v>
      </c>
      <c r="AS1463">
        <v>0.02</v>
      </c>
      <c r="AT1463" t="s">
        <v>56</v>
      </c>
      <c r="AU1463">
        <v>1463</v>
      </c>
      <c r="AV1463">
        <v>26</v>
      </c>
      <c r="AW1463" t="s">
        <v>56</v>
      </c>
      <c r="AX1463">
        <v>7.47</v>
      </c>
      <c r="AY1463">
        <v>0.01</v>
      </c>
      <c r="AZ1463" t="s">
        <v>56</v>
      </c>
      <c r="BB1463">
        <f>LOG(AU1463)</f>
        <v>3.1652443261253107</v>
      </c>
      <c r="BC1463">
        <v>15.7</v>
      </c>
      <c r="BD1463">
        <v>0.1</v>
      </c>
      <c r="BE1463" t="s">
        <v>56</v>
      </c>
      <c r="BF1463">
        <v>15.6</v>
      </c>
      <c r="BG1463">
        <v>0.1</v>
      </c>
      <c r="BH1463" t="s">
        <v>56</v>
      </c>
      <c r="BI1463">
        <v>923</v>
      </c>
      <c r="BJ1463">
        <v>-0.1</v>
      </c>
      <c r="BK1463" t="s">
        <v>56</v>
      </c>
      <c r="BL1463" t="s">
        <v>478</v>
      </c>
      <c r="BM1463" t="s">
        <v>478</v>
      </c>
      <c r="BN1463" t="s">
        <v>340</v>
      </c>
      <c r="BO1463" t="s">
        <v>500</v>
      </c>
      <c r="BP1463" t="s">
        <v>77</v>
      </c>
      <c r="BQ1463" s="8" t="s">
        <v>190</v>
      </c>
      <c r="BR1463" t="s">
        <v>63</v>
      </c>
      <c r="BT1463">
        <v>5.63</v>
      </c>
      <c r="BU1463">
        <v>5.631373</v>
      </c>
      <c r="BV1463">
        <v>0.6</v>
      </c>
      <c r="BW1463">
        <f>BV1463*SQRT(AK1463)</f>
        <v>1.8973665961010275</v>
      </c>
      <c r="BX1463">
        <v>2.57</v>
      </c>
      <c r="BY1463">
        <v>2.572549</v>
      </c>
      <c r="BZ1463">
        <v>0.33</v>
      </c>
      <c r="CA1463">
        <f>BZ1463*SQRT(AL1463)</f>
        <v>0.99</v>
      </c>
      <c r="CB1463">
        <v>180</v>
      </c>
      <c r="CC1463">
        <v>10</v>
      </c>
      <c r="CD1463">
        <v>0.78300000000000003</v>
      </c>
      <c r="CE1463">
        <v>2.76E-2</v>
      </c>
    </row>
    <row r="1464" spans="4:83" hidden="1" x14ac:dyDescent="0.2">
      <c r="D1464">
        <v>108</v>
      </c>
      <c r="G1464" t="s">
        <v>43</v>
      </c>
      <c r="H1464" t="s">
        <v>817</v>
      </c>
      <c r="J1464">
        <v>2017</v>
      </c>
      <c r="M1464" t="s">
        <v>308</v>
      </c>
      <c r="T1464" t="s">
        <v>68</v>
      </c>
      <c r="U1464" t="s">
        <v>392</v>
      </c>
      <c r="V1464" t="s">
        <v>818</v>
      </c>
      <c r="Z1464" t="s">
        <v>49</v>
      </c>
      <c r="AA1464" t="s">
        <v>49</v>
      </c>
      <c r="AB1464" t="s">
        <v>50</v>
      </c>
      <c r="AC1464" t="s">
        <v>117</v>
      </c>
      <c r="AD1464" t="s">
        <v>52</v>
      </c>
      <c r="AE1464" t="s">
        <v>53</v>
      </c>
      <c r="AF1464" t="s">
        <v>54</v>
      </c>
      <c r="AG1464" t="s">
        <v>52</v>
      </c>
      <c r="AH1464" t="s">
        <v>65</v>
      </c>
      <c r="AK1464">
        <v>10</v>
      </c>
      <c r="AL1464">
        <v>10</v>
      </c>
      <c r="AN1464">
        <v>384</v>
      </c>
      <c r="AO1464" t="s">
        <v>56</v>
      </c>
      <c r="AP1464">
        <v>38</v>
      </c>
      <c r="AQ1464" t="s">
        <v>109</v>
      </c>
      <c r="AR1464">
        <v>8.11</v>
      </c>
      <c r="AS1464" t="s">
        <v>56</v>
      </c>
      <c r="AT1464">
        <v>0.15</v>
      </c>
      <c r="AU1464">
        <v>400</v>
      </c>
      <c r="AV1464" t="s">
        <v>56</v>
      </c>
      <c r="AW1464">
        <v>36</v>
      </c>
      <c r="AX1464">
        <v>8.09</v>
      </c>
      <c r="AY1464" t="s">
        <v>56</v>
      </c>
      <c r="AZ1464">
        <v>0.17</v>
      </c>
      <c r="BB1464">
        <f>LOG(AU1464)</f>
        <v>2.6020599913279625</v>
      </c>
      <c r="BC1464">
        <v>13.4</v>
      </c>
      <c r="BD1464" t="s">
        <v>56</v>
      </c>
      <c r="BE1464">
        <v>1.9</v>
      </c>
      <c r="BF1464">
        <v>22.1</v>
      </c>
      <c r="BG1464" t="s">
        <v>56</v>
      </c>
      <c r="BH1464">
        <v>2</v>
      </c>
      <c r="BI1464">
        <v>16</v>
      </c>
      <c r="BJ1464">
        <v>8.6999999999999993</v>
      </c>
      <c r="BK1464" t="s">
        <v>56</v>
      </c>
      <c r="BL1464" t="s">
        <v>819</v>
      </c>
      <c r="BM1464" t="s">
        <v>75</v>
      </c>
      <c r="BN1464" t="s">
        <v>60</v>
      </c>
      <c r="BO1464" t="s">
        <v>820</v>
      </c>
      <c r="BP1464" t="s">
        <v>77</v>
      </c>
      <c r="BQ1464" s="8" t="s">
        <v>9</v>
      </c>
      <c r="BR1464" t="s">
        <v>63</v>
      </c>
      <c r="BT1464">
        <v>0</v>
      </c>
      <c r="BU1464">
        <v>3.3609999999999998E-3</v>
      </c>
      <c r="BV1464">
        <v>0</v>
      </c>
      <c r="BW1464">
        <f>BV1464*SQRT(AK1464)</f>
        <v>0</v>
      </c>
      <c r="BX1464">
        <v>0</v>
      </c>
      <c r="BY1464">
        <v>1.5126E-3</v>
      </c>
      <c r="BZ1464">
        <v>0</v>
      </c>
      <c r="CA1464">
        <f>BZ1464*SQRT(AL1464)</f>
        <v>0</v>
      </c>
      <c r="CB1464">
        <v>2</v>
      </c>
      <c r="CC1464">
        <v>3</v>
      </c>
      <c r="CD1464">
        <v>-0.79900000000000004</v>
      </c>
      <c r="CE1464">
        <v>0.1211</v>
      </c>
    </row>
    <row r="1465" spans="4:83" hidden="1" x14ac:dyDescent="0.2">
      <c r="D1465">
        <v>108</v>
      </c>
      <c r="G1465" t="s">
        <v>43</v>
      </c>
      <c r="H1465" t="s">
        <v>817</v>
      </c>
      <c r="J1465">
        <v>2017</v>
      </c>
      <c r="M1465" t="s">
        <v>308</v>
      </c>
      <c r="T1465" t="s">
        <v>68</v>
      </c>
      <c r="U1465" t="s">
        <v>392</v>
      </c>
      <c r="V1465" t="s">
        <v>818</v>
      </c>
      <c r="Z1465" t="s">
        <v>49</v>
      </c>
      <c r="AA1465" t="s">
        <v>49</v>
      </c>
      <c r="AB1465" t="s">
        <v>50</v>
      </c>
      <c r="AC1465" t="s">
        <v>117</v>
      </c>
      <c r="AD1465" t="s">
        <v>52</v>
      </c>
      <c r="AE1465" t="s">
        <v>53</v>
      </c>
      <c r="AF1465" t="s">
        <v>52</v>
      </c>
      <c r="AG1465" t="s">
        <v>54</v>
      </c>
      <c r="AH1465" t="s">
        <v>55</v>
      </c>
      <c r="AK1465">
        <v>10</v>
      </c>
      <c r="AL1465">
        <v>10</v>
      </c>
      <c r="AN1465">
        <v>384</v>
      </c>
      <c r="AO1465" t="s">
        <v>56</v>
      </c>
      <c r="AP1465">
        <v>38</v>
      </c>
      <c r="AQ1465" t="s">
        <v>109</v>
      </c>
      <c r="AR1465">
        <v>8.11</v>
      </c>
      <c r="AS1465" t="s">
        <v>56</v>
      </c>
      <c r="AT1465">
        <v>0.15</v>
      </c>
      <c r="AU1465">
        <v>824</v>
      </c>
      <c r="AV1465" t="s">
        <v>56</v>
      </c>
      <c r="AW1465">
        <v>58</v>
      </c>
      <c r="AX1465">
        <v>7.79</v>
      </c>
      <c r="AY1465" t="s">
        <v>56</v>
      </c>
      <c r="AZ1465">
        <v>0.16</v>
      </c>
      <c r="BB1465">
        <f>LOG(AU1465)</f>
        <v>2.9159272116971158</v>
      </c>
      <c r="BC1465">
        <v>13.4</v>
      </c>
      <c r="BD1465" t="s">
        <v>56</v>
      </c>
      <c r="BE1465">
        <v>1.9</v>
      </c>
      <c r="BF1465">
        <v>13.5</v>
      </c>
      <c r="BG1465" t="s">
        <v>56</v>
      </c>
      <c r="BH1465">
        <v>2.1</v>
      </c>
      <c r="BI1465">
        <v>440</v>
      </c>
      <c r="BJ1465">
        <v>0.1</v>
      </c>
      <c r="BK1465" t="s">
        <v>56</v>
      </c>
      <c r="BL1465" t="s">
        <v>819</v>
      </c>
      <c r="BM1465" t="s">
        <v>75</v>
      </c>
      <c r="BN1465" t="s">
        <v>60</v>
      </c>
      <c r="BO1465" t="s">
        <v>820</v>
      </c>
      <c r="BP1465" t="s">
        <v>77</v>
      </c>
      <c r="BQ1465" s="8" t="s">
        <v>9</v>
      </c>
      <c r="BR1465" t="s">
        <v>63</v>
      </c>
      <c r="BT1465">
        <v>0</v>
      </c>
      <c r="BU1465">
        <v>3.3609999999999998E-3</v>
      </c>
      <c r="BV1465">
        <v>0</v>
      </c>
      <c r="BW1465">
        <f>BV1465*SQRT(AK1465)</f>
        <v>0</v>
      </c>
      <c r="BX1465">
        <v>0</v>
      </c>
      <c r="BY1465">
        <v>2.8571E-3</v>
      </c>
      <c r="BZ1465">
        <v>0</v>
      </c>
      <c r="CA1465">
        <f>BZ1465*SQRT(AL1465)</f>
        <v>0</v>
      </c>
      <c r="CB1465">
        <v>2</v>
      </c>
      <c r="CC1465">
        <v>3</v>
      </c>
      <c r="CD1465">
        <v>-0.16300000000000001</v>
      </c>
      <c r="CE1465">
        <v>4.1099999999999998E-2</v>
      </c>
    </row>
    <row r="1466" spans="4:83" hidden="1" x14ac:dyDescent="0.2">
      <c r="D1466">
        <v>108</v>
      </c>
      <c r="G1466" t="s">
        <v>43</v>
      </c>
      <c r="H1466" t="s">
        <v>817</v>
      </c>
      <c r="J1466">
        <v>2017</v>
      </c>
      <c r="M1466" t="s">
        <v>308</v>
      </c>
      <c r="T1466" t="s">
        <v>68</v>
      </c>
      <c r="U1466" t="s">
        <v>392</v>
      </c>
      <c r="V1466" t="s">
        <v>818</v>
      </c>
      <c r="Z1466" t="s">
        <v>49</v>
      </c>
      <c r="AA1466" t="s">
        <v>49</v>
      </c>
      <c r="AB1466" t="s">
        <v>50</v>
      </c>
      <c r="AC1466" t="s">
        <v>117</v>
      </c>
      <c r="AD1466" t="s">
        <v>52</v>
      </c>
      <c r="AE1466" t="s">
        <v>53</v>
      </c>
      <c r="AF1466" t="s">
        <v>54</v>
      </c>
      <c r="AG1466" t="s">
        <v>52</v>
      </c>
      <c r="AH1466" t="s">
        <v>65</v>
      </c>
      <c r="AK1466">
        <v>10</v>
      </c>
      <c r="AL1466">
        <v>10</v>
      </c>
      <c r="AN1466">
        <v>384</v>
      </c>
      <c r="AO1466" t="s">
        <v>56</v>
      </c>
      <c r="AP1466">
        <v>38</v>
      </c>
      <c r="AQ1466" t="s">
        <v>109</v>
      </c>
      <c r="AR1466">
        <v>8.11</v>
      </c>
      <c r="AS1466" t="s">
        <v>56</v>
      </c>
      <c r="AT1466">
        <v>0.15</v>
      </c>
      <c r="AU1466">
        <v>380</v>
      </c>
      <c r="AV1466" t="s">
        <v>56</v>
      </c>
      <c r="AW1466">
        <v>30</v>
      </c>
      <c r="AX1466">
        <v>8.1</v>
      </c>
      <c r="AY1466" t="s">
        <v>56</v>
      </c>
      <c r="AZ1466">
        <v>0.16</v>
      </c>
      <c r="BB1466">
        <f>LOG(AU1466)</f>
        <v>2.5797835966168101</v>
      </c>
      <c r="BC1466">
        <v>13.4</v>
      </c>
      <c r="BD1466" t="s">
        <v>56</v>
      </c>
      <c r="BE1466">
        <v>1.9</v>
      </c>
      <c r="BF1466">
        <v>16.600000000000001</v>
      </c>
      <c r="BG1466" t="s">
        <v>56</v>
      </c>
      <c r="BH1466">
        <v>2</v>
      </c>
      <c r="BI1466">
        <v>-4</v>
      </c>
      <c r="BJ1466">
        <v>3.2</v>
      </c>
      <c r="BK1466" t="s">
        <v>56</v>
      </c>
      <c r="BL1466" t="s">
        <v>819</v>
      </c>
      <c r="BM1466" t="s">
        <v>75</v>
      </c>
      <c r="BN1466" t="s">
        <v>60</v>
      </c>
      <c r="BO1466" t="s">
        <v>820</v>
      </c>
      <c r="BP1466" t="s">
        <v>77</v>
      </c>
      <c r="BQ1466" s="8" t="s">
        <v>83</v>
      </c>
      <c r="BR1466" t="s">
        <v>63</v>
      </c>
      <c r="BT1466">
        <v>0</v>
      </c>
      <c r="BU1466">
        <v>3.3609999999999998E-3</v>
      </c>
      <c r="BV1466">
        <v>0</v>
      </c>
      <c r="BW1466">
        <f>BV1466*SQRT(AK1466)</f>
        <v>0</v>
      </c>
      <c r="BX1466">
        <v>0</v>
      </c>
      <c r="BY1466">
        <v>3.3612999999999998E-3</v>
      </c>
      <c r="BZ1466">
        <v>0</v>
      </c>
      <c r="CA1466">
        <f>BZ1466*SQRT(AL1466)</f>
        <v>0</v>
      </c>
      <c r="CB1466">
        <v>2</v>
      </c>
      <c r="CC1466">
        <v>3</v>
      </c>
      <c r="CD1466">
        <v>0</v>
      </c>
      <c r="CE1466">
        <v>0.02</v>
      </c>
    </row>
    <row r="1467" spans="4:83" hidden="1" x14ac:dyDescent="0.2">
      <c r="D1467">
        <v>108</v>
      </c>
      <c r="G1467" t="s">
        <v>43</v>
      </c>
      <c r="H1467" t="s">
        <v>817</v>
      </c>
      <c r="J1467">
        <v>2017</v>
      </c>
      <c r="M1467" t="s">
        <v>308</v>
      </c>
      <c r="T1467" t="s">
        <v>68</v>
      </c>
      <c r="U1467" t="s">
        <v>392</v>
      </c>
      <c r="V1467" t="s">
        <v>818</v>
      </c>
      <c r="Z1467" t="s">
        <v>49</v>
      </c>
      <c r="AA1467" t="s">
        <v>49</v>
      </c>
      <c r="AB1467" t="s">
        <v>50</v>
      </c>
      <c r="AC1467" t="s">
        <v>117</v>
      </c>
      <c r="AD1467" t="s">
        <v>52</v>
      </c>
      <c r="AE1467" t="s">
        <v>53</v>
      </c>
      <c r="AF1467" t="s">
        <v>52</v>
      </c>
      <c r="AG1467" t="s">
        <v>52</v>
      </c>
      <c r="AH1467" t="s">
        <v>64</v>
      </c>
      <c r="AK1467">
        <v>10</v>
      </c>
      <c r="AL1467">
        <v>10</v>
      </c>
      <c r="AN1467">
        <v>384</v>
      </c>
      <c r="AO1467" t="s">
        <v>56</v>
      </c>
      <c r="AP1467">
        <v>38</v>
      </c>
      <c r="AQ1467" t="s">
        <v>109</v>
      </c>
      <c r="AR1467">
        <v>8.11</v>
      </c>
      <c r="AS1467" t="s">
        <v>56</v>
      </c>
      <c r="AT1467">
        <v>0.15</v>
      </c>
      <c r="AU1467">
        <v>835</v>
      </c>
      <c r="AV1467" t="s">
        <v>56</v>
      </c>
      <c r="AW1467">
        <v>49</v>
      </c>
      <c r="AX1467">
        <v>7.81</v>
      </c>
      <c r="AY1467" t="s">
        <v>56</v>
      </c>
      <c r="AZ1467">
        <v>0.19</v>
      </c>
      <c r="BB1467">
        <f>LOG(AU1467)</f>
        <v>2.9216864754836021</v>
      </c>
      <c r="BC1467">
        <v>13.4</v>
      </c>
      <c r="BD1467" t="s">
        <v>56</v>
      </c>
      <c r="BE1467">
        <v>1.9</v>
      </c>
      <c r="BF1467">
        <v>22.1</v>
      </c>
      <c r="BG1467" t="s">
        <v>56</v>
      </c>
      <c r="BH1467">
        <v>1.8</v>
      </c>
      <c r="BI1467">
        <v>451</v>
      </c>
      <c r="BJ1467">
        <v>8.6999999999999993</v>
      </c>
      <c r="BK1467" t="s">
        <v>56</v>
      </c>
      <c r="BL1467" t="s">
        <v>819</v>
      </c>
      <c r="BM1467" t="s">
        <v>75</v>
      </c>
      <c r="BN1467" t="s">
        <v>60</v>
      </c>
      <c r="BO1467" t="s">
        <v>820</v>
      </c>
      <c r="BP1467" t="s">
        <v>77</v>
      </c>
      <c r="BQ1467" s="8" t="s">
        <v>9</v>
      </c>
      <c r="BR1467" t="s">
        <v>63</v>
      </c>
      <c r="BT1467">
        <v>0</v>
      </c>
      <c r="BU1467">
        <v>3.3609999999999998E-3</v>
      </c>
      <c r="BV1467">
        <v>0</v>
      </c>
      <c r="BW1467">
        <f>BV1467*SQRT(AK1467)</f>
        <v>0</v>
      </c>
      <c r="BX1467">
        <v>0</v>
      </c>
      <c r="BY1467">
        <v>3.5293999999999998E-3</v>
      </c>
      <c r="BZ1467">
        <v>0</v>
      </c>
      <c r="CA1467">
        <f>BZ1467*SQRT(AL1467)</f>
        <v>0</v>
      </c>
      <c r="CB1467">
        <v>2</v>
      </c>
      <c r="CC1467">
        <v>3</v>
      </c>
      <c r="CD1467">
        <v>4.9000000000000002E-2</v>
      </c>
      <c r="CE1467">
        <v>1.9099999999999999E-2</v>
      </c>
    </row>
    <row r="1468" spans="4:83" hidden="1" x14ac:dyDescent="0.2">
      <c r="D1468">
        <v>108</v>
      </c>
      <c r="G1468" t="s">
        <v>43</v>
      </c>
      <c r="H1468" t="s">
        <v>817</v>
      </c>
      <c r="J1468">
        <v>2017</v>
      </c>
      <c r="M1468" t="s">
        <v>308</v>
      </c>
      <c r="T1468" t="s">
        <v>68</v>
      </c>
      <c r="U1468" t="s">
        <v>392</v>
      </c>
      <c r="V1468" t="s">
        <v>818</v>
      </c>
      <c r="Z1468" t="s">
        <v>49</v>
      </c>
      <c r="AA1468" t="s">
        <v>49</v>
      </c>
      <c r="AB1468" t="s">
        <v>50</v>
      </c>
      <c r="AC1468" t="s">
        <v>117</v>
      </c>
      <c r="AD1468" t="s">
        <v>52</v>
      </c>
      <c r="AE1468" t="s">
        <v>53</v>
      </c>
      <c r="AF1468" t="s">
        <v>54</v>
      </c>
      <c r="AG1468" t="s">
        <v>52</v>
      </c>
      <c r="AH1468" t="s">
        <v>65</v>
      </c>
      <c r="AK1468">
        <v>10</v>
      </c>
      <c r="AL1468">
        <v>10</v>
      </c>
      <c r="AN1468">
        <v>384</v>
      </c>
      <c r="AO1468" t="s">
        <v>56</v>
      </c>
      <c r="AP1468">
        <v>38</v>
      </c>
      <c r="AQ1468" t="s">
        <v>109</v>
      </c>
      <c r="AR1468">
        <v>8.11</v>
      </c>
      <c r="AS1468" t="s">
        <v>56</v>
      </c>
      <c r="AT1468">
        <v>0.15</v>
      </c>
      <c r="AU1468">
        <v>371</v>
      </c>
      <c r="AV1468" t="s">
        <v>56</v>
      </c>
      <c r="AW1468">
        <v>26</v>
      </c>
      <c r="AX1468">
        <v>8.11</v>
      </c>
      <c r="AY1468" t="s">
        <v>56</v>
      </c>
      <c r="AZ1468">
        <v>0.17</v>
      </c>
      <c r="BB1468">
        <f>LOG(AU1468)</f>
        <v>2.5693739096150461</v>
      </c>
      <c r="BC1468">
        <v>13.4</v>
      </c>
      <c r="BD1468" t="s">
        <v>56</v>
      </c>
      <c r="BE1468">
        <v>1.9</v>
      </c>
      <c r="BF1468">
        <v>19.8</v>
      </c>
      <c r="BG1468" t="s">
        <v>56</v>
      </c>
      <c r="BH1468">
        <v>2</v>
      </c>
      <c r="BI1468">
        <v>-13</v>
      </c>
      <c r="BJ1468">
        <v>6.4</v>
      </c>
      <c r="BK1468" t="s">
        <v>56</v>
      </c>
      <c r="BL1468" t="s">
        <v>819</v>
      </c>
      <c r="BM1468" t="s">
        <v>75</v>
      </c>
      <c r="BN1468" t="s">
        <v>60</v>
      </c>
      <c r="BO1468" t="s">
        <v>820</v>
      </c>
      <c r="BP1468" t="s">
        <v>77</v>
      </c>
      <c r="BQ1468" s="8" t="s">
        <v>190</v>
      </c>
      <c r="BR1468" t="s">
        <v>63</v>
      </c>
      <c r="BT1468">
        <v>0</v>
      </c>
      <c r="BU1468">
        <v>3.3609999999999998E-3</v>
      </c>
      <c r="BV1468">
        <v>0</v>
      </c>
      <c r="BW1468">
        <f>BV1468*SQRT(AK1468)</f>
        <v>0</v>
      </c>
      <c r="BX1468">
        <v>0</v>
      </c>
      <c r="BY1468">
        <v>4.0336E-3</v>
      </c>
      <c r="BZ1468">
        <v>0</v>
      </c>
      <c r="CA1468">
        <f>BZ1468*SQRT(AL1468)</f>
        <v>0</v>
      </c>
      <c r="CB1468">
        <v>2</v>
      </c>
      <c r="CC1468">
        <v>3</v>
      </c>
      <c r="CD1468">
        <v>0.182</v>
      </c>
      <c r="CE1468">
        <v>3.78E-2</v>
      </c>
    </row>
    <row r="1469" spans="4:83" hidden="1" x14ac:dyDescent="0.2">
      <c r="D1469">
        <v>108</v>
      </c>
      <c r="G1469" t="s">
        <v>43</v>
      </c>
      <c r="H1469" t="s">
        <v>817</v>
      </c>
      <c r="J1469">
        <v>2017</v>
      </c>
      <c r="M1469" t="s">
        <v>308</v>
      </c>
      <c r="T1469" t="s">
        <v>131</v>
      </c>
      <c r="U1469" t="s">
        <v>821</v>
      </c>
      <c r="V1469" t="s">
        <v>822</v>
      </c>
      <c r="Z1469" t="s">
        <v>49</v>
      </c>
      <c r="AA1469" t="s">
        <v>49</v>
      </c>
      <c r="AB1469" t="s">
        <v>50</v>
      </c>
      <c r="AC1469" t="s">
        <v>117</v>
      </c>
      <c r="AD1469" t="s">
        <v>52</v>
      </c>
      <c r="AE1469" t="s">
        <v>134</v>
      </c>
      <c r="AF1469" t="s">
        <v>54</v>
      </c>
      <c r="AG1469" t="s">
        <v>52</v>
      </c>
      <c r="AH1469" t="s">
        <v>65</v>
      </c>
      <c r="AK1469">
        <v>10</v>
      </c>
      <c r="AL1469">
        <v>10</v>
      </c>
      <c r="AN1469">
        <v>384</v>
      </c>
      <c r="AO1469" t="s">
        <v>56</v>
      </c>
      <c r="AP1469">
        <v>38</v>
      </c>
      <c r="AQ1469" t="s">
        <v>109</v>
      </c>
      <c r="AR1469">
        <v>8.11</v>
      </c>
      <c r="AS1469" t="s">
        <v>56</v>
      </c>
      <c r="AT1469">
        <v>0.15</v>
      </c>
      <c r="AU1469">
        <v>371</v>
      </c>
      <c r="AV1469" t="s">
        <v>56</v>
      </c>
      <c r="AW1469">
        <v>26</v>
      </c>
      <c r="AX1469">
        <v>8.11</v>
      </c>
      <c r="AY1469" t="s">
        <v>56</v>
      </c>
      <c r="AZ1469">
        <v>0.17</v>
      </c>
      <c r="BB1469">
        <f>LOG(AU1469)</f>
        <v>2.5693739096150461</v>
      </c>
      <c r="BC1469">
        <v>13.4</v>
      </c>
      <c r="BD1469" t="s">
        <v>56</v>
      </c>
      <c r="BE1469">
        <v>1.9</v>
      </c>
      <c r="BF1469">
        <v>19.8</v>
      </c>
      <c r="BG1469" t="s">
        <v>56</v>
      </c>
      <c r="BH1469">
        <v>2</v>
      </c>
      <c r="BI1469">
        <v>-13</v>
      </c>
      <c r="BJ1469">
        <v>6.4</v>
      </c>
      <c r="BK1469" t="s">
        <v>56</v>
      </c>
      <c r="BL1469" t="s">
        <v>819</v>
      </c>
      <c r="BM1469" t="s">
        <v>75</v>
      </c>
      <c r="BN1469" t="s">
        <v>60</v>
      </c>
      <c r="BO1469" t="s">
        <v>820</v>
      </c>
      <c r="BP1469" t="s">
        <v>77</v>
      </c>
      <c r="BQ1469" s="8" t="s">
        <v>83</v>
      </c>
      <c r="BR1469" t="s">
        <v>63</v>
      </c>
      <c r="BT1469">
        <v>0.02</v>
      </c>
      <c r="BU1469">
        <v>2.2689000000000001E-2</v>
      </c>
      <c r="BV1469">
        <v>0.01</v>
      </c>
      <c r="BW1469">
        <f>BV1469*SQRT(AK1469)</f>
        <v>3.1622776601683798E-2</v>
      </c>
      <c r="BX1469">
        <v>0.03</v>
      </c>
      <c r="BY1469">
        <v>3.2437000000000001E-2</v>
      </c>
      <c r="BZ1469">
        <v>0.01</v>
      </c>
      <c r="CA1469">
        <f>BZ1469*SQRT(AL1469)</f>
        <v>3.1622776601683798E-2</v>
      </c>
      <c r="CB1469">
        <v>2</v>
      </c>
      <c r="CC1469">
        <v>3</v>
      </c>
      <c r="CD1469">
        <v>0.35699999999999998</v>
      </c>
      <c r="CE1469">
        <v>0.15690000000000001</v>
      </c>
    </row>
    <row r="1470" spans="4:83" hidden="1" x14ac:dyDescent="0.2">
      <c r="D1470">
        <v>108</v>
      </c>
      <c r="G1470" t="s">
        <v>43</v>
      </c>
      <c r="H1470" t="s">
        <v>817</v>
      </c>
      <c r="J1470">
        <v>2017</v>
      </c>
      <c r="M1470" t="s">
        <v>308</v>
      </c>
      <c r="T1470" t="s">
        <v>68</v>
      </c>
      <c r="U1470" t="s">
        <v>392</v>
      </c>
      <c r="V1470" t="s">
        <v>818</v>
      </c>
      <c r="Z1470" t="s">
        <v>49</v>
      </c>
      <c r="AA1470" t="s">
        <v>49</v>
      </c>
      <c r="AB1470" t="s">
        <v>50</v>
      </c>
      <c r="AC1470" t="s">
        <v>117</v>
      </c>
      <c r="AD1470" t="s">
        <v>52</v>
      </c>
      <c r="AE1470" t="s">
        <v>53</v>
      </c>
      <c r="AF1470" t="s">
        <v>52</v>
      </c>
      <c r="AG1470" t="s">
        <v>52</v>
      </c>
      <c r="AH1470" t="s">
        <v>64</v>
      </c>
      <c r="AK1470">
        <v>10</v>
      </c>
      <c r="AL1470">
        <v>10</v>
      </c>
      <c r="AN1470">
        <v>384</v>
      </c>
      <c r="AO1470" t="s">
        <v>56</v>
      </c>
      <c r="AP1470">
        <v>38</v>
      </c>
      <c r="AQ1470" t="s">
        <v>109</v>
      </c>
      <c r="AR1470">
        <v>8.11</v>
      </c>
      <c r="AS1470" t="s">
        <v>56</v>
      </c>
      <c r="AT1470">
        <v>0.15</v>
      </c>
      <c r="AU1470">
        <v>799</v>
      </c>
      <c r="AV1470" t="s">
        <v>56</v>
      </c>
      <c r="AW1470">
        <v>44</v>
      </c>
      <c r="AX1470">
        <v>7.81</v>
      </c>
      <c r="AY1470" t="s">
        <v>56</v>
      </c>
      <c r="AZ1470">
        <v>0.15</v>
      </c>
      <c r="BB1470">
        <f>LOG(AU1470)</f>
        <v>2.9025467793139912</v>
      </c>
      <c r="BC1470">
        <v>13.4</v>
      </c>
      <c r="BD1470" t="s">
        <v>56</v>
      </c>
      <c r="BE1470">
        <v>1.9</v>
      </c>
      <c r="BF1470">
        <v>16.600000000000001</v>
      </c>
      <c r="BG1470" t="s">
        <v>56</v>
      </c>
      <c r="BH1470">
        <v>1.9</v>
      </c>
      <c r="BI1470">
        <v>415</v>
      </c>
      <c r="BJ1470">
        <v>3.2</v>
      </c>
      <c r="BK1470" t="s">
        <v>56</v>
      </c>
      <c r="BL1470" t="s">
        <v>819</v>
      </c>
      <c r="BM1470" t="s">
        <v>75</v>
      </c>
      <c r="BN1470" t="s">
        <v>60</v>
      </c>
      <c r="BO1470" t="s">
        <v>820</v>
      </c>
      <c r="BP1470" t="s">
        <v>77</v>
      </c>
      <c r="BQ1470" s="8" t="s">
        <v>9</v>
      </c>
      <c r="BR1470" t="s">
        <v>63</v>
      </c>
      <c r="BT1470">
        <v>0</v>
      </c>
      <c r="BU1470">
        <v>3.3609999999999998E-3</v>
      </c>
      <c r="BV1470">
        <v>0</v>
      </c>
      <c r="BW1470">
        <f>BV1470*SQRT(AK1470)</f>
        <v>0</v>
      </c>
      <c r="BX1470">
        <v>0.01</v>
      </c>
      <c r="BY1470">
        <v>5.2100999999999996E-3</v>
      </c>
      <c r="BZ1470">
        <v>0</v>
      </c>
      <c r="CA1470">
        <f>BZ1470*SQRT(AL1470)</f>
        <v>0</v>
      </c>
      <c r="CB1470">
        <v>2</v>
      </c>
      <c r="CC1470">
        <v>3</v>
      </c>
      <c r="CD1470">
        <v>0.438</v>
      </c>
      <c r="CE1470">
        <v>1.9400000000000001E-2</v>
      </c>
    </row>
    <row r="1471" spans="4:83" hidden="1" x14ac:dyDescent="0.2">
      <c r="D1471">
        <v>108</v>
      </c>
      <c r="G1471" t="s">
        <v>43</v>
      </c>
      <c r="H1471" t="s">
        <v>817</v>
      </c>
      <c r="J1471">
        <v>2017</v>
      </c>
      <c r="M1471" t="s">
        <v>308</v>
      </c>
      <c r="T1471" t="s">
        <v>131</v>
      </c>
      <c r="U1471" t="s">
        <v>821</v>
      </c>
      <c r="V1471" t="s">
        <v>822</v>
      </c>
      <c r="Z1471" t="s">
        <v>49</v>
      </c>
      <c r="AA1471" t="s">
        <v>49</v>
      </c>
      <c r="AB1471" t="s">
        <v>50</v>
      </c>
      <c r="AC1471" t="s">
        <v>117</v>
      </c>
      <c r="AD1471" t="s">
        <v>52</v>
      </c>
      <c r="AE1471" t="s">
        <v>134</v>
      </c>
      <c r="AF1471" t="s">
        <v>52</v>
      </c>
      <c r="AG1471" t="s">
        <v>52</v>
      </c>
      <c r="AH1471" t="s">
        <v>64</v>
      </c>
      <c r="AK1471">
        <v>10</v>
      </c>
      <c r="AL1471">
        <v>10</v>
      </c>
      <c r="AN1471">
        <v>384</v>
      </c>
      <c r="AO1471" t="s">
        <v>56</v>
      </c>
      <c r="AP1471">
        <v>38</v>
      </c>
      <c r="AQ1471" t="s">
        <v>109</v>
      </c>
      <c r="AR1471">
        <v>8.11</v>
      </c>
      <c r="AS1471" t="s">
        <v>56</v>
      </c>
      <c r="AT1471">
        <v>0.15</v>
      </c>
      <c r="AU1471">
        <v>799</v>
      </c>
      <c r="AV1471" t="s">
        <v>56</v>
      </c>
      <c r="AW1471">
        <v>44</v>
      </c>
      <c r="AX1471">
        <v>7.81</v>
      </c>
      <c r="AY1471" t="s">
        <v>56</v>
      </c>
      <c r="AZ1471">
        <v>0.15</v>
      </c>
      <c r="BB1471">
        <f>LOG(AU1471)</f>
        <v>2.9025467793139912</v>
      </c>
      <c r="BC1471">
        <v>13.4</v>
      </c>
      <c r="BD1471" t="s">
        <v>56</v>
      </c>
      <c r="BE1471">
        <v>1.9</v>
      </c>
      <c r="BF1471">
        <v>16.600000000000001</v>
      </c>
      <c r="BG1471" t="s">
        <v>56</v>
      </c>
      <c r="BH1471">
        <v>1.9</v>
      </c>
      <c r="BI1471">
        <v>415</v>
      </c>
      <c r="BJ1471">
        <v>3.2</v>
      </c>
      <c r="BK1471" t="s">
        <v>56</v>
      </c>
      <c r="BL1471" t="s">
        <v>819</v>
      </c>
      <c r="BM1471" t="s">
        <v>75</v>
      </c>
      <c r="BN1471" t="s">
        <v>60</v>
      </c>
      <c r="BO1471" t="s">
        <v>820</v>
      </c>
      <c r="BP1471" t="s">
        <v>77</v>
      </c>
      <c r="BQ1471" s="8" t="s">
        <v>190</v>
      </c>
      <c r="BR1471" t="s">
        <v>63</v>
      </c>
      <c r="BT1471">
        <v>0.02</v>
      </c>
      <c r="BU1471">
        <v>2.2689000000000001E-2</v>
      </c>
      <c r="BV1471">
        <v>0.01</v>
      </c>
      <c r="BW1471">
        <f>BV1471*SQRT(AK1471)</f>
        <v>3.1622776601683798E-2</v>
      </c>
      <c r="BX1471">
        <v>0.04</v>
      </c>
      <c r="BY1471">
        <v>3.61345E-2</v>
      </c>
      <c r="BZ1471">
        <v>0</v>
      </c>
      <c r="CA1471">
        <f>BZ1471*SQRT(AL1471)</f>
        <v>0</v>
      </c>
      <c r="CB1471">
        <v>2</v>
      </c>
      <c r="CC1471">
        <v>3</v>
      </c>
      <c r="CD1471">
        <v>0.46500000000000002</v>
      </c>
      <c r="CE1471">
        <v>8.1600000000000006E-2</v>
      </c>
    </row>
    <row r="1472" spans="4:83" hidden="1" x14ac:dyDescent="0.2">
      <c r="D1472">
        <v>108</v>
      </c>
      <c r="G1472" t="s">
        <v>43</v>
      </c>
      <c r="H1472" t="s">
        <v>817</v>
      </c>
      <c r="J1472">
        <v>2017</v>
      </c>
      <c r="M1472" t="s">
        <v>308</v>
      </c>
      <c r="T1472" t="s">
        <v>131</v>
      </c>
      <c r="U1472" t="s">
        <v>821</v>
      </c>
      <c r="V1472" t="s">
        <v>822</v>
      </c>
      <c r="Z1472" t="s">
        <v>49</v>
      </c>
      <c r="AA1472" t="s">
        <v>49</v>
      </c>
      <c r="AB1472" t="s">
        <v>50</v>
      </c>
      <c r="AC1472" t="s">
        <v>117</v>
      </c>
      <c r="AD1472" t="s">
        <v>52</v>
      </c>
      <c r="AE1472" t="s">
        <v>134</v>
      </c>
      <c r="AF1472" t="s">
        <v>54</v>
      </c>
      <c r="AG1472" t="s">
        <v>52</v>
      </c>
      <c r="AH1472" t="s">
        <v>65</v>
      </c>
      <c r="AK1472">
        <v>10</v>
      </c>
      <c r="AL1472">
        <v>10</v>
      </c>
      <c r="AN1472">
        <v>384</v>
      </c>
      <c r="AO1472" t="s">
        <v>56</v>
      </c>
      <c r="AP1472">
        <v>38</v>
      </c>
      <c r="AQ1472" t="s">
        <v>109</v>
      </c>
      <c r="AR1472">
        <v>8.11</v>
      </c>
      <c r="AS1472" t="s">
        <v>56</v>
      </c>
      <c r="AT1472">
        <v>0.15</v>
      </c>
      <c r="AU1472">
        <v>380</v>
      </c>
      <c r="AV1472" t="s">
        <v>56</v>
      </c>
      <c r="AW1472">
        <v>30</v>
      </c>
      <c r="AX1472">
        <v>8.1</v>
      </c>
      <c r="AY1472" t="s">
        <v>56</v>
      </c>
      <c r="AZ1472">
        <v>0.16</v>
      </c>
      <c r="BB1472">
        <f>LOG(AU1472)</f>
        <v>2.5797835966168101</v>
      </c>
      <c r="BC1472">
        <v>13.4</v>
      </c>
      <c r="BD1472" t="s">
        <v>56</v>
      </c>
      <c r="BE1472">
        <v>1.9</v>
      </c>
      <c r="BF1472">
        <v>16.600000000000001</v>
      </c>
      <c r="BG1472" t="s">
        <v>56</v>
      </c>
      <c r="BH1472">
        <v>2</v>
      </c>
      <c r="BI1472">
        <v>-4</v>
      </c>
      <c r="BJ1472">
        <v>3.2</v>
      </c>
      <c r="BK1472" t="s">
        <v>56</v>
      </c>
      <c r="BL1472" t="s">
        <v>819</v>
      </c>
      <c r="BM1472" t="s">
        <v>75</v>
      </c>
      <c r="BN1472" t="s">
        <v>60</v>
      </c>
      <c r="BO1472" t="s">
        <v>820</v>
      </c>
      <c r="BP1472" t="s">
        <v>77</v>
      </c>
      <c r="BQ1472" s="8" t="s">
        <v>9</v>
      </c>
      <c r="BR1472" t="s">
        <v>63</v>
      </c>
      <c r="BT1472">
        <v>0.02</v>
      </c>
      <c r="BU1472">
        <v>2.2689000000000001E-2</v>
      </c>
      <c r="BV1472">
        <v>0.01</v>
      </c>
      <c r="BW1472">
        <f>BV1472*SQRT(AK1472)</f>
        <v>3.1622776601683798E-2</v>
      </c>
      <c r="BX1472">
        <v>0.04</v>
      </c>
      <c r="BY1472">
        <v>3.9495799999999998E-2</v>
      </c>
      <c r="BZ1472">
        <v>0</v>
      </c>
      <c r="CA1472">
        <f>BZ1472*SQRT(AL1472)</f>
        <v>0</v>
      </c>
      <c r="CB1472">
        <v>2</v>
      </c>
      <c r="CC1472">
        <v>3</v>
      </c>
      <c r="CD1472">
        <v>0.55400000000000005</v>
      </c>
      <c r="CE1472">
        <v>6.8699999999999997E-2</v>
      </c>
    </row>
    <row r="1473" spans="2:83" hidden="1" x14ac:dyDescent="0.2">
      <c r="D1473">
        <v>108</v>
      </c>
      <c r="G1473" t="s">
        <v>43</v>
      </c>
      <c r="H1473" t="s">
        <v>817</v>
      </c>
      <c r="J1473">
        <v>2017</v>
      </c>
      <c r="M1473" t="s">
        <v>308</v>
      </c>
      <c r="T1473" t="s">
        <v>131</v>
      </c>
      <c r="U1473" t="s">
        <v>821</v>
      </c>
      <c r="V1473" t="s">
        <v>822</v>
      </c>
      <c r="Z1473" t="s">
        <v>49</v>
      </c>
      <c r="AA1473" t="s">
        <v>49</v>
      </c>
      <c r="AB1473" t="s">
        <v>50</v>
      </c>
      <c r="AC1473" t="s">
        <v>117</v>
      </c>
      <c r="AD1473" t="s">
        <v>52</v>
      </c>
      <c r="AE1473" t="s">
        <v>134</v>
      </c>
      <c r="AF1473" t="s">
        <v>52</v>
      </c>
      <c r="AG1473" t="s">
        <v>52</v>
      </c>
      <c r="AH1473" t="s">
        <v>64</v>
      </c>
      <c r="AK1473">
        <v>10</v>
      </c>
      <c r="AL1473">
        <v>10</v>
      </c>
      <c r="AN1473">
        <v>384</v>
      </c>
      <c r="AO1473" t="s">
        <v>56</v>
      </c>
      <c r="AP1473">
        <v>38</v>
      </c>
      <c r="AQ1473" t="s">
        <v>109</v>
      </c>
      <c r="AR1473">
        <v>8.11</v>
      </c>
      <c r="AS1473" t="s">
        <v>56</v>
      </c>
      <c r="AT1473">
        <v>0.15</v>
      </c>
      <c r="AU1473">
        <v>835</v>
      </c>
      <c r="AV1473" t="s">
        <v>56</v>
      </c>
      <c r="AW1473">
        <v>49</v>
      </c>
      <c r="AX1473">
        <v>7.81</v>
      </c>
      <c r="AY1473" t="s">
        <v>56</v>
      </c>
      <c r="AZ1473">
        <v>0.19</v>
      </c>
      <c r="BB1473">
        <f>LOG(AU1473)</f>
        <v>2.9216864754836021</v>
      </c>
      <c r="BC1473">
        <v>13.4</v>
      </c>
      <c r="BD1473" t="s">
        <v>56</v>
      </c>
      <c r="BE1473">
        <v>1.9</v>
      </c>
      <c r="BF1473">
        <v>22.1</v>
      </c>
      <c r="BG1473" t="s">
        <v>56</v>
      </c>
      <c r="BH1473">
        <v>1.8</v>
      </c>
      <c r="BI1473">
        <v>451</v>
      </c>
      <c r="BJ1473">
        <v>8.6999999999999993</v>
      </c>
      <c r="BK1473" t="s">
        <v>56</v>
      </c>
      <c r="BL1473" t="s">
        <v>819</v>
      </c>
      <c r="BM1473" t="s">
        <v>75</v>
      </c>
      <c r="BN1473" t="s">
        <v>60</v>
      </c>
      <c r="BO1473" t="s">
        <v>820</v>
      </c>
      <c r="BP1473" t="s">
        <v>77</v>
      </c>
      <c r="BQ1473" s="8" t="s">
        <v>83</v>
      </c>
      <c r="BR1473" t="s">
        <v>63</v>
      </c>
      <c r="BT1473">
        <v>0.02</v>
      </c>
      <c r="BU1473">
        <v>2.2689000000000001E-2</v>
      </c>
      <c r="BV1473">
        <v>0.01</v>
      </c>
      <c r="BW1473">
        <f>BV1473*SQRT(AK1473)</f>
        <v>3.1622776601683798E-2</v>
      </c>
      <c r="BX1473">
        <v>0.04</v>
      </c>
      <c r="BY1473">
        <v>4.2857100000000002E-2</v>
      </c>
      <c r="BZ1473">
        <v>0.01</v>
      </c>
      <c r="CA1473">
        <f>BZ1473*SQRT(AL1473)</f>
        <v>3.1622776601683798E-2</v>
      </c>
      <c r="CB1473">
        <v>2</v>
      </c>
      <c r="CC1473">
        <v>3</v>
      </c>
      <c r="CD1473">
        <v>0.63600000000000001</v>
      </c>
      <c r="CE1473">
        <v>9.8900000000000002E-2</v>
      </c>
    </row>
    <row r="1474" spans="2:83" hidden="1" x14ac:dyDescent="0.2">
      <c r="D1474">
        <v>108</v>
      </c>
      <c r="G1474" t="s">
        <v>43</v>
      </c>
      <c r="H1474" t="s">
        <v>817</v>
      </c>
      <c r="J1474">
        <v>2017</v>
      </c>
      <c r="M1474" t="s">
        <v>308</v>
      </c>
      <c r="T1474" t="s">
        <v>131</v>
      </c>
      <c r="U1474" t="s">
        <v>821</v>
      </c>
      <c r="V1474" t="s">
        <v>822</v>
      </c>
      <c r="Z1474" t="s">
        <v>49</v>
      </c>
      <c r="AA1474" t="s">
        <v>49</v>
      </c>
      <c r="AB1474" t="s">
        <v>50</v>
      </c>
      <c r="AC1474" t="s">
        <v>117</v>
      </c>
      <c r="AD1474" t="s">
        <v>52</v>
      </c>
      <c r="AE1474" t="s">
        <v>134</v>
      </c>
      <c r="AF1474" t="s">
        <v>52</v>
      </c>
      <c r="AG1474" t="s">
        <v>54</v>
      </c>
      <c r="AH1474" t="s">
        <v>55</v>
      </c>
      <c r="AK1474">
        <v>10</v>
      </c>
      <c r="AL1474">
        <v>10</v>
      </c>
      <c r="AN1474">
        <v>384</v>
      </c>
      <c r="AO1474" t="s">
        <v>56</v>
      </c>
      <c r="AP1474">
        <v>38</v>
      </c>
      <c r="AQ1474" t="s">
        <v>109</v>
      </c>
      <c r="AR1474">
        <v>8.11</v>
      </c>
      <c r="AS1474" t="s">
        <v>56</v>
      </c>
      <c r="AT1474">
        <v>0.15</v>
      </c>
      <c r="AU1474">
        <v>824</v>
      </c>
      <c r="AV1474" t="s">
        <v>56</v>
      </c>
      <c r="AW1474">
        <v>58</v>
      </c>
      <c r="AX1474">
        <v>7.79</v>
      </c>
      <c r="AY1474" t="s">
        <v>56</v>
      </c>
      <c r="AZ1474">
        <v>0.16</v>
      </c>
      <c r="BB1474">
        <f>LOG(AU1474)</f>
        <v>2.9159272116971158</v>
      </c>
      <c r="BC1474">
        <v>13.4</v>
      </c>
      <c r="BD1474" t="s">
        <v>56</v>
      </c>
      <c r="BE1474">
        <v>1.9</v>
      </c>
      <c r="BF1474">
        <v>13.5</v>
      </c>
      <c r="BG1474" t="s">
        <v>56</v>
      </c>
      <c r="BH1474">
        <v>2.1</v>
      </c>
      <c r="BI1474">
        <v>440</v>
      </c>
      <c r="BJ1474">
        <v>0.1</v>
      </c>
      <c r="BK1474" t="s">
        <v>56</v>
      </c>
      <c r="BL1474" t="s">
        <v>819</v>
      </c>
      <c r="BM1474" t="s">
        <v>75</v>
      </c>
      <c r="BN1474" t="s">
        <v>60</v>
      </c>
      <c r="BO1474" t="s">
        <v>820</v>
      </c>
      <c r="BP1474" t="s">
        <v>77</v>
      </c>
      <c r="BQ1474" s="8" t="s">
        <v>9</v>
      </c>
      <c r="BR1474" t="s">
        <v>63</v>
      </c>
      <c r="BT1474">
        <v>0.02</v>
      </c>
      <c r="BU1474">
        <v>2.2689000000000001E-2</v>
      </c>
      <c r="BV1474">
        <v>0.01</v>
      </c>
      <c r="BW1474">
        <f>BV1474*SQRT(AK1474)</f>
        <v>3.1622776601683798E-2</v>
      </c>
      <c r="BX1474">
        <v>0.05</v>
      </c>
      <c r="BY1474">
        <v>4.5210100000000003E-2</v>
      </c>
      <c r="BZ1474">
        <v>0.01</v>
      </c>
      <c r="CA1474">
        <f>BZ1474*SQRT(AL1474)</f>
        <v>3.1622776601683798E-2</v>
      </c>
      <c r="CB1474">
        <v>2</v>
      </c>
      <c r="CC1474">
        <v>3</v>
      </c>
      <c r="CD1474">
        <v>0.68899999999999995</v>
      </c>
      <c r="CE1474">
        <v>7.5899999999999995E-2</v>
      </c>
    </row>
    <row r="1475" spans="2:83" hidden="1" x14ac:dyDescent="0.2">
      <c r="D1475">
        <v>108</v>
      </c>
      <c r="G1475" t="s">
        <v>43</v>
      </c>
      <c r="H1475" t="s">
        <v>817</v>
      </c>
      <c r="J1475">
        <v>2017</v>
      </c>
      <c r="M1475" t="s">
        <v>308</v>
      </c>
      <c r="T1475" t="s">
        <v>131</v>
      </c>
      <c r="U1475" t="s">
        <v>821</v>
      </c>
      <c r="V1475" t="s">
        <v>822</v>
      </c>
      <c r="Z1475" t="s">
        <v>49</v>
      </c>
      <c r="AA1475" t="s">
        <v>49</v>
      </c>
      <c r="AB1475" t="s">
        <v>50</v>
      </c>
      <c r="AC1475" t="s">
        <v>117</v>
      </c>
      <c r="AD1475" t="s">
        <v>52</v>
      </c>
      <c r="AE1475" t="s">
        <v>134</v>
      </c>
      <c r="AF1475" t="s">
        <v>52</v>
      </c>
      <c r="AG1475" t="s">
        <v>52</v>
      </c>
      <c r="AH1475" t="s">
        <v>64</v>
      </c>
      <c r="AK1475">
        <v>10</v>
      </c>
      <c r="AL1475">
        <v>10</v>
      </c>
      <c r="AN1475">
        <v>384</v>
      </c>
      <c r="AO1475" t="s">
        <v>56</v>
      </c>
      <c r="AP1475">
        <v>38</v>
      </c>
      <c r="AQ1475" t="s">
        <v>109</v>
      </c>
      <c r="AR1475">
        <v>8.11</v>
      </c>
      <c r="AS1475" t="s">
        <v>56</v>
      </c>
      <c r="AT1475">
        <v>0.15</v>
      </c>
      <c r="AU1475">
        <v>827</v>
      </c>
      <c r="AV1475" t="s">
        <v>56</v>
      </c>
      <c r="AW1475">
        <v>36</v>
      </c>
      <c r="AX1475">
        <v>7.79</v>
      </c>
      <c r="AY1475" t="s">
        <v>56</v>
      </c>
      <c r="AZ1475">
        <v>0.18</v>
      </c>
      <c r="BB1475">
        <f>LOG(AU1475)</f>
        <v>2.9175055095525466</v>
      </c>
      <c r="BC1475">
        <v>13.4</v>
      </c>
      <c r="BD1475" t="s">
        <v>56</v>
      </c>
      <c r="BE1475">
        <v>1.9</v>
      </c>
      <c r="BF1475">
        <v>19.899999999999999</v>
      </c>
      <c r="BG1475" t="s">
        <v>56</v>
      </c>
      <c r="BH1475">
        <v>2</v>
      </c>
      <c r="BI1475">
        <v>443</v>
      </c>
      <c r="BJ1475">
        <v>6.5</v>
      </c>
      <c r="BK1475" t="s">
        <v>56</v>
      </c>
      <c r="BL1475" t="s">
        <v>819</v>
      </c>
      <c r="BM1475" t="s">
        <v>75</v>
      </c>
      <c r="BN1475" t="s">
        <v>60</v>
      </c>
      <c r="BO1475" t="s">
        <v>820</v>
      </c>
      <c r="BP1475" t="s">
        <v>77</v>
      </c>
      <c r="BQ1475" s="8" t="s">
        <v>9</v>
      </c>
      <c r="BR1475" t="s">
        <v>63</v>
      </c>
      <c r="BT1475">
        <v>0.02</v>
      </c>
      <c r="BU1475">
        <v>2.2689000000000001E-2</v>
      </c>
      <c r="BV1475">
        <v>0.01</v>
      </c>
      <c r="BW1475">
        <f>BV1475*SQRT(AK1475)</f>
        <v>3.1622776601683798E-2</v>
      </c>
      <c r="BX1475">
        <v>0.05</v>
      </c>
      <c r="BY1475">
        <v>4.9747899999999998E-2</v>
      </c>
      <c r="BZ1475">
        <v>0.01</v>
      </c>
      <c r="CA1475">
        <f>BZ1475*SQRT(AL1475)</f>
        <v>3.1622776601683798E-2</v>
      </c>
      <c r="CB1475">
        <v>2</v>
      </c>
      <c r="CC1475">
        <v>3</v>
      </c>
      <c r="CD1475">
        <v>0.78500000000000003</v>
      </c>
      <c r="CE1475">
        <v>7.6600000000000001E-2</v>
      </c>
    </row>
    <row r="1476" spans="2:83" hidden="1" x14ac:dyDescent="0.2">
      <c r="D1476">
        <v>108</v>
      </c>
      <c r="G1476" t="s">
        <v>43</v>
      </c>
      <c r="H1476" t="s">
        <v>817</v>
      </c>
      <c r="J1476">
        <v>2017</v>
      </c>
      <c r="M1476" t="s">
        <v>308</v>
      </c>
      <c r="T1476" t="s">
        <v>68</v>
      </c>
      <c r="U1476" t="s">
        <v>392</v>
      </c>
      <c r="V1476" t="s">
        <v>818</v>
      </c>
      <c r="Z1476" t="s">
        <v>49</v>
      </c>
      <c r="AA1476" t="s">
        <v>49</v>
      </c>
      <c r="AB1476" t="s">
        <v>50</v>
      </c>
      <c r="AC1476" t="s">
        <v>117</v>
      </c>
      <c r="AD1476" t="s">
        <v>52</v>
      </c>
      <c r="AE1476" t="s">
        <v>53</v>
      </c>
      <c r="AF1476" t="s">
        <v>52</v>
      </c>
      <c r="AG1476" t="s">
        <v>52</v>
      </c>
      <c r="AH1476" t="s">
        <v>64</v>
      </c>
      <c r="AK1476">
        <v>10</v>
      </c>
      <c r="AL1476">
        <v>10</v>
      </c>
      <c r="AN1476">
        <v>384</v>
      </c>
      <c r="AO1476" t="s">
        <v>56</v>
      </c>
      <c r="AP1476">
        <v>38</v>
      </c>
      <c r="AQ1476" t="s">
        <v>109</v>
      </c>
      <c r="AR1476">
        <v>8.11</v>
      </c>
      <c r="AS1476" t="s">
        <v>56</v>
      </c>
      <c r="AT1476">
        <v>0.15</v>
      </c>
      <c r="AU1476">
        <v>827</v>
      </c>
      <c r="AV1476" t="s">
        <v>56</v>
      </c>
      <c r="AW1476">
        <v>36</v>
      </c>
      <c r="AX1476">
        <v>7.79</v>
      </c>
      <c r="AY1476" t="s">
        <v>56</v>
      </c>
      <c r="AZ1476">
        <v>0.18</v>
      </c>
      <c r="BB1476">
        <f>LOG(AU1476)</f>
        <v>2.9175055095525466</v>
      </c>
      <c r="BC1476">
        <v>13.4</v>
      </c>
      <c r="BD1476" t="s">
        <v>56</v>
      </c>
      <c r="BE1476">
        <v>1.9</v>
      </c>
      <c r="BF1476">
        <v>19.899999999999999</v>
      </c>
      <c r="BG1476" t="s">
        <v>56</v>
      </c>
      <c r="BH1476">
        <v>2</v>
      </c>
      <c r="BI1476">
        <v>443</v>
      </c>
      <c r="BJ1476">
        <v>6.5</v>
      </c>
      <c r="BK1476" t="s">
        <v>56</v>
      </c>
      <c r="BL1476" t="s">
        <v>819</v>
      </c>
      <c r="BM1476" t="s">
        <v>75</v>
      </c>
      <c r="BN1476" t="s">
        <v>60</v>
      </c>
      <c r="BO1476" t="s">
        <v>820</v>
      </c>
      <c r="BP1476" t="s">
        <v>77</v>
      </c>
      <c r="BQ1476" s="8" t="s">
        <v>83</v>
      </c>
      <c r="BR1476" t="s">
        <v>63</v>
      </c>
      <c r="BT1476">
        <v>0</v>
      </c>
      <c r="BU1476">
        <v>3.3609999999999998E-3</v>
      </c>
      <c r="BV1476">
        <v>0</v>
      </c>
      <c r="BW1476">
        <f>BV1476*SQRT(AK1476)</f>
        <v>0</v>
      </c>
      <c r="BX1476">
        <v>0.01</v>
      </c>
      <c r="BY1476">
        <v>7.3949999999999997E-3</v>
      </c>
      <c r="BZ1476">
        <v>0</v>
      </c>
      <c r="CA1476">
        <f>BZ1476*SQRT(AL1476)</f>
        <v>0</v>
      </c>
      <c r="CB1476">
        <v>2</v>
      </c>
      <c r="CC1476">
        <v>3</v>
      </c>
      <c r="CD1476">
        <v>0.78800000000000003</v>
      </c>
      <c r="CE1476">
        <v>0.1774</v>
      </c>
    </row>
    <row r="1477" spans="2:83" hidden="1" x14ac:dyDescent="0.2">
      <c r="D1477">
        <v>108</v>
      </c>
      <c r="G1477" t="s">
        <v>43</v>
      </c>
      <c r="H1477" t="s">
        <v>817</v>
      </c>
      <c r="J1477">
        <v>2017</v>
      </c>
      <c r="M1477" t="s">
        <v>308</v>
      </c>
      <c r="T1477" t="s">
        <v>131</v>
      </c>
      <c r="U1477" t="s">
        <v>821</v>
      </c>
      <c r="V1477" t="s">
        <v>822</v>
      </c>
      <c r="Z1477" t="s">
        <v>49</v>
      </c>
      <c r="AA1477" t="s">
        <v>49</v>
      </c>
      <c r="AB1477" t="s">
        <v>50</v>
      </c>
      <c r="AC1477" t="s">
        <v>117</v>
      </c>
      <c r="AD1477" t="s">
        <v>52</v>
      </c>
      <c r="AE1477" t="s">
        <v>134</v>
      </c>
      <c r="AF1477" t="s">
        <v>54</v>
      </c>
      <c r="AG1477" t="s">
        <v>52</v>
      </c>
      <c r="AH1477" t="s">
        <v>65</v>
      </c>
      <c r="AK1477">
        <v>10</v>
      </c>
      <c r="AL1477">
        <v>10</v>
      </c>
      <c r="AN1477">
        <v>384</v>
      </c>
      <c r="AO1477" t="s">
        <v>56</v>
      </c>
      <c r="AP1477">
        <v>38</v>
      </c>
      <c r="AQ1477" t="s">
        <v>109</v>
      </c>
      <c r="AR1477">
        <v>8.11</v>
      </c>
      <c r="AS1477" t="s">
        <v>56</v>
      </c>
      <c r="AT1477">
        <v>0.15</v>
      </c>
      <c r="AU1477">
        <v>400</v>
      </c>
      <c r="AV1477" t="s">
        <v>56</v>
      </c>
      <c r="AW1477">
        <v>36</v>
      </c>
      <c r="AX1477">
        <v>8.09</v>
      </c>
      <c r="AY1477" t="s">
        <v>56</v>
      </c>
      <c r="AZ1477">
        <v>0.17</v>
      </c>
      <c r="BB1477">
        <f>LOG(AU1477)</f>
        <v>2.6020599913279625</v>
      </c>
      <c r="BC1477">
        <v>13.4</v>
      </c>
      <c r="BD1477" t="s">
        <v>56</v>
      </c>
      <c r="BE1477">
        <v>1.9</v>
      </c>
      <c r="BF1477">
        <v>22.1</v>
      </c>
      <c r="BG1477" t="s">
        <v>56</v>
      </c>
      <c r="BH1477">
        <v>2</v>
      </c>
      <c r="BI1477">
        <v>16</v>
      </c>
      <c r="BJ1477">
        <v>8.6999999999999993</v>
      </c>
      <c r="BK1477" t="s">
        <v>56</v>
      </c>
      <c r="BL1477" t="s">
        <v>819</v>
      </c>
      <c r="BM1477" t="s">
        <v>75</v>
      </c>
      <c r="BN1477" t="s">
        <v>60</v>
      </c>
      <c r="BO1477" t="s">
        <v>820</v>
      </c>
      <c r="BP1477" t="s">
        <v>77</v>
      </c>
      <c r="BQ1477" s="8" t="s">
        <v>9</v>
      </c>
      <c r="BR1477" t="s">
        <v>63</v>
      </c>
      <c r="BT1477">
        <v>0.02</v>
      </c>
      <c r="BU1477">
        <v>2.2689000000000001E-2</v>
      </c>
      <c r="BV1477">
        <v>0.01</v>
      </c>
      <c r="BW1477">
        <f>BV1477*SQRT(AK1477)</f>
        <v>3.1622776601683798E-2</v>
      </c>
      <c r="BX1477">
        <v>0.05</v>
      </c>
      <c r="BY1477">
        <v>5.2604999999999999E-2</v>
      </c>
      <c r="BZ1477">
        <v>0.01</v>
      </c>
      <c r="CA1477">
        <f>BZ1477*SQRT(AL1477)</f>
        <v>3.1622776601683798E-2</v>
      </c>
      <c r="CB1477">
        <v>2</v>
      </c>
      <c r="CC1477">
        <v>3</v>
      </c>
      <c r="CD1477">
        <v>0.84099999999999997</v>
      </c>
      <c r="CE1477">
        <v>7.7399999999999997E-2</v>
      </c>
    </row>
    <row r="1478" spans="2:83" hidden="1" x14ac:dyDescent="0.2">
      <c r="D1478">
        <v>109</v>
      </c>
      <c r="G1478" t="s">
        <v>43</v>
      </c>
      <c r="H1478" t="s">
        <v>823</v>
      </c>
      <c r="J1478">
        <v>2017</v>
      </c>
      <c r="M1478" t="s">
        <v>45</v>
      </c>
      <c r="T1478" t="s">
        <v>68</v>
      </c>
      <c r="U1478" t="s">
        <v>639</v>
      </c>
      <c r="V1478" t="s">
        <v>824</v>
      </c>
      <c r="Z1478" t="s">
        <v>106</v>
      </c>
      <c r="AA1478" t="s">
        <v>107</v>
      </c>
      <c r="AB1478" t="s">
        <v>50</v>
      </c>
      <c r="AC1478" t="s">
        <v>117</v>
      </c>
      <c r="AD1478" t="s">
        <v>52</v>
      </c>
      <c r="AE1478" t="s">
        <v>53</v>
      </c>
      <c r="AF1478" t="s">
        <v>52</v>
      </c>
      <c r="AG1478" t="s">
        <v>54</v>
      </c>
      <c r="AH1478" t="s">
        <v>55</v>
      </c>
      <c r="AK1478">
        <v>3</v>
      </c>
      <c r="AL1478">
        <v>3</v>
      </c>
      <c r="AN1478">
        <v>379</v>
      </c>
      <c r="AO1478" t="s">
        <v>56</v>
      </c>
      <c r="AP1478">
        <v>36</v>
      </c>
      <c r="AQ1478" t="s">
        <v>56</v>
      </c>
      <c r="AR1478" t="s">
        <v>56</v>
      </c>
      <c r="AS1478" t="s">
        <v>56</v>
      </c>
      <c r="AT1478" t="s">
        <v>56</v>
      </c>
      <c r="AU1478">
        <v>750</v>
      </c>
      <c r="AV1478" t="s">
        <v>56</v>
      </c>
      <c r="AW1478">
        <v>81</v>
      </c>
      <c r="AX1478" t="s">
        <v>56</v>
      </c>
      <c r="AY1478" t="s">
        <v>56</v>
      </c>
      <c r="AZ1478" t="s">
        <v>56</v>
      </c>
      <c r="BB1478">
        <f>LOG(AU1478)</f>
        <v>2.8750612633917001</v>
      </c>
      <c r="BC1478">
        <v>22.9</v>
      </c>
      <c r="BD1478" t="s">
        <v>56</v>
      </c>
      <c r="BE1478">
        <v>0.6</v>
      </c>
      <c r="BF1478">
        <v>22.9</v>
      </c>
      <c r="BG1478" t="s">
        <v>56</v>
      </c>
      <c r="BH1478">
        <v>0.5</v>
      </c>
      <c r="BI1478">
        <v>371</v>
      </c>
      <c r="BJ1478">
        <v>0</v>
      </c>
      <c r="BK1478" t="s">
        <v>56</v>
      </c>
      <c r="BL1478" t="s">
        <v>819</v>
      </c>
      <c r="BM1478" t="s">
        <v>75</v>
      </c>
      <c r="BN1478" t="s">
        <v>60</v>
      </c>
      <c r="BO1478" t="s">
        <v>825</v>
      </c>
      <c r="BP1478" t="s">
        <v>77</v>
      </c>
      <c r="BQ1478" s="8" t="s">
        <v>9</v>
      </c>
      <c r="BR1478" t="s">
        <v>63</v>
      </c>
      <c r="BT1478">
        <v>0.23</v>
      </c>
      <c r="BU1478">
        <v>0.228132</v>
      </c>
      <c r="BV1478">
        <v>0.04</v>
      </c>
      <c r="BW1478">
        <f>BV1478*SQRT(AK1478)</f>
        <v>6.9282032302755092E-2</v>
      </c>
      <c r="BX1478">
        <v>0.32</v>
      </c>
      <c r="BY1478">
        <v>0.31516480000000002</v>
      </c>
      <c r="BZ1478">
        <v>0.17</v>
      </c>
      <c r="CA1478">
        <f>BZ1478*SQRT(AL1478)</f>
        <v>0.29444863728670917</v>
      </c>
      <c r="CB1478">
        <v>35</v>
      </c>
      <c r="CC1478">
        <v>3</v>
      </c>
      <c r="CD1478">
        <v>0.32300000000000001</v>
      </c>
      <c r="CE1478">
        <v>0.34350000000000003</v>
      </c>
    </row>
    <row r="1479" spans="2:83" hidden="1" x14ac:dyDescent="0.2">
      <c r="D1479">
        <v>109</v>
      </c>
      <c r="G1479" t="s">
        <v>43</v>
      </c>
      <c r="H1479" t="s">
        <v>823</v>
      </c>
      <c r="J1479">
        <v>2017</v>
      </c>
      <c r="M1479" t="s">
        <v>45</v>
      </c>
      <c r="T1479" t="s">
        <v>68</v>
      </c>
      <c r="U1479" t="s">
        <v>639</v>
      </c>
      <c r="V1479" t="s">
        <v>824</v>
      </c>
      <c r="Z1479" t="s">
        <v>106</v>
      </c>
      <c r="AA1479" t="s">
        <v>107</v>
      </c>
      <c r="AB1479" t="s">
        <v>50</v>
      </c>
      <c r="AC1479" t="s">
        <v>117</v>
      </c>
      <c r="AD1479" t="s">
        <v>52</v>
      </c>
      <c r="AE1479" t="s">
        <v>53</v>
      </c>
      <c r="AF1479" t="s">
        <v>54</v>
      </c>
      <c r="AG1479" t="s">
        <v>52</v>
      </c>
      <c r="AH1479" t="s">
        <v>65</v>
      </c>
      <c r="AK1479">
        <v>3</v>
      </c>
      <c r="AL1479">
        <v>3</v>
      </c>
      <c r="AN1479">
        <v>379</v>
      </c>
      <c r="AO1479" t="s">
        <v>56</v>
      </c>
      <c r="AP1479">
        <v>36</v>
      </c>
      <c r="AQ1479" t="s">
        <v>56</v>
      </c>
      <c r="AR1479" t="s">
        <v>56</v>
      </c>
      <c r="AS1479" t="s">
        <v>56</v>
      </c>
      <c r="AT1479" t="s">
        <v>56</v>
      </c>
      <c r="AU1479">
        <v>382</v>
      </c>
      <c r="AV1479" t="s">
        <v>56</v>
      </c>
      <c r="AW1479">
        <v>36</v>
      </c>
      <c r="AX1479" t="s">
        <v>56</v>
      </c>
      <c r="AY1479" t="s">
        <v>56</v>
      </c>
      <c r="AZ1479" t="s">
        <v>56</v>
      </c>
      <c r="BB1479">
        <f>LOG(AU1479)</f>
        <v>2.5820633629117089</v>
      </c>
      <c r="BC1479">
        <v>22.9</v>
      </c>
      <c r="BD1479" t="s">
        <v>56</v>
      </c>
      <c r="BE1479">
        <v>0.6</v>
      </c>
      <c r="BF1479">
        <v>25.2</v>
      </c>
      <c r="BG1479" t="s">
        <v>56</v>
      </c>
      <c r="BH1479">
        <v>0.6</v>
      </c>
      <c r="BI1479">
        <v>4</v>
      </c>
      <c r="BJ1479">
        <v>2.2999999999999998</v>
      </c>
      <c r="BK1479" t="s">
        <v>56</v>
      </c>
      <c r="BL1479" t="s">
        <v>819</v>
      </c>
      <c r="BM1479" t="s">
        <v>75</v>
      </c>
      <c r="BN1479" t="s">
        <v>60</v>
      </c>
      <c r="BO1479" t="s">
        <v>825</v>
      </c>
      <c r="BP1479" t="s">
        <v>77</v>
      </c>
      <c r="BQ1479" s="8" t="s">
        <v>9</v>
      </c>
      <c r="BR1479" t="s">
        <v>63</v>
      </c>
      <c r="BT1479">
        <v>0.23</v>
      </c>
      <c r="BU1479">
        <v>0.228132</v>
      </c>
      <c r="BV1479">
        <v>0.04</v>
      </c>
      <c r="BW1479">
        <f>BV1479*SQRT(AK1479)</f>
        <v>6.9282032302755092E-2</v>
      </c>
      <c r="BX1479">
        <v>0.41</v>
      </c>
      <c r="BY1479">
        <v>0.41010990000000003</v>
      </c>
      <c r="BZ1479">
        <v>0.1</v>
      </c>
      <c r="CA1479">
        <f>BZ1479*SQRT(AL1479)</f>
        <v>0.17320508075688773</v>
      </c>
      <c r="CB1479">
        <v>35</v>
      </c>
      <c r="CC1479">
        <v>3</v>
      </c>
      <c r="CD1479">
        <v>0.58699999999999997</v>
      </c>
      <c r="CE1479">
        <v>9.7500000000000003E-2</v>
      </c>
    </row>
    <row r="1480" spans="2:83" hidden="1" x14ac:dyDescent="0.2">
      <c r="D1480">
        <v>109</v>
      </c>
      <c r="G1480" t="s">
        <v>43</v>
      </c>
      <c r="H1480" t="s">
        <v>823</v>
      </c>
      <c r="J1480">
        <v>2017</v>
      </c>
      <c r="M1480" t="s">
        <v>45</v>
      </c>
      <c r="T1480" t="s">
        <v>68</v>
      </c>
      <c r="U1480" t="s">
        <v>639</v>
      </c>
      <c r="V1480" t="s">
        <v>824</v>
      </c>
      <c r="Z1480" t="s">
        <v>106</v>
      </c>
      <c r="AA1480" t="s">
        <v>107</v>
      </c>
      <c r="AB1480" t="s">
        <v>50</v>
      </c>
      <c r="AC1480" t="s">
        <v>117</v>
      </c>
      <c r="AD1480" t="s">
        <v>52</v>
      </c>
      <c r="AE1480" t="s">
        <v>53</v>
      </c>
      <c r="AF1480" t="s">
        <v>52</v>
      </c>
      <c r="AG1480" t="s">
        <v>52</v>
      </c>
      <c r="AH1480" t="s">
        <v>64</v>
      </c>
      <c r="AK1480">
        <v>3</v>
      </c>
      <c r="AL1480">
        <v>3</v>
      </c>
      <c r="AN1480">
        <v>379</v>
      </c>
      <c r="AO1480" t="s">
        <v>56</v>
      </c>
      <c r="AP1480">
        <v>36</v>
      </c>
      <c r="AQ1480" t="s">
        <v>56</v>
      </c>
      <c r="AR1480" t="s">
        <v>56</v>
      </c>
      <c r="AS1480" t="s">
        <v>56</v>
      </c>
      <c r="AT1480" t="s">
        <v>56</v>
      </c>
      <c r="AU1480">
        <v>763</v>
      </c>
      <c r="AV1480" t="s">
        <v>56</v>
      </c>
      <c r="AW1480">
        <v>105</v>
      </c>
      <c r="AX1480" t="s">
        <v>56</v>
      </c>
      <c r="AY1480" t="s">
        <v>56</v>
      </c>
      <c r="AZ1480" t="s">
        <v>56</v>
      </c>
      <c r="BB1480">
        <f>LOG(AU1480)</f>
        <v>2.8825245379548803</v>
      </c>
      <c r="BC1480">
        <v>22.9</v>
      </c>
      <c r="BD1480" t="s">
        <v>56</v>
      </c>
      <c r="BE1480">
        <v>0.6</v>
      </c>
      <c r="BF1480">
        <v>25.3</v>
      </c>
      <c r="BG1480" t="s">
        <v>56</v>
      </c>
      <c r="BH1480">
        <v>0.6</v>
      </c>
      <c r="BI1480">
        <v>384</v>
      </c>
      <c r="BJ1480">
        <v>2.4</v>
      </c>
      <c r="BK1480" t="s">
        <v>56</v>
      </c>
      <c r="BL1480" t="s">
        <v>819</v>
      </c>
      <c r="BM1480" t="s">
        <v>75</v>
      </c>
      <c r="BN1480" t="s">
        <v>60</v>
      </c>
      <c r="BO1480" t="s">
        <v>825</v>
      </c>
      <c r="BP1480" t="s">
        <v>77</v>
      </c>
      <c r="BQ1480" s="8" t="s">
        <v>9</v>
      </c>
      <c r="BR1480" t="s">
        <v>63</v>
      </c>
      <c r="BT1480">
        <v>0.23</v>
      </c>
      <c r="BU1480">
        <v>0.228132</v>
      </c>
      <c r="BV1480">
        <v>0.04</v>
      </c>
      <c r="BW1480">
        <f>BV1480*SQRT(AK1480)</f>
        <v>6.9282032302755092E-2</v>
      </c>
      <c r="BX1480">
        <v>0.53</v>
      </c>
      <c r="BY1480">
        <v>0.53274730000000003</v>
      </c>
      <c r="BZ1480">
        <v>7.0000000000000007E-2</v>
      </c>
      <c r="CA1480">
        <f>BZ1480*SQRT(AL1480)</f>
        <v>0.12124355652982141</v>
      </c>
      <c r="CB1480">
        <v>35</v>
      </c>
      <c r="CC1480">
        <v>3</v>
      </c>
      <c r="CD1480">
        <v>0.84799999999999998</v>
      </c>
      <c r="CE1480">
        <v>5.33E-2</v>
      </c>
    </row>
    <row r="1481" spans="2:83" hidden="1" x14ac:dyDescent="0.2">
      <c r="D1481">
        <v>110</v>
      </c>
      <c r="G1481" t="s">
        <v>43</v>
      </c>
      <c r="H1481" t="s">
        <v>826</v>
      </c>
      <c r="J1481">
        <v>2015</v>
      </c>
      <c r="M1481" t="s">
        <v>827</v>
      </c>
      <c r="T1481" t="s">
        <v>68</v>
      </c>
      <c r="U1481" t="s">
        <v>639</v>
      </c>
      <c r="V1481" t="s">
        <v>824</v>
      </c>
      <c r="Z1481" t="s">
        <v>106</v>
      </c>
      <c r="AA1481" t="s">
        <v>107</v>
      </c>
      <c r="AB1481" t="s">
        <v>50</v>
      </c>
      <c r="AC1481" t="s">
        <v>117</v>
      </c>
      <c r="AD1481" t="s">
        <v>52</v>
      </c>
      <c r="AE1481" t="s">
        <v>53</v>
      </c>
      <c r="AF1481" t="s">
        <v>52</v>
      </c>
      <c r="AG1481" t="s">
        <v>52</v>
      </c>
      <c r="AH1481" t="s">
        <v>64</v>
      </c>
      <c r="AK1481">
        <v>6</v>
      </c>
      <c r="AL1481">
        <v>6</v>
      </c>
      <c r="AN1481">
        <v>379</v>
      </c>
      <c r="AO1481" t="s">
        <v>56</v>
      </c>
      <c r="AP1481">
        <v>36</v>
      </c>
      <c r="AQ1481" t="s">
        <v>56</v>
      </c>
      <c r="AR1481" t="s">
        <v>56</v>
      </c>
      <c r="AS1481" t="s">
        <v>56</v>
      </c>
      <c r="AT1481" t="s">
        <v>56</v>
      </c>
      <c r="AU1481">
        <v>763</v>
      </c>
      <c r="AV1481" t="s">
        <v>56</v>
      </c>
      <c r="AW1481">
        <v>105</v>
      </c>
      <c r="AX1481" t="s">
        <v>56</v>
      </c>
      <c r="AY1481" t="s">
        <v>56</v>
      </c>
      <c r="AZ1481" t="s">
        <v>56</v>
      </c>
      <c r="BB1481">
        <f>LOG(AU1481)</f>
        <v>2.8825245379548803</v>
      </c>
      <c r="BC1481">
        <v>22.9</v>
      </c>
      <c r="BD1481" t="s">
        <v>56</v>
      </c>
      <c r="BE1481">
        <v>0.6</v>
      </c>
      <c r="BF1481">
        <v>25.3</v>
      </c>
      <c r="BG1481" t="s">
        <v>56</v>
      </c>
      <c r="BH1481">
        <v>0.6</v>
      </c>
      <c r="BI1481">
        <v>384</v>
      </c>
      <c r="BJ1481">
        <v>2.4</v>
      </c>
      <c r="BK1481" t="s">
        <v>56</v>
      </c>
      <c r="BL1481" t="s">
        <v>828</v>
      </c>
      <c r="BM1481" t="s">
        <v>192</v>
      </c>
      <c r="BN1481" t="s">
        <v>60</v>
      </c>
      <c r="BO1481" t="s">
        <v>829</v>
      </c>
      <c r="BP1481" t="s">
        <v>194</v>
      </c>
      <c r="BQ1481" s="8" t="s">
        <v>190</v>
      </c>
      <c r="BR1481" t="s">
        <v>63</v>
      </c>
      <c r="BT1481">
        <v>6.34</v>
      </c>
      <c r="BU1481">
        <v>6.3393499999999996</v>
      </c>
      <c r="BV1481">
        <v>0.85</v>
      </c>
      <c r="BW1481">
        <f>BV1481*SQRT(AK1481)</f>
        <v>2.0820662813657012</v>
      </c>
      <c r="BX1481">
        <v>3.51</v>
      </c>
      <c r="BY1481">
        <v>3.5090252999999998</v>
      </c>
      <c r="BZ1481">
        <v>0.38</v>
      </c>
      <c r="CA1481">
        <f>BZ1481*SQRT(AL1481)</f>
        <v>0.93080610225760763</v>
      </c>
      <c r="CB1481">
        <v>35</v>
      </c>
      <c r="CC1481">
        <v>3</v>
      </c>
      <c r="CD1481">
        <v>-0.59099999999999997</v>
      </c>
      <c r="CE1481">
        <v>2.9499999999999998E-2</v>
      </c>
    </row>
    <row r="1482" spans="2:83" hidden="1" x14ac:dyDescent="0.2">
      <c r="D1482">
        <v>110</v>
      </c>
      <c r="G1482" t="s">
        <v>43</v>
      </c>
      <c r="H1482" t="s">
        <v>826</v>
      </c>
      <c r="J1482">
        <v>2015</v>
      </c>
      <c r="M1482" t="s">
        <v>827</v>
      </c>
      <c r="T1482" t="s">
        <v>68</v>
      </c>
      <c r="U1482" t="s">
        <v>639</v>
      </c>
      <c r="V1482" t="s">
        <v>824</v>
      </c>
      <c r="Z1482" t="s">
        <v>106</v>
      </c>
      <c r="AA1482" t="s">
        <v>107</v>
      </c>
      <c r="AB1482" t="s">
        <v>50</v>
      </c>
      <c r="AC1482" t="s">
        <v>117</v>
      </c>
      <c r="AD1482" t="s">
        <v>52</v>
      </c>
      <c r="AE1482" t="s">
        <v>53</v>
      </c>
      <c r="AF1482" t="s">
        <v>54</v>
      </c>
      <c r="AG1482" t="s">
        <v>52</v>
      </c>
      <c r="AH1482" t="s">
        <v>65</v>
      </c>
      <c r="AK1482">
        <v>6</v>
      </c>
      <c r="AL1482">
        <v>6</v>
      </c>
      <c r="AN1482">
        <v>379</v>
      </c>
      <c r="AO1482" t="s">
        <v>56</v>
      </c>
      <c r="AP1482">
        <v>36</v>
      </c>
      <c r="AQ1482" t="s">
        <v>56</v>
      </c>
      <c r="AR1482" t="s">
        <v>56</v>
      </c>
      <c r="AS1482" t="s">
        <v>56</v>
      </c>
      <c r="AT1482" t="s">
        <v>56</v>
      </c>
      <c r="AU1482">
        <v>382</v>
      </c>
      <c r="AV1482" t="s">
        <v>56</v>
      </c>
      <c r="AW1482">
        <v>36</v>
      </c>
      <c r="AX1482" t="s">
        <v>56</v>
      </c>
      <c r="AY1482" t="s">
        <v>56</v>
      </c>
      <c r="AZ1482" t="s">
        <v>56</v>
      </c>
      <c r="BB1482">
        <f>LOG(AU1482)</f>
        <v>2.5820633629117089</v>
      </c>
      <c r="BC1482">
        <v>22.9</v>
      </c>
      <c r="BD1482" t="s">
        <v>56</v>
      </c>
      <c r="BE1482">
        <v>0.6</v>
      </c>
      <c r="BF1482">
        <v>25.2</v>
      </c>
      <c r="BG1482" t="s">
        <v>56</v>
      </c>
      <c r="BH1482">
        <v>0.6</v>
      </c>
      <c r="BI1482">
        <v>4</v>
      </c>
      <c r="BJ1482">
        <v>2.2999999999999998</v>
      </c>
      <c r="BK1482" t="s">
        <v>56</v>
      </c>
      <c r="BL1482" t="s">
        <v>828</v>
      </c>
      <c r="BM1482" t="s">
        <v>192</v>
      </c>
      <c r="BN1482" t="s">
        <v>60</v>
      </c>
      <c r="BO1482" t="s">
        <v>829</v>
      </c>
      <c r="BP1482" t="s">
        <v>194</v>
      </c>
      <c r="BQ1482" s="8" t="s">
        <v>190</v>
      </c>
      <c r="BR1482" t="s">
        <v>63</v>
      </c>
      <c r="BT1482">
        <v>6.34</v>
      </c>
      <c r="BU1482">
        <v>6.3393499999999996</v>
      </c>
      <c r="BV1482">
        <v>0.85</v>
      </c>
      <c r="BW1482">
        <f>BV1482*SQRT(AK1482)</f>
        <v>2.0820662813657012</v>
      </c>
      <c r="BX1482">
        <v>3.57</v>
      </c>
      <c r="BY1482">
        <v>3.5667870000000002</v>
      </c>
      <c r="BZ1482">
        <v>0.28999999999999998</v>
      </c>
      <c r="CA1482">
        <f>BZ1482*SQRT(AL1482)</f>
        <v>0.7103520254071215</v>
      </c>
      <c r="CB1482">
        <v>35</v>
      </c>
      <c r="CC1482">
        <v>3</v>
      </c>
      <c r="CD1482">
        <v>-0.57499999999999996</v>
      </c>
      <c r="CE1482">
        <v>2.46E-2</v>
      </c>
    </row>
    <row r="1483" spans="2:83" hidden="1" x14ac:dyDescent="0.2">
      <c r="D1483">
        <v>110</v>
      </c>
      <c r="G1483" t="s">
        <v>43</v>
      </c>
      <c r="H1483" t="s">
        <v>826</v>
      </c>
      <c r="J1483">
        <v>2015</v>
      </c>
      <c r="M1483" t="s">
        <v>827</v>
      </c>
      <c r="T1483" t="s">
        <v>68</v>
      </c>
      <c r="U1483" t="s">
        <v>639</v>
      </c>
      <c r="V1483" t="s">
        <v>824</v>
      </c>
      <c r="Z1483" t="s">
        <v>106</v>
      </c>
      <c r="AA1483" t="s">
        <v>107</v>
      </c>
      <c r="AB1483" t="s">
        <v>50</v>
      </c>
      <c r="AC1483" t="s">
        <v>117</v>
      </c>
      <c r="AD1483" t="s">
        <v>52</v>
      </c>
      <c r="AE1483" t="s">
        <v>53</v>
      </c>
      <c r="AF1483" t="s">
        <v>52</v>
      </c>
      <c r="AG1483" t="s">
        <v>54</v>
      </c>
      <c r="AH1483" t="s">
        <v>55</v>
      </c>
      <c r="AK1483">
        <v>6</v>
      </c>
      <c r="AL1483">
        <v>6</v>
      </c>
      <c r="AN1483">
        <v>379</v>
      </c>
      <c r="AO1483" t="s">
        <v>56</v>
      </c>
      <c r="AP1483">
        <v>36</v>
      </c>
      <c r="AQ1483" t="s">
        <v>56</v>
      </c>
      <c r="AR1483" t="s">
        <v>56</v>
      </c>
      <c r="AS1483" t="s">
        <v>56</v>
      </c>
      <c r="AT1483" t="s">
        <v>56</v>
      </c>
      <c r="AU1483">
        <v>750</v>
      </c>
      <c r="AV1483" t="s">
        <v>56</v>
      </c>
      <c r="AW1483">
        <v>81</v>
      </c>
      <c r="AX1483" t="s">
        <v>56</v>
      </c>
      <c r="AY1483" t="s">
        <v>56</v>
      </c>
      <c r="AZ1483" t="s">
        <v>56</v>
      </c>
      <c r="BB1483">
        <f>LOG(AU1483)</f>
        <v>2.8750612633917001</v>
      </c>
      <c r="BC1483">
        <v>22.9</v>
      </c>
      <c r="BD1483" t="s">
        <v>56</v>
      </c>
      <c r="BE1483">
        <v>0.6</v>
      </c>
      <c r="BF1483">
        <v>22.9</v>
      </c>
      <c r="BG1483" t="s">
        <v>56</v>
      </c>
      <c r="BH1483">
        <v>0.5</v>
      </c>
      <c r="BI1483">
        <v>371</v>
      </c>
      <c r="BJ1483">
        <v>0</v>
      </c>
      <c r="BK1483" t="s">
        <v>56</v>
      </c>
      <c r="BL1483" t="s">
        <v>828</v>
      </c>
      <c r="BM1483" t="s">
        <v>192</v>
      </c>
      <c r="BN1483" t="s">
        <v>60</v>
      </c>
      <c r="BO1483" t="s">
        <v>829</v>
      </c>
      <c r="BP1483" t="s">
        <v>194</v>
      </c>
      <c r="BQ1483" s="8" t="s">
        <v>190</v>
      </c>
      <c r="BR1483" t="s">
        <v>63</v>
      </c>
      <c r="BT1483">
        <v>6.34</v>
      </c>
      <c r="BU1483">
        <v>6.3393499999999996</v>
      </c>
      <c r="BV1483">
        <v>0.85</v>
      </c>
      <c r="BW1483">
        <f>BV1483*SQRT(AK1483)</f>
        <v>2.0820662813657012</v>
      </c>
      <c r="BX1483">
        <v>5.01</v>
      </c>
      <c r="BY1483">
        <v>5.0108303000000003</v>
      </c>
      <c r="BZ1483">
        <v>0.12</v>
      </c>
      <c r="CA1483">
        <f>BZ1483*SQRT(AL1483)</f>
        <v>0.29393876913398131</v>
      </c>
      <c r="CB1483">
        <v>35</v>
      </c>
      <c r="CC1483">
        <v>3</v>
      </c>
      <c r="CD1483">
        <v>-0.23499999999999999</v>
      </c>
      <c r="CE1483">
        <v>1.8599999999999998E-2</v>
      </c>
    </row>
    <row r="1484" spans="2:83" hidden="1" x14ac:dyDescent="0.2">
      <c r="D1484">
        <v>52</v>
      </c>
      <c r="G1484" t="s">
        <v>43</v>
      </c>
      <c r="H1484" t="s">
        <v>536</v>
      </c>
      <c r="J1484">
        <v>2017</v>
      </c>
      <c r="M1484" t="s">
        <v>174</v>
      </c>
      <c r="P1484" t="s">
        <v>1135</v>
      </c>
      <c r="R1484" t="s">
        <v>1127</v>
      </c>
      <c r="S1484" t="s">
        <v>1128</v>
      </c>
      <c r="T1484" t="s">
        <v>103</v>
      </c>
      <c r="U1484" t="s">
        <v>201</v>
      </c>
      <c r="V1484" t="s">
        <v>214</v>
      </c>
      <c r="Z1484" t="s">
        <v>106</v>
      </c>
      <c r="AA1484" t="s">
        <v>107</v>
      </c>
      <c r="AB1484" t="s">
        <v>71</v>
      </c>
      <c r="AC1484" t="s">
        <v>72</v>
      </c>
      <c r="AD1484" t="s">
        <v>52</v>
      </c>
      <c r="AE1484" t="s">
        <v>53</v>
      </c>
      <c r="AF1484" t="s">
        <v>54</v>
      </c>
      <c r="AG1484" t="s">
        <v>52</v>
      </c>
      <c r="AH1484" t="s">
        <v>65</v>
      </c>
      <c r="AK1484">
        <v>4</v>
      </c>
      <c r="AL1484">
        <v>4</v>
      </c>
      <c r="AM1484" t="s">
        <v>263</v>
      </c>
      <c r="AN1484">
        <v>494</v>
      </c>
      <c r="AO1484">
        <v>9</v>
      </c>
      <c r="AP1484" t="s">
        <v>56</v>
      </c>
      <c r="AQ1484" t="s">
        <v>109</v>
      </c>
      <c r="AR1484">
        <v>7.97</v>
      </c>
      <c r="AS1484">
        <v>0.01</v>
      </c>
      <c r="AT1484" t="s">
        <v>56</v>
      </c>
      <c r="AU1484">
        <v>487</v>
      </c>
      <c r="AV1484">
        <v>9</v>
      </c>
      <c r="AW1484" t="s">
        <v>56</v>
      </c>
      <c r="AX1484">
        <v>7.98</v>
      </c>
      <c r="AY1484">
        <v>0.01</v>
      </c>
      <c r="AZ1484" t="s">
        <v>56</v>
      </c>
      <c r="BB1484">
        <f>LOG(AU1484)</f>
        <v>2.6875289612146345</v>
      </c>
      <c r="BC1484">
        <v>27.8</v>
      </c>
      <c r="BD1484">
        <v>0.2</v>
      </c>
      <c r="BE1484" t="s">
        <v>56</v>
      </c>
      <c r="BF1484">
        <v>30.5</v>
      </c>
      <c r="BG1484">
        <v>0.1</v>
      </c>
      <c r="BH1484" t="s">
        <v>56</v>
      </c>
      <c r="BI1484">
        <v>-7</v>
      </c>
      <c r="BJ1484">
        <v>3</v>
      </c>
      <c r="BK1484" t="s">
        <v>539</v>
      </c>
      <c r="BL1484" t="s">
        <v>540</v>
      </c>
      <c r="BM1484" t="s">
        <v>354</v>
      </c>
      <c r="BN1484" t="s">
        <v>60</v>
      </c>
      <c r="BO1484" t="s">
        <v>541</v>
      </c>
      <c r="BP1484" t="s">
        <v>194</v>
      </c>
      <c r="BQ1484" s="8" t="s">
        <v>190</v>
      </c>
      <c r="BR1484" t="s">
        <v>63</v>
      </c>
      <c r="BT1484">
        <v>0.83</v>
      </c>
      <c r="BU1484">
        <v>3.1119539999999999</v>
      </c>
      <c r="BV1484">
        <v>3.16</v>
      </c>
      <c r="BW1484">
        <f>BV1484*SQRT(AK1484)</f>
        <v>6.32</v>
      </c>
      <c r="BX1484">
        <v>-1.1399999999999999</v>
      </c>
      <c r="BY1484">
        <v>1.1385198999999999</v>
      </c>
      <c r="BZ1484">
        <v>2.0299999999999998</v>
      </c>
      <c r="CA1484">
        <f>BZ1484*SQRT(AL1484)</f>
        <v>4.0599999999999996</v>
      </c>
      <c r="CB1484">
        <v>1</v>
      </c>
      <c r="CC1484">
        <v>2</v>
      </c>
      <c r="CE1484">
        <v>4.2217000000000002</v>
      </c>
    </row>
    <row r="1485" spans="2:83" hidden="1" x14ac:dyDescent="0.2">
      <c r="B1485" t="str">
        <f>ROW()-1&amp;"_AltersInvert"</f>
        <v>1484_AltersInvert</v>
      </c>
      <c r="C1485" t="str">
        <f>D1485&amp;"_"&amp;
SUBSTITUTE(TRIM(V1485)," ","_")&amp;"_"&amp;
TRIM(AC1485)&amp;"_"&amp;
"CO2"&amp;TEXT(AN1485,"0.00")&amp;"_"&amp;
"pH"&amp;TEXT(AR1485,"0.00")&amp;"_"&amp;
"T"&amp;TEXT(BC1485,"0.##")</f>
        <v>21_Tritia_reticulata_LARVA_CO2533.00_pH8.10_T18.9</v>
      </c>
      <c r="D1485">
        <v>21</v>
      </c>
      <c r="G1485" t="s">
        <v>43</v>
      </c>
      <c r="H1485" t="s">
        <v>292</v>
      </c>
      <c r="J1485">
        <v>2020</v>
      </c>
      <c r="M1485" t="s">
        <v>293</v>
      </c>
      <c r="P1485" t="s">
        <v>1135</v>
      </c>
      <c r="R1485" t="s">
        <v>1127</v>
      </c>
      <c r="S1485" t="s">
        <v>1128</v>
      </c>
      <c r="T1485" t="s">
        <v>68</v>
      </c>
      <c r="U1485" t="s">
        <v>294</v>
      </c>
      <c r="V1485" t="s">
        <v>295</v>
      </c>
      <c r="Z1485" t="s">
        <v>49</v>
      </c>
      <c r="AA1485" t="s">
        <v>49</v>
      </c>
      <c r="AB1485" t="s">
        <v>71</v>
      </c>
      <c r="AC1485" t="s">
        <v>72</v>
      </c>
      <c r="AD1485" t="s">
        <v>52</v>
      </c>
      <c r="AE1485" t="s">
        <v>53</v>
      </c>
      <c r="AF1485" t="s">
        <v>52</v>
      </c>
      <c r="AG1485" t="s">
        <v>54</v>
      </c>
      <c r="AH1485" t="s">
        <v>55</v>
      </c>
      <c r="AK1485">
        <v>24</v>
      </c>
      <c r="AL1485">
        <v>24</v>
      </c>
      <c r="AN1485">
        <v>533</v>
      </c>
      <c r="AO1485" t="s">
        <v>56</v>
      </c>
      <c r="AP1485" t="s">
        <v>56</v>
      </c>
      <c r="AQ1485" t="s">
        <v>57</v>
      </c>
      <c r="AR1485">
        <v>8.1</v>
      </c>
      <c r="AS1485" t="s">
        <v>56</v>
      </c>
      <c r="AT1485" t="s">
        <v>56</v>
      </c>
      <c r="AU1485">
        <v>1511</v>
      </c>
      <c r="AV1485" t="s">
        <v>56</v>
      </c>
      <c r="AW1485" t="s">
        <v>56</v>
      </c>
      <c r="AX1485">
        <v>7.8</v>
      </c>
      <c r="AY1485" t="s">
        <v>56</v>
      </c>
      <c r="AZ1485" t="s">
        <v>56</v>
      </c>
      <c r="BB1485">
        <f>LOG(AU1485)</f>
        <v>3.1792644643390253</v>
      </c>
      <c r="BC1485">
        <v>18.899999999999999</v>
      </c>
      <c r="BD1485" t="s">
        <v>56</v>
      </c>
      <c r="BE1485" t="s">
        <v>56</v>
      </c>
      <c r="BF1485">
        <v>18.8</v>
      </c>
      <c r="BG1485" t="s">
        <v>56</v>
      </c>
      <c r="BH1485" t="s">
        <v>56</v>
      </c>
      <c r="BI1485">
        <v>978</v>
      </c>
      <c r="BJ1485">
        <v>-0.1</v>
      </c>
      <c r="BK1485" t="s">
        <v>56</v>
      </c>
      <c r="BL1485" t="s">
        <v>296</v>
      </c>
      <c r="BM1485" t="s">
        <v>296</v>
      </c>
      <c r="BN1485" t="s">
        <v>60</v>
      </c>
      <c r="BO1485" t="s">
        <v>297</v>
      </c>
      <c r="BP1485" t="s">
        <v>77</v>
      </c>
      <c r="BQ1485" t="s">
        <v>1125</v>
      </c>
      <c r="BR1485" t="s">
        <v>63</v>
      </c>
      <c r="BT1485">
        <v>26.1</v>
      </c>
      <c r="BU1485">
        <v>26.1</v>
      </c>
      <c r="BV1485">
        <v>1.3</v>
      </c>
      <c r="BW1485">
        <f>BV1485*SQRT(AK1485)</f>
        <v>6.3686733312362627</v>
      </c>
      <c r="BX1485">
        <v>30.8</v>
      </c>
      <c r="BY1485">
        <v>30.8</v>
      </c>
      <c r="BZ1485">
        <v>1</v>
      </c>
      <c r="CA1485">
        <f>BZ1485*SQRT(AL1485)</f>
        <v>4.8989794855663558</v>
      </c>
      <c r="CB1485">
        <v>14</v>
      </c>
      <c r="CC1485">
        <v>2</v>
      </c>
      <c r="CD1485">
        <v>0.16600000000000001</v>
      </c>
      <c r="CE1485">
        <v>3.5000000000000001E-3</v>
      </c>
    </row>
    <row r="1486" spans="2:83" hidden="1" x14ac:dyDescent="0.2">
      <c r="B1486" t="str">
        <f>ROW()-1&amp;"_AltersInvert"</f>
        <v>1485_AltersInvert</v>
      </c>
      <c r="C1486" t="str">
        <f>D1486&amp;"_"&amp;
SUBSTITUTE(TRIM(V1486)," ","_")&amp;"_"&amp;
TRIM(AC1486)&amp;"_"&amp;
"CO2"&amp;TEXT(AN1486,"0.00")&amp;"_"&amp;
"pH"&amp;TEXT(AR1486,"0.00")&amp;"_"&amp;
"T"&amp;TEXT(BC1486,"0.##")</f>
        <v>21_Tritia_reticulata_LARVA_CO2533.00_pH8.10_T18.9</v>
      </c>
      <c r="D1486">
        <v>21</v>
      </c>
      <c r="G1486" t="s">
        <v>43</v>
      </c>
      <c r="H1486" t="s">
        <v>292</v>
      </c>
      <c r="J1486">
        <v>2020</v>
      </c>
      <c r="M1486" t="s">
        <v>293</v>
      </c>
      <c r="P1486" t="s">
        <v>1135</v>
      </c>
      <c r="R1486" t="s">
        <v>1127</v>
      </c>
      <c r="S1486" t="s">
        <v>1128</v>
      </c>
      <c r="T1486" t="s">
        <v>68</v>
      </c>
      <c r="U1486" t="s">
        <v>294</v>
      </c>
      <c r="V1486" t="s">
        <v>295</v>
      </c>
      <c r="Z1486" t="s">
        <v>49</v>
      </c>
      <c r="AA1486" t="s">
        <v>49</v>
      </c>
      <c r="AB1486" t="s">
        <v>71</v>
      </c>
      <c r="AC1486" t="s">
        <v>72</v>
      </c>
      <c r="AD1486" t="s">
        <v>52</v>
      </c>
      <c r="AE1486" t="s">
        <v>53</v>
      </c>
      <c r="AF1486" t="s">
        <v>54</v>
      </c>
      <c r="AG1486" t="s">
        <v>52</v>
      </c>
      <c r="AH1486" t="s">
        <v>65</v>
      </c>
      <c r="AK1486">
        <v>24</v>
      </c>
      <c r="AL1486">
        <v>24</v>
      </c>
      <c r="AN1486">
        <v>533</v>
      </c>
      <c r="AO1486" t="s">
        <v>56</v>
      </c>
      <c r="AP1486" t="s">
        <v>56</v>
      </c>
      <c r="AQ1486" t="s">
        <v>57</v>
      </c>
      <c r="AR1486">
        <v>8.1</v>
      </c>
      <c r="AS1486" t="s">
        <v>56</v>
      </c>
      <c r="AT1486" t="s">
        <v>56</v>
      </c>
      <c r="AU1486">
        <v>541</v>
      </c>
      <c r="AV1486" t="s">
        <v>56</v>
      </c>
      <c r="AW1486" t="s">
        <v>56</v>
      </c>
      <c r="AX1486">
        <v>8.1</v>
      </c>
      <c r="AY1486" t="s">
        <v>56</v>
      </c>
      <c r="AZ1486" t="s">
        <v>56</v>
      </c>
      <c r="BB1486">
        <f>LOG(AU1486)</f>
        <v>2.7331972651065692</v>
      </c>
      <c r="BC1486">
        <v>18.899999999999999</v>
      </c>
      <c r="BD1486" t="s">
        <v>56</v>
      </c>
      <c r="BE1486" t="s">
        <v>56</v>
      </c>
      <c r="BF1486">
        <v>21.7</v>
      </c>
      <c r="BG1486" t="s">
        <v>56</v>
      </c>
      <c r="BH1486" t="s">
        <v>56</v>
      </c>
      <c r="BI1486">
        <v>8</v>
      </c>
      <c r="BJ1486">
        <v>2.8</v>
      </c>
      <c r="BK1486" t="s">
        <v>56</v>
      </c>
      <c r="BL1486" t="s">
        <v>296</v>
      </c>
      <c r="BM1486" t="s">
        <v>296</v>
      </c>
      <c r="BN1486" t="s">
        <v>60</v>
      </c>
      <c r="BO1486" t="s">
        <v>297</v>
      </c>
      <c r="BP1486" t="s">
        <v>77</v>
      </c>
      <c r="BQ1486" t="s">
        <v>1125</v>
      </c>
      <c r="BR1486" t="s">
        <v>63</v>
      </c>
      <c r="BT1486">
        <v>26.1</v>
      </c>
      <c r="BU1486">
        <v>26.1</v>
      </c>
      <c r="BV1486">
        <v>1.3</v>
      </c>
      <c r="BW1486">
        <f>BV1486*SQRT(AK1486)</f>
        <v>6.3686733312362627</v>
      </c>
      <c r="BX1486">
        <v>40.700000000000003</v>
      </c>
      <c r="BY1486">
        <v>40.700000000000003</v>
      </c>
      <c r="BZ1486">
        <v>1</v>
      </c>
      <c r="CA1486">
        <f>BZ1486*SQRT(AL1486)</f>
        <v>4.8989794855663558</v>
      </c>
      <c r="CB1486">
        <v>14</v>
      </c>
      <c r="CC1486">
        <v>2</v>
      </c>
      <c r="CD1486">
        <v>0.44400000000000001</v>
      </c>
      <c r="CE1486">
        <v>3.0999999999999999E-3</v>
      </c>
    </row>
    <row r="1487" spans="2:83" hidden="1" x14ac:dyDescent="0.2">
      <c r="B1487" t="str">
        <f>ROW()-1&amp;"_AltersInvert"</f>
        <v>1486_AltersInvert</v>
      </c>
      <c r="C1487" t="str">
        <f>D1487&amp;"_"&amp;
SUBSTITUTE(TRIM(V1487)," ","_")&amp;"_"&amp;
TRIM(AC1487)&amp;"_"&amp;
"CO2"&amp;TEXT(AN1487,"0.00")&amp;"_"&amp;
"pH"&amp;TEXT(AR1487,"0.00")&amp;"_"&amp;
"T"&amp;TEXT(BC1487,"0.##")</f>
        <v>21_Tritia_reticulata_LARVA_CO2533.00_pH8.10_T18.9</v>
      </c>
      <c r="D1487">
        <v>21</v>
      </c>
      <c r="G1487" t="s">
        <v>43</v>
      </c>
      <c r="H1487" t="s">
        <v>292</v>
      </c>
      <c r="J1487">
        <v>2020</v>
      </c>
      <c r="M1487" t="s">
        <v>293</v>
      </c>
      <c r="P1487" t="s">
        <v>1135</v>
      </c>
      <c r="R1487" t="s">
        <v>1127</v>
      </c>
      <c r="S1487" t="s">
        <v>1128</v>
      </c>
      <c r="T1487" t="s">
        <v>68</v>
      </c>
      <c r="U1487" t="s">
        <v>294</v>
      </c>
      <c r="V1487" t="s">
        <v>295</v>
      </c>
      <c r="Z1487" t="s">
        <v>49</v>
      </c>
      <c r="AA1487" t="s">
        <v>49</v>
      </c>
      <c r="AB1487" t="s">
        <v>71</v>
      </c>
      <c r="AC1487" t="s">
        <v>72</v>
      </c>
      <c r="AD1487" t="s">
        <v>52</v>
      </c>
      <c r="AE1487" t="s">
        <v>53</v>
      </c>
      <c r="AF1487" t="s">
        <v>54</v>
      </c>
      <c r="AG1487" t="s">
        <v>52</v>
      </c>
      <c r="AH1487" t="s">
        <v>65</v>
      </c>
      <c r="AK1487">
        <v>24</v>
      </c>
      <c r="AL1487">
        <v>24</v>
      </c>
      <c r="AN1487">
        <v>533</v>
      </c>
      <c r="AO1487" t="s">
        <v>56</v>
      </c>
      <c r="AP1487" t="s">
        <v>56</v>
      </c>
      <c r="AQ1487" t="s">
        <v>57</v>
      </c>
      <c r="AR1487">
        <v>8.1</v>
      </c>
      <c r="AS1487" t="s">
        <v>56</v>
      </c>
      <c r="AT1487" t="s">
        <v>56</v>
      </c>
      <c r="AU1487">
        <v>560</v>
      </c>
      <c r="AV1487" t="s">
        <v>56</v>
      </c>
      <c r="AW1487" t="s">
        <v>56</v>
      </c>
      <c r="AX1487">
        <v>8.1</v>
      </c>
      <c r="AY1487" t="s">
        <v>56</v>
      </c>
      <c r="AZ1487" t="s">
        <v>56</v>
      </c>
      <c r="BB1487">
        <f>LOG(AU1487)</f>
        <v>2.7481880270062002</v>
      </c>
      <c r="BC1487">
        <v>18.899999999999999</v>
      </c>
      <c r="BD1487" t="s">
        <v>56</v>
      </c>
      <c r="BE1487" t="s">
        <v>56</v>
      </c>
      <c r="BF1487">
        <v>21</v>
      </c>
      <c r="BG1487" t="s">
        <v>56</v>
      </c>
      <c r="BH1487" t="s">
        <v>56</v>
      </c>
      <c r="BI1487">
        <v>27</v>
      </c>
      <c r="BJ1487">
        <v>2.1</v>
      </c>
      <c r="BK1487" t="s">
        <v>56</v>
      </c>
      <c r="BL1487" t="s">
        <v>296</v>
      </c>
      <c r="BM1487" t="s">
        <v>296</v>
      </c>
      <c r="BN1487" t="s">
        <v>60</v>
      </c>
      <c r="BO1487" t="s">
        <v>297</v>
      </c>
      <c r="BP1487" t="s">
        <v>77</v>
      </c>
      <c r="BQ1487" t="s">
        <v>1125</v>
      </c>
      <c r="BR1487" t="s">
        <v>63</v>
      </c>
      <c r="BT1487">
        <v>26.1</v>
      </c>
      <c r="BU1487">
        <v>26.1</v>
      </c>
      <c r="BV1487">
        <v>1.3</v>
      </c>
      <c r="BW1487">
        <f>BV1487*SQRT(AK1487)</f>
        <v>6.3686733312362627</v>
      </c>
      <c r="BX1487">
        <v>42.4</v>
      </c>
      <c r="BY1487">
        <v>42.4</v>
      </c>
      <c r="BZ1487">
        <v>1</v>
      </c>
      <c r="CA1487">
        <f>BZ1487*SQRT(AL1487)</f>
        <v>4.8989794855663558</v>
      </c>
      <c r="CB1487">
        <v>14</v>
      </c>
      <c r="CC1487">
        <v>2</v>
      </c>
      <c r="CD1487">
        <v>0.48499999999999999</v>
      </c>
      <c r="CE1487">
        <v>3.0000000000000001E-3</v>
      </c>
    </row>
    <row r="1488" spans="2:83" hidden="1" x14ac:dyDescent="0.2">
      <c r="B1488" t="str">
        <f>ROW()-1&amp;"_AltersInvert"</f>
        <v>1487_AltersInvert</v>
      </c>
      <c r="C1488" t="str">
        <f>D1488&amp;"_"&amp;
SUBSTITUTE(TRIM(V1488)," ","_")&amp;"_"&amp;
TRIM(AC1488)&amp;"_"&amp;
"CO2"&amp;TEXT(AN1488,"0.00")&amp;"_"&amp;
"pH"&amp;TEXT(AR1488,"0.00")&amp;"_"&amp;
"T"&amp;TEXT(BC1488,"0.##")</f>
        <v>21_Tritia_reticulata_LARVA_CO2533.00_pH8.10_T18.9</v>
      </c>
      <c r="D1488">
        <v>21</v>
      </c>
      <c r="G1488" t="s">
        <v>43</v>
      </c>
      <c r="H1488" t="s">
        <v>292</v>
      </c>
      <c r="J1488">
        <v>2020</v>
      </c>
      <c r="M1488" t="s">
        <v>293</v>
      </c>
      <c r="P1488" t="s">
        <v>1135</v>
      </c>
      <c r="R1488" t="s">
        <v>1127</v>
      </c>
      <c r="S1488" t="s">
        <v>1128</v>
      </c>
      <c r="T1488" t="s">
        <v>68</v>
      </c>
      <c r="U1488" t="s">
        <v>294</v>
      </c>
      <c r="V1488" t="s">
        <v>295</v>
      </c>
      <c r="Z1488" t="s">
        <v>49</v>
      </c>
      <c r="AA1488" t="s">
        <v>49</v>
      </c>
      <c r="AB1488" t="s">
        <v>71</v>
      </c>
      <c r="AC1488" t="s">
        <v>72</v>
      </c>
      <c r="AD1488" t="s">
        <v>52</v>
      </c>
      <c r="AE1488" t="s">
        <v>53</v>
      </c>
      <c r="AF1488" t="s">
        <v>52</v>
      </c>
      <c r="AG1488" t="s">
        <v>52</v>
      </c>
      <c r="AH1488" t="s">
        <v>64</v>
      </c>
      <c r="AK1488">
        <v>24</v>
      </c>
      <c r="AL1488">
        <v>24</v>
      </c>
      <c r="AN1488">
        <v>533</v>
      </c>
      <c r="AO1488" t="s">
        <v>56</v>
      </c>
      <c r="AP1488" t="s">
        <v>56</v>
      </c>
      <c r="AQ1488" t="s">
        <v>57</v>
      </c>
      <c r="AR1488">
        <v>8.1</v>
      </c>
      <c r="AS1488" t="s">
        <v>56</v>
      </c>
      <c r="AT1488" t="s">
        <v>56</v>
      </c>
      <c r="AU1488">
        <v>1574</v>
      </c>
      <c r="AV1488" t="s">
        <v>56</v>
      </c>
      <c r="AW1488" t="s">
        <v>56</v>
      </c>
      <c r="AX1488">
        <v>7.8</v>
      </c>
      <c r="AY1488" t="s">
        <v>56</v>
      </c>
      <c r="AZ1488" t="s">
        <v>56</v>
      </c>
      <c r="BB1488">
        <f>LOG(AU1488)</f>
        <v>3.1970047280230456</v>
      </c>
      <c r="BC1488">
        <v>18.899999999999999</v>
      </c>
      <c r="BD1488" t="s">
        <v>56</v>
      </c>
      <c r="BE1488" t="s">
        <v>56</v>
      </c>
      <c r="BF1488">
        <v>20.9</v>
      </c>
      <c r="BG1488" t="s">
        <v>56</v>
      </c>
      <c r="BH1488" t="s">
        <v>56</v>
      </c>
      <c r="BI1488">
        <v>1041</v>
      </c>
      <c r="BJ1488">
        <v>2</v>
      </c>
      <c r="BK1488" t="s">
        <v>56</v>
      </c>
      <c r="BL1488" t="s">
        <v>296</v>
      </c>
      <c r="BM1488" t="s">
        <v>296</v>
      </c>
      <c r="BN1488" t="s">
        <v>60</v>
      </c>
      <c r="BO1488" t="s">
        <v>297</v>
      </c>
      <c r="BP1488" t="s">
        <v>77</v>
      </c>
      <c r="BQ1488" t="s">
        <v>1125</v>
      </c>
      <c r="BR1488" t="s">
        <v>63</v>
      </c>
      <c r="BT1488">
        <v>26.1</v>
      </c>
      <c r="BU1488">
        <v>26.1</v>
      </c>
      <c r="BV1488">
        <v>1.3</v>
      </c>
      <c r="BW1488">
        <f>BV1488*SQRT(AK1488)</f>
        <v>6.3686733312362627</v>
      </c>
      <c r="BX1488">
        <v>27.8</v>
      </c>
      <c r="BY1488">
        <v>27.8</v>
      </c>
      <c r="BZ1488">
        <v>1.7</v>
      </c>
      <c r="CA1488">
        <f>BZ1488*SQRT(AL1488)</f>
        <v>8.3282651254628046</v>
      </c>
      <c r="CB1488">
        <v>14</v>
      </c>
      <c r="CC1488">
        <v>2</v>
      </c>
      <c r="CD1488">
        <v>6.3E-2</v>
      </c>
      <c r="CE1488">
        <v>6.1999999999999998E-3</v>
      </c>
    </row>
    <row r="1489" spans="1:84" s="8" customFormat="1" hidden="1" x14ac:dyDescent="0.2">
      <c r="A1489"/>
      <c r="B1489" t="str">
        <f>ROW()-1&amp;"_AltersInvert"</f>
        <v>1488_AltersInvert</v>
      </c>
      <c r="C1489" t="str">
        <f>D1489&amp;"_"&amp;
SUBSTITUTE(TRIM(V1489)," ","_")&amp;"_"&amp;
TRIM(AC1489)&amp;"_"&amp;
"CO2"&amp;TEXT(AN1489,"0.00")&amp;"_"&amp;
"pH"&amp;TEXT(AR1489,"0.00")&amp;"_"&amp;
"T"&amp;TEXT(BC1489,"0.##")</f>
        <v>21_Tritia_reticulata_LARVA_CO2533.00_pH8.10_T18.9</v>
      </c>
      <c r="D1489">
        <v>21</v>
      </c>
      <c r="E1489"/>
      <c r="F1489"/>
      <c r="G1489" t="s">
        <v>43</v>
      </c>
      <c r="H1489" t="s">
        <v>292</v>
      </c>
      <c r="I1489"/>
      <c r="J1489">
        <v>2020</v>
      </c>
      <c r="K1489"/>
      <c r="L1489"/>
      <c r="M1489" t="s">
        <v>293</v>
      </c>
      <c r="N1489"/>
      <c r="O1489"/>
      <c r="P1489" t="s">
        <v>1135</v>
      </c>
      <c r="Q1489"/>
      <c r="R1489" t="s">
        <v>1127</v>
      </c>
      <c r="S1489" t="s">
        <v>1128</v>
      </c>
      <c r="T1489" t="s">
        <v>68</v>
      </c>
      <c r="U1489" t="s">
        <v>294</v>
      </c>
      <c r="V1489" t="s">
        <v>295</v>
      </c>
      <c r="W1489"/>
      <c r="X1489"/>
      <c r="Y1489"/>
      <c r="Z1489" t="s">
        <v>49</v>
      </c>
      <c r="AA1489" t="s">
        <v>49</v>
      </c>
      <c r="AB1489" t="s">
        <v>71</v>
      </c>
      <c r="AC1489" t="s">
        <v>72</v>
      </c>
      <c r="AD1489" t="s">
        <v>52</v>
      </c>
      <c r="AE1489" t="s">
        <v>53</v>
      </c>
      <c r="AF1489" t="s">
        <v>52</v>
      </c>
      <c r="AG1489" t="s">
        <v>52</v>
      </c>
      <c r="AH1489" t="s">
        <v>64</v>
      </c>
      <c r="AI1489"/>
      <c r="AJ1489"/>
      <c r="AK1489">
        <v>24</v>
      </c>
      <c r="AL1489">
        <v>24</v>
      </c>
      <c r="AM1489"/>
      <c r="AN1489">
        <v>533</v>
      </c>
      <c r="AO1489" t="s">
        <v>56</v>
      </c>
      <c r="AP1489" t="s">
        <v>56</v>
      </c>
      <c r="AQ1489" t="s">
        <v>57</v>
      </c>
      <c r="AR1489">
        <v>8.1</v>
      </c>
      <c r="AS1489" t="s">
        <v>56</v>
      </c>
      <c r="AT1489" t="s">
        <v>56</v>
      </c>
      <c r="AU1489">
        <v>1559</v>
      </c>
      <c r="AV1489" t="s">
        <v>56</v>
      </c>
      <c r="AW1489" t="s">
        <v>56</v>
      </c>
      <c r="AX1489">
        <v>7.8</v>
      </c>
      <c r="AY1489" t="s">
        <v>56</v>
      </c>
      <c r="AZ1489" t="s">
        <v>56</v>
      </c>
      <c r="BA1489"/>
      <c r="BB1489">
        <f>LOG(AU1489)</f>
        <v>3.1928461151888419</v>
      </c>
      <c r="BC1489">
        <v>18.899999999999999</v>
      </c>
      <c r="BD1489" t="s">
        <v>56</v>
      </c>
      <c r="BE1489" t="s">
        <v>56</v>
      </c>
      <c r="BF1489">
        <v>21.5</v>
      </c>
      <c r="BG1489" t="s">
        <v>56</v>
      </c>
      <c r="BH1489" t="s">
        <v>56</v>
      </c>
      <c r="BI1489">
        <v>1026</v>
      </c>
      <c r="BJ1489">
        <v>2.6</v>
      </c>
      <c r="BK1489" t="s">
        <v>56</v>
      </c>
      <c r="BL1489" t="s">
        <v>296</v>
      </c>
      <c r="BM1489" t="s">
        <v>296</v>
      </c>
      <c r="BN1489" t="s">
        <v>60</v>
      </c>
      <c r="BO1489" t="s">
        <v>297</v>
      </c>
      <c r="BP1489" t="s">
        <v>77</v>
      </c>
      <c r="BQ1489" t="s">
        <v>1125</v>
      </c>
      <c r="BR1489" t="s">
        <v>63</v>
      </c>
      <c r="BS1489"/>
      <c r="BT1489">
        <v>26.1</v>
      </c>
      <c r="BU1489">
        <v>26.1</v>
      </c>
      <c r="BV1489">
        <v>1.3</v>
      </c>
      <c r="BW1489">
        <f>BV1489*SQRT(AK1489)</f>
        <v>6.3686733312362627</v>
      </c>
      <c r="BX1489">
        <v>38.6</v>
      </c>
      <c r="BY1489">
        <v>38.6</v>
      </c>
      <c r="BZ1489">
        <v>1</v>
      </c>
      <c r="CA1489">
        <f>BZ1489*SQRT(AL1489)</f>
        <v>4.8989794855663558</v>
      </c>
      <c r="CB1489">
        <v>14</v>
      </c>
      <c r="CC1489">
        <v>2</v>
      </c>
      <c r="CD1489">
        <v>0.39100000000000001</v>
      </c>
      <c r="CE1489">
        <v>3.2000000000000002E-3</v>
      </c>
      <c r="CF1489"/>
    </row>
    <row r="1490" spans="1:84" s="8" customFormat="1" hidden="1" x14ac:dyDescent="0.2">
      <c r="B1490" t="str">
        <f>ROW()-1&amp;"_AltersInvert"</f>
        <v>1489_AltersInvert</v>
      </c>
      <c r="C1490" t="str">
        <f>D1490&amp;"_"&amp;
SUBSTITUTE(TRIM(V1490)," ","_")&amp;"_"&amp;
TRIM(AC1490)&amp;"_"&amp;
"CO2"&amp;TEXT(AN1490,"0.00")&amp;"_"&amp;
"pH"&amp;TEXT(AR1490,"0.00")&amp;"_"&amp;
"T"&amp;TEXT(BC1490,"0.##")</f>
        <v>51_Acropora_hyacinthus_EMBRYO_CO2478.00_pH8.11_T27.</v>
      </c>
      <c r="D1490" s="8">
        <v>51</v>
      </c>
      <c r="G1490" s="8" t="s">
        <v>43</v>
      </c>
      <c r="H1490" s="8" t="s">
        <v>527</v>
      </c>
      <c r="I1490" s="8" t="s">
        <v>1130</v>
      </c>
      <c r="J1490" s="8">
        <v>2015</v>
      </c>
      <c r="M1490" s="8" t="s">
        <v>528</v>
      </c>
      <c r="P1490" t="s">
        <v>1135</v>
      </c>
      <c r="R1490" s="8" t="s">
        <v>1127</v>
      </c>
      <c r="S1490" t="s">
        <v>1128</v>
      </c>
      <c r="T1490" s="8" t="s">
        <v>103</v>
      </c>
      <c r="U1490" s="8" t="s">
        <v>228</v>
      </c>
      <c r="V1490" s="8" t="s">
        <v>529</v>
      </c>
      <c r="W1490" s="8" t="str">
        <f>IF(ISNUMBER(MATCH(#REF!,{"Doryteuthis pealeii","Loligo vulgaris","Leptuca thayeri","Stylocheilus striatus","Ophryotrocha labronica"},0)),"N","Y")</f>
        <v>Y</v>
      </c>
      <c r="Z1490" s="8" t="s">
        <v>106</v>
      </c>
      <c r="AA1490" s="8" t="s">
        <v>107</v>
      </c>
      <c r="AB1490" s="8" t="s">
        <v>71</v>
      </c>
      <c r="AC1490" s="8" t="s">
        <v>195</v>
      </c>
      <c r="AD1490" s="8" t="s">
        <v>52</v>
      </c>
      <c r="AE1490" s="8" t="s">
        <v>53</v>
      </c>
      <c r="AF1490" s="8" t="s">
        <v>52</v>
      </c>
      <c r="AG1490" s="8" t="s">
        <v>54</v>
      </c>
      <c r="AH1490" s="8" t="s">
        <v>55</v>
      </c>
      <c r="AK1490" s="8">
        <v>5</v>
      </c>
      <c r="AL1490" s="8">
        <v>5</v>
      </c>
      <c r="AM1490" s="8" t="s">
        <v>532</v>
      </c>
      <c r="AN1490" s="8">
        <v>478</v>
      </c>
      <c r="AO1490" s="8" t="s">
        <v>56</v>
      </c>
      <c r="AP1490" s="8">
        <v>14</v>
      </c>
      <c r="AQ1490" s="8" t="s">
        <v>57</v>
      </c>
      <c r="AR1490" s="8">
        <v>8.11</v>
      </c>
      <c r="AS1490" s="8" t="s">
        <v>56</v>
      </c>
      <c r="AT1490" s="8">
        <v>0.01</v>
      </c>
      <c r="AU1490" s="8">
        <v>1034</v>
      </c>
      <c r="AV1490" t="s">
        <v>56</v>
      </c>
      <c r="AW1490">
        <v>47</v>
      </c>
      <c r="AX1490">
        <v>7.82</v>
      </c>
      <c r="AY1490" t="s">
        <v>56</v>
      </c>
      <c r="AZ1490">
        <v>0.02</v>
      </c>
      <c r="BB1490" s="8">
        <f>LOG(AU1490)</f>
        <v>3.0145205387579237</v>
      </c>
      <c r="BC1490" s="8">
        <v>27</v>
      </c>
      <c r="BD1490" s="8" t="s">
        <v>56</v>
      </c>
      <c r="BE1490" s="8">
        <v>0.2</v>
      </c>
      <c r="BF1490" s="8">
        <v>27</v>
      </c>
      <c r="BG1490" s="8" t="s">
        <v>56</v>
      </c>
      <c r="BH1490" s="8">
        <v>0.2</v>
      </c>
      <c r="BI1490" s="8">
        <v>556</v>
      </c>
      <c r="BJ1490" s="8">
        <v>0</v>
      </c>
      <c r="BK1490" s="8" t="s">
        <v>530</v>
      </c>
      <c r="BL1490" s="8" t="s">
        <v>531</v>
      </c>
      <c r="BM1490" s="8" t="s">
        <v>86</v>
      </c>
      <c r="BN1490" s="8" t="s">
        <v>81</v>
      </c>
      <c r="BO1490" s="8" t="s">
        <v>82</v>
      </c>
      <c r="BP1490" s="8" t="s">
        <v>9</v>
      </c>
      <c r="BQ1490" s="8" t="s">
        <v>190</v>
      </c>
      <c r="BR1490" s="8" t="s">
        <v>84</v>
      </c>
      <c r="BT1490" s="8">
        <v>11.27</v>
      </c>
      <c r="BU1490" s="8">
        <v>88.725489999999994</v>
      </c>
      <c r="BV1490" s="8">
        <v>2.85</v>
      </c>
      <c r="BW1490" s="8">
        <f>BV1490*SQRT(AK1490)</f>
        <v>6.3727937358744011</v>
      </c>
      <c r="BX1490" s="8">
        <v>8.09</v>
      </c>
      <c r="BY1490" s="8">
        <v>91.911764700000006</v>
      </c>
      <c r="BZ1490" s="8">
        <v>8.09</v>
      </c>
      <c r="CA1490" s="8">
        <f>BZ1490*SQRT(AL1490)</f>
        <v>18.0897899379733</v>
      </c>
      <c r="CB1490" s="8">
        <v>0</v>
      </c>
      <c r="CC1490" s="8">
        <v>5</v>
      </c>
      <c r="CD1490" s="8">
        <v>3.5000000000000003E-2</v>
      </c>
      <c r="CE1490" s="8">
        <v>8.8000000000000005E-3</v>
      </c>
      <c r="CF1490" s="8" t="s">
        <v>1134</v>
      </c>
    </row>
    <row r="1491" spans="1:84" s="8" customFormat="1" hidden="1" x14ac:dyDescent="0.2">
      <c r="B1491" t="str">
        <f>ROW()-1&amp;"_AltersInvert"</f>
        <v>1490_AltersInvert</v>
      </c>
      <c r="C1491" t="str">
        <f>D1491&amp;"_"&amp;
SUBSTITUTE(TRIM(V1491)," ","_")&amp;"_"&amp;
TRIM(AC1491)&amp;"_"&amp;
"CO2"&amp;TEXT(AN1491,"0.00")&amp;"_"&amp;
"pH"&amp;TEXT(AR1491,"0.00")&amp;"_"&amp;
"T"&amp;TEXT(BC1491,"0.##")</f>
        <v>51_Acropora_hyacinthus_EMBRYO_CO2478.00_pH8.11_T27.</v>
      </c>
      <c r="D1491" s="8">
        <v>51</v>
      </c>
      <c r="G1491" s="8" t="s">
        <v>43</v>
      </c>
      <c r="H1491" s="8" t="s">
        <v>527</v>
      </c>
      <c r="I1491" s="8" t="s">
        <v>1130</v>
      </c>
      <c r="J1491" s="8">
        <v>2015</v>
      </c>
      <c r="M1491" s="8" t="s">
        <v>528</v>
      </c>
      <c r="P1491" t="s">
        <v>1135</v>
      </c>
      <c r="R1491" s="8" t="s">
        <v>1127</v>
      </c>
      <c r="S1491" t="s">
        <v>1128</v>
      </c>
      <c r="T1491" s="8" t="s">
        <v>103</v>
      </c>
      <c r="U1491" s="8" t="s">
        <v>228</v>
      </c>
      <c r="V1491" s="8" t="s">
        <v>529</v>
      </c>
      <c r="W1491" s="8" t="str">
        <f>IF(ISNUMBER(MATCH(V885,{"Doryteuthis pealeii","Loligo vulgaris","Leptuca thayeri","Stylocheilus striatus","Ophryotrocha labronica"},0)),"N","Y")</f>
        <v>Y</v>
      </c>
      <c r="Z1491" s="8" t="s">
        <v>106</v>
      </c>
      <c r="AA1491" s="8" t="s">
        <v>107</v>
      </c>
      <c r="AB1491" s="8" t="s">
        <v>71</v>
      </c>
      <c r="AC1491" s="8" t="s">
        <v>195</v>
      </c>
      <c r="AD1491" s="8" t="s">
        <v>52</v>
      </c>
      <c r="AE1491" s="8" t="s">
        <v>53</v>
      </c>
      <c r="AF1491" s="8" t="s">
        <v>54</v>
      </c>
      <c r="AG1491" s="8" t="s">
        <v>52</v>
      </c>
      <c r="AH1491" s="8" t="s">
        <v>65</v>
      </c>
      <c r="AK1491" s="8">
        <v>5</v>
      </c>
      <c r="AL1491" s="8">
        <v>5</v>
      </c>
      <c r="AM1491" s="8" t="s">
        <v>532</v>
      </c>
      <c r="AN1491" s="8">
        <v>478</v>
      </c>
      <c r="AO1491" s="8" t="s">
        <v>56</v>
      </c>
      <c r="AP1491" s="8">
        <v>14</v>
      </c>
      <c r="AQ1491" s="8" t="s">
        <v>57</v>
      </c>
      <c r="AR1491" s="8">
        <v>8.11</v>
      </c>
      <c r="AS1491" s="8" t="s">
        <v>56</v>
      </c>
      <c r="AT1491" s="8">
        <v>0.01</v>
      </c>
      <c r="AU1491" s="8">
        <v>526</v>
      </c>
      <c r="AV1491" t="s">
        <v>56</v>
      </c>
      <c r="AW1491">
        <v>17</v>
      </c>
      <c r="AX1491">
        <v>8.08</v>
      </c>
      <c r="AY1491" t="s">
        <v>56</v>
      </c>
      <c r="AZ1491">
        <v>0.01</v>
      </c>
      <c r="BB1491" s="8">
        <f>LOG(AU1491)</f>
        <v>2.7209857441537393</v>
      </c>
      <c r="BC1491" s="8">
        <v>27</v>
      </c>
      <c r="BD1491" s="8" t="s">
        <v>56</v>
      </c>
      <c r="BE1491" s="8">
        <v>0.2</v>
      </c>
      <c r="BF1491" s="8">
        <v>31</v>
      </c>
      <c r="BG1491" s="8" t="s">
        <v>56</v>
      </c>
      <c r="BH1491" s="8">
        <v>0.2</v>
      </c>
      <c r="BI1491" s="8">
        <v>48</v>
      </c>
      <c r="BJ1491" s="8">
        <v>4</v>
      </c>
      <c r="BK1491" s="8" t="s">
        <v>530</v>
      </c>
      <c r="BL1491" s="8" t="s">
        <v>531</v>
      </c>
      <c r="BM1491" s="8" t="s">
        <v>86</v>
      </c>
      <c r="BN1491" s="8" t="s">
        <v>81</v>
      </c>
      <c r="BO1491" s="8" t="s">
        <v>82</v>
      </c>
      <c r="BP1491" s="8" t="s">
        <v>9</v>
      </c>
      <c r="BQ1491" s="8" t="s">
        <v>9</v>
      </c>
      <c r="BR1491" s="8" t="s">
        <v>84</v>
      </c>
      <c r="BT1491" s="8">
        <v>11.27</v>
      </c>
      <c r="BU1491" s="8">
        <v>88.725489999999994</v>
      </c>
      <c r="BV1491" s="8">
        <v>2.85</v>
      </c>
      <c r="BW1491" s="8">
        <f>BV1491*SQRT(AK1491)</f>
        <v>6.3727937358744011</v>
      </c>
      <c r="BX1491" s="8">
        <v>93.87</v>
      </c>
      <c r="BY1491" s="8">
        <v>6.1274509999999998</v>
      </c>
      <c r="BZ1491" s="8">
        <v>93.87</v>
      </c>
      <c r="CA1491" s="8">
        <f>BZ1491*SQRT(AL1491)</f>
        <v>209.89970104790527</v>
      </c>
      <c r="CB1491" s="8">
        <v>0</v>
      </c>
      <c r="CC1491" s="8">
        <v>5</v>
      </c>
      <c r="CD1491" s="8">
        <v>-2.673</v>
      </c>
      <c r="CE1491" s="8">
        <v>234.70339999999999</v>
      </c>
      <c r="CF1491" s="8" t="s">
        <v>1134</v>
      </c>
    </row>
    <row r="1492" spans="1:84" s="8" customFormat="1" hidden="1" x14ac:dyDescent="0.2">
      <c r="B1492" t="str">
        <f>ROW()-1&amp;"_AltersInvert"</f>
        <v>1491_AltersInvert</v>
      </c>
      <c r="C1492" t="str">
        <f>D1492&amp;"_"&amp;
SUBSTITUTE(TRIM(V1492)," ","_")&amp;"_"&amp;
TRIM(AC1492)&amp;"_"&amp;
"CO2"&amp;TEXT(AN1492,"0.00")&amp;"_"&amp;
"pH"&amp;TEXT(AR1492,"0.00")&amp;"_"&amp;
"T"&amp;TEXT(BC1492,"0.##")</f>
        <v>51_Acropora_hyacinthus_EMBRYO_CO2478.00_pH8.11_T27.</v>
      </c>
      <c r="D1492" s="8">
        <v>51</v>
      </c>
      <c r="G1492" s="8" t="s">
        <v>43</v>
      </c>
      <c r="H1492" s="8" t="s">
        <v>527</v>
      </c>
      <c r="I1492" s="8" t="s">
        <v>1130</v>
      </c>
      <c r="J1492" s="8">
        <v>2015</v>
      </c>
      <c r="M1492" s="8" t="s">
        <v>528</v>
      </c>
      <c r="P1492" t="s">
        <v>1135</v>
      </c>
      <c r="R1492" s="8" t="s">
        <v>1127</v>
      </c>
      <c r="S1492" t="s">
        <v>1128</v>
      </c>
      <c r="T1492" s="8" t="s">
        <v>103</v>
      </c>
      <c r="U1492" s="8" t="s">
        <v>228</v>
      </c>
      <c r="V1492" s="8" t="s">
        <v>529</v>
      </c>
      <c r="W1492" s="8" t="str">
        <f>IF(ISNUMBER(MATCH(V886,{"Doryteuthis pealeii","Loligo vulgaris","Leptuca thayeri","Stylocheilus striatus","Ophryotrocha labronica"},0)),"N","Y")</f>
        <v>Y</v>
      </c>
      <c r="Z1492" s="8" t="s">
        <v>106</v>
      </c>
      <c r="AA1492" s="8" t="s">
        <v>107</v>
      </c>
      <c r="AB1492" s="8" t="s">
        <v>71</v>
      </c>
      <c r="AC1492" s="8" t="s">
        <v>195</v>
      </c>
      <c r="AD1492" s="8" t="s">
        <v>52</v>
      </c>
      <c r="AE1492" s="8" t="s">
        <v>53</v>
      </c>
      <c r="AF1492" s="8" t="s">
        <v>52</v>
      </c>
      <c r="AG1492" s="8" t="s">
        <v>52</v>
      </c>
      <c r="AH1492" s="8" t="s">
        <v>64</v>
      </c>
      <c r="AK1492" s="8">
        <v>5</v>
      </c>
      <c r="AL1492" s="8">
        <v>5</v>
      </c>
      <c r="AM1492" s="8" t="s">
        <v>532</v>
      </c>
      <c r="AN1492" s="8">
        <v>478</v>
      </c>
      <c r="AO1492" s="8" t="s">
        <v>56</v>
      </c>
      <c r="AP1492" s="8">
        <v>14</v>
      </c>
      <c r="AQ1492" s="8" t="s">
        <v>57</v>
      </c>
      <c r="AR1492" s="8">
        <v>8.11</v>
      </c>
      <c r="AS1492" s="8" t="s">
        <v>56</v>
      </c>
      <c r="AT1492" s="8">
        <v>0.01</v>
      </c>
      <c r="AU1492" s="8">
        <v>939</v>
      </c>
      <c r="AV1492" t="s">
        <v>56</v>
      </c>
      <c r="AW1492">
        <v>31</v>
      </c>
      <c r="AX1492">
        <v>7.87</v>
      </c>
      <c r="AY1492" t="s">
        <v>56</v>
      </c>
      <c r="AZ1492">
        <v>0.01</v>
      </c>
      <c r="BB1492" s="8">
        <f>LOG(AU1492)</f>
        <v>2.9726655922661109</v>
      </c>
      <c r="BC1492" s="8">
        <v>27</v>
      </c>
      <c r="BD1492" s="8" t="s">
        <v>56</v>
      </c>
      <c r="BE1492" s="8">
        <v>0.2</v>
      </c>
      <c r="BF1492" s="8">
        <v>31</v>
      </c>
      <c r="BG1492" s="8" t="s">
        <v>56</v>
      </c>
      <c r="BH1492" s="8">
        <v>0.2</v>
      </c>
      <c r="BI1492" s="8">
        <v>461</v>
      </c>
      <c r="BJ1492" s="8">
        <v>4</v>
      </c>
      <c r="BK1492" s="8" t="s">
        <v>530</v>
      </c>
      <c r="BL1492" s="8" t="s">
        <v>531</v>
      </c>
      <c r="BM1492" s="8" t="s">
        <v>86</v>
      </c>
      <c r="BN1492" s="8" t="s">
        <v>81</v>
      </c>
      <c r="BO1492" s="8" t="s">
        <v>82</v>
      </c>
      <c r="BP1492" s="8" t="s">
        <v>9</v>
      </c>
      <c r="BQ1492" s="8" t="s">
        <v>9</v>
      </c>
      <c r="BR1492" s="8" t="s">
        <v>84</v>
      </c>
      <c r="BT1492" s="8">
        <v>11.27</v>
      </c>
      <c r="BU1492" s="8">
        <v>88.725489999999994</v>
      </c>
      <c r="BV1492" s="8">
        <v>2.85</v>
      </c>
      <c r="BW1492" s="8">
        <f>BV1492*SQRT(AK1492)</f>
        <v>6.3727937358744011</v>
      </c>
      <c r="BX1492" s="8">
        <v>99.02</v>
      </c>
      <c r="BY1492" s="8">
        <v>0.98039220000000005</v>
      </c>
      <c r="BZ1492" s="8">
        <v>99.02</v>
      </c>
      <c r="CA1492" s="8">
        <f>BZ1492*SQRT(AL1492)</f>
        <v>221.41545113202918</v>
      </c>
      <c r="CB1492" s="8">
        <v>0</v>
      </c>
      <c r="CC1492" s="8">
        <v>5</v>
      </c>
      <c r="CD1492" s="8">
        <v>-4.5049999999999999</v>
      </c>
      <c r="CE1492" s="8">
        <v>10201.001</v>
      </c>
      <c r="CF1492" s="8" t="s">
        <v>1134</v>
      </c>
    </row>
    <row r="1493" spans="1:84" s="8" customFormat="1" hidden="1" x14ac:dyDescent="0.2">
      <c r="A1493"/>
      <c r="B1493" t="str">
        <f>ROW()-1&amp;"_AltersInvert"</f>
        <v>1492_AltersInvert</v>
      </c>
      <c r="C1493" t="str">
        <f>D1493&amp;"_"&amp;
SUBSTITUTE(TRIM(V1493)," ","_")&amp;"_"&amp;
TRIM(AC1493)&amp;"_"&amp;
"CO2"&amp;TEXT(AN1493,"0.00")&amp;"_"&amp;
"pH"&amp;TEXT(AR1493,"0.00")&amp;"_"&amp;
"T"&amp;TEXT(BC1493,"0.##")</f>
        <v>191_Pandalus_Borealis_LARVA_CO2406.00_pH8.11_T6.7</v>
      </c>
      <c r="D1493">
        <v>191</v>
      </c>
      <c r="E1493"/>
      <c r="F1493"/>
      <c r="G1493" t="s">
        <v>43</v>
      </c>
      <c r="H1493" t="s">
        <v>901</v>
      </c>
      <c r="I1493"/>
      <c r="J1493">
        <v>2013</v>
      </c>
      <c r="K1493"/>
      <c r="L1493"/>
      <c r="M1493" t="s">
        <v>67</v>
      </c>
      <c r="N1493"/>
      <c r="O1493"/>
      <c r="P1493" t="s">
        <v>1135</v>
      </c>
      <c r="Q1493"/>
      <c r="R1493" t="s">
        <v>1127</v>
      </c>
      <c r="S1493" t="s">
        <v>1128</v>
      </c>
      <c r="T1493" t="s">
        <v>131</v>
      </c>
      <c r="U1493" t="s">
        <v>902</v>
      </c>
      <c r="V1493" t="s">
        <v>903</v>
      </c>
      <c r="W1493"/>
      <c r="X1493"/>
      <c r="Y1493"/>
      <c r="Z1493" t="s">
        <v>475</v>
      </c>
      <c r="AA1493" t="s">
        <v>475</v>
      </c>
      <c r="AB1493" t="s">
        <v>71</v>
      </c>
      <c r="AC1493" t="s">
        <v>72</v>
      </c>
      <c r="AD1493" t="s">
        <v>52</v>
      </c>
      <c r="AE1493" t="s">
        <v>53</v>
      </c>
      <c r="AF1493" t="s">
        <v>52</v>
      </c>
      <c r="AG1493" t="s">
        <v>54</v>
      </c>
      <c r="AH1493" t="s">
        <v>55</v>
      </c>
      <c r="AI1493"/>
      <c r="AJ1493"/>
      <c r="AK1493">
        <v>9</v>
      </c>
      <c r="AL1493">
        <v>7</v>
      </c>
      <c r="AM1493"/>
      <c r="AN1493">
        <v>406</v>
      </c>
      <c r="AO1493" t="s">
        <v>56</v>
      </c>
      <c r="AP1493" t="s">
        <v>56</v>
      </c>
      <c r="AQ1493" t="s">
        <v>57</v>
      </c>
      <c r="AR1493">
        <v>8.11</v>
      </c>
      <c r="AS1493" t="s">
        <v>56</v>
      </c>
      <c r="AT1493" t="s">
        <v>56</v>
      </c>
      <c r="AU1493">
        <v>1238</v>
      </c>
      <c r="AV1493" t="s">
        <v>56</v>
      </c>
      <c r="AW1493" t="s">
        <v>56</v>
      </c>
      <c r="AX1493">
        <v>7.65</v>
      </c>
      <c r="AY1493" t="s">
        <v>56</v>
      </c>
      <c r="AZ1493" t="s">
        <v>56</v>
      </c>
      <c r="BA1493"/>
      <c r="BB1493">
        <f>LOG(AU1493)</f>
        <v>3.0927206446840994</v>
      </c>
      <c r="BC1493">
        <v>6.7</v>
      </c>
      <c r="BD1493">
        <v>0.2</v>
      </c>
      <c r="BE1493" t="s">
        <v>56</v>
      </c>
      <c r="BF1493">
        <v>6.7</v>
      </c>
      <c r="BG1493">
        <v>0.2</v>
      </c>
      <c r="BH1493" t="s">
        <v>56</v>
      </c>
      <c r="BI1493">
        <v>832</v>
      </c>
      <c r="BJ1493">
        <v>0</v>
      </c>
      <c r="BK1493" t="s">
        <v>904</v>
      </c>
      <c r="BL1493" t="s">
        <v>562</v>
      </c>
      <c r="BM1493" t="s">
        <v>59</v>
      </c>
      <c r="BN1493" t="s">
        <v>60</v>
      </c>
      <c r="BO1493" t="s">
        <v>907</v>
      </c>
      <c r="BP1493" t="s">
        <v>62</v>
      </c>
      <c r="BQ1493" t="s">
        <v>194</v>
      </c>
      <c r="BR1493" t="s">
        <v>63</v>
      </c>
      <c r="BS1493"/>
      <c r="BT1493">
        <v>50.09</v>
      </c>
      <c r="BU1493">
        <v>50.09</v>
      </c>
      <c r="BV1493">
        <v>2.16</v>
      </c>
      <c r="BW1493">
        <f>BV1493*SQRT(AK1493)</f>
        <v>6.48</v>
      </c>
      <c r="BX1493">
        <v>48.28</v>
      </c>
      <c r="BY1493">
        <v>48.28</v>
      </c>
      <c r="BZ1493">
        <v>3.25</v>
      </c>
      <c r="CA1493">
        <f>BZ1493*SQRT(AL1493)</f>
        <v>8.5986917609599196</v>
      </c>
      <c r="CB1493">
        <v>16</v>
      </c>
      <c r="CC1493">
        <v>8</v>
      </c>
      <c r="CD1493">
        <v>-3.6999999999999998E-2</v>
      </c>
      <c r="CE1493">
        <v>6.4000000000000003E-3</v>
      </c>
      <c r="CF1493"/>
    </row>
    <row r="1494" spans="1:84" hidden="1" x14ac:dyDescent="0.2">
      <c r="B1494" t="str">
        <f>ROW()-1&amp;"_AltersInvert"</f>
        <v>1493_AltersInvert</v>
      </c>
      <c r="C1494" t="str">
        <f>D1494&amp;"_"&amp;
SUBSTITUTE(TRIM(V1494)," ","_")&amp;"_"&amp;
TRIM(AC1494)&amp;"_"&amp;
"CO2"&amp;TEXT(AN1494,"0.00")&amp;"_"&amp;
"pH"&amp;TEXT(AR1494,"0.00")&amp;"_"&amp;
"T"&amp;TEXT(BC1494,"0.##")</f>
        <v>191_Pandalus_Borealis_LARVA_CO2406.00_pH8.11_T6.7</v>
      </c>
      <c r="D1494">
        <v>191</v>
      </c>
      <c r="G1494" t="s">
        <v>43</v>
      </c>
      <c r="H1494" t="s">
        <v>901</v>
      </c>
      <c r="J1494">
        <v>2013</v>
      </c>
      <c r="M1494" t="s">
        <v>67</v>
      </c>
      <c r="P1494" t="s">
        <v>1135</v>
      </c>
      <c r="R1494" t="s">
        <v>1127</v>
      </c>
      <c r="S1494" t="s">
        <v>1128</v>
      </c>
      <c r="T1494" t="s">
        <v>131</v>
      </c>
      <c r="U1494" t="s">
        <v>902</v>
      </c>
      <c r="V1494" t="s">
        <v>903</v>
      </c>
      <c r="Z1494" t="s">
        <v>475</v>
      </c>
      <c r="AA1494" t="s">
        <v>475</v>
      </c>
      <c r="AB1494" t="s">
        <v>71</v>
      </c>
      <c r="AC1494" t="s">
        <v>72</v>
      </c>
      <c r="AD1494" t="s">
        <v>52</v>
      </c>
      <c r="AE1494" t="s">
        <v>53</v>
      </c>
      <c r="AF1494" t="s">
        <v>54</v>
      </c>
      <c r="AG1494" t="s">
        <v>52</v>
      </c>
      <c r="AH1494" t="s">
        <v>65</v>
      </c>
      <c r="AK1494">
        <v>9</v>
      </c>
      <c r="AL1494">
        <v>9</v>
      </c>
      <c r="AN1494">
        <v>406</v>
      </c>
      <c r="AO1494" t="s">
        <v>56</v>
      </c>
      <c r="AP1494" t="s">
        <v>56</v>
      </c>
      <c r="AQ1494" t="s">
        <v>57</v>
      </c>
      <c r="AR1494">
        <v>8.11</v>
      </c>
      <c r="AS1494" t="s">
        <v>56</v>
      </c>
      <c r="AT1494" t="s">
        <v>56</v>
      </c>
      <c r="AU1494">
        <v>443</v>
      </c>
      <c r="AV1494" t="s">
        <v>56</v>
      </c>
      <c r="AW1494" t="s">
        <v>56</v>
      </c>
      <c r="AX1494">
        <v>8.08</v>
      </c>
      <c r="AY1494" t="s">
        <v>56</v>
      </c>
      <c r="AZ1494" t="s">
        <v>56</v>
      </c>
      <c r="BB1494">
        <f>LOG(AU1494)</f>
        <v>2.6464037262230695</v>
      </c>
      <c r="BC1494">
        <v>6.7</v>
      </c>
      <c r="BD1494">
        <v>0.2</v>
      </c>
      <c r="BE1494" t="s">
        <v>56</v>
      </c>
      <c r="BF1494">
        <v>9.5</v>
      </c>
      <c r="BG1494">
        <v>0.1</v>
      </c>
      <c r="BH1494" t="s">
        <v>56</v>
      </c>
      <c r="BI1494">
        <v>37</v>
      </c>
      <c r="BJ1494">
        <v>2.8</v>
      </c>
      <c r="BK1494" t="s">
        <v>904</v>
      </c>
      <c r="BL1494" t="s">
        <v>562</v>
      </c>
      <c r="BM1494" t="s">
        <v>59</v>
      </c>
      <c r="BN1494" t="s">
        <v>60</v>
      </c>
      <c r="BO1494" t="s">
        <v>907</v>
      </c>
      <c r="BP1494" t="s">
        <v>62</v>
      </c>
      <c r="BQ1494" t="s">
        <v>194</v>
      </c>
      <c r="BR1494" t="s">
        <v>63</v>
      </c>
      <c r="BT1494">
        <v>50.09</v>
      </c>
      <c r="BU1494">
        <v>50.09</v>
      </c>
      <c r="BV1494">
        <v>2.16</v>
      </c>
      <c r="BW1494">
        <f>BV1494*SQRT(AK1494)</f>
        <v>6.48</v>
      </c>
      <c r="BX1494">
        <v>58.37</v>
      </c>
      <c r="BY1494">
        <v>58.37</v>
      </c>
      <c r="BZ1494">
        <v>4.33</v>
      </c>
      <c r="CA1494">
        <f>BZ1494*SQRT(AL1494)</f>
        <v>12.99</v>
      </c>
      <c r="CB1494">
        <v>16</v>
      </c>
      <c r="CC1494">
        <v>8</v>
      </c>
      <c r="CD1494">
        <v>0.153</v>
      </c>
      <c r="CE1494">
        <v>7.4000000000000003E-3</v>
      </c>
    </row>
    <row r="1495" spans="1:84" s="8" customFormat="1" hidden="1" x14ac:dyDescent="0.2">
      <c r="A1495"/>
      <c r="B1495" t="str">
        <f>ROW()-1&amp;"_AltersInvert"</f>
        <v>1494_AltersInvert</v>
      </c>
      <c r="C1495" t="str">
        <f>D1495&amp;"_"&amp;
SUBSTITUTE(TRIM(V1495)," ","_")&amp;"_"&amp;
TRIM(AC1495)&amp;"_"&amp;
"CO2"&amp;TEXT(AN1495,"0.00")&amp;"_"&amp;
"pH"&amp;TEXT(AR1495,"0.00")&amp;"_"&amp;
"T"&amp;TEXT(BC1495,"0.##")</f>
        <v>191_Pandalus_Borealis_LARVA_CO2406.00_pH8.11_T6.7</v>
      </c>
      <c r="D1495">
        <v>191</v>
      </c>
      <c r="E1495"/>
      <c r="F1495"/>
      <c r="G1495" t="s">
        <v>43</v>
      </c>
      <c r="H1495" t="s">
        <v>901</v>
      </c>
      <c r="I1495"/>
      <c r="J1495">
        <v>2013</v>
      </c>
      <c r="K1495"/>
      <c r="L1495"/>
      <c r="M1495" t="s">
        <v>67</v>
      </c>
      <c r="N1495"/>
      <c r="O1495"/>
      <c r="P1495" t="s">
        <v>1135</v>
      </c>
      <c r="Q1495"/>
      <c r="R1495" t="s">
        <v>1127</v>
      </c>
      <c r="S1495" t="s">
        <v>1128</v>
      </c>
      <c r="T1495" t="s">
        <v>131</v>
      </c>
      <c r="U1495" t="s">
        <v>902</v>
      </c>
      <c r="V1495" t="s">
        <v>903</v>
      </c>
      <c r="W1495"/>
      <c r="X1495"/>
      <c r="Y1495"/>
      <c r="Z1495" t="s">
        <v>475</v>
      </c>
      <c r="AA1495" t="s">
        <v>475</v>
      </c>
      <c r="AB1495" t="s">
        <v>71</v>
      </c>
      <c r="AC1495" t="s">
        <v>72</v>
      </c>
      <c r="AD1495" t="s">
        <v>52</v>
      </c>
      <c r="AE1495" t="s">
        <v>53</v>
      </c>
      <c r="AF1495" t="s">
        <v>52</v>
      </c>
      <c r="AG1495" t="s">
        <v>52</v>
      </c>
      <c r="AH1495" t="s">
        <v>64</v>
      </c>
      <c r="AI1495"/>
      <c r="AJ1495"/>
      <c r="AK1495">
        <v>9</v>
      </c>
      <c r="AL1495">
        <v>7</v>
      </c>
      <c r="AM1495"/>
      <c r="AN1495">
        <v>406</v>
      </c>
      <c r="AO1495" t="s">
        <v>56</v>
      </c>
      <c r="AP1495" t="s">
        <v>56</v>
      </c>
      <c r="AQ1495" t="s">
        <v>57</v>
      </c>
      <c r="AR1495">
        <v>8.11</v>
      </c>
      <c r="AS1495" t="s">
        <v>56</v>
      </c>
      <c r="AT1495" t="s">
        <v>56</v>
      </c>
      <c r="AU1495">
        <v>1449</v>
      </c>
      <c r="AV1495" t="s">
        <v>56</v>
      </c>
      <c r="AW1495" t="s">
        <v>56</v>
      </c>
      <c r="AX1495">
        <v>7.6</v>
      </c>
      <c r="AY1495" t="s">
        <v>56</v>
      </c>
      <c r="AZ1495" t="s">
        <v>56</v>
      </c>
      <c r="BA1495"/>
      <c r="BB1495">
        <f>LOG(AU1495)</f>
        <v>3.1610683854711747</v>
      </c>
      <c r="BC1495">
        <v>6.7</v>
      </c>
      <c r="BD1495">
        <v>0.2</v>
      </c>
      <c r="BE1495" t="s">
        <v>56</v>
      </c>
      <c r="BF1495">
        <v>9.5</v>
      </c>
      <c r="BG1495">
        <v>0.1</v>
      </c>
      <c r="BH1495" t="s">
        <v>56</v>
      </c>
      <c r="BI1495">
        <v>1043</v>
      </c>
      <c r="BJ1495">
        <v>2.8</v>
      </c>
      <c r="BK1495" t="s">
        <v>904</v>
      </c>
      <c r="BL1495" t="s">
        <v>562</v>
      </c>
      <c r="BM1495" t="s">
        <v>59</v>
      </c>
      <c r="BN1495" t="s">
        <v>60</v>
      </c>
      <c r="BO1495" t="s">
        <v>907</v>
      </c>
      <c r="BP1495" t="s">
        <v>62</v>
      </c>
      <c r="BQ1495" t="s">
        <v>194</v>
      </c>
      <c r="BR1495" t="s">
        <v>63</v>
      </c>
      <c r="BS1495"/>
      <c r="BT1495">
        <v>50.09</v>
      </c>
      <c r="BU1495">
        <v>50.09</v>
      </c>
      <c r="BV1495">
        <v>2.16</v>
      </c>
      <c r="BW1495">
        <f>BV1495*SQRT(AK1495)</f>
        <v>6.48</v>
      </c>
      <c r="BX1495">
        <v>55.85</v>
      </c>
      <c r="BY1495">
        <v>55.85</v>
      </c>
      <c r="BZ1495">
        <v>6.07</v>
      </c>
      <c r="CA1495">
        <f>BZ1495*SQRT(AL1495)</f>
        <v>16.059710458162066</v>
      </c>
      <c r="CB1495">
        <v>16</v>
      </c>
      <c r="CC1495">
        <v>8</v>
      </c>
      <c r="CD1495">
        <v>0.109</v>
      </c>
      <c r="CE1495">
        <v>1.37E-2</v>
      </c>
      <c r="CF1495"/>
    </row>
    <row r="1496" spans="1:84" s="8" customFormat="1" hidden="1" x14ac:dyDescent="0.2">
      <c r="A1496"/>
      <c r="B1496" t="str">
        <f>ROW()-1&amp;"_AltersInvert"</f>
        <v>1495_AltersInvert</v>
      </c>
      <c r="C1496" t="str">
        <f>D1496&amp;"_"&amp;
SUBSTITUTE(TRIM(V1496)," ","_")&amp;"_"&amp;
TRIM(AC1496)&amp;"_"&amp;
"CO2"&amp;TEXT(AN1496,"0.00")&amp;"_"&amp;
"pH"&amp;TEXT(AR1496,"0.00")&amp;"_"&amp;
"T"&amp;TEXT(BC1496,"0.##")</f>
        <v>208_Lithophyllon_repanda_LARVA_CO2419.00_pH8.17_T28.1</v>
      </c>
      <c r="D1496">
        <v>208</v>
      </c>
      <c r="E1496"/>
      <c r="F1496"/>
      <c r="G1496" t="s">
        <v>43</v>
      </c>
      <c r="H1496" t="s">
        <v>979</v>
      </c>
      <c r="I1496"/>
      <c r="J1496">
        <v>2015</v>
      </c>
      <c r="K1496"/>
      <c r="L1496"/>
      <c r="M1496" t="s">
        <v>980</v>
      </c>
      <c r="N1496"/>
      <c r="O1496"/>
      <c r="P1496" t="s">
        <v>1135</v>
      </c>
      <c r="Q1496"/>
      <c r="R1496" t="s">
        <v>1127</v>
      </c>
      <c r="S1496" t="s">
        <v>1128</v>
      </c>
      <c r="T1496" t="s">
        <v>103</v>
      </c>
      <c r="U1496" t="s">
        <v>981</v>
      </c>
      <c r="V1496" t="s">
        <v>983</v>
      </c>
      <c r="W1496"/>
      <c r="X1496"/>
      <c r="Y1496"/>
      <c r="Z1496" t="s">
        <v>106</v>
      </c>
      <c r="AA1496" t="s">
        <v>107</v>
      </c>
      <c r="AB1496" t="s">
        <v>71</v>
      </c>
      <c r="AC1496" t="s">
        <v>72</v>
      </c>
      <c r="AD1496" t="s">
        <v>52</v>
      </c>
      <c r="AE1496" t="s">
        <v>53</v>
      </c>
      <c r="AF1496" t="s">
        <v>52</v>
      </c>
      <c r="AG1496" t="s">
        <v>54</v>
      </c>
      <c r="AH1496" t="s">
        <v>55</v>
      </c>
      <c r="AI1496"/>
      <c r="AJ1496"/>
      <c r="AK1496">
        <v>3</v>
      </c>
      <c r="AL1496">
        <v>3</v>
      </c>
      <c r="AM1496"/>
      <c r="AN1496">
        <v>419</v>
      </c>
      <c r="AO1496" t="s">
        <v>56</v>
      </c>
      <c r="AP1496">
        <v>41</v>
      </c>
      <c r="AQ1496" t="s">
        <v>57</v>
      </c>
      <c r="AR1496">
        <v>8.17</v>
      </c>
      <c r="AS1496" t="s">
        <v>56</v>
      </c>
      <c r="AT1496">
        <v>0.04</v>
      </c>
      <c r="AU1496">
        <v>1054</v>
      </c>
      <c r="AV1496" t="s">
        <v>56</v>
      </c>
      <c r="AW1496">
        <v>17</v>
      </c>
      <c r="AX1496">
        <v>7.82</v>
      </c>
      <c r="AY1496" t="s">
        <v>56</v>
      </c>
      <c r="AZ1496">
        <v>0.01</v>
      </c>
      <c r="BA1496"/>
      <c r="BB1496">
        <f>LOG(AU1496)</f>
        <v>3.022840610876528</v>
      </c>
      <c r="BC1496">
        <v>28.1</v>
      </c>
      <c r="BD1496" t="s">
        <v>56</v>
      </c>
      <c r="BE1496">
        <v>0.3</v>
      </c>
      <c r="BF1496">
        <v>28.1</v>
      </c>
      <c r="BG1496" t="s">
        <v>56</v>
      </c>
      <c r="BH1496">
        <v>0.3</v>
      </c>
      <c r="BI1496">
        <v>635</v>
      </c>
      <c r="BJ1496">
        <v>0</v>
      </c>
      <c r="BK1496" t="s">
        <v>56</v>
      </c>
      <c r="BL1496" t="s">
        <v>83</v>
      </c>
      <c r="BM1496" t="s">
        <v>83</v>
      </c>
      <c r="BN1496" t="s">
        <v>81</v>
      </c>
      <c r="BO1496" t="s">
        <v>82</v>
      </c>
      <c r="BP1496" t="s">
        <v>83</v>
      </c>
      <c r="BQ1496" t="s">
        <v>83</v>
      </c>
      <c r="BR1496" t="s">
        <v>84</v>
      </c>
      <c r="BS1496"/>
      <c r="BT1496">
        <v>59.72</v>
      </c>
      <c r="BU1496">
        <v>59.72</v>
      </c>
      <c r="BV1496">
        <v>3.92</v>
      </c>
      <c r="BW1496">
        <f>BV1496*SQRT(AK1496)</f>
        <v>6.7896391656699988</v>
      </c>
      <c r="BX1496">
        <v>55.65</v>
      </c>
      <c r="BY1496">
        <v>55.65</v>
      </c>
      <c r="BZ1496">
        <v>8.1</v>
      </c>
      <c r="CA1496">
        <f>BZ1496*SQRT(AL1496)</f>
        <v>14.029611541307904</v>
      </c>
      <c r="CB1496">
        <v>8</v>
      </c>
      <c r="CC1496">
        <v>3</v>
      </c>
      <c r="CD1496">
        <v>-7.0999999999999994E-2</v>
      </c>
      <c r="CE1496">
        <v>2.5499999999999998E-2</v>
      </c>
      <c r="CF1496"/>
    </row>
    <row r="1497" spans="1:84" hidden="1" x14ac:dyDescent="0.2">
      <c r="B1497" t="str">
        <f>ROW()-1&amp;"_AltersInvert"</f>
        <v>1496_AltersInvert</v>
      </c>
      <c r="C1497" t="str">
        <f>D1497&amp;"_"&amp;
SUBSTITUTE(TRIM(V1497)," ","_")&amp;"_"&amp;
TRIM(AC1497)&amp;"_"&amp;
"CO2"&amp;TEXT(AN1497,"0.00")&amp;"_"&amp;
"pH"&amp;TEXT(AR1497,"0.00")&amp;"_"&amp;
"T"&amp;TEXT(BC1497,"0.##")</f>
        <v>208_Lithophyllon_repanda_LARVA_CO2419.00_pH8.17_T28.1</v>
      </c>
      <c r="D1497">
        <v>208</v>
      </c>
      <c r="G1497" t="s">
        <v>43</v>
      </c>
      <c r="H1497" t="s">
        <v>979</v>
      </c>
      <c r="J1497">
        <v>2015</v>
      </c>
      <c r="M1497" t="s">
        <v>980</v>
      </c>
      <c r="P1497" t="s">
        <v>1135</v>
      </c>
      <c r="R1497" t="s">
        <v>1127</v>
      </c>
      <c r="S1497" t="s">
        <v>1128</v>
      </c>
      <c r="T1497" t="s">
        <v>103</v>
      </c>
      <c r="U1497" t="s">
        <v>981</v>
      </c>
      <c r="V1497" t="s">
        <v>983</v>
      </c>
      <c r="Z1497" t="s">
        <v>106</v>
      </c>
      <c r="AA1497" t="s">
        <v>107</v>
      </c>
      <c r="AB1497" t="s">
        <v>71</v>
      </c>
      <c r="AC1497" t="s">
        <v>72</v>
      </c>
      <c r="AD1497" t="s">
        <v>52</v>
      </c>
      <c r="AE1497" t="s">
        <v>53</v>
      </c>
      <c r="AF1497" t="s">
        <v>52</v>
      </c>
      <c r="AG1497" t="s">
        <v>54</v>
      </c>
      <c r="AH1497" t="s">
        <v>55</v>
      </c>
      <c r="AK1497">
        <v>3</v>
      </c>
      <c r="AL1497">
        <v>3</v>
      </c>
      <c r="AN1497">
        <v>419</v>
      </c>
      <c r="AO1497" t="s">
        <v>56</v>
      </c>
      <c r="AP1497">
        <v>41</v>
      </c>
      <c r="AQ1497" t="s">
        <v>57</v>
      </c>
      <c r="AR1497">
        <v>8.17</v>
      </c>
      <c r="AS1497" t="s">
        <v>56</v>
      </c>
      <c r="AT1497">
        <v>0.04</v>
      </c>
      <c r="AU1497">
        <v>1758</v>
      </c>
      <c r="AV1497" t="s">
        <v>56</v>
      </c>
      <c r="AW1497">
        <v>10</v>
      </c>
      <c r="AX1497">
        <v>7.62</v>
      </c>
      <c r="AY1497" t="s">
        <v>56</v>
      </c>
      <c r="AZ1497">
        <v>0</v>
      </c>
      <c r="BB1497">
        <f>LOG(AU1497)</f>
        <v>3.245018870737753</v>
      </c>
      <c r="BC1497">
        <v>28.1</v>
      </c>
      <c r="BD1497" t="s">
        <v>56</v>
      </c>
      <c r="BE1497">
        <v>0.3</v>
      </c>
      <c r="BF1497">
        <v>28.1</v>
      </c>
      <c r="BG1497" t="s">
        <v>56</v>
      </c>
      <c r="BH1497">
        <v>0.2</v>
      </c>
      <c r="BI1497">
        <v>1339</v>
      </c>
      <c r="BJ1497">
        <v>0</v>
      </c>
      <c r="BK1497" t="s">
        <v>56</v>
      </c>
      <c r="BL1497" t="s">
        <v>83</v>
      </c>
      <c r="BM1497" t="s">
        <v>83</v>
      </c>
      <c r="BN1497" t="s">
        <v>81</v>
      </c>
      <c r="BO1497" t="s">
        <v>82</v>
      </c>
      <c r="BP1497" t="s">
        <v>83</v>
      </c>
      <c r="BQ1497" t="s">
        <v>83</v>
      </c>
      <c r="BR1497" t="s">
        <v>84</v>
      </c>
      <c r="BT1497">
        <v>59.72</v>
      </c>
      <c r="BU1497">
        <v>59.72</v>
      </c>
      <c r="BV1497">
        <v>3.92</v>
      </c>
      <c r="BW1497">
        <f>BV1497*SQRT(AK1497)</f>
        <v>6.7896391656699988</v>
      </c>
      <c r="BX1497">
        <v>57.01</v>
      </c>
      <c r="BY1497">
        <v>57.01</v>
      </c>
      <c r="BZ1497">
        <v>3.65</v>
      </c>
      <c r="CA1497">
        <f>BZ1497*SQRT(AL1497)</f>
        <v>6.3219854476264015</v>
      </c>
      <c r="CB1497">
        <v>8</v>
      </c>
      <c r="CC1497">
        <v>3</v>
      </c>
      <c r="CD1497">
        <v>-4.5999999999999999E-2</v>
      </c>
      <c r="CE1497">
        <v>8.3999999999999995E-3</v>
      </c>
    </row>
    <row r="1498" spans="1:84" s="8" customFormat="1" hidden="1" x14ac:dyDescent="0.2">
      <c r="A1498"/>
      <c r="B1498" t="str">
        <f>ROW()-1&amp;"_AltersInvert"</f>
        <v>1497_AltersInvert</v>
      </c>
      <c r="C1498" t="str">
        <f>D1498&amp;"_"&amp;
SUBSTITUTE(TRIM(V1498)," ","_")&amp;"_"&amp;
TRIM(AC1498)&amp;"_"&amp;
"CO2"&amp;TEXT(AN1498,"0.00")&amp;"_"&amp;
"pH"&amp;TEXT(AR1498,"0.00")&amp;"_"&amp;
"T"&amp;TEXT(BC1498,"0.##")</f>
        <v>208_Lithophyllon_repanda_LARVA_CO2419.00_pH8.17_T28.1</v>
      </c>
      <c r="D1498">
        <v>208</v>
      </c>
      <c r="E1498"/>
      <c r="F1498"/>
      <c r="G1498" t="s">
        <v>43</v>
      </c>
      <c r="H1498" t="s">
        <v>979</v>
      </c>
      <c r="I1498"/>
      <c r="J1498">
        <v>2015</v>
      </c>
      <c r="K1498"/>
      <c r="L1498"/>
      <c r="M1498" t="s">
        <v>980</v>
      </c>
      <c r="N1498"/>
      <c r="O1498"/>
      <c r="P1498" t="s">
        <v>1135</v>
      </c>
      <c r="Q1498"/>
      <c r="R1498" t="s">
        <v>1127</v>
      </c>
      <c r="S1498" t="s">
        <v>1128</v>
      </c>
      <c r="T1498" t="s">
        <v>103</v>
      </c>
      <c r="U1498" t="s">
        <v>981</v>
      </c>
      <c r="V1498" t="s">
        <v>983</v>
      </c>
      <c r="W1498"/>
      <c r="X1498"/>
      <c r="Y1498"/>
      <c r="Z1498" t="s">
        <v>106</v>
      </c>
      <c r="AA1498" t="s">
        <v>107</v>
      </c>
      <c r="AB1498" t="s">
        <v>71</v>
      </c>
      <c r="AC1498" t="s">
        <v>72</v>
      </c>
      <c r="AD1498" t="s">
        <v>52</v>
      </c>
      <c r="AE1498" t="s">
        <v>53</v>
      </c>
      <c r="AF1498" t="s">
        <v>54</v>
      </c>
      <c r="AG1498" t="s">
        <v>52</v>
      </c>
      <c r="AH1498" t="s">
        <v>65</v>
      </c>
      <c r="AI1498"/>
      <c r="AJ1498"/>
      <c r="AK1498">
        <v>3</v>
      </c>
      <c r="AL1498">
        <v>3</v>
      </c>
      <c r="AM1498"/>
      <c r="AN1498">
        <v>419</v>
      </c>
      <c r="AO1498" t="s">
        <v>56</v>
      </c>
      <c r="AP1498">
        <v>41</v>
      </c>
      <c r="AQ1498" t="s">
        <v>57</v>
      </c>
      <c r="AR1498">
        <v>8.17</v>
      </c>
      <c r="AS1498" t="s">
        <v>56</v>
      </c>
      <c r="AT1498">
        <v>0.04</v>
      </c>
      <c r="AU1498">
        <v>473</v>
      </c>
      <c r="AV1498" t="s">
        <v>56</v>
      </c>
      <c r="AW1498">
        <v>46</v>
      </c>
      <c r="AX1498">
        <v>8.1300000000000008</v>
      </c>
      <c r="AY1498" t="s">
        <v>56</v>
      </c>
      <c r="AZ1498">
        <v>0.04</v>
      </c>
      <c r="BA1498"/>
      <c r="BB1498">
        <f>LOG(AU1498)</f>
        <v>2.6748611407378116</v>
      </c>
      <c r="BC1498">
        <v>28.1</v>
      </c>
      <c r="BD1498" t="s">
        <v>56</v>
      </c>
      <c r="BE1498">
        <v>0.3</v>
      </c>
      <c r="BF1498">
        <v>31</v>
      </c>
      <c r="BG1498" t="s">
        <v>56</v>
      </c>
      <c r="BH1498">
        <v>0.2</v>
      </c>
      <c r="BI1498">
        <v>54</v>
      </c>
      <c r="BJ1498">
        <v>2.9</v>
      </c>
      <c r="BK1498" t="s">
        <v>56</v>
      </c>
      <c r="BL1498" t="s">
        <v>83</v>
      </c>
      <c r="BM1498" t="s">
        <v>83</v>
      </c>
      <c r="BN1498" t="s">
        <v>81</v>
      </c>
      <c r="BO1498" t="s">
        <v>82</v>
      </c>
      <c r="BP1498" t="s">
        <v>83</v>
      </c>
      <c r="BQ1498" t="s">
        <v>83</v>
      </c>
      <c r="BR1498" t="s">
        <v>84</v>
      </c>
      <c r="BS1498"/>
      <c r="BT1498">
        <v>59.72</v>
      </c>
      <c r="BU1498">
        <v>59.72</v>
      </c>
      <c r="BV1498">
        <v>3.92</v>
      </c>
      <c r="BW1498">
        <f>BV1498*SQRT(AK1498)</f>
        <v>6.7896391656699988</v>
      </c>
      <c r="BX1498">
        <v>63.8</v>
      </c>
      <c r="BY1498">
        <v>63.8</v>
      </c>
      <c r="BZ1498">
        <v>2.35</v>
      </c>
      <c r="CA1498">
        <f>BZ1498*SQRT(AL1498)</f>
        <v>4.0703193977868617</v>
      </c>
      <c r="CB1498">
        <v>8</v>
      </c>
      <c r="CC1498">
        <v>3</v>
      </c>
      <c r="CD1498">
        <v>6.6000000000000003E-2</v>
      </c>
      <c r="CE1498">
        <v>5.7000000000000002E-3</v>
      </c>
      <c r="CF1498"/>
    </row>
    <row r="1499" spans="1:84" hidden="1" x14ac:dyDescent="0.2">
      <c r="B1499" t="str">
        <f>ROW()-1&amp;"_AltersInvert"</f>
        <v>1498_AltersInvert</v>
      </c>
      <c r="C1499" t="str">
        <f>D1499&amp;"_"&amp;
SUBSTITUTE(TRIM(V1499)," ","_")&amp;"_"&amp;
TRIM(AC1499)&amp;"_"&amp;
"CO2"&amp;TEXT(AN1499,"0.00")&amp;"_"&amp;
"pH"&amp;TEXT(AR1499,"0.00")&amp;"_"&amp;
"T"&amp;TEXT(BC1499,"0.##")</f>
        <v>208_Lithophyllon_repanda_LARVA_CO2419.00_pH8.17_T28.1</v>
      </c>
      <c r="D1499">
        <v>208</v>
      </c>
      <c r="G1499" t="s">
        <v>43</v>
      </c>
      <c r="H1499" t="s">
        <v>979</v>
      </c>
      <c r="J1499">
        <v>2015</v>
      </c>
      <c r="M1499" t="s">
        <v>980</v>
      </c>
      <c r="P1499" t="s">
        <v>1135</v>
      </c>
      <c r="R1499" t="s">
        <v>1127</v>
      </c>
      <c r="S1499" t="s">
        <v>1128</v>
      </c>
      <c r="T1499" t="s">
        <v>103</v>
      </c>
      <c r="U1499" t="s">
        <v>981</v>
      </c>
      <c r="V1499" t="s">
        <v>983</v>
      </c>
      <c r="Z1499" t="s">
        <v>106</v>
      </c>
      <c r="AA1499" t="s">
        <v>107</v>
      </c>
      <c r="AB1499" t="s">
        <v>71</v>
      </c>
      <c r="AC1499" t="s">
        <v>72</v>
      </c>
      <c r="AD1499" t="s">
        <v>52</v>
      </c>
      <c r="AE1499" t="s">
        <v>53</v>
      </c>
      <c r="AF1499" t="s">
        <v>52</v>
      </c>
      <c r="AG1499" t="s">
        <v>52</v>
      </c>
      <c r="AH1499" t="s">
        <v>64</v>
      </c>
      <c r="AK1499">
        <v>3</v>
      </c>
      <c r="AL1499">
        <v>3</v>
      </c>
      <c r="AN1499">
        <v>419</v>
      </c>
      <c r="AO1499" t="s">
        <v>56</v>
      </c>
      <c r="AP1499">
        <v>41</v>
      </c>
      <c r="AQ1499" t="s">
        <v>57</v>
      </c>
      <c r="AR1499">
        <v>8.17</v>
      </c>
      <c r="AS1499" t="s">
        <v>56</v>
      </c>
      <c r="AT1499">
        <v>0.04</v>
      </c>
      <c r="AU1499">
        <v>1981</v>
      </c>
      <c r="AV1499" t="s">
        <v>56</v>
      </c>
      <c r="AW1499">
        <v>11</v>
      </c>
      <c r="AX1499">
        <v>7.58</v>
      </c>
      <c r="AY1499" t="s">
        <v>56</v>
      </c>
      <c r="AZ1499">
        <v>0</v>
      </c>
      <c r="BB1499">
        <f>LOG(AU1499)</f>
        <v>3.2968844755385471</v>
      </c>
      <c r="BC1499">
        <v>28.1</v>
      </c>
      <c r="BD1499" t="s">
        <v>56</v>
      </c>
      <c r="BE1499">
        <v>0.3</v>
      </c>
      <c r="BF1499">
        <v>31</v>
      </c>
      <c r="BG1499" t="s">
        <v>56</v>
      </c>
      <c r="BH1499">
        <v>0.2</v>
      </c>
      <c r="BI1499">
        <v>1562</v>
      </c>
      <c r="BJ1499">
        <v>2.9</v>
      </c>
      <c r="BK1499" t="s">
        <v>56</v>
      </c>
      <c r="BL1499" t="s">
        <v>83</v>
      </c>
      <c r="BM1499" t="s">
        <v>83</v>
      </c>
      <c r="BN1499" t="s">
        <v>81</v>
      </c>
      <c r="BO1499" t="s">
        <v>82</v>
      </c>
      <c r="BP1499" t="s">
        <v>83</v>
      </c>
      <c r="BQ1499" t="s">
        <v>83</v>
      </c>
      <c r="BR1499" t="s">
        <v>84</v>
      </c>
      <c r="BT1499">
        <v>59.72</v>
      </c>
      <c r="BU1499">
        <v>59.72</v>
      </c>
      <c r="BV1499">
        <v>3.92</v>
      </c>
      <c r="BW1499">
        <f>BV1499*SQRT(AK1499)</f>
        <v>6.7896391656699988</v>
      </c>
      <c r="BX1499">
        <v>54.29</v>
      </c>
      <c r="BY1499">
        <v>54.29</v>
      </c>
      <c r="BZ1499">
        <v>8.1</v>
      </c>
      <c r="CA1499">
        <f>BZ1499*SQRT(AL1499)</f>
        <v>14.029611541307904</v>
      </c>
      <c r="CB1499">
        <v>8</v>
      </c>
      <c r="CC1499">
        <v>3</v>
      </c>
      <c r="CD1499">
        <v>-9.5000000000000001E-2</v>
      </c>
      <c r="CE1499">
        <v>2.6599999999999999E-2</v>
      </c>
    </row>
    <row r="1500" spans="1:84" s="8" customFormat="1" hidden="1" x14ac:dyDescent="0.2">
      <c r="A1500"/>
      <c r="B1500" t="str">
        <f>ROW()-1&amp;"_AltersInvert"</f>
        <v>1499_AltersInvert</v>
      </c>
      <c r="C1500" t="str">
        <f>D1500&amp;"_"&amp;
SUBSTITUTE(TRIM(V1500)," ","_")&amp;"_"&amp;
TRIM(AC1500)&amp;"_"&amp;
"CO2"&amp;TEXT(AN1500,"0.00")&amp;"_"&amp;
"pH"&amp;TEXT(AR1500,"0.00")&amp;"_"&amp;
"T"&amp;TEXT(BC1500,"0.##")</f>
        <v>208_Lithophyllon_repanda_LARVA_CO2419.00_pH8.17_T28.1</v>
      </c>
      <c r="D1500">
        <v>208</v>
      </c>
      <c r="E1500"/>
      <c r="F1500"/>
      <c r="G1500" t="s">
        <v>43</v>
      </c>
      <c r="H1500" t="s">
        <v>979</v>
      </c>
      <c r="I1500"/>
      <c r="J1500">
        <v>2015</v>
      </c>
      <c r="K1500"/>
      <c r="L1500"/>
      <c r="M1500" t="s">
        <v>980</v>
      </c>
      <c r="N1500"/>
      <c r="O1500"/>
      <c r="P1500" t="s">
        <v>1135</v>
      </c>
      <c r="Q1500"/>
      <c r="R1500" t="s">
        <v>1127</v>
      </c>
      <c r="S1500" t="s">
        <v>1128</v>
      </c>
      <c r="T1500" t="s">
        <v>103</v>
      </c>
      <c r="U1500" t="s">
        <v>981</v>
      </c>
      <c r="V1500" t="s">
        <v>983</v>
      </c>
      <c r="W1500"/>
      <c r="X1500"/>
      <c r="Y1500"/>
      <c r="Z1500" t="s">
        <v>106</v>
      </c>
      <c r="AA1500" t="s">
        <v>107</v>
      </c>
      <c r="AB1500" t="s">
        <v>71</v>
      </c>
      <c r="AC1500" t="s">
        <v>72</v>
      </c>
      <c r="AD1500" t="s">
        <v>52</v>
      </c>
      <c r="AE1500" t="s">
        <v>53</v>
      </c>
      <c r="AF1500" t="s">
        <v>52</v>
      </c>
      <c r="AG1500" t="s">
        <v>52</v>
      </c>
      <c r="AH1500" t="s">
        <v>64</v>
      </c>
      <c r="AI1500"/>
      <c r="AJ1500"/>
      <c r="AK1500">
        <v>3</v>
      </c>
      <c r="AL1500">
        <v>3</v>
      </c>
      <c r="AM1500"/>
      <c r="AN1500">
        <v>419</v>
      </c>
      <c r="AO1500" t="s">
        <v>56</v>
      </c>
      <c r="AP1500">
        <v>41</v>
      </c>
      <c r="AQ1500" t="s">
        <v>57</v>
      </c>
      <c r="AR1500">
        <v>8.17</v>
      </c>
      <c r="AS1500" t="s">
        <v>56</v>
      </c>
      <c r="AT1500">
        <v>0.04</v>
      </c>
      <c r="AU1500">
        <v>1188</v>
      </c>
      <c r="AV1500" t="s">
        <v>56</v>
      </c>
      <c r="AW1500">
        <v>19</v>
      </c>
      <c r="AX1500">
        <v>7.79</v>
      </c>
      <c r="AY1500" t="s">
        <v>56</v>
      </c>
      <c r="AZ1500">
        <v>0.01</v>
      </c>
      <c r="BA1500"/>
      <c r="BB1500">
        <f>LOG(AU1500)</f>
        <v>3.0748164406451748</v>
      </c>
      <c r="BC1500">
        <v>28.1</v>
      </c>
      <c r="BD1500" t="s">
        <v>56</v>
      </c>
      <c r="BE1500">
        <v>0.3</v>
      </c>
      <c r="BF1500">
        <v>31</v>
      </c>
      <c r="BG1500" t="s">
        <v>56</v>
      </c>
      <c r="BH1500">
        <v>0.2</v>
      </c>
      <c r="BI1500">
        <v>769</v>
      </c>
      <c r="BJ1500">
        <v>2.9</v>
      </c>
      <c r="BK1500" t="s">
        <v>56</v>
      </c>
      <c r="BL1500" t="s">
        <v>83</v>
      </c>
      <c r="BM1500" t="s">
        <v>83</v>
      </c>
      <c r="BN1500" t="s">
        <v>81</v>
      </c>
      <c r="BO1500" t="s">
        <v>82</v>
      </c>
      <c r="BP1500" t="s">
        <v>83</v>
      </c>
      <c r="BQ1500" t="s">
        <v>83</v>
      </c>
      <c r="BR1500" t="s">
        <v>84</v>
      </c>
      <c r="BS1500"/>
      <c r="BT1500">
        <v>59.72</v>
      </c>
      <c r="BU1500">
        <v>59.72</v>
      </c>
      <c r="BV1500">
        <v>3.92</v>
      </c>
      <c r="BW1500">
        <f>BV1500*SQRT(AK1500)</f>
        <v>6.7896391656699988</v>
      </c>
      <c r="BX1500">
        <v>61.08</v>
      </c>
      <c r="BY1500">
        <v>61.08</v>
      </c>
      <c r="BZ1500">
        <v>4.71</v>
      </c>
      <c r="CA1500">
        <f>BZ1500*SQRT(AL1500)</f>
        <v>8.1579593036494114</v>
      </c>
      <c r="CB1500">
        <v>8</v>
      </c>
      <c r="CC1500">
        <v>3</v>
      </c>
      <c r="CD1500">
        <v>2.3E-2</v>
      </c>
      <c r="CE1500">
        <v>1.0200000000000001E-2</v>
      </c>
      <c r="CF1500"/>
    </row>
    <row r="1501" spans="1:84" hidden="1" x14ac:dyDescent="0.2">
      <c r="B1501" t="str">
        <f>ROW()-1&amp;"_AltersInvert"</f>
        <v>1500_AltersInvert</v>
      </c>
      <c r="C1501" t="str">
        <f>D1501&amp;"_"&amp;
SUBSTITUTE(TRIM(V1501)," ","_")&amp;"_"&amp;
TRIM(AC1501)&amp;"_"&amp;
"CO2"&amp;TEXT(AN1501,"0.00")&amp;"_"&amp;
"pH"&amp;TEXT(AR1501,"0.00")&amp;"_"&amp;
"T"&amp;TEXT(BC1501,"0.##")</f>
        <v>37_Tripneustes_gratilla_LARVA_CO2448.00_pH8.13_T23.5</v>
      </c>
      <c r="D1501">
        <v>37</v>
      </c>
      <c r="G1501" t="s">
        <v>43</v>
      </c>
      <c r="H1501" t="s">
        <v>421</v>
      </c>
      <c r="J1501">
        <v>2010</v>
      </c>
      <c r="M1501" t="s">
        <v>213</v>
      </c>
      <c r="P1501" t="s">
        <v>1135</v>
      </c>
      <c r="R1501" t="s">
        <v>1127</v>
      </c>
      <c r="S1501" t="s">
        <v>1128</v>
      </c>
      <c r="T1501" t="s">
        <v>46</v>
      </c>
      <c r="U1501" t="s">
        <v>422</v>
      </c>
      <c r="V1501" t="s">
        <v>423</v>
      </c>
      <c r="Z1501" t="s">
        <v>106</v>
      </c>
      <c r="AA1501" t="s">
        <v>107</v>
      </c>
      <c r="AB1501" t="s">
        <v>71</v>
      </c>
      <c r="AC1501" t="s">
        <v>72</v>
      </c>
      <c r="AD1501" t="s">
        <v>52</v>
      </c>
      <c r="AE1501" t="s">
        <v>53</v>
      </c>
      <c r="AF1501" t="s">
        <v>52</v>
      </c>
      <c r="AG1501" t="s">
        <v>54</v>
      </c>
      <c r="AH1501" t="s">
        <v>55</v>
      </c>
      <c r="AK1501">
        <v>35</v>
      </c>
      <c r="AL1501">
        <v>35</v>
      </c>
      <c r="AM1501" t="s">
        <v>342</v>
      </c>
      <c r="AN1501">
        <v>448</v>
      </c>
      <c r="AO1501">
        <v>3</v>
      </c>
      <c r="AP1501" t="s">
        <v>56</v>
      </c>
      <c r="AQ1501" t="s">
        <v>57</v>
      </c>
      <c r="AR1501">
        <v>8.1300000000000008</v>
      </c>
      <c r="AS1501">
        <v>0</v>
      </c>
      <c r="AT1501" t="s">
        <v>56</v>
      </c>
      <c r="AU1501">
        <v>1142</v>
      </c>
      <c r="AV1501">
        <v>8</v>
      </c>
      <c r="AW1501" t="s">
        <v>56</v>
      </c>
      <c r="AX1501">
        <v>7.8</v>
      </c>
      <c r="AY1501">
        <v>0.01</v>
      </c>
      <c r="AZ1501" t="s">
        <v>56</v>
      </c>
      <c r="BB1501">
        <f>LOG(AU1501)</f>
        <v>3.0576661039098294</v>
      </c>
      <c r="BC1501">
        <v>23.5</v>
      </c>
      <c r="BD1501">
        <v>0</v>
      </c>
      <c r="BE1501" t="s">
        <v>56</v>
      </c>
      <c r="BF1501">
        <v>23.5</v>
      </c>
      <c r="BG1501">
        <v>0</v>
      </c>
      <c r="BH1501" t="s">
        <v>56</v>
      </c>
      <c r="BI1501">
        <v>694</v>
      </c>
      <c r="BJ1501">
        <v>0</v>
      </c>
      <c r="BK1501" t="s">
        <v>56</v>
      </c>
      <c r="BL1501" t="s">
        <v>424</v>
      </c>
      <c r="BM1501" t="s">
        <v>86</v>
      </c>
      <c r="BN1501" t="s">
        <v>340</v>
      </c>
      <c r="BO1501" t="s">
        <v>91</v>
      </c>
      <c r="BP1501" t="s">
        <v>9</v>
      </c>
      <c r="BQ1501" t="s">
        <v>9</v>
      </c>
      <c r="BR1501" t="s">
        <v>63</v>
      </c>
      <c r="BT1501">
        <v>7.3</v>
      </c>
      <c r="BU1501">
        <v>7.2960000000000003</v>
      </c>
      <c r="BV1501">
        <v>1.1499999999999999</v>
      </c>
      <c r="BW1501">
        <f>BV1501*SQRT(AK1501)</f>
        <v>6.8034917505645582</v>
      </c>
      <c r="BX1501">
        <v>9.2799999999999994</v>
      </c>
      <c r="BY1501">
        <v>9.2799999999999994</v>
      </c>
      <c r="BZ1501">
        <v>1.1499999999999999</v>
      </c>
      <c r="CA1501">
        <f>BZ1501*SQRT(AL1501)</f>
        <v>6.8034917505645582</v>
      </c>
      <c r="CB1501">
        <v>5</v>
      </c>
      <c r="CC1501">
        <v>3</v>
      </c>
      <c r="CD1501">
        <v>-0.24099999999999999</v>
      </c>
      <c r="CE1501">
        <v>4.0300000000000002E-2</v>
      </c>
    </row>
    <row r="1502" spans="1:84" s="8" customFormat="1" hidden="1" x14ac:dyDescent="0.2">
      <c r="A1502"/>
      <c r="B1502" t="str">
        <f>ROW()-1&amp;"_AltersInvert"</f>
        <v>1501_AltersInvert</v>
      </c>
      <c r="C1502" t="str">
        <f>D1502&amp;"_"&amp;
SUBSTITUTE(TRIM(V1502)," ","_")&amp;"_"&amp;
TRIM(AC1502)&amp;"_"&amp;
"CO2"&amp;TEXT(AN1502,"0.00")&amp;"_"&amp;
"pH"&amp;TEXT(AR1502,"0.00")&amp;"_"&amp;
"T"&amp;TEXT(BC1502,"0.##")</f>
        <v>37_Tripneustes_gratilla_LARVA_CO2448.00_pH8.13_T23.5</v>
      </c>
      <c r="D1502">
        <v>37</v>
      </c>
      <c r="E1502"/>
      <c r="F1502"/>
      <c r="G1502" t="s">
        <v>43</v>
      </c>
      <c r="H1502" t="s">
        <v>421</v>
      </c>
      <c r="I1502"/>
      <c r="J1502">
        <v>2010</v>
      </c>
      <c r="K1502"/>
      <c r="L1502"/>
      <c r="M1502" t="s">
        <v>213</v>
      </c>
      <c r="N1502"/>
      <c r="O1502"/>
      <c r="P1502" t="s">
        <v>1135</v>
      </c>
      <c r="Q1502"/>
      <c r="R1502" t="s">
        <v>1127</v>
      </c>
      <c r="S1502" t="s">
        <v>1128</v>
      </c>
      <c r="T1502" t="s">
        <v>46</v>
      </c>
      <c r="U1502" t="s">
        <v>422</v>
      </c>
      <c r="V1502" t="s">
        <v>423</v>
      </c>
      <c r="W1502"/>
      <c r="X1502"/>
      <c r="Y1502"/>
      <c r="Z1502" t="s">
        <v>106</v>
      </c>
      <c r="AA1502" t="s">
        <v>107</v>
      </c>
      <c r="AB1502" t="s">
        <v>71</v>
      </c>
      <c r="AC1502" t="s">
        <v>72</v>
      </c>
      <c r="AD1502" t="s">
        <v>52</v>
      </c>
      <c r="AE1502" t="s">
        <v>53</v>
      </c>
      <c r="AF1502" t="s">
        <v>52</v>
      </c>
      <c r="AG1502" t="s">
        <v>54</v>
      </c>
      <c r="AH1502" t="s">
        <v>55</v>
      </c>
      <c r="AI1502"/>
      <c r="AJ1502"/>
      <c r="AK1502">
        <v>35</v>
      </c>
      <c r="AL1502">
        <v>35</v>
      </c>
      <c r="AM1502" t="s">
        <v>342</v>
      </c>
      <c r="AN1502">
        <v>448</v>
      </c>
      <c r="AO1502">
        <v>3</v>
      </c>
      <c r="AP1502" t="s">
        <v>56</v>
      </c>
      <c r="AQ1502" t="s">
        <v>57</v>
      </c>
      <c r="AR1502">
        <v>8.1300000000000008</v>
      </c>
      <c r="AS1502">
        <v>0</v>
      </c>
      <c r="AT1502" t="s">
        <v>56</v>
      </c>
      <c r="AU1502">
        <v>1886</v>
      </c>
      <c r="AV1502">
        <v>13</v>
      </c>
      <c r="AW1502" t="s">
        <v>56</v>
      </c>
      <c r="AX1502">
        <v>7.61</v>
      </c>
      <c r="AY1502">
        <v>0</v>
      </c>
      <c r="AZ1502" t="s">
        <v>56</v>
      </c>
      <c r="BA1502"/>
      <c r="BB1502">
        <f>LOG(AU1502)</f>
        <v>3.2755416884013098</v>
      </c>
      <c r="BC1502">
        <v>23.5</v>
      </c>
      <c r="BD1502">
        <v>0</v>
      </c>
      <c r="BE1502" t="s">
        <v>56</v>
      </c>
      <c r="BF1502">
        <v>23.5</v>
      </c>
      <c r="BG1502">
        <v>0</v>
      </c>
      <c r="BH1502" t="s">
        <v>56</v>
      </c>
      <c r="BI1502">
        <v>1438</v>
      </c>
      <c r="BJ1502">
        <v>0</v>
      </c>
      <c r="BK1502" t="s">
        <v>56</v>
      </c>
      <c r="BL1502" t="s">
        <v>424</v>
      </c>
      <c r="BM1502" t="s">
        <v>86</v>
      </c>
      <c r="BN1502" t="s">
        <v>340</v>
      </c>
      <c r="BO1502" t="s">
        <v>91</v>
      </c>
      <c r="BP1502" t="s">
        <v>9</v>
      </c>
      <c r="BQ1502" t="s">
        <v>9</v>
      </c>
      <c r="BR1502" t="s">
        <v>63</v>
      </c>
      <c r="BS1502"/>
      <c r="BT1502">
        <v>7.3</v>
      </c>
      <c r="BU1502">
        <v>7.2960000000000003</v>
      </c>
      <c r="BV1502">
        <v>1.1499999999999999</v>
      </c>
      <c r="BW1502">
        <f>BV1502*SQRT(AK1502)</f>
        <v>6.8034917505645582</v>
      </c>
      <c r="BX1502">
        <v>7.42</v>
      </c>
      <c r="BY1502">
        <v>7.42</v>
      </c>
      <c r="BZ1502">
        <v>1.0900000000000001</v>
      </c>
      <c r="CA1502">
        <f>BZ1502*SQRT(AL1502)</f>
        <v>6.4485269635785825</v>
      </c>
      <c r="CB1502">
        <v>5</v>
      </c>
      <c r="CC1502">
        <v>3</v>
      </c>
      <c r="CD1502">
        <v>-1.7000000000000001E-2</v>
      </c>
      <c r="CE1502">
        <v>4.65E-2</v>
      </c>
      <c r="CF1502"/>
    </row>
    <row r="1503" spans="1:84" s="8" customFormat="1" hidden="1" x14ac:dyDescent="0.2">
      <c r="A1503"/>
      <c r="B1503" t="str">
        <f>ROW()-1&amp;"_AltersInvert"</f>
        <v>1502_AltersInvert</v>
      </c>
      <c r="C1503" t="str">
        <f>D1503&amp;"_"&amp;
SUBSTITUTE(TRIM(V1503)," ","_")&amp;"_"&amp;
TRIM(AC1503)&amp;"_"&amp;
"CO2"&amp;TEXT(AN1503,"0.00")&amp;"_"&amp;
"pH"&amp;TEXT(AR1503,"0.00")&amp;"_"&amp;
"T"&amp;TEXT(BC1503,"0.##")</f>
        <v>37_Tripneustes_gratilla_LARVA_CO2448.00_pH8.13_T23.5</v>
      </c>
      <c r="D1503">
        <v>37</v>
      </c>
      <c r="E1503"/>
      <c r="F1503"/>
      <c r="G1503" t="s">
        <v>43</v>
      </c>
      <c r="H1503" t="s">
        <v>421</v>
      </c>
      <c r="I1503"/>
      <c r="J1503">
        <v>2010</v>
      </c>
      <c r="K1503"/>
      <c r="L1503"/>
      <c r="M1503" t="s">
        <v>213</v>
      </c>
      <c r="N1503"/>
      <c r="O1503"/>
      <c r="P1503" t="s">
        <v>1135</v>
      </c>
      <c r="Q1503"/>
      <c r="R1503" t="s">
        <v>1127</v>
      </c>
      <c r="S1503" t="s">
        <v>1128</v>
      </c>
      <c r="T1503" t="s">
        <v>46</v>
      </c>
      <c r="U1503" t="s">
        <v>422</v>
      </c>
      <c r="V1503" t="s">
        <v>423</v>
      </c>
      <c r="W1503"/>
      <c r="X1503"/>
      <c r="Y1503"/>
      <c r="Z1503" t="s">
        <v>106</v>
      </c>
      <c r="AA1503" t="s">
        <v>107</v>
      </c>
      <c r="AB1503" t="s">
        <v>71</v>
      </c>
      <c r="AC1503" t="s">
        <v>72</v>
      </c>
      <c r="AD1503" t="s">
        <v>52</v>
      </c>
      <c r="AE1503" t="s">
        <v>53</v>
      </c>
      <c r="AF1503" t="s">
        <v>54</v>
      </c>
      <c r="AG1503" t="s">
        <v>52</v>
      </c>
      <c r="AH1503" t="s">
        <v>65</v>
      </c>
      <c r="AI1503"/>
      <c r="AJ1503"/>
      <c r="AK1503">
        <v>35</v>
      </c>
      <c r="AL1503">
        <v>35</v>
      </c>
      <c r="AM1503" t="s">
        <v>342</v>
      </c>
      <c r="AN1503">
        <v>448</v>
      </c>
      <c r="AO1503">
        <v>3</v>
      </c>
      <c r="AP1503" t="s">
        <v>56</v>
      </c>
      <c r="AQ1503" t="s">
        <v>57</v>
      </c>
      <c r="AR1503">
        <v>8.1300000000000008</v>
      </c>
      <c r="AS1503">
        <v>0</v>
      </c>
      <c r="AT1503" t="s">
        <v>56</v>
      </c>
      <c r="AU1503">
        <v>455</v>
      </c>
      <c r="AV1503">
        <v>3</v>
      </c>
      <c r="AW1503" t="s">
        <v>56</v>
      </c>
      <c r="AX1503">
        <v>8.1300000000000008</v>
      </c>
      <c r="AY1503">
        <v>0</v>
      </c>
      <c r="AZ1503" t="s">
        <v>56</v>
      </c>
      <c r="BA1503"/>
      <c r="BB1503">
        <f>LOG(AU1503)</f>
        <v>2.6580113966571126</v>
      </c>
      <c r="BC1503">
        <v>23.5</v>
      </c>
      <c r="BD1503">
        <v>0</v>
      </c>
      <c r="BE1503" t="s">
        <v>56</v>
      </c>
      <c r="BF1503">
        <v>26.1</v>
      </c>
      <c r="BG1503">
        <v>0.1</v>
      </c>
      <c r="BH1503" t="s">
        <v>56</v>
      </c>
      <c r="BI1503">
        <v>7</v>
      </c>
      <c r="BJ1503">
        <v>2.6</v>
      </c>
      <c r="BK1503" t="s">
        <v>56</v>
      </c>
      <c r="BL1503" t="s">
        <v>424</v>
      </c>
      <c r="BM1503" t="s">
        <v>86</v>
      </c>
      <c r="BN1503" t="s">
        <v>340</v>
      </c>
      <c r="BO1503" t="s">
        <v>91</v>
      </c>
      <c r="BP1503" t="s">
        <v>9</v>
      </c>
      <c r="BQ1503" t="s">
        <v>9</v>
      </c>
      <c r="BR1503" t="s">
        <v>63</v>
      </c>
      <c r="BS1503"/>
      <c r="BT1503">
        <v>7.3</v>
      </c>
      <c r="BU1503">
        <v>7.2960000000000003</v>
      </c>
      <c r="BV1503">
        <v>1.1499999999999999</v>
      </c>
      <c r="BW1503">
        <f>BV1503*SQRT(AK1503)</f>
        <v>6.8034917505645582</v>
      </c>
      <c r="BX1503">
        <v>12.16</v>
      </c>
      <c r="BY1503">
        <v>12.16</v>
      </c>
      <c r="BZ1503">
        <v>1.1499999999999999</v>
      </c>
      <c r="CA1503">
        <f>BZ1503*SQRT(AL1503)</f>
        <v>6.8034917505645582</v>
      </c>
      <c r="CB1503">
        <v>5</v>
      </c>
      <c r="CC1503">
        <v>3</v>
      </c>
      <c r="CD1503">
        <v>-0.51100000000000001</v>
      </c>
      <c r="CE1503">
        <v>3.39E-2</v>
      </c>
      <c r="CF1503"/>
    </row>
    <row r="1504" spans="1:84" s="8" customFormat="1" hidden="1" x14ac:dyDescent="0.2">
      <c r="A1504"/>
      <c r="B1504" t="str">
        <f>ROW()-1&amp;"_AltersInvert"</f>
        <v>1503_AltersInvert</v>
      </c>
      <c r="C1504" t="str">
        <f>D1504&amp;"_"&amp;
SUBSTITUTE(TRIM(V1504)," ","_")&amp;"_"&amp;
TRIM(AC1504)&amp;"_"&amp;
"CO2"&amp;TEXT(AN1504,"0.00")&amp;"_"&amp;
"pH"&amp;TEXT(AR1504,"0.00")&amp;"_"&amp;
"T"&amp;TEXT(BC1504,"0.##")</f>
        <v>37_Tripneustes_gratilla_LARVA_CO2448.00_pH8.13_T23.5</v>
      </c>
      <c r="D1504">
        <v>37</v>
      </c>
      <c r="E1504"/>
      <c r="F1504"/>
      <c r="G1504" t="s">
        <v>43</v>
      </c>
      <c r="H1504" t="s">
        <v>421</v>
      </c>
      <c r="I1504"/>
      <c r="J1504">
        <v>2010</v>
      </c>
      <c r="K1504"/>
      <c r="L1504"/>
      <c r="M1504" t="s">
        <v>213</v>
      </c>
      <c r="N1504"/>
      <c r="O1504"/>
      <c r="P1504" t="s">
        <v>1135</v>
      </c>
      <c r="Q1504"/>
      <c r="R1504" t="s">
        <v>1127</v>
      </c>
      <c r="S1504" t="s">
        <v>1128</v>
      </c>
      <c r="T1504" t="s">
        <v>46</v>
      </c>
      <c r="U1504" t="s">
        <v>422</v>
      </c>
      <c r="V1504" t="s">
        <v>423</v>
      </c>
      <c r="W1504"/>
      <c r="X1504"/>
      <c r="Y1504"/>
      <c r="Z1504" t="s">
        <v>106</v>
      </c>
      <c r="AA1504" t="s">
        <v>107</v>
      </c>
      <c r="AB1504" t="s">
        <v>71</v>
      </c>
      <c r="AC1504" t="s">
        <v>72</v>
      </c>
      <c r="AD1504" t="s">
        <v>52</v>
      </c>
      <c r="AE1504" t="s">
        <v>53</v>
      </c>
      <c r="AF1504" t="s">
        <v>52</v>
      </c>
      <c r="AG1504" t="s">
        <v>52</v>
      </c>
      <c r="AH1504" t="s">
        <v>64</v>
      </c>
      <c r="AI1504"/>
      <c r="AJ1504"/>
      <c r="AK1504">
        <v>35</v>
      </c>
      <c r="AL1504">
        <v>35</v>
      </c>
      <c r="AM1504" t="s">
        <v>342</v>
      </c>
      <c r="AN1504">
        <v>448</v>
      </c>
      <c r="AO1504">
        <v>3</v>
      </c>
      <c r="AP1504" t="s">
        <v>56</v>
      </c>
      <c r="AQ1504" t="s">
        <v>57</v>
      </c>
      <c r="AR1504">
        <v>8.1300000000000008</v>
      </c>
      <c r="AS1504">
        <v>0</v>
      </c>
      <c r="AT1504" t="s">
        <v>56</v>
      </c>
      <c r="AU1504">
        <v>1169</v>
      </c>
      <c r="AV1504">
        <v>8</v>
      </c>
      <c r="AW1504" t="s">
        <v>56</v>
      </c>
      <c r="AX1504">
        <v>7.8</v>
      </c>
      <c r="AY1504">
        <v>0.01</v>
      </c>
      <c r="AZ1504" t="s">
        <v>56</v>
      </c>
      <c r="BA1504"/>
      <c r="BB1504">
        <f>LOG(AU1504)</f>
        <v>3.0678145111618402</v>
      </c>
      <c r="BC1504">
        <v>23.5</v>
      </c>
      <c r="BD1504">
        <v>0</v>
      </c>
      <c r="BE1504" t="s">
        <v>56</v>
      </c>
      <c r="BF1504">
        <v>26.1</v>
      </c>
      <c r="BG1504">
        <v>0.1</v>
      </c>
      <c r="BH1504" t="s">
        <v>56</v>
      </c>
      <c r="BI1504">
        <v>721</v>
      </c>
      <c r="BJ1504">
        <v>2.6</v>
      </c>
      <c r="BK1504" t="s">
        <v>56</v>
      </c>
      <c r="BL1504" t="s">
        <v>424</v>
      </c>
      <c r="BM1504" t="s">
        <v>86</v>
      </c>
      <c r="BN1504" t="s">
        <v>340</v>
      </c>
      <c r="BO1504" t="s">
        <v>91</v>
      </c>
      <c r="BP1504" t="s">
        <v>9</v>
      </c>
      <c r="BQ1504" t="s">
        <v>9</v>
      </c>
      <c r="BR1504" t="s">
        <v>63</v>
      </c>
      <c r="BS1504"/>
      <c r="BT1504">
        <v>7.3</v>
      </c>
      <c r="BU1504">
        <v>7.2960000000000003</v>
      </c>
      <c r="BV1504">
        <v>1.1499999999999999</v>
      </c>
      <c r="BW1504">
        <f>BV1504*SQRT(AK1504)</f>
        <v>6.8034917505645582</v>
      </c>
      <c r="BX1504">
        <v>12.74</v>
      </c>
      <c r="BY1504">
        <v>12.74</v>
      </c>
      <c r="BZ1504">
        <v>1.21</v>
      </c>
      <c r="CA1504">
        <f>BZ1504*SQRT(AL1504)</f>
        <v>7.1584565375505349</v>
      </c>
      <c r="CB1504">
        <v>5</v>
      </c>
      <c r="CC1504">
        <v>3</v>
      </c>
      <c r="CD1504">
        <v>-0.55700000000000005</v>
      </c>
      <c r="CE1504">
        <v>3.4000000000000002E-2</v>
      </c>
      <c r="CF1504"/>
    </row>
    <row r="1505" spans="1:84" hidden="1" x14ac:dyDescent="0.2">
      <c r="B1505" t="str">
        <f>ROW()-1&amp;"_AltersInvert"</f>
        <v>1504_AltersInvert</v>
      </c>
      <c r="C1505" t="str">
        <f>D1505&amp;"_"&amp;
SUBSTITUTE(TRIM(V1505)," ","_")&amp;"_"&amp;
TRIM(AC1505)&amp;"_"&amp;
"CO2"&amp;TEXT(AN1505,"0.00")&amp;"_"&amp;
"pH"&amp;TEXT(AR1505,"0.00")&amp;"_"&amp;
"T"&amp;TEXT(BC1505,"0.##")</f>
        <v>37_Tripneustes_gratilla_LARVA_CO2448.00_pH8.13_T23.5</v>
      </c>
      <c r="D1505">
        <v>37</v>
      </c>
      <c r="G1505" t="s">
        <v>43</v>
      </c>
      <c r="H1505" t="s">
        <v>421</v>
      </c>
      <c r="J1505">
        <v>2010</v>
      </c>
      <c r="M1505" t="s">
        <v>213</v>
      </c>
      <c r="P1505" t="s">
        <v>1135</v>
      </c>
      <c r="R1505" t="s">
        <v>1127</v>
      </c>
      <c r="S1505" t="s">
        <v>1128</v>
      </c>
      <c r="T1505" t="s">
        <v>46</v>
      </c>
      <c r="U1505" t="s">
        <v>422</v>
      </c>
      <c r="V1505" t="s">
        <v>423</v>
      </c>
      <c r="Z1505" t="s">
        <v>106</v>
      </c>
      <c r="AA1505" t="s">
        <v>107</v>
      </c>
      <c r="AB1505" t="s">
        <v>71</v>
      </c>
      <c r="AC1505" t="s">
        <v>72</v>
      </c>
      <c r="AD1505" t="s">
        <v>52</v>
      </c>
      <c r="AE1505" t="s">
        <v>53</v>
      </c>
      <c r="AF1505" t="s">
        <v>52</v>
      </c>
      <c r="AG1505" t="s">
        <v>52</v>
      </c>
      <c r="AH1505" t="s">
        <v>64</v>
      </c>
      <c r="AK1505">
        <v>35</v>
      </c>
      <c r="AL1505">
        <v>35</v>
      </c>
      <c r="AM1505" t="s">
        <v>342</v>
      </c>
      <c r="AN1505">
        <v>448</v>
      </c>
      <c r="AO1505">
        <v>3</v>
      </c>
      <c r="AP1505" t="s">
        <v>56</v>
      </c>
      <c r="AQ1505" t="s">
        <v>57</v>
      </c>
      <c r="AR1505">
        <v>8.1300000000000008</v>
      </c>
      <c r="AS1505">
        <v>0</v>
      </c>
      <c r="AT1505" t="s">
        <v>56</v>
      </c>
      <c r="AU1505">
        <v>1938</v>
      </c>
      <c r="AV1505">
        <v>14</v>
      </c>
      <c r="AW1505" t="s">
        <v>56</v>
      </c>
      <c r="AX1505">
        <v>7.61</v>
      </c>
      <c r="AY1505">
        <v>0</v>
      </c>
      <c r="AZ1505" t="s">
        <v>56</v>
      </c>
      <c r="BB1505">
        <f>LOG(AU1505)</f>
        <v>3.2873537727147464</v>
      </c>
      <c r="BC1505">
        <v>23.5</v>
      </c>
      <c r="BD1505">
        <v>0</v>
      </c>
      <c r="BE1505" t="s">
        <v>56</v>
      </c>
      <c r="BF1505">
        <v>26.1</v>
      </c>
      <c r="BG1505">
        <v>0.1</v>
      </c>
      <c r="BH1505" t="s">
        <v>56</v>
      </c>
      <c r="BI1505">
        <v>1490</v>
      </c>
      <c r="BJ1505">
        <v>2.6</v>
      </c>
      <c r="BK1505" t="s">
        <v>56</v>
      </c>
      <c r="BL1505" t="s">
        <v>424</v>
      </c>
      <c r="BM1505" t="s">
        <v>86</v>
      </c>
      <c r="BN1505" t="s">
        <v>340</v>
      </c>
      <c r="BO1505" t="s">
        <v>91</v>
      </c>
      <c r="BP1505" t="s">
        <v>9</v>
      </c>
      <c r="BQ1505" t="s">
        <v>9</v>
      </c>
      <c r="BR1505" t="s">
        <v>63</v>
      </c>
      <c r="BT1505">
        <v>7.3</v>
      </c>
      <c r="BU1505">
        <v>7.2960000000000003</v>
      </c>
      <c r="BV1505">
        <v>1.1499999999999999</v>
      </c>
      <c r="BW1505">
        <f>BV1505*SQRT(AK1505)</f>
        <v>6.8034917505645582</v>
      </c>
      <c r="BX1505">
        <v>12.67</v>
      </c>
      <c r="BY1505">
        <v>12.67</v>
      </c>
      <c r="BZ1505">
        <v>1.28</v>
      </c>
      <c r="CA1505">
        <f>BZ1505*SQRT(AL1505)</f>
        <v>7.5725821223675087</v>
      </c>
      <c r="CB1505">
        <v>5</v>
      </c>
      <c r="CC1505">
        <v>3</v>
      </c>
      <c r="CD1505">
        <v>-0.55200000000000005</v>
      </c>
      <c r="CE1505">
        <v>3.5099999999999999E-2</v>
      </c>
    </row>
    <row r="1506" spans="1:84" hidden="1" x14ac:dyDescent="0.2">
      <c r="B1506" t="str">
        <f>ROW()-1&amp;"_AltersInvert"</f>
        <v>1505_AltersInvert</v>
      </c>
      <c r="C1506" t="str">
        <f>D1506&amp;"_"&amp;
SUBSTITUTE(TRIM(V1506)," ","_")&amp;"_"&amp;
TRIM(AC1506)&amp;"_"&amp;
"CO2"&amp;TEXT(AN1506,"0.00")&amp;"_"&amp;
"pH"&amp;TEXT(AR1506,"0.00")&amp;"_"&amp;
"T"&amp;TEXT(BC1506,"0.##")</f>
        <v>2_Ostrea_angasi_LARVA_CO2388.00_pH8.20_T26.</v>
      </c>
      <c r="D1506">
        <v>2</v>
      </c>
      <c r="G1506" t="s">
        <v>43</v>
      </c>
      <c r="H1506" t="s">
        <v>66</v>
      </c>
      <c r="J1506">
        <v>2016</v>
      </c>
      <c r="M1506" t="s">
        <v>67</v>
      </c>
      <c r="P1506" t="s">
        <v>1135</v>
      </c>
      <c r="R1506" t="s">
        <v>1127</v>
      </c>
      <c r="S1506" t="s">
        <v>1128</v>
      </c>
      <c r="T1506" t="s">
        <v>68</v>
      </c>
      <c r="U1506" t="s">
        <v>69</v>
      </c>
      <c r="V1506" t="s">
        <v>70</v>
      </c>
      <c r="Z1506" t="s">
        <v>49</v>
      </c>
      <c r="AA1506" t="s">
        <v>49</v>
      </c>
      <c r="AB1506" t="s">
        <v>71</v>
      </c>
      <c r="AC1506" t="s">
        <v>72</v>
      </c>
      <c r="AD1506" t="s">
        <v>52</v>
      </c>
      <c r="AE1506" t="s">
        <v>53</v>
      </c>
      <c r="AF1506" t="s">
        <v>52</v>
      </c>
      <c r="AG1506" t="s">
        <v>54</v>
      </c>
      <c r="AH1506" t="s">
        <v>55</v>
      </c>
      <c r="AK1506">
        <v>3</v>
      </c>
      <c r="AL1506">
        <v>3</v>
      </c>
      <c r="AN1506">
        <v>388</v>
      </c>
      <c r="AO1506">
        <v>7</v>
      </c>
      <c r="AP1506" t="s">
        <v>56</v>
      </c>
      <c r="AQ1506" t="s">
        <v>57</v>
      </c>
      <c r="AR1506">
        <v>8.1999999999999993</v>
      </c>
      <c r="AS1506" t="s">
        <v>56</v>
      </c>
      <c r="AT1506" t="s">
        <v>56</v>
      </c>
      <c r="AU1506">
        <v>1158</v>
      </c>
      <c r="AV1506">
        <v>20</v>
      </c>
      <c r="AW1506" t="s">
        <v>56</v>
      </c>
      <c r="AX1506">
        <v>7.79</v>
      </c>
      <c r="AY1506" t="s">
        <v>56</v>
      </c>
      <c r="AZ1506" t="s">
        <v>56</v>
      </c>
      <c r="BB1506">
        <f>LOG(AU1506)</f>
        <v>3.0637085593914173</v>
      </c>
      <c r="BC1506">
        <v>26</v>
      </c>
      <c r="BD1506" t="s">
        <v>56</v>
      </c>
      <c r="BE1506" t="s">
        <v>56</v>
      </c>
      <c r="BF1506">
        <v>26</v>
      </c>
      <c r="BG1506" t="s">
        <v>56</v>
      </c>
      <c r="BH1506" t="s">
        <v>56</v>
      </c>
      <c r="BI1506">
        <v>770</v>
      </c>
      <c r="BJ1506">
        <v>0</v>
      </c>
      <c r="BK1506" t="s">
        <v>78</v>
      </c>
      <c r="BL1506" t="s">
        <v>79</v>
      </c>
      <c r="BM1506" t="s">
        <v>80</v>
      </c>
      <c r="BN1506" t="s">
        <v>81</v>
      </c>
      <c r="BO1506" t="s">
        <v>82</v>
      </c>
      <c r="BP1506" t="s">
        <v>83</v>
      </c>
      <c r="BQ1506" t="s">
        <v>83</v>
      </c>
      <c r="BR1506" t="s">
        <v>84</v>
      </c>
      <c r="BT1506">
        <v>4.1900000000000004</v>
      </c>
      <c r="BU1506">
        <v>95.813952999999998</v>
      </c>
      <c r="BV1506">
        <v>3.95</v>
      </c>
      <c r="BW1506">
        <f>BV1506*SQRT(AK1506)</f>
        <v>6.8416006898970654</v>
      </c>
      <c r="BX1506">
        <v>6.82</v>
      </c>
      <c r="BY1506">
        <v>93.181818199999995</v>
      </c>
      <c r="BZ1506">
        <v>6.59</v>
      </c>
      <c r="CA1506">
        <f>BZ1506*SQRT(AL1506)</f>
        <v>11.4142148218789</v>
      </c>
      <c r="CB1506">
        <v>4</v>
      </c>
      <c r="CC1506">
        <v>3</v>
      </c>
      <c r="CD1506">
        <v>-2.8000000000000001E-2</v>
      </c>
      <c r="CE1506">
        <v>6.7000000000000002E-3</v>
      </c>
    </row>
    <row r="1507" spans="1:84" s="8" customFormat="1" hidden="1" x14ac:dyDescent="0.2">
      <c r="A1507"/>
      <c r="B1507" t="str">
        <f>ROW()-1&amp;"_AltersInvert"</f>
        <v>1506_AltersInvert</v>
      </c>
      <c r="C1507" t="str">
        <f>D1507&amp;"_"&amp;
SUBSTITUTE(TRIM(V1507)," ","_")&amp;"_"&amp;
TRIM(AC1507)&amp;"_"&amp;
"CO2"&amp;TEXT(AN1507,"0.00")&amp;"_"&amp;
"pH"&amp;TEXT(AR1507,"0.00")&amp;"_"&amp;
"T"&amp;TEXT(BC1507,"0.##")</f>
        <v>2_Ostrea_angasi_LARVA_CO2388.00_pH8.20_T26.</v>
      </c>
      <c r="D1507">
        <v>2</v>
      </c>
      <c r="E1507"/>
      <c r="F1507"/>
      <c r="G1507" t="s">
        <v>43</v>
      </c>
      <c r="H1507" t="s">
        <v>66</v>
      </c>
      <c r="I1507"/>
      <c r="J1507">
        <v>2016</v>
      </c>
      <c r="K1507"/>
      <c r="L1507"/>
      <c r="M1507" t="s">
        <v>67</v>
      </c>
      <c r="N1507"/>
      <c r="O1507"/>
      <c r="P1507" t="s">
        <v>1135</v>
      </c>
      <c r="Q1507"/>
      <c r="R1507" t="s">
        <v>1127</v>
      </c>
      <c r="S1507" t="s">
        <v>1128</v>
      </c>
      <c r="T1507" t="s">
        <v>68</v>
      </c>
      <c r="U1507" t="s">
        <v>69</v>
      </c>
      <c r="V1507" t="s">
        <v>70</v>
      </c>
      <c r="W1507"/>
      <c r="X1507"/>
      <c r="Y1507"/>
      <c r="Z1507" t="s">
        <v>49</v>
      </c>
      <c r="AA1507" t="s">
        <v>49</v>
      </c>
      <c r="AB1507" t="s">
        <v>71</v>
      </c>
      <c r="AC1507" t="s">
        <v>72</v>
      </c>
      <c r="AD1507" t="s">
        <v>52</v>
      </c>
      <c r="AE1507" t="s">
        <v>53</v>
      </c>
      <c r="AF1507" t="s">
        <v>54</v>
      </c>
      <c r="AG1507" t="s">
        <v>52</v>
      </c>
      <c r="AH1507" t="s">
        <v>65</v>
      </c>
      <c r="AI1507"/>
      <c r="AJ1507"/>
      <c r="AK1507">
        <v>3</v>
      </c>
      <c r="AL1507">
        <v>3</v>
      </c>
      <c r="AM1507"/>
      <c r="AN1507">
        <v>388</v>
      </c>
      <c r="AO1507">
        <v>7</v>
      </c>
      <c r="AP1507" t="s">
        <v>56</v>
      </c>
      <c r="AQ1507" t="s">
        <v>57</v>
      </c>
      <c r="AR1507">
        <v>8.1999999999999993</v>
      </c>
      <c r="AS1507" t="s">
        <v>56</v>
      </c>
      <c r="AT1507" t="s">
        <v>56</v>
      </c>
      <c r="AU1507">
        <v>394</v>
      </c>
      <c r="AV1507">
        <v>7</v>
      </c>
      <c r="AW1507" t="s">
        <v>56</v>
      </c>
      <c r="AX1507">
        <v>8.1999999999999993</v>
      </c>
      <c r="AY1507" t="s">
        <v>56</v>
      </c>
      <c r="AZ1507" t="s">
        <v>56</v>
      </c>
      <c r="BA1507"/>
      <c r="BB1507">
        <f>LOG(AU1507)</f>
        <v>2.5954962218255742</v>
      </c>
      <c r="BC1507">
        <v>26</v>
      </c>
      <c r="BD1507" t="s">
        <v>56</v>
      </c>
      <c r="BE1507" t="s">
        <v>56</v>
      </c>
      <c r="BF1507">
        <v>30</v>
      </c>
      <c r="BG1507" t="s">
        <v>56</v>
      </c>
      <c r="BH1507" t="s">
        <v>56</v>
      </c>
      <c r="BI1507">
        <v>6</v>
      </c>
      <c r="BJ1507">
        <v>4</v>
      </c>
      <c r="BK1507" t="s">
        <v>78</v>
      </c>
      <c r="BL1507" t="s">
        <v>79</v>
      </c>
      <c r="BM1507" t="s">
        <v>80</v>
      </c>
      <c r="BN1507" t="s">
        <v>81</v>
      </c>
      <c r="BO1507" t="s">
        <v>82</v>
      </c>
      <c r="BP1507" t="s">
        <v>83</v>
      </c>
      <c r="BQ1507" t="s">
        <v>83</v>
      </c>
      <c r="BR1507" t="s">
        <v>84</v>
      </c>
      <c r="BS1507"/>
      <c r="BT1507">
        <v>4.1900000000000004</v>
      </c>
      <c r="BU1507">
        <v>95.813952999999998</v>
      </c>
      <c r="BV1507">
        <v>3.95</v>
      </c>
      <c r="BW1507">
        <f>BV1507*SQRT(AK1507)</f>
        <v>6.8416006898970654</v>
      </c>
      <c r="BX1507">
        <v>17.670000000000002</v>
      </c>
      <c r="BY1507">
        <v>82.325581400000004</v>
      </c>
      <c r="BZ1507">
        <v>13.26</v>
      </c>
      <c r="CA1507">
        <f>BZ1507*SQRT(AL1507)</f>
        <v>22.966993708363312</v>
      </c>
      <c r="CB1507">
        <v>4</v>
      </c>
      <c r="CC1507">
        <v>3</v>
      </c>
      <c r="CD1507">
        <v>-0.152</v>
      </c>
      <c r="CE1507">
        <v>2.76E-2</v>
      </c>
      <c r="CF1507"/>
    </row>
    <row r="1508" spans="1:84" s="8" customFormat="1" hidden="1" x14ac:dyDescent="0.2">
      <c r="A1508"/>
      <c r="B1508" t="str">
        <f>ROW()-1&amp;"_AltersInvert"</f>
        <v>1507_AltersInvert</v>
      </c>
      <c r="C1508" t="str">
        <f>D1508&amp;"_"&amp;
SUBSTITUTE(TRIM(V1508)," ","_")&amp;"_"&amp;
TRIM(AC1508)&amp;"_"&amp;
"CO2"&amp;TEXT(AN1508,"0.00")&amp;"_"&amp;
"pH"&amp;TEXT(AR1508,"0.00")&amp;"_"&amp;
"T"&amp;TEXT(BC1508,"0.##")</f>
        <v>2_Ostrea_angasi_LARVA_CO2388.00_pH8.20_T26.</v>
      </c>
      <c r="D1508">
        <v>2</v>
      </c>
      <c r="E1508"/>
      <c r="F1508"/>
      <c r="G1508" t="s">
        <v>43</v>
      </c>
      <c r="H1508" t="s">
        <v>66</v>
      </c>
      <c r="I1508"/>
      <c r="J1508">
        <v>2016</v>
      </c>
      <c r="K1508"/>
      <c r="L1508"/>
      <c r="M1508" t="s">
        <v>67</v>
      </c>
      <c r="N1508"/>
      <c r="O1508"/>
      <c r="P1508" t="s">
        <v>1135</v>
      </c>
      <c r="Q1508"/>
      <c r="R1508" t="s">
        <v>1127</v>
      </c>
      <c r="S1508" t="s">
        <v>1128</v>
      </c>
      <c r="T1508" t="s">
        <v>68</v>
      </c>
      <c r="U1508" t="s">
        <v>69</v>
      </c>
      <c r="V1508" t="s">
        <v>70</v>
      </c>
      <c r="W1508"/>
      <c r="X1508"/>
      <c r="Y1508"/>
      <c r="Z1508" t="s">
        <v>49</v>
      </c>
      <c r="AA1508" t="s">
        <v>49</v>
      </c>
      <c r="AB1508" t="s">
        <v>71</v>
      </c>
      <c r="AC1508" t="s">
        <v>72</v>
      </c>
      <c r="AD1508" t="s">
        <v>52</v>
      </c>
      <c r="AE1508" t="s">
        <v>53</v>
      </c>
      <c r="AF1508" t="s">
        <v>52</v>
      </c>
      <c r="AG1508" t="s">
        <v>52</v>
      </c>
      <c r="AH1508" t="s">
        <v>64</v>
      </c>
      <c r="AI1508"/>
      <c r="AJ1508"/>
      <c r="AK1508">
        <v>3</v>
      </c>
      <c r="AL1508">
        <v>3</v>
      </c>
      <c r="AM1508"/>
      <c r="AN1508">
        <v>388</v>
      </c>
      <c r="AO1508">
        <v>7</v>
      </c>
      <c r="AP1508" t="s">
        <v>56</v>
      </c>
      <c r="AQ1508" t="s">
        <v>57</v>
      </c>
      <c r="AR1508">
        <v>8.1999999999999993</v>
      </c>
      <c r="AS1508" t="s">
        <v>56</v>
      </c>
      <c r="AT1508" t="s">
        <v>56</v>
      </c>
      <c r="AU1508">
        <v>1194</v>
      </c>
      <c r="AV1508">
        <v>20</v>
      </c>
      <c r="AW1508" t="s">
        <v>56</v>
      </c>
      <c r="AX1508">
        <v>7.79</v>
      </c>
      <c r="AY1508" t="s">
        <v>56</v>
      </c>
      <c r="AZ1508" t="s">
        <v>56</v>
      </c>
      <c r="BA1508"/>
      <c r="BB1508">
        <f>LOG(AU1508)</f>
        <v>3.0770043267933502</v>
      </c>
      <c r="BC1508">
        <v>26</v>
      </c>
      <c r="BD1508" t="s">
        <v>56</v>
      </c>
      <c r="BE1508" t="s">
        <v>56</v>
      </c>
      <c r="BF1508">
        <v>30</v>
      </c>
      <c r="BG1508" t="s">
        <v>56</v>
      </c>
      <c r="BH1508" t="s">
        <v>56</v>
      </c>
      <c r="BI1508">
        <v>805</v>
      </c>
      <c r="BJ1508">
        <v>4</v>
      </c>
      <c r="BK1508" t="s">
        <v>78</v>
      </c>
      <c r="BL1508" t="s">
        <v>88</v>
      </c>
      <c r="BM1508" t="s">
        <v>80</v>
      </c>
      <c r="BN1508" t="s">
        <v>81</v>
      </c>
      <c r="BO1508" t="s">
        <v>82</v>
      </c>
      <c r="BP1508" t="s">
        <v>83</v>
      </c>
      <c r="BQ1508" t="s">
        <v>83</v>
      </c>
      <c r="BR1508" t="s">
        <v>84</v>
      </c>
      <c r="BS1508"/>
      <c r="BT1508">
        <v>4.1900000000000004</v>
      </c>
      <c r="BU1508">
        <v>95.813952999999998</v>
      </c>
      <c r="BV1508">
        <v>3.95</v>
      </c>
      <c r="BW1508">
        <f>BV1508*SQRT(AK1508)</f>
        <v>6.8416006898970654</v>
      </c>
      <c r="BX1508">
        <v>10.91</v>
      </c>
      <c r="BY1508">
        <v>89.090909100000005</v>
      </c>
      <c r="BZ1508">
        <v>1.1399999999999999</v>
      </c>
      <c r="CA1508">
        <f>BZ1508*SQRT(AL1508)</f>
        <v>1.9745379206285198</v>
      </c>
      <c r="CB1508">
        <v>4</v>
      </c>
      <c r="CC1508">
        <v>3</v>
      </c>
      <c r="CD1508">
        <v>-7.2999999999999995E-2</v>
      </c>
      <c r="CE1508">
        <v>1.9E-3</v>
      </c>
      <c r="CF1508"/>
    </row>
    <row r="1509" spans="1:84" s="8" customFormat="1" hidden="1" x14ac:dyDescent="0.2">
      <c r="A1509"/>
      <c r="B1509" t="str">
        <f>ROW()-1&amp;"_AltersInvert"</f>
        <v>1508_AltersInvert</v>
      </c>
      <c r="C1509" t="str">
        <f>D1509&amp;"_"&amp;
SUBSTITUTE(TRIM(V1509)," ","_")&amp;"_"&amp;
TRIM(AC1509)&amp;"_"&amp;
"CO2"&amp;TEXT(AN1509,"0.00")&amp;"_"&amp;
"pH"&amp;TEXT(AR1509,"0.00")&amp;"_"&amp;
"T"&amp;TEXT(BC1509,"0.##")</f>
        <v>69_Heliocidaris_erythrogramma_LARVA_CO2291.00_pH8.16_T20.</v>
      </c>
      <c r="D1509">
        <v>69</v>
      </c>
      <c r="E1509"/>
      <c r="F1509"/>
      <c r="G1509" t="s">
        <v>43</v>
      </c>
      <c r="H1509" t="s">
        <v>636</v>
      </c>
      <c r="I1509"/>
      <c r="J1509">
        <v>2014</v>
      </c>
      <c r="K1509"/>
      <c r="L1509"/>
      <c r="M1509" t="s">
        <v>308</v>
      </c>
      <c r="N1509"/>
      <c r="O1509"/>
      <c r="P1509" t="s">
        <v>1135</v>
      </c>
      <c r="Q1509"/>
      <c r="R1509" t="s">
        <v>1127</v>
      </c>
      <c r="S1509" t="s">
        <v>1128</v>
      </c>
      <c r="T1509" t="s">
        <v>46</v>
      </c>
      <c r="U1509" t="s">
        <v>637</v>
      </c>
      <c r="V1509" t="s">
        <v>383</v>
      </c>
      <c r="W1509"/>
      <c r="X1509"/>
      <c r="Y1509"/>
      <c r="Z1509" t="s">
        <v>49</v>
      </c>
      <c r="AA1509" t="s">
        <v>49</v>
      </c>
      <c r="AB1509" t="s">
        <v>71</v>
      </c>
      <c r="AC1509" t="s">
        <v>72</v>
      </c>
      <c r="AD1509" t="s">
        <v>52</v>
      </c>
      <c r="AE1509" t="s">
        <v>53</v>
      </c>
      <c r="AF1509" t="s">
        <v>52</v>
      </c>
      <c r="AG1509" t="s">
        <v>54</v>
      </c>
      <c r="AH1509" t="s">
        <v>55</v>
      </c>
      <c r="AI1509"/>
      <c r="AJ1509"/>
      <c r="AK1509">
        <v>9</v>
      </c>
      <c r="AL1509">
        <v>9</v>
      </c>
      <c r="AM1509"/>
      <c r="AN1509">
        <v>291</v>
      </c>
      <c r="AO1509">
        <v>21</v>
      </c>
      <c r="AP1509" t="s">
        <v>56</v>
      </c>
      <c r="AQ1509" t="s">
        <v>118</v>
      </c>
      <c r="AR1509">
        <v>8.16</v>
      </c>
      <c r="AS1509">
        <v>0.02</v>
      </c>
      <c r="AT1509" t="s">
        <v>56</v>
      </c>
      <c r="AU1509">
        <v>1274</v>
      </c>
      <c r="AV1509">
        <v>12</v>
      </c>
      <c r="AW1509" t="s">
        <v>56</v>
      </c>
      <c r="AX1509">
        <v>7.59</v>
      </c>
      <c r="AY1509">
        <v>0.03</v>
      </c>
      <c r="AZ1509" t="s">
        <v>56</v>
      </c>
      <c r="BA1509"/>
      <c r="BB1509">
        <f>LOG(AU1509)</f>
        <v>3.1051694279993316</v>
      </c>
      <c r="BC1509">
        <v>20</v>
      </c>
      <c r="BD1509" t="s">
        <v>56</v>
      </c>
      <c r="BE1509" t="s">
        <v>56</v>
      </c>
      <c r="BF1509">
        <v>20</v>
      </c>
      <c r="BG1509" t="s">
        <v>56</v>
      </c>
      <c r="BH1509" t="s">
        <v>56</v>
      </c>
      <c r="BI1509">
        <v>983</v>
      </c>
      <c r="BJ1509">
        <v>0</v>
      </c>
      <c r="BK1509" t="s">
        <v>56</v>
      </c>
      <c r="BL1509" t="s">
        <v>86</v>
      </c>
      <c r="BM1509" t="s">
        <v>86</v>
      </c>
      <c r="BN1509" t="s">
        <v>81</v>
      </c>
      <c r="BO1509" t="s">
        <v>82</v>
      </c>
      <c r="BP1509" t="s">
        <v>9</v>
      </c>
      <c r="BQ1509" t="s">
        <v>9</v>
      </c>
      <c r="BR1509" t="s">
        <v>84</v>
      </c>
      <c r="BS1509"/>
      <c r="BT1509">
        <v>88.6</v>
      </c>
      <c r="BU1509">
        <v>88.6</v>
      </c>
      <c r="BV1509">
        <v>2.2999999999999998</v>
      </c>
      <c r="BW1509">
        <f>BV1509*SQRT(AK1509)</f>
        <v>6.8999999999999995</v>
      </c>
      <c r="BX1509">
        <v>78.900000000000006</v>
      </c>
      <c r="BY1509">
        <v>78.900000000000006</v>
      </c>
      <c r="BZ1509">
        <v>3.88</v>
      </c>
      <c r="CA1509">
        <f>BZ1509*SQRT(AL1509)</f>
        <v>11.64</v>
      </c>
      <c r="CB1509">
        <v>1</v>
      </c>
      <c r="CC1509">
        <v>3</v>
      </c>
      <c r="CD1509">
        <v>-0.11600000000000001</v>
      </c>
      <c r="CE1509">
        <v>3.0999999999999999E-3</v>
      </c>
    </row>
    <row r="1510" spans="1:84" s="8" customFormat="1" hidden="1" x14ac:dyDescent="0.2">
      <c r="A1510"/>
      <c r="B1510" t="str">
        <f>ROW()-1&amp;"_AltersInvert"</f>
        <v>1509_AltersInvert</v>
      </c>
      <c r="C1510" t="str">
        <f>D1510&amp;"_"&amp;
SUBSTITUTE(TRIM(V1510)," ","_")&amp;"_"&amp;
TRIM(AC1510)&amp;"_"&amp;
"CO2"&amp;TEXT(AN1510,"0.00")&amp;"_"&amp;
"pH"&amp;TEXT(AR1510,"0.00")&amp;"_"&amp;
"T"&amp;TEXT(BC1510,"0.##")</f>
        <v>69_Heliocidaris_erythrogramma_LARVA_CO2291.00_pH8.16_T20.</v>
      </c>
      <c r="D1510">
        <v>69</v>
      </c>
      <c r="E1510"/>
      <c r="F1510"/>
      <c r="G1510" t="s">
        <v>43</v>
      </c>
      <c r="H1510" t="s">
        <v>636</v>
      </c>
      <c r="I1510"/>
      <c r="J1510">
        <v>2014</v>
      </c>
      <c r="K1510"/>
      <c r="L1510"/>
      <c r="M1510" t="s">
        <v>308</v>
      </c>
      <c r="N1510"/>
      <c r="O1510"/>
      <c r="P1510" t="s">
        <v>1135</v>
      </c>
      <c r="Q1510"/>
      <c r="R1510" t="s">
        <v>1127</v>
      </c>
      <c r="S1510" t="s">
        <v>1128</v>
      </c>
      <c r="T1510" t="s">
        <v>46</v>
      </c>
      <c r="U1510" t="s">
        <v>637</v>
      </c>
      <c r="V1510" t="s">
        <v>383</v>
      </c>
      <c r="W1510"/>
      <c r="X1510"/>
      <c r="Y1510"/>
      <c r="Z1510" t="s">
        <v>49</v>
      </c>
      <c r="AA1510" t="s">
        <v>49</v>
      </c>
      <c r="AB1510" t="s">
        <v>71</v>
      </c>
      <c r="AC1510" t="s">
        <v>72</v>
      </c>
      <c r="AD1510" t="s">
        <v>52</v>
      </c>
      <c r="AE1510" t="s">
        <v>53</v>
      </c>
      <c r="AF1510" t="s">
        <v>52</v>
      </c>
      <c r="AG1510" t="s">
        <v>54</v>
      </c>
      <c r="AH1510" t="s">
        <v>55</v>
      </c>
      <c r="AI1510"/>
      <c r="AJ1510"/>
      <c r="AK1510">
        <v>9</v>
      </c>
      <c r="AL1510">
        <v>9</v>
      </c>
      <c r="AM1510"/>
      <c r="AN1510">
        <v>291</v>
      </c>
      <c r="AO1510">
        <v>21</v>
      </c>
      <c r="AP1510" t="s">
        <v>56</v>
      </c>
      <c r="AQ1510" t="s">
        <v>118</v>
      </c>
      <c r="AR1510">
        <v>8.16</v>
      </c>
      <c r="AS1510">
        <v>0.02</v>
      </c>
      <c r="AT1510" t="s">
        <v>56</v>
      </c>
      <c r="AU1510">
        <v>2089</v>
      </c>
      <c r="AV1510">
        <v>16</v>
      </c>
      <c r="AW1510" t="s">
        <v>56</v>
      </c>
      <c r="AX1510">
        <v>7.39</v>
      </c>
      <c r="AY1510">
        <v>0.08</v>
      </c>
      <c r="AZ1510" t="s">
        <v>56</v>
      </c>
      <c r="BA1510"/>
      <c r="BB1510">
        <f>LOG(AU1510)</f>
        <v>3.3199384399803087</v>
      </c>
      <c r="BC1510">
        <v>20</v>
      </c>
      <c r="BD1510" t="s">
        <v>56</v>
      </c>
      <c r="BE1510" t="s">
        <v>56</v>
      </c>
      <c r="BF1510">
        <v>20</v>
      </c>
      <c r="BG1510" t="s">
        <v>56</v>
      </c>
      <c r="BH1510" t="s">
        <v>56</v>
      </c>
      <c r="BI1510">
        <v>1797</v>
      </c>
      <c r="BJ1510">
        <v>0</v>
      </c>
      <c r="BK1510" t="s">
        <v>56</v>
      </c>
      <c r="BL1510" t="s">
        <v>86</v>
      </c>
      <c r="BM1510" t="s">
        <v>86</v>
      </c>
      <c r="BN1510" t="s">
        <v>81</v>
      </c>
      <c r="BO1510" t="s">
        <v>82</v>
      </c>
      <c r="BP1510" t="s">
        <v>9</v>
      </c>
      <c r="BQ1510" t="s">
        <v>9</v>
      </c>
      <c r="BR1510" t="s">
        <v>84</v>
      </c>
      <c r="BS1510"/>
      <c r="BT1510">
        <v>88.6</v>
      </c>
      <c r="BU1510">
        <v>88.6</v>
      </c>
      <c r="BV1510">
        <v>2.2999999999999998</v>
      </c>
      <c r="BW1510">
        <f>BV1510*SQRT(AK1510)</f>
        <v>6.8999999999999995</v>
      </c>
      <c r="BX1510">
        <v>80.84</v>
      </c>
      <c r="BY1510">
        <v>80.84</v>
      </c>
      <c r="BZ1510">
        <v>3.64</v>
      </c>
      <c r="CA1510">
        <f>BZ1510*SQRT(AL1510)</f>
        <v>10.92</v>
      </c>
      <c r="CB1510">
        <v>1</v>
      </c>
      <c r="CC1510">
        <v>3</v>
      </c>
      <c r="CD1510">
        <v>-9.1999999999999998E-2</v>
      </c>
      <c r="CE1510">
        <v>2.7000000000000001E-3</v>
      </c>
    </row>
    <row r="1511" spans="1:84" hidden="1" x14ac:dyDescent="0.2">
      <c r="B1511" t="str">
        <f>ROW()-1&amp;"_AltersInvert"</f>
        <v>1510_AltersInvert</v>
      </c>
      <c r="C1511" t="str">
        <f>D1511&amp;"_"&amp;
SUBSTITUTE(TRIM(V1511)," ","_")&amp;"_"&amp;
TRIM(AC1511)&amp;"_"&amp;
"CO2"&amp;TEXT(AN1511,"0.00")&amp;"_"&amp;
"pH"&amp;TEXT(AR1511,"0.00")&amp;"_"&amp;
"T"&amp;TEXT(BC1511,"0.##")</f>
        <v>69_Heliocidaris_erythrogramma_LARVA_CO2291.00_pH8.16_T20.</v>
      </c>
      <c r="D1511">
        <v>69</v>
      </c>
      <c r="G1511" t="s">
        <v>43</v>
      </c>
      <c r="H1511" t="s">
        <v>636</v>
      </c>
      <c r="J1511">
        <v>2014</v>
      </c>
      <c r="M1511" t="s">
        <v>308</v>
      </c>
      <c r="P1511" t="s">
        <v>1135</v>
      </c>
      <c r="R1511" t="s">
        <v>1127</v>
      </c>
      <c r="S1511" t="s">
        <v>1128</v>
      </c>
      <c r="T1511" t="s">
        <v>46</v>
      </c>
      <c r="U1511" t="s">
        <v>637</v>
      </c>
      <c r="V1511" t="s">
        <v>383</v>
      </c>
      <c r="Z1511" t="s">
        <v>49</v>
      </c>
      <c r="AA1511" t="s">
        <v>49</v>
      </c>
      <c r="AB1511" t="s">
        <v>71</v>
      </c>
      <c r="AC1511" t="s">
        <v>72</v>
      </c>
      <c r="AD1511" t="s">
        <v>52</v>
      </c>
      <c r="AE1511" t="s">
        <v>53</v>
      </c>
      <c r="AF1511" t="s">
        <v>52</v>
      </c>
      <c r="AG1511" t="s">
        <v>54</v>
      </c>
      <c r="AH1511" t="s">
        <v>55</v>
      </c>
      <c r="AK1511">
        <v>9</v>
      </c>
      <c r="AL1511">
        <v>9</v>
      </c>
      <c r="AN1511">
        <v>291</v>
      </c>
      <c r="AO1511">
        <v>21</v>
      </c>
      <c r="AP1511" t="s">
        <v>56</v>
      </c>
      <c r="AQ1511" t="s">
        <v>118</v>
      </c>
      <c r="AR1511">
        <v>8.16</v>
      </c>
      <c r="AS1511">
        <v>0.02</v>
      </c>
      <c r="AT1511" t="s">
        <v>56</v>
      </c>
      <c r="AU1511">
        <v>768</v>
      </c>
      <c r="AV1511">
        <v>11</v>
      </c>
      <c r="AW1511" t="s">
        <v>56</v>
      </c>
      <c r="AX1511">
        <v>7.79</v>
      </c>
      <c r="AY1511">
        <v>0.03</v>
      </c>
      <c r="AZ1511" t="s">
        <v>56</v>
      </c>
      <c r="BB1511">
        <f>LOG(AU1511)</f>
        <v>2.8853612200315122</v>
      </c>
      <c r="BC1511">
        <v>20</v>
      </c>
      <c r="BD1511" t="s">
        <v>56</v>
      </c>
      <c r="BE1511" t="s">
        <v>56</v>
      </c>
      <c r="BF1511">
        <v>20</v>
      </c>
      <c r="BG1511" t="s">
        <v>56</v>
      </c>
      <c r="BH1511" t="s">
        <v>56</v>
      </c>
      <c r="BI1511">
        <v>476</v>
      </c>
      <c r="BJ1511">
        <v>0</v>
      </c>
      <c r="BK1511" t="s">
        <v>56</v>
      </c>
      <c r="BL1511" t="s">
        <v>86</v>
      </c>
      <c r="BM1511" t="s">
        <v>86</v>
      </c>
      <c r="BN1511" t="s">
        <v>81</v>
      </c>
      <c r="BO1511" t="s">
        <v>82</v>
      </c>
      <c r="BP1511" t="s">
        <v>9</v>
      </c>
      <c r="BQ1511" t="s">
        <v>9</v>
      </c>
      <c r="BR1511" t="s">
        <v>84</v>
      </c>
      <c r="BT1511">
        <v>88.6</v>
      </c>
      <c r="BU1511">
        <v>88.6</v>
      </c>
      <c r="BV1511">
        <v>2.2999999999999998</v>
      </c>
      <c r="BW1511">
        <f>BV1511*SQRT(AK1511)</f>
        <v>6.8999999999999995</v>
      </c>
      <c r="BX1511">
        <v>85.69</v>
      </c>
      <c r="BY1511">
        <v>85.69</v>
      </c>
      <c r="BZ1511">
        <v>2.06</v>
      </c>
      <c r="CA1511">
        <f>BZ1511*SQRT(AL1511)</f>
        <v>6.18</v>
      </c>
      <c r="CB1511">
        <v>1</v>
      </c>
      <c r="CC1511">
        <v>3</v>
      </c>
      <c r="CD1511">
        <v>-3.3000000000000002E-2</v>
      </c>
      <c r="CE1511">
        <v>1.2999999999999999E-3</v>
      </c>
      <c r="CF1511" s="8"/>
    </row>
    <row r="1512" spans="1:84" hidden="1" x14ac:dyDescent="0.2">
      <c r="B1512" t="str">
        <f>ROW()-1&amp;"_AltersInvert"</f>
        <v>1511_AltersInvert</v>
      </c>
      <c r="C1512" t="str">
        <f>D1512&amp;"_"&amp;
SUBSTITUTE(TRIM(V1512)," ","_")&amp;"_"&amp;
TRIM(AC1512)&amp;"_"&amp;
"CO2"&amp;TEXT(AN1512,"0.00")&amp;"_"&amp;
"pH"&amp;TEXT(AR1512,"0.00")&amp;"_"&amp;
"T"&amp;TEXT(BC1512,"0.##")</f>
        <v>69_Heliocidaris_erythrogramma_LARVA_CO2291.00_pH8.16_T20.</v>
      </c>
      <c r="D1512">
        <v>69</v>
      </c>
      <c r="G1512" t="s">
        <v>43</v>
      </c>
      <c r="H1512" t="s">
        <v>636</v>
      </c>
      <c r="J1512">
        <v>2014</v>
      </c>
      <c r="M1512" t="s">
        <v>308</v>
      </c>
      <c r="P1512" t="s">
        <v>1135</v>
      </c>
      <c r="R1512" t="s">
        <v>1127</v>
      </c>
      <c r="S1512" t="s">
        <v>1128</v>
      </c>
      <c r="T1512" t="s">
        <v>46</v>
      </c>
      <c r="U1512" t="s">
        <v>637</v>
      </c>
      <c r="V1512" t="s">
        <v>383</v>
      </c>
      <c r="Z1512" t="s">
        <v>49</v>
      </c>
      <c r="AA1512" t="s">
        <v>49</v>
      </c>
      <c r="AB1512" t="s">
        <v>71</v>
      </c>
      <c r="AC1512" t="s">
        <v>72</v>
      </c>
      <c r="AD1512" t="s">
        <v>52</v>
      </c>
      <c r="AE1512" t="s">
        <v>53</v>
      </c>
      <c r="AF1512" t="s">
        <v>54</v>
      </c>
      <c r="AG1512" t="s">
        <v>52</v>
      </c>
      <c r="AH1512" t="s">
        <v>65</v>
      </c>
      <c r="AK1512">
        <v>9</v>
      </c>
      <c r="AL1512">
        <v>9</v>
      </c>
      <c r="AN1512">
        <v>291</v>
      </c>
      <c r="AO1512">
        <v>21</v>
      </c>
      <c r="AP1512" t="s">
        <v>56</v>
      </c>
      <c r="AQ1512" t="s">
        <v>118</v>
      </c>
      <c r="AR1512">
        <v>8.16</v>
      </c>
      <c r="AS1512">
        <v>0.02</v>
      </c>
      <c r="AT1512" t="s">
        <v>56</v>
      </c>
      <c r="AU1512">
        <v>260</v>
      </c>
      <c r="AV1512">
        <v>11</v>
      </c>
      <c r="AW1512" t="s">
        <v>56</v>
      </c>
      <c r="AX1512">
        <v>8.18</v>
      </c>
      <c r="AY1512">
        <v>0.08</v>
      </c>
      <c r="AZ1512" t="s">
        <v>56</v>
      </c>
      <c r="BB1512">
        <f>LOG(AU1512)</f>
        <v>2.4149733479708178</v>
      </c>
      <c r="BC1512">
        <v>20</v>
      </c>
      <c r="BD1512" t="s">
        <v>56</v>
      </c>
      <c r="BE1512" t="s">
        <v>56</v>
      </c>
      <c r="BF1512">
        <v>26</v>
      </c>
      <c r="BG1512" t="s">
        <v>56</v>
      </c>
      <c r="BH1512" t="s">
        <v>56</v>
      </c>
      <c r="BI1512">
        <v>-31</v>
      </c>
      <c r="BJ1512">
        <v>6</v>
      </c>
      <c r="BK1512" t="s">
        <v>56</v>
      </c>
      <c r="BL1512" t="s">
        <v>86</v>
      </c>
      <c r="BM1512" t="s">
        <v>86</v>
      </c>
      <c r="BN1512" t="s">
        <v>81</v>
      </c>
      <c r="BO1512" t="s">
        <v>82</v>
      </c>
      <c r="BP1512" t="s">
        <v>9</v>
      </c>
      <c r="BQ1512" t="s">
        <v>9</v>
      </c>
      <c r="BR1512" t="s">
        <v>84</v>
      </c>
      <c r="BT1512">
        <v>88.6</v>
      </c>
      <c r="BU1512">
        <v>88.6</v>
      </c>
      <c r="BV1512">
        <v>2.2999999999999998</v>
      </c>
      <c r="BW1512">
        <f>BV1512*SQRT(AK1512)</f>
        <v>6.8999999999999995</v>
      </c>
      <c r="BX1512">
        <v>45.09</v>
      </c>
      <c r="BY1512">
        <v>45.09</v>
      </c>
      <c r="BZ1512">
        <v>3.87</v>
      </c>
      <c r="CA1512">
        <f>BZ1512*SQRT(AL1512)</f>
        <v>11.61</v>
      </c>
      <c r="CB1512">
        <v>1</v>
      </c>
      <c r="CC1512">
        <v>3</v>
      </c>
      <c r="CD1512">
        <v>-0.67500000000000004</v>
      </c>
      <c r="CE1512">
        <v>8.0000000000000002E-3</v>
      </c>
      <c r="CF1512" s="8"/>
    </row>
    <row r="1513" spans="1:84" hidden="1" x14ac:dyDescent="0.2">
      <c r="B1513" t="str">
        <f>ROW()-1&amp;"_AltersInvert"</f>
        <v>1512_AltersInvert</v>
      </c>
      <c r="C1513" t="str">
        <f>D1513&amp;"_"&amp;
SUBSTITUTE(TRIM(V1513)," ","_")&amp;"_"&amp;
TRIM(AC1513)&amp;"_"&amp;
"CO2"&amp;TEXT(AN1513,"0.00")&amp;"_"&amp;
"pH"&amp;TEXT(AR1513,"0.00")&amp;"_"&amp;
"T"&amp;TEXT(BC1513,"0.##")</f>
        <v>69_Heliocidaris_erythrogramma_LARVA_CO2291.00_pH8.16_T20.</v>
      </c>
      <c r="D1513">
        <v>69</v>
      </c>
      <c r="G1513" t="s">
        <v>43</v>
      </c>
      <c r="H1513" t="s">
        <v>636</v>
      </c>
      <c r="J1513">
        <v>2014</v>
      </c>
      <c r="M1513" t="s">
        <v>308</v>
      </c>
      <c r="P1513" t="s">
        <v>1135</v>
      </c>
      <c r="R1513" t="s">
        <v>1127</v>
      </c>
      <c r="S1513" t="s">
        <v>1128</v>
      </c>
      <c r="T1513" t="s">
        <v>46</v>
      </c>
      <c r="U1513" t="s">
        <v>637</v>
      </c>
      <c r="V1513" t="s">
        <v>383</v>
      </c>
      <c r="Z1513" t="s">
        <v>49</v>
      </c>
      <c r="AA1513" t="s">
        <v>49</v>
      </c>
      <c r="AB1513" t="s">
        <v>71</v>
      </c>
      <c r="AC1513" t="s">
        <v>72</v>
      </c>
      <c r="AD1513" t="s">
        <v>52</v>
      </c>
      <c r="AE1513" t="s">
        <v>53</v>
      </c>
      <c r="AF1513" t="s">
        <v>54</v>
      </c>
      <c r="AG1513" t="s">
        <v>52</v>
      </c>
      <c r="AH1513" t="s">
        <v>65</v>
      </c>
      <c r="AK1513">
        <v>9</v>
      </c>
      <c r="AL1513">
        <v>9</v>
      </c>
      <c r="AN1513">
        <v>291</v>
      </c>
      <c r="AO1513">
        <v>21</v>
      </c>
      <c r="AP1513" t="s">
        <v>56</v>
      </c>
      <c r="AQ1513" t="s">
        <v>118</v>
      </c>
      <c r="AR1513">
        <v>8.16</v>
      </c>
      <c r="AS1513">
        <v>0.02</v>
      </c>
      <c r="AT1513" t="s">
        <v>56</v>
      </c>
      <c r="AU1513">
        <v>267</v>
      </c>
      <c r="AV1513">
        <v>10</v>
      </c>
      <c r="AW1513" t="s">
        <v>56</v>
      </c>
      <c r="AX1513">
        <v>8.18</v>
      </c>
      <c r="AY1513">
        <v>7.0000000000000007E-2</v>
      </c>
      <c r="AZ1513" t="s">
        <v>56</v>
      </c>
      <c r="BB1513">
        <f>LOG(AU1513)</f>
        <v>2.4265112613645754</v>
      </c>
      <c r="BC1513">
        <v>20</v>
      </c>
      <c r="BD1513" t="s">
        <v>56</v>
      </c>
      <c r="BE1513" t="s">
        <v>56</v>
      </c>
      <c r="BF1513">
        <v>24</v>
      </c>
      <c r="BG1513" t="s">
        <v>56</v>
      </c>
      <c r="BH1513" t="s">
        <v>56</v>
      </c>
      <c r="BI1513">
        <v>-24</v>
      </c>
      <c r="BJ1513">
        <v>4</v>
      </c>
      <c r="BK1513" t="s">
        <v>56</v>
      </c>
      <c r="BL1513" t="s">
        <v>86</v>
      </c>
      <c r="BM1513" t="s">
        <v>86</v>
      </c>
      <c r="BN1513" t="s">
        <v>81</v>
      </c>
      <c r="BO1513" t="s">
        <v>82</v>
      </c>
      <c r="BP1513" t="s">
        <v>9</v>
      </c>
      <c r="BQ1513" t="s">
        <v>9</v>
      </c>
      <c r="BR1513" t="s">
        <v>84</v>
      </c>
      <c r="BT1513">
        <v>88.6</v>
      </c>
      <c r="BU1513">
        <v>88.6</v>
      </c>
      <c r="BV1513">
        <v>2.2999999999999998</v>
      </c>
      <c r="BW1513">
        <f>BV1513*SQRT(AK1513)</f>
        <v>6.8999999999999995</v>
      </c>
      <c r="BX1513">
        <v>78.180000000000007</v>
      </c>
      <c r="BY1513">
        <v>78.180000000000007</v>
      </c>
      <c r="BZ1513">
        <v>4.12</v>
      </c>
      <c r="CA1513">
        <f>BZ1513*SQRT(AL1513)</f>
        <v>12.36</v>
      </c>
      <c r="CB1513">
        <v>1</v>
      </c>
      <c r="CC1513">
        <v>3</v>
      </c>
      <c r="CD1513">
        <v>-0.125</v>
      </c>
      <c r="CE1513">
        <v>3.5000000000000001E-3</v>
      </c>
      <c r="CF1513" s="8"/>
    </row>
    <row r="1514" spans="1:84" s="8" customFormat="1" hidden="1" x14ac:dyDescent="0.2">
      <c r="A1514"/>
      <c r="B1514" t="str">
        <f>ROW()-1&amp;"_AltersInvert"</f>
        <v>1513_AltersInvert</v>
      </c>
      <c r="C1514" t="str">
        <f>D1514&amp;"_"&amp;
SUBSTITUTE(TRIM(V1514)," ","_")&amp;"_"&amp;
TRIM(AC1514)&amp;"_"&amp;
"CO2"&amp;TEXT(AN1514,"0.00")&amp;"_"&amp;
"pH"&amp;TEXT(AR1514,"0.00")&amp;"_"&amp;
"T"&amp;TEXT(BC1514,"0.##")</f>
        <v>69_Heliocidaris_erythrogramma_LARVA_CO2291.00_pH8.16_T20.</v>
      </c>
      <c r="D1514">
        <v>69</v>
      </c>
      <c r="E1514"/>
      <c r="F1514"/>
      <c r="G1514" t="s">
        <v>43</v>
      </c>
      <c r="H1514" t="s">
        <v>636</v>
      </c>
      <c r="I1514"/>
      <c r="J1514">
        <v>2014</v>
      </c>
      <c r="K1514"/>
      <c r="L1514"/>
      <c r="M1514" t="s">
        <v>308</v>
      </c>
      <c r="N1514"/>
      <c r="O1514"/>
      <c r="P1514" t="s">
        <v>1135</v>
      </c>
      <c r="Q1514"/>
      <c r="R1514" t="s">
        <v>1127</v>
      </c>
      <c r="S1514" t="s">
        <v>1128</v>
      </c>
      <c r="T1514" t="s">
        <v>46</v>
      </c>
      <c r="U1514" t="s">
        <v>637</v>
      </c>
      <c r="V1514" t="s">
        <v>383</v>
      </c>
      <c r="W1514"/>
      <c r="X1514"/>
      <c r="Y1514"/>
      <c r="Z1514" t="s">
        <v>49</v>
      </c>
      <c r="AA1514" t="s">
        <v>49</v>
      </c>
      <c r="AB1514" t="s">
        <v>71</v>
      </c>
      <c r="AC1514" t="s">
        <v>72</v>
      </c>
      <c r="AD1514" t="s">
        <v>52</v>
      </c>
      <c r="AE1514" t="s">
        <v>53</v>
      </c>
      <c r="AF1514" t="s">
        <v>52</v>
      </c>
      <c r="AG1514" t="s">
        <v>52</v>
      </c>
      <c r="AH1514" t="s">
        <v>64</v>
      </c>
      <c r="AI1514"/>
      <c r="AJ1514"/>
      <c r="AK1514">
        <v>9</v>
      </c>
      <c r="AL1514">
        <v>9</v>
      </c>
      <c r="AM1514"/>
      <c r="AN1514">
        <v>291</v>
      </c>
      <c r="AO1514">
        <v>21</v>
      </c>
      <c r="AP1514" t="s">
        <v>56</v>
      </c>
      <c r="AQ1514" t="s">
        <v>118</v>
      </c>
      <c r="AR1514">
        <v>8.16</v>
      </c>
      <c r="AS1514">
        <v>0.02</v>
      </c>
      <c r="AT1514" t="s">
        <v>56</v>
      </c>
      <c r="AU1514">
        <v>758</v>
      </c>
      <c r="AV1514">
        <v>12</v>
      </c>
      <c r="AW1514" t="s">
        <v>56</v>
      </c>
      <c r="AX1514">
        <v>7.8</v>
      </c>
      <c r="AY1514">
        <v>0.02</v>
      </c>
      <c r="AZ1514" t="s">
        <v>56</v>
      </c>
      <c r="BA1514"/>
      <c r="BB1514">
        <f>LOG(AU1514)</f>
        <v>2.8796692056320534</v>
      </c>
      <c r="BC1514">
        <v>20</v>
      </c>
      <c r="BD1514" t="s">
        <v>56</v>
      </c>
      <c r="BE1514" t="s">
        <v>56</v>
      </c>
      <c r="BF1514">
        <v>26</v>
      </c>
      <c r="BG1514" t="s">
        <v>56</v>
      </c>
      <c r="BH1514" t="s">
        <v>56</v>
      </c>
      <c r="BI1514">
        <v>467</v>
      </c>
      <c r="BJ1514">
        <v>6</v>
      </c>
      <c r="BK1514" t="s">
        <v>56</v>
      </c>
      <c r="BL1514" t="s">
        <v>86</v>
      </c>
      <c r="BM1514" t="s">
        <v>86</v>
      </c>
      <c r="BN1514" t="s">
        <v>81</v>
      </c>
      <c r="BO1514" t="s">
        <v>82</v>
      </c>
      <c r="BP1514" t="s">
        <v>9</v>
      </c>
      <c r="BQ1514" t="s">
        <v>9</v>
      </c>
      <c r="BR1514" t="s">
        <v>84</v>
      </c>
      <c r="BS1514"/>
      <c r="BT1514">
        <v>88.6</v>
      </c>
      <c r="BU1514">
        <v>88.6</v>
      </c>
      <c r="BV1514">
        <v>2.2999999999999998</v>
      </c>
      <c r="BW1514">
        <f>BV1514*SQRT(AK1514)</f>
        <v>6.8999999999999995</v>
      </c>
      <c r="BX1514">
        <v>48.48</v>
      </c>
      <c r="BY1514">
        <v>48.48</v>
      </c>
      <c r="BZ1514">
        <v>3.39</v>
      </c>
      <c r="CA1514">
        <f>BZ1514*SQRT(AL1514)</f>
        <v>10.17</v>
      </c>
      <c r="CB1514">
        <v>1</v>
      </c>
      <c r="CC1514">
        <v>3</v>
      </c>
      <c r="CD1514">
        <v>-0.60299999999999998</v>
      </c>
      <c r="CE1514">
        <v>5.5999999999999999E-3</v>
      </c>
    </row>
    <row r="1515" spans="1:84" s="8" customFormat="1" hidden="1" x14ac:dyDescent="0.2">
      <c r="A1515"/>
      <c r="B1515" t="str">
        <f>ROW()-1&amp;"_AltersInvert"</f>
        <v>1514_AltersInvert</v>
      </c>
      <c r="C1515" t="str">
        <f>D1515&amp;"_"&amp;
SUBSTITUTE(TRIM(V1515)," ","_")&amp;"_"&amp;
TRIM(AC1515)&amp;"_"&amp;
"CO2"&amp;TEXT(AN1515,"0.00")&amp;"_"&amp;
"pH"&amp;TEXT(AR1515,"0.00")&amp;"_"&amp;
"T"&amp;TEXT(BC1515,"0.##")</f>
        <v>69_Heliocidaris_erythrogramma_LARVA_CO2291.00_pH8.16_T20.</v>
      </c>
      <c r="D1515">
        <v>69</v>
      </c>
      <c r="E1515"/>
      <c r="F1515"/>
      <c r="G1515" t="s">
        <v>43</v>
      </c>
      <c r="H1515" t="s">
        <v>636</v>
      </c>
      <c r="I1515"/>
      <c r="J1515">
        <v>2014</v>
      </c>
      <c r="K1515"/>
      <c r="L1515"/>
      <c r="M1515" t="s">
        <v>308</v>
      </c>
      <c r="N1515"/>
      <c r="O1515"/>
      <c r="P1515" t="s">
        <v>1135</v>
      </c>
      <c r="Q1515"/>
      <c r="R1515" t="s">
        <v>1127</v>
      </c>
      <c r="S1515" t="s">
        <v>1128</v>
      </c>
      <c r="T1515" t="s">
        <v>46</v>
      </c>
      <c r="U1515" t="s">
        <v>637</v>
      </c>
      <c r="V1515" t="s">
        <v>383</v>
      </c>
      <c r="W1515"/>
      <c r="X1515"/>
      <c r="Y1515"/>
      <c r="Z1515" t="s">
        <v>49</v>
      </c>
      <c r="AA1515" t="s">
        <v>49</v>
      </c>
      <c r="AB1515" t="s">
        <v>71</v>
      </c>
      <c r="AC1515" t="s">
        <v>72</v>
      </c>
      <c r="AD1515" t="s">
        <v>52</v>
      </c>
      <c r="AE1515" t="s">
        <v>53</v>
      </c>
      <c r="AF1515" t="s">
        <v>52</v>
      </c>
      <c r="AG1515" t="s">
        <v>52</v>
      </c>
      <c r="AH1515" t="s">
        <v>64</v>
      </c>
      <c r="AI1515"/>
      <c r="AJ1515"/>
      <c r="AK1515">
        <v>9</v>
      </c>
      <c r="AL1515">
        <v>9</v>
      </c>
      <c r="AM1515"/>
      <c r="AN1515">
        <v>291</v>
      </c>
      <c r="AO1515">
        <v>21</v>
      </c>
      <c r="AP1515" t="s">
        <v>56</v>
      </c>
      <c r="AQ1515" t="s">
        <v>118</v>
      </c>
      <c r="AR1515">
        <v>8.16</v>
      </c>
      <c r="AS1515">
        <v>0.02</v>
      </c>
      <c r="AT1515" t="s">
        <v>56</v>
      </c>
      <c r="AU1515">
        <v>1274</v>
      </c>
      <c r="AV1515">
        <v>18</v>
      </c>
      <c r="AW1515" t="s">
        <v>56</v>
      </c>
      <c r="AX1515">
        <v>7.59</v>
      </c>
      <c r="AY1515">
        <v>0.04</v>
      </c>
      <c r="AZ1515" t="s">
        <v>56</v>
      </c>
      <c r="BA1515"/>
      <c r="BB1515">
        <f>LOG(AU1515)</f>
        <v>3.1051694279993316</v>
      </c>
      <c r="BC1515">
        <v>20</v>
      </c>
      <c r="BD1515" t="s">
        <v>56</v>
      </c>
      <c r="BE1515" t="s">
        <v>56</v>
      </c>
      <c r="BF1515">
        <v>26</v>
      </c>
      <c r="BG1515" t="s">
        <v>56</v>
      </c>
      <c r="BH1515" t="s">
        <v>56</v>
      </c>
      <c r="BI1515">
        <v>983</v>
      </c>
      <c r="BJ1515">
        <v>6</v>
      </c>
      <c r="BK1515" t="s">
        <v>56</v>
      </c>
      <c r="BL1515" t="s">
        <v>86</v>
      </c>
      <c r="BM1515" t="s">
        <v>86</v>
      </c>
      <c r="BN1515" t="s">
        <v>81</v>
      </c>
      <c r="BO1515" t="s">
        <v>82</v>
      </c>
      <c r="BP1515" t="s">
        <v>9</v>
      </c>
      <c r="BQ1515" t="s">
        <v>9</v>
      </c>
      <c r="BR1515" t="s">
        <v>84</v>
      </c>
      <c r="BS1515"/>
      <c r="BT1515">
        <v>88.6</v>
      </c>
      <c r="BU1515">
        <v>88.6</v>
      </c>
      <c r="BV1515">
        <v>2.2999999999999998</v>
      </c>
      <c r="BW1515">
        <f>BV1515*SQRT(AK1515)</f>
        <v>6.8999999999999995</v>
      </c>
      <c r="BX1515">
        <v>50.9</v>
      </c>
      <c r="BY1515">
        <v>50.9</v>
      </c>
      <c r="BZ1515">
        <v>3.4</v>
      </c>
      <c r="CA1515">
        <f>BZ1515*SQRT(AL1515)</f>
        <v>10.199999999999999</v>
      </c>
      <c r="CB1515">
        <v>1</v>
      </c>
      <c r="CC1515">
        <v>3</v>
      </c>
      <c r="CD1515">
        <v>-0.55400000000000005</v>
      </c>
      <c r="CE1515">
        <v>5.1000000000000004E-3</v>
      </c>
    </row>
    <row r="1516" spans="1:84" hidden="1" x14ac:dyDescent="0.2">
      <c r="B1516" t="str">
        <f>ROW()-1&amp;"_AltersInvert"</f>
        <v>1515_AltersInvert</v>
      </c>
      <c r="C1516" t="str">
        <f>D1516&amp;"_"&amp;
SUBSTITUTE(TRIM(V1516)," ","_")&amp;"_"&amp;
TRIM(AC1516)&amp;"_"&amp;
"CO2"&amp;TEXT(AN1516,"0.00")&amp;"_"&amp;
"pH"&amp;TEXT(AR1516,"0.00")&amp;"_"&amp;
"T"&amp;TEXT(BC1516,"0.##")</f>
        <v>69_Heliocidaris_erythrogramma_LARVA_CO2291.00_pH8.16_T20.</v>
      </c>
      <c r="D1516">
        <v>69</v>
      </c>
      <c r="G1516" t="s">
        <v>43</v>
      </c>
      <c r="H1516" t="s">
        <v>636</v>
      </c>
      <c r="J1516">
        <v>2014</v>
      </c>
      <c r="M1516" t="s">
        <v>308</v>
      </c>
      <c r="P1516" t="s">
        <v>1135</v>
      </c>
      <c r="R1516" t="s">
        <v>1127</v>
      </c>
      <c r="S1516" t="s">
        <v>1128</v>
      </c>
      <c r="T1516" t="s">
        <v>46</v>
      </c>
      <c r="U1516" t="s">
        <v>637</v>
      </c>
      <c r="V1516" t="s">
        <v>383</v>
      </c>
      <c r="Z1516" t="s">
        <v>49</v>
      </c>
      <c r="AA1516" t="s">
        <v>49</v>
      </c>
      <c r="AB1516" t="s">
        <v>71</v>
      </c>
      <c r="AC1516" t="s">
        <v>72</v>
      </c>
      <c r="AD1516" t="s">
        <v>52</v>
      </c>
      <c r="AE1516" t="s">
        <v>53</v>
      </c>
      <c r="AF1516" t="s">
        <v>52</v>
      </c>
      <c r="AG1516" t="s">
        <v>52</v>
      </c>
      <c r="AH1516" t="s">
        <v>64</v>
      </c>
      <c r="AK1516">
        <v>9</v>
      </c>
      <c r="AL1516">
        <v>9</v>
      </c>
      <c r="AN1516">
        <v>291</v>
      </c>
      <c r="AO1516">
        <v>21</v>
      </c>
      <c r="AP1516" t="s">
        <v>56</v>
      </c>
      <c r="AQ1516" t="s">
        <v>118</v>
      </c>
      <c r="AR1516">
        <v>8.16</v>
      </c>
      <c r="AS1516">
        <v>0.02</v>
      </c>
      <c r="AT1516" t="s">
        <v>56</v>
      </c>
      <c r="AU1516">
        <v>2108</v>
      </c>
      <c r="AV1516">
        <v>22</v>
      </c>
      <c r="AW1516" t="s">
        <v>56</v>
      </c>
      <c r="AX1516">
        <v>7.4</v>
      </c>
      <c r="AY1516">
        <v>0.08</v>
      </c>
      <c r="AZ1516" t="s">
        <v>56</v>
      </c>
      <c r="BB1516">
        <f>LOG(AU1516)</f>
        <v>3.3238706065405088</v>
      </c>
      <c r="BC1516">
        <v>20</v>
      </c>
      <c r="BD1516" t="s">
        <v>56</v>
      </c>
      <c r="BE1516" t="s">
        <v>56</v>
      </c>
      <c r="BF1516">
        <v>26</v>
      </c>
      <c r="BG1516" t="s">
        <v>56</v>
      </c>
      <c r="BH1516" t="s">
        <v>56</v>
      </c>
      <c r="BI1516">
        <v>1816</v>
      </c>
      <c r="BJ1516">
        <v>6</v>
      </c>
      <c r="BK1516" t="s">
        <v>56</v>
      </c>
      <c r="BL1516" t="s">
        <v>86</v>
      </c>
      <c r="BM1516" t="s">
        <v>86</v>
      </c>
      <c r="BN1516" t="s">
        <v>81</v>
      </c>
      <c r="BO1516" t="s">
        <v>82</v>
      </c>
      <c r="BP1516" t="s">
        <v>9</v>
      </c>
      <c r="BQ1516" t="s">
        <v>9</v>
      </c>
      <c r="BR1516" t="s">
        <v>84</v>
      </c>
      <c r="BT1516">
        <v>88.6</v>
      </c>
      <c r="BU1516">
        <v>88.6</v>
      </c>
      <c r="BV1516">
        <v>2.2999999999999998</v>
      </c>
      <c r="BW1516">
        <f>BV1516*SQRT(AK1516)</f>
        <v>6.8999999999999995</v>
      </c>
      <c r="BX1516">
        <v>51.15</v>
      </c>
      <c r="BY1516">
        <v>51.15</v>
      </c>
      <c r="BZ1516">
        <v>4.8499999999999996</v>
      </c>
      <c r="CA1516">
        <f>BZ1516*SQRT(AL1516)</f>
        <v>14.549999999999999</v>
      </c>
      <c r="CB1516">
        <v>1</v>
      </c>
      <c r="CC1516">
        <v>3</v>
      </c>
      <c r="CD1516">
        <v>-0.54900000000000004</v>
      </c>
      <c r="CE1516">
        <v>9.7000000000000003E-3</v>
      </c>
      <c r="CF1516" s="8"/>
    </row>
    <row r="1517" spans="1:84" s="8" customFormat="1" hidden="1" x14ac:dyDescent="0.2">
      <c r="A1517"/>
      <c r="B1517" t="str">
        <f>ROW()-1&amp;"_AltersInvert"</f>
        <v>1516_AltersInvert</v>
      </c>
      <c r="C1517" t="str">
        <f>D1517&amp;"_"&amp;
SUBSTITUTE(TRIM(V1517)," ","_")&amp;"_"&amp;
TRIM(AC1517)&amp;"_"&amp;
"CO2"&amp;TEXT(AN1517,"0.00")&amp;"_"&amp;
"pH"&amp;TEXT(AR1517,"0.00")&amp;"_"&amp;
"T"&amp;TEXT(BC1517,"0.##")</f>
        <v>69_Heliocidaris_erythrogramma_LARVA_CO2291.00_pH8.16_T20.</v>
      </c>
      <c r="D1517">
        <v>69</v>
      </c>
      <c r="E1517"/>
      <c r="F1517"/>
      <c r="G1517" t="s">
        <v>43</v>
      </c>
      <c r="H1517" t="s">
        <v>636</v>
      </c>
      <c r="I1517"/>
      <c r="J1517">
        <v>2014</v>
      </c>
      <c r="K1517"/>
      <c r="L1517"/>
      <c r="M1517" t="s">
        <v>308</v>
      </c>
      <c r="N1517"/>
      <c r="O1517"/>
      <c r="P1517" t="s">
        <v>1135</v>
      </c>
      <c r="Q1517"/>
      <c r="R1517" t="s">
        <v>1127</v>
      </c>
      <c r="S1517" t="s">
        <v>1128</v>
      </c>
      <c r="T1517" t="s">
        <v>46</v>
      </c>
      <c r="U1517" t="s">
        <v>637</v>
      </c>
      <c r="V1517" t="s">
        <v>383</v>
      </c>
      <c r="W1517"/>
      <c r="X1517"/>
      <c r="Y1517"/>
      <c r="Z1517" t="s">
        <v>49</v>
      </c>
      <c r="AA1517" t="s">
        <v>49</v>
      </c>
      <c r="AB1517" t="s">
        <v>71</v>
      </c>
      <c r="AC1517" t="s">
        <v>72</v>
      </c>
      <c r="AD1517" t="s">
        <v>52</v>
      </c>
      <c r="AE1517" t="s">
        <v>53</v>
      </c>
      <c r="AF1517" t="s">
        <v>52</v>
      </c>
      <c r="AG1517" t="s">
        <v>52</v>
      </c>
      <c r="AH1517" t="s">
        <v>64</v>
      </c>
      <c r="AI1517"/>
      <c r="AJ1517"/>
      <c r="AK1517">
        <v>9</v>
      </c>
      <c r="AL1517">
        <v>9</v>
      </c>
      <c r="AM1517"/>
      <c r="AN1517">
        <v>291</v>
      </c>
      <c r="AO1517">
        <v>21</v>
      </c>
      <c r="AP1517" t="s">
        <v>56</v>
      </c>
      <c r="AQ1517" t="s">
        <v>118</v>
      </c>
      <c r="AR1517">
        <v>8.16</v>
      </c>
      <c r="AS1517">
        <v>0.02</v>
      </c>
      <c r="AT1517" t="s">
        <v>56</v>
      </c>
      <c r="AU1517">
        <v>1261</v>
      </c>
      <c r="AV1517">
        <v>15</v>
      </c>
      <c r="AW1517" t="s">
        <v>56</v>
      </c>
      <c r="AX1517">
        <v>7.6</v>
      </c>
      <c r="AY1517">
        <v>0.03</v>
      </c>
      <c r="AZ1517" t="s">
        <v>56</v>
      </c>
      <c r="BA1517"/>
      <c r="BB1517">
        <f>LOG(AU1517)</f>
        <v>3.1007150865730817</v>
      </c>
      <c r="BC1517">
        <v>20</v>
      </c>
      <c r="BD1517" t="s">
        <v>56</v>
      </c>
      <c r="BE1517" t="s">
        <v>56</v>
      </c>
      <c r="BF1517">
        <v>24</v>
      </c>
      <c r="BG1517" t="s">
        <v>56</v>
      </c>
      <c r="BH1517" t="s">
        <v>56</v>
      </c>
      <c r="BI1517">
        <v>970</v>
      </c>
      <c r="BJ1517">
        <v>4</v>
      </c>
      <c r="BK1517" t="s">
        <v>56</v>
      </c>
      <c r="BL1517" t="s">
        <v>86</v>
      </c>
      <c r="BM1517" t="s">
        <v>86</v>
      </c>
      <c r="BN1517" t="s">
        <v>81</v>
      </c>
      <c r="BO1517" t="s">
        <v>82</v>
      </c>
      <c r="BP1517" t="s">
        <v>9</v>
      </c>
      <c r="BQ1517" t="s">
        <v>9</v>
      </c>
      <c r="BR1517" t="s">
        <v>84</v>
      </c>
      <c r="BS1517"/>
      <c r="BT1517">
        <v>88.6</v>
      </c>
      <c r="BU1517">
        <v>88.6</v>
      </c>
      <c r="BV1517">
        <v>2.2999999999999998</v>
      </c>
      <c r="BW1517">
        <f>BV1517*SQRT(AK1517)</f>
        <v>6.8999999999999995</v>
      </c>
      <c r="BX1517">
        <v>67.63</v>
      </c>
      <c r="BY1517">
        <v>67.63</v>
      </c>
      <c r="BZ1517">
        <v>5.33</v>
      </c>
      <c r="CA1517">
        <f>BZ1517*SQRT(AL1517)</f>
        <v>15.99</v>
      </c>
      <c r="CB1517">
        <v>1</v>
      </c>
      <c r="CC1517">
        <v>3</v>
      </c>
      <c r="CD1517">
        <v>-0.27</v>
      </c>
      <c r="CE1517">
        <v>6.8999999999999999E-3</v>
      </c>
    </row>
    <row r="1518" spans="1:84" s="8" customFormat="1" hidden="1" x14ac:dyDescent="0.2">
      <c r="A1518"/>
      <c r="B1518" t="str">
        <f>ROW()-1&amp;"_AltersInvert"</f>
        <v>1517_AltersInvert</v>
      </c>
      <c r="C1518" t="str">
        <f>D1518&amp;"_"&amp;
SUBSTITUTE(TRIM(V1518)," ","_")&amp;"_"&amp;
TRIM(AC1518)&amp;"_"&amp;
"CO2"&amp;TEXT(AN1518,"0.00")&amp;"_"&amp;
"pH"&amp;TEXT(AR1518,"0.00")&amp;"_"&amp;
"T"&amp;TEXT(BC1518,"0.##")</f>
        <v>69_Heliocidaris_erythrogramma_LARVA_CO2291.00_pH8.16_T20.</v>
      </c>
      <c r="D1518">
        <v>69</v>
      </c>
      <c r="E1518"/>
      <c r="F1518"/>
      <c r="G1518" t="s">
        <v>43</v>
      </c>
      <c r="H1518" t="s">
        <v>636</v>
      </c>
      <c r="I1518"/>
      <c r="J1518">
        <v>2014</v>
      </c>
      <c r="K1518"/>
      <c r="L1518"/>
      <c r="M1518" t="s">
        <v>308</v>
      </c>
      <c r="N1518"/>
      <c r="O1518"/>
      <c r="P1518" t="s">
        <v>1135</v>
      </c>
      <c r="Q1518"/>
      <c r="R1518" t="s">
        <v>1127</v>
      </c>
      <c r="S1518" t="s">
        <v>1128</v>
      </c>
      <c r="T1518" t="s">
        <v>46</v>
      </c>
      <c r="U1518" t="s">
        <v>637</v>
      </c>
      <c r="V1518" t="s">
        <v>383</v>
      </c>
      <c r="W1518"/>
      <c r="X1518"/>
      <c r="Y1518"/>
      <c r="Z1518" t="s">
        <v>49</v>
      </c>
      <c r="AA1518" t="s">
        <v>49</v>
      </c>
      <c r="AB1518" t="s">
        <v>71</v>
      </c>
      <c r="AC1518" t="s">
        <v>72</v>
      </c>
      <c r="AD1518" t="s">
        <v>52</v>
      </c>
      <c r="AE1518" t="s">
        <v>53</v>
      </c>
      <c r="AF1518" t="s">
        <v>52</v>
      </c>
      <c r="AG1518" t="s">
        <v>52</v>
      </c>
      <c r="AH1518" t="s">
        <v>64</v>
      </c>
      <c r="AI1518"/>
      <c r="AJ1518"/>
      <c r="AK1518">
        <v>9</v>
      </c>
      <c r="AL1518">
        <v>9</v>
      </c>
      <c r="AM1518"/>
      <c r="AN1518">
        <v>291</v>
      </c>
      <c r="AO1518">
        <v>21</v>
      </c>
      <c r="AP1518" t="s">
        <v>56</v>
      </c>
      <c r="AQ1518" t="s">
        <v>118</v>
      </c>
      <c r="AR1518">
        <v>8.16</v>
      </c>
      <c r="AS1518">
        <v>0.02</v>
      </c>
      <c r="AT1518" t="s">
        <v>56</v>
      </c>
      <c r="AU1518">
        <v>2094</v>
      </c>
      <c r="AV1518">
        <v>22</v>
      </c>
      <c r="AW1518" t="s">
        <v>56</v>
      </c>
      <c r="AX1518">
        <v>7.39</v>
      </c>
      <c r="AY1518">
        <v>0.08</v>
      </c>
      <c r="AZ1518" t="s">
        <v>56</v>
      </c>
      <c r="BA1518"/>
      <c r="BB1518">
        <f>LOG(AU1518)</f>
        <v>3.3209766773428235</v>
      </c>
      <c r="BC1518">
        <v>20</v>
      </c>
      <c r="BD1518" t="s">
        <v>56</v>
      </c>
      <c r="BE1518" t="s">
        <v>56</v>
      </c>
      <c r="BF1518">
        <v>24</v>
      </c>
      <c r="BG1518" t="s">
        <v>56</v>
      </c>
      <c r="BH1518" t="s">
        <v>56</v>
      </c>
      <c r="BI1518">
        <v>1803</v>
      </c>
      <c r="BJ1518">
        <v>4</v>
      </c>
      <c r="BK1518" t="s">
        <v>56</v>
      </c>
      <c r="BL1518" t="s">
        <v>86</v>
      </c>
      <c r="BM1518" t="s">
        <v>86</v>
      </c>
      <c r="BN1518" t="s">
        <v>81</v>
      </c>
      <c r="BO1518" t="s">
        <v>82</v>
      </c>
      <c r="BP1518" t="s">
        <v>9</v>
      </c>
      <c r="BQ1518" t="s">
        <v>9</v>
      </c>
      <c r="BR1518" t="s">
        <v>84</v>
      </c>
      <c r="BS1518"/>
      <c r="BT1518">
        <v>88.6</v>
      </c>
      <c r="BU1518">
        <v>88.6</v>
      </c>
      <c r="BV1518">
        <v>2.2999999999999998</v>
      </c>
      <c r="BW1518">
        <f>BV1518*SQRT(AK1518)</f>
        <v>6.8999999999999995</v>
      </c>
      <c r="BX1518">
        <v>70.180000000000007</v>
      </c>
      <c r="BY1518">
        <v>70.180000000000007</v>
      </c>
      <c r="BZ1518">
        <v>3.85</v>
      </c>
      <c r="CA1518">
        <f>BZ1518*SQRT(AL1518)</f>
        <v>11.55</v>
      </c>
      <c r="CB1518">
        <v>1</v>
      </c>
      <c r="CC1518">
        <v>3</v>
      </c>
      <c r="CD1518">
        <v>-0.23300000000000001</v>
      </c>
      <c r="CE1518">
        <v>3.7000000000000002E-3</v>
      </c>
    </row>
    <row r="1519" spans="1:84" s="8" customFormat="1" hidden="1" x14ac:dyDescent="0.2">
      <c r="A1519"/>
      <c r="B1519" t="str">
        <f>ROW()-1&amp;"_AltersInvert"</f>
        <v>1518_AltersInvert</v>
      </c>
      <c r="C1519" t="str">
        <f>D1519&amp;"_"&amp;
SUBSTITUTE(TRIM(V1519)," ","_")&amp;"_"&amp;
TRIM(AC1519)&amp;"_"&amp;
"CO2"&amp;TEXT(AN1519,"0.00")&amp;"_"&amp;
"pH"&amp;TEXT(AR1519,"0.00")&amp;"_"&amp;
"T"&amp;TEXT(BC1519,"0.##")</f>
        <v>69_Heliocidaris_erythrogramma_LARVA_CO2291.00_pH8.16_T20.</v>
      </c>
      <c r="D1519">
        <v>69</v>
      </c>
      <c r="E1519"/>
      <c r="F1519"/>
      <c r="G1519" t="s">
        <v>43</v>
      </c>
      <c r="H1519" t="s">
        <v>636</v>
      </c>
      <c r="I1519"/>
      <c r="J1519">
        <v>2014</v>
      </c>
      <c r="K1519"/>
      <c r="L1519"/>
      <c r="M1519" t="s">
        <v>308</v>
      </c>
      <c r="N1519"/>
      <c r="O1519"/>
      <c r="P1519" t="s">
        <v>1135</v>
      </c>
      <c r="Q1519"/>
      <c r="R1519" t="s">
        <v>1127</v>
      </c>
      <c r="S1519" t="s">
        <v>1128</v>
      </c>
      <c r="T1519" t="s">
        <v>46</v>
      </c>
      <c r="U1519" t="s">
        <v>637</v>
      </c>
      <c r="V1519" t="s">
        <v>383</v>
      </c>
      <c r="W1519"/>
      <c r="X1519"/>
      <c r="Y1519"/>
      <c r="Z1519" t="s">
        <v>49</v>
      </c>
      <c r="AA1519" t="s">
        <v>49</v>
      </c>
      <c r="AB1519" t="s">
        <v>71</v>
      </c>
      <c r="AC1519" t="s">
        <v>72</v>
      </c>
      <c r="AD1519" t="s">
        <v>52</v>
      </c>
      <c r="AE1519" t="s">
        <v>53</v>
      </c>
      <c r="AF1519" t="s">
        <v>52</v>
      </c>
      <c r="AG1519" t="s">
        <v>52</v>
      </c>
      <c r="AH1519" t="s">
        <v>64</v>
      </c>
      <c r="AI1519"/>
      <c r="AJ1519"/>
      <c r="AK1519">
        <v>9</v>
      </c>
      <c r="AL1519">
        <v>9</v>
      </c>
      <c r="AM1519"/>
      <c r="AN1519">
        <v>291</v>
      </c>
      <c r="AO1519">
        <v>21</v>
      </c>
      <c r="AP1519" t="s">
        <v>56</v>
      </c>
      <c r="AQ1519" t="s">
        <v>118</v>
      </c>
      <c r="AR1519">
        <v>8.16</v>
      </c>
      <c r="AS1519">
        <v>0.02</v>
      </c>
      <c r="AT1519" t="s">
        <v>56</v>
      </c>
      <c r="AU1519">
        <v>752</v>
      </c>
      <c r="AV1519">
        <v>10</v>
      </c>
      <c r="AW1519" t="s">
        <v>56</v>
      </c>
      <c r="AX1519">
        <v>7.8</v>
      </c>
      <c r="AY1519">
        <v>0.03</v>
      </c>
      <c r="AZ1519" t="s">
        <v>56</v>
      </c>
      <c r="BA1519"/>
      <c r="BB1519">
        <f>LOG(AU1519)</f>
        <v>2.8762178405916421</v>
      </c>
      <c r="BC1519">
        <v>20</v>
      </c>
      <c r="BD1519" t="s">
        <v>56</v>
      </c>
      <c r="BE1519" t="s">
        <v>56</v>
      </c>
      <c r="BF1519">
        <v>24</v>
      </c>
      <c r="BG1519" t="s">
        <v>56</v>
      </c>
      <c r="BH1519" t="s">
        <v>56</v>
      </c>
      <c r="BI1519">
        <v>460</v>
      </c>
      <c r="BJ1519">
        <v>4</v>
      </c>
      <c r="BK1519" t="s">
        <v>56</v>
      </c>
      <c r="BL1519" t="s">
        <v>86</v>
      </c>
      <c r="BM1519" t="s">
        <v>86</v>
      </c>
      <c r="BN1519" t="s">
        <v>81</v>
      </c>
      <c r="BO1519" t="s">
        <v>82</v>
      </c>
      <c r="BP1519" t="s">
        <v>9</v>
      </c>
      <c r="BQ1519" t="s">
        <v>9</v>
      </c>
      <c r="BR1519" t="s">
        <v>84</v>
      </c>
      <c r="BS1519"/>
      <c r="BT1519">
        <v>88.6</v>
      </c>
      <c r="BU1519">
        <v>88.6</v>
      </c>
      <c r="BV1519">
        <v>2.2999999999999998</v>
      </c>
      <c r="BW1519">
        <f>BV1519*SQRT(AK1519)</f>
        <v>6.8999999999999995</v>
      </c>
      <c r="BX1519">
        <v>76.84</v>
      </c>
      <c r="BY1519">
        <v>76.84</v>
      </c>
      <c r="BZ1519">
        <v>3.52</v>
      </c>
      <c r="CA1519">
        <f>BZ1519*SQRT(AL1519)</f>
        <v>10.56</v>
      </c>
      <c r="CB1519">
        <v>1</v>
      </c>
      <c r="CC1519">
        <v>3</v>
      </c>
      <c r="CD1519">
        <v>-0.14199999999999999</v>
      </c>
      <c r="CE1519">
        <v>2.8E-3</v>
      </c>
    </row>
    <row r="1520" spans="1:84" hidden="1" x14ac:dyDescent="0.2">
      <c r="A1520" s="8"/>
      <c r="B1520" t="str">
        <f>ROW()-1&amp;"_AltersInvert"</f>
        <v>1519_AltersInvert</v>
      </c>
      <c r="C1520" t="str">
        <f>D1520&amp;"_"&amp;
SUBSTITUTE(TRIM(V1520)," ","_")&amp;"_"&amp;
TRIM(AC1520)&amp;"_"&amp;
"CO2"&amp;TEXT(AN1520,"0.00")&amp;"_"&amp;
"pH"&amp;TEXT(AR1520,"0.00")&amp;"_"&amp;
"T"&amp;TEXT(BC1520,"0.##")</f>
        <v>49_Limecola_balthica_EMBRYO_CO2848.00_pH7.80_T15.</v>
      </c>
      <c r="D1520" s="8">
        <v>49</v>
      </c>
      <c r="E1520" s="8"/>
      <c r="F1520" s="8"/>
      <c r="G1520" s="8" t="s">
        <v>43</v>
      </c>
      <c r="H1520" s="8" t="s">
        <v>512</v>
      </c>
      <c r="I1520" s="8" t="s">
        <v>1130</v>
      </c>
      <c r="J1520" s="8">
        <v>2018</v>
      </c>
      <c r="K1520" s="8"/>
      <c r="L1520" s="8"/>
      <c r="M1520" s="8" t="s">
        <v>513</v>
      </c>
      <c r="N1520" s="8"/>
      <c r="O1520" s="8"/>
      <c r="P1520" t="s">
        <v>1135</v>
      </c>
      <c r="Q1520" s="8"/>
      <c r="R1520" s="8" t="s">
        <v>1127</v>
      </c>
      <c r="S1520" t="s">
        <v>1128</v>
      </c>
      <c r="T1520" s="8" t="s">
        <v>68</v>
      </c>
      <c r="U1520" s="8" t="s">
        <v>514</v>
      </c>
      <c r="V1520" s="8" t="s">
        <v>515</v>
      </c>
      <c r="W1520" s="8" t="str">
        <f>IF(ISNUMBER(MATCH(#REF!,{"Doryteuthis pealeii","Loligo vulgaris","Leptuca thayeri","Stylocheilus striatus","Ophryotrocha labronica"},0)),"N","Y")</f>
        <v>Y</v>
      </c>
      <c r="X1520" s="8"/>
      <c r="Y1520" s="8"/>
      <c r="Z1520" s="8" t="s">
        <v>49</v>
      </c>
      <c r="AA1520" s="8" t="s">
        <v>49</v>
      </c>
      <c r="AB1520" s="8" t="s">
        <v>71</v>
      </c>
      <c r="AC1520" s="8" t="s">
        <v>195</v>
      </c>
      <c r="AD1520" s="8" t="s">
        <v>52</v>
      </c>
      <c r="AE1520" s="8" t="s">
        <v>53</v>
      </c>
      <c r="AF1520" s="8" t="s">
        <v>52</v>
      </c>
      <c r="AG1520" s="8" t="s">
        <v>54</v>
      </c>
      <c r="AH1520" s="8" t="s">
        <v>55</v>
      </c>
      <c r="AI1520" s="8"/>
      <c r="AJ1520" s="8"/>
      <c r="AK1520" s="8">
        <v>5</v>
      </c>
      <c r="AL1520" s="8">
        <v>5</v>
      </c>
      <c r="AM1520" s="8"/>
      <c r="AN1520" s="8">
        <v>848</v>
      </c>
      <c r="AO1520" s="8" t="s">
        <v>56</v>
      </c>
      <c r="AP1520" s="8" t="s">
        <v>56</v>
      </c>
      <c r="AQ1520" s="8" t="s">
        <v>57</v>
      </c>
      <c r="AR1520" s="8">
        <v>7.8</v>
      </c>
      <c r="AS1520" s="8" t="s">
        <v>56</v>
      </c>
      <c r="AT1520" s="8" t="s">
        <v>56</v>
      </c>
      <c r="AU1520" s="8">
        <v>2717</v>
      </c>
      <c r="AV1520" t="s">
        <v>56</v>
      </c>
      <c r="AW1520" t="s">
        <v>56</v>
      </c>
      <c r="AX1520">
        <v>7.35</v>
      </c>
      <c r="AY1520" t="s">
        <v>56</v>
      </c>
      <c r="AZ1520" t="s">
        <v>56</v>
      </c>
      <c r="BA1520" s="8"/>
      <c r="BB1520" s="8">
        <f>LOG(AU1520)</f>
        <v>3.4340896384178907</v>
      </c>
      <c r="BC1520" s="8">
        <v>15</v>
      </c>
      <c r="BD1520" s="8" t="s">
        <v>56</v>
      </c>
      <c r="BE1520" s="8" t="s">
        <v>56</v>
      </c>
      <c r="BF1520" s="8">
        <v>15</v>
      </c>
      <c r="BG1520" s="8" t="s">
        <v>56</v>
      </c>
      <c r="BH1520" s="8" t="s">
        <v>56</v>
      </c>
      <c r="BI1520" s="8">
        <v>1868</v>
      </c>
      <c r="BJ1520" s="8">
        <v>0</v>
      </c>
      <c r="BK1520" s="8" t="s">
        <v>517</v>
      </c>
      <c r="BL1520" s="8" t="s">
        <v>196</v>
      </c>
      <c r="BM1520" s="8" t="s">
        <v>197</v>
      </c>
      <c r="BN1520" s="8" t="s">
        <v>81</v>
      </c>
      <c r="BO1520" s="8" t="s">
        <v>82</v>
      </c>
      <c r="BP1520" s="8" t="s">
        <v>83</v>
      </c>
      <c r="BQ1520" s="8" t="s">
        <v>92</v>
      </c>
      <c r="BR1520" s="8" t="s">
        <v>84</v>
      </c>
      <c r="BS1520" s="8"/>
      <c r="BT1520" s="8">
        <v>22.07</v>
      </c>
      <c r="BU1520" s="8">
        <v>22.068966</v>
      </c>
      <c r="BV1520" s="8">
        <v>3.1</v>
      </c>
      <c r="BW1520" s="8">
        <f>BV1520*SQRT(AK1520)</f>
        <v>6.9318107302493486</v>
      </c>
      <c r="BX1520" s="8">
        <v>8.2799999999999994</v>
      </c>
      <c r="BY1520" s="8">
        <v>8.2758620999999994</v>
      </c>
      <c r="BZ1520" s="8">
        <v>1.9</v>
      </c>
      <c r="CA1520" s="8">
        <f>BZ1520*SQRT(AL1520)</f>
        <v>4.2485291572496005</v>
      </c>
      <c r="CB1520" s="8">
        <v>3</v>
      </c>
      <c r="CC1520" s="8">
        <v>5</v>
      </c>
      <c r="CD1520" s="8">
        <v>-0.98099999999999998</v>
      </c>
      <c r="CE1520" s="8">
        <v>7.2300000000000003E-2</v>
      </c>
      <c r="CF1520" s="8" t="s">
        <v>1134</v>
      </c>
    </row>
    <row r="1521" spans="1:84" s="8" customFormat="1" hidden="1" x14ac:dyDescent="0.2">
      <c r="B1521" t="str">
        <f>ROW()-1&amp;"_AltersInvert"</f>
        <v>1520_AltersInvert</v>
      </c>
      <c r="C1521" t="str">
        <f>D1521&amp;"_"&amp;
SUBSTITUTE(TRIM(V1521)," ","_")&amp;"_"&amp;
TRIM(AC1521)&amp;"_"&amp;
"CO2"&amp;TEXT(AN1521,"0.00")&amp;"_"&amp;
"pH"&amp;TEXT(AR1521,"0.00")&amp;"_"&amp;
"T"&amp;TEXT(BC1521,"0.##")</f>
        <v>49_Limecola_balthica_EMBRYO_CO2366.00_pH8.09_T15.</v>
      </c>
      <c r="D1521" s="8">
        <v>49</v>
      </c>
      <c r="G1521" s="8" t="s">
        <v>43</v>
      </c>
      <c r="H1521" s="8" t="s">
        <v>512</v>
      </c>
      <c r="I1521" s="8" t="s">
        <v>1130</v>
      </c>
      <c r="J1521" s="8">
        <v>2018</v>
      </c>
      <c r="M1521" s="8" t="s">
        <v>513</v>
      </c>
      <c r="P1521" t="s">
        <v>1135</v>
      </c>
      <c r="R1521" s="8" t="s">
        <v>1127</v>
      </c>
      <c r="S1521" t="s">
        <v>1128</v>
      </c>
      <c r="T1521" s="8" t="s">
        <v>68</v>
      </c>
      <c r="U1521" s="8" t="s">
        <v>514</v>
      </c>
      <c r="V1521" s="8" t="s">
        <v>515</v>
      </c>
      <c r="W1521" s="8" t="str">
        <f>IF(ISNUMBER(MATCH(#REF!,{"Doryteuthis pealeii","Loligo vulgaris","Leptuca thayeri","Stylocheilus striatus","Ophryotrocha labronica"},0)),"N","Y")</f>
        <v>Y</v>
      </c>
      <c r="Z1521" s="8" t="s">
        <v>49</v>
      </c>
      <c r="AA1521" s="8" t="s">
        <v>49</v>
      </c>
      <c r="AB1521" s="8" t="s">
        <v>71</v>
      </c>
      <c r="AC1521" s="8" t="s">
        <v>195</v>
      </c>
      <c r="AD1521" s="8" t="s">
        <v>52</v>
      </c>
      <c r="AE1521" s="8" t="s">
        <v>53</v>
      </c>
      <c r="AF1521" s="8" t="s">
        <v>52</v>
      </c>
      <c r="AG1521" s="8" t="s">
        <v>54</v>
      </c>
      <c r="AH1521" s="8" t="s">
        <v>55</v>
      </c>
      <c r="AK1521" s="8">
        <v>5</v>
      </c>
      <c r="AL1521" s="8">
        <v>5</v>
      </c>
      <c r="AN1521" s="8">
        <v>366</v>
      </c>
      <c r="AO1521" s="8" t="s">
        <v>56</v>
      </c>
      <c r="AP1521" s="8" t="s">
        <v>56</v>
      </c>
      <c r="AQ1521" s="8" t="s">
        <v>57</v>
      </c>
      <c r="AR1521" s="8">
        <v>8.09</v>
      </c>
      <c r="AS1521" s="8" t="s">
        <v>56</v>
      </c>
      <c r="AT1521" s="8" t="s">
        <v>56</v>
      </c>
      <c r="AU1521" s="8">
        <v>1315</v>
      </c>
      <c r="AV1521" t="s">
        <v>56</v>
      </c>
      <c r="AW1521" t="s">
        <v>56</v>
      </c>
      <c r="AX1521">
        <v>7.61</v>
      </c>
      <c r="AY1521" t="s">
        <v>56</v>
      </c>
      <c r="AZ1521" t="s">
        <v>56</v>
      </c>
      <c r="BB1521" s="8">
        <f>LOG(AU1521)</f>
        <v>3.1189257528257768</v>
      </c>
      <c r="BC1521" s="8">
        <v>15</v>
      </c>
      <c r="BD1521" s="8" t="s">
        <v>56</v>
      </c>
      <c r="BE1521" s="8" t="s">
        <v>56</v>
      </c>
      <c r="BF1521" s="8">
        <v>15</v>
      </c>
      <c r="BG1521" s="8" t="s">
        <v>56</v>
      </c>
      <c r="BH1521" s="8" t="s">
        <v>56</v>
      </c>
      <c r="BI1521" s="8">
        <v>949</v>
      </c>
      <c r="BJ1521" s="8">
        <v>0</v>
      </c>
      <c r="BK1521" s="8" t="s">
        <v>518</v>
      </c>
      <c r="BL1521" s="8" t="s">
        <v>196</v>
      </c>
      <c r="BM1521" s="8" t="s">
        <v>197</v>
      </c>
      <c r="BN1521" s="8" t="s">
        <v>81</v>
      </c>
      <c r="BO1521" s="8" t="s">
        <v>82</v>
      </c>
      <c r="BP1521" s="8" t="s">
        <v>83</v>
      </c>
      <c r="BQ1521" s="8" t="s">
        <v>92</v>
      </c>
      <c r="BR1521" s="8" t="s">
        <v>84</v>
      </c>
      <c r="BT1521" s="8">
        <v>70.34</v>
      </c>
      <c r="BU1521" s="8">
        <v>70.344828000000007</v>
      </c>
      <c r="BV1521" s="8">
        <v>3.1</v>
      </c>
      <c r="BW1521" s="8">
        <f>BV1521*SQRT(AK1521)</f>
        <v>6.9318107302493486</v>
      </c>
      <c r="BX1521" s="8">
        <v>41.21</v>
      </c>
      <c r="BY1521" s="8">
        <v>41.2068966</v>
      </c>
      <c r="BZ1521" s="8">
        <v>4.4800000000000004</v>
      </c>
      <c r="CA1521" s="8">
        <f>BZ1521*SQRT(AL1521)</f>
        <v>10.01758453919906</v>
      </c>
      <c r="CB1521" s="8">
        <v>3</v>
      </c>
      <c r="CC1521" s="8">
        <v>5</v>
      </c>
      <c r="CD1521" s="8">
        <v>-0.53500000000000003</v>
      </c>
      <c r="CE1521" s="8">
        <v>1.38E-2</v>
      </c>
      <c r="CF1521" s="8" t="s">
        <v>1134</v>
      </c>
    </row>
    <row r="1522" spans="1:84" s="8" customFormat="1" hidden="1" x14ac:dyDescent="0.2">
      <c r="B1522" t="str">
        <f>ROW()-1&amp;"_AltersInvert"</f>
        <v>1521_AltersInvert</v>
      </c>
      <c r="C1522" t="str">
        <f>D1522&amp;"_"&amp;
SUBSTITUTE(TRIM(V1522)," ","_")&amp;"_"&amp;
TRIM(AC1522)&amp;"_"&amp;
"CO2"&amp;TEXT(AN1522,"0.00")&amp;"_"&amp;
"pH"&amp;TEXT(AR1522,"0.00")&amp;"_"&amp;
"T"&amp;TEXT(BC1522,"0.##")</f>
        <v>49_Limecola_balthica_EMBRYO_CO2366.00_pH8.09_T15.</v>
      </c>
      <c r="D1522" s="8">
        <v>49</v>
      </c>
      <c r="G1522" s="8" t="s">
        <v>43</v>
      </c>
      <c r="H1522" s="8" t="s">
        <v>512</v>
      </c>
      <c r="I1522" s="8" t="s">
        <v>1130</v>
      </c>
      <c r="J1522" s="8">
        <v>2018</v>
      </c>
      <c r="M1522" s="8" t="s">
        <v>513</v>
      </c>
      <c r="P1522" t="s">
        <v>1135</v>
      </c>
      <c r="R1522" s="8" t="s">
        <v>1127</v>
      </c>
      <c r="S1522" t="s">
        <v>1128</v>
      </c>
      <c r="T1522" s="8" t="s">
        <v>68</v>
      </c>
      <c r="U1522" s="8" t="s">
        <v>514</v>
      </c>
      <c r="V1522" s="8" t="s">
        <v>515</v>
      </c>
      <c r="W1522" s="8" t="str">
        <f>IF(ISNUMBER(MATCH(#REF!,{"Doryteuthis pealeii","Loligo vulgaris","Leptuca thayeri","Stylocheilus striatus","Ophryotrocha labronica"},0)),"N","Y")</f>
        <v>Y</v>
      </c>
      <c r="Z1522" s="8" t="s">
        <v>49</v>
      </c>
      <c r="AA1522" s="8" t="s">
        <v>49</v>
      </c>
      <c r="AB1522" s="8" t="s">
        <v>71</v>
      </c>
      <c r="AC1522" s="8" t="s">
        <v>195</v>
      </c>
      <c r="AD1522" s="8" t="s">
        <v>52</v>
      </c>
      <c r="AE1522" s="8" t="s">
        <v>53</v>
      </c>
      <c r="AF1522" s="8" t="s">
        <v>52</v>
      </c>
      <c r="AG1522" s="8" t="s">
        <v>54</v>
      </c>
      <c r="AH1522" s="8" t="s">
        <v>55</v>
      </c>
      <c r="AK1522" s="8">
        <v>5</v>
      </c>
      <c r="AL1522" s="8">
        <v>5</v>
      </c>
      <c r="AN1522" s="8">
        <v>366</v>
      </c>
      <c r="AO1522" s="8" t="s">
        <v>56</v>
      </c>
      <c r="AP1522" s="8" t="s">
        <v>56</v>
      </c>
      <c r="AQ1522" s="8" t="s">
        <v>57</v>
      </c>
      <c r="AR1522" s="8">
        <v>8.09</v>
      </c>
      <c r="AS1522" s="8" t="s">
        <v>56</v>
      </c>
      <c r="AT1522" s="8" t="s">
        <v>56</v>
      </c>
      <c r="AU1522" s="8">
        <v>956</v>
      </c>
      <c r="AV1522" t="s">
        <v>56</v>
      </c>
      <c r="AW1522" t="s">
        <v>56</v>
      </c>
      <c r="AX1522">
        <v>7.73</v>
      </c>
      <c r="AY1522" t="s">
        <v>56</v>
      </c>
      <c r="AZ1522" t="s">
        <v>56</v>
      </c>
      <c r="BB1522" s="8">
        <f>LOG(AU1522)</f>
        <v>2.9804578922761</v>
      </c>
      <c r="BC1522" s="8">
        <v>15</v>
      </c>
      <c r="BD1522" s="8" t="s">
        <v>56</v>
      </c>
      <c r="BE1522" s="8" t="s">
        <v>56</v>
      </c>
      <c r="BF1522" s="8">
        <v>15</v>
      </c>
      <c r="BG1522" s="8" t="s">
        <v>56</v>
      </c>
      <c r="BH1522" s="8" t="s">
        <v>56</v>
      </c>
      <c r="BI1522" s="8">
        <v>591</v>
      </c>
      <c r="BJ1522" s="8">
        <v>0</v>
      </c>
      <c r="BK1522" s="8" t="s">
        <v>518</v>
      </c>
      <c r="BL1522" s="8" t="s">
        <v>196</v>
      </c>
      <c r="BM1522" s="8" t="s">
        <v>197</v>
      </c>
      <c r="BN1522" s="8" t="s">
        <v>81</v>
      </c>
      <c r="BO1522" s="8" t="s">
        <v>82</v>
      </c>
      <c r="BP1522" s="8" t="s">
        <v>83</v>
      </c>
      <c r="BQ1522" s="8" t="s">
        <v>92</v>
      </c>
      <c r="BR1522" s="8" t="s">
        <v>84</v>
      </c>
      <c r="BT1522" s="8">
        <v>70.34</v>
      </c>
      <c r="BU1522" s="8">
        <v>70.344828000000007</v>
      </c>
      <c r="BV1522" s="8">
        <v>3.1</v>
      </c>
      <c r="BW1522" s="8">
        <f>BV1522*SQRT(AK1522)</f>
        <v>6.9318107302493486</v>
      </c>
      <c r="BX1522" s="8">
        <v>42.41</v>
      </c>
      <c r="BY1522" s="8">
        <v>42.413793099999999</v>
      </c>
      <c r="BZ1522" s="8">
        <v>4.4800000000000004</v>
      </c>
      <c r="CA1522" s="8">
        <f>BZ1522*SQRT(AL1522)</f>
        <v>10.01758453919906</v>
      </c>
      <c r="CB1522" s="8">
        <v>3</v>
      </c>
      <c r="CC1522" s="8">
        <v>5</v>
      </c>
      <c r="CD1522" s="8">
        <v>-0.50600000000000001</v>
      </c>
      <c r="CE1522" s="8">
        <v>1.3100000000000001E-2</v>
      </c>
      <c r="CF1522" s="8" t="s">
        <v>1134</v>
      </c>
    </row>
    <row r="1523" spans="1:84" s="8" customFormat="1" hidden="1" x14ac:dyDescent="0.2">
      <c r="B1523" t="str">
        <f>ROW()-1&amp;"_AltersInvert"</f>
        <v>1522_AltersInvert</v>
      </c>
      <c r="C1523" t="str">
        <f>D1523&amp;"_"&amp;
SUBSTITUTE(TRIM(V1523)," ","_")&amp;"_"&amp;
TRIM(AC1523)&amp;"_"&amp;
"CO2"&amp;TEXT(AN1523,"0.00")&amp;"_"&amp;
"pH"&amp;TEXT(AR1523,"0.00")&amp;"_"&amp;
"T"&amp;TEXT(BC1523,"0.##")</f>
        <v>49_Limecola_balthica_EMBRYO_CO2848.00_pH7.80_T15.</v>
      </c>
      <c r="D1523" s="8">
        <v>49</v>
      </c>
      <c r="G1523" s="8" t="s">
        <v>43</v>
      </c>
      <c r="H1523" s="8" t="s">
        <v>512</v>
      </c>
      <c r="I1523" s="8" t="s">
        <v>1130</v>
      </c>
      <c r="J1523" s="8">
        <v>2018</v>
      </c>
      <c r="M1523" s="8" t="s">
        <v>513</v>
      </c>
      <c r="P1523" t="s">
        <v>1135</v>
      </c>
      <c r="R1523" s="8" t="s">
        <v>1127</v>
      </c>
      <c r="S1523" t="s">
        <v>1128</v>
      </c>
      <c r="T1523" s="8" t="s">
        <v>68</v>
      </c>
      <c r="U1523" s="8" t="s">
        <v>514</v>
      </c>
      <c r="V1523" s="8" t="s">
        <v>515</v>
      </c>
      <c r="W1523" s="8" t="str">
        <f>IF(ISNUMBER(MATCH(#REF!,{"Doryteuthis pealeii","Loligo vulgaris","Leptuca thayeri","Stylocheilus striatus","Ophryotrocha labronica"},0)),"N","Y")</f>
        <v>Y</v>
      </c>
      <c r="Z1523" s="8" t="s">
        <v>49</v>
      </c>
      <c r="AA1523" s="8" t="s">
        <v>49</v>
      </c>
      <c r="AB1523" s="8" t="s">
        <v>71</v>
      </c>
      <c r="AC1523" s="8" t="s">
        <v>195</v>
      </c>
      <c r="AD1523" s="8" t="s">
        <v>52</v>
      </c>
      <c r="AE1523" s="8" t="s">
        <v>53</v>
      </c>
      <c r="AF1523" s="8" t="s">
        <v>52</v>
      </c>
      <c r="AG1523" s="8" t="s">
        <v>54</v>
      </c>
      <c r="AH1523" s="8" t="s">
        <v>55</v>
      </c>
      <c r="AK1523" s="8">
        <v>5</v>
      </c>
      <c r="AL1523" s="8">
        <v>5</v>
      </c>
      <c r="AN1523" s="8">
        <v>848</v>
      </c>
      <c r="AO1523" s="8" t="s">
        <v>56</v>
      </c>
      <c r="AP1523" s="8" t="s">
        <v>56</v>
      </c>
      <c r="AQ1523" s="8" t="s">
        <v>57</v>
      </c>
      <c r="AR1523" s="8">
        <v>7.8</v>
      </c>
      <c r="AS1523" s="8" t="s">
        <v>56</v>
      </c>
      <c r="AT1523" s="8" t="s">
        <v>56</v>
      </c>
      <c r="AU1523" s="8">
        <v>1836</v>
      </c>
      <c r="AV1523" t="s">
        <v>56</v>
      </c>
      <c r="AW1523" t="s">
        <v>56</v>
      </c>
      <c r="AX1523">
        <v>7.51</v>
      </c>
      <c r="AY1523" t="s">
        <v>56</v>
      </c>
      <c r="AZ1523" t="s">
        <v>56</v>
      </c>
      <c r="BB1523" s="8">
        <f>LOG(AU1523)</f>
        <v>3.2638726768652235</v>
      </c>
      <c r="BC1523" s="8">
        <v>15</v>
      </c>
      <c r="BD1523" s="8" t="s">
        <v>56</v>
      </c>
      <c r="BE1523" s="8" t="s">
        <v>56</v>
      </c>
      <c r="BF1523" s="8">
        <v>15</v>
      </c>
      <c r="BG1523" s="8" t="s">
        <v>56</v>
      </c>
      <c r="BH1523" s="8" t="s">
        <v>56</v>
      </c>
      <c r="BI1523" s="8">
        <v>988</v>
      </c>
      <c r="BJ1523" s="8">
        <v>0</v>
      </c>
      <c r="BK1523" s="8" t="s">
        <v>517</v>
      </c>
      <c r="BL1523" s="8" t="s">
        <v>196</v>
      </c>
      <c r="BM1523" s="8" t="s">
        <v>197</v>
      </c>
      <c r="BN1523" s="8" t="s">
        <v>81</v>
      </c>
      <c r="BO1523" s="8" t="s">
        <v>82</v>
      </c>
      <c r="BP1523" s="8" t="s">
        <v>83</v>
      </c>
      <c r="BQ1523" s="8" t="s">
        <v>92</v>
      </c>
      <c r="BR1523" s="8" t="s">
        <v>84</v>
      </c>
      <c r="BT1523" s="8">
        <v>22.07</v>
      </c>
      <c r="BU1523" s="8">
        <v>22.068966</v>
      </c>
      <c r="BV1523" s="8">
        <v>3.1</v>
      </c>
      <c r="BW1523" s="8">
        <f>BV1523*SQRT(AK1523)</f>
        <v>6.9318107302493486</v>
      </c>
      <c r="BX1523" s="8">
        <v>15.34</v>
      </c>
      <c r="BY1523" s="8">
        <v>15.3448276</v>
      </c>
      <c r="BZ1523" s="8">
        <v>2.93</v>
      </c>
      <c r="CA1523" s="8">
        <f>BZ1523*SQRT(AL1523)</f>
        <v>6.5516791740743843</v>
      </c>
      <c r="CB1523" s="8">
        <v>3</v>
      </c>
      <c r="CC1523" s="8">
        <v>5</v>
      </c>
      <c r="CD1523" s="8">
        <v>-0.36299999999999999</v>
      </c>
      <c r="CE1523" s="8">
        <v>5.6300000000000003E-2</v>
      </c>
      <c r="CF1523" s="8" t="s">
        <v>1134</v>
      </c>
    </row>
    <row r="1524" spans="1:84" s="8" customFormat="1" hidden="1" x14ac:dyDescent="0.2">
      <c r="B1524" t="str">
        <f>ROW()-1&amp;"_AltersInvert"</f>
        <v>1523_AltersInvert</v>
      </c>
      <c r="C1524" t="str">
        <f>D1524&amp;"_"&amp;
SUBSTITUTE(TRIM(V1524)," ","_")&amp;"_"&amp;
TRIM(AC1524)&amp;"_"&amp;
"CO2"&amp;TEXT(AN1524,"0.00")&amp;"_"&amp;
"pH"&amp;TEXT(AR1524,"0.00")&amp;"_"&amp;
"T"&amp;TEXT(BC1524,"0.##")</f>
        <v>49_Limecola_balthica_EMBRYO_CO2848.00_pH7.80_T15.</v>
      </c>
      <c r="D1524" s="8">
        <v>49</v>
      </c>
      <c r="G1524" s="8" t="s">
        <v>43</v>
      </c>
      <c r="H1524" s="8" t="s">
        <v>512</v>
      </c>
      <c r="I1524" s="8" t="s">
        <v>1130</v>
      </c>
      <c r="J1524" s="8">
        <v>2018</v>
      </c>
      <c r="M1524" s="8" t="s">
        <v>513</v>
      </c>
      <c r="P1524" t="s">
        <v>1135</v>
      </c>
      <c r="R1524" s="8" t="s">
        <v>1127</v>
      </c>
      <c r="S1524" t="s">
        <v>1128</v>
      </c>
      <c r="T1524" s="8" t="s">
        <v>68</v>
      </c>
      <c r="U1524" s="8" t="s">
        <v>514</v>
      </c>
      <c r="V1524" s="8" t="s">
        <v>515</v>
      </c>
      <c r="W1524" s="8" t="str">
        <f>IF(ISNUMBER(MATCH(#REF!,{"Doryteuthis pealeii","Loligo vulgaris","Leptuca thayeri","Stylocheilus striatus","Ophryotrocha labronica"},0)),"N","Y")</f>
        <v>Y</v>
      </c>
      <c r="Z1524" s="8" t="s">
        <v>49</v>
      </c>
      <c r="AA1524" s="8" t="s">
        <v>49</v>
      </c>
      <c r="AB1524" s="8" t="s">
        <v>71</v>
      </c>
      <c r="AC1524" s="8" t="s">
        <v>195</v>
      </c>
      <c r="AD1524" s="8" t="s">
        <v>52</v>
      </c>
      <c r="AE1524" s="8" t="s">
        <v>53</v>
      </c>
      <c r="AF1524" s="8" t="s">
        <v>52</v>
      </c>
      <c r="AG1524" s="8" t="s">
        <v>54</v>
      </c>
      <c r="AH1524" s="8" t="s">
        <v>55</v>
      </c>
      <c r="AK1524" s="8">
        <v>5</v>
      </c>
      <c r="AL1524" s="8">
        <v>5</v>
      </c>
      <c r="AN1524" s="8">
        <v>848</v>
      </c>
      <c r="AO1524" s="8" t="s">
        <v>56</v>
      </c>
      <c r="AP1524" s="8" t="s">
        <v>56</v>
      </c>
      <c r="AQ1524" s="8" t="s">
        <v>57</v>
      </c>
      <c r="AR1524" s="8">
        <v>7.8</v>
      </c>
      <c r="AS1524" s="8" t="s">
        <v>56</v>
      </c>
      <c r="AT1524" s="8" t="s">
        <v>56</v>
      </c>
      <c r="AU1524" s="8">
        <v>1350</v>
      </c>
      <c r="AV1524" t="s">
        <v>56</v>
      </c>
      <c r="AW1524" t="s">
        <v>56</v>
      </c>
      <c r="AX1524">
        <v>7.62</v>
      </c>
      <c r="AY1524" t="s">
        <v>56</v>
      </c>
      <c r="AZ1524" t="s">
        <v>56</v>
      </c>
      <c r="BB1524" s="8">
        <f>LOG(AU1524)</f>
        <v>3.1303337684950061</v>
      </c>
      <c r="BC1524" s="8">
        <v>15</v>
      </c>
      <c r="BD1524" s="8" t="s">
        <v>56</v>
      </c>
      <c r="BE1524" s="8" t="s">
        <v>56</v>
      </c>
      <c r="BF1524" s="8">
        <v>15</v>
      </c>
      <c r="BG1524" s="8" t="s">
        <v>56</v>
      </c>
      <c r="BH1524" s="8" t="s">
        <v>56</v>
      </c>
      <c r="BI1524" s="8">
        <v>502</v>
      </c>
      <c r="BJ1524" s="8">
        <v>0</v>
      </c>
      <c r="BK1524" s="8" t="s">
        <v>517</v>
      </c>
      <c r="BL1524" s="8" t="s">
        <v>196</v>
      </c>
      <c r="BM1524" s="8" t="s">
        <v>197</v>
      </c>
      <c r="BN1524" s="8" t="s">
        <v>81</v>
      </c>
      <c r="BO1524" s="8" t="s">
        <v>82</v>
      </c>
      <c r="BP1524" s="8" t="s">
        <v>83</v>
      </c>
      <c r="BQ1524" s="8" t="s">
        <v>83</v>
      </c>
      <c r="BR1524" s="8" t="s">
        <v>84</v>
      </c>
      <c r="BT1524" s="8">
        <v>22.07</v>
      </c>
      <c r="BU1524" s="8">
        <v>22.068966</v>
      </c>
      <c r="BV1524" s="8">
        <v>3.1</v>
      </c>
      <c r="BW1524" s="8">
        <f>BV1524*SQRT(AK1524)</f>
        <v>6.9318107302493486</v>
      </c>
      <c r="BX1524" s="8">
        <v>16.55</v>
      </c>
      <c r="BY1524" s="8">
        <v>16.551724100000001</v>
      </c>
      <c r="BZ1524" s="8">
        <v>2.93</v>
      </c>
      <c r="CA1524" s="8">
        <f>BZ1524*SQRT(AL1524)</f>
        <v>6.5516791740743843</v>
      </c>
      <c r="CB1524" s="8">
        <v>3</v>
      </c>
      <c r="CC1524" s="8">
        <v>5</v>
      </c>
      <c r="CD1524" s="8">
        <v>-0.28799999999999998</v>
      </c>
      <c r="CE1524" s="8">
        <v>5.11E-2</v>
      </c>
      <c r="CF1524" s="8" t="s">
        <v>1134</v>
      </c>
    </row>
    <row r="1525" spans="1:84" hidden="1" x14ac:dyDescent="0.2">
      <c r="A1525" s="8"/>
      <c r="B1525" t="str">
        <f>ROW()-1&amp;"_AltersInvert"</f>
        <v>1524_AltersInvert</v>
      </c>
      <c r="C1525" t="str">
        <f>D1525&amp;"_"&amp;
SUBSTITUTE(TRIM(V1525)," ","_")&amp;"_"&amp;
TRIM(AC1525)&amp;"_"&amp;
"CO2"&amp;TEXT(AN1525,"0.00")&amp;"_"&amp;
"pH"&amp;TEXT(AR1525,"0.00")&amp;"_"&amp;
"T"&amp;TEXT(BC1525,"0.##")</f>
        <v>49_Limecola_balthica_EMBRYO_CO2366.00_pH8.09_T15.</v>
      </c>
      <c r="D1525" s="8">
        <v>49</v>
      </c>
      <c r="E1525" s="8"/>
      <c r="F1525" s="8"/>
      <c r="G1525" s="8" t="s">
        <v>43</v>
      </c>
      <c r="H1525" s="8" t="s">
        <v>512</v>
      </c>
      <c r="I1525" s="8" t="s">
        <v>1130</v>
      </c>
      <c r="J1525" s="8">
        <v>2018</v>
      </c>
      <c r="K1525" s="8"/>
      <c r="L1525" s="8"/>
      <c r="M1525" s="8" t="s">
        <v>513</v>
      </c>
      <c r="N1525" s="8"/>
      <c r="O1525" s="8"/>
      <c r="P1525" t="s">
        <v>1135</v>
      </c>
      <c r="Q1525" s="8"/>
      <c r="R1525" s="8" t="s">
        <v>1127</v>
      </c>
      <c r="S1525" t="s">
        <v>1128</v>
      </c>
      <c r="T1525" s="8" t="s">
        <v>68</v>
      </c>
      <c r="U1525" s="8" t="s">
        <v>514</v>
      </c>
      <c r="V1525" s="8" t="s">
        <v>515</v>
      </c>
      <c r="W1525" s="8" t="str">
        <f>IF(ISNUMBER(MATCH(#REF!,{"Doryteuthis pealeii","Loligo vulgaris","Leptuca thayeri","Stylocheilus striatus","Ophryotrocha labronica"},0)),"N","Y")</f>
        <v>Y</v>
      </c>
      <c r="X1525" s="8"/>
      <c r="Y1525" s="8"/>
      <c r="Z1525" s="8" t="s">
        <v>49</v>
      </c>
      <c r="AA1525" s="8" t="s">
        <v>49</v>
      </c>
      <c r="AB1525" s="8" t="s">
        <v>71</v>
      </c>
      <c r="AC1525" s="8" t="s">
        <v>195</v>
      </c>
      <c r="AD1525" s="8" t="s">
        <v>52</v>
      </c>
      <c r="AE1525" s="8" t="s">
        <v>53</v>
      </c>
      <c r="AF1525" s="8" t="s">
        <v>52</v>
      </c>
      <c r="AG1525" s="8" t="s">
        <v>54</v>
      </c>
      <c r="AH1525" s="8" t="s">
        <v>55</v>
      </c>
      <c r="AI1525" s="8"/>
      <c r="AJ1525" s="8"/>
      <c r="AK1525" s="8">
        <v>5</v>
      </c>
      <c r="AL1525" s="8">
        <v>5</v>
      </c>
      <c r="AM1525" s="8"/>
      <c r="AN1525" s="8">
        <v>366</v>
      </c>
      <c r="AO1525" s="8" t="s">
        <v>56</v>
      </c>
      <c r="AP1525" s="8" t="s">
        <v>56</v>
      </c>
      <c r="AQ1525" s="8" t="s">
        <v>57</v>
      </c>
      <c r="AR1525" s="8">
        <v>8.09</v>
      </c>
      <c r="AS1525" s="8" t="s">
        <v>56</v>
      </c>
      <c r="AT1525" s="8" t="s">
        <v>56</v>
      </c>
      <c r="AU1525" s="8">
        <v>769</v>
      </c>
      <c r="AV1525" t="s">
        <v>56</v>
      </c>
      <c r="AW1525" t="s">
        <v>56</v>
      </c>
      <c r="AX1525">
        <v>7.82</v>
      </c>
      <c r="AY1525" t="s">
        <v>56</v>
      </c>
      <c r="AZ1525" t="s">
        <v>56</v>
      </c>
      <c r="BA1525" s="8"/>
      <c r="BB1525" s="8">
        <f>LOG(AU1525)</f>
        <v>2.885926339801431</v>
      </c>
      <c r="BC1525" s="8">
        <v>15</v>
      </c>
      <c r="BD1525" s="8" t="s">
        <v>56</v>
      </c>
      <c r="BE1525" s="8" t="s">
        <v>56</v>
      </c>
      <c r="BF1525" s="8">
        <v>15</v>
      </c>
      <c r="BG1525" s="8" t="s">
        <v>56</v>
      </c>
      <c r="BH1525" s="8" t="s">
        <v>56</v>
      </c>
      <c r="BI1525" s="8">
        <v>403</v>
      </c>
      <c r="BJ1525" s="8">
        <v>0</v>
      </c>
      <c r="BK1525" s="8" t="s">
        <v>518</v>
      </c>
      <c r="BL1525" s="8" t="s">
        <v>196</v>
      </c>
      <c r="BM1525" s="8" t="s">
        <v>197</v>
      </c>
      <c r="BN1525" s="8" t="s">
        <v>81</v>
      </c>
      <c r="BO1525" s="8" t="s">
        <v>82</v>
      </c>
      <c r="BP1525" s="8" t="s">
        <v>83</v>
      </c>
      <c r="BQ1525" s="8" t="s">
        <v>83</v>
      </c>
      <c r="BR1525" s="8" t="s">
        <v>84</v>
      </c>
      <c r="BS1525" s="8"/>
      <c r="BT1525" s="8">
        <v>70.34</v>
      </c>
      <c r="BU1525" s="8">
        <v>70.344828000000007</v>
      </c>
      <c r="BV1525" s="8">
        <v>3.1</v>
      </c>
      <c r="BW1525" s="8">
        <f>BV1525*SQRT(AK1525)</f>
        <v>6.9318107302493486</v>
      </c>
      <c r="BX1525" s="8">
        <v>53.45</v>
      </c>
      <c r="BY1525" s="8">
        <v>53.448275899999999</v>
      </c>
      <c r="BZ1525" s="8">
        <v>5.17</v>
      </c>
      <c r="CA1525" s="8">
        <f>BZ1525*SQRT(AL1525)</f>
        <v>11.560471443673913</v>
      </c>
      <c r="CB1525" s="8">
        <v>3</v>
      </c>
      <c r="CC1525" s="8">
        <v>5</v>
      </c>
      <c r="CD1525" s="8">
        <v>-0.27500000000000002</v>
      </c>
      <c r="CE1525" s="8">
        <v>1.1299999999999999E-2</v>
      </c>
      <c r="CF1525" s="8" t="s">
        <v>1134</v>
      </c>
    </row>
    <row r="1526" spans="1:84" s="8" customFormat="1" hidden="1" x14ac:dyDescent="0.2">
      <c r="B1526" t="str">
        <f>ROW()-1&amp;"_AltersInvert"</f>
        <v>1525_AltersInvert</v>
      </c>
      <c r="C1526" t="str">
        <f>D1526&amp;"_"&amp;
SUBSTITUTE(TRIM(V1526)," ","_")&amp;"_"&amp;
TRIM(AC1526)&amp;"_"&amp;
"CO2"&amp;TEXT(AN1526,"0.00")&amp;"_"&amp;
"pH"&amp;TEXT(AR1526,"0.00")&amp;"_"&amp;
"T"&amp;TEXT(BC1526,"0.##")</f>
        <v>49_Limecola_balthica_EMBRYO_CO2848.00_pH7.80_T15.</v>
      </c>
      <c r="D1526" s="8">
        <v>49</v>
      </c>
      <c r="G1526" s="8" t="s">
        <v>43</v>
      </c>
      <c r="H1526" s="8" t="s">
        <v>512</v>
      </c>
      <c r="I1526" s="8" t="s">
        <v>1130</v>
      </c>
      <c r="J1526" s="8">
        <v>2018</v>
      </c>
      <c r="M1526" s="8" t="s">
        <v>513</v>
      </c>
      <c r="P1526" t="s">
        <v>1135</v>
      </c>
      <c r="R1526" s="8" t="s">
        <v>1127</v>
      </c>
      <c r="S1526" t="s">
        <v>1128</v>
      </c>
      <c r="T1526" s="8" t="s">
        <v>68</v>
      </c>
      <c r="U1526" s="8" t="s">
        <v>514</v>
      </c>
      <c r="V1526" s="8" t="s">
        <v>515</v>
      </c>
      <c r="W1526" s="8" t="str">
        <f>IF(ISNUMBER(MATCH(#REF!,{"Doryteuthis pealeii","Loligo vulgaris","Leptuca thayeri","Stylocheilus striatus","Ophryotrocha labronica"},0)),"N","Y")</f>
        <v>Y</v>
      </c>
      <c r="Z1526" s="8" t="s">
        <v>49</v>
      </c>
      <c r="AA1526" s="8" t="s">
        <v>49</v>
      </c>
      <c r="AB1526" s="8" t="s">
        <v>71</v>
      </c>
      <c r="AC1526" s="8" t="s">
        <v>195</v>
      </c>
      <c r="AD1526" s="8" t="s">
        <v>52</v>
      </c>
      <c r="AE1526" s="8" t="s">
        <v>53</v>
      </c>
      <c r="AF1526" s="8" t="s">
        <v>52</v>
      </c>
      <c r="AG1526" s="8" t="s">
        <v>54</v>
      </c>
      <c r="AH1526" s="8" t="s">
        <v>55</v>
      </c>
      <c r="AK1526" s="8">
        <v>5</v>
      </c>
      <c r="AL1526" s="8">
        <v>5</v>
      </c>
      <c r="AN1526" s="8">
        <v>848</v>
      </c>
      <c r="AO1526" s="8" t="s">
        <v>56</v>
      </c>
      <c r="AP1526" s="8" t="s">
        <v>56</v>
      </c>
      <c r="AQ1526" s="8" t="s">
        <v>57</v>
      </c>
      <c r="AR1526" s="8">
        <v>7.8</v>
      </c>
      <c r="AS1526" s="8" t="s">
        <v>56</v>
      </c>
      <c r="AT1526" s="8" t="s">
        <v>56</v>
      </c>
      <c r="AU1526" s="8">
        <v>2103</v>
      </c>
      <c r="AV1526" t="s">
        <v>56</v>
      </c>
      <c r="AW1526" t="s">
        <v>56</v>
      </c>
      <c r="AX1526">
        <v>7.45</v>
      </c>
      <c r="AY1526" t="s">
        <v>56</v>
      </c>
      <c r="AZ1526" t="s">
        <v>56</v>
      </c>
      <c r="BB1526" s="8">
        <f>LOG(AU1526)</f>
        <v>3.3228392726863212</v>
      </c>
      <c r="BC1526" s="8">
        <v>15</v>
      </c>
      <c r="BD1526" s="8" t="s">
        <v>56</v>
      </c>
      <c r="BE1526" s="8" t="s">
        <v>56</v>
      </c>
      <c r="BF1526" s="8">
        <v>15</v>
      </c>
      <c r="BG1526" s="8" t="s">
        <v>56</v>
      </c>
      <c r="BH1526" s="8" t="s">
        <v>56</v>
      </c>
      <c r="BI1526" s="8">
        <v>1255</v>
      </c>
      <c r="BJ1526" s="8">
        <v>0</v>
      </c>
      <c r="BK1526" s="8" t="s">
        <v>517</v>
      </c>
      <c r="BL1526" s="8" t="s">
        <v>196</v>
      </c>
      <c r="BM1526" s="8" t="s">
        <v>197</v>
      </c>
      <c r="BN1526" s="8" t="s">
        <v>81</v>
      </c>
      <c r="BO1526" s="8" t="s">
        <v>82</v>
      </c>
      <c r="BP1526" s="8" t="s">
        <v>83</v>
      </c>
      <c r="BQ1526" s="8" t="s">
        <v>9</v>
      </c>
      <c r="BR1526" s="8" t="s">
        <v>84</v>
      </c>
      <c r="BT1526" s="8">
        <v>22.07</v>
      </c>
      <c r="BU1526" s="8">
        <v>22.068966</v>
      </c>
      <c r="BV1526" s="8">
        <v>3.1</v>
      </c>
      <c r="BW1526" s="8">
        <f>BV1526*SQRT(AK1526)</f>
        <v>6.9318107302493486</v>
      </c>
      <c r="BX1526" s="8">
        <v>17.760000000000002</v>
      </c>
      <c r="BY1526" s="8">
        <v>17.758620700000002</v>
      </c>
      <c r="BZ1526" s="8">
        <v>2.59</v>
      </c>
      <c r="CA1526" s="8">
        <f>BZ1526*SQRT(AL1526)</f>
        <v>5.7914160617244557</v>
      </c>
      <c r="CB1526" s="8">
        <v>3</v>
      </c>
      <c r="CC1526" s="8">
        <v>5</v>
      </c>
      <c r="CD1526" s="8">
        <v>-0.217</v>
      </c>
      <c r="CE1526" s="8">
        <v>4.1000000000000002E-2</v>
      </c>
      <c r="CF1526" s="8" t="s">
        <v>1134</v>
      </c>
    </row>
    <row r="1527" spans="1:84" s="8" customFormat="1" hidden="1" x14ac:dyDescent="0.2">
      <c r="B1527" t="str">
        <f>ROW()-1&amp;"_AltersInvert"</f>
        <v>1526_AltersInvert</v>
      </c>
      <c r="C1527" t="str">
        <f>D1527&amp;"_"&amp;
SUBSTITUTE(TRIM(V1527)," ","_")&amp;"_"&amp;
TRIM(AC1527)&amp;"_"&amp;
"CO2"&amp;TEXT(AN1527,"0.00")&amp;"_"&amp;
"pH"&amp;TEXT(AR1527,"0.00")&amp;"_"&amp;
"T"&amp;TEXT(BC1527,"0.##")</f>
        <v>49_Limecola_balthica_EMBRYO_CO2366.00_pH8.09_T15.</v>
      </c>
      <c r="D1527" s="8">
        <v>49</v>
      </c>
      <c r="G1527" s="8" t="s">
        <v>43</v>
      </c>
      <c r="H1527" s="8" t="s">
        <v>512</v>
      </c>
      <c r="I1527" s="8" t="s">
        <v>1130</v>
      </c>
      <c r="J1527" s="8">
        <v>2018</v>
      </c>
      <c r="M1527" s="8" t="s">
        <v>513</v>
      </c>
      <c r="P1527" t="s">
        <v>1135</v>
      </c>
      <c r="R1527" s="8" t="s">
        <v>1127</v>
      </c>
      <c r="S1527" t="s">
        <v>1128</v>
      </c>
      <c r="T1527" s="8" t="s">
        <v>68</v>
      </c>
      <c r="U1527" s="8" t="s">
        <v>514</v>
      </c>
      <c r="V1527" s="8" t="s">
        <v>515</v>
      </c>
      <c r="W1527" s="8" t="str">
        <f>IF(ISNUMBER(MATCH(#REF!,{"Doryteuthis pealeii","Loligo vulgaris","Leptuca thayeri","Stylocheilus striatus","Ophryotrocha labronica"},0)),"N","Y")</f>
        <v>Y</v>
      </c>
      <c r="Z1527" s="8" t="s">
        <v>49</v>
      </c>
      <c r="AA1527" s="8" t="s">
        <v>49</v>
      </c>
      <c r="AB1527" s="8" t="s">
        <v>71</v>
      </c>
      <c r="AC1527" s="8" t="s">
        <v>195</v>
      </c>
      <c r="AD1527" s="8" t="s">
        <v>52</v>
      </c>
      <c r="AE1527" s="8" t="s">
        <v>53</v>
      </c>
      <c r="AF1527" s="8" t="s">
        <v>52</v>
      </c>
      <c r="AG1527" s="8" t="s">
        <v>54</v>
      </c>
      <c r="AH1527" s="8" t="s">
        <v>55</v>
      </c>
      <c r="AK1527" s="8">
        <v>5</v>
      </c>
      <c r="AL1527" s="8">
        <v>5</v>
      </c>
      <c r="AN1527" s="8">
        <v>366</v>
      </c>
      <c r="AO1527" s="8" t="s">
        <v>56</v>
      </c>
      <c r="AP1527" s="8" t="s">
        <v>56</v>
      </c>
      <c r="AQ1527" s="8" t="s">
        <v>57</v>
      </c>
      <c r="AR1527" s="8">
        <v>8.09</v>
      </c>
      <c r="AS1527" s="8" t="s">
        <v>56</v>
      </c>
      <c r="AT1527" s="8" t="s">
        <v>56</v>
      </c>
      <c r="AU1527" s="8">
        <v>577</v>
      </c>
      <c r="AV1527" t="s">
        <v>56</v>
      </c>
      <c r="AW1527" t="s">
        <v>56</v>
      </c>
      <c r="AX1527">
        <v>7.92</v>
      </c>
      <c r="AY1527" t="s">
        <v>56</v>
      </c>
      <c r="AZ1527" t="s">
        <v>56</v>
      </c>
      <c r="BB1527" s="8">
        <f>LOG(AU1527)</f>
        <v>2.7611758131557314</v>
      </c>
      <c r="BC1527" s="8">
        <v>15</v>
      </c>
      <c r="BD1527" s="8" t="s">
        <v>56</v>
      </c>
      <c r="BE1527" s="8" t="s">
        <v>56</v>
      </c>
      <c r="BF1527" s="8">
        <v>15</v>
      </c>
      <c r="BG1527" s="8" t="s">
        <v>56</v>
      </c>
      <c r="BH1527" s="8" t="s">
        <v>56</v>
      </c>
      <c r="BI1527" s="8">
        <v>211</v>
      </c>
      <c r="BJ1527" s="8">
        <v>0</v>
      </c>
      <c r="BK1527" s="8" t="s">
        <v>518</v>
      </c>
      <c r="BL1527" s="8" t="s">
        <v>196</v>
      </c>
      <c r="BM1527" s="8" t="s">
        <v>197</v>
      </c>
      <c r="BN1527" s="8" t="s">
        <v>81</v>
      </c>
      <c r="BO1527" s="8" t="s">
        <v>82</v>
      </c>
      <c r="BP1527" s="8" t="s">
        <v>83</v>
      </c>
      <c r="BQ1527" s="8" t="s">
        <v>190</v>
      </c>
      <c r="BR1527" s="8" t="s">
        <v>84</v>
      </c>
      <c r="BT1527" s="8">
        <v>70.34</v>
      </c>
      <c r="BU1527" s="8">
        <v>70.344828000000007</v>
      </c>
      <c r="BV1527" s="8">
        <v>3.1</v>
      </c>
      <c r="BW1527" s="8">
        <f>BV1527*SQRT(AK1527)</f>
        <v>6.9318107302493486</v>
      </c>
      <c r="BX1527" s="8">
        <v>57.93</v>
      </c>
      <c r="BY1527" s="8">
        <v>57.931034500000003</v>
      </c>
      <c r="BZ1527" s="8">
        <v>2.2400000000000002</v>
      </c>
      <c r="CA1527" s="8">
        <f>BZ1527*SQRT(AL1527)</f>
        <v>5.0087922695995299</v>
      </c>
      <c r="CB1527" s="8">
        <v>3</v>
      </c>
      <c r="CC1527" s="8">
        <v>5</v>
      </c>
      <c r="CD1527" s="8">
        <v>-0.19400000000000001</v>
      </c>
      <c r="CE1527" s="8">
        <v>3.3999999999999998E-3</v>
      </c>
      <c r="CF1527" s="8" t="s">
        <v>1134</v>
      </c>
    </row>
    <row r="1528" spans="1:84" s="8" customFormat="1" hidden="1" x14ac:dyDescent="0.2">
      <c r="B1528" t="str">
        <f>ROW()-1&amp;"_AltersInvert"</f>
        <v>1527_AltersInvert</v>
      </c>
      <c r="C1528" t="str">
        <f>D1528&amp;"_"&amp;
SUBSTITUTE(TRIM(V1528)," ","_")&amp;"_"&amp;
TRIM(AC1528)&amp;"_"&amp;
"CO2"&amp;TEXT(AN1528,"0.00")&amp;"_"&amp;
"pH"&amp;TEXT(AR1528,"0.00")&amp;"_"&amp;
"T"&amp;TEXT(BC1528,"0.##")</f>
        <v>49_Limecola_balthica_EMBRYO_CO2366.00_pH8.09_T15.</v>
      </c>
      <c r="D1528" s="8">
        <v>49</v>
      </c>
      <c r="G1528" s="8" t="s">
        <v>43</v>
      </c>
      <c r="H1528" s="8" t="s">
        <v>512</v>
      </c>
      <c r="I1528" s="8" t="s">
        <v>1130</v>
      </c>
      <c r="J1528" s="8">
        <v>2018</v>
      </c>
      <c r="M1528" s="8" t="s">
        <v>513</v>
      </c>
      <c r="P1528" t="s">
        <v>1135</v>
      </c>
      <c r="R1528" s="8" t="s">
        <v>1127</v>
      </c>
      <c r="S1528" t="s">
        <v>1128</v>
      </c>
      <c r="T1528" s="8" t="s">
        <v>68</v>
      </c>
      <c r="U1528" s="8" t="s">
        <v>514</v>
      </c>
      <c r="V1528" s="8" t="s">
        <v>515</v>
      </c>
      <c r="W1528" s="8" t="str">
        <f>IF(ISNUMBER(MATCH(V922,{"Doryteuthis pealeii","Loligo vulgaris","Leptuca thayeri","Stylocheilus striatus","Ophryotrocha labronica"},0)),"N","Y")</f>
        <v>Y</v>
      </c>
      <c r="Z1528" s="8" t="s">
        <v>49</v>
      </c>
      <c r="AA1528" s="8" t="s">
        <v>49</v>
      </c>
      <c r="AB1528" s="8" t="s">
        <v>71</v>
      </c>
      <c r="AC1528" s="8" t="s">
        <v>195</v>
      </c>
      <c r="AD1528" s="8" t="s">
        <v>52</v>
      </c>
      <c r="AE1528" s="8" t="s">
        <v>53</v>
      </c>
      <c r="AF1528" s="8" t="s">
        <v>54</v>
      </c>
      <c r="AG1528" s="8" t="s">
        <v>52</v>
      </c>
      <c r="AH1528" s="8" t="s">
        <v>65</v>
      </c>
      <c r="AK1528" s="8">
        <v>5</v>
      </c>
      <c r="AL1528" s="8">
        <v>5</v>
      </c>
      <c r="AN1528" s="8">
        <v>366</v>
      </c>
      <c r="AO1528" s="8" t="s">
        <v>56</v>
      </c>
      <c r="AP1528" s="8" t="s">
        <v>56</v>
      </c>
      <c r="AQ1528" s="8" t="s">
        <v>57</v>
      </c>
      <c r="AR1528" s="8">
        <v>8.09</v>
      </c>
      <c r="AS1528" s="8" t="s">
        <v>56</v>
      </c>
      <c r="AT1528" s="8" t="s">
        <v>56</v>
      </c>
      <c r="AU1528" s="8">
        <v>440</v>
      </c>
      <c r="AV1528" t="s">
        <v>56</v>
      </c>
      <c r="AW1528" t="s">
        <v>56</v>
      </c>
      <c r="AX1528">
        <v>8.07</v>
      </c>
      <c r="AY1528" t="s">
        <v>56</v>
      </c>
      <c r="AZ1528" t="s">
        <v>56</v>
      </c>
      <c r="BB1528" s="8">
        <f>LOG(AU1528)</f>
        <v>2.6434526764861874</v>
      </c>
      <c r="BC1528" s="8">
        <v>15</v>
      </c>
      <c r="BD1528" s="8" t="s">
        <v>56</v>
      </c>
      <c r="BE1528" s="8" t="s">
        <v>56</v>
      </c>
      <c r="BF1528" s="8">
        <v>18</v>
      </c>
      <c r="BG1528" s="8" t="s">
        <v>56</v>
      </c>
      <c r="BH1528" s="8" t="s">
        <v>56</v>
      </c>
      <c r="BI1528" s="8">
        <v>75</v>
      </c>
      <c r="BJ1528" s="8">
        <v>3</v>
      </c>
      <c r="BK1528" s="8" t="s">
        <v>518</v>
      </c>
      <c r="BL1528" s="8" t="s">
        <v>196</v>
      </c>
      <c r="BM1528" s="8" t="s">
        <v>197</v>
      </c>
      <c r="BN1528" s="8" t="s">
        <v>81</v>
      </c>
      <c r="BO1528" s="8" t="s">
        <v>82</v>
      </c>
      <c r="BP1528" s="8" t="s">
        <v>83</v>
      </c>
      <c r="BQ1528" s="8" t="s">
        <v>9</v>
      </c>
      <c r="BR1528" s="8" t="s">
        <v>84</v>
      </c>
      <c r="BT1528" s="8">
        <v>70.34</v>
      </c>
      <c r="BU1528" s="8">
        <v>70.344828000000007</v>
      </c>
      <c r="BV1528" s="8">
        <v>3.1</v>
      </c>
      <c r="BW1528" s="8">
        <f>BV1528*SQRT(AK1528)</f>
        <v>6.9318107302493486</v>
      </c>
      <c r="BX1528" s="8">
        <v>61.38</v>
      </c>
      <c r="BY1528" s="8">
        <v>61.3793103</v>
      </c>
      <c r="BZ1528" s="8">
        <v>1.38</v>
      </c>
      <c r="CA1528" s="8">
        <f>BZ1528*SQRT(AL1528)</f>
        <v>3.0857738089497095</v>
      </c>
      <c r="CB1528" s="8">
        <v>3</v>
      </c>
      <c r="CC1528" s="8">
        <v>5</v>
      </c>
      <c r="CD1528" s="8">
        <v>-0.13600000000000001</v>
      </c>
      <c r="CE1528" s="8">
        <v>2.5000000000000001E-3</v>
      </c>
      <c r="CF1528" s="8" t="s">
        <v>1134</v>
      </c>
    </row>
    <row r="1529" spans="1:84" s="8" customFormat="1" hidden="1" x14ac:dyDescent="0.2">
      <c r="B1529" t="str">
        <f>ROW()-1&amp;"_AltersInvert"</f>
        <v>1528_AltersInvert</v>
      </c>
      <c r="C1529" t="str">
        <f>D1529&amp;"_"&amp;
SUBSTITUTE(TRIM(V1529)," ","_")&amp;"_"&amp;
TRIM(AC1529)&amp;"_"&amp;
"CO2"&amp;TEXT(AN1529,"0.00")&amp;"_"&amp;
"pH"&amp;TEXT(AR1529,"0.00")&amp;"_"&amp;
"T"&amp;TEXT(BC1529,"0.##")</f>
        <v>49_Limecola_balthica_EMBRYO_CO2848.00_pH7.80_T15.</v>
      </c>
      <c r="D1529" s="8">
        <v>49</v>
      </c>
      <c r="G1529" s="8" t="s">
        <v>43</v>
      </c>
      <c r="H1529" s="8" t="s">
        <v>512</v>
      </c>
      <c r="I1529" s="8" t="s">
        <v>1130</v>
      </c>
      <c r="J1529" s="8">
        <v>2018</v>
      </c>
      <c r="M1529" s="8" t="s">
        <v>513</v>
      </c>
      <c r="P1529" t="s">
        <v>1135</v>
      </c>
      <c r="R1529" s="8" t="s">
        <v>1127</v>
      </c>
      <c r="S1529" t="s">
        <v>1128</v>
      </c>
      <c r="T1529" s="8" t="s">
        <v>68</v>
      </c>
      <c r="U1529" s="8" t="s">
        <v>514</v>
      </c>
      <c r="V1529" s="8" t="s">
        <v>515</v>
      </c>
      <c r="W1529" s="8" t="str">
        <f>IF(ISNUMBER(MATCH(V923,{"Doryteuthis pealeii","Loligo vulgaris","Leptuca thayeri","Stylocheilus striatus","Ophryotrocha labronica"},0)),"N","Y")</f>
        <v>Y</v>
      </c>
      <c r="Z1529" s="8" t="s">
        <v>49</v>
      </c>
      <c r="AA1529" s="8" t="s">
        <v>49</v>
      </c>
      <c r="AB1529" s="8" t="s">
        <v>71</v>
      </c>
      <c r="AC1529" s="8" t="s">
        <v>195</v>
      </c>
      <c r="AD1529" s="8" t="s">
        <v>52</v>
      </c>
      <c r="AE1529" s="8" t="s">
        <v>53</v>
      </c>
      <c r="AF1529" s="8" t="s">
        <v>54</v>
      </c>
      <c r="AG1529" s="8" t="s">
        <v>52</v>
      </c>
      <c r="AH1529" s="8" t="s">
        <v>65</v>
      </c>
      <c r="AK1529" s="8">
        <v>5</v>
      </c>
      <c r="AL1529" s="8">
        <v>5</v>
      </c>
      <c r="AN1529" s="8">
        <v>848</v>
      </c>
      <c r="AO1529" s="8" t="s">
        <v>56</v>
      </c>
      <c r="AP1529" s="8" t="s">
        <v>56</v>
      </c>
      <c r="AQ1529" s="8" t="s">
        <v>57</v>
      </c>
      <c r="AR1529" s="8">
        <v>7.8</v>
      </c>
      <c r="AS1529" s="8" t="s">
        <v>56</v>
      </c>
      <c r="AT1529" s="8" t="s">
        <v>56</v>
      </c>
      <c r="AU1529" s="8">
        <v>997</v>
      </c>
      <c r="AV1529" t="s">
        <v>56</v>
      </c>
      <c r="AW1529" t="s">
        <v>56</v>
      </c>
      <c r="AX1529">
        <v>7.79</v>
      </c>
      <c r="AY1529" t="s">
        <v>56</v>
      </c>
      <c r="AZ1529" t="s">
        <v>56</v>
      </c>
      <c r="BB1529" s="8">
        <f>LOG(AU1529)</f>
        <v>2.9986951583116559</v>
      </c>
      <c r="BC1529" s="8">
        <v>15</v>
      </c>
      <c r="BD1529" s="8" t="s">
        <v>56</v>
      </c>
      <c r="BE1529" s="8" t="s">
        <v>56</v>
      </c>
      <c r="BF1529" s="8">
        <v>18</v>
      </c>
      <c r="BG1529" s="8" t="s">
        <v>56</v>
      </c>
      <c r="BH1529" s="8" t="s">
        <v>56</v>
      </c>
      <c r="BI1529" s="8">
        <v>149</v>
      </c>
      <c r="BJ1529" s="8">
        <v>3</v>
      </c>
      <c r="BK1529" s="8" t="s">
        <v>517</v>
      </c>
      <c r="BL1529" s="8" t="s">
        <v>196</v>
      </c>
      <c r="BM1529" s="8" t="s">
        <v>197</v>
      </c>
      <c r="BN1529" s="8" t="s">
        <v>81</v>
      </c>
      <c r="BO1529" s="8" t="s">
        <v>82</v>
      </c>
      <c r="BP1529" s="8" t="s">
        <v>83</v>
      </c>
      <c r="BQ1529" s="8" t="s">
        <v>9</v>
      </c>
      <c r="BR1529" s="8" t="s">
        <v>84</v>
      </c>
      <c r="BT1529" s="8">
        <v>22.07</v>
      </c>
      <c r="BU1529" s="8">
        <v>22.068966</v>
      </c>
      <c r="BV1529" s="8">
        <v>3.1</v>
      </c>
      <c r="BW1529" s="8">
        <f>BV1529*SQRT(AK1529)</f>
        <v>6.9318107302493486</v>
      </c>
      <c r="BX1529" s="8">
        <v>22.93</v>
      </c>
      <c r="BY1529" s="8">
        <v>22.931034499999999</v>
      </c>
      <c r="BZ1529" s="8">
        <v>2.59</v>
      </c>
      <c r="CA1529" s="8">
        <f>BZ1529*SQRT(AL1529)</f>
        <v>5.7914160617244557</v>
      </c>
      <c r="CB1529" s="8">
        <v>3</v>
      </c>
      <c r="CC1529" s="8">
        <v>5</v>
      </c>
      <c r="CD1529" s="8">
        <v>3.7999999999999999E-2</v>
      </c>
      <c r="CE1529" s="8">
        <v>3.2500000000000001E-2</v>
      </c>
      <c r="CF1529" s="8" t="s">
        <v>1134</v>
      </c>
    </row>
    <row r="1530" spans="1:84" s="8" customFormat="1" hidden="1" x14ac:dyDescent="0.2">
      <c r="B1530" t="str">
        <f>ROW()-1&amp;"_AltersInvert"</f>
        <v>1529_AltersInvert</v>
      </c>
      <c r="C1530" t="str">
        <f>D1530&amp;"_"&amp;
SUBSTITUTE(TRIM(V1530)," ","_")&amp;"_"&amp;
TRIM(AC1530)&amp;"_"&amp;
"CO2"&amp;TEXT(AN1530,"0.00")&amp;"_"&amp;
"pH"&amp;TEXT(AR1530,"0.00")&amp;"_"&amp;
"T"&amp;TEXT(BC1530,"0.##")</f>
        <v>49_Limecola_balthica_EMBRYO_CO2366.00_pH8.09_T15.</v>
      </c>
      <c r="D1530" s="8">
        <v>49</v>
      </c>
      <c r="G1530" s="8" t="s">
        <v>43</v>
      </c>
      <c r="H1530" s="8" t="s">
        <v>512</v>
      </c>
      <c r="I1530" s="8" t="s">
        <v>1130</v>
      </c>
      <c r="J1530" s="8">
        <v>2018</v>
      </c>
      <c r="M1530" s="8" t="s">
        <v>513</v>
      </c>
      <c r="P1530" t="s">
        <v>1135</v>
      </c>
      <c r="R1530" s="8" t="s">
        <v>1127</v>
      </c>
      <c r="S1530" t="s">
        <v>1128</v>
      </c>
      <c r="T1530" s="8" t="s">
        <v>68</v>
      </c>
      <c r="U1530" s="8" t="s">
        <v>514</v>
      </c>
      <c r="V1530" s="8" t="s">
        <v>515</v>
      </c>
      <c r="W1530" s="8" t="str">
        <f>IF(ISNUMBER(MATCH(V924,{"Doryteuthis pealeii","Loligo vulgaris","Leptuca thayeri","Stylocheilus striatus","Ophryotrocha labronica"},0)),"N","Y")</f>
        <v>Y</v>
      </c>
      <c r="Z1530" s="8" t="s">
        <v>49</v>
      </c>
      <c r="AA1530" s="8" t="s">
        <v>49</v>
      </c>
      <c r="AB1530" s="8" t="s">
        <v>71</v>
      </c>
      <c r="AC1530" s="8" t="s">
        <v>195</v>
      </c>
      <c r="AD1530" s="8" t="s">
        <v>52</v>
      </c>
      <c r="AE1530" s="8" t="s">
        <v>53</v>
      </c>
      <c r="AF1530" s="8" t="s">
        <v>52</v>
      </c>
      <c r="AG1530" s="8" t="s">
        <v>52</v>
      </c>
      <c r="AH1530" s="8" t="s">
        <v>64</v>
      </c>
      <c r="AK1530" s="8">
        <v>5</v>
      </c>
      <c r="AL1530" s="8">
        <v>5</v>
      </c>
      <c r="AN1530" s="8">
        <v>366</v>
      </c>
      <c r="AO1530" s="8" t="s">
        <v>56</v>
      </c>
      <c r="AP1530" s="8" t="s">
        <v>56</v>
      </c>
      <c r="AQ1530" s="8" t="s">
        <v>57</v>
      </c>
      <c r="AR1530" s="8">
        <v>8.09</v>
      </c>
      <c r="AS1530" s="8" t="s">
        <v>56</v>
      </c>
      <c r="AT1530" s="8" t="s">
        <v>56</v>
      </c>
      <c r="AU1530" s="8">
        <v>932</v>
      </c>
      <c r="AV1530" t="s">
        <v>56</v>
      </c>
      <c r="AW1530" t="s">
        <v>56</v>
      </c>
      <c r="AX1530">
        <v>7.79</v>
      </c>
      <c r="AY1530" t="s">
        <v>56</v>
      </c>
      <c r="AZ1530" t="s">
        <v>56</v>
      </c>
      <c r="BB1530" s="8">
        <f>LOG(AU1530)</f>
        <v>2.9694159123539814</v>
      </c>
      <c r="BC1530" s="8">
        <v>15</v>
      </c>
      <c r="BD1530" s="8" t="s">
        <v>56</v>
      </c>
      <c r="BE1530" s="8" t="s">
        <v>56</v>
      </c>
      <c r="BF1530" s="8">
        <v>18</v>
      </c>
      <c r="BG1530" s="8" t="s">
        <v>56</v>
      </c>
      <c r="BH1530" s="8" t="s">
        <v>56</v>
      </c>
      <c r="BI1530" s="8">
        <v>566</v>
      </c>
      <c r="BJ1530" s="8">
        <v>3</v>
      </c>
      <c r="BK1530" s="8" t="s">
        <v>518</v>
      </c>
      <c r="BL1530" s="8" t="s">
        <v>196</v>
      </c>
      <c r="BM1530" s="8" t="s">
        <v>197</v>
      </c>
      <c r="BN1530" s="8" t="s">
        <v>81</v>
      </c>
      <c r="BO1530" s="8" t="s">
        <v>82</v>
      </c>
      <c r="BP1530" s="8" t="s">
        <v>83</v>
      </c>
      <c r="BQ1530" s="8" t="s">
        <v>92</v>
      </c>
      <c r="BR1530" s="8" t="s">
        <v>84</v>
      </c>
      <c r="BT1530" s="8">
        <v>70.34</v>
      </c>
      <c r="BU1530" s="8">
        <v>70.344828000000007</v>
      </c>
      <c r="BV1530" s="8">
        <v>3.1</v>
      </c>
      <c r="BW1530" s="8">
        <f>BV1530*SQRT(AK1530)</f>
        <v>6.9318107302493486</v>
      </c>
      <c r="BX1530" s="8">
        <v>45.52</v>
      </c>
      <c r="BY1530" s="8">
        <v>45.517241400000003</v>
      </c>
      <c r="BZ1530" s="8">
        <v>2.93</v>
      </c>
      <c r="CA1530" s="8">
        <f>BZ1530*SQRT(AL1530)</f>
        <v>6.5516791740743843</v>
      </c>
      <c r="CB1530" s="8">
        <v>3</v>
      </c>
      <c r="CC1530" s="8">
        <v>5</v>
      </c>
      <c r="CD1530" s="8">
        <v>-0.435</v>
      </c>
      <c r="CE1530" s="8">
        <v>6.1000000000000004E-3</v>
      </c>
      <c r="CF1530" s="8" t="s">
        <v>1134</v>
      </c>
    </row>
    <row r="1531" spans="1:84" hidden="1" x14ac:dyDescent="0.2">
      <c r="A1531" s="8"/>
      <c r="B1531" t="str">
        <f>ROW()-1&amp;"_AltersInvert"</f>
        <v>1530_AltersInvert</v>
      </c>
      <c r="C1531" t="str">
        <f>D1531&amp;"_"&amp;
SUBSTITUTE(TRIM(V1531)," ","_")&amp;"_"&amp;
TRIM(AC1531)&amp;"_"&amp;
"CO2"&amp;TEXT(AN1531,"0.00")&amp;"_"&amp;
"pH"&amp;TEXT(AR1531,"0.00")&amp;"_"&amp;
"T"&amp;TEXT(BC1531,"0.##")</f>
        <v>49_Limecola_balthica_EMBRYO_CO2366.00_pH8.09_T15.</v>
      </c>
      <c r="D1531" s="8">
        <v>49</v>
      </c>
      <c r="E1531" s="8"/>
      <c r="F1531" s="8"/>
      <c r="G1531" s="8" t="s">
        <v>43</v>
      </c>
      <c r="H1531" s="8" t="s">
        <v>512</v>
      </c>
      <c r="I1531" s="8" t="s">
        <v>1130</v>
      </c>
      <c r="J1531" s="8">
        <v>2018</v>
      </c>
      <c r="K1531" s="8"/>
      <c r="L1531" s="8"/>
      <c r="M1531" s="8" t="s">
        <v>513</v>
      </c>
      <c r="N1531" s="8"/>
      <c r="O1531" s="8"/>
      <c r="P1531" t="s">
        <v>1135</v>
      </c>
      <c r="Q1531" s="8"/>
      <c r="R1531" s="8" t="s">
        <v>1127</v>
      </c>
      <c r="S1531" t="s">
        <v>1128</v>
      </c>
      <c r="T1531" s="8" t="s">
        <v>68</v>
      </c>
      <c r="U1531" s="8" t="s">
        <v>514</v>
      </c>
      <c r="V1531" s="8" t="s">
        <v>515</v>
      </c>
      <c r="W1531" s="8" t="str">
        <f>IF(ISNUMBER(MATCH(V925,{"Doryteuthis pealeii","Loligo vulgaris","Leptuca thayeri","Stylocheilus striatus","Ophryotrocha labronica"},0)),"N","Y")</f>
        <v>Y</v>
      </c>
      <c r="X1531" s="8"/>
      <c r="Y1531" s="8"/>
      <c r="Z1531" s="8" t="s">
        <v>49</v>
      </c>
      <c r="AA1531" s="8" t="s">
        <v>49</v>
      </c>
      <c r="AB1531" s="8" t="s">
        <v>71</v>
      </c>
      <c r="AC1531" s="8" t="s">
        <v>195</v>
      </c>
      <c r="AD1531" s="8" t="s">
        <v>52</v>
      </c>
      <c r="AE1531" s="8" t="s">
        <v>53</v>
      </c>
      <c r="AF1531" s="8" t="s">
        <v>52</v>
      </c>
      <c r="AG1531" s="8" t="s">
        <v>52</v>
      </c>
      <c r="AH1531" s="8" t="s">
        <v>64</v>
      </c>
      <c r="AI1531" s="8"/>
      <c r="AJ1531" s="8"/>
      <c r="AK1531" s="8">
        <v>5</v>
      </c>
      <c r="AL1531" s="8">
        <v>5</v>
      </c>
      <c r="AM1531" s="8"/>
      <c r="AN1531" s="8">
        <v>366</v>
      </c>
      <c r="AO1531" s="8" t="s">
        <v>56</v>
      </c>
      <c r="AP1531" s="8" t="s">
        <v>56</v>
      </c>
      <c r="AQ1531" s="8" t="s">
        <v>57</v>
      </c>
      <c r="AR1531" s="8">
        <v>8.09</v>
      </c>
      <c r="AS1531" s="8" t="s">
        <v>56</v>
      </c>
      <c r="AT1531" s="8" t="s">
        <v>56</v>
      </c>
      <c r="AU1531" s="8">
        <v>1523</v>
      </c>
      <c r="AV1531" t="s">
        <v>56</v>
      </c>
      <c r="AW1531" t="s">
        <v>56</v>
      </c>
      <c r="AX1531">
        <v>7.6</v>
      </c>
      <c r="AY1531" t="s">
        <v>56</v>
      </c>
      <c r="AZ1531" t="s">
        <v>56</v>
      </c>
      <c r="BA1531" s="8"/>
      <c r="BB1531" s="8">
        <f>LOG(AU1531)</f>
        <v>3.1826999033360424</v>
      </c>
      <c r="BC1531" s="8">
        <v>15</v>
      </c>
      <c r="BD1531" s="8" t="s">
        <v>56</v>
      </c>
      <c r="BE1531" s="8" t="s">
        <v>56</v>
      </c>
      <c r="BF1531" s="8">
        <v>18</v>
      </c>
      <c r="BG1531" s="8" t="s">
        <v>56</v>
      </c>
      <c r="BH1531" s="8" t="s">
        <v>56</v>
      </c>
      <c r="BI1531" s="8">
        <v>1157</v>
      </c>
      <c r="BJ1531" s="8">
        <v>3</v>
      </c>
      <c r="BK1531" s="8" t="s">
        <v>518</v>
      </c>
      <c r="BL1531" s="8" t="s">
        <v>196</v>
      </c>
      <c r="BM1531" s="8" t="s">
        <v>197</v>
      </c>
      <c r="BN1531" s="8" t="s">
        <v>81</v>
      </c>
      <c r="BO1531" s="8" t="s">
        <v>82</v>
      </c>
      <c r="BP1531" s="8" t="s">
        <v>83</v>
      </c>
      <c r="BQ1531" s="8" t="s">
        <v>92</v>
      </c>
      <c r="BR1531" s="8" t="s">
        <v>84</v>
      </c>
      <c r="BS1531" s="8"/>
      <c r="BT1531" s="8">
        <v>70.34</v>
      </c>
      <c r="BU1531" s="8">
        <v>70.344828000000007</v>
      </c>
      <c r="BV1531" s="8">
        <v>3.1</v>
      </c>
      <c r="BW1531" s="8">
        <f>BV1531*SQRT(AK1531)</f>
        <v>6.9318107302493486</v>
      </c>
      <c r="BX1531" s="8">
        <v>46.38</v>
      </c>
      <c r="BY1531" s="8">
        <v>46.3793103</v>
      </c>
      <c r="BZ1531" s="8">
        <v>2.41</v>
      </c>
      <c r="CA1531" s="8">
        <f>BZ1531*SQRT(AL1531)</f>
        <v>5.3889238257744934</v>
      </c>
      <c r="CB1531" s="8">
        <v>3</v>
      </c>
      <c r="CC1531" s="8">
        <v>5</v>
      </c>
      <c r="CD1531" s="8">
        <v>-0.41699999999999998</v>
      </c>
      <c r="CE1531" s="8">
        <v>4.7000000000000002E-3</v>
      </c>
      <c r="CF1531" s="8" t="s">
        <v>1134</v>
      </c>
    </row>
    <row r="1532" spans="1:84" hidden="1" x14ac:dyDescent="0.2">
      <c r="A1532" s="8"/>
      <c r="B1532" t="str">
        <f>ROW()-1&amp;"_AltersInvert"</f>
        <v>1531_AltersInvert</v>
      </c>
      <c r="C1532" t="str">
        <f>D1532&amp;"_"&amp;
SUBSTITUTE(TRIM(V1532)," ","_")&amp;"_"&amp;
TRIM(AC1532)&amp;"_"&amp;
"CO2"&amp;TEXT(AN1532,"0.00")&amp;"_"&amp;
"pH"&amp;TEXT(AR1532,"0.00")&amp;"_"&amp;
"T"&amp;TEXT(BC1532,"0.##")</f>
        <v>49_Limecola_balthica_EMBRYO_CO2366.00_pH8.09_T15.</v>
      </c>
      <c r="D1532" s="8">
        <v>49</v>
      </c>
      <c r="E1532" s="8"/>
      <c r="F1532" s="8"/>
      <c r="G1532" s="8" t="s">
        <v>43</v>
      </c>
      <c r="H1532" s="8" t="s">
        <v>512</v>
      </c>
      <c r="I1532" s="8" t="s">
        <v>1130</v>
      </c>
      <c r="J1532" s="8">
        <v>2018</v>
      </c>
      <c r="K1532" s="8"/>
      <c r="L1532" s="8"/>
      <c r="M1532" s="8" t="s">
        <v>513</v>
      </c>
      <c r="N1532" s="8"/>
      <c r="O1532" s="8"/>
      <c r="P1532" t="s">
        <v>1135</v>
      </c>
      <c r="Q1532" s="8"/>
      <c r="R1532" s="8" t="s">
        <v>1127</v>
      </c>
      <c r="S1532" t="s">
        <v>1128</v>
      </c>
      <c r="T1532" s="8" t="s">
        <v>68</v>
      </c>
      <c r="U1532" s="8" t="s">
        <v>514</v>
      </c>
      <c r="V1532" s="8" t="s">
        <v>515</v>
      </c>
      <c r="W1532" s="8" t="str">
        <f>IF(ISNUMBER(MATCH(V926,{"Doryteuthis pealeii","Loligo vulgaris","Leptuca thayeri","Stylocheilus striatus","Ophryotrocha labronica"},0)),"N","Y")</f>
        <v>Y</v>
      </c>
      <c r="X1532" s="8"/>
      <c r="Y1532" s="8"/>
      <c r="Z1532" s="8" t="s">
        <v>49</v>
      </c>
      <c r="AA1532" s="8" t="s">
        <v>49</v>
      </c>
      <c r="AB1532" s="8" t="s">
        <v>71</v>
      </c>
      <c r="AC1532" s="8" t="s">
        <v>195</v>
      </c>
      <c r="AD1532" s="8" t="s">
        <v>52</v>
      </c>
      <c r="AE1532" s="8" t="s">
        <v>53</v>
      </c>
      <c r="AF1532" s="8" t="s">
        <v>52</v>
      </c>
      <c r="AG1532" s="8" t="s">
        <v>52</v>
      </c>
      <c r="AH1532" s="8" t="s">
        <v>64</v>
      </c>
      <c r="AI1532" s="8"/>
      <c r="AJ1532" s="8"/>
      <c r="AK1532" s="8">
        <v>5</v>
      </c>
      <c r="AL1532" s="8">
        <v>5</v>
      </c>
      <c r="AM1532" s="8"/>
      <c r="AN1532" s="8">
        <v>366</v>
      </c>
      <c r="AO1532" s="8" t="s">
        <v>56</v>
      </c>
      <c r="AP1532" s="8" t="s">
        <v>56</v>
      </c>
      <c r="AQ1532" s="8" t="s">
        <v>57</v>
      </c>
      <c r="AR1532" s="8">
        <v>8.09</v>
      </c>
      <c r="AS1532" s="8" t="s">
        <v>56</v>
      </c>
      <c r="AT1532" s="8" t="s">
        <v>56</v>
      </c>
      <c r="AU1532" s="8">
        <v>722</v>
      </c>
      <c r="AV1532" t="s">
        <v>56</v>
      </c>
      <c r="AW1532" t="s">
        <v>56</v>
      </c>
      <c r="AX1532">
        <v>7.88</v>
      </c>
      <c r="AY1532" t="s">
        <v>56</v>
      </c>
      <c r="AZ1532" t="s">
        <v>56</v>
      </c>
      <c r="BA1532" s="8"/>
      <c r="BB1532" s="8">
        <f>LOG(AU1532)</f>
        <v>2.858537197569639</v>
      </c>
      <c r="BC1532" s="8">
        <v>15</v>
      </c>
      <c r="BD1532" s="8" t="s">
        <v>56</v>
      </c>
      <c r="BE1532" s="8" t="s">
        <v>56</v>
      </c>
      <c r="BF1532" s="8">
        <v>18</v>
      </c>
      <c r="BG1532" s="8" t="s">
        <v>56</v>
      </c>
      <c r="BH1532" s="8" t="s">
        <v>56</v>
      </c>
      <c r="BI1532" s="8">
        <v>356</v>
      </c>
      <c r="BJ1532" s="8">
        <v>3</v>
      </c>
      <c r="BK1532" s="8" t="s">
        <v>518</v>
      </c>
      <c r="BL1532" s="8" t="s">
        <v>196</v>
      </c>
      <c r="BM1532" s="8" t="s">
        <v>197</v>
      </c>
      <c r="BN1532" s="8" t="s">
        <v>81</v>
      </c>
      <c r="BO1532" s="8" t="s">
        <v>82</v>
      </c>
      <c r="BP1532" s="8" t="s">
        <v>83</v>
      </c>
      <c r="BQ1532" s="8" t="s">
        <v>92</v>
      </c>
      <c r="BR1532" s="8" t="s">
        <v>84</v>
      </c>
      <c r="BS1532" s="8"/>
      <c r="BT1532" s="8">
        <v>70.34</v>
      </c>
      <c r="BU1532" s="8">
        <v>70.344828000000007</v>
      </c>
      <c r="BV1532" s="8">
        <v>3.1</v>
      </c>
      <c r="BW1532" s="8">
        <f>BV1532*SQRT(AK1532)</f>
        <v>6.9318107302493486</v>
      </c>
      <c r="BX1532" s="8">
        <v>52.41</v>
      </c>
      <c r="BY1532" s="8">
        <v>52.413793099999999</v>
      </c>
      <c r="BZ1532" s="8">
        <v>1.03</v>
      </c>
      <c r="CA1532" s="8">
        <f>BZ1532*SQRT(AL1532)</f>
        <v>2.3031500168247834</v>
      </c>
      <c r="CB1532" s="8">
        <v>3</v>
      </c>
      <c r="CC1532" s="8">
        <v>5</v>
      </c>
      <c r="CD1532" s="8">
        <v>-0.29399999999999998</v>
      </c>
      <c r="CE1532" s="8">
        <v>2.3E-3</v>
      </c>
      <c r="CF1532" s="8" t="s">
        <v>1134</v>
      </c>
    </row>
    <row r="1533" spans="1:84" hidden="1" x14ac:dyDescent="0.2">
      <c r="A1533" s="8"/>
      <c r="B1533" t="str">
        <f>ROW()-1&amp;"_AltersInvert"</f>
        <v>1532_AltersInvert</v>
      </c>
      <c r="C1533" t="str">
        <f>D1533&amp;"_"&amp;
SUBSTITUTE(TRIM(V1533)," ","_")&amp;"_"&amp;
TRIM(AC1533)&amp;"_"&amp;
"CO2"&amp;TEXT(AN1533,"0.00")&amp;"_"&amp;
"pH"&amp;TEXT(AR1533,"0.00")&amp;"_"&amp;
"T"&amp;TEXT(BC1533,"0.##")</f>
        <v>49_Limecola_balthica_EMBRYO_CO2848.00_pH7.80_T15.</v>
      </c>
      <c r="D1533" s="8">
        <v>49</v>
      </c>
      <c r="E1533" s="8"/>
      <c r="F1533" s="8"/>
      <c r="G1533" s="8" t="s">
        <v>43</v>
      </c>
      <c r="H1533" s="8" t="s">
        <v>512</v>
      </c>
      <c r="I1533" s="8" t="s">
        <v>1130</v>
      </c>
      <c r="J1533" s="8">
        <v>2018</v>
      </c>
      <c r="K1533" s="8"/>
      <c r="L1533" s="8"/>
      <c r="M1533" s="8" t="s">
        <v>513</v>
      </c>
      <c r="N1533" s="8"/>
      <c r="O1533" s="8"/>
      <c r="P1533" t="s">
        <v>1135</v>
      </c>
      <c r="Q1533" s="8"/>
      <c r="R1533" s="8" t="s">
        <v>1127</v>
      </c>
      <c r="S1533" t="s">
        <v>1128</v>
      </c>
      <c r="T1533" s="8" t="s">
        <v>68</v>
      </c>
      <c r="U1533" s="8" t="s">
        <v>514</v>
      </c>
      <c r="V1533" s="8" t="s">
        <v>515</v>
      </c>
      <c r="W1533" s="8" t="str">
        <f>IF(ISNUMBER(MATCH(V927,{"Doryteuthis pealeii","Loligo vulgaris","Leptuca thayeri","Stylocheilus striatus","Ophryotrocha labronica"},0)),"N","Y")</f>
        <v>Y</v>
      </c>
      <c r="X1533" s="8"/>
      <c r="Y1533" s="8"/>
      <c r="Z1533" s="8" t="s">
        <v>49</v>
      </c>
      <c r="AA1533" s="8" t="s">
        <v>49</v>
      </c>
      <c r="AB1533" s="8" t="s">
        <v>71</v>
      </c>
      <c r="AC1533" s="8" t="s">
        <v>195</v>
      </c>
      <c r="AD1533" s="8" t="s">
        <v>52</v>
      </c>
      <c r="AE1533" s="8" t="s">
        <v>53</v>
      </c>
      <c r="AF1533" s="8" t="s">
        <v>52</v>
      </c>
      <c r="AG1533" s="8" t="s">
        <v>52</v>
      </c>
      <c r="AH1533" s="8" t="s">
        <v>64</v>
      </c>
      <c r="AI1533" s="8"/>
      <c r="AJ1533" s="8"/>
      <c r="AK1533" s="8">
        <v>5</v>
      </c>
      <c r="AL1533" s="8">
        <v>5</v>
      </c>
      <c r="AM1533" s="8"/>
      <c r="AN1533" s="8">
        <v>848</v>
      </c>
      <c r="AO1533" s="8" t="s">
        <v>56</v>
      </c>
      <c r="AP1533" s="8" t="s">
        <v>56</v>
      </c>
      <c r="AQ1533" s="8" t="s">
        <v>57</v>
      </c>
      <c r="AR1533" s="8">
        <v>7.8</v>
      </c>
      <c r="AS1533" s="8" t="s">
        <v>56</v>
      </c>
      <c r="AT1533" s="8" t="s">
        <v>56</v>
      </c>
      <c r="AU1533" s="8">
        <v>2478</v>
      </c>
      <c r="AV1533" t="s">
        <v>56</v>
      </c>
      <c r="AW1533" t="s">
        <v>56</v>
      </c>
      <c r="AX1533">
        <v>7.43</v>
      </c>
      <c r="AY1533" t="s">
        <v>56</v>
      </c>
      <c r="AZ1533" t="s">
        <v>56</v>
      </c>
      <c r="BA1533" s="8"/>
      <c r="BB1533" s="8">
        <f>LOG(AU1533)</f>
        <v>3.3941013020400446</v>
      </c>
      <c r="BC1533" s="8">
        <v>15</v>
      </c>
      <c r="BD1533" s="8" t="s">
        <v>56</v>
      </c>
      <c r="BE1533" s="8" t="s">
        <v>56</v>
      </c>
      <c r="BF1533" s="8">
        <v>18</v>
      </c>
      <c r="BG1533" s="8" t="s">
        <v>56</v>
      </c>
      <c r="BH1533" s="8" t="s">
        <v>56</v>
      </c>
      <c r="BI1533" s="8">
        <v>1630</v>
      </c>
      <c r="BJ1533" s="8">
        <v>3</v>
      </c>
      <c r="BK1533" s="8" t="s">
        <v>517</v>
      </c>
      <c r="BL1533" s="8" t="s">
        <v>196</v>
      </c>
      <c r="BM1533" s="8" t="s">
        <v>197</v>
      </c>
      <c r="BN1533" s="8" t="s">
        <v>81</v>
      </c>
      <c r="BO1533" s="8" t="s">
        <v>82</v>
      </c>
      <c r="BP1533" s="8" t="s">
        <v>83</v>
      </c>
      <c r="BQ1533" s="8" t="s">
        <v>9</v>
      </c>
      <c r="BR1533" s="8" t="s">
        <v>84</v>
      </c>
      <c r="BS1533" s="8"/>
      <c r="BT1533" s="8">
        <v>22.07</v>
      </c>
      <c r="BU1533" s="8">
        <v>22.068966</v>
      </c>
      <c r="BV1533" s="8">
        <v>3.1</v>
      </c>
      <c r="BW1533" s="8">
        <f>BV1533*SQRT(AK1533)</f>
        <v>6.9318107302493486</v>
      </c>
      <c r="BX1533" s="8">
        <v>18.97</v>
      </c>
      <c r="BY1533" s="8">
        <v>18.965517200000001</v>
      </c>
      <c r="BZ1533" s="8">
        <v>2.93</v>
      </c>
      <c r="CA1533" s="8">
        <f>BZ1533*SQRT(AL1533)</f>
        <v>6.5516791740743843</v>
      </c>
      <c r="CB1533" s="8">
        <v>3</v>
      </c>
      <c r="CC1533" s="8">
        <v>5</v>
      </c>
      <c r="CD1533" s="8">
        <v>-0.152</v>
      </c>
      <c r="CE1533" s="8">
        <v>4.3700000000000003E-2</v>
      </c>
      <c r="CF1533" s="8" t="s">
        <v>1134</v>
      </c>
    </row>
    <row r="1534" spans="1:84" hidden="1" x14ac:dyDescent="0.2">
      <c r="D1534">
        <v>116</v>
      </c>
      <c r="G1534" t="s">
        <v>43</v>
      </c>
      <c r="H1534" t="s">
        <v>847</v>
      </c>
      <c r="J1534">
        <v>2014</v>
      </c>
      <c r="M1534" t="s">
        <v>848</v>
      </c>
      <c r="T1534" t="s">
        <v>131</v>
      </c>
      <c r="U1534" t="s">
        <v>245</v>
      </c>
      <c r="V1534" t="s">
        <v>246</v>
      </c>
      <c r="Z1534" t="s">
        <v>475</v>
      </c>
      <c r="AA1534" t="s">
        <v>475</v>
      </c>
      <c r="AB1534" t="s">
        <v>50</v>
      </c>
      <c r="AC1534" t="s">
        <v>51</v>
      </c>
      <c r="AD1534" t="s">
        <v>52</v>
      </c>
      <c r="AE1534" t="s">
        <v>53</v>
      </c>
      <c r="AF1534" t="s">
        <v>52</v>
      </c>
      <c r="AG1534" t="s">
        <v>52</v>
      </c>
      <c r="AH1534" t="s">
        <v>64</v>
      </c>
      <c r="AK1534">
        <v>6</v>
      </c>
      <c r="AL1534">
        <v>6</v>
      </c>
      <c r="AN1534">
        <v>441</v>
      </c>
      <c r="AO1534" t="s">
        <v>56</v>
      </c>
      <c r="AP1534">
        <v>35</v>
      </c>
      <c r="AQ1534" t="s">
        <v>57</v>
      </c>
      <c r="AR1534">
        <v>8.15</v>
      </c>
      <c r="AS1534" t="s">
        <v>56</v>
      </c>
      <c r="AT1534">
        <v>0.03</v>
      </c>
      <c r="AU1534">
        <v>2015</v>
      </c>
      <c r="AV1534" t="s">
        <v>56</v>
      </c>
      <c r="AW1534">
        <v>147</v>
      </c>
      <c r="AX1534">
        <v>7.54</v>
      </c>
      <c r="AY1534" t="s">
        <v>56</v>
      </c>
      <c r="AZ1534">
        <v>0.05</v>
      </c>
      <c r="BB1534">
        <f>LOG(AU1534)</f>
        <v>3.3042750504771283</v>
      </c>
      <c r="BC1534">
        <v>5.3</v>
      </c>
      <c r="BD1534" t="s">
        <v>56</v>
      </c>
      <c r="BE1534">
        <v>0.2</v>
      </c>
      <c r="BF1534">
        <v>9.8000000000000007</v>
      </c>
      <c r="BG1534" t="s">
        <v>56</v>
      </c>
      <c r="BH1534">
        <v>0.2</v>
      </c>
      <c r="BI1534">
        <v>1574</v>
      </c>
      <c r="BJ1534">
        <v>4.5</v>
      </c>
      <c r="BK1534" t="s">
        <v>56</v>
      </c>
      <c r="BL1534" t="s">
        <v>849</v>
      </c>
      <c r="BM1534" t="s">
        <v>454</v>
      </c>
      <c r="BN1534" t="s">
        <v>60</v>
      </c>
      <c r="BO1534" t="s">
        <v>850</v>
      </c>
      <c r="BP1534" t="s">
        <v>194</v>
      </c>
      <c r="BQ1534" s="8" t="s">
        <v>190</v>
      </c>
      <c r="BR1534" t="s">
        <v>63</v>
      </c>
      <c r="BT1534">
        <v>8.0500000000000007</v>
      </c>
      <c r="BU1534">
        <v>8.0450140000000001</v>
      </c>
      <c r="BV1534">
        <v>0.05</v>
      </c>
      <c r="BW1534">
        <f>BV1534*SQRT(AK1534)</f>
        <v>0.1224744871391589</v>
      </c>
      <c r="BX1534">
        <v>7.71</v>
      </c>
      <c r="BY1534">
        <v>7.7054131000000003</v>
      </c>
      <c r="BZ1534">
        <v>7.0000000000000007E-2</v>
      </c>
      <c r="CA1534">
        <f>BZ1534*SQRT(AL1534)</f>
        <v>0.17146428199482247</v>
      </c>
      <c r="CB1534">
        <v>70</v>
      </c>
      <c r="CC1534">
        <v>6</v>
      </c>
      <c r="CD1534">
        <v>-4.2999999999999997E-2</v>
      </c>
      <c r="CE1534">
        <v>1E-4</v>
      </c>
    </row>
    <row r="1535" spans="1:84" hidden="1" x14ac:dyDescent="0.2">
      <c r="D1535">
        <v>116</v>
      </c>
      <c r="G1535" t="s">
        <v>43</v>
      </c>
      <c r="H1535" t="s">
        <v>847</v>
      </c>
      <c r="J1535">
        <v>2014</v>
      </c>
      <c r="M1535" t="s">
        <v>848</v>
      </c>
      <c r="T1535" t="s">
        <v>131</v>
      </c>
      <c r="U1535" t="s">
        <v>245</v>
      </c>
      <c r="V1535" t="s">
        <v>246</v>
      </c>
      <c r="Z1535" t="s">
        <v>475</v>
      </c>
      <c r="AA1535" t="s">
        <v>475</v>
      </c>
      <c r="AB1535" t="s">
        <v>50</v>
      </c>
      <c r="AC1535" t="s">
        <v>51</v>
      </c>
      <c r="AD1535" t="s">
        <v>52</v>
      </c>
      <c r="AE1535" t="s">
        <v>53</v>
      </c>
      <c r="AF1535" t="s">
        <v>52</v>
      </c>
      <c r="AG1535" t="s">
        <v>54</v>
      </c>
      <c r="AH1535" t="s">
        <v>55</v>
      </c>
      <c r="AK1535">
        <v>6</v>
      </c>
      <c r="AL1535">
        <v>6</v>
      </c>
      <c r="AN1535">
        <v>441</v>
      </c>
      <c r="AO1535" t="s">
        <v>56</v>
      </c>
      <c r="AP1535">
        <v>35</v>
      </c>
      <c r="AQ1535" t="s">
        <v>57</v>
      </c>
      <c r="AR1535">
        <v>8.15</v>
      </c>
      <c r="AS1535" t="s">
        <v>56</v>
      </c>
      <c r="AT1535">
        <v>0.03</v>
      </c>
      <c r="AU1535">
        <v>1878</v>
      </c>
      <c r="AV1535" t="s">
        <v>56</v>
      </c>
      <c r="AW1535">
        <v>246</v>
      </c>
      <c r="AX1535">
        <v>7.55</v>
      </c>
      <c r="AY1535" t="s">
        <v>56</v>
      </c>
      <c r="AZ1535">
        <v>0.06</v>
      </c>
      <c r="BB1535">
        <f>LOG(AU1535)</f>
        <v>3.2736955879300922</v>
      </c>
      <c r="BC1535">
        <v>5.3</v>
      </c>
      <c r="BD1535" t="s">
        <v>56</v>
      </c>
      <c r="BE1535">
        <v>0.2</v>
      </c>
      <c r="BF1535">
        <v>4.5</v>
      </c>
      <c r="BG1535" t="s">
        <v>56</v>
      </c>
      <c r="BH1535">
        <v>0.2</v>
      </c>
      <c r="BI1535">
        <v>1437</v>
      </c>
      <c r="BJ1535">
        <v>-0.8</v>
      </c>
      <c r="BK1535" t="s">
        <v>56</v>
      </c>
      <c r="BL1535" t="s">
        <v>849</v>
      </c>
      <c r="BM1535" t="s">
        <v>454</v>
      </c>
      <c r="BN1535" t="s">
        <v>60</v>
      </c>
      <c r="BO1535" t="s">
        <v>850</v>
      </c>
      <c r="BP1535" t="s">
        <v>194</v>
      </c>
      <c r="BQ1535" s="8" t="s">
        <v>190</v>
      </c>
      <c r="BR1535" t="s">
        <v>63</v>
      </c>
      <c r="BT1535">
        <v>8.0500000000000007</v>
      </c>
      <c r="BU1535">
        <v>8.0450140000000001</v>
      </c>
      <c r="BV1535">
        <v>0.05</v>
      </c>
      <c r="BW1535">
        <f>BV1535*SQRT(AK1535)</f>
        <v>0.1224744871391589</v>
      </c>
      <c r="BX1535">
        <v>7.76</v>
      </c>
      <c r="BY1535">
        <v>7.7601139999999997</v>
      </c>
      <c r="BZ1535">
        <v>7.0000000000000007E-2</v>
      </c>
      <c r="CA1535">
        <f>BZ1535*SQRT(AL1535)</f>
        <v>0.17146428199482247</v>
      </c>
      <c r="CB1535">
        <v>70</v>
      </c>
      <c r="CC1535">
        <v>6</v>
      </c>
      <c r="CD1535">
        <v>-3.5999999999999997E-2</v>
      </c>
      <c r="CE1535">
        <v>1E-4</v>
      </c>
    </row>
    <row r="1536" spans="1:84" hidden="1" x14ac:dyDescent="0.2">
      <c r="D1536">
        <v>116</v>
      </c>
      <c r="G1536" t="s">
        <v>43</v>
      </c>
      <c r="H1536" t="s">
        <v>847</v>
      </c>
      <c r="J1536">
        <v>2014</v>
      </c>
      <c r="M1536" t="s">
        <v>848</v>
      </c>
      <c r="T1536" t="s">
        <v>131</v>
      </c>
      <c r="U1536" t="s">
        <v>245</v>
      </c>
      <c r="V1536" t="s">
        <v>246</v>
      </c>
      <c r="Z1536" t="s">
        <v>475</v>
      </c>
      <c r="AA1536" t="s">
        <v>475</v>
      </c>
      <c r="AB1536" t="s">
        <v>50</v>
      </c>
      <c r="AC1536" t="s">
        <v>51</v>
      </c>
      <c r="AD1536" t="s">
        <v>52</v>
      </c>
      <c r="AE1536" t="s">
        <v>53</v>
      </c>
      <c r="AF1536" t="s">
        <v>52</v>
      </c>
      <c r="AG1536" t="s">
        <v>52</v>
      </c>
      <c r="AH1536" t="s">
        <v>64</v>
      </c>
      <c r="AK1536">
        <v>6</v>
      </c>
      <c r="AL1536">
        <v>6</v>
      </c>
      <c r="AN1536">
        <v>441</v>
      </c>
      <c r="AO1536" t="s">
        <v>56</v>
      </c>
      <c r="AP1536">
        <v>35</v>
      </c>
      <c r="AQ1536" t="s">
        <v>57</v>
      </c>
      <c r="AR1536">
        <v>8.15</v>
      </c>
      <c r="AS1536" t="s">
        <v>56</v>
      </c>
      <c r="AT1536">
        <v>0.03</v>
      </c>
      <c r="AU1536">
        <v>942</v>
      </c>
      <c r="AV1536" t="s">
        <v>56</v>
      </c>
      <c r="AW1536">
        <v>59</v>
      </c>
      <c r="AX1536">
        <v>7.85</v>
      </c>
      <c r="AY1536" t="s">
        <v>56</v>
      </c>
      <c r="AZ1536">
        <v>0.04</v>
      </c>
      <c r="BB1536">
        <f>LOG(AU1536)</f>
        <v>2.9740509027928774</v>
      </c>
      <c r="BC1536">
        <v>5.3</v>
      </c>
      <c r="BD1536" t="s">
        <v>56</v>
      </c>
      <c r="BE1536">
        <v>0.2</v>
      </c>
      <c r="BF1536">
        <v>9.6999999999999993</v>
      </c>
      <c r="BG1536" t="s">
        <v>56</v>
      </c>
      <c r="BH1536">
        <v>0.3</v>
      </c>
      <c r="BI1536">
        <v>501</v>
      </c>
      <c r="BJ1536">
        <v>4.4000000000000004</v>
      </c>
      <c r="BK1536" t="s">
        <v>56</v>
      </c>
      <c r="BL1536" t="s">
        <v>849</v>
      </c>
      <c r="BM1536" t="s">
        <v>454</v>
      </c>
      <c r="BN1536" t="s">
        <v>60</v>
      </c>
      <c r="BO1536" t="s">
        <v>850</v>
      </c>
      <c r="BP1536" t="s">
        <v>194</v>
      </c>
      <c r="BQ1536" s="8" t="s">
        <v>190</v>
      </c>
      <c r="BR1536" t="s">
        <v>63</v>
      </c>
      <c r="BT1536">
        <v>8.0500000000000007</v>
      </c>
      <c r="BU1536">
        <v>8.0450140000000001</v>
      </c>
      <c r="BV1536">
        <v>0.05</v>
      </c>
      <c r="BW1536">
        <f>BV1536*SQRT(AK1536)</f>
        <v>0.1224744871391589</v>
      </c>
      <c r="BX1536">
        <v>7.93</v>
      </c>
      <c r="BY1536">
        <v>7.9287748999999996</v>
      </c>
      <c r="BZ1536">
        <v>0.03</v>
      </c>
      <c r="CA1536">
        <f>BZ1536*SQRT(AL1536)</f>
        <v>7.3484692283495329E-2</v>
      </c>
      <c r="CB1536">
        <v>70</v>
      </c>
      <c r="CC1536">
        <v>6</v>
      </c>
      <c r="CD1536">
        <v>-1.4999999999999999E-2</v>
      </c>
      <c r="CE1536">
        <v>1E-4</v>
      </c>
    </row>
    <row r="1537" spans="4:83" hidden="1" x14ac:dyDescent="0.2">
      <c r="D1537">
        <v>116</v>
      </c>
      <c r="G1537" t="s">
        <v>43</v>
      </c>
      <c r="H1537" t="s">
        <v>847</v>
      </c>
      <c r="J1537">
        <v>2014</v>
      </c>
      <c r="M1537" t="s">
        <v>848</v>
      </c>
      <c r="T1537" t="s">
        <v>131</v>
      </c>
      <c r="U1537" t="s">
        <v>245</v>
      </c>
      <c r="V1537" t="s">
        <v>246</v>
      </c>
      <c r="Z1537" t="s">
        <v>475</v>
      </c>
      <c r="AA1537" t="s">
        <v>475</v>
      </c>
      <c r="AB1537" t="s">
        <v>50</v>
      </c>
      <c r="AC1537" t="s">
        <v>51</v>
      </c>
      <c r="AD1537" t="s">
        <v>52</v>
      </c>
      <c r="AE1537" t="s">
        <v>53</v>
      </c>
      <c r="AF1537" t="s">
        <v>54</v>
      </c>
      <c r="AG1537" t="s">
        <v>52</v>
      </c>
      <c r="AH1537" t="s">
        <v>65</v>
      </c>
      <c r="AK1537">
        <v>6</v>
      </c>
      <c r="AL1537">
        <v>6</v>
      </c>
      <c r="AN1537">
        <v>441</v>
      </c>
      <c r="AO1537" t="s">
        <v>56</v>
      </c>
      <c r="AP1537">
        <v>35</v>
      </c>
      <c r="AQ1537" t="s">
        <v>57</v>
      </c>
      <c r="AR1537">
        <v>8.15</v>
      </c>
      <c r="AS1537" t="s">
        <v>56</v>
      </c>
      <c r="AT1537">
        <v>0.03</v>
      </c>
      <c r="AU1537">
        <v>366</v>
      </c>
      <c r="AV1537" t="s">
        <v>56</v>
      </c>
      <c r="AW1537">
        <v>30</v>
      </c>
      <c r="AX1537">
        <v>8.2200000000000006</v>
      </c>
      <c r="AY1537" t="s">
        <v>56</v>
      </c>
      <c r="AZ1537">
        <v>0.04</v>
      </c>
      <c r="BB1537">
        <f>LOG(AU1537)</f>
        <v>2.5634810853944106</v>
      </c>
      <c r="BC1537">
        <v>5.3</v>
      </c>
      <c r="BD1537" t="s">
        <v>56</v>
      </c>
      <c r="BE1537">
        <v>0.2</v>
      </c>
      <c r="BF1537">
        <v>9.9</v>
      </c>
      <c r="BG1537" t="s">
        <v>56</v>
      </c>
      <c r="BH1537">
        <v>0.2</v>
      </c>
      <c r="BI1537">
        <v>-75</v>
      </c>
      <c r="BJ1537">
        <v>4.5999999999999996</v>
      </c>
      <c r="BK1537" t="s">
        <v>56</v>
      </c>
      <c r="BL1537" t="s">
        <v>849</v>
      </c>
      <c r="BM1537" t="s">
        <v>454</v>
      </c>
      <c r="BN1537" t="s">
        <v>60</v>
      </c>
      <c r="BO1537" t="s">
        <v>850</v>
      </c>
      <c r="BP1537" t="s">
        <v>194</v>
      </c>
      <c r="BQ1537" s="8" t="s">
        <v>9</v>
      </c>
      <c r="BR1537" t="s">
        <v>63</v>
      </c>
      <c r="BT1537">
        <v>8.0500000000000007</v>
      </c>
      <c r="BU1537">
        <v>8.0450140000000001</v>
      </c>
      <c r="BV1537">
        <v>0.05</v>
      </c>
      <c r="BW1537">
        <f>BV1537*SQRT(AK1537)</f>
        <v>0.1224744871391589</v>
      </c>
      <c r="BX1537">
        <v>7.97</v>
      </c>
      <c r="BY1537">
        <v>7.9675213999999999</v>
      </c>
      <c r="BZ1537">
        <v>0</v>
      </c>
      <c r="CA1537">
        <f>BZ1537*SQRT(AL1537)</f>
        <v>0</v>
      </c>
      <c r="CB1537">
        <v>70</v>
      </c>
      <c r="CC1537">
        <v>6</v>
      </c>
      <c r="CD1537">
        <v>-0.01</v>
      </c>
      <c r="CE1537">
        <v>1E-4</v>
      </c>
    </row>
    <row r="1538" spans="4:83" hidden="1" x14ac:dyDescent="0.2">
      <c r="D1538">
        <v>116</v>
      </c>
      <c r="G1538" t="s">
        <v>43</v>
      </c>
      <c r="H1538" t="s">
        <v>847</v>
      </c>
      <c r="J1538">
        <v>2014</v>
      </c>
      <c r="M1538" t="s">
        <v>848</v>
      </c>
      <c r="T1538" t="s">
        <v>131</v>
      </c>
      <c r="U1538" t="s">
        <v>245</v>
      </c>
      <c r="V1538" t="s">
        <v>246</v>
      </c>
      <c r="Z1538" t="s">
        <v>475</v>
      </c>
      <c r="AA1538" t="s">
        <v>475</v>
      </c>
      <c r="AB1538" t="s">
        <v>50</v>
      </c>
      <c r="AC1538" t="s">
        <v>51</v>
      </c>
      <c r="AD1538" t="s">
        <v>52</v>
      </c>
      <c r="AE1538" t="s">
        <v>53</v>
      </c>
      <c r="AF1538" t="s">
        <v>52</v>
      </c>
      <c r="AG1538" t="s">
        <v>54</v>
      </c>
      <c r="AH1538" t="s">
        <v>55</v>
      </c>
      <c r="AK1538">
        <v>6</v>
      </c>
      <c r="AL1538">
        <v>6</v>
      </c>
      <c r="AN1538">
        <v>441</v>
      </c>
      <c r="AO1538" t="s">
        <v>56</v>
      </c>
      <c r="AP1538">
        <v>35</v>
      </c>
      <c r="AQ1538" t="s">
        <v>57</v>
      </c>
      <c r="AR1538">
        <v>8.15</v>
      </c>
      <c r="AS1538" t="s">
        <v>56</v>
      </c>
      <c r="AT1538">
        <v>0.03</v>
      </c>
      <c r="AU1538">
        <v>991</v>
      </c>
      <c r="AV1538" t="s">
        <v>56</v>
      </c>
      <c r="AW1538">
        <v>96</v>
      </c>
      <c r="AX1538">
        <v>7.81</v>
      </c>
      <c r="AY1538" t="s">
        <v>56</v>
      </c>
      <c r="AZ1538">
        <v>0.04</v>
      </c>
      <c r="BB1538">
        <f>LOG(AU1538)</f>
        <v>2.9960736544852753</v>
      </c>
      <c r="BC1538">
        <v>5.3</v>
      </c>
      <c r="BD1538" t="s">
        <v>56</v>
      </c>
      <c r="BE1538">
        <v>0.2</v>
      </c>
      <c r="BF1538">
        <v>4.2</v>
      </c>
      <c r="BG1538" t="s">
        <v>56</v>
      </c>
      <c r="BH1538">
        <v>0.2</v>
      </c>
      <c r="BI1538">
        <v>550</v>
      </c>
      <c r="BJ1538">
        <v>-1.1000000000000001</v>
      </c>
      <c r="BK1538" t="s">
        <v>56</v>
      </c>
      <c r="BL1538" t="s">
        <v>849</v>
      </c>
      <c r="BM1538" t="s">
        <v>454</v>
      </c>
      <c r="BN1538" t="s">
        <v>60</v>
      </c>
      <c r="BO1538" t="s">
        <v>850</v>
      </c>
      <c r="BP1538" t="s">
        <v>194</v>
      </c>
      <c r="BQ1538" s="8" t="s">
        <v>9</v>
      </c>
      <c r="BR1538" t="s">
        <v>63</v>
      </c>
      <c r="BT1538">
        <v>8.0500000000000007</v>
      </c>
      <c r="BU1538">
        <v>8.0450140000000001</v>
      </c>
      <c r="BV1538">
        <v>0.05</v>
      </c>
      <c r="BW1538">
        <f>BV1538*SQRT(AK1538)</f>
        <v>0.1224744871391589</v>
      </c>
      <c r="BX1538">
        <v>7.97</v>
      </c>
      <c r="BY1538">
        <v>7.9743589999999998</v>
      </c>
      <c r="BZ1538">
        <v>0.04</v>
      </c>
      <c r="CA1538">
        <f>BZ1538*SQRT(AL1538)</f>
        <v>9.7979589711327114E-2</v>
      </c>
      <c r="CB1538">
        <v>70</v>
      </c>
      <c r="CC1538">
        <v>6</v>
      </c>
      <c r="CD1538">
        <v>-8.9999999999999993E-3</v>
      </c>
      <c r="CE1538">
        <v>1E-4</v>
      </c>
    </row>
    <row r="1539" spans="4:83" hidden="1" x14ac:dyDescent="0.2">
      <c r="D1539">
        <v>117</v>
      </c>
      <c r="G1539" t="s">
        <v>43</v>
      </c>
      <c r="H1539" t="s">
        <v>851</v>
      </c>
      <c r="J1539">
        <v>2014</v>
      </c>
      <c r="M1539" t="s">
        <v>45</v>
      </c>
      <c r="T1539" t="s">
        <v>46</v>
      </c>
      <c r="U1539" t="s">
        <v>799</v>
      </c>
      <c r="V1539" t="s">
        <v>852</v>
      </c>
      <c r="Z1539" t="s">
        <v>177</v>
      </c>
      <c r="AA1539" t="s">
        <v>177</v>
      </c>
      <c r="AB1539" t="s">
        <v>50</v>
      </c>
      <c r="AC1539" t="s">
        <v>108</v>
      </c>
      <c r="AD1539" t="s">
        <v>52</v>
      </c>
      <c r="AE1539" t="s">
        <v>53</v>
      </c>
      <c r="AF1539" t="s">
        <v>52</v>
      </c>
      <c r="AG1539" t="s">
        <v>52</v>
      </c>
      <c r="AH1539" t="s">
        <v>64</v>
      </c>
      <c r="AK1539">
        <v>6</v>
      </c>
      <c r="AL1539">
        <v>6</v>
      </c>
      <c r="AN1539">
        <v>362</v>
      </c>
      <c r="AO1539">
        <v>14</v>
      </c>
      <c r="AP1539" t="s">
        <v>56</v>
      </c>
      <c r="AQ1539" t="s">
        <v>118</v>
      </c>
      <c r="AR1539">
        <v>8.1999999999999993</v>
      </c>
      <c r="AS1539" t="s">
        <v>56</v>
      </c>
      <c r="AT1539" t="s">
        <v>56</v>
      </c>
      <c r="AU1539">
        <v>4601</v>
      </c>
      <c r="AV1539">
        <v>12</v>
      </c>
      <c r="AW1539" t="s">
        <v>56</v>
      </c>
      <c r="AX1539">
        <v>7.2</v>
      </c>
      <c r="AY1539" t="s">
        <v>56</v>
      </c>
      <c r="AZ1539" t="s">
        <v>56</v>
      </c>
      <c r="BB1539">
        <f>LOG(AU1539)</f>
        <v>3.6628522332647964</v>
      </c>
      <c r="BC1539">
        <v>18</v>
      </c>
      <c r="BD1539" t="s">
        <v>56</v>
      </c>
      <c r="BE1539" t="s">
        <v>56</v>
      </c>
      <c r="BF1539">
        <v>22</v>
      </c>
      <c r="BG1539" t="s">
        <v>56</v>
      </c>
      <c r="BH1539" t="s">
        <v>56</v>
      </c>
      <c r="BI1539">
        <v>4239</v>
      </c>
      <c r="BJ1539">
        <v>4</v>
      </c>
      <c r="BK1539" t="s">
        <v>56</v>
      </c>
      <c r="BL1539" t="s">
        <v>86</v>
      </c>
      <c r="BM1539" t="s">
        <v>86</v>
      </c>
      <c r="BN1539" t="s">
        <v>81</v>
      </c>
      <c r="BO1539" t="s">
        <v>82</v>
      </c>
      <c r="BP1539" t="s">
        <v>9</v>
      </c>
      <c r="BQ1539" s="8" t="s">
        <v>9</v>
      </c>
      <c r="BR1539" t="s">
        <v>84</v>
      </c>
      <c r="BT1539">
        <v>91.79</v>
      </c>
      <c r="BU1539">
        <v>91.785713999999999</v>
      </c>
      <c r="BV1539">
        <v>3.93</v>
      </c>
      <c r="BW1539">
        <f>BV1539*SQRT(AK1539)</f>
        <v>9.6264946891378891</v>
      </c>
      <c r="BX1539">
        <v>51.79</v>
      </c>
      <c r="BY1539">
        <v>51.785714300000002</v>
      </c>
      <c r="BZ1539">
        <v>9.11</v>
      </c>
      <c r="CA1539">
        <f>BZ1539*SQRT(AL1539)</f>
        <v>22.31485155675475</v>
      </c>
      <c r="CB1539">
        <v>28</v>
      </c>
      <c r="CC1539">
        <v>6</v>
      </c>
      <c r="CD1539">
        <v>-0.57199999999999995</v>
      </c>
      <c r="CE1539">
        <v>3.2800000000000003E-2</v>
      </c>
    </row>
    <row r="1540" spans="4:83" hidden="1" x14ac:dyDescent="0.2">
      <c r="D1540">
        <v>117</v>
      </c>
      <c r="G1540" t="s">
        <v>43</v>
      </c>
      <c r="H1540" t="s">
        <v>851</v>
      </c>
      <c r="J1540">
        <v>2014</v>
      </c>
      <c r="M1540" t="s">
        <v>45</v>
      </c>
      <c r="T1540" t="s">
        <v>46</v>
      </c>
      <c r="U1540" t="s">
        <v>799</v>
      </c>
      <c r="V1540" t="s">
        <v>852</v>
      </c>
      <c r="Z1540" t="s">
        <v>177</v>
      </c>
      <c r="AA1540" t="s">
        <v>177</v>
      </c>
      <c r="AB1540" t="s">
        <v>50</v>
      </c>
      <c r="AC1540" t="s">
        <v>108</v>
      </c>
      <c r="AD1540" t="s">
        <v>52</v>
      </c>
      <c r="AE1540" t="s">
        <v>53</v>
      </c>
      <c r="AF1540" t="s">
        <v>52</v>
      </c>
      <c r="AG1540" t="s">
        <v>52</v>
      </c>
      <c r="AH1540" t="s">
        <v>64</v>
      </c>
      <c r="AK1540">
        <v>6</v>
      </c>
      <c r="AL1540">
        <v>6</v>
      </c>
      <c r="AN1540">
        <v>362</v>
      </c>
      <c r="AO1540">
        <v>14</v>
      </c>
      <c r="AP1540" t="s">
        <v>56</v>
      </c>
      <c r="AQ1540" t="s">
        <v>118</v>
      </c>
      <c r="AR1540">
        <v>8.1999999999999993</v>
      </c>
      <c r="AS1540" t="s">
        <v>56</v>
      </c>
      <c r="AT1540" t="s">
        <v>56</v>
      </c>
      <c r="AU1540">
        <v>4601</v>
      </c>
      <c r="AV1540">
        <v>12</v>
      </c>
      <c r="AW1540" t="s">
        <v>56</v>
      </c>
      <c r="AX1540">
        <v>7.2</v>
      </c>
      <c r="AY1540" t="s">
        <v>56</v>
      </c>
      <c r="AZ1540" t="s">
        <v>56</v>
      </c>
      <c r="BB1540">
        <f>LOG(AU1540)</f>
        <v>3.6628522332647964</v>
      </c>
      <c r="BC1540">
        <v>18</v>
      </c>
      <c r="BD1540" t="s">
        <v>56</v>
      </c>
      <c r="BE1540" t="s">
        <v>56</v>
      </c>
      <c r="BF1540">
        <v>22</v>
      </c>
      <c r="BG1540" t="s">
        <v>56</v>
      </c>
      <c r="BH1540" t="s">
        <v>56</v>
      </c>
      <c r="BI1540">
        <v>4239</v>
      </c>
      <c r="BJ1540">
        <v>4</v>
      </c>
      <c r="BK1540" t="s">
        <v>56</v>
      </c>
      <c r="BL1540" t="s">
        <v>88</v>
      </c>
      <c r="BM1540" t="s">
        <v>83</v>
      </c>
      <c r="BN1540" t="s">
        <v>81</v>
      </c>
      <c r="BO1540" t="s">
        <v>82</v>
      </c>
      <c r="BP1540" t="s">
        <v>83</v>
      </c>
      <c r="BQ1540" s="8" t="s">
        <v>9</v>
      </c>
      <c r="BR1540" t="s">
        <v>84</v>
      </c>
      <c r="BT1540">
        <v>8.52</v>
      </c>
      <c r="BU1540">
        <v>91.475409999999997</v>
      </c>
      <c r="BV1540">
        <v>3.93</v>
      </c>
      <c r="BW1540">
        <f>BV1540*SQRT(AK1540)</f>
        <v>9.6264946891378891</v>
      </c>
      <c r="BX1540">
        <v>40</v>
      </c>
      <c r="BY1540">
        <v>60</v>
      </c>
      <c r="BZ1540">
        <v>8.85</v>
      </c>
      <c r="CA1540">
        <f>BZ1540*SQRT(AL1540)</f>
        <v>21.677984223631125</v>
      </c>
      <c r="CB1540">
        <v>28</v>
      </c>
      <c r="CC1540">
        <v>6</v>
      </c>
      <c r="CD1540">
        <v>-0.42199999999999999</v>
      </c>
      <c r="CE1540">
        <v>2.3599999999999999E-2</v>
      </c>
    </row>
    <row r="1541" spans="4:83" hidden="1" x14ac:dyDescent="0.2">
      <c r="D1541">
        <v>117</v>
      </c>
      <c r="G1541" t="s">
        <v>43</v>
      </c>
      <c r="H1541" t="s">
        <v>851</v>
      </c>
      <c r="J1541">
        <v>2014</v>
      </c>
      <c r="M1541" t="s">
        <v>45</v>
      </c>
      <c r="T1541" t="s">
        <v>46</v>
      </c>
      <c r="U1541" t="s">
        <v>799</v>
      </c>
      <c r="V1541" t="s">
        <v>852</v>
      </c>
      <c r="Z1541" t="s">
        <v>177</v>
      </c>
      <c r="AA1541" t="s">
        <v>177</v>
      </c>
      <c r="AB1541" t="s">
        <v>50</v>
      </c>
      <c r="AC1541" t="s">
        <v>108</v>
      </c>
      <c r="AD1541" t="s">
        <v>52</v>
      </c>
      <c r="AE1541" t="s">
        <v>53</v>
      </c>
      <c r="AF1541" t="s">
        <v>52</v>
      </c>
      <c r="AG1541" t="s">
        <v>54</v>
      </c>
      <c r="AH1541" t="s">
        <v>55</v>
      </c>
      <c r="AK1541">
        <v>6</v>
      </c>
      <c r="AL1541">
        <v>6</v>
      </c>
      <c r="AN1541">
        <v>362</v>
      </c>
      <c r="AO1541">
        <v>14</v>
      </c>
      <c r="AP1541" t="s">
        <v>56</v>
      </c>
      <c r="AQ1541" t="s">
        <v>118</v>
      </c>
      <c r="AR1541">
        <v>8.1999999999999993</v>
      </c>
      <c r="AS1541" t="s">
        <v>56</v>
      </c>
      <c r="AT1541" t="s">
        <v>56</v>
      </c>
      <c r="AU1541">
        <v>4430</v>
      </c>
      <c r="AV1541">
        <v>18</v>
      </c>
      <c r="AW1541" t="s">
        <v>56</v>
      </c>
      <c r="AX1541">
        <v>7.2</v>
      </c>
      <c r="AY1541" t="s">
        <v>56</v>
      </c>
      <c r="AZ1541" t="s">
        <v>56</v>
      </c>
      <c r="BB1541">
        <f>LOG(AU1541)</f>
        <v>3.6464037262230695</v>
      </c>
      <c r="BC1541">
        <v>18</v>
      </c>
      <c r="BD1541" t="s">
        <v>56</v>
      </c>
      <c r="BE1541" t="s">
        <v>56</v>
      </c>
      <c r="BF1541">
        <v>18</v>
      </c>
      <c r="BG1541" t="s">
        <v>56</v>
      </c>
      <c r="BH1541" t="s">
        <v>56</v>
      </c>
      <c r="BI1541">
        <v>4068</v>
      </c>
      <c r="BJ1541">
        <v>0</v>
      </c>
      <c r="BK1541" t="s">
        <v>56</v>
      </c>
      <c r="BL1541" t="s">
        <v>86</v>
      </c>
      <c r="BM1541" t="s">
        <v>86</v>
      </c>
      <c r="BN1541" t="s">
        <v>81</v>
      </c>
      <c r="BO1541" t="s">
        <v>82</v>
      </c>
      <c r="BP1541" t="s">
        <v>9</v>
      </c>
      <c r="BQ1541" s="8" t="s">
        <v>9</v>
      </c>
      <c r="BR1541" t="s">
        <v>84</v>
      </c>
      <c r="BT1541">
        <v>91.79</v>
      </c>
      <c r="BU1541">
        <v>91.785713999999999</v>
      </c>
      <c r="BV1541">
        <v>3.93</v>
      </c>
      <c r="BW1541">
        <f>BV1541*SQRT(AK1541)</f>
        <v>9.6264946891378891</v>
      </c>
      <c r="BX1541">
        <v>61.43</v>
      </c>
      <c r="BY1541">
        <v>61.428571400000003</v>
      </c>
      <c r="BZ1541">
        <v>8.0399999999999991</v>
      </c>
      <c r="CA1541">
        <f>BZ1541*SQRT(AL1541)</f>
        <v>19.693897531976749</v>
      </c>
      <c r="CB1541">
        <v>28</v>
      </c>
      <c r="CC1541">
        <v>6</v>
      </c>
      <c r="CD1541">
        <v>-0.40200000000000002</v>
      </c>
      <c r="CE1541">
        <v>1.89E-2</v>
      </c>
    </row>
    <row r="1542" spans="4:83" hidden="1" x14ac:dyDescent="0.2">
      <c r="D1542">
        <v>117</v>
      </c>
      <c r="G1542" t="s">
        <v>43</v>
      </c>
      <c r="H1542" t="s">
        <v>851</v>
      </c>
      <c r="J1542">
        <v>2014</v>
      </c>
      <c r="M1542" t="s">
        <v>45</v>
      </c>
      <c r="T1542" t="s">
        <v>46</v>
      </c>
      <c r="U1542" t="s">
        <v>799</v>
      </c>
      <c r="V1542" t="s">
        <v>852</v>
      </c>
      <c r="Z1542" t="s">
        <v>177</v>
      </c>
      <c r="AA1542" t="s">
        <v>177</v>
      </c>
      <c r="AB1542" t="s">
        <v>50</v>
      </c>
      <c r="AC1542" t="s">
        <v>108</v>
      </c>
      <c r="AD1542" t="s">
        <v>52</v>
      </c>
      <c r="AE1542" t="s">
        <v>53</v>
      </c>
      <c r="AF1542" t="s">
        <v>52</v>
      </c>
      <c r="AG1542" t="s">
        <v>54</v>
      </c>
      <c r="AH1542" t="s">
        <v>55</v>
      </c>
      <c r="AK1542">
        <v>6</v>
      </c>
      <c r="AL1542">
        <v>6</v>
      </c>
      <c r="AN1542">
        <v>362</v>
      </c>
      <c r="AO1542">
        <v>14</v>
      </c>
      <c r="AP1542" t="s">
        <v>56</v>
      </c>
      <c r="AQ1542" t="s">
        <v>118</v>
      </c>
      <c r="AR1542">
        <v>8.1999999999999993</v>
      </c>
      <c r="AS1542" t="s">
        <v>56</v>
      </c>
      <c r="AT1542" t="s">
        <v>56</v>
      </c>
      <c r="AU1542">
        <v>4430</v>
      </c>
      <c r="AV1542">
        <v>18</v>
      </c>
      <c r="AW1542" t="s">
        <v>56</v>
      </c>
      <c r="AX1542">
        <v>7.2</v>
      </c>
      <c r="AY1542" t="s">
        <v>56</v>
      </c>
      <c r="AZ1542" t="s">
        <v>56</v>
      </c>
      <c r="BB1542">
        <f>LOG(AU1542)</f>
        <v>3.6464037262230695</v>
      </c>
      <c r="BC1542">
        <v>18</v>
      </c>
      <c r="BD1542" t="s">
        <v>56</v>
      </c>
      <c r="BE1542" t="s">
        <v>56</v>
      </c>
      <c r="BF1542">
        <v>18</v>
      </c>
      <c r="BG1542" t="s">
        <v>56</v>
      </c>
      <c r="BH1542" t="s">
        <v>56</v>
      </c>
      <c r="BI1542">
        <v>4068</v>
      </c>
      <c r="BJ1542">
        <v>0</v>
      </c>
      <c r="BK1542" t="s">
        <v>56</v>
      </c>
      <c r="BL1542" t="s">
        <v>88</v>
      </c>
      <c r="BM1542" t="s">
        <v>83</v>
      </c>
      <c r="BN1542" t="s">
        <v>81</v>
      </c>
      <c r="BO1542" t="s">
        <v>82</v>
      </c>
      <c r="BP1542" t="s">
        <v>83</v>
      </c>
      <c r="BQ1542" s="8" t="s">
        <v>9</v>
      </c>
      <c r="BR1542" t="s">
        <v>84</v>
      </c>
      <c r="BT1542">
        <v>8.52</v>
      </c>
      <c r="BU1542">
        <v>91.475409999999997</v>
      </c>
      <c r="BV1542">
        <v>3.93</v>
      </c>
      <c r="BW1542">
        <f>BV1542*SQRT(AK1542)</f>
        <v>9.6264946891378891</v>
      </c>
      <c r="BX1542">
        <v>29.95</v>
      </c>
      <c r="BY1542">
        <v>70.054644800000005</v>
      </c>
      <c r="BZ1542">
        <v>9.6199999999999992</v>
      </c>
      <c r="CA1542">
        <f>BZ1542*SQRT(AL1542)</f>
        <v>23.564091325574168</v>
      </c>
      <c r="CB1542">
        <v>28</v>
      </c>
      <c r="CC1542">
        <v>6</v>
      </c>
      <c r="CD1542">
        <v>-0.26700000000000002</v>
      </c>
      <c r="CE1542">
        <v>2.07E-2</v>
      </c>
    </row>
    <row r="1543" spans="4:83" hidden="1" x14ac:dyDescent="0.2">
      <c r="D1543">
        <v>117</v>
      </c>
      <c r="G1543" t="s">
        <v>43</v>
      </c>
      <c r="H1543" t="s">
        <v>851</v>
      </c>
      <c r="J1543">
        <v>2014</v>
      </c>
      <c r="M1543" t="s">
        <v>45</v>
      </c>
      <c r="T1543" t="s">
        <v>46</v>
      </c>
      <c r="U1543" t="s">
        <v>799</v>
      </c>
      <c r="V1543" t="s">
        <v>852</v>
      </c>
      <c r="Z1543" t="s">
        <v>177</v>
      </c>
      <c r="AA1543" t="s">
        <v>177</v>
      </c>
      <c r="AB1543" t="s">
        <v>50</v>
      </c>
      <c r="AC1543" t="s">
        <v>108</v>
      </c>
      <c r="AD1543" t="s">
        <v>52</v>
      </c>
      <c r="AE1543" t="s">
        <v>53</v>
      </c>
      <c r="AF1543" t="s">
        <v>52</v>
      </c>
      <c r="AG1543" t="s">
        <v>52</v>
      </c>
      <c r="AH1543" t="s">
        <v>64</v>
      </c>
      <c r="AK1543">
        <v>6</v>
      </c>
      <c r="AL1543">
        <v>6</v>
      </c>
      <c r="AN1543">
        <v>362</v>
      </c>
      <c r="AO1543">
        <v>14</v>
      </c>
      <c r="AP1543" t="s">
        <v>56</v>
      </c>
      <c r="AQ1543" t="s">
        <v>118</v>
      </c>
      <c r="AR1543">
        <v>8.1999999999999993</v>
      </c>
      <c r="AS1543" t="s">
        <v>56</v>
      </c>
      <c r="AT1543" t="s">
        <v>56</v>
      </c>
      <c r="AU1543">
        <v>1066</v>
      </c>
      <c r="AV1543">
        <v>3</v>
      </c>
      <c r="AW1543" t="s">
        <v>56</v>
      </c>
      <c r="AX1543">
        <v>7.8</v>
      </c>
      <c r="AY1543" t="s">
        <v>56</v>
      </c>
      <c r="AZ1543" t="s">
        <v>56</v>
      </c>
      <c r="BB1543">
        <f>LOG(AU1543)</f>
        <v>3.0277572046905536</v>
      </c>
      <c r="BC1543">
        <v>18</v>
      </c>
      <c r="BD1543" t="s">
        <v>56</v>
      </c>
      <c r="BE1543" t="s">
        <v>56</v>
      </c>
      <c r="BF1543">
        <v>22</v>
      </c>
      <c r="BG1543" t="s">
        <v>56</v>
      </c>
      <c r="BH1543" t="s">
        <v>56</v>
      </c>
      <c r="BI1543">
        <v>704</v>
      </c>
      <c r="BJ1543">
        <v>4</v>
      </c>
      <c r="BK1543" t="s">
        <v>56</v>
      </c>
      <c r="BL1543" t="s">
        <v>86</v>
      </c>
      <c r="BM1543" t="s">
        <v>86</v>
      </c>
      <c r="BN1543" t="s">
        <v>81</v>
      </c>
      <c r="BO1543" t="s">
        <v>82</v>
      </c>
      <c r="BP1543" t="s">
        <v>9</v>
      </c>
      <c r="BQ1543" s="8" t="s">
        <v>9</v>
      </c>
      <c r="BR1543" t="s">
        <v>84</v>
      </c>
      <c r="BT1543">
        <v>91.79</v>
      </c>
      <c r="BU1543">
        <v>91.785713999999999</v>
      </c>
      <c r="BV1543">
        <v>3.93</v>
      </c>
      <c r="BW1543">
        <f>BV1543*SQRT(AK1543)</f>
        <v>9.6264946891378891</v>
      </c>
      <c r="BX1543">
        <v>71.790000000000006</v>
      </c>
      <c r="BY1543">
        <v>71.785714299999995</v>
      </c>
      <c r="BZ1543">
        <v>5.36</v>
      </c>
      <c r="CA1543">
        <f>BZ1543*SQRT(AL1543)</f>
        <v>13.129265021317835</v>
      </c>
      <c r="CB1543">
        <v>28</v>
      </c>
      <c r="CC1543">
        <v>6</v>
      </c>
      <c r="CD1543">
        <v>-0.246</v>
      </c>
      <c r="CE1543">
        <v>7.4000000000000003E-3</v>
      </c>
    </row>
    <row r="1544" spans="4:83" hidden="1" x14ac:dyDescent="0.2">
      <c r="D1544">
        <v>117</v>
      </c>
      <c r="G1544" t="s">
        <v>43</v>
      </c>
      <c r="H1544" t="s">
        <v>851</v>
      </c>
      <c r="J1544">
        <v>2014</v>
      </c>
      <c r="M1544" t="s">
        <v>45</v>
      </c>
      <c r="T1544" t="s">
        <v>46</v>
      </c>
      <c r="U1544" t="s">
        <v>799</v>
      </c>
      <c r="V1544" t="s">
        <v>852</v>
      </c>
      <c r="Z1544" t="s">
        <v>177</v>
      </c>
      <c r="AA1544" t="s">
        <v>177</v>
      </c>
      <c r="AB1544" t="s">
        <v>50</v>
      </c>
      <c r="AC1544" t="s">
        <v>108</v>
      </c>
      <c r="AD1544" t="s">
        <v>52</v>
      </c>
      <c r="AE1544" t="s">
        <v>53</v>
      </c>
      <c r="AF1544" t="s">
        <v>52</v>
      </c>
      <c r="AG1544" t="s">
        <v>52</v>
      </c>
      <c r="AH1544" t="s">
        <v>64</v>
      </c>
      <c r="AK1544">
        <v>6</v>
      </c>
      <c r="AL1544">
        <v>6</v>
      </c>
      <c r="AN1544">
        <v>362</v>
      </c>
      <c r="AO1544">
        <v>14</v>
      </c>
      <c r="AP1544" t="s">
        <v>56</v>
      </c>
      <c r="AQ1544" t="s">
        <v>118</v>
      </c>
      <c r="AR1544">
        <v>8.1999999999999993</v>
      </c>
      <c r="AS1544" t="s">
        <v>56</v>
      </c>
      <c r="AT1544" t="s">
        <v>56</v>
      </c>
      <c r="AU1544">
        <v>1757</v>
      </c>
      <c r="AV1544">
        <v>5</v>
      </c>
      <c r="AW1544" t="s">
        <v>56</v>
      </c>
      <c r="AX1544">
        <v>7.6</v>
      </c>
      <c r="AY1544" t="s">
        <v>56</v>
      </c>
      <c r="AZ1544" t="s">
        <v>56</v>
      </c>
      <c r="BB1544">
        <f>LOG(AU1544)</f>
        <v>3.2447717614952949</v>
      </c>
      <c r="BC1544">
        <v>18</v>
      </c>
      <c r="BD1544" t="s">
        <v>56</v>
      </c>
      <c r="BE1544" t="s">
        <v>56</v>
      </c>
      <c r="BF1544">
        <v>22</v>
      </c>
      <c r="BG1544" t="s">
        <v>56</v>
      </c>
      <c r="BH1544" t="s">
        <v>56</v>
      </c>
      <c r="BI1544">
        <v>1395</v>
      </c>
      <c r="BJ1544">
        <v>4</v>
      </c>
      <c r="BK1544" t="s">
        <v>56</v>
      </c>
      <c r="BL1544" t="s">
        <v>86</v>
      </c>
      <c r="BM1544" t="s">
        <v>86</v>
      </c>
      <c r="BN1544" t="s">
        <v>81</v>
      </c>
      <c r="BO1544" t="s">
        <v>82</v>
      </c>
      <c r="BP1544" t="s">
        <v>9</v>
      </c>
      <c r="BQ1544" s="8" t="s">
        <v>9</v>
      </c>
      <c r="BR1544" t="s">
        <v>84</v>
      </c>
      <c r="BT1544">
        <v>91.79</v>
      </c>
      <c r="BU1544">
        <v>91.785713999999999</v>
      </c>
      <c r="BV1544">
        <v>3.93</v>
      </c>
      <c r="BW1544">
        <f>BV1544*SQRT(AK1544)</f>
        <v>9.6264946891378891</v>
      </c>
      <c r="BX1544">
        <v>75</v>
      </c>
      <c r="BY1544">
        <v>75</v>
      </c>
      <c r="BZ1544">
        <v>8.93</v>
      </c>
      <c r="CA1544">
        <f>BZ1544*SQRT(AL1544)</f>
        <v>21.873943403053779</v>
      </c>
      <c r="CB1544">
        <v>28</v>
      </c>
      <c r="CC1544">
        <v>6</v>
      </c>
      <c r="CD1544">
        <v>-0.20200000000000001</v>
      </c>
      <c r="CE1544">
        <v>1.6E-2</v>
      </c>
    </row>
    <row r="1545" spans="4:83" hidden="1" x14ac:dyDescent="0.2">
      <c r="D1545">
        <v>117</v>
      </c>
      <c r="G1545" t="s">
        <v>43</v>
      </c>
      <c r="H1545" t="s">
        <v>851</v>
      </c>
      <c r="J1545">
        <v>2014</v>
      </c>
      <c r="M1545" t="s">
        <v>45</v>
      </c>
      <c r="T1545" t="s">
        <v>46</v>
      </c>
      <c r="U1545" t="s">
        <v>799</v>
      </c>
      <c r="V1545" t="s">
        <v>852</v>
      </c>
      <c r="Z1545" t="s">
        <v>177</v>
      </c>
      <c r="AA1545" t="s">
        <v>177</v>
      </c>
      <c r="AB1545" t="s">
        <v>50</v>
      </c>
      <c r="AC1545" t="s">
        <v>108</v>
      </c>
      <c r="AD1545" t="s">
        <v>52</v>
      </c>
      <c r="AE1545" t="s">
        <v>53</v>
      </c>
      <c r="AF1545" t="s">
        <v>52</v>
      </c>
      <c r="AG1545" t="s">
        <v>54</v>
      </c>
      <c r="AH1545" t="s">
        <v>55</v>
      </c>
      <c r="AK1545">
        <v>6</v>
      </c>
      <c r="AL1545">
        <v>6</v>
      </c>
      <c r="AN1545">
        <v>362</v>
      </c>
      <c r="AO1545">
        <v>14</v>
      </c>
      <c r="AP1545" t="s">
        <v>56</v>
      </c>
      <c r="AQ1545" t="s">
        <v>118</v>
      </c>
      <c r="AR1545">
        <v>8.1999999999999993</v>
      </c>
      <c r="AS1545" t="s">
        <v>56</v>
      </c>
      <c r="AT1545" t="s">
        <v>56</v>
      </c>
      <c r="AU1545">
        <v>1034</v>
      </c>
      <c r="AV1545">
        <v>5</v>
      </c>
      <c r="AW1545" t="s">
        <v>56</v>
      </c>
      <c r="AX1545">
        <v>7.8</v>
      </c>
      <c r="AY1545" t="s">
        <v>56</v>
      </c>
      <c r="AZ1545" t="s">
        <v>56</v>
      </c>
      <c r="BB1545">
        <f>LOG(AU1545)</f>
        <v>3.0145205387579237</v>
      </c>
      <c r="BC1545">
        <v>18</v>
      </c>
      <c r="BD1545" t="s">
        <v>56</v>
      </c>
      <c r="BE1545" t="s">
        <v>56</v>
      </c>
      <c r="BF1545">
        <v>18</v>
      </c>
      <c r="BG1545" t="s">
        <v>56</v>
      </c>
      <c r="BH1545" t="s">
        <v>56</v>
      </c>
      <c r="BI1545">
        <v>672</v>
      </c>
      <c r="BJ1545">
        <v>0</v>
      </c>
      <c r="BK1545" t="s">
        <v>56</v>
      </c>
      <c r="BL1545" t="s">
        <v>86</v>
      </c>
      <c r="BM1545" t="s">
        <v>86</v>
      </c>
      <c r="BN1545" t="s">
        <v>81</v>
      </c>
      <c r="BO1545" t="s">
        <v>82</v>
      </c>
      <c r="BP1545" t="s">
        <v>9</v>
      </c>
      <c r="BQ1545" s="8" t="s">
        <v>9</v>
      </c>
      <c r="BR1545" t="s">
        <v>84</v>
      </c>
      <c r="BT1545">
        <v>91.79</v>
      </c>
      <c r="BU1545">
        <v>91.785713999999999</v>
      </c>
      <c r="BV1545">
        <v>3.93</v>
      </c>
      <c r="BW1545">
        <f>BV1545*SQRT(AK1545)</f>
        <v>9.6264946891378891</v>
      </c>
      <c r="BX1545">
        <v>76.959999999999994</v>
      </c>
      <c r="BY1545">
        <v>76.964285700000005</v>
      </c>
      <c r="BZ1545">
        <v>10</v>
      </c>
      <c r="CA1545">
        <f>BZ1545*SQRT(AL1545)</f>
        <v>24.494897427831781</v>
      </c>
      <c r="CB1545">
        <v>28</v>
      </c>
      <c r="CC1545">
        <v>6</v>
      </c>
      <c r="CD1545">
        <v>-0.17599999999999999</v>
      </c>
      <c r="CE1545">
        <v>1.8700000000000001E-2</v>
      </c>
    </row>
    <row r="1546" spans="4:83" hidden="1" x14ac:dyDescent="0.2">
      <c r="D1546">
        <v>117</v>
      </c>
      <c r="G1546" t="s">
        <v>43</v>
      </c>
      <c r="H1546" t="s">
        <v>851</v>
      </c>
      <c r="J1546">
        <v>2014</v>
      </c>
      <c r="M1546" t="s">
        <v>45</v>
      </c>
      <c r="T1546" t="s">
        <v>46</v>
      </c>
      <c r="U1546" t="s">
        <v>799</v>
      </c>
      <c r="V1546" t="s">
        <v>852</v>
      </c>
      <c r="Z1546" t="s">
        <v>177</v>
      </c>
      <c r="AA1546" t="s">
        <v>177</v>
      </c>
      <c r="AB1546" t="s">
        <v>50</v>
      </c>
      <c r="AC1546" t="s">
        <v>108</v>
      </c>
      <c r="AD1546" t="s">
        <v>52</v>
      </c>
      <c r="AE1546" t="s">
        <v>53</v>
      </c>
      <c r="AF1546" t="s">
        <v>52</v>
      </c>
      <c r="AG1546" t="s">
        <v>54</v>
      </c>
      <c r="AH1546" t="s">
        <v>55</v>
      </c>
      <c r="AK1546">
        <v>6</v>
      </c>
      <c r="AL1546">
        <v>6</v>
      </c>
      <c r="AN1546">
        <v>362</v>
      </c>
      <c r="AO1546">
        <v>14</v>
      </c>
      <c r="AP1546" t="s">
        <v>56</v>
      </c>
      <c r="AQ1546" t="s">
        <v>118</v>
      </c>
      <c r="AR1546">
        <v>8.1999999999999993</v>
      </c>
      <c r="AS1546" t="s">
        <v>56</v>
      </c>
      <c r="AT1546" t="s">
        <v>56</v>
      </c>
      <c r="AU1546">
        <v>1697</v>
      </c>
      <c r="AV1546">
        <v>7</v>
      </c>
      <c r="AW1546" t="s">
        <v>56</v>
      </c>
      <c r="AX1546">
        <v>7.6</v>
      </c>
      <c r="AY1546" t="s">
        <v>56</v>
      </c>
      <c r="AZ1546" t="s">
        <v>56</v>
      </c>
      <c r="BB1546">
        <f>LOG(AU1546)</f>
        <v>3.2296818423176759</v>
      </c>
      <c r="BC1546">
        <v>18</v>
      </c>
      <c r="BD1546" t="s">
        <v>56</v>
      </c>
      <c r="BE1546" t="s">
        <v>56</v>
      </c>
      <c r="BF1546">
        <v>18</v>
      </c>
      <c r="BG1546" t="s">
        <v>56</v>
      </c>
      <c r="BH1546" t="s">
        <v>56</v>
      </c>
      <c r="BI1546">
        <v>1335</v>
      </c>
      <c r="BJ1546">
        <v>0</v>
      </c>
      <c r="BK1546" t="s">
        <v>56</v>
      </c>
      <c r="BL1546" t="s">
        <v>86</v>
      </c>
      <c r="BM1546" t="s">
        <v>86</v>
      </c>
      <c r="BN1546" t="s">
        <v>81</v>
      </c>
      <c r="BO1546" t="s">
        <v>82</v>
      </c>
      <c r="BP1546" t="s">
        <v>9</v>
      </c>
      <c r="BQ1546" s="8" t="s">
        <v>9</v>
      </c>
      <c r="BR1546" t="s">
        <v>84</v>
      </c>
      <c r="BT1546">
        <v>91.79</v>
      </c>
      <c r="BU1546">
        <v>91.785713999999999</v>
      </c>
      <c r="BV1546">
        <v>3.93</v>
      </c>
      <c r="BW1546">
        <f>BV1546*SQRT(AK1546)</f>
        <v>9.6264946891378891</v>
      </c>
      <c r="BX1546">
        <v>78.39</v>
      </c>
      <c r="BY1546">
        <v>78.392857100000001</v>
      </c>
      <c r="BZ1546">
        <v>5.18</v>
      </c>
      <c r="CA1546">
        <f>BZ1546*SQRT(AL1546)</f>
        <v>12.688356867616861</v>
      </c>
      <c r="CB1546">
        <v>28</v>
      </c>
      <c r="CC1546">
        <v>6</v>
      </c>
      <c r="CD1546">
        <v>-0.158</v>
      </c>
      <c r="CE1546">
        <v>6.1999999999999998E-3</v>
      </c>
    </row>
    <row r="1547" spans="4:83" hidden="1" x14ac:dyDescent="0.2">
      <c r="D1547">
        <v>117</v>
      </c>
      <c r="G1547" t="s">
        <v>43</v>
      </c>
      <c r="H1547" t="s">
        <v>851</v>
      </c>
      <c r="J1547">
        <v>2014</v>
      </c>
      <c r="M1547" t="s">
        <v>45</v>
      </c>
      <c r="T1547" t="s">
        <v>46</v>
      </c>
      <c r="U1547" t="s">
        <v>799</v>
      </c>
      <c r="V1547" t="s">
        <v>852</v>
      </c>
      <c r="Z1547" t="s">
        <v>177</v>
      </c>
      <c r="AA1547" t="s">
        <v>177</v>
      </c>
      <c r="AB1547" t="s">
        <v>50</v>
      </c>
      <c r="AC1547" t="s">
        <v>108</v>
      </c>
      <c r="AD1547" t="s">
        <v>52</v>
      </c>
      <c r="AE1547" t="s">
        <v>53</v>
      </c>
      <c r="AF1547" t="s">
        <v>52</v>
      </c>
      <c r="AG1547" t="s">
        <v>52</v>
      </c>
      <c r="AH1547" t="s">
        <v>64</v>
      </c>
      <c r="AK1547">
        <v>6</v>
      </c>
      <c r="AL1547">
        <v>6</v>
      </c>
      <c r="AN1547">
        <v>362</v>
      </c>
      <c r="AO1547">
        <v>14</v>
      </c>
      <c r="AP1547" t="s">
        <v>56</v>
      </c>
      <c r="AQ1547" t="s">
        <v>118</v>
      </c>
      <c r="AR1547">
        <v>8.1999999999999993</v>
      </c>
      <c r="AS1547" t="s">
        <v>56</v>
      </c>
      <c r="AT1547" t="s">
        <v>56</v>
      </c>
      <c r="AU1547">
        <v>1066</v>
      </c>
      <c r="AV1547">
        <v>3</v>
      </c>
      <c r="AW1547" t="s">
        <v>56</v>
      </c>
      <c r="AX1547">
        <v>7.8</v>
      </c>
      <c r="AY1547" t="s">
        <v>56</v>
      </c>
      <c r="AZ1547" t="s">
        <v>56</v>
      </c>
      <c r="BB1547">
        <f>LOG(AU1547)</f>
        <v>3.0277572046905536</v>
      </c>
      <c r="BC1547">
        <v>18</v>
      </c>
      <c r="BD1547" t="s">
        <v>56</v>
      </c>
      <c r="BE1547" t="s">
        <v>56</v>
      </c>
      <c r="BF1547">
        <v>22</v>
      </c>
      <c r="BG1547" t="s">
        <v>56</v>
      </c>
      <c r="BH1547" t="s">
        <v>56</v>
      </c>
      <c r="BI1547">
        <v>704</v>
      </c>
      <c r="BJ1547">
        <v>4</v>
      </c>
      <c r="BK1547" t="s">
        <v>56</v>
      </c>
      <c r="BL1547" t="s">
        <v>88</v>
      </c>
      <c r="BM1547" t="s">
        <v>83</v>
      </c>
      <c r="BN1547" t="s">
        <v>81</v>
      </c>
      <c r="BO1547" t="s">
        <v>82</v>
      </c>
      <c r="BP1547" t="s">
        <v>83</v>
      </c>
      <c r="BQ1547" s="8" t="s">
        <v>9</v>
      </c>
      <c r="BR1547" t="s">
        <v>84</v>
      </c>
      <c r="BT1547">
        <v>8.52</v>
      </c>
      <c r="BU1547">
        <v>91.475409999999997</v>
      </c>
      <c r="BV1547">
        <v>3.93</v>
      </c>
      <c r="BW1547">
        <f>BV1547*SQRT(AK1547)</f>
        <v>9.6264946891378891</v>
      </c>
      <c r="BX1547">
        <v>21.86</v>
      </c>
      <c r="BY1547">
        <v>78.142076500000002</v>
      </c>
      <c r="BZ1547">
        <v>5.68</v>
      </c>
      <c r="CA1547">
        <f>BZ1547*SQRT(AL1547)</f>
        <v>13.91310173900845</v>
      </c>
      <c r="CB1547">
        <v>28</v>
      </c>
      <c r="CC1547">
        <v>6</v>
      </c>
      <c r="CD1547">
        <v>-0.158</v>
      </c>
      <c r="CE1547">
        <v>7.1000000000000004E-3</v>
      </c>
    </row>
    <row r="1548" spans="4:83" hidden="1" x14ac:dyDescent="0.2">
      <c r="D1548">
        <v>117</v>
      </c>
      <c r="G1548" t="s">
        <v>43</v>
      </c>
      <c r="H1548" t="s">
        <v>851</v>
      </c>
      <c r="J1548">
        <v>2014</v>
      </c>
      <c r="M1548" t="s">
        <v>45</v>
      </c>
      <c r="T1548" t="s">
        <v>46</v>
      </c>
      <c r="U1548" t="s">
        <v>799</v>
      </c>
      <c r="V1548" t="s">
        <v>852</v>
      </c>
      <c r="Z1548" t="s">
        <v>177</v>
      </c>
      <c r="AA1548" t="s">
        <v>177</v>
      </c>
      <c r="AB1548" t="s">
        <v>50</v>
      </c>
      <c r="AC1548" t="s">
        <v>108</v>
      </c>
      <c r="AD1548" t="s">
        <v>52</v>
      </c>
      <c r="AE1548" t="s">
        <v>53</v>
      </c>
      <c r="AF1548" t="s">
        <v>52</v>
      </c>
      <c r="AG1548" t="s">
        <v>52</v>
      </c>
      <c r="AH1548" t="s">
        <v>64</v>
      </c>
      <c r="AK1548">
        <v>6</v>
      </c>
      <c r="AL1548">
        <v>6</v>
      </c>
      <c r="AN1548">
        <v>362</v>
      </c>
      <c r="AO1548">
        <v>14</v>
      </c>
      <c r="AP1548" t="s">
        <v>56</v>
      </c>
      <c r="AQ1548" t="s">
        <v>118</v>
      </c>
      <c r="AR1548">
        <v>8.1999999999999993</v>
      </c>
      <c r="AS1548" t="s">
        <v>56</v>
      </c>
      <c r="AT1548" t="s">
        <v>56</v>
      </c>
      <c r="AU1548">
        <v>1757</v>
      </c>
      <c r="AV1548">
        <v>5</v>
      </c>
      <c r="AW1548" t="s">
        <v>56</v>
      </c>
      <c r="AX1548">
        <v>7.6</v>
      </c>
      <c r="AY1548" t="s">
        <v>56</v>
      </c>
      <c r="AZ1548" t="s">
        <v>56</v>
      </c>
      <c r="BB1548">
        <f>LOG(AU1548)</f>
        <v>3.2447717614952949</v>
      </c>
      <c r="BC1548">
        <v>18</v>
      </c>
      <c r="BD1548" t="s">
        <v>56</v>
      </c>
      <c r="BE1548" t="s">
        <v>56</v>
      </c>
      <c r="BF1548">
        <v>22</v>
      </c>
      <c r="BG1548" t="s">
        <v>56</v>
      </c>
      <c r="BH1548" t="s">
        <v>56</v>
      </c>
      <c r="BI1548">
        <v>1395</v>
      </c>
      <c r="BJ1548">
        <v>4</v>
      </c>
      <c r="BK1548" t="s">
        <v>56</v>
      </c>
      <c r="BL1548" t="s">
        <v>88</v>
      </c>
      <c r="BM1548" t="s">
        <v>83</v>
      </c>
      <c r="BN1548" t="s">
        <v>81</v>
      </c>
      <c r="BO1548" t="s">
        <v>82</v>
      </c>
      <c r="BP1548" t="s">
        <v>83</v>
      </c>
      <c r="BQ1548" s="8" t="s">
        <v>9</v>
      </c>
      <c r="BR1548" t="s">
        <v>84</v>
      </c>
      <c r="BT1548">
        <v>8.52</v>
      </c>
      <c r="BU1548">
        <v>91.475409999999997</v>
      </c>
      <c r="BV1548">
        <v>3.93</v>
      </c>
      <c r="BW1548">
        <f>BV1548*SQRT(AK1548)</f>
        <v>9.6264946891378891</v>
      </c>
      <c r="BX1548">
        <v>20</v>
      </c>
      <c r="BY1548">
        <v>80</v>
      </c>
      <c r="BZ1548">
        <v>7.76</v>
      </c>
      <c r="CA1548">
        <f>BZ1548*SQRT(AL1548)</f>
        <v>19.008040403997459</v>
      </c>
      <c r="CB1548">
        <v>28</v>
      </c>
      <c r="CC1548">
        <v>6</v>
      </c>
      <c r="CD1548">
        <v>-0.13400000000000001</v>
      </c>
      <c r="CE1548">
        <v>1.1299999999999999E-2</v>
      </c>
    </row>
    <row r="1549" spans="4:83" hidden="1" x14ac:dyDescent="0.2">
      <c r="D1549">
        <v>117</v>
      </c>
      <c r="G1549" t="s">
        <v>43</v>
      </c>
      <c r="H1549" t="s">
        <v>851</v>
      </c>
      <c r="J1549">
        <v>2014</v>
      </c>
      <c r="M1549" t="s">
        <v>45</v>
      </c>
      <c r="T1549" t="s">
        <v>46</v>
      </c>
      <c r="U1549" t="s">
        <v>799</v>
      </c>
      <c r="V1549" t="s">
        <v>852</v>
      </c>
      <c r="Z1549" t="s">
        <v>177</v>
      </c>
      <c r="AA1549" t="s">
        <v>177</v>
      </c>
      <c r="AB1549" t="s">
        <v>50</v>
      </c>
      <c r="AC1549" t="s">
        <v>108</v>
      </c>
      <c r="AD1549" t="s">
        <v>52</v>
      </c>
      <c r="AE1549" t="s">
        <v>53</v>
      </c>
      <c r="AF1549" t="s">
        <v>52</v>
      </c>
      <c r="AG1549" t="s">
        <v>54</v>
      </c>
      <c r="AH1549" t="s">
        <v>55</v>
      </c>
      <c r="AK1549">
        <v>6</v>
      </c>
      <c r="AL1549">
        <v>6</v>
      </c>
      <c r="AN1549">
        <v>362</v>
      </c>
      <c r="AO1549">
        <v>14</v>
      </c>
      <c r="AP1549" t="s">
        <v>56</v>
      </c>
      <c r="AQ1549" t="s">
        <v>118</v>
      </c>
      <c r="AR1549">
        <v>8.1999999999999993</v>
      </c>
      <c r="AS1549" t="s">
        <v>56</v>
      </c>
      <c r="AT1549" t="s">
        <v>56</v>
      </c>
      <c r="AU1549">
        <v>1697</v>
      </c>
      <c r="AV1549">
        <v>7</v>
      </c>
      <c r="AW1549" t="s">
        <v>56</v>
      </c>
      <c r="AX1549">
        <v>7.6</v>
      </c>
      <c r="AY1549" t="s">
        <v>56</v>
      </c>
      <c r="AZ1549" t="s">
        <v>56</v>
      </c>
      <c r="BB1549">
        <f>LOG(AU1549)</f>
        <v>3.2296818423176759</v>
      </c>
      <c r="BC1549">
        <v>18</v>
      </c>
      <c r="BD1549" t="s">
        <v>56</v>
      </c>
      <c r="BE1549" t="s">
        <v>56</v>
      </c>
      <c r="BF1549">
        <v>18</v>
      </c>
      <c r="BG1549" t="s">
        <v>56</v>
      </c>
      <c r="BH1549" t="s">
        <v>56</v>
      </c>
      <c r="BI1549">
        <v>1335</v>
      </c>
      <c r="BJ1549">
        <v>0</v>
      </c>
      <c r="BK1549" t="s">
        <v>56</v>
      </c>
      <c r="BL1549" t="s">
        <v>88</v>
      </c>
      <c r="BM1549" t="s">
        <v>83</v>
      </c>
      <c r="BN1549" t="s">
        <v>81</v>
      </c>
      <c r="BO1549" t="s">
        <v>82</v>
      </c>
      <c r="BP1549" t="s">
        <v>83</v>
      </c>
      <c r="BQ1549" s="8" t="s">
        <v>190</v>
      </c>
      <c r="BR1549" t="s">
        <v>84</v>
      </c>
      <c r="BT1549">
        <v>8.52</v>
      </c>
      <c r="BU1549">
        <v>91.475409999999997</v>
      </c>
      <c r="BV1549">
        <v>3.93</v>
      </c>
      <c r="BW1549">
        <f>BV1549*SQRT(AK1549)</f>
        <v>9.6264946891378891</v>
      </c>
      <c r="BX1549">
        <v>18.25</v>
      </c>
      <c r="BY1549">
        <v>81.748633900000002</v>
      </c>
      <c r="BZ1549">
        <v>6.01</v>
      </c>
      <c r="CA1549">
        <f>BZ1549*SQRT(AL1549)</f>
        <v>14.721433354126898</v>
      </c>
      <c r="CB1549">
        <v>28</v>
      </c>
      <c r="CC1549">
        <v>6</v>
      </c>
      <c r="CD1549">
        <v>-0.112</v>
      </c>
      <c r="CE1549">
        <v>7.3000000000000001E-3</v>
      </c>
    </row>
    <row r="1550" spans="4:83" hidden="1" x14ac:dyDescent="0.2">
      <c r="D1550">
        <v>117</v>
      </c>
      <c r="G1550" t="s">
        <v>43</v>
      </c>
      <c r="H1550" t="s">
        <v>851</v>
      </c>
      <c r="J1550">
        <v>2014</v>
      </c>
      <c r="M1550" t="s">
        <v>45</v>
      </c>
      <c r="T1550" t="s">
        <v>46</v>
      </c>
      <c r="U1550" t="s">
        <v>799</v>
      </c>
      <c r="V1550" t="s">
        <v>852</v>
      </c>
      <c r="Z1550" t="s">
        <v>177</v>
      </c>
      <c r="AA1550" t="s">
        <v>177</v>
      </c>
      <c r="AB1550" t="s">
        <v>50</v>
      </c>
      <c r="AC1550" t="s">
        <v>108</v>
      </c>
      <c r="AD1550" t="s">
        <v>52</v>
      </c>
      <c r="AE1550" t="s">
        <v>53</v>
      </c>
      <c r="AF1550" t="s">
        <v>54</v>
      </c>
      <c r="AG1550" t="s">
        <v>52</v>
      </c>
      <c r="AH1550" t="s">
        <v>65</v>
      </c>
      <c r="AK1550">
        <v>6</v>
      </c>
      <c r="AL1550">
        <v>6</v>
      </c>
      <c r="AN1550">
        <v>362</v>
      </c>
      <c r="AO1550">
        <v>14</v>
      </c>
      <c r="AP1550" t="s">
        <v>56</v>
      </c>
      <c r="AQ1550" t="s">
        <v>118</v>
      </c>
      <c r="AR1550">
        <v>8.1999999999999993</v>
      </c>
      <c r="AS1550" t="s">
        <v>56</v>
      </c>
      <c r="AT1550" t="s">
        <v>56</v>
      </c>
      <c r="AU1550">
        <v>389</v>
      </c>
      <c r="AV1550">
        <v>16</v>
      </c>
      <c r="AW1550" t="s">
        <v>56</v>
      </c>
      <c r="AX1550">
        <v>8.1999999999999993</v>
      </c>
      <c r="AY1550" t="s">
        <v>56</v>
      </c>
      <c r="AZ1550" t="s">
        <v>56</v>
      </c>
      <c r="BB1550">
        <f>LOG(AU1550)</f>
        <v>2.5899496013257077</v>
      </c>
      <c r="BC1550">
        <v>18</v>
      </c>
      <c r="BD1550" t="s">
        <v>56</v>
      </c>
      <c r="BE1550" t="s">
        <v>56</v>
      </c>
      <c r="BF1550">
        <v>22</v>
      </c>
      <c r="BG1550" t="s">
        <v>56</v>
      </c>
      <c r="BH1550" t="s">
        <v>56</v>
      </c>
      <c r="BI1550">
        <v>28</v>
      </c>
      <c r="BJ1550">
        <v>4</v>
      </c>
      <c r="BK1550" t="s">
        <v>56</v>
      </c>
      <c r="BL1550" t="s">
        <v>86</v>
      </c>
      <c r="BM1550" t="s">
        <v>86</v>
      </c>
      <c r="BN1550" t="s">
        <v>81</v>
      </c>
      <c r="BO1550" t="s">
        <v>82</v>
      </c>
      <c r="BP1550" t="s">
        <v>9</v>
      </c>
      <c r="BQ1550" s="8" t="s">
        <v>9</v>
      </c>
      <c r="BR1550" t="s">
        <v>84</v>
      </c>
      <c r="BT1550">
        <v>91.79</v>
      </c>
      <c r="BU1550">
        <v>91.785713999999999</v>
      </c>
      <c r="BV1550">
        <v>3.93</v>
      </c>
      <c r="BW1550">
        <f>BV1550*SQRT(AK1550)</f>
        <v>9.6264946891378891</v>
      </c>
      <c r="BX1550">
        <v>83.21</v>
      </c>
      <c r="BY1550">
        <v>83.214285700000005</v>
      </c>
      <c r="BZ1550">
        <v>5</v>
      </c>
      <c r="CA1550">
        <f>BZ1550*SQRT(AL1550)</f>
        <v>12.24744871391589</v>
      </c>
      <c r="CB1550">
        <v>28</v>
      </c>
      <c r="CC1550">
        <v>6</v>
      </c>
      <c r="CD1550">
        <v>-9.8000000000000004E-2</v>
      </c>
      <c r="CE1550">
        <v>5.4000000000000003E-3</v>
      </c>
    </row>
    <row r="1551" spans="4:83" hidden="1" x14ac:dyDescent="0.2">
      <c r="D1551">
        <v>117</v>
      </c>
      <c r="G1551" t="s">
        <v>43</v>
      </c>
      <c r="H1551" t="s">
        <v>851</v>
      </c>
      <c r="J1551">
        <v>2014</v>
      </c>
      <c r="M1551" t="s">
        <v>45</v>
      </c>
      <c r="T1551" t="s">
        <v>46</v>
      </c>
      <c r="U1551" t="s">
        <v>799</v>
      </c>
      <c r="V1551" t="s">
        <v>852</v>
      </c>
      <c r="Z1551" t="s">
        <v>177</v>
      </c>
      <c r="AA1551" t="s">
        <v>177</v>
      </c>
      <c r="AB1551" t="s">
        <v>50</v>
      </c>
      <c r="AC1551" t="s">
        <v>108</v>
      </c>
      <c r="AD1551" t="s">
        <v>52</v>
      </c>
      <c r="AE1551" t="s">
        <v>53</v>
      </c>
      <c r="AF1551" t="s">
        <v>52</v>
      </c>
      <c r="AG1551" t="s">
        <v>52</v>
      </c>
      <c r="AH1551" t="s">
        <v>64</v>
      </c>
      <c r="AK1551">
        <v>6</v>
      </c>
      <c r="AL1551">
        <v>6</v>
      </c>
      <c r="AN1551">
        <v>362</v>
      </c>
      <c r="AO1551">
        <v>14</v>
      </c>
      <c r="AP1551" t="s">
        <v>56</v>
      </c>
      <c r="AQ1551" t="s">
        <v>118</v>
      </c>
      <c r="AR1551">
        <v>8.1999999999999993</v>
      </c>
      <c r="AS1551" t="s">
        <v>56</v>
      </c>
      <c r="AT1551" t="s">
        <v>56</v>
      </c>
      <c r="AU1551">
        <v>4601</v>
      </c>
      <c r="AV1551">
        <v>12</v>
      </c>
      <c r="AW1551" t="s">
        <v>56</v>
      </c>
      <c r="AX1551">
        <v>7.2</v>
      </c>
      <c r="AY1551" t="s">
        <v>56</v>
      </c>
      <c r="AZ1551" t="s">
        <v>56</v>
      </c>
      <c r="BB1551">
        <f>LOG(AU1551)</f>
        <v>3.6628522332647964</v>
      </c>
      <c r="BC1551">
        <v>18</v>
      </c>
      <c r="BD1551" t="s">
        <v>56</v>
      </c>
      <c r="BE1551" t="s">
        <v>56</v>
      </c>
      <c r="BF1551">
        <v>22</v>
      </c>
      <c r="BG1551" t="s">
        <v>56</v>
      </c>
      <c r="BH1551" t="s">
        <v>56</v>
      </c>
      <c r="BI1551">
        <v>4239</v>
      </c>
      <c r="BJ1551">
        <v>4</v>
      </c>
      <c r="BK1551" t="s">
        <v>56</v>
      </c>
      <c r="BL1551" t="s">
        <v>853</v>
      </c>
      <c r="BM1551" t="s">
        <v>90</v>
      </c>
      <c r="BN1551" t="s">
        <v>81</v>
      </c>
      <c r="BO1551" t="s">
        <v>91</v>
      </c>
      <c r="BP1551" t="s">
        <v>92</v>
      </c>
      <c r="BQ1551" s="8" t="s">
        <v>9</v>
      </c>
      <c r="BR1551" t="s">
        <v>63</v>
      </c>
      <c r="BT1551">
        <v>464.04</v>
      </c>
      <c r="BU1551">
        <v>464.036697</v>
      </c>
      <c r="BV1551">
        <v>10.28</v>
      </c>
      <c r="BW1551">
        <f>BV1551*SQRT(AK1551)</f>
        <v>25.180754555811067</v>
      </c>
      <c r="BX1551">
        <v>437.06</v>
      </c>
      <c r="BY1551">
        <v>437.06422020000002</v>
      </c>
      <c r="BZ1551">
        <v>6.42</v>
      </c>
      <c r="CA1551">
        <f>BZ1551*SQRT(AL1551)</f>
        <v>15.725724148668002</v>
      </c>
      <c r="CB1551">
        <v>28</v>
      </c>
      <c r="CC1551">
        <v>6</v>
      </c>
      <c r="CD1551">
        <v>-0.06</v>
      </c>
      <c r="CE1551">
        <v>6.9999999999999999E-4</v>
      </c>
    </row>
    <row r="1552" spans="4:83" hidden="1" x14ac:dyDescent="0.2">
      <c r="D1552">
        <v>117</v>
      </c>
      <c r="G1552" t="s">
        <v>43</v>
      </c>
      <c r="H1552" t="s">
        <v>851</v>
      </c>
      <c r="J1552">
        <v>2014</v>
      </c>
      <c r="M1552" t="s">
        <v>45</v>
      </c>
      <c r="T1552" t="s">
        <v>46</v>
      </c>
      <c r="U1552" t="s">
        <v>799</v>
      </c>
      <c r="V1552" t="s">
        <v>852</v>
      </c>
      <c r="Z1552" t="s">
        <v>177</v>
      </c>
      <c r="AA1552" t="s">
        <v>177</v>
      </c>
      <c r="AB1552" t="s">
        <v>50</v>
      </c>
      <c r="AC1552" t="s">
        <v>108</v>
      </c>
      <c r="AD1552" t="s">
        <v>52</v>
      </c>
      <c r="AE1552" t="s">
        <v>53</v>
      </c>
      <c r="AF1552" t="s">
        <v>54</v>
      </c>
      <c r="AG1552" t="s">
        <v>52</v>
      </c>
      <c r="AH1552" t="s">
        <v>65</v>
      </c>
      <c r="AK1552">
        <v>6</v>
      </c>
      <c r="AL1552">
        <v>6</v>
      </c>
      <c r="AN1552">
        <v>362</v>
      </c>
      <c r="AO1552">
        <v>14</v>
      </c>
      <c r="AP1552" t="s">
        <v>56</v>
      </c>
      <c r="AQ1552" t="s">
        <v>118</v>
      </c>
      <c r="AR1552">
        <v>8.1999999999999993</v>
      </c>
      <c r="AS1552" t="s">
        <v>56</v>
      </c>
      <c r="AT1552" t="s">
        <v>56</v>
      </c>
      <c r="AU1552">
        <v>389</v>
      </c>
      <c r="AV1552">
        <v>16</v>
      </c>
      <c r="AW1552" t="s">
        <v>56</v>
      </c>
      <c r="AX1552">
        <v>8.1999999999999993</v>
      </c>
      <c r="AY1552" t="s">
        <v>56</v>
      </c>
      <c r="AZ1552" t="s">
        <v>56</v>
      </c>
      <c r="BB1552">
        <f>LOG(AU1552)</f>
        <v>2.5899496013257077</v>
      </c>
      <c r="BC1552">
        <v>18</v>
      </c>
      <c r="BD1552" t="s">
        <v>56</v>
      </c>
      <c r="BE1552" t="s">
        <v>56</v>
      </c>
      <c r="BF1552">
        <v>22</v>
      </c>
      <c r="BG1552" t="s">
        <v>56</v>
      </c>
      <c r="BH1552" t="s">
        <v>56</v>
      </c>
      <c r="BI1552">
        <v>28</v>
      </c>
      <c r="BJ1552">
        <v>4</v>
      </c>
      <c r="BK1552" t="s">
        <v>56</v>
      </c>
      <c r="BL1552" t="s">
        <v>88</v>
      </c>
      <c r="BM1552" t="s">
        <v>83</v>
      </c>
      <c r="BN1552" t="s">
        <v>81</v>
      </c>
      <c r="BO1552" t="s">
        <v>82</v>
      </c>
      <c r="BP1552" t="s">
        <v>83</v>
      </c>
      <c r="BQ1552" s="8" t="s">
        <v>190</v>
      </c>
      <c r="BR1552" t="s">
        <v>84</v>
      </c>
      <c r="BT1552">
        <v>8.52</v>
      </c>
      <c r="BU1552">
        <v>91.475409999999997</v>
      </c>
      <c r="BV1552">
        <v>3.93</v>
      </c>
      <c r="BW1552">
        <f>BV1552*SQRT(AK1552)</f>
        <v>9.6264946891378891</v>
      </c>
      <c r="BX1552">
        <v>13.33</v>
      </c>
      <c r="BY1552">
        <v>86.666666699999993</v>
      </c>
      <c r="BZ1552">
        <v>4.26</v>
      </c>
      <c r="CA1552">
        <f>BZ1552*SQRT(AL1552)</f>
        <v>10.434826304256337</v>
      </c>
      <c r="CB1552">
        <v>28</v>
      </c>
      <c r="CC1552">
        <v>6</v>
      </c>
      <c r="CD1552">
        <v>-5.3999999999999999E-2</v>
      </c>
      <c r="CE1552">
        <v>4.3E-3</v>
      </c>
    </row>
    <row r="1553" spans="4:83" hidden="1" x14ac:dyDescent="0.2">
      <c r="D1553">
        <v>117</v>
      </c>
      <c r="G1553" t="s">
        <v>43</v>
      </c>
      <c r="H1553" t="s">
        <v>851</v>
      </c>
      <c r="J1553">
        <v>2014</v>
      </c>
      <c r="M1553" t="s">
        <v>45</v>
      </c>
      <c r="T1553" t="s">
        <v>46</v>
      </c>
      <c r="U1553" t="s">
        <v>799</v>
      </c>
      <c r="V1553" t="s">
        <v>852</v>
      </c>
      <c r="Z1553" t="s">
        <v>177</v>
      </c>
      <c r="AA1553" t="s">
        <v>177</v>
      </c>
      <c r="AB1553" t="s">
        <v>50</v>
      </c>
      <c r="AC1553" t="s">
        <v>108</v>
      </c>
      <c r="AD1553" t="s">
        <v>52</v>
      </c>
      <c r="AE1553" t="s">
        <v>53</v>
      </c>
      <c r="AF1553" t="s">
        <v>52</v>
      </c>
      <c r="AG1553" t="s">
        <v>54</v>
      </c>
      <c r="AH1553" t="s">
        <v>55</v>
      </c>
      <c r="AK1553">
        <v>6</v>
      </c>
      <c r="AL1553">
        <v>6</v>
      </c>
      <c r="AN1553">
        <v>362</v>
      </c>
      <c r="AO1553">
        <v>14</v>
      </c>
      <c r="AP1553" t="s">
        <v>56</v>
      </c>
      <c r="AQ1553" t="s">
        <v>118</v>
      </c>
      <c r="AR1553">
        <v>8.1999999999999993</v>
      </c>
      <c r="AS1553" t="s">
        <v>56</v>
      </c>
      <c r="AT1553" t="s">
        <v>56</v>
      </c>
      <c r="AU1553">
        <v>1034</v>
      </c>
      <c r="AV1553">
        <v>5</v>
      </c>
      <c r="AW1553" t="s">
        <v>56</v>
      </c>
      <c r="AX1553">
        <v>7.8</v>
      </c>
      <c r="AY1553" t="s">
        <v>56</v>
      </c>
      <c r="AZ1553" t="s">
        <v>56</v>
      </c>
      <c r="BB1553">
        <f>LOG(AU1553)</f>
        <v>3.0145205387579237</v>
      </c>
      <c r="BC1553">
        <v>18</v>
      </c>
      <c r="BD1553" t="s">
        <v>56</v>
      </c>
      <c r="BE1553" t="s">
        <v>56</v>
      </c>
      <c r="BF1553">
        <v>18</v>
      </c>
      <c r="BG1553" t="s">
        <v>56</v>
      </c>
      <c r="BH1553" t="s">
        <v>56</v>
      </c>
      <c r="BI1553">
        <v>672</v>
      </c>
      <c r="BJ1553">
        <v>0</v>
      </c>
      <c r="BK1553" t="s">
        <v>56</v>
      </c>
      <c r="BL1553" t="s">
        <v>88</v>
      </c>
      <c r="BM1553" t="s">
        <v>83</v>
      </c>
      <c r="BN1553" t="s">
        <v>81</v>
      </c>
      <c r="BO1553" t="s">
        <v>82</v>
      </c>
      <c r="BP1553" t="s">
        <v>83</v>
      </c>
      <c r="BQ1553" s="8" t="s">
        <v>190</v>
      </c>
      <c r="BR1553" t="s">
        <v>84</v>
      </c>
      <c r="BT1553">
        <v>8.52</v>
      </c>
      <c r="BU1553">
        <v>91.475409999999997</v>
      </c>
      <c r="BV1553">
        <v>3.93</v>
      </c>
      <c r="BW1553">
        <f>BV1553*SQRT(AK1553)</f>
        <v>9.6264946891378891</v>
      </c>
      <c r="BX1553">
        <v>11.91</v>
      </c>
      <c r="BY1553">
        <v>88.087431699999996</v>
      </c>
      <c r="BZ1553">
        <v>5.79</v>
      </c>
      <c r="CA1553">
        <f>BZ1553*SQRT(AL1553)</f>
        <v>14.1825456107146</v>
      </c>
      <c r="CB1553">
        <v>28</v>
      </c>
      <c r="CC1553">
        <v>6</v>
      </c>
      <c r="CD1553">
        <v>-3.7999999999999999E-2</v>
      </c>
      <c r="CE1553">
        <v>6.1999999999999998E-3</v>
      </c>
    </row>
    <row r="1554" spans="4:83" hidden="1" x14ac:dyDescent="0.2">
      <c r="D1554">
        <v>117</v>
      </c>
      <c r="G1554" t="s">
        <v>43</v>
      </c>
      <c r="H1554" t="s">
        <v>851</v>
      </c>
      <c r="J1554">
        <v>2014</v>
      </c>
      <c r="M1554" t="s">
        <v>45</v>
      </c>
      <c r="T1554" t="s">
        <v>46</v>
      </c>
      <c r="U1554" t="s">
        <v>799</v>
      </c>
      <c r="V1554" t="s">
        <v>852</v>
      </c>
      <c r="Z1554" t="s">
        <v>177</v>
      </c>
      <c r="AA1554" t="s">
        <v>177</v>
      </c>
      <c r="AB1554" t="s">
        <v>50</v>
      </c>
      <c r="AC1554" t="s">
        <v>108</v>
      </c>
      <c r="AD1554" t="s">
        <v>52</v>
      </c>
      <c r="AE1554" t="s">
        <v>53</v>
      </c>
      <c r="AF1554" t="s">
        <v>52</v>
      </c>
      <c r="AG1554" t="s">
        <v>52</v>
      </c>
      <c r="AH1554" t="s">
        <v>64</v>
      </c>
      <c r="AK1554">
        <v>6</v>
      </c>
      <c r="AL1554">
        <v>6</v>
      </c>
      <c r="AN1554">
        <v>362</v>
      </c>
      <c r="AO1554">
        <v>14</v>
      </c>
      <c r="AP1554" t="s">
        <v>56</v>
      </c>
      <c r="AQ1554" t="s">
        <v>118</v>
      </c>
      <c r="AR1554">
        <v>8.1999999999999993</v>
      </c>
      <c r="AS1554" t="s">
        <v>56</v>
      </c>
      <c r="AT1554" t="s">
        <v>56</v>
      </c>
      <c r="AU1554">
        <v>1066</v>
      </c>
      <c r="AV1554">
        <v>3</v>
      </c>
      <c r="AW1554" t="s">
        <v>56</v>
      </c>
      <c r="AX1554">
        <v>7.8</v>
      </c>
      <c r="AY1554" t="s">
        <v>56</v>
      </c>
      <c r="AZ1554" t="s">
        <v>56</v>
      </c>
      <c r="BB1554">
        <f>LOG(AU1554)</f>
        <v>3.0277572046905536</v>
      </c>
      <c r="BC1554">
        <v>18</v>
      </c>
      <c r="BD1554" t="s">
        <v>56</v>
      </c>
      <c r="BE1554" t="s">
        <v>56</v>
      </c>
      <c r="BF1554">
        <v>22</v>
      </c>
      <c r="BG1554" t="s">
        <v>56</v>
      </c>
      <c r="BH1554" t="s">
        <v>56</v>
      </c>
      <c r="BI1554">
        <v>704</v>
      </c>
      <c r="BJ1554">
        <v>4</v>
      </c>
      <c r="BK1554" t="s">
        <v>56</v>
      </c>
      <c r="BL1554" t="s">
        <v>853</v>
      </c>
      <c r="BM1554" t="s">
        <v>90</v>
      </c>
      <c r="BN1554" t="s">
        <v>81</v>
      </c>
      <c r="BO1554" t="s">
        <v>91</v>
      </c>
      <c r="BP1554" t="s">
        <v>92</v>
      </c>
      <c r="BQ1554" s="8" t="s">
        <v>190</v>
      </c>
      <c r="BR1554" t="s">
        <v>63</v>
      </c>
      <c r="BT1554">
        <v>464.04</v>
      </c>
      <c r="BU1554">
        <v>464.036697</v>
      </c>
      <c r="BV1554">
        <v>10.28</v>
      </c>
      <c r="BW1554">
        <f>BV1554*SQRT(AK1554)</f>
        <v>25.180754555811067</v>
      </c>
      <c r="BX1554">
        <v>448.26</v>
      </c>
      <c r="BY1554">
        <v>448.25688070000001</v>
      </c>
      <c r="BZ1554">
        <v>8.26</v>
      </c>
      <c r="CA1554">
        <f>BZ1554*SQRT(AL1554)</f>
        <v>20.232785275389048</v>
      </c>
      <c r="CB1554">
        <v>28</v>
      </c>
      <c r="CC1554">
        <v>6</v>
      </c>
      <c r="CD1554">
        <v>-3.5000000000000003E-2</v>
      </c>
      <c r="CE1554">
        <v>8.0000000000000004E-4</v>
      </c>
    </row>
    <row r="1555" spans="4:83" hidden="1" x14ac:dyDescent="0.2">
      <c r="D1555">
        <v>117</v>
      </c>
      <c r="G1555" t="s">
        <v>43</v>
      </c>
      <c r="H1555" t="s">
        <v>851</v>
      </c>
      <c r="J1555">
        <v>2014</v>
      </c>
      <c r="M1555" t="s">
        <v>45</v>
      </c>
      <c r="T1555" t="s">
        <v>46</v>
      </c>
      <c r="U1555" t="s">
        <v>799</v>
      </c>
      <c r="V1555" t="s">
        <v>852</v>
      </c>
      <c r="Z1555" t="s">
        <v>177</v>
      </c>
      <c r="AA1555" t="s">
        <v>177</v>
      </c>
      <c r="AB1555" t="s">
        <v>50</v>
      </c>
      <c r="AC1555" t="s">
        <v>108</v>
      </c>
      <c r="AD1555" t="s">
        <v>52</v>
      </c>
      <c r="AE1555" t="s">
        <v>53</v>
      </c>
      <c r="AF1555" t="s">
        <v>52</v>
      </c>
      <c r="AG1555" t="s">
        <v>54</v>
      </c>
      <c r="AH1555" t="s">
        <v>55</v>
      </c>
      <c r="AK1555">
        <v>6</v>
      </c>
      <c r="AL1555">
        <v>6</v>
      </c>
      <c r="AN1555">
        <v>362</v>
      </c>
      <c r="AO1555">
        <v>14</v>
      </c>
      <c r="AP1555" t="s">
        <v>56</v>
      </c>
      <c r="AQ1555" t="s">
        <v>118</v>
      </c>
      <c r="AR1555">
        <v>8.1999999999999993</v>
      </c>
      <c r="AS1555" t="s">
        <v>56</v>
      </c>
      <c r="AT1555" t="s">
        <v>56</v>
      </c>
      <c r="AU1555">
        <v>4430</v>
      </c>
      <c r="AV1555">
        <v>18</v>
      </c>
      <c r="AW1555" t="s">
        <v>56</v>
      </c>
      <c r="AX1555">
        <v>7.2</v>
      </c>
      <c r="AY1555" t="s">
        <v>56</v>
      </c>
      <c r="AZ1555" t="s">
        <v>56</v>
      </c>
      <c r="BB1555">
        <f>LOG(AU1555)</f>
        <v>3.6464037262230695</v>
      </c>
      <c r="BC1555">
        <v>18</v>
      </c>
      <c r="BD1555" t="s">
        <v>56</v>
      </c>
      <c r="BE1555" t="s">
        <v>56</v>
      </c>
      <c r="BF1555">
        <v>18</v>
      </c>
      <c r="BG1555" t="s">
        <v>56</v>
      </c>
      <c r="BH1555" t="s">
        <v>56</v>
      </c>
      <c r="BI1555">
        <v>4068</v>
      </c>
      <c r="BJ1555">
        <v>0</v>
      </c>
      <c r="BK1555" t="s">
        <v>56</v>
      </c>
      <c r="BL1555" t="s">
        <v>853</v>
      </c>
      <c r="BM1555" t="s">
        <v>90</v>
      </c>
      <c r="BN1555" t="s">
        <v>81</v>
      </c>
      <c r="BO1555" t="s">
        <v>91</v>
      </c>
      <c r="BP1555" t="s">
        <v>92</v>
      </c>
      <c r="BQ1555" s="8" t="s">
        <v>190</v>
      </c>
      <c r="BR1555" t="s">
        <v>63</v>
      </c>
      <c r="BT1555">
        <v>464.04</v>
      </c>
      <c r="BU1555">
        <v>464.036697</v>
      </c>
      <c r="BV1555">
        <v>10.28</v>
      </c>
      <c r="BW1555">
        <f>BV1555*SQRT(AK1555)</f>
        <v>25.180754555811067</v>
      </c>
      <c r="BX1555">
        <v>448.44</v>
      </c>
      <c r="BY1555">
        <v>448.44036699999998</v>
      </c>
      <c r="BZ1555">
        <v>6.79</v>
      </c>
      <c r="CA1555">
        <f>BZ1555*SQRT(AL1555)</f>
        <v>16.632035353497777</v>
      </c>
      <c r="CB1555">
        <v>28</v>
      </c>
      <c r="CC1555">
        <v>6</v>
      </c>
      <c r="CD1555">
        <v>-3.4000000000000002E-2</v>
      </c>
      <c r="CE1555">
        <v>6.9999999999999999E-4</v>
      </c>
    </row>
    <row r="1556" spans="4:83" hidden="1" x14ac:dyDescent="0.2">
      <c r="D1556">
        <v>117</v>
      </c>
      <c r="G1556" t="s">
        <v>43</v>
      </c>
      <c r="H1556" t="s">
        <v>851</v>
      </c>
      <c r="J1556">
        <v>2014</v>
      </c>
      <c r="M1556" t="s">
        <v>45</v>
      </c>
      <c r="T1556" t="s">
        <v>46</v>
      </c>
      <c r="U1556" t="s">
        <v>799</v>
      </c>
      <c r="V1556" t="s">
        <v>852</v>
      </c>
      <c r="Z1556" t="s">
        <v>177</v>
      </c>
      <c r="AA1556" t="s">
        <v>177</v>
      </c>
      <c r="AB1556" t="s">
        <v>50</v>
      </c>
      <c r="AC1556" t="s">
        <v>108</v>
      </c>
      <c r="AD1556" t="s">
        <v>52</v>
      </c>
      <c r="AE1556" t="s">
        <v>53</v>
      </c>
      <c r="AF1556" t="s">
        <v>52</v>
      </c>
      <c r="AG1556" t="s">
        <v>52</v>
      </c>
      <c r="AH1556" t="s">
        <v>64</v>
      </c>
      <c r="AK1556">
        <v>6</v>
      </c>
      <c r="AL1556">
        <v>6</v>
      </c>
      <c r="AN1556">
        <v>362</v>
      </c>
      <c r="AO1556">
        <v>14</v>
      </c>
      <c r="AP1556" t="s">
        <v>56</v>
      </c>
      <c r="AQ1556" t="s">
        <v>118</v>
      </c>
      <c r="AR1556">
        <v>8.1999999999999993</v>
      </c>
      <c r="AS1556" t="s">
        <v>56</v>
      </c>
      <c r="AT1556" t="s">
        <v>56</v>
      </c>
      <c r="AU1556">
        <v>1757</v>
      </c>
      <c r="AV1556">
        <v>5</v>
      </c>
      <c r="AW1556" t="s">
        <v>56</v>
      </c>
      <c r="AX1556">
        <v>7.6</v>
      </c>
      <c r="AY1556" t="s">
        <v>56</v>
      </c>
      <c r="AZ1556" t="s">
        <v>56</v>
      </c>
      <c r="BB1556">
        <f>LOG(AU1556)</f>
        <v>3.2447717614952949</v>
      </c>
      <c r="BC1556">
        <v>18</v>
      </c>
      <c r="BD1556" t="s">
        <v>56</v>
      </c>
      <c r="BE1556" t="s">
        <v>56</v>
      </c>
      <c r="BF1556">
        <v>22</v>
      </c>
      <c r="BG1556" t="s">
        <v>56</v>
      </c>
      <c r="BH1556" t="s">
        <v>56</v>
      </c>
      <c r="BI1556">
        <v>1395</v>
      </c>
      <c r="BJ1556">
        <v>4</v>
      </c>
      <c r="BK1556" t="s">
        <v>56</v>
      </c>
      <c r="BL1556" t="s">
        <v>853</v>
      </c>
      <c r="BM1556" t="s">
        <v>90</v>
      </c>
      <c r="BN1556" t="s">
        <v>81</v>
      </c>
      <c r="BO1556" t="s">
        <v>91</v>
      </c>
      <c r="BP1556" t="s">
        <v>92</v>
      </c>
      <c r="BQ1556" s="8" t="s">
        <v>190</v>
      </c>
      <c r="BR1556" t="s">
        <v>63</v>
      </c>
      <c r="BT1556">
        <v>464.04</v>
      </c>
      <c r="BU1556">
        <v>464.036697</v>
      </c>
      <c r="BV1556">
        <v>10.28</v>
      </c>
      <c r="BW1556">
        <f>BV1556*SQRT(AK1556)</f>
        <v>25.180754555811067</v>
      </c>
      <c r="BX1556">
        <v>452.84</v>
      </c>
      <c r="BY1556">
        <v>452.8440367</v>
      </c>
      <c r="BZ1556">
        <v>6.97</v>
      </c>
      <c r="CA1556">
        <f>BZ1556*SQRT(AL1556)</f>
        <v>17.072943507198751</v>
      </c>
      <c r="CB1556">
        <v>28</v>
      </c>
      <c r="CC1556">
        <v>6</v>
      </c>
      <c r="CD1556">
        <v>-2.4E-2</v>
      </c>
      <c r="CE1556">
        <v>6.9999999999999999E-4</v>
      </c>
    </row>
    <row r="1557" spans="4:83" hidden="1" x14ac:dyDescent="0.2">
      <c r="D1557">
        <v>117</v>
      </c>
      <c r="G1557" t="s">
        <v>43</v>
      </c>
      <c r="H1557" t="s">
        <v>851</v>
      </c>
      <c r="J1557">
        <v>2014</v>
      </c>
      <c r="M1557" t="s">
        <v>45</v>
      </c>
      <c r="T1557" t="s">
        <v>46</v>
      </c>
      <c r="U1557" t="s">
        <v>799</v>
      </c>
      <c r="V1557" t="s">
        <v>852</v>
      </c>
      <c r="Z1557" t="s">
        <v>177</v>
      </c>
      <c r="AA1557" t="s">
        <v>177</v>
      </c>
      <c r="AB1557" t="s">
        <v>50</v>
      </c>
      <c r="AC1557" t="s">
        <v>108</v>
      </c>
      <c r="AD1557" t="s">
        <v>52</v>
      </c>
      <c r="AE1557" t="s">
        <v>53</v>
      </c>
      <c r="AF1557" t="s">
        <v>54</v>
      </c>
      <c r="AG1557" t="s">
        <v>52</v>
      </c>
      <c r="AH1557" t="s">
        <v>65</v>
      </c>
      <c r="AK1557">
        <v>6</v>
      </c>
      <c r="AL1557">
        <v>6</v>
      </c>
      <c r="AN1557">
        <v>362</v>
      </c>
      <c r="AO1557">
        <v>14</v>
      </c>
      <c r="AP1557" t="s">
        <v>56</v>
      </c>
      <c r="AQ1557" t="s">
        <v>118</v>
      </c>
      <c r="AR1557">
        <v>8.1999999999999993</v>
      </c>
      <c r="AS1557" t="s">
        <v>56</v>
      </c>
      <c r="AT1557" t="s">
        <v>56</v>
      </c>
      <c r="AU1557">
        <v>389</v>
      </c>
      <c r="AV1557">
        <v>16</v>
      </c>
      <c r="AW1557" t="s">
        <v>56</v>
      </c>
      <c r="AX1557">
        <v>8.1999999999999993</v>
      </c>
      <c r="AY1557" t="s">
        <v>56</v>
      </c>
      <c r="AZ1557" t="s">
        <v>56</v>
      </c>
      <c r="BB1557">
        <f>LOG(AU1557)</f>
        <v>2.5899496013257077</v>
      </c>
      <c r="BC1557">
        <v>18</v>
      </c>
      <c r="BD1557" t="s">
        <v>56</v>
      </c>
      <c r="BE1557" t="s">
        <v>56</v>
      </c>
      <c r="BF1557">
        <v>22</v>
      </c>
      <c r="BG1557" t="s">
        <v>56</v>
      </c>
      <c r="BH1557" t="s">
        <v>56</v>
      </c>
      <c r="BI1557">
        <v>28</v>
      </c>
      <c r="BJ1557">
        <v>4</v>
      </c>
      <c r="BK1557" t="s">
        <v>56</v>
      </c>
      <c r="BL1557" t="s">
        <v>853</v>
      </c>
      <c r="BM1557" t="s">
        <v>90</v>
      </c>
      <c r="BN1557" t="s">
        <v>81</v>
      </c>
      <c r="BO1557" t="s">
        <v>91</v>
      </c>
      <c r="BP1557" t="s">
        <v>92</v>
      </c>
      <c r="BQ1557" s="8" t="s">
        <v>190</v>
      </c>
      <c r="BR1557" t="s">
        <v>63</v>
      </c>
      <c r="BT1557">
        <v>464.04</v>
      </c>
      <c r="BU1557">
        <v>464.036697</v>
      </c>
      <c r="BV1557">
        <v>10.28</v>
      </c>
      <c r="BW1557">
        <f>BV1557*SQRT(AK1557)</f>
        <v>25.180754555811067</v>
      </c>
      <c r="BX1557">
        <v>454.31</v>
      </c>
      <c r="BY1557">
        <v>454.31192659999999</v>
      </c>
      <c r="BZ1557">
        <v>12.84</v>
      </c>
      <c r="CA1557">
        <f>BZ1557*SQRT(AL1557)</f>
        <v>31.451448297336004</v>
      </c>
      <c r="CB1557">
        <v>28</v>
      </c>
      <c r="CC1557">
        <v>6</v>
      </c>
      <c r="CD1557">
        <v>-2.1000000000000001E-2</v>
      </c>
      <c r="CE1557">
        <v>1.2999999999999999E-3</v>
      </c>
    </row>
    <row r="1558" spans="4:83" hidden="1" x14ac:dyDescent="0.2">
      <c r="D1558">
        <v>117</v>
      </c>
      <c r="G1558" t="s">
        <v>43</v>
      </c>
      <c r="H1558" t="s">
        <v>851</v>
      </c>
      <c r="J1558">
        <v>2014</v>
      </c>
      <c r="M1558" t="s">
        <v>45</v>
      </c>
      <c r="T1558" t="s">
        <v>46</v>
      </c>
      <c r="U1558" t="s">
        <v>799</v>
      </c>
      <c r="V1558" t="s">
        <v>852</v>
      </c>
      <c r="Z1558" t="s">
        <v>177</v>
      </c>
      <c r="AA1558" t="s">
        <v>177</v>
      </c>
      <c r="AB1558" t="s">
        <v>50</v>
      </c>
      <c r="AC1558" t="s">
        <v>108</v>
      </c>
      <c r="AD1558" t="s">
        <v>52</v>
      </c>
      <c r="AE1558" t="s">
        <v>53</v>
      </c>
      <c r="AF1558" t="s">
        <v>52</v>
      </c>
      <c r="AG1558" t="s">
        <v>54</v>
      </c>
      <c r="AH1558" t="s">
        <v>55</v>
      </c>
      <c r="AK1558">
        <v>6</v>
      </c>
      <c r="AL1558">
        <v>6</v>
      </c>
      <c r="AN1558">
        <v>362</v>
      </c>
      <c r="AO1558">
        <v>14</v>
      </c>
      <c r="AP1558" t="s">
        <v>56</v>
      </c>
      <c r="AQ1558" t="s">
        <v>118</v>
      </c>
      <c r="AR1558">
        <v>8.1999999999999993</v>
      </c>
      <c r="AS1558" t="s">
        <v>56</v>
      </c>
      <c r="AT1558" t="s">
        <v>56</v>
      </c>
      <c r="AU1558">
        <v>1034</v>
      </c>
      <c r="AV1558">
        <v>5</v>
      </c>
      <c r="AW1558" t="s">
        <v>56</v>
      </c>
      <c r="AX1558">
        <v>7.8</v>
      </c>
      <c r="AY1558" t="s">
        <v>56</v>
      </c>
      <c r="AZ1558" t="s">
        <v>56</v>
      </c>
      <c r="BB1558">
        <f>LOG(AU1558)</f>
        <v>3.0145205387579237</v>
      </c>
      <c r="BC1558">
        <v>18</v>
      </c>
      <c r="BD1558" t="s">
        <v>56</v>
      </c>
      <c r="BE1558" t="s">
        <v>56</v>
      </c>
      <c r="BF1558">
        <v>18</v>
      </c>
      <c r="BG1558" t="s">
        <v>56</v>
      </c>
      <c r="BH1558" t="s">
        <v>56</v>
      </c>
      <c r="BI1558">
        <v>672</v>
      </c>
      <c r="BJ1558">
        <v>0</v>
      </c>
      <c r="BK1558" t="s">
        <v>56</v>
      </c>
      <c r="BL1558" t="s">
        <v>853</v>
      </c>
      <c r="BM1558" t="s">
        <v>90</v>
      </c>
      <c r="BN1558" t="s">
        <v>81</v>
      </c>
      <c r="BO1558" t="s">
        <v>91</v>
      </c>
      <c r="BP1558" t="s">
        <v>92</v>
      </c>
      <c r="BQ1558" s="8" t="s">
        <v>190</v>
      </c>
      <c r="BR1558" t="s">
        <v>63</v>
      </c>
      <c r="BT1558">
        <v>464.04</v>
      </c>
      <c r="BU1558">
        <v>464.036697</v>
      </c>
      <c r="BV1558">
        <v>10.28</v>
      </c>
      <c r="BW1558">
        <f>BV1558*SQRT(AK1558)</f>
        <v>25.180754555811067</v>
      </c>
      <c r="BX1558">
        <v>462.2</v>
      </c>
      <c r="BY1558">
        <v>462.20183489999999</v>
      </c>
      <c r="BZ1558">
        <v>8.07</v>
      </c>
      <c r="CA1558">
        <f>BZ1558*SQRT(AL1558)</f>
        <v>19.767382224260245</v>
      </c>
      <c r="CB1558">
        <v>28</v>
      </c>
      <c r="CC1558">
        <v>6</v>
      </c>
      <c r="CD1558">
        <v>-4.0000000000000001E-3</v>
      </c>
      <c r="CE1558">
        <v>8.0000000000000004E-4</v>
      </c>
    </row>
    <row r="1559" spans="4:83" hidden="1" x14ac:dyDescent="0.2">
      <c r="D1559">
        <v>117</v>
      </c>
      <c r="G1559" t="s">
        <v>43</v>
      </c>
      <c r="H1559" t="s">
        <v>851</v>
      </c>
      <c r="J1559">
        <v>2014</v>
      </c>
      <c r="M1559" t="s">
        <v>45</v>
      </c>
      <c r="T1559" t="s">
        <v>46</v>
      </c>
      <c r="U1559" t="s">
        <v>799</v>
      </c>
      <c r="V1559" t="s">
        <v>852</v>
      </c>
      <c r="Z1559" t="s">
        <v>177</v>
      </c>
      <c r="AA1559" t="s">
        <v>177</v>
      </c>
      <c r="AB1559" t="s">
        <v>50</v>
      </c>
      <c r="AC1559" t="s">
        <v>108</v>
      </c>
      <c r="AD1559" t="s">
        <v>52</v>
      </c>
      <c r="AE1559" t="s">
        <v>53</v>
      </c>
      <c r="AF1559" t="s">
        <v>52</v>
      </c>
      <c r="AG1559" t="s">
        <v>54</v>
      </c>
      <c r="AH1559" t="s">
        <v>55</v>
      </c>
      <c r="AK1559">
        <v>6</v>
      </c>
      <c r="AL1559">
        <v>6</v>
      </c>
      <c r="AN1559">
        <v>362</v>
      </c>
      <c r="AO1559">
        <v>14</v>
      </c>
      <c r="AP1559" t="s">
        <v>56</v>
      </c>
      <c r="AQ1559" t="s">
        <v>118</v>
      </c>
      <c r="AR1559">
        <v>8.1999999999999993</v>
      </c>
      <c r="AS1559" t="s">
        <v>56</v>
      </c>
      <c r="AT1559" t="s">
        <v>56</v>
      </c>
      <c r="AU1559">
        <v>1697</v>
      </c>
      <c r="AV1559">
        <v>7</v>
      </c>
      <c r="AW1559" t="s">
        <v>56</v>
      </c>
      <c r="AX1559">
        <v>7.6</v>
      </c>
      <c r="AY1559" t="s">
        <v>56</v>
      </c>
      <c r="AZ1559" t="s">
        <v>56</v>
      </c>
      <c r="BB1559">
        <f>LOG(AU1559)</f>
        <v>3.2296818423176759</v>
      </c>
      <c r="BC1559">
        <v>18</v>
      </c>
      <c r="BD1559" t="s">
        <v>56</v>
      </c>
      <c r="BE1559" t="s">
        <v>56</v>
      </c>
      <c r="BF1559">
        <v>18</v>
      </c>
      <c r="BG1559" t="s">
        <v>56</v>
      </c>
      <c r="BH1559" t="s">
        <v>56</v>
      </c>
      <c r="BI1559">
        <v>1335</v>
      </c>
      <c r="BJ1559">
        <v>0</v>
      </c>
      <c r="BK1559" t="s">
        <v>56</v>
      </c>
      <c r="BL1559" t="s">
        <v>853</v>
      </c>
      <c r="BM1559" t="s">
        <v>90</v>
      </c>
      <c r="BN1559" t="s">
        <v>81</v>
      </c>
      <c r="BO1559" t="s">
        <v>91</v>
      </c>
      <c r="BP1559" t="s">
        <v>92</v>
      </c>
      <c r="BQ1559" s="8" t="s">
        <v>190</v>
      </c>
      <c r="BR1559" t="s">
        <v>63</v>
      </c>
      <c r="BT1559">
        <v>464.04</v>
      </c>
      <c r="BU1559">
        <v>464.036697</v>
      </c>
      <c r="BV1559">
        <v>10.28</v>
      </c>
      <c r="BW1559">
        <f>BV1559*SQRT(AK1559)</f>
        <v>25.180754555811067</v>
      </c>
      <c r="BX1559">
        <v>462.75</v>
      </c>
      <c r="BY1559">
        <v>462.75229359999997</v>
      </c>
      <c r="BZ1559">
        <v>6.61</v>
      </c>
      <c r="CA1559">
        <f>BZ1559*SQRT(AL1559)</f>
        <v>16.191127199796806</v>
      </c>
      <c r="CB1559">
        <v>28</v>
      </c>
      <c r="CC1559">
        <v>6</v>
      </c>
      <c r="CD1559">
        <v>-3.0000000000000001E-3</v>
      </c>
      <c r="CE1559">
        <v>6.9999999999999999E-4</v>
      </c>
    </row>
    <row r="1560" spans="4:83" hidden="1" x14ac:dyDescent="0.2">
      <c r="D1560">
        <v>118</v>
      </c>
      <c r="G1560" t="s">
        <v>43</v>
      </c>
      <c r="H1560" t="s">
        <v>854</v>
      </c>
      <c r="J1560">
        <v>2015</v>
      </c>
      <c r="M1560" t="s">
        <v>381</v>
      </c>
      <c r="T1560" t="s">
        <v>103</v>
      </c>
      <c r="U1560" t="s">
        <v>103</v>
      </c>
      <c r="V1560" t="s">
        <v>855</v>
      </c>
      <c r="Z1560" t="s">
        <v>106</v>
      </c>
      <c r="AA1560" t="s">
        <v>107</v>
      </c>
      <c r="AB1560" t="s">
        <v>50</v>
      </c>
      <c r="AC1560" t="s">
        <v>117</v>
      </c>
      <c r="AD1560" t="s">
        <v>52</v>
      </c>
      <c r="AE1560" t="s">
        <v>53</v>
      </c>
      <c r="AF1560" t="s">
        <v>54</v>
      </c>
      <c r="AG1560" t="s">
        <v>52</v>
      </c>
      <c r="AH1560" t="s">
        <v>65</v>
      </c>
      <c r="AK1560">
        <v>18</v>
      </c>
      <c r="AL1560">
        <v>4</v>
      </c>
      <c r="AN1560">
        <v>540</v>
      </c>
      <c r="AO1560" t="s">
        <v>56</v>
      </c>
      <c r="AP1560">
        <v>54</v>
      </c>
      <c r="AQ1560" t="s">
        <v>57</v>
      </c>
      <c r="AR1560">
        <v>8.14</v>
      </c>
      <c r="AS1560" t="s">
        <v>56</v>
      </c>
      <c r="AT1560">
        <v>0.01</v>
      </c>
      <c r="AU1560">
        <v>534</v>
      </c>
      <c r="AV1560" t="s">
        <v>56</v>
      </c>
      <c r="AW1560">
        <v>14</v>
      </c>
      <c r="AX1560">
        <v>8.1300000000000008</v>
      </c>
      <c r="AY1560" t="s">
        <v>56</v>
      </c>
      <c r="AZ1560">
        <v>0.01</v>
      </c>
      <c r="BB1560">
        <f>LOG(AU1560)</f>
        <v>2.7275412570285562</v>
      </c>
      <c r="BC1560">
        <v>29.8</v>
      </c>
      <c r="BD1560" t="s">
        <v>56</v>
      </c>
      <c r="BE1560">
        <v>0.4</v>
      </c>
      <c r="BF1560">
        <v>30.7</v>
      </c>
      <c r="BG1560" t="s">
        <v>56</v>
      </c>
      <c r="BH1560">
        <v>0.5</v>
      </c>
      <c r="BI1560">
        <v>-6</v>
      </c>
      <c r="BJ1560">
        <v>0.9</v>
      </c>
      <c r="BK1560" t="s">
        <v>856</v>
      </c>
      <c r="BL1560" t="s">
        <v>268</v>
      </c>
      <c r="BM1560" t="s">
        <v>232</v>
      </c>
      <c r="BN1560" t="s">
        <v>81</v>
      </c>
      <c r="BO1560" t="s">
        <v>857</v>
      </c>
      <c r="BP1560" t="s">
        <v>234</v>
      </c>
      <c r="BQ1560" s="8" t="s">
        <v>190</v>
      </c>
      <c r="BR1560" t="s">
        <v>63</v>
      </c>
      <c r="BT1560">
        <v>0.17</v>
      </c>
      <c r="BU1560">
        <v>0.17</v>
      </c>
      <c r="BV1560">
        <v>0.03</v>
      </c>
      <c r="BW1560">
        <f>BV1560*SQRT(AK1560)</f>
        <v>0.12727922061357855</v>
      </c>
      <c r="BX1560">
        <v>0.08</v>
      </c>
      <c r="BY1560">
        <v>0.08</v>
      </c>
      <c r="BZ1560">
        <v>0.06</v>
      </c>
      <c r="CA1560">
        <f>BZ1560*SQRT(AL1560)</f>
        <v>0.12</v>
      </c>
      <c r="CB1560">
        <v>96</v>
      </c>
      <c r="CC1560">
        <v>12</v>
      </c>
      <c r="CD1560">
        <v>-0.754</v>
      </c>
      <c r="CE1560">
        <v>0.60019999999999996</v>
      </c>
    </row>
    <row r="1561" spans="4:83" hidden="1" x14ac:dyDescent="0.2">
      <c r="D1561">
        <v>118</v>
      </c>
      <c r="G1561" t="s">
        <v>43</v>
      </c>
      <c r="H1561" t="s">
        <v>854</v>
      </c>
      <c r="J1561">
        <v>2015</v>
      </c>
      <c r="M1561" t="s">
        <v>381</v>
      </c>
      <c r="T1561" t="s">
        <v>103</v>
      </c>
      <c r="U1561" t="s">
        <v>103</v>
      </c>
      <c r="V1561" t="s">
        <v>855</v>
      </c>
      <c r="Z1561" t="s">
        <v>106</v>
      </c>
      <c r="AA1561" t="s">
        <v>107</v>
      </c>
      <c r="AB1561" t="s">
        <v>50</v>
      </c>
      <c r="AC1561" t="s">
        <v>117</v>
      </c>
      <c r="AD1561" t="s">
        <v>52</v>
      </c>
      <c r="AE1561" t="s">
        <v>53</v>
      </c>
      <c r="AF1561" t="s">
        <v>52</v>
      </c>
      <c r="AG1561" t="s">
        <v>52</v>
      </c>
      <c r="AH1561" t="s">
        <v>64</v>
      </c>
      <c r="AK1561">
        <v>18</v>
      </c>
      <c r="AL1561">
        <v>6</v>
      </c>
      <c r="AN1561">
        <v>540</v>
      </c>
      <c r="AO1561" t="s">
        <v>56</v>
      </c>
      <c r="AP1561">
        <v>54</v>
      </c>
      <c r="AQ1561" t="s">
        <v>57</v>
      </c>
      <c r="AR1561">
        <v>8.14</v>
      </c>
      <c r="AS1561" t="s">
        <v>56</v>
      </c>
      <c r="AT1561">
        <v>0.01</v>
      </c>
      <c r="AU1561">
        <v>2234</v>
      </c>
      <c r="AV1561" t="s">
        <v>56</v>
      </c>
      <c r="AW1561">
        <v>328</v>
      </c>
      <c r="AX1561">
        <v>7.58</v>
      </c>
      <c r="AY1561" t="s">
        <v>56</v>
      </c>
      <c r="AZ1561">
        <v>0.03</v>
      </c>
      <c r="BB1561">
        <f>LOG(AU1561)</f>
        <v>3.3490831687795901</v>
      </c>
      <c r="BC1561">
        <v>29.8</v>
      </c>
      <c r="BD1561" t="s">
        <v>56</v>
      </c>
      <c r="BE1561">
        <v>0.4</v>
      </c>
      <c r="BF1561">
        <v>30.6</v>
      </c>
      <c r="BG1561" t="s">
        <v>56</v>
      </c>
      <c r="BH1561">
        <v>0.4</v>
      </c>
      <c r="BI1561">
        <v>1694</v>
      </c>
      <c r="BJ1561">
        <v>0.9</v>
      </c>
      <c r="BK1561" t="s">
        <v>856</v>
      </c>
      <c r="BL1561" t="s">
        <v>268</v>
      </c>
      <c r="BM1561" t="s">
        <v>232</v>
      </c>
      <c r="BN1561" t="s">
        <v>81</v>
      </c>
      <c r="BO1561" t="s">
        <v>857</v>
      </c>
      <c r="BP1561" t="s">
        <v>234</v>
      </c>
      <c r="BQ1561" s="8" t="s">
        <v>190</v>
      </c>
      <c r="BR1561" t="s">
        <v>63</v>
      </c>
      <c r="BT1561">
        <v>0.17</v>
      </c>
      <c r="BU1561">
        <v>0.17</v>
      </c>
      <c r="BV1561">
        <v>0.03</v>
      </c>
      <c r="BW1561">
        <f>BV1561*SQRT(AK1561)</f>
        <v>0.12727922061357855</v>
      </c>
      <c r="BX1561">
        <v>0.12</v>
      </c>
      <c r="BY1561">
        <v>0.12</v>
      </c>
      <c r="BZ1561">
        <v>0.06</v>
      </c>
      <c r="CA1561">
        <f>BZ1561*SQRT(AL1561)</f>
        <v>0.14696938456699066</v>
      </c>
      <c r="CB1561">
        <v>96</v>
      </c>
      <c r="CC1561">
        <v>12</v>
      </c>
      <c r="CD1561">
        <v>-0.34799999999999998</v>
      </c>
      <c r="CE1561">
        <v>0.29809999999999998</v>
      </c>
    </row>
    <row r="1562" spans="4:83" hidden="1" x14ac:dyDescent="0.2">
      <c r="D1562">
        <v>118</v>
      </c>
      <c r="G1562" t="s">
        <v>43</v>
      </c>
      <c r="H1562" t="s">
        <v>854</v>
      </c>
      <c r="J1562">
        <v>2015</v>
      </c>
      <c r="M1562" t="s">
        <v>381</v>
      </c>
      <c r="T1562" t="s">
        <v>103</v>
      </c>
      <c r="U1562" t="s">
        <v>103</v>
      </c>
      <c r="V1562" t="s">
        <v>855</v>
      </c>
      <c r="Z1562" t="s">
        <v>106</v>
      </c>
      <c r="AA1562" t="s">
        <v>107</v>
      </c>
      <c r="AB1562" t="s">
        <v>50</v>
      </c>
      <c r="AC1562" t="s">
        <v>117</v>
      </c>
      <c r="AD1562" t="s">
        <v>52</v>
      </c>
      <c r="AE1562" t="s">
        <v>53</v>
      </c>
      <c r="AF1562" t="s">
        <v>52</v>
      </c>
      <c r="AG1562" t="s">
        <v>54</v>
      </c>
      <c r="AH1562" t="s">
        <v>55</v>
      </c>
      <c r="AK1562">
        <v>18</v>
      </c>
      <c r="AL1562">
        <v>18</v>
      </c>
      <c r="AN1562">
        <v>540</v>
      </c>
      <c r="AO1562" t="s">
        <v>56</v>
      </c>
      <c r="AP1562">
        <v>54</v>
      </c>
      <c r="AQ1562" t="s">
        <v>57</v>
      </c>
      <c r="AR1562">
        <v>8.14</v>
      </c>
      <c r="AS1562" t="s">
        <v>56</v>
      </c>
      <c r="AT1562">
        <v>0.01</v>
      </c>
      <c r="AU1562">
        <v>1284</v>
      </c>
      <c r="AV1562" t="s">
        <v>56</v>
      </c>
      <c r="AW1562">
        <v>90</v>
      </c>
      <c r="AX1562">
        <v>7.78</v>
      </c>
      <c r="AY1562" t="s">
        <v>56</v>
      </c>
      <c r="AZ1562">
        <v>0.02</v>
      </c>
      <c r="BB1562">
        <f>LOG(AU1562)</f>
        <v>3.1085650237328344</v>
      </c>
      <c r="BC1562">
        <v>29.8</v>
      </c>
      <c r="BD1562" t="s">
        <v>56</v>
      </c>
      <c r="BE1562">
        <v>0.4</v>
      </c>
      <c r="BF1562">
        <v>29.8</v>
      </c>
      <c r="BG1562" t="s">
        <v>56</v>
      </c>
      <c r="BH1562">
        <v>0.4</v>
      </c>
      <c r="BI1562">
        <v>744</v>
      </c>
      <c r="BJ1562">
        <v>0</v>
      </c>
      <c r="BK1562" t="s">
        <v>856</v>
      </c>
      <c r="BL1562" t="s">
        <v>268</v>
      </c>
      <c r="BM1562" t="s">
        <v>232</v>
      </c>
      <c r="BN1562" t="s">
        <v>81</v>
      </c>
      <c r="BO1562" t="s">
        <v>857</v>
      </c>
      <c r="BP1562" t="s">
        <v>234</v>
      </c>
      <c r="BQ1562" s="8" t="s">
        <v>9</v>
      </c>
      <c r="BR1562" t="s">
        <v>63</v>
      </c>
      <c r="BT1562">
        <v>0.17</v>
      </c>
      <c r="BU1562">
        <v>0.17</v>
      </c>
      <c r="BV1562">
        <v>0.03</v>
      </c>
      <c r="BW1562">
        <f>BV1562*SQRT(AK1562)</f>
        <v>0.12727922061357855</v>
      </c>
      <c r="BX1562">
        <v>0.15</v>
      </c>
      <c r="BY1562">
        <v>0.15</v>
      </c>
      <c r="BZ1562">
        <v>0.03</v>
      </c>
      <c r="CA1562">
        <f>BZ1562*SQRT(AL1562)</f>
        <v>0.12727922061357855</v>
      </c>
      <c r="CB1562">
        <v>96</v>
      </c>
      <c r="CC1562">
        <v>36</v>
      </c>
      <c r="CD1562">
        <v>-0.125</v>
      </c>
      <c r="CE1562">
        <v>7.9399999999999998E-2</v>
      </c>
    </row>
    <row r="1563" spans="4:83" hidden="1" x14ac:dyDescent="0.2">
      <c r="D1563">
        <v>118</v>
      </c>
      <c r="G1563" t="s">
        <v>43</v>
      </c>
      <c r="H1563" t="s">
        <v>854</v>
      </c>
      <c r="J1563">
        <v>2015</v>
      </c>
      <c r="M1563" t="s">
        <v>381</v>
      </c>
      <c r="T1563" t="s">
        <v>103</v>
      </c>
      <c r="U1563" t="s">
        <v>103</v>
      </c>
      <c r="V1563" t="s">
        <v>855</v>
      </c>
      <c r="Z1563" t="s">
        <v>106</v>
      </c>
      <c r="AA1563" t="s">
        <v>107</v>
      </c>
      <c r="AB1563" t="s">
        <v>50</v>
      </c>
      <c r="AC1563" t="s">
        <v>117</v>
      </c>
      <c r="AD1563" t="s">
        <v>52</v>
      </c>
      <c r="AE1563" t="s">
        <v>53</v>
      </c>
      <c r="AF1563" t="s">
        <v>52</v>
      </c>
      <c r="AG1563" t="s">
        <v>52</v>
      </c>
      <c r="AH1563" t="s">
        <v>64</v>
      </c>
      <c r="AK1563">
        <v>18</v>
      </c>
      <c r="AL1563">
        <v>6</v>
      </c>
      <c r="AN1563">
        <v>540</v>
      </c>
      <c r="AO1563" t="s">
        <v>56</v>
      </c>
      <c r="AP1563">
        <v>54</v>
      </c>
      <c r="AQ1563" t="s">
        <v>57</v>
      </c>
      <c r="AR1563">
        <v>8.14</v>
      </c>
      <c r="AS1563" t="s">
        <v>56</v>
      </c>
      <c r="AT1563">
        <v>0.01</v>
      </c>
      <c r="AU1563">
        <v>1337</v>
      </c>
      <c r="AV1563" t="s">
        <v>56</v>
      </c>
      <c r="AW1563">
        <v>185</v>
      </c>
      <c r="AX1563">
        <v>7.76</v>
      </c>
      <c r="AY1563" t="s">
        <v>56</v>
      </c>
      <c r="AZ1563">
        <v>0.04</v>
      </c>
      <c r="BB1563">
        <f>LOG(AU1563)</f>
        <v>3.1261314072619846</v>
      </c>
      <c r="BC1563">
        <v>29.8</v>
      </c>
      <c r="BD1563" t="s">
        <v>56</v>
      </c>
      <c r="BE1563">
        <v>0.4</v>
      </c>
      <c r="BF1563">
        <v>30.8</v>
      </c>
      <c r="BG1563" t="s">
        <v>56</v>
      </c>
      <c r="BH1563">
        <v>0.5</v>
      </c>
      <c r="BI1563">
        <v>797</v>
      </c>
      <c r="BJ1563">
        <v>1</v>
      </c>
      <c r="BK1563" t="s">
        <v>856</v>
      </c>
      <c r="BL1563" t="s">
        <v>268</v>
      </c>
      <c r="BM1563" t="s">
        <v>232</v>
      </c>
      <c r="BN1563" t="s">
        <v>81</v>
      </c>
      <c r="BO1563" t="s">
        <v>857</v>
      </c>
      <c r="BP1563" t="s">
        <v>234</v>
      </c>
      <c r="BQ1563" s="8" t="s">
        <v>190</v>
      </c>
      <c r="BR1563" t="s">
        <v>63</v>
      </c>
      <c r="BT1563">
        <v>0.17</v>
      </c>
      <c r="BU1563">
        <v>0.17</v>
      </c>
      <c r="BV1563">
        <v>0.03</v>
      </c>
      <c r="BW1563">
        <f>BV1563*SQRT(AK1563)</f>
        <v>0.12727922061357855</v>
      </c>
      <c r="BX1563">
        <v>0.15</v>
      </c>
      <c r="BY1563">
        <v>0.15</v>
      </c>
      <c r="BZ1563">
        <v>0.05</v>
      </c>
      <c r="CA1563">
        <f>BZ1563*SQRT(AL1563)</f>
        <v>0.1224744871391589</v>
      </c>
      <c r="CB1563">
        <v>96</v>
      </c>
      <c r="CC1563">
        <v>12</v>
      </c>
      <c r="CD1563">
        <v>-0.125</v>
      </c>
      <c r="CE1563">
        <v>0.16289999999999999</v>
      </c>
    </row>
    <row r="1564" spans="4:83" hidden="1" x14ac:dyDescent="0.2">
      <c r="D1564">
        <v>118</v>
      </c>
      <c r="G1564" t="s">
        <v>43</v>
      </c>
      <c r="H1564" t="s">
        <v>854</v>
      </c>
      <c r="J1564">
        <v>2015</v>
      </c>
      <c r="M1564" t="s">
        <v>381</v>
      </c>
      <c r="T1564" t="s">
        <v>103</v>
      </c>
      <c r="U1564" t="s">
        <v>103</v>
      </c>
      <c r="V1564" t="s">
        <v>855</v>
      </c>
      <c r="Z1564" t="s">
        <v>106</v>
      </c>
      <c r="AA1564" t="s">
        <v>107</v>
      </c>
      <c r="AB1564" t="s">
        <v>50</v>
      </c>
      <c r="AC1564" t="s">
        <v>117</v>
      </c>
      <c r="AD1564" t="s">
        <v>52</v>
      </c>
      <c r="AE1564" t="s">
        <v>53</v>
      </c>
      <c r="AF1564" t="s">
        <v>52</v>
      </c>
      <c r="AG1564" t="s">
        <v>54</v>
      </c>
      <c r="AH1564" t="s">
        <v>55</v>
      </c>
      <c r="AK1564">
        <v>18</v>
      </c>
      <c r="AL1564">
        <v>18</v>
      </c>
      <c r="AN1564">
        <v>540</v>
      </c>
      <c r="AO1564" t="s">
        <v>56</v>
      </c>
      <c r="AP1564">
        <v>54</v>
      </c>
      <c r="AQ1564" t="s">
        <v>57</v>
      </c>
      <c r="AR1564">
        <v>8.14</v>
      </c>
      <c r="AS1564" t="s">
        <v>56</v>
      </c>
      <c r="AT1564">
        <v>0.01</v>
      </c>
      <c r="AU1564">
        <v>1284</v>
      </c>
      <c r="AV1564" t="s">
        <v>56</v>
      </c>
      <c r="AW1564">
        <v>90</v>
      </c>
      <c r="AX1564">
        <v>7.78</v>
      </c>
      <c r="AY1564" t="s">
        <v>56</v>
      </c>
      <c r="AZ1564">
        <v>0.02</v>
      </c>
      <c r="BB1564">
        <f>LOG(AU1564)</f>
        <v>3.1085650237328344</v>
      </c>
      <c r="BC1564">
        <v>29.8</v>
      </c>
      <c r="BD1564" t="s">
        <v>56</v>
      </c>
      <c r="BE1564">
        <v>0.4</v>
      </c>
      <c r="BF1564">
        <v>29.8</v>
      </c>
      <c r="BG1564" t="s">
        <v>56</v>
      </c>
      <c r="BH1564">
        <v>0.4</v>
      </c>
      <c r="BI1564">
        <v>744</v>
      </c>
      <c r="BJ1564">
        <v>0</v>
      </c>
      <c r="BK1564" t="s">
        <v>856</v>
      </c>
      <c r="BL1564" t="s">
        <v>858</v>
      </c>
      <c r="BM1564" t="s">
        <v>83</v>
      </c>
      <c r="BN1564" t="s">
        <v>81</v>
      </c>
      <c r="BO1564" t="s">
        <v>250</v>
      </c>
      <c r="BP1564" t="s">
        <v>83</v>
      </c>
      <c r="BQ1564" s="8" t="s">
        <v>9</v>
      </c>
      <c r="BR1564" t="s">
        <v>63</v>
      </c>
      <c r="BT1564">
        <v>83.4</v>
      </c>
      <c r="BU1564">
        <v>83.4</v>
      </c>
      <c r="BV1564">
        <v>6.67</v>
      </c>
      <c r="BW1564">
        <f>BV1564*SQRT(AK1564)</f>
        <v>28.298413383085631</v>
      </c>
      <c r="BX1564">
        <v>80.099999999999994</v>
      </c>
      <c r="BY1564">
        <v>80.099999999999994</v>
      </c>
      <c r="BZ1564">
        <v>7.85</v>
      </c>
      <c r="CA1564">
        <f>BZ1564*SQRT(AL1564)</f>
        <v>33.304729393886383</v>
      </c>
      <c r="CB1564">
        <v>96</v>
      </c>
      <c r="CC1564">
        <v>36</v>
      </c>
      <c r="CD1564">
        <v>-0.04</v>
      </c>
      <c r="CE1564">
        <v>1.6E-2</v>
      </c>
    </row>
    <row r="1565" spans="4:83" hidden="1" x14ac:dyDescent="0.2">
      <c r="D1565">
        <v>118</v>
      </c>
      <c r="G1565" t="s">
        <v>43</v>
      </c>
      <c r="H1565" t="s">
        <v>854</v>
      </c>
      <c r="J1565">
        <v>2015</v>
      </c>
      <c r="M1565" t="s">
        <v>381</v>
      </c>
      <c r="T1565" t="s">
        <v>103</v>
      </c>
      <c r="U1565" t="s">
        <v>103</v>
      </c>
      <c r="V1565" t="s">
        <v>855</v>
      </c>
      <c r="Z1565" t="s">
        <v>106</v>
      </c>
      <c r="AA1565" t="s">
        <v>107</v>
      </c>
      <c r="AB1565" t="s">
        <v>50</v>
      </c>
      <c r="AC1565" t="s">
        <v>117</v>
      </c>
      <c r="AD1565" t="s">
        <v>52</v>
      </c>
      <c r="AE1565" t="s">
        <v>53</v>
      </c>
      <c r="AF1565" t="s">
        <v>52</v>
      </c>
      <c r="AG1565" t="s">
        <v>54</v>
      </c>
      <c r="AH1565" t="s">
        <v>55</v>
      </c>
      <c r="AK1565">
        <v>18</v>
      </c>
      <c r="AL1565">
        <v>17</v>
      </c>
      <c r="AN1565">
        <v>540</v>
      </c>
      <c r="AO1565" t="s">
        <v>56</v>
      </c>
      <c r="AP1565">
        <v>54</v>
      </c>
      <c r="AQ1565" t="s">
        <v>57</v>
      </c>
      <c r="AR1565">
        <v>8.14</v>
      </c>
      <c r="AS1565" t="s">
        <v>56</v>
      </c>
      <c r="AT1565">
        <v>0.01</v>
      </c>
      <c r="AU1565">
        <v>2253</v>
      </c>
      <c r="AV1565" t="s">
        <v>56</v>
      </c>
      <c r="AW1565">
        <v>232</v>
      </c>
      <c r="AX1565">
        <v>7.56</v>
      </c>
      <c r="AY1565" t="s">
        <v>56</v>
      </c>
      <c r="AZ1565">
        <v>0.03</v>
      </c>
      <c r="BB1565">
        <f>LOG(AU1565)</f>
        <v>3.3527611917238307</v>
      </c>
      <c r="BC1565">
        <v>29.8</v>
      </c>
      <c r="BD1565" t="s">
        <v>56</v>
      </c>
      <c r="BE1565">
        <v>0.4</v>
      </c>
      <c r="BF1565">
        <v>29.8</v>
      </c>
      <c r="BG1565" t="s">
        <v>56</v>
      </c>
      <c r="BH1565">
        <v>0.4</v>
      </c>
      <c r="BI1565">
        <v>1713</v>
      </c>
      <c r="BJ1565">
        <v>0</v>
      </c>
      <c r="BK1565" t="s">
        <v>856</v>
      </c>
      <c r="BL1565" t="s">
        <v>858</v>
      </c>
      <c r="BM1565" t="s">
        <v>83</v>
      </c>
      <c r="BN1565" t="s">
        <v>81</v>
      </c>
      <c r="BO1565" t="s">
        <v>250</v>
      </c>
      <c r="BP1565" t="s">
        <v>83</v>
      </c>
      <c r="BQ1565" s="8" t="s">
        <v>190</v>
      </c>
      <c r="BR1565" t="s">
        <v>63</v>
      </c>
      <c r="BT1565">
        <v>83.4</v>
      </c>
      <c r="BU1565">
        <v>83.4</v>
      </c>
      <c r="BV1565">
        <v>6.67</v>
      </c>
      <c r="BW1565">
        <f>BV1565*SQRT(AK1565)</f>
        <v>28.298413383085631</v>
      </c>
      <c r="BX1565">
        <v>82.8</v>
      </c>
      <c r="BY1565">
        <v>82.8</v>
      </c>
      <c r="BZ1565">
        <v>7.91</v>
      </c>
      <c r="CA1565">
        <f>BZ1565*SQRT(AL1565)</f>
        <v>32.613765498635694</v>
      </c>
      <c r="CB1565">
        <v>96</v>
      </c>
      <c r="CC1565">
        <v>36</v>
      </c>
      <c r="CD1565">
        <v>-7.0000000000000001E-3</v>
      </c>
      <c r="CE1565">
        <v>1.55E-2</v>
      </c>
    </row>
    <row r="1566" spans="4:83" hidden="1" x14ac:dyDescent="0.2">
      <c r="D1566">
        <v>118</v>
      </c>
      <c r="G1566" t="s">
        <v>43</v>
      </c>
      <c r="H1566" t="s">
        <v>854</v>
      </c>
      <c r="J1566">
        <v>2015</v>
      </c>
      <c r="M1566" t="s">
        <v>381</v>
      </c>
      <c r="T1566" t="s">
        <v>103</v>
      </c>
      <c r="U1566" t="s">
        <v>103</v>
      </c>
      <c r="V1566" t="s">
        <v>855</v>
      </c>
      <c r="Z1566" t="s">
        <v>106</v>
      </c>
      <c r="AA1566" t="s">
        <v>107</v>
      </c>
      <c r="AB1566" t="s">
        <v>50</v>
      </c>
      <c r="AC1566" t="s">
        <v>117</v>
      </c>
      <c r="AD1566" t="s">
        <v>52</v>
      </c>
      <c r="AE1566" t="s">
        <v>53</v>
      </c>
      <c r="AF1566" t="s">
        <v>52</v>
      </c>
      <c r="AG1566" t="s">
        <v>52</v>
      </c>
      <c r="AH1566" t="s">
        <v>64</v>
      </c>
      <c r="AK1566">
        <v>18</v>
      </c>
      <c r="AL1566">
        <v>6</v>
      </c>
      <c r="AN1566">
        <v>540</v>
      </c>
      <c r="AO1566" t="s">
        <v>56</v>
      </c>
      <c r="AP1566">
        <v>54</v>
      </c>
      <c r="AQ1566" t="s">
        <v>57</v>
      </c>
      <c r="AR1566">
        <v>8.14</v>
      </c>
      <c r="AS1566" t="s">
        <v>56</v>
      </c>
      <c r="AT1566">
        <v>0.01</v>
      </c>
      <c r="AU1566">
        <v>2234</v>
      </c>
      <c r="AV1566" t="s">
        <v>56</v>
      </c>
      <c r="AW1566">
        <v>328</v>
      </c>
      <c r="AX1566">
        <v>7.58</v>
      </c>
      <c r="AY1566" t="s">
        <v>56</v>
      </c>
      <c r="AZ1566">
        <v>0.03</v>
      </c>
      <c r="BB1566">
        <f>LOG(AU1566)</f>
        <v>3.3490831687795901</v>
      </c>
      <c r="BC1566">
        <v>29.8</v>
      </c>
      <c r="BD1566" t="s">
        <v>56</v>
      </c>
      <c r="BE1566">
        <v>0.4</v>
      </c>
      <c r="BF1566">
        <v>30.6</v>
      </c>
      <c r="BG1566" t="s">
        <v>56</v>
      </c>
      <c r="BH1566">
        <v>0.4</v>
      </c>
      <c r="BI1566">
        <v>1694</v>
      </c>
      <c r="BJ1566">
        <v>0.9</v>
      </c>
      <c r="BK1566" t="s">
        <v>856</v>
      </c>
      <c r="BL1566" t="s">
        <v>858</v>
      </c>
      <c r="BM1566" t="s">
        <v>83</v>
      </c>
      <c r="BN1566" t="s">
        <v>81</v>
      </c>
      <c r="BO1566" t="s">
        <v>250</v>
      </c>
      <c r="BP1566" t="s">
        <v>83</v>
      </c>
      <c r="BQ1566" s="8" t="s">
        <v>190</v>
      </c>
      <c r="BR1566" t="s">
        <v>63</v>
      </c>
      <c r="BT1566">
        <v>83.4</v>
      </c>
      <c r="BU1566">
        <v>83.4</v>
      </c>
      <c r="BV1566">
        <v>6.67</v>
      </c>
      <c r="BW1566">
        <f>BV1566*SQRT(AK1566)</f>
        <v>28.298413383085631</v>
      </c>
      <c r="BX1566">
        <v>92.1</v>
      </c>
      <c r="BY1566">
        <v>92.1</v>
      </c>
      <c r="BZ1566">
        <v>11.02</v>
      </c>
      <c r="CA1566">
        <f>BZ1566*SQRT(AL1566)</f>
        <v>26.99337696547062</v>
      </c>
      <c r="CB1566">
        <v>96</v>
      </c>
      <c r="CC1566">
        <v>12</v>
      </c>
      <c r="CD1566">
        <v>9.9000000000000005E-2</v>
      </c>
      <c r="CE1566">
        <v>2.07E-2</v>
      </c>
    </row>
    <row r="1567" spans="4:83" hidden="1" x14ac:dyDescent="0.2">
      <c r="D1567">
        <v>118</v>
      </c>
      <c r="G1567" t="s">
        <v>43</v>
      </c>
      <c r="H1567" t="s">
        <v>854</v>
      </c>
      <c r="J1567">
        <v>2015</v>
      </c>
      <c r="M1567" t="s">
        <v>381</v>
      </c>
      <c r="T1567" t="s">
        <v>103</v>
      </c>
      <c r="U1567" t="s">
        <v>103</v>
      </c>
      <c r="V1567" t="s">
        <v>855</v>
      </c>
      <c r="Z1567" t="s">
        <v>106</v>
      </c>
      <c r="AA1567" t="s">
        <v>107</v>
      </c>
      <c r="AB1567" t="s">
        <v>50</v>
      </c>
      <c r="AC1567" t="s">
        <v>117</v>
      </c>
      <c r="AD1567" t="s">
        <v>52</v>
      </c>
      <c r="AE1567" t="s">
        <v>53</v>
      </c>
      <c r="AF1567" t="s">
        <v>52</v>
      </c>
      <c r="AG1567" t="s">
        <v>54</v>
      </c>
      <c r="AH1567" t="s">
        <v>55</v>
      </c>
      <c r="AK1567">
        <v>18</v>
      </c>
      <c r="AL1567">
        <v>17</v>
      </c>
      <c r="AN1567">
        <v>540</v>
      </c>
      <c r="AO1567" t="s">
        <v>56</v>
      </c>
      <c r="AP1567">
        <v>54</v>
      </c>
      <c r="AQ1567" t="s">
        <v>57</v>
      </c>
      <c r="AR1567">
        <v>8.14</v>
      </c>
      <c r="AS1567" t="s">
        <v>56</v>
      </c>
      <c r="AT1567">
        <v>0.01</v>
      </c>
      <c r="AU1567">
        <v>2253</v>
      </c>
      <c r="AV1567" t="s">
        <v>56</v>
      </c>
      <c r="AW1567">
        <v>232</v>
      </c>
      <c r="AX1567">
        <v>7.56</v>
      </c>
      <c r="AY1567" t="s">
        <v>56</v>
      </c>
      <c r="AZ1567">
        <v>0.03</v>
      </c>
      <c r="BB1567">
        <f>LOG(AU1567)</f>
        <v>3.3527611917238307</v>
      </c>
      <c r="BC1567">
        <v>29.8</v>
      </c>
      <c r="BD1567" t="s">
        <v>56</v>
      </c>
      <c r="BE1567">
        <v>0.4</v>
      </c>
      <c r="BF1567">
        <v>29.8</v>
      </c>
      <c r="BG1567" t="s">
        <v>56</v>
      </c>
      <c r="BH1567">
        <v>0.4</v>
      </c>
      <c r="BI1567">
        <v>1713</v>
      </c>
      <c r="BJ1567">
        <v>0</v>
      </c>
      <c r="BK1567" t="s">
        <v>856</v>
      </c>
      <c r="BL1567" t="s">
        <v>268</v>
      </c>
      <c r="BM1567" t="s">
        <v>232</v>
      </c>
      <c r="BN1567" t="s">
        <v>81</v>
      </c>
      <c r="BO1567" t="s">
        <v>857</v>
      </c>
      <c r="BP1567" t="s">
        <v>234</v>
      </c>
      <c r="BQ1567" s="8" t="s">
        <v>190</v>
      </c>
      <c r="BR1567" t="s">
        <v>63</v>
      </c>
      <c r="BT1567">
        <v>0.17</v>
      </c>
      <c r="BU1567">
        <v>0.17</v>
      </c>
      <c r="BV1567">
        <v>0.03</v>
      </c>
      <c r="BW1567">
        <f>BV1567*SQRT(AK1567)</f>
        <v>0.12727922061357855</v>
      </c>
      <c r="BX1567">
        <v>0.22</v>
      </c>
      <c r="BY1567">
        <v>0.22</v>
      </c>
      <c r="BZ1567">
        <v>0.04</v>
      </c>
      <c r="CA1567">
        <f>BZ1567*SQRT(AL1567)</f>
        <v>0.16492422502470644</v>
      </c>
      <c r="CB1567">
        <v>96</v>
      </c>
      <c r="CC1567">
        <v>36</v>
      </c>
      <c r="CD1567">
        <v>0.25800000000000001</v>
      </c>
      <c r="CE1567">
        <v>6.88E-2</v>
      </c>
    </row>
    <row r="1568" spans="4:83" hidden="1" x14ac:dyDescent="0.2">
      <c r="D1568">
        <v>118</v>
      </c>
      <c r="G1568" t="s">
        <v>43</v>
      </c>
      <c r="H1568" t="s">
        <v>854</v>
      </c>
      <c r="J1568">
        <v>2015</v>
      </c>
      <c r="M1568" t="s">
        <v>381</v>
      </c>
      <c r="T1568" t="s">
        <v>103</v>
      </c>
      <c r="U1568" t="s">
        <v>103</v>
      </c>
      <c r="V1568" t="s">
        <v>855</v>
      </c>
      <c r="Z1568" t="s">
        <v>106</v>
      </c>
      <c r="AA1568" t="s">
        <v>107</v>
      </c>
      <c r="AB1568" t="s">
        <v>50</v>
      </c>
      <c r="AC1568" t="s">
        <v>117</v>
      </c>
      <c r="AD1568" t="s">
        <v>52</v>
      </c>
      <c r="AE1568" t="s">
        <v>53</v>
      </c>
      <c r="AF1568" t="s">
        <v>54</v>
      </c>
      <c r="AG1568" t="s">
        <v>52</v>
      </c>
      <c r="AH1568" t="s">
        <v>65</v>
      </c>
      <c r="AK1568">
        <v>18</v>
      </c>
      <c r="AL1568">
        <v>4</v>
      </c>
      <c r="AN1568">
        <v>540</v>
      </c>
      <c r="AO1568" t="s">
        <v>56</v>
      </c>
      <c r="AP1568">
        <v>54</v>
      </c>
      <c r="AQ1568" t="s">
        <v>57</v>
      </c>
      <c r="AR1568">
        <v>8.14</v>
      </c>
      <c r="AS1568" t="s">
        <v>56</v>
      </c>
      <c r="AT1568">
        <v>0.01</v>
      </c>
      <c r="AU1568">
        <v>534</v>
      </c>
      <c r="AV1568" t="s">
        <v>56</v>
      </c>
      <c r="AW1568">
        <v>14</v>
      </c>
      <c r="AX1568">
        <v>8.1300000000000008</v>
      </c>
      <c r="AY1568" t="s">
        <v>56</v>
      </c>
      <c r="AZ1568">
        <v>0.01</v>
      </c>
      <c r="BB1568">
        <f>LOG(AU1568)</f>
        <v>2.7275412570285562</v>
      </c>
      <c r="BC1568">
        <v>29.8</v>
      </c>
      <c r="BD1568" t="s">
        <v>56</v>
      </c>
      <c r="BE1568">
        <v>0.4</v>
      </c>
      <c r="BF1568">
        <v>30.7</v>
      </c>
      <c r="BG1568" t="s">
        <v>56</v>
      </c>
      <c r="BH1568">
        <v>0.5</v>
      </c>
      <c r="BI1568">
        <v>-6</v>
      </c>
      <c r="BJ1568">
        <v>0.9</v>
      </c>
      <c r="BK1568" t="s">
        <v>856</v>
      </c>
      <c r="BL1568" t="s">
        <v>858</v>
      </c>
      <c r="BM1568" t="s">
        <v>83</v>
      </c>
      <c r="BN1568" t="s">
        <v>81</v>
      </c>
      <c r="BO1568" t="s">
        <v>250</v>
      </c>
      <c r="BP1568" t="s">
        <v>83</v>
      </c>
      <c r="BQ1568" s="8" t="s">
        <v>9</v>
      </c>
      <c r="BR1568" t="s">
        <v>63</v>
      </c>
      <c r="BT1568">
        <v>83.4</v>
      </c>
      <c r="BU1568">
        <v>83.4</v>
      </c>
      <c r="BV1568">
        <v>6.67</v>
      </c>
      <c r="BW1568">
        <f>BV1568*SQRT(AK1568)</f>
        <v>28.298413383085631</v>
      </c>
      <c r="BX1568">
        <v>108.3</v>
      </c>
      <c r="BY1568">
        <v>108.3</v>
      </c>
      <c r="BZ1568">
        <v>3.8</v>
      </c>
      <c r="CA1568">
        <f>BZ1568*SQRT(AL1568)</f>
        <v>7.6</v>
      </c>
      <c r="CB1568">
        <v>96</v>
      </c>
      <c r="CC1568">
        <v>12</v>
      </c>
      <c r="CD1568">
        <v>0.26100000000000001</v>
      </c>
      <c r="CE1568">
        <v>7.6E-3</v>
      </c>
    </row>
    <row r="1569" spans="1:84" hidden="1" x14ac:dyDescent="0.2">
      <c r="D1569">
        <v>118</v>
      </c>
      <c r="G1569" t="s">
        <v>43</v>
      </c>
      <c r="H1569" t="s">
        <v>854</v>
      </c>
      <c r="J1569">
        <v>2015</v>
      </c>
      <c r="M1569" t="s">
        <v>381</v>
      </c>
      <c r="T1569" t="s">
        <v>103</v>
      </c>
      <c r="U1569" t="s">
        <v>103</v>
      </c>
      <c r="V1569" t="s">
        <v>855</v>
      </c>
      <c r="Z1569" t="s">
        <v>106</v>
      </c>
      <c r="AA1569" t="s">
        <v>107</v>
      </c>
      <c r="AB1569" t="s">
        <v>50</v>
      </c>
      <c r="AC1569" t="s">
        <v>117</v>
      </c>
      <c r="AD1569" t="s">
        <v>52</v>
      </c>
      <c r="AE1569" t="s">
        <v>53</v>
      </c>
      <c r="AF1569" t="s">
        <v>52</v>
      </c>
      <c r="AG1569" t="s">
        <v>52</v>
      </c>
      <c r="AH1569" t="s">
        <v>64</v>
      </c>
      <c r="AK1569">
        <v>18</v>
      </c>
      <c r="AL1569">
        <v>6</v>
      </c>
      <c r="AN1569">
        <v>540</v>
      </c>
      <c r="AO1569" t="s">
        <v>56</v>
      </c>
      <c r="AP1569">
        <v>54</v>
      </c>
      <c r="AQ1569" t="s">
        <v>57</v>
      </c>
      <c r="AR1569">
        <v>8.14</v>
      </c>
      <c r="AS1569" t="s">
        <v>56</v>
      </c>
      <c r="AT1569">
        <v>0.01</v>
      </c>
      <c r="AU1569">
        <v>1337</v>
      </c>
      <c r="AV1569" t="s">
        <v>56</v>
      </c>
      <c r="AW1569">
        <v>185</v>
      </c>
      <c r="AX1569">
        <v>7.76</v>
      </c>
      <c r="AY1569" t="s">
        <v>56</v>
      </c>
      <c r="AZ1569">
        <v>0.04</v>
      </c>
      <c r="BB1569">
        <f>LOG(AU1569)</f>
        <v>3.1261314072619846</v>
      </c>
      <c r="BC1569">
        <v>29.8</v>
      </c>
      <c r="BD1569" t="s">
        <v>56</v>
      </c>
      <c r="BE1569">
        <v>0.4</v>
      </c>
      <c r="BF1569">
        <v>30.8</v>
      </c>
      <c r="BG1569" t="s">
        <v>56</v>
      </c>
      <c r="BH1569">
        <v>0.5</v>
      </c>
      <c r="BI1569">
        <v>797</v>
      </c>
      <c r="BJ1569">
        <v>1</v>
      </c>
      <c r="BK1569" t="s">
        <v>856</v>
      </c>
      <c r="BL1569" t="s">
        <v>858</v>
      </c>
      <c r="BM1569" t="s">
        <v>83</v>
      </c>
      <c r="BN1569" t="s">
        <v>81</v>
      </c>
      <c r="BO1569" t="s">
        <v>250</v>
      </c>
      <c r="BP1569" t="s">
        <v>83</v>
      </c>
      <c r="BQ1569" s="8" t="s">
        <v>9</v>
      </c>
      <c r="BR1569" t="s">
        <v>63</v>
      </c>
      <c r="BT1569">
        <v>83.4</v>
      </c>
      <c r="BU1569">
        <v>83.4</v>
      </c>
      <c r="BV1569">
        <v>6.67</v>
      </c>
      <c r="BW1569">
        <f>BV1569*SQRT(AK1569)</f>
        <v>28.298413383085631</v>
      </c>
      <c r="BX1569">
        <v>110.3</v>
      </c>
      <c r="BY1569">
        <v>110.3</v>
      </c>
      <c r="BZ1569">
        <v>4.9800000000000004</v>
      </c>
      <c r="CA1569">
        <f>BZ1569*SQRT(AL1569)</f>
        <v>12.198458919060228</v>
      </c>
      <c r="CB1569">
        <v>96</v>
      </c>
      <c r="CC1569">
        <v>12</v>
      </c>
      <c r="CD1569">
        <v>0.28000000000000003</v>
      </c>
      <c r="CE1569">
        <v>8.3999999999999995E-3</v>
      </c>
    </row>
    <row r="1570" spans="1:84" hidden="1" x14ac:dyDescent="0.2">
      <c r="A1570" s="8"/>
      <c r="B1570" t="str">
        <f>ROW()-1&amp;"_AltersInvert"</f>
        <v>1569_AltersInvert</v>
      </c>
      <c r="C1570" t="str">
        <f>D1570&amp;"_"&amp;
SUBSTITUTE(TRIM(V1570)," ","_")&amp;"_"&amp;
TRIM(AC1570)&amp;"_"&amp;
"CO2"&amp;TEXT(AN1570,"0.00")&amp;"_"&amp;
"pH"&amp;TEXT(AR1570,"0.00")&amp;"_"&amp;
"T"&amp;TEXT(BC1570,"0.##")</f>
        <v>49_Limecola_balthica_EMBRYO_CO2366.00_pH8.09_T15.</v>
      </c>
      <c r="D1570" s="8">
        <v>49</v>
      </c>
      <c r="E1570" s="8"/>
      <c r="F1570" s="8"/>
      <c r="G1570" s="8" t="s">
        <v>43</v>
      </c>
      <c r="H1570" s="8" t="s">
        <v>512</v>
      </c>
      <c r="I1570" s="8" t="s">
        <v>1130</v>
      </c>
      <c r="J1570" s="8">
        <v>2018</v>
      </c>
      <c r="K1570" s="8"/>
      <c r="L1570" s="8"/>
      <c r="M1570" s="8" t="s">
        <v>513</v>
      </c>
      <c r="N1570" s="8"/>
      <c r="O1570" s="8"/>
      <c r="P1570" t="s">
        <v>1135</v>
      </c>
      <c r="Q1570" s="8"/>
      <c r="R1570" s="8" t="s">
        <v>1127</v>
      </c>
      <c r="S1570" t="s">
        <v>1128</v>
      </c>
      <c r="T1570" s="8" t="s">
        <v>68</v>
      </c>
      <c r="U1570" s="8" t="s">
        <v>514</v>
      </c>
      <c r="V1570" s="8" t="s">
        <v>515</v>
      </c>
      <c r="W1570" s="8" t="str">
        <f>IF(ISNUMBER(MATCH(V964,{"Doryteuthis pealeii","Loligo vulgaris","Leptuca thayeri","Stylocheilus striatus","Ophryotrocha labronica"},0)),"N","Y")</f>
        <v>Y</v>
      </c>
      <c r="X1570" s="8"/>
      <c r="Y1570" s="8"/>
      <c r="Z1570" s="8" t="s">
        <v>49</v>
      </c>
      <c r="AA1570" s="8" t="s">
        <v>49</v>
      </c>
      <c r="AB1570" s="8" t="s">
        <v>71</v>
      </c>
      <c r="AC1570" s="8" t="s">
        <v>195</v>
      </c>
      <c r="AD1570" s="8" t="s">
        <v>52</v>
      </c>
      <c r="AE1570" s="8" t="s">
        <v>53</v>
      </c>
      <c r="AF1570" s="8" t="s">
        <v>52</v>
      </c>
      <c r="AG1570" s="8" t="s">
        <v>52</v>
      </c>
      <c r="AH1570" s="8" t="s">
        <v>64</v>
      </c>
      <c r="AI1570" s="8"/>
      <c r="AJ1570" s="8"/>
      <c r="AK1570" s="8">
        <v>5</v>
      </c>
      <c r="AL1570" s="8">
        <v>5</v>
      </c>
      <c r="AM1570" s="8"/>
      <c r="AN1570" s="8">
        <v>366</v>
      </c>
      <c r="AO1570" s="8" t="s">
        <v>56</v>
      </c>
      <c r="AP1570" s="8" t="s">
        <v>56</v>
      </c>
      <c r="AQ1570" s="8" t="s">
        <v>57</v>
      </c>
      <c r="AR1570" s="8">
        <v>8.09</v>
      </c>
      <c r="AS1570" s="8" t="s">
        <v>56</v>
      </c>
      <c r="AT1570" s="8" t="s">
        <v>56</v>
      </c>
      <c r="AU1570" s="8">
        <v>548</v>
      </c>
      <c r="AV1570" t="s">
        <v>56</v>
      </c>
      <c r="AW1570" t="s">
        <v>56</v>
      </c>
      <c r="AX1570">
        <v>7.99</v>
      </c>
      <c r="AY1570" t="s">
        <v>56</v>
      </c>
      <c r="AZ1570" t="s">
        <v>56</v>
      </c>
      <c r="BA1570" s="8"/>
      <c r="BB1570" s="8">
        <f>LOG(AU1570)</f>
        <v>2.7387805584843692</v>
      </c>
      <c r="BC1570" s="8">
        <v>15</v>
      </c>
      <c r="BD1570" s="8" t="s">
        <v>56</v>
      </c>
      <c r="BE1570" s="8" t="s">
        <v>56</v>
      </c>
      <c r="BF1570" s="8">
        <v>18</v>
      </c>
      <c r="BG1570" s="8" t="s">
        <v>56</v>
      </c>
      <c r="BH1570" s="8" t="s">
        <v>56</v>
      </c>
      <c r="BI1570" s="8">
        <v>182</v>
      </c>
      <c r="BJ1570" s="8">
        <v>3</v>
      </c>
      <c r="BK1570" s="8" t="s">
        <v>518</v>
      </c>
      <c r="BL1570" s="8" t="s">
        <v>196</v>
      </c>
      <c r="BM1570" s="8" t="s">
        <v>197</v>
      </c>
      <c r="BN1570" s="8" t="s">
        <v>81</v>
      </c>
      <c r="BO1570" s="8" t="s">
        <v>82</v>
      </c>
      <c r="BP1570" s="8" t="s">
        <v>83</v>
      </c>
      <c r="BQ1570" s="8" t="s">
        <v>190</v>
      </c>
      <c r="BR1570" s="8" t="s">
        <v>84</v>
      </c>
      <c r="BS1570" s="8"/>
      <c r="BT1570" s="8">
        <v>70.34</v>
      </c>
      <c r="BU1570" s="8">
        <v>70.344828000000007</v>
      </c>
      <c r="BV1570" s="8">
        <v>3.1</v>
      </c>
      <c r="BW1570" s="8">
        <f>BV1570*SQRT(AK1570)</f>
        <v>6.9318107302493486</v>
      </c>
      <c r="BX1570" s="8">
        <v>63.1</v>
      </c>
      <c r="BY1570" s="8">
        <v>63.103448299999997</v>
      </c>
      <c r="BZ1570" s="8">
        <v>4.3099999999999996</v>
      </c>
      <c r="CA1570" s="8">
        <f>BZ1570*SQRT(AL1570)</f>
        <v>9.6374529830240938</v>
      </c>
      <c r="CB1570" s="8">
        <v>3</v>
      </c>
      <c r="CC1570" s="8">
        <v>5</v>
      </c>
      <c r="CD1570" s="8">
        <v>-0.109</v>
      </c>
      <c r="CE1570" s="8">
        <v>6.6E-3</v>
      </c>
      <c r="CF1570" s="8" t="s">
        <v>1134</v>
      </c>
    </row>
    <row r="1571" spans="1:84" hidden="1" x14ac:dyDescent="0.2">
      <c r="A1571" s="8"/>
      <c r="B1571" t="str">
        <f>ROW()-1&amp;"_AltersInvert"</f>
        <v>1570_AltersInvert</v>
      </c>
      <c r="C1571" t="str">
        <f>D1571&amp;"_"&amp;
SUBSTITUTE(TRIM(V1571)," ","_")&amp;"_"&amp;
TRIM(AC1571)&amp;"_"&amp;
"CO2"&amp;TEXT(AN1571,"0.00")&amp;"_"&amp;
"pH"&amp;TEXT(AR1571,"0.00")&amp;"_"&amp;
"T"&amp;TEXT(BC1571,"0.##")</f>
        <v>49_Limecola_balthica_EMBRYO_CO2848.00_pH7.80_T15.</v>
      </c>
      <c r="D1571" s="8">
        <v>49</v>
      </c>
      <c r="E1571" s="8"/>
      <c r="F1571" s="8"/>
      <c r="G1571" s="8" t="s">
        <v>43</v>
      </c>
      <c r="H1571" s="8" t="s">
        <v>512</v>
      </c>
      <c r="I1571" s="8" t="s">
        <v>1130</v>
      </c>
      <c r="J1571" s="8">
        <v>2018</v>
      </c>
      <c r="K1571" s="8"/>
      <c r="L1571" s="8"/>
      <c r="M1571" s="8" t="s">
        <v>513</v>
      </c>
      <c r="N1571" s="8"/>
      <c r="O1571" s="8"/>
      <c r="P1571" t="s">
        <v>1135</v>
      </c>
      <c r="Q1571" s="8"/>
      <c r="R1571" s="8" t="s">
        <v>1127</v>
      </c>
      <c r="S1571" t="s">
        <v>1128</v>
      </c>
      <c r="T1571" s="8" t="s">
        <v>68</v>
      </c>
      <c r="U1571" s="8" t="s">
        <v>514</v>
      </c>
      <c r="V1571" s="8" t="s">
        <v>515</v>
      </c>
      <c r="W1571" s="8" t="str">
        <f>IF(ISNUMBER(MATCH(V965,{"Doryteuthis pealeii","Loligo vulgaris","Leptuca thayeri","Stylocheilus striatus","Ophryotrocha labronica"},0)),"N","Y")</f>
        <v>Y</v>
      </c>
      <c r="X1571" s="8"/>
      <c r="Y1571" s="8"/>
      <c r="Z1571" s="8" t="s">
        <v>49</v>
      </c>
      <c r="AA1571" s="8" t="s">
        <v>49</v>
      </c>
      <c r="AB1571" s="8" t="s">
        <v>71</v>
      </c>
      <c r="AC1571" s="8" t="s">
        <v>195</v>
      </c>
      <c r="AD1571" s="8" t="s">
        <v>52</v>
      </c>
      <c r="AE1571" s="8" t="s">
        <v>53</v>
      </c>
      <c r="AF1571" s="8" t="s">
        <v>52</v>
      </c>
      <c r="AG1571" s="8" t="s">
        <v>52</v>
      </c>
      <c r="AH1571" s="8" t="s">
        <v>64</v>
      </c>
      <c r="AI1571" s="8"/>
      <c r="AJ1571" s="8"/>
      <c r="AK1571" s="8">
        <v>5</v>
      </c>
      <c r="AL1571" s="8">
        <v>5</v>
      </c>
      <c r="AM1571" s="8"/>
      <c r="AN1571" s="8">
        <v>848</v>
      </c>
      <c r="AO1571" s="8" t="s">
        <v>56</v>
      </c>
      <c r="AP1571" s="8" t="s">
        <v>56</v>
      </c>
      <c r="AQ1571" s="8" t="s">
        <v>57</v>
      </c>
      <c r="AR1571" s="8">
        <v>7.8</v>
      </c>
      <c r="AS1571" s="8" t="s">
        <v>56</v>
      </c>
      <c r="AT1571" s="8" t="s">
        <v>56</v>
      </c>
      <c r="AU1571" s="8">
        <v>2180</v>
      </c>
      <c r="AV1571" t="s">
        <v>56</v>
      </c>
      <c r="AW1571" t="s">
        <v>56</v>
      </c>
      <c r="AX1571">
        <v>7.48</v>
      </c>
      <c r="AY1571" t="s">
        <v>56</v>
      </c>
      <c r="AZ1571" t="s">
        <v>56</v>
      </c>
      <c r="BA1571" s="8"/>
      <c r="BB1571" s="8">
        <f>LOG(AU1571)</f>
        <v>3.3384564936046046</v>
      </c>
      <c r="BC1571" s="8">
        <v>15</v>
      </c>
      <c r="BD1571" s="8" t="s">
        <v>56</v>
      </c>
      <c r="BE1571" s="8" t="s">
        <v>56</v>
      </c>
      <c r="BF1571" s="8">
        <v>18</v>
      </c>
      <c r="BG1571" s="8" t="s">
        <v>56</v>
      </c>
      <c r="BH1571" s="8" t="s">
        <v>56</v>
      </c>
      <c r="BI1571" s="8">
        <v>1332</v>
      </c>
      <c r="BJ1571" s="8">
        <v>3</v>
      </c>
      <c r="BK1571" s="8" t="s">
        <v>517</v>
      </c>
      <c r="BL1571" s="8" t="s">
        <v>196</v>
      </c>
      <c r="BM1571" s="8" t="s">
        <v>197</v>
      </c>
      <c r="BN1571" s="8" t="s">
        <v>81</v>
      </c>
      <c r="BO1571" s="8" t="s">
        <v>82</v>
      </c>
      <c r="BP1571" s="8" t="s">
        <v>83</v>
      </c>
      <c r="BQ1571" s="8" t="s">
        <v>190</v>
      </c>
      <c r="BR1571" s="8" t="s">
        <v>84</v>
      </c>
      <c r="BS1571" s="8"/>
      <c r="BT1571" s="8">
        <v>22.07</v>
      </c>
      <c r="BU1571" s="8">
        <v>22.068966</v>
      </c>
      <c r="BV1571" s="8">
        <v>3.1</v>
      </c>
      <c r="BW1571" s="8">
        <f>BV1571*SQRT(AK1571)</f>
        <v>6.9318107302493486</v>
      </c>
      <c r="BX1571" s="8">
        <v>20.170000000000002</v>
      </c>
      <c r="BY1571" s="8">
        <v>20.172413800000001</v>
      </c>
      <c r="BZ1571" s="8">
        <v>3.28</v>
      </c>
      <c r="CA1571" s="8">
        <f>BZ1571*SQRT(AL1571)</f>
        <v>7.33430296619931</v>
      </c>
      <c r="CB1571" s="8">
        <v>3</v>
      </c>
      <c r="CC1571" s="8">
        <v>5</v>
      </c>
      <c r="CD1571" s="8">
        <v>-0.09</v>
      </c>
      <c r="CE1571" s="8">
        <v>4.6100000000000002E-2</v>
      </c>
      <c r="CF1571" s="8" t="s">
        <v>1134</v>
      </c>
    </row>
    <row r="1572" spans="1:84" hidden="1" x14ac:dyDescent="0.2">
      <c r="A1572" s="8"/>
      <c r="B1572" t="str">
        <f>ROW()-1&amp;"_AltersInvert"</f>
        <v>1571_AltersInvert</v>
      </c>
      <c r="C1572" t="str">
        <f>D1572&amp;"_"&amp;
SUBSTITUTE(TRIM(V1572)," ","_")&amp;"_"&amp;
TRIM(AC1572)&amp;"_"&amp;
"CO2"&amp;TEXT(AN1572,"0.00")&amp;"_"&amp;
"pH"&amp;TEXT(AR1572,"0.00")&amp;"_"&amp;
"T"&amp;TEXT(BC1572,"0.##")</f>
        <v>49_Limecola_balthica_EMBRYO_CO2848.00_pH7.80_T15.</v>
      </c>
      <c r="D1572" s="8">
        <v>49</v>
      </c>
      <c r="E1572" s="8"/>
      <c r="F1572" s="8"/>
      <c r="G1572" s="8" t="s">
        <v>43</v>
      </c>
      <c r="H1572" s="8" t="s">
        <v>512</v>
      </c>
      <c r="I1572" s="8" t="s">
        <v>1130</v>
      </c>
      <c r="J1572" s="8">
        <v>2018</v>
      </c>
      <c r="K1572" s="8"/>
      <c r="L1572" s="8"/>
      <c r="M1572" s="8" t="s">
        <v>513</v>
      </c>
      <c r="N1572" s="8"/>
      <c r="O1572" s="8"/>
      <c r="P1572" t="s">
        <v>1135</v>
      </c>
      <c r="Q1572" s="8"/>
      <c r="R1572" s="8" t="s">
        <v>1127</v>
      </c>
      <c r="S1572" t="s">
        <v>1128</v>
      </c>
      <c r="T1572" s="8" t="s">
        <v>68</v>
      </c>
      <c r="U1572" s="8" t="s">
        <v>514</v>
      </c>
      <c r="V1572" s="8" t="s">
        <v>515</v>
      </c>
      <c r="W1572" s="8" t="str">
        <f>IF(ISNUMBER(MATCH(V966,{"Doryteuthis pealeii","Loligo vulgaris","Leptuca thayeri","Stylocheilus striatus","Ophryotrocha labronica"},0)),"N","Y")</f>
        <v>Y</v>
      </c>
      <c r="X1572" s="8"/>
      <c r="Y1572" s="8"/>
      <c r="Z1572" s="8" t="s">
        <v>49</v>
      </c>
      <c r="AA1572" s="8" t="s">
        <v>49</v>
      </c>
      <c r="AB1572" s="8" t="s">
        <v>71</v>
      </c>
      <c r="AC1572" s="8" t="s">
        <v>195</v>
      </c>
      <c r="AD1572" s="8" t="s">
        <v>52</v>
      </c>
      <c r="AE1572" s="8" t="s">
        <v>53</v>
      </c>
      <c r="AF1572" s="8" t="s">
        <v>52</v>
      </c>
      <c r="AG1572" s="8" t="s">
        <v>52</v>
      </c>
      <c r="AH1572" s="8" t="s">
        <v>64</v>
      </c>
      <c r="AI1572" s="8"/>
      <c r="AJ1572" s="8"/>
      <c r="AK1572" s="8">
        <v>5</v>
      </c>
      <c r="AL1572" s="8">
        <v>5</v>
      </c>
      <c r="AM1572" s="8"/>
      <c r="AN1572" s="8">
        <v>848</v>
      </c>
      <c r="AO1572" s="8" t="s">
        <v>56</v>
      </c>
      <c r="AP1572" s="8" t="s">
        <v>56</v>
      </c>
      <c r="AQ1572" s="8" t="s">
        <v>57</v>
      </c>
      <c r="AR1572" s="8">
        <v>7.8</v>
      </c>
      <c r="AS1572" s="8" t="s">
        <v>56</v>
      </c>
      <c r="AT1572" s="8" t="s">
        <v>56</v>
      </c>
      <c r="AU1572" s="8">
        <v>1304</v>
      </c>
      <c r="AV1572" t="s">
        <v>56</v>
      </c>
      <c r="AW1572" t="s">
        <v>56</v>
      </c>
      <c r="AX1572">
        <v>7.68</v>
      </c>
      <c r="AY1572" t="s">
        <v>56</v>
      </c>
      <c r="AZ1572" t="s">
        <v>56</v>
      </c>
      <c r="BA1572" s="8"/>
      <c r="BB1572" s="8">
        <f>LOG(AU1572)</f>
        <v>3.1152775913959014</v>
      </c>
      <c r="BC1572" s="8">
        <v>15</v>
      </c>
      <c r="BD1572" s="8" t="s">
        <v>56</v>
      </c>
      <c r="BE1572" s="8" t="s">
        <v>56</v>
      </c>
      <c r="BF1572" s="8">
        <v>18</v>
      </c>
      <c r="BG1572" s="8" t="s">
        <v>56</v>
      </c>
      <c r="BH1572" s="8" t="s">
        <v>56</v>
      </c>
      <c r="BI1572" s="8">
        <v>456</v>
      </c>
      <c r="BJ1572" s="8">
        <v>3</v>
      </c>
      <c r="BK1572" s="8" t="s">
        <v>517</v>
      </c>
      <c r="BL1572" s="8" t="s">
        <v>196</v>
      </c>
      <c r="BM1572" s="8" t="s">
        <v>197</v>
      </c>
      <c r="BN1572" s="8" t="s">
        <v>81</v>
      </c>
      <c r="BO1572" s="8" t="s">
        <v>82</v>
      </c>
      <c r="BP1572" s="8" t="s">
        <v>83</v>
      </c>
      <c r="BQ1572" s="8" t="s">
        <v>204</v>
      </c>
      <c r="BR1572" s="8" t="s">
        <v>84</v>
      </c>
      <c r="BS1572" s="8"/>
      <c r="BT1572" s="8">
        <v>22.07</v>
      </c>
      <c r="BU1572" s="8">
        <v>22.068966</v>
      </c>
      <c r="BV1572" s="8">
        <v>3.1</v>
      </c>
      <c r="BW1572" s="8">
        <f>BV1572*SQRT(AK1572)</f>
        <v>6.9318107302493486</v>
      </c>
      <c r="BX1572" s="8">
        <v>22.59</v>
      </c>
      <c r="BY1572" s="8">
        <v>22.586206900000001</v>
      </c>
      <c r="BZ1572" s="8">
        <v>1.72</v>
      </c>
      <c r="CA1572" s="8">
        <f>BZ1572*SQRT(AL1572)</f>
        <v>3.8460369212996386</v>
      </c>
      <c r="CB1572" s="8">
        <v>3</v>
      </c>
      <c r="CC1572" s="8">
        <v>5</v>
      </c>
      <c r="CD1572" s="8">
        <v>2.3E-2</v>
      </c>
      <c r="CE1572" s="8">
        <v>2.5600000000000001E-2</v>
      </c>
      <c r="CF1572" s="8" t="s">
        <v>1134</v>
      </c>
    </row>
    <row r="1573" spans="1:84" hidden="1" x14ac:dyDescent="0.2">
      <c r="A1573" s="8"/>
      <c r="B1573" t="str">
        <f>ROW()-1&amp;"_AltersInvert"</f>
        <v>1572_AltersInvert</v>
      </c>
      <c r="C1573" t="str">
        <f>D1573&amp;"_"&amp;
SUBSTITUTE(TRIM(V1573)," ","_")&amp;"_"&amp;
TRIM(AC1573)&amp;"_"&amp;
"CO2"&amp;TEXT(AN1573,"0.00")&amp;"_"&amp;
"pH"&amp;TEXT(AR1573,"0.00")&amp;"_"&amp;
"T"&amp;TEXT(BC1573,"0.##")</f>
        <v>49_Limecola_balthica_EMBRYO_CO2848.00_pH7.80_T15.</v>
      </c>
      <c r="D1573" s="8">
        <v>49</v>
      </c>
      <c r="E1573" s="8"/>
      <c r="F1573" s="8"/>
      <c r="G1573" s="8" t="s">
        <v>43</v>
      </c>
      <c r="H1573" s="8" t="s">
        <v>512</v>
      </c>
      <c r="I1573" s="8" t="s">
        <v>1130</v>
      </c>
      <c r="J1573" s="8">
        <v>2018</v>
      </c>
      <c r="K1573" s="8"/>
      <c r="L1573" s="8"/>
      <c r="M1573" s="8" t="s">
        <v>513</v>
      </c>
      <c r="N1573" s="8"/>
      <c r="O1573" s="8"/>
      <c r="P1573" t="s">
        <v>1135</v>
      </c>
      <c r="Q1573" s="8"/>
      <c r="R1573" s="8" t="s">
        <v>1127</v>
      </c>
      <c r="S1573" t="s">
        <v>1128</v>
      </c>
      <c r="T1573" s="8" t="s">
        <v>68</v>
      </c>
      <c r="U1573" s="8" t="s">
        <v>514</v>
      </c>
      <c r="V1573" s="8" t="s">
        <v>515</v>
      </c>
      <c r="W1573" s="8" t="str">
        <f>IF(ISNUMBER(MATCH(V967,{"Doryteuthis pealeii","Loligo vulgaris","Leptuca thayeri","Stylocheilus striatus","Ophryotrocha labronica"},0)),"N","Y")</f>
        <v>Y</v>
      </c>
      <c r="X1573" s="8"/>
      <c r="Y1573" s="8"/>
      <c r="Z1573" s="8" t="s">
        <v>49</v>
      </c>
      <c r="AA1573" s="8" t="s">
        <v>49</v>
      </c>
      <c r="AB1573" s="8" t="s">
        <v>71</v>
      </c>
      <c r="AC1573" s="8" t="s">
        <v>195</v>
      </c>
      <c r="AD1573" s="8" t="s">
        <v>52</v>
      </c>
      <c r="AE1573" s="8" t="s">
        <v>53</v>
      </c>
      <c r="AF1573" s="8" t="s">
        <v>52</v>
      </c>
      <c r="AG1573" s="8" t="s">
        <v>52</v>
      </c>
      <c r="AH1573" s="8" t="s">
        <v>64</v>
      </c>
      <c r="AI1573" s="8"/>
      <c r="AJ1573" s="8"/>
      <c r="AK1573" s="8">
        <v>5</v>
      </c>
      <c r="AL1573" s="8">
        <v>5</v>
      </c>
      <c r="AM1573" s="8"/>
      <c r="AN1573" s="8">
        <v>848</v>
      </c>
      <c r="AO1573" s="8" t="s">
        <v>56</v>
      </c>
      <c r="AP1573" s="8" t="s">
        <v>56</v>
      </c>
      <c r="AQ1573" s="8" t="s">
        <v>57</v>
      </c>
      <c r="AR1573" s="8">
        <v>7.8</v>
      </c>
      <c r="AS1573" s="8" t="s">
        <v>56</v>
      </c>
      <c r="AT1573" s="8" t="s">
        <v>56</v>
      </c>
      <c r="AU1573" s="8">
        <v>1667</v>
      </c>
      <c r="AV1573" t="s">
        <v>56</v>
      </c>
      <c r="AW1573" t="s">
        <v>56</v>
      </c>
      <c r="AX1573">
        <v>7.59</v>
      </c>
      <c r="AY1573" t="s">
        <v>56</v>
      </c>
      <c r="AZ1573" t="s">
        <v>56</v>
      </c>
      <c r="BA1573" s="8"/>
      <c r="BB1573" s="8">
        <f>LOG(AU1573)</f>
        <v>3.2219355998280053</v>
      </c>
      <c r="BC1573" s="8">
        <v>15</v>
      </c>
      <c r="BD1573" s="8" t="s">
        <v>56</v>
      </c>
      <c r="BE1573" s="8" t="s">
        <v>56</v>
      </c>
      <c r="BF1573" s="8">
        <v>18</v>
      </c>
      <c r="BG1573" s="8" t="s">
        <v>56</v>
      </c>
      <c r="BH1573" s="8" t="s">
        <v>56</v>
      </c>
      <c r="BI1573" s="8">
        <v>818</v>
      </c>
      <c r="BJ1573" s="8">
        <v>3</v>
      </c>
      <c r="BK1573" s="8" t="s">
        <v>517</v>
      </c>
      <c r="BL1573" s="8" t="s">
        <v>196</v>
      </c>
      <c r="BM1573" s="8" t="s">
        <v>197</v>
      </c>
      <c r="BN1573" s="8" t="s">
        <v>81</v>
      </c>
      <c r="BO1573" s="8" t="s">
        <v>82</v>
      </c>
      <c r="BP1573" s="8" t="s">
        <v>83</v>
      </c>
      <c r="BQ1573" s="8" t="s">
        <v>9</v>
      </c>
      <c r="BR1573" s="8" t="s">
        <v>84</v>
      </c>
      <c r="BS1573" s="8"/>
      <c r="BT1573" s="8">
        <v>22.07</v>
      </c>
      <c r="BU1573" s="8">
        <v>22.068966</v>
      </c>
      <c r="BV1573" s="8">
        <v>3.1</v>
      </c>
      <c r="BW1573" s="8">
        <f>BV1573*SQRT(AK1573)</f>
        <v>6.9318107302493486</v>
      </c>
      <c r="BX1573" s="8">
        <v>23.45</v>
      </c>
      <c r="BY1573" s="8">
        <v>23.448275899999999</v>
      </c>
      <c r="BZ1573" s="8">
        <v>4.66</v>
      </c>
      <c r="CA1573" s="8">
        <f>BZ1573*SQRT(AL1573)</f>
        <v>10.42007677514902</v>
      </c>
      <c r="CB1573" s="8">
        <v>3</v>
      </c>
      <c r="CC1573" s="8">
        <v>5</v>
      </c>
      <c r="CD1573" s="8">
        <v>6.0999999999999999E-2</v>
      </c>
      <c r="CE1573" s="8">
        <v>5.9200000000000003E-2</v>
      </c>
      <c r="CF1573" s="8" t="s">
        <v>1134</v>
      </c>
    </row>
    <row r="1574" spans="1:84" hidden="1" x14ac:dyDescent="0.2">
      <c r="A1574" s="8"/>
      <c r="B1574" t="str">
        <f>ROW()-1&amp;"_AltersInvert"</f>
        <v>1573_AltersInvert</v>
      </c>
      <c r="C1574" t="str">
        <f>D1574&amp;"_"&amp;
SUBSTITUTE(TRIM(V1574)," ","_")&amp;"_"&amp;
TRIM(AC1574)&amp;"_"&amp;
"CO2"&amp;TEXT(AN1574,"0.00")&amp;"_"&amp;
"pH"&amp;TEXT(AR1574,"0.00")&amp;"_"&amp;
"T"&amp;TEXT(BC1574,"0.##")</f>
        <v>89_Sphaerechinus_granularis_EMBRYO_CO2489.00_pH8.06_T19.3</v>
      </c>
      <c r="D1574" s="8">
        <v>89</v>
      </c>
      <c r="E1574" s="8"/>
      <c r="F1574" s="8"/>
      <c r="G1574" s="8" t="s">
        <v>43</v>
      </c>
      <c r="H1574" s="8" t="s">
        <v>739</v>
      </c>
      <c r="I1574" s="8" t="s">
        <v>1130</v>
      </c>
      <c r="J1574" s="8">
        <v>2018</v>
      </c>
      <c r="K1574" s="8"/>
      <c r="L1574" s="8"/>
      <c r="M1574" s="8" t="s">
        <v>740</v>
      </c>
      <c r="N1574" s="8"/>
      <c r="O1574" s="8"/>
      <c r="P1574" t="s">
        <v>1135</v>
      </c>
      <c r="Q1574" s="8"/>
      <c r="R1574" s="8" t="s">
        <v>1127</v>
      </c>
      <c r="S1574" t="s">
        <v>1128</v>
      </c>
      <c r="T1574" s="8" t="s">
        <v>46</v>
      </c>
      <c r="U1574" s="8" t="s">
        <v>422</v>
      </c>
      <c r="V1574" s="8" t="s">
        <v>741</v>
      </c>
      <c r="W1574" s="8" t="str">
        <f>IF(ISNUMBER(MATCH(V968,{"Doryteuthis pealeii","Loligo vulgaris","Leptuca thayeri","Stylocheilus striatus","Ophryotrocha labronica"},0)),"N","Y")</f>
        <v>Y</v>
      </c>
      <c r="X1574" s="8"/>
      <c r="Y1574" s="8"/>
      <c r="Z1574" s="8" t="s">
        <v>177</v>
      </c>
      <c r="AA1574" s="8" t="s">
        <v>177</v>
      </c>
      <c r="AB1574" s="8" t="s">
        <v>71</v>
      </c>
      <c r="AC1574" s="8" t="s">
        <v>195</v>
      </c>
      <c r="AD1574" s="8" t="s">
        <v>52</v>
      </c>
      <c r="AE1574" s="8" t="s">
        <v>53</v>
      </c>
      <c r="AF1574" s="8" t="s">
        <v>52</v>
      </c>
      <c r="AG1574" s="8" t="s">
        <v>54</v>
      </c>
      <c r="AH1574" s="8" t="s">
        <v>55</v>
      </c>
      <c r="AI1574" s="8"/>
      <c r="AJ1574" s="8"/>
      <c r="AK1574" s="8">
        <v>3</v>
      </c>
      <c r="AL1574" s="8">
        <v>3</v>
      </c>
      <c r="AM1574" s="8"/>
      <c r="AN1574" s="8">
        <v>489</v>
      </c>
      <c r="AO1574" s="8" t="s">
        <v>56</v>
      </c>
      <c r="AP1574" s="8" t="s">
        <v>56</v>
      </c>
      <c r="AQ1574" s="8" t="s">
        <v>56</v>
      </c>
      <c r="AR1574" s="8">
        <v>8.06</v>
      </c>
      <c r="AS1574" s="8" t="s">
        <v>56</v>
      </c>
      <c r="AT1574" s="8">
        <v>0.04</v>
      </c>
      <c r="AU1574" s="8">
        <v>1343</v>
      </c>
      <c r="AV1574" t="s">
        <v>56</v>
      </c>
      <c r="AW1574" t="s">
        <v>56</v>
      </c>
      <c r="AX1574">
        <v>7.66</v>
      </c>
      <c r="AY1574" t="s">
        <v>56</v>
      </c>
      <c r="AZ1574">
        <v>0.06</v>
      </c>
      <c r="BA1574" s="8"/>
      <c r="BB1574" s="8">
        <f>LOG(AU1574)</f>
        <v>3.1280760126687155</v>
      </c>
      <c r="BC1574" s="8">
        <v>19.3</v>
      </c>
      <c r="BD1574" s="8" t="s">
        <v>56</v>
      </c>
      <c r="BE1574" s="8">
        <v>0.1</v>
      </c>
      <c r="BF1574" s="8">
        <v>19.3</v>
      </c>
      <c r="BG1574" s="8" t="s">
        <v>56</v>
      </c>
      <c r="BH1574" s="8">
        <v>0.1</v>
      </c>
      <c r="BI1574" s="8">
        <v>854</v>
      </c>
      <c r="BJ1574" s="8">
        <v>0</v>
      </c>
      <c r="BK1574" s="8" t="s">
        <v>56</v>
      </c>
      <c r="BL1574" s="8" t="s">
        <v>473</v>
      </c>
      <c r="BM1574" s="8" t="s">
        <v>473</v>
      </c>
      <c r="BN1574" s="8" t="s">
        <v>81</v>
      </c>
      <c r="BO1574" s="8" t="s">
        <v>82</v>
      </c>
      <c r="BP1574" s="8" t="s">
        <v>190</v>
      </c>
      <c r="BQ1574" s="8" t="s">
        <v>190</v>
      </c>
      <c r="BR1574" s="8" t="s">
        <v>84</v>
      </c>
      <c r="BS1574" s="8"/>
      <c r="BT1574" s="8">
        <v>98.48</v>
      </c>
      <c r="BU1574" s="8">
        <v>98.477157000000005</v>
      </c>
      <c r="BV1574" s="8">
        <v>4.0999999999999996</v>
      </c>
      <c r="BW1574" s="8">
        <f>BV1574*SQRT(AK1574)</f>
        <v>7.1014083110323956</v>
      </c>
      <c r="BX1574" s="8">
        <v>97.46</v>
      </c>
      <c r="BY1574" s="8">
        <v>97.461928900000004</v>
      </c>
      <c r="BZ1574" s="8">
        <v>3.52</v>
      </c>
      <c r="CA1574" s="8">
        <f>BZ1574*SQRT(AL1574)</f>
        <v>6.0968188426424481</v>
      </c>
      <c r="CB1574" s="8">
        <v>0</v>
      </c>
      <c r="CC1574" s="8">
        <v>12</v>
      </c>
      <c r="CD1574" s="8">
        <v>-0.01</v>
      </c>
      <c r="CE1574" s="8">
        <v>3.0000000000000001E-3</v>
      </c>
      <c r="CF1574" s="8" t="s">
        <v>1134</v>
      </c>
    </row>
    <row r="1575" spans="1:84" hidden="1" x14ac:dyDescent="0.2">
      <c r="A1575" s="8"/>
      <c r="B1575" t="str">
        <f>ROW()-1&amp;"_AltersInvert"</f>
        <v>1574_AltersInvert</v>
      </c>
      <c r="C1575" t="str">
        <f>D1575&amp;"_"&amp;
SUBSTITUTE(TRIM(V1575)," ","_")&amp;"_"&amp;
TRIM(AC1575)&amp;"_"&amp;
"CO2"&amp;TEXT(AN1575,"0.00")&amp;"_"&amp;
"pH"&amp;TEXT(AR1575,"0.00")&amp;"_"&amp;
"T"&amp;TEXT(BC1575,"0.##")</f>
        <v>89_Sphaerechinus_granularis_EMBRYO_CO2489.00_pH8.06_T19.3</v>
      </c>
      <c r="D1575" s="8">
        <v>89</v>
      </c>
      <c r="E1575" s="8"/>
      <c r="F1575" s="8"/>
      <c r="G1575" s="8" t="s">
        <v>43</v>
      </c>
      <c r="H1575" s="8" t="s">
        <v>739</v>
      </c>
      <c r="I1575" s="8" t="s">
        <v>1130</v>
      </c>
      <c r="J1575" s="8">
        <v>2018</v>
      </c>
      <c r="K1575" s="8"/>
      <c r="L1575" s="8"/>
      <c r="M1575" s="8" t="s">
        <v>740</v>
      </c>
      <c r="N1575" s="8"/>
      <c r="O1575" s="8"/>
      <c r="P1575" t="s">
        <v>1135</v>
      </c>
      <c r="Q1575" s="8"/>
      <c r="R1575" s="8" t="s">
        <v>1127</v>
      </c>
      <c r="S1575" t="s">
        <v>1128</v>
      </c>
      <c r="T1575" s="8" t="s">
        <v>46</v>
      </c>
      <c r="U1575" s="8" t="s">
        <v>422</v>
      </c>
      <c r="V1575" s="8" t="s">
        <v>741</v>
      </c>
      <c r="W1575" s="8" t="str">
        <f>IF(ISNUMBER(MATCH(V969,{"Doryteuthis pealeii","Loligo vulgaris","Leptuca thayeri","Stylocheilus striatus","Ophryotrocha labronica"},0)),"N","Y")</f>
        <v>Y</v>
      </c>
      <c r="X1575" s="8"/>
      <c r="Y1575" s="8"/>
      <c r="Z1575" s="8" t="s">
        <v>177</v>
      </c>
      <c r="AA1575" s="8" t="s">
        <v>177</v>
      </c>
      <c r="AB1575" s="8" t="s">
        <v>71</v>
      </c>
      <c r="AC1575" s="8" t="s">
        <v>195</v>
      </c>
      <c r="AD1575" s="8" t="s">
        <v>52</v>
      </c>
      <c r="AE1575" s="8" t="s">
        <v>53</v>
      </c>
      <c r="AF1575" s="8" t="s">
        <v>52</v>
      </c>
      <c r="AG1575" s="8" t="s">
        <v>54</v>
      </c>
      <c r="AH1575" s="8" t="s">
        <v>55</v>
      </c>
      <c r="AI1575" s="8"/>
      <c r="AJ1575" s="8"/>
      <c r="AK1575" s="8">
        <v>3</v>
      </c>
      <c r="AL1575" s="8">
        <v>3</v>
      </c>
      <c r="AM1575" s="8"/>
      <c r="AN1575" s="8">
        <v>489</v>
      </c>
      <c r="AO1575" s="8" t="s">
        <v>56</v>
      </c>
      <c r="AP1575" s="8" t="s">
        <v>56</v>
      </c>
      <c r="AQ1575" s="8" t="s">
        <v>56</v>
      </c>
      <c r="AR1575" s="8">
        <v>8.06</v>
      </c>
      <c r="AS1575" s="8" t="s">
        <v>56</v>
      </c>
      <c r="AT1575" s="8">
        <v>0.04</v>
      </c>
      <c r="AU1575" s="8">
        <v>2755</v>
      </c>
      <c r="AV1575" t="s">
        <v>56</v>
      </c>
      <c r="AW1575" t="s">
        <v>56</v>
      </c>
      <c r="AX1575">
        <v>7.36</v>
      </c>
      <c r="AY1575" t="s">
        <v>56</v>
      </c>
      <c r="AZ1575">
        <v>0.05</v>
      </c>
      <c r="BA1575" s="8"/>
      <c r="BB1575" s="8">
        <f>LOG(AU1575)</f>
        <v>3.4401216031878037</v>
      </c>
      <c r="BC1575" s="8">
        <v>19.3</v>
      </c>
      <c r="BD1575" s="8" t="s">
        <v>56</v>
      </c>
      <c r="BE1575" s="8">
        <v>0.1</v>
      </c>
      <c r="BF1575" s="8">
        <v>19.3</v>
      </c>
      <c r="BG1575" s="8" t="s">
        <v>56</v>
      </c>
      <c r="BH1575" s="8">
        <v>0.1</v>
      </c>
      <c r="BI1575" s="8">
        <v>2266</v>
      </c>
      <c r="BJ1575" s="8">
        <v>0.1</v>
      </c>
      <c r="BK1575" s="8" t="s">
        <v>56</v>
      </c>
      <c r="BL1575" s="8" t="s">
        <v>473</v>
      </c>
      <c r="BM1575" s="8" t="s">
        <v>473</v>
      </c>
      <c r="BN1575" s="8" t="s">
        <v>81</v>
      </c>
      <c r="BO1575" s="8" t="s">
        <v>82</v>
      </c>
      <c r="BP1575" s="8" t="s">
        <v>190</v>
      </c>
      <c r="BQ1575" s="8" t="s">
        <v>9</v>
      </c>
      <c r="BR1575" s="8" t="s">
        <v>84</v>
      </c>
      <c r="BS1575" s="8"/>
      <c r="BT1575" s="8">
        <v>98.48</v>
      </c>
      <c r="BU1575" s="8">
        <v>98.477157000000005</v>
      </c>
      <c r="BV1575" s="8">
        <v>4.0999999999999996</v>
      </c>
      <c r="BW1575" s="8">
        <f>BV1575*SQRT(AK1575)</f>
        <v>7.1014083110323956</v>
      </c>
      <c r="BX1575" s="8">
        <v>97.46</v>
      </c>
      <c r="BY1575" s="8">
        <v>97.461928900000004</v>
      </c>
      <c r="BZ1575" s="8">
        <v>4.6900000000000004</v>
      </c>
      <c r="CA1575" s="8">
        <f>BZ1575*SQRT(AL1575)</f>
        <v>8.1233182874980354</v>
      </c>
      <c r="CB1575" s="8">
        <v>0</v>
      </c>
      <c r="CC1575" s="8">
        <v>12</v>
      </c>
      <c r="CD1575" s="8">
        <v>-0.01</v>
      </c>
      <c r="CE1575" s="8">
        <v>4.1000000000000003E-3</v>
      </c>
      <c r="CF1575" s="8" t="s">
        <v>1134</v>
      </c>
    </row>
    <row r="1576" spans="1:84" hidden="1" x14ac:dyDescent="0.2">
      <c r="A1576" s="11"/>
      <c r="B1576" s="11" t="str">
        <f>ROW()-1&amp;"_AltersInvert"</f>
        <v>1575_AltersInvert</v>
      </c>
      <c r="C1576" s="11" t="str">
        <f>D1576&amp;"_"&amp;
SUBSTITUTE(TRIM(V1576)," ","_")&amp;"_"&amp;
TRIM(AC1576)&amp;"_"&amp;
"CO2"&amp;TEXT(AN1576,"0.00")&amp;"_"&amp;
"pH"&amp;TEXT(AR1576,"0.00")&amp;"_"&amp;
"T"&amp;TEXT(BC1576,"0.##")</f>
        <v>89_Sphaerechinus_granularis_EMBRYO_CO2489.00_pH8.06_T19.3</v>
      </c>
      <c r="D1576" s="11">
        <v>89</v>
      </c>
      <c r="E1576" s="11"/>
      <c r="F1576" s="11"/>
      <c r="G1576" s="11" t="s">
        <v>43</v>
      </c>
      <c r="H1576" s="11" t="s">
        <v>739</v>
      </c>
      <c r="I1576" s="11" t="s">
        <v>1130</v>
      </c>
      <c r="J1576" s="11">
        <v>2018</v>
      </c>
      <c r="K1576" s="11"/>
      <c r="L1576" s="11"/>
      <c r="M1576" s="11" t="s">
        <v>740</v>
      </c>
      <c r="N1576" s="11"/>
      <c r="O1576" s="11"/>
      <c r="P1576" s="11"/>
      <c r="Q1576" s="11"/>
      <c r="R1576" s="11"/>
      <c r="S1576" s="11"/>
      <c r="T1576" s="11" t="s">
        <v>46</v>
      </c>
      <c r="U1576" s="11" t="s">
        <v>422</v>
      </c>
      <c r="V1576" s="11" t="s">
        <v>741</v>
      </c>
      <c r="W1576" s="11" t="str">
        <f>IF(ISNUMBER(MATCH(#REF!,{"Doryteuthis pealeii","Loligo vulgaris","Leptuca thayeri","Stylocheilus striatus","Ophryotrocha labronica"},0)),"N","Y")</f>
        <v>Y</v>
      </c>
      <c r="X1576" s="11"/>
      <c r="Y1576" s="11"/>
      <c r="Z1576" s="11" t="s">
        <v>177</v>
      </c>
      <c r="AA1576" s="11" t="s">
        <v>177</v>
      </c>
      <c r="AB1576" s="11" t="s">
        <v>71</v>
      </c>
      <c r="AC1576" s="11" t="s">
        <v>195</v>
      </c>
      <c r="AD1576" s="11" t="s">
        <v>52</v>
      </c>
      <c r="AE1576" s="11" t="s">
        <v>53</v>
      </c>
      <c r="AF1576" s="11" t="s">
        <v>54</v>
      </c>
      <c r="AG1576" s="11" t="s">
        <v>52</v>
      </c>
      <c r="AH1576" s="11" t="s">
        <v>65</v>
      </c>
      <c r="AI1576" s="11"/>
      <c r="AJ1576" s="11"/>
      <c r="AK1576" s="11">
        <v>3</v>
      </c>
      <c r="AL1576" s="11">
        <v>3</v>
      </c>
      <c r="AM1576" s="11"/>
      <c r="AN1576" s="11">
        <v>489</v>
      </c>
      <c r="AO1576" s="11" t="s">
        <v>56</v>
      </c>
      <c r="AP1576" s="11" t="s">
        <v>56</v>
      </c>
      <c r="AQ1576" s="11" t="s">
        <v>56</v>
      </c>
      <c r="AR1576" s="11">
        <v>8.06</v>
      </c>
      <c r="AS1576" s="11" t="s">
        <v>56</v>
      </c>
      <c r="AT1576" s="11">
        <v>0.04</v>
      </c>
      <c r="AU1576" s="11">
        <v>593</v>
      </c>
      <c r="AV1576" s="11" t="s">
        <v>56</v>
      </c>
      <c r="AW1576" s="11" t="s">
        <v>56</v>
      </c>
      <c r="AX1576" s="11">
        <v>8.02</v>
      </c>
      <c r="AY1576" s="11" t="s">
        <v>56</v>
      </c>
      <c r="AZ1576" s="11">
        <v>0.03</v>
      </c>
      <c r="BA1576" s="11"/>
      <c r="BB1576" s="11">
        <f>LOG(AU1576)</f>
        <v>2.7730546933642626</v>
      </c>
      <c r="BC1576" s="11">
        <v>19.3</v>
      </c>
      <c r="BD1576" s="11" t="s">
        <v>56</v>
      </c>
      <c r="BE1576" s="11">
        <v>0.1</v>
      </c>
      <c r="BF1576" s="11">
        <v>25.2</v>
      </c>
      <c r="BG1576" s="11" t="s">
        <v>56</v>
      </c>
      <c r="BH1576" s="11">
        <v>0</v>
      </c>
      <c r="BI1576" s="11">
        <v>104</v>
      </c>
      <c r="BJ1576" s="11">
        <v>5.9</v>
      </c>
      <c r="BK1576" s="11" t="s">
        <v>56</v>
      </c>
      <c r="BL1576" s="11" t="s">
        <v>473</v>
      </c>
      <c r="BM1576" s="11" t="s">
        <v>473</v>
      </c>
      <c r="BN1576" s="11" t="s">
        <v>81</v>
      </c>
      <c r="BO1576" s="11" t="s">
        <v>82</v>
      </c>
      <c r="BP1576" s="11" t="s">
        <v>190</v>
      </c>
      <c r="BQ1576" s="11"/>
      <c r="BR1576" s="11" t="s">
        <v>84</v>
      </c>
      <c r="BS1576" s="11"/>
      <c r="BT1576" s="11">
        <v>98.48</v>
      </c>
      <c r="BU1576" s="11">
        <v>98.477157000000005</v>
      </c>
      <c r="BV1576" s="11">
        <v>4.0999999999999996</v>
      </c>
      <c r="BW1576" s="11">
        <f>BV1576*SQRT(AK1576)</f>
        <v>7.1014083110323956</v>
      </c>
      <c r="BX1576" s="11">
        <v>20.81</v>
      </c>
      <c r="BY1576" s="11">
        <v>20.812182700000001</v>
      </c>
      <c r="BZ1576" s="11">
        <v>4.4000000000000004</v>
      </c>
      <c r="CA1576" s="11">
        <f>BZ1576*SQRT(AL1576)</f>
        <v>7.6210235533030604</v>
      </c>
      <c r="CB1576" s="11">
        <v>0</v>
      </c>
      <c r="CC1576" s="11">
        <v>12</v>
      </c>
      <c r="CD1576" s="11">
        <v>-1.554</v>
      </c>
      <c r="CE1576" s="11">
        <v>4.6399999999999997E-2</v>
      </c>
      <c r="CF1576" s="11"/>
    </row>
    <row r="1577" spans="1:84" hidden="1" x14ac:dyDescent="0.2">
      <c r="A1577" s="11"/>
      <c r="B1577" s="11" t="str">
        <f>ROW()-1&amp;"_AltersInvert"</f>
        <v>1576_AltersInvert</v>
      </c>
      <c r="C1577" s="11" t="str">
        <f>D1577&amp;"_"&amp;
SUBSTITUTE(TRIM(V1577)," ","_")&amp;"_"&amp;
TRIM(AC1577)&amp;"_"&amp;
"CO2"&amp;TEXT(AN1577,"0.00")&amp;"_"&amp;
"pH"&amp;TEXT(AR1577,"0.00")&amp;"_"&amp;
"T"&amp;TEXT(BC1577,"0.##")</f>
        <v>89_Sphaerechinus_granularis_EMBRYO_CO2489.00_pH8.06_T19.3</v>
      </c>
      <c r="D1577" s="11">
        <v>89</v>
      </c>
      <c r="E1577" s="11"/>
      <c r="F1577" s="11"/>
      <c r="G1577" s="11" t="s">
        <v>43</v>
      </c>
      <c r="H1577" s="11" t="s">
        <v>739</v>
      </c>
      <c r="I1577" s="11" t="s">
        <v>1130</v>
      </c>
      <c r="J1577" s="11">
        <v>2018</v>
      </c>
      <c r="K1577" s="11"/>
      <c r="L1577" s="11"/>
      <c r="M1577" s="11" t="s">
        <v>740</v>
      </c>
      <c r="N1577" s="11"/>
      <c r="O1577" s="11"/>
      <c r="P1577" s="11"/>
      <c r="Q1577" s="11"/>
      <c r="R1577" s="11"/>
      <c r="S1577" s="11"/>
      <c r="T1577" s="11" t="s">
        <v>46</v>
      </c>
      <c r="U1577" s="11" t="s">
        <v>422</v>
      </c>
      <c r="V1577" s="11" t="s">
        <v>741</v>
      </c>
      <c r="W1577" s="11" t="str">
        <f>IF(ISNUMBER(MATCH(#REF!,{"Doryteuthis pealeii","Loligo vulgaris","Leptuca thayeri","Stylocheilus striatus","Ophryotrocha labronica"},0)),"N","Y")</f>
        <v>Y</v>
      </c>
      <c r="X1577" s="11"/>
      <c r="Y1577" s="11"/>
      <c r="Z1577" s="11" t="s">
        <v>177</v>
      </c>
      <c r="AA1577" s="11" t="s">
        <v>177</v>
      </c>
      <c r="AB1577" s="11" t="s">
        <v>71</v>
      </c>
      <c r="AC1577" s="11" t="s">
        <v>195</v>
      </c>
      <c r="AD1577" s="11" t="s">
        <v>52</v>
      </c>
      <c r="AE1577" s="11" t="s">
        <v>53</v>
      </c>
      <c r="AF1577" s="11" t="s">
        <v>54</v>
      </c>
      <c r="AG1577" s="11" t="s">
        <v>52</v>
      </c>
      <c r="AH1577" s="11" t="s">
        <v>65</v>
      </c>
      <c r="AI1577" s="11"/>
      <c r="AJ1577" s="11"/>
      <c r="AK1577" s="11">
        <v>3</v>
      </c>
      <c r="AL1577" s="11">
        <v>3</v>
      </c>
      <c r="AM1577" s="11"/>
      <c r="AN1577" s="11">
        <v>489</v>
      </c>
      <c r="AO1577" s="11" t="s">
        <v>56</v>
      </c>
      <c r="AP1577" s="11" t="s">
        <v>56</v>
      </c>
      <c r="AQ1577" s="11" t="s">
        <v>56</v>
      </c>
      <c r="AR1577" s="11">
        <v>8.06</v>
      </c>
      <c r="AS1577" s="11" t="s">
        <v>56</v>
      </c>
      <c r="AT1577" s="11">
        <v>0.04</v>
      </c>
      <c r="AU1577" s="11">
        <v>518</v>
      </c>
      <c r="AV1577" s="11" t="s">
        <v>56</v>
      </c>
      <c r="AW1577" s="11" t="s">
        <v>56</v>
      </c>
      <c r="AX1577" s="11">
        <v>8.06</v>
      </c>
      <c r="AY1577" s="11" t="s">
        <v>56</v>
      </c>
      <c r="AZ1577" s="11">
        <v>0.05</v>
      </c>
      <c r="BA1577" s="11"/>
      <c r="BB1577" s="11">
        <f>LOG(AU1577)</f>
        <v>2.7143297597452332</v>
      </c>
      <c r="BC1577" s="11">
        <v>19.3</v>
      </c>
      <c r="BD1577" s="11" t="s">
        <v>56</v>
      </c>
      <c r="BE1577" s="11">
        <v>0.1</v>
      </c>
      <c r="BF1577" s="11">
        <v>22.9</v>
      </c>
      <c r="BG1577" s="11" t="s">
        <v>56</v>
      </c>
      <c r="BH1577" s="11">
        <v>0.1</v>
      </c>
      <c r="BI1577" s="11">
        <v>29</v>
      </c>
      <c r="BJ1577" s="11">
        <v>3.7</v>
      </c>
      <c r="BK1577" s="11" t="s">
        <v>56</v>
      </c>
      <c r="BL1577" s="11" t="s">
        <v>473</v>
      </c>
      <c r="BM1577" s="11" t="s">
        <v>473</v>
      </c>
      <c r="BN1577" s="11" t="s">
        <v>81</v>
      </c>
      <c r="BO1577" s="11" t="s">
        <v>82</v>
      </c>
      <c r="BP1577" s="11" t="s">
        <v>190</v>
      </c>
      <c r="BQ1577" s="11"/>
      <c r="BR1577" s="11" t="s">
        <v>84</v>
      </c>
      <c r="BS1577" s="11"/>
      <c r="BT1577" s="11">
        <v>98.48</v>
      </c>
      <c r="BU1577" s="11">
        <v>98.477157000000005</v>
      </c>
      <c r="BV1577" s="11">
        <v>4.0999999999999996</v>
      </c>
      <c r="BW1577" s="11">
        <f>BV1577*SQRT(AK1577)</f>
        <v>7.1014083110323956</v>
      </c>
      <c r="BX1577" s="11">
        <v>61.93</v>
      </c>
      <c r="BY1577" s="11">
        <v>61.928933999999998</v>
      </c>
      <c r="BZ1577" s="11">
        <v>3.81</v>
      </c>
      <c r="CA1577" s="11">
        <f>BZ1577*SQRT(AL1577)</f>
        <v>6.5991135768374223</v>
      </c>
      <c r="CB1577" s="11">
        <v>0</v>
      </c>
      <c r="CC1577" s="11">
        <v>12</v>
      </c>
      <c r="CD1577" s="11">
        <v>-0.46400000000000002</v>
      </c>
      <c r="CE1577" s="11">
        <v>5.4999999999999997E-3</v>
      </c>
      <c r="CF1577" s="11"/>
    </row>
    <row r="1578" spans="1:84" hidden="1" x14ac:dyDescent="0.2">
      <c r="A1578" s="8"/>
      <c r="B1578" t="str">
        <f>ROW()-1&amp;"_AltersInvert"</f>
        <v>1577_AltersInvert</v>
      </c>
      <c r="C1578" t="str">
        <f>D1578&amp;"_"&amp;
SUBSTITUTE(TRIM(V1578)," ","_")&amp;"_"&amp;
TRIM(AC1578)&amp;"_"&amp;
"CO2"&amp;TEXT(AN1578,"0.00")&amp;"_"&amp;
"pH"&amp;TEXT(AR1578,"0.00")&amp;"_"&amp;
"T"&amp;TEXT(BC1578,"0.##")</f>
        <v>89_Sphaerechinus_granularis_EMBRYO_CO2489.00_pH8.06_T19.3</v>
      </c>
      <c r="D1578" s="8">
        <v>89</v>
      </c>
      <c r="E1578" s="8"/>
      <c r="F1578" s="8"/>
      <c r="G1578" s="8" t="s">
        <v>43</v>
      </c>
      <c r="H1578" s="8" t="s">
        <v>739</v>
      </c>
      <c r="I1578" s="8" t="s">
        <v>1130</v>
      </c>
      <c r="J1578" s="8">
        <v>2018</v>
      </c>
      <c r="K1578" s="8"/>
      <c r="L1578" s="8"/>
      <c r="M1578" s="8" t="s">
        <v>740</v>
      </c>
      <c r="N1578" s="8"/>
      <c r="O1578" s="8"/>
      <c r="P1578" t="s">
        <v>1135</v>
      </c>
      <c r="Q1578" s="8"/>
      <c r="R1578" s="8" t="s">
        <v>1127</v>
      </c>
      <c r="S1578" t="s">
        <v>1128</v>
      </c>
      <c r="T1578" s="8" t="s">
        <v>46</v>
      </c>
      <c r="U1578" s="8" t="s">
        <v>422</v>
      </c>
      <c r="V1578" s="8" t="s">
        <v>741</v>
      </c>
      <c r="W1578" s="8" t="str">
        <f>IF(ISNUMBER(MATCH(V972,{"Doryteuthis pealeii","Loligo vulgaris","Leptuca thayeri","Stylocheilus striatus","Ophryotrocha labronica"},0)),"N","Y")</f>
        <v>Y</v>
      </c>
      <c r="X1578" s="8"/>
      <c r="Y1578" s="8"/>
      <c r="Z1578" s="8" t="s">
        <v>177</v>
      </c>
      <c r="AA1578" s="8" t="s">
        <v>177</v>
      </c>
      <c r="AB1578" s="8" t="s">
        <v>71</v>
      </c>
      <c r="AC1578" s="8" t="s">
        <v>195</v>
      </c>
      <c r="AD1578" s="8" t="s">
        <v>52</v>
      </c>
      <c r="AE1578" s="8" t="s">
        <v>53</v>
      </c>
      <c r="AF1578" s="8" t="s">
        <v>54</v>
      </c>
      <c r="AG1578" s="8" t="s">
        <v>52</v>
      </c>
      <c r="AH1578" s="8" t="s">
        <v>65</v>
      </c>
      <c r="AI1578" s="8"/>
      <c r="AJ1578" s="8"/>
      <c r="AK1578" s="8">
        <v>3</v>
      </c>
      <c r="AL1578" s="8">
        <v>3</v>
      </c>
      <c r="AM1578" s="8"/>
      <c r="AN1578" s="8">
        <v>489</v>
      </c>
      <c r="AO1578" s="8" t="s">
        <v>56</v>
      </c>
      <c r="AP1578" s="8" t="s">
        <v>56</v>
      </c>
      <c r="AQ1578" s="8" t="s">
        <v>56</v>
      </c>
      <c r="AR1578" s="8">
        <v>8.06</v>
      </c>
      <c r="AS1578" s="8" t="s">
        <v>56</v>
      </c>
      <c r="AT1578" s="8">
        <v>0.04</v>
      </c>
      <c r="AU1578" s="8">
        <v>467</v>
      </c>
      <c r="AV1578" t="s">
        <v>56</v>
      </c>
      <c r="AW1578" t="s">
        <v>56</v>
      </c>
      <c r="AX1578">
        <v>8.09</v>
      </c>
      <c r="AY1578" t="s">
        <v>56</v>
      </c>
      <c r="AZ1578">
        <v>0.01</v>
      </c>
      <c r="BA1578" s="8"/>
      <c r="BB1578" s="8">
        <f>LOG(AU1578)</f>
        <v>2.6693168805661123</v>
      </c>
      <c r="BC1578" s="8">
        <v>19.3</v>
      </c>
      <c r="BD1578" s="8" t="s">
        <v>56</v>
      </c>
      <c r="BE1578" s="8">
        <v>0.1</v>
      </c>
      <c r="BF1578" s="8">
        <v>21.1</v>
      </c>
      <c r="BG1578" s="8" t="s">
        <v>56</v>
      </c>
      <c r="BH1578" s="8">
        <v>0.2</v>
      </c>
      <c r="BI1578" s="8">
        <v>-22</v>
      </c>
      <c r="BJ1578" s="8">
        <v>1.9</v>
      </c>
      <c r="BK1578" s="8" t="s">
        <v>56</v>
      </c>
      <c r="BL1578" s="8" t="s">
        <v>473</v>
      </c>
      <c r="BM1578" s="8" t="s">
        <v>473</v>
      </c>
      <c r="BN1578" s="8" t="s">
        <v>81</v>
      </c>
      <c r="BO1578" s="8" t="s">
        <v>82</v>
      </c>
      <c r="BP1578" s="8" t="s">
        <v>190</v>
      </c>
      <c r="BQ1578" s="8" t="s">
        <v>190</v>
      </c>
      <c r="BR1578" s="8" t="s">
        <v>84</v>
      </c>
      <c r="BS1578" s="8"/>
      <c r="BT1578" s="8">
        <v>98.48</v>
      </c>
      <c r="BU1578" s="8">
        <v>98.477157000000005</v>
      </c>
      <c r="BV1578" s="8">
        <v>4.0999999999999996</v>
      </c>
      <c r="BW1578" s="8">
        <f>BV1578*SQRT(AK1578)</f>
        <v>7.1014083110323956</v>
      </c>
      <c r="BX1578" s="8">
        <v>97.46</v>
      </c>
      <c r="BY1578" s="8">
        <v>97.461928900000004</v>
      </c>
      <c r="BZ1578" s="8">
        <v>4.4000000000000004</v>
      </c>
      <c r="CA1578" s="8">
        <f>BZ1578*SQRT(AL1578)</f>
        <v>7.6210235533030604</v>
      </c>
      <c r="CB1578" s="8">
        <v>0</v>
      </c>
      <c r="CC1578" s="8">
        <v>12</v>
      </c>
      <c r="CD1578" s="8">
        <v>-0.01</v>
      </c>
      <c r="CE1578" s="8">
        <v>3.8E-3</v>
      </c>
      <c r="CF1578" s="8" t="s">
        <v>1134</v>
      </c>
    </row>
    <row r="1579" spans="1:84" hidden="1" x14ac:dyDescent="0.2">
      <c r="A1579" s="11"/>
      <c r="B1579" s="11" t="str">
        <f>ROW()-1&amp;"_AltersInvert"</f>
        <v>1578_AltersInvert</v>
      </c>
      <c r="C1579" s="11" t="str">
        <f>D1579&amp;"_"&amp;
SUBSTITUTE(TRIM(V1579)," ","_")&amp;"_"&amp;
TRIM(AC1579)&amp;"_"&amp;
"CO2"&amp;TEXT(AN1579,"0.00")&amp;"_"&amp;
"pH"&amp;TEXT(AR1579,"0.00")&amp;"_"&amp;
"T"&amp;TEXT(BC1579,"0.##")</f>
        <v>89_Sphaerechinus_granularis_EMBRYO_CO2489.00_pH8.06_T19.3</v>
      </c>
      <c r="D1579" s="11">
        <v>89</v>
      </c>
      <c r="E1579" s="11"/>
      <c r="F1579" s="11"/>
      <c r="G1579" s="11" t="s">
        <v>43</v>
      </c>
      <c r="H1579" s="11" t="s">
        <v>739</v>
      </c>
      <c r="I1579" s="11" t="s">
        <v>1130</v>
      </c>
      <c r="J1579" s="11">
        <v>2018</v>
      </c>
      <c r="K1579" s="11"/>
      <c r="L1579" s="11"/>
      <c r="M1579" s="11" t="s">
        <v>740</v>
      </c>
      <c r="N1579" s="11"/>
      <c r="O1579" s="11"/>
      <c r="P1579" s="11"/>
      <c r="Q1579" s="11"/>
      <c r="R1579" s="11"/>
      <c r="S1579" s="11"/>
      <c r="T1579" s="11" t="s">
        <v>46</v>
      </c>
      <c r="U1579" s="11" t="s">
        <v>422</v>
      </c>
      <c r="V1579" s="11" t="s">
        <v>741</v>
      </c>
      <c r="W1579" s="11" t="str">
        <f>IF(ISNUMBER(MATCH(#REF!,{"Doryteuthis pealeii","Loligo vulgaris","Leptuca thayeri","Stylocheilus striatus","Ophryotrocha labronica"},0)),"N","Y")</f>
        <v>Y</v>
      </c>
      <c r="X1579" s="11"/>
      <c r="Y1579" s="11"/>
      <c r="Z1579" s="11" t="s">
        <v>177</v>
      </c>
      <c r="AA1579" s="11" t="s">
        <v>177</v>
      </c>
      <c r="AB1579" s="11" t="s">
        <v>71</v>
      </c>
      <c r="AC1579" s="11" t="s">
        <v>195</v>
      </c>
      <c r="AD1579" s="11" t="s">
        <v>52</v>
      </c>
      <c r="AE1579" s="11" t="s">
        <v>53</v>
      </c>
      <c r="AF1579" s="11" t="s">
        <v>52</v>
      </c>
      <c r="AG1579" s="11" t="s">
        <v>52</v>
      </c>
      <c r="AH1579" s="11" t="s">
        <v>64</v>
      </c>
      <c r="AI1579" s="11"/>
      <c r="AJ1579" s="11"/>
      <c r="AK1579" s="11">
        <v>3</v>
      </c>
      <c r="AL1579" s="11">
        <v>3</v>
      </c>
      <c r="AM1579" s="11"/>
      <c r="AN1579" s="11">
        <v>489</v>
      </c>
      <c r="AO1579" s="11" t="s">
        <v>56</v>
      </c>
      <c r="AP1579" s="11" t="s">
        <v>56</v>
      </c>
      <c r="AQ1579" s="11" t="s">
        <v>56</v>
      </c>
      <c r="AR1579" s="11">
        <v>8.06</v>
      </c>
      <c r="AS1579" s="11" t="s">
        <v>56</v>
      </c>
      <c r="AT1579" s="11">
        <v>0.04</v>
      </c>
      <c r="AU1579" s="11">
        <v>2829</v>
      </c>
      <c r="AV1579" s="11" t="s">
        <v>56</v>
      </c>
      <c r="AW1579" s="11" t="s">
        <v>56</v>
      </c>
      <c r="AX1579" s="11">
        <v>7.4</v>
      </c>
      <c r="AY1579" s="11" t="s">
        <v>56</v>
      </c>
      <c r="AZ1579" s="11">
        <v>0.03</v>
      </c>
      <c r="BA1579" s="11"/>
      <c r="BB1579" s="11">
        <f>LOG(AU1579)</f>
        <v>3.4516329474569907</v>
      </c>
      <c r="BC1579" s="11">
        <v>19.3</v>
      </c>
      <c r="BD1579" s="11" t="s">
        <v>56</v>
      </c>
      <c r="BE1579" s="11">
        <v>0.1</v>
      </c>
      <c r="BF1579" s="11">
        <v>25.1</v>
      </c>
      <c r="BG1579" s="11" t="s">
        <v>56</v>
      </c>
      <c r="BH1579" s="11">
        <v>0.3</v>
      </c>
      <c r="BI1579" s="11">
        <v>2340</v>
      </c>
      <c r="BJ1579" s="11">
        <v>5.8</v>
      </c>
      <c r="BK1579" s="11" t="s">
        <v>56</v>
      </c>
      <c r="BL1579" s="11" t="s">
        <v>473</v>
      </c>
      <c r="BM1579" s="11" t="s">
        <v>473</v>
      </c>
      <c r="BN1579" s="11" t="s">
        <v>81</v>
      </c>
      <c r="BO1579" s="11" t="s">
        <v>82</v>
      </c>
      <c r="BP1579" s="11" t="s">
        <v>190</v>
      </c>
      <c r="BQ1579" s="11"/>
      <c r="BR1579" s="11" t="s">
        <v>84</v>
      </c>
      <c r="BS1579" s="11"/>
      <c r="BT1579" s="11">
        <v>98.48</v>
      </c>
      <c r="BU1579" s="11">
        <v>98.477157000000005</v>
      </c>
      <c r="BV1579" s="11">
        <v>4.0999999999999996</v>
      </c>
      <c r="BW1579" s="11">
        <f>BV1579*SQRT(AK1579)</f>
        <v>7.1014083110323956</v>
      </c>
      <c r="BX1579" s="11">
        <v>1.52</v>
      </c>
      <c r="BY1579" s="11">
        <v>1.5228425999999999</v>
      </c>
      <c r="BZ1579" s="11">
        <v>3.81</v>
      </c>
      <c r="CA1579" s="11">
        <f>BZ1579*SQRT(AL1579)</f>
        <v>6.5991135768374223</v>
      </c>
      <c r="CB1579" s="11">
        <v>0</v>
      </c>
      <c r="CC1579" s="11">
        <v>12</v>
      </c>
      <c r="CD1579" s="11">
        <v>-4.1689999999999996</v>
      </c>
      <c r="CE1579" s="11">
        <v>6.2610000000000001</v>
      </c>
      <c r="CF1579" s="11"/>
    </row>
    <row r="1580" spans="1:84" hidden="1" x14ac:dyDescent="0.2">
      <c r="A1580" s="11"/>
      <c r="B1580" s="11" t="str">
        <f>ROW()-1&amp;"_AltersInvert"</f>
        <v>1579_AltersInvert</v>
      </c>
      <c r="C1580" s="11" t="str">
        <f>D1580&amp;"_"&amp;
SUBSTITUTE(TRIM(V1580)," ","_")&amp;"_"&amp;
TRIM(AC1580)&amp;"_"&amp;
"CO2"&amp;TEXT(AN1580,"0.00")&amp;"_"&amp;
"pH"&amp;TEXT(AR1580,"0.00")&amp;"_"&amp;
"T"&amp;TEXT(BC1580,"0.##")</f>
        <v>89_Sphaerechinus_granularis_EMBRYO_CO2489.00_pH8.06_T19.3</v>
      </c>
      <c r="D1580" s="11">
        <v>89</v>
      </c>
      <c r="E1580" s="11"/>
      <c r="F1580" s="11"/>
      <c r="G1580" s="11" t="s">
        <v>43</v>
      </c>
      <c r="H1580" s="11" t="s">
        <v>739</v>
      </c>
      <c r="I1580" s="11" t="s">
        <v>1130</v>
      </c>
      <c r="J1580" s="11">
        <v>2018</v>
      </c>
      <c r="K1580" s="11"/>
      <c r="L1580" s="11"/>
      <c r="M1580" s="11" t="s">
        <v>740</v>
      </c>
      <c r="N1580" s="11"/>
      <c r="O1580" s="11"/>
      <c r="P1580" s="11"/>
      <c r="Q1580" s="11"/>
      <c r="R1580" s="11"/>
      <c r="S1580" s="11"/>
      <c r="T1580" s="11" t="s">
        <v>46</v>
      </c>
      <c r="U1580" s="11" t="s">
        <v>422</v>
      </c>
      <c r="V1580" s="11" t="s">
        <v>741</v>
      </c>
      <c r="W1580" s="11" t="str">
        <f>IF(ISNUMBER(MATCH(#REF!,{"Doryteuthis pealeii","Loligo vulgaris","Leptuca thayeri","Stylocheilus striatus","Ophryotrocha labronica"},0)),"N","Y")</f>
        <v>Y</v>
      </c>
      <c r="X1580" s="11"/>
      <c r="Y1580" s="11"/>
      <c r="Z1580" s="11" t="s">
        <v>177</v>
      </c>
      <c r="AA1580" s="11" t="s">
        <v>177</v>
      </c>
      <c r="AB1580" s="11" t="s">
        <v>71</v>
      </c>
      <c r="AC1580" s="11" t="s">
        <v>195</v>
      </c>
      <c r="AD1580" s="11" t="s">
        <v>52</v>
      </c>
      <c r="AE1580" s="11" t="s">
        <v>53</v>
      </c>
      <c r="AF1580" s="11" t="s">
        <v>52</v>
      </c>
      <c r="AG1580" s="11" t="s">
        <v>52</v>
      </c>
      <c r="AH1580" s="11" t="s">
        <v>64</v>
      </c>
      <c r="AI1580" s="11"/>
      <c r="AJ1580" s="11"/>
      <c r="AK1580" s="11">
        <v>3</v>
      </c>
      <c r="AL1580" s="11">
        <v>3</v>
      </c>
      <c r="AM1580" s="11"/>
      <c r="AN1580" s="11">
        <v>489</v>
      </c>
      <c r="AO1580" s="11" t="s">
        <v>56</v>
      </c>
      <c r="AP1580" s="11" t="s">
        <v>56</v>
      </c>
      <c r="AQ1580" s="11" t="s">
        <v>56</v>
      </c>
      <c r="AR1580" s="11">
        <v>8.06</v>
      </c>
      <c r="AS1580" s="11" t="s">
        <v>56</v>
      </c>
      <c r="AT1580" s="11">
        <v>0.04</v>
      </c>
      <c r="AU1580" s="11">
        <v>1400</v>
      </c>
      <c r="AV1580" s="11" t="s">
        <v>56</v>
      </c>
      <c r="AW1580" s="11" t="s">
        <v>56</v>
      </c>
      <c r="AX1580" s="11">
        <v>7.69</v>
      </c>
      <c r="AY1580" s="11" t="s">
        <v>56</v>
      </c>
      <c r="AZ1580" s="11">
        <v>0.04</v>
      </c>
      <c r="BA1580" s="11"/>
      <c r="BB1580" s="11">
        <f>LOG(AU1580)</f>
        <v>3.1461280356782382</v>
      </c>
      <c r="BC1580" s="11">
        <v>19.3</v>
      </c>
      <c r="BD1580" s="11" t="s">
        <v>56</v>
      </c>
      <c r="BE1580" s="11">
        <v>0.1</v>
      </c>
      <c r="BF1580" s="11">
        <v>25.2</v>
      </c>
      <c r="BG1580" s="11" t="s">
        <v>56</v>
      </c>
      <c r="BH1580" s="11">
        <v>0.1</v>
      </c>
      <c r="BI1580" s="11">
        <v>911</v>
      </c>
      <c r="BJ1580" s="11">
        <v>6</v>
      </c>
      <c r="BK1580" s="11" t="s">
        <v>56</v>
      </c>
      <c r="BL1580" s="11" t="s">
        <v>473</v>
      </c>
      <c r="BM1580" s="11" t="s">
        <v>473</v>
      </c>
      <c r="BN1580" s="11" t="s">
        <v>81</v>
      </c>
      <c r="BO1580" s="11" t="s">
        <v>82</v>
      </c>
      <c r="BP1580" s="11" t="s">
        <v>190</v>
      </c>
      <c r="BQ1580" s="11"/>
      <c r="BR1580" s="11" t="s">
        <v>84</v>
      </c>
      <c r="BS1580" s="11"/>
      <c r="BT1580" s="11">
        <v>98.48</v>
      </c>
      <c r="BU1580" s="11">
        <v>98.477157000000005</v>
      </c>
      <c r="BV1580" s="11">
        <v>4.0999999999999996</v>
      </c>
      <c r="BW1580" s="11">
        <f>BV1580*SQRT(AK1580)</f>
        <v>7.1014083110323956</v>
      </c>
      <c r="BX1580" s="11">
        <v>23.35</v>
      </c>
      <c r="BY1580" s="11">
        <v>23.350253800000001</v>
      </c>
      <c r="BZ1580" s="11">
        <v>4.4000000000000004</v>
      </c>
      <c r="CA1580" s="11">
        <f>BZ1580*SQRT(AL1580)</f>
        <v>7.6210235533030604</v>
      </c>
      <c r="CB1580" s="11">
        <v>0</v>
      </c>
      <c r="CC1580" s="11">
        <v>12</v>
      </c>
      <c r="CD1580" s="11">
        <v>-1.4390000000000001</v>
      </c>
      <c r="CE1580" s="11">
        <v>3.7199999999999997E-2</v>
      </c>
      <c r="CF1580" s="11"/>
    </row>
    <row r="1581" spans="1:84" hidden="1" x14ac:dyDescent="0.2">
      <c r="A1581" s="8"/>
      <c r="B1581" t="str">
        <f>ROW()-1&amp;"_AltersInvert"</f>
        <v>1580_AltersInvert</v>
      </c>
      <c r="C1581" t="str">
        <f>D1581&amp;"_"&amp;
SUBSTITUTE(TRIM(V1581)," ","_")&amp;"_"&amp;
TRIM(AC1581)&amp;"_"&amp;
"CO2"&amp;TEXT(AN1581,"0.00")&amp;"_"&amp;
"pH"&amp;TEXT(AR1581,"0.00")&amp;"_"&amp;
"T"&amp;TEXT(BC1581,"0.##")</f>
        <v>89_Sphaerechinus_granularis_EMBRYO_CO2489.00_pH8.06_T19.3</v>
      </c>
      <c r="D1581" s="8">
        <v>89</v>
      </c>
      <c r="E1581" s="8"/>
      <c r="F1581" s="8"/>
      <c r="G1581" s="8" t="s">
        <v>43</v>
      </c>
      <c r="H1581" s="8" t="s">
        <v>739</v>
      </c>
      <c r="I1581" s="8" t="s">
        <v>1130</v>
      </c>
      <c r="J1581" s="8">
        <v>2018</v>
      </c>
      <c r="K1581" s="8"/>
      <c r="L1581" s="8"/>
      <c r="M1581" s="8" t="s">
        <v>740</v>
      </c>
      <c r="N1581" s="8"/>
      <c r="O1581" s="8"/>
      <c r="P1581" t="s">
        <v>1135</v>
      </c>
      <c r="Q1581" s="8"/>
      <c r="R1581" s="8" t="s">
        <v>1127</v>
      </c>
      <c r="S1581" t="s">
        <v>1128</v>
      </c>
      <c r="T1581" s="8" t="s">
        <v>46</v>
      </c>
      <c r="U1581" s="8" t="s">
        <v>422</v>
      </c>
      <c r="V1581" s="8" t="s">
        <v>741</v>
      </c>
      <c r="W1581" s="8" t="str">
        <f>IF(ISNUMBER(MATCH(V975,{"Doryteuthis pealeii","Loligo vulgaris","Leptuca thayeri","Stylocheilus striatus","Ophryotrocha labronica"},0)),"N","Y")</f>
        <v>Y</v>
      </c>
      <c r="X1581" s="8"/>
      <c r="Y1581" s="8"/>
      <c r="Z1581" s="8" t="s">
        <v>177</v>
      </c>
      <c r="AA1581" s="8" t="s">
        <v>177</v>
      </c>
      <c r="AB1581" s="8" t="s">
        <v>71</v>
      </c>
      <c r="AC1581" s="8" t="s">
        <v>195</v>
      </c>
      <c r="AD1581" s="8" t="s">
        <v>52</v>
      </c>
      <c r="AE1581" s="8" t="s">
        <v>53</v>
      </c>
      <c r="AF1581" s="8" t="s">
        <v>52</v>
      </c>
      <c r="AG1581" s="8" t="s">
        <v>52</v>
      </c>
      <c r="AH1581" s="8" t="s">
        <v>64</v>
      </c>
      <c r="AI1581" s="8"/>
      <c r="AJ1581" s="8"/>
      <c r="AK1581" s="8">
        <v>3</v>
      </c>
      <c r="AL1581" s="8">
        <v>3</v>
      </c>
      <c r="AM1581" s="8"/>
      <c r="AN1581" s="8">
        <v>489</v>
      </c>
      <c r="AO1581" s="8" t="s">
        <v>56</v>
      </c>
      <c r="AP1581" s="8" t="s">
        <v>56</v>
      </c>
      <c r="AQ1581" s="8" t="s">
        <v>56</v>
      </c>
      <c r="AR1581" s="8">
        <v>8.06</v>
      </c>
      <c r="AS1581" s="8" t="s">
        <v>56</v>
      </c>
      <c r="AT1581" s="8">
        <v>0.04</v>
      </c>
      <c r="AU1581" s="8">
        <v>2539</v>
      </c>
      <c r="AV1581" t="s">
        <v>56</v>
      </c>
      <c r="AW1581" t="s">
        <v>56</v>
      </c>
      <c r="AX1581">
        <v>7.43</v>
      </c>
      <c r="AY1581" t="s">
        <v>56</v>
      </c>
      <c r="AZ1581">
        <v>0.04</v>
      </c>
      <c r="BA1581" s="8"/>
      <c r="BB1581" s="8">
        <f>LOG(AU1581)</f>
        <v>3.4046627008737222</v>
      </c>
      <c r="BC1581" s="8">
        <v>19.3</v>
      </c>
      <c r="BD1581" s="8" t="s">
        <v>56</v>
      </c>
      <c r="BE1581" s="8">
        <v>0.1</v>
      </c>
      <c r="BF1581" s="8">
        <v>23</v>
      </c>
      <c r="BG1581" s="8" t="s">
        <v>56</v>
      </c>
      <c r="BH1581" s="8">
        <v>0.1</v>
      </c>
      <c r="BI1581" s="8">
        <v>2050</v>
      </c>
      <c r="BJ1581" s="8">
        <v>3.7</v>
      </c>
      <c r="BK1581" s="8" t="s">
        <v>56</v>
      </c>
      <c r="BL1581" s="8" t="s">
        <v>473</v>
      </c>
      <c r="BM1581" s="8" t="s">
        <v>473</v>
      </c>
      <c r="BN1581" s="8" t="s">
        <v>81</v>
      </c>
      <c r="BO1581" s="8" t="s">
        <v>82</v>
      </c>
      <c r="BP1581" s="8" t="s">
        <v>190</v>
      </c>
      <c r="BQ1581" s="8" t="s">
        <v>190</v>
      </c>
      <c r="BR1581" s="8" t="s">
        <v>84</v>
      </c>
      <c r="BS1581" s="8"/>
      <c r="BT1581" s="8">
        <v>98.48</v>
      </c>
      <c r="BU1581" s="8">
        <v>98.477157000000005</v>
      </c>
      <c r="BV1581" s="8">
        <v>4.0999999999999996</v>
      </c>
      <c r="BW1581" s="8">
        <f>BV1581*SQRT(AK1581)</f>
        <v>7.1014083110323956</v>
      </c>
      <c r="BX1581" s="8">
        <v>70.56</v>
      </c>
      <c r="BY1581" s="8">
        <v>70.558375600000005</v>
      </c>
      <c r="BZ1581" s="8">
        <v>3.81</v>
      </c>
      <c r="CA1581" s="8">
        <f>BZ1581*SQRT(AL1581)</f>
        <v>6.5991135768374223</v>
      </c>
      <c r="CB1581" s="8">
        <v>0</v>
      </c>
      <c r="CC1581" s="8">
        <v>12</v>
      </c>
      <c r="CD1581" s="8">
        <v>-0.33300000000000002</v>
      </c>
      <c r="CE1581" s="8">
        <v>4.7000000000000002E-3</v>
      </c>
      <c r="CF1581" s="8" t="s">
        <v>1134</v>
      </c>
    </row>
    <row r="1582" spans="1:84" hidden="1" x14ac:dyDescent="0.2">
      <c r="A1582" s="8"/>
      <c r="B1582" t="str">
        <f>ROW()-1&amp;"_AltersInvert"</f>
        <v>1581_AltersInvert</v>
      </c>
      <c r="C1582" t="str">
        <f>D1582&amp;"_"&amp;
SUBSTITUTE(TRIM(V1582)," ","_")&amp;"_"&amp;
TRIM(AC1582)&amp;"_"&amp;
"CO2"&amp;TEXT(AN1582,"0.00")&amp;"_"&amp;
"pH"&amp;TEXT(AR1582,"0.00")&amp;"_"&amp;
"T"&amp;TEXT(BC1582,"0.##")</f>
        <v>89_Sphaerechinus_granularis_EMBRYO_CO2489.00_pH8.06_T19.3</v>
      </c>
      <c r="D1582" s="8">
        <v>89</v>
      </c>
      <c r="E1582" s="8"/>
      <c r="F1582" s="8"/>
      <c r="G1582" s="8" t="s">
        <v>43</v>
      </c>
      <c r="H1582" s="8" t="s">
        <v>739</v>
      </c>
      <c r="I1582" s="8" t="s">
        <v>1130</v>
      </c>
      <c r="J1582" s="8">
        <v>2018</v>
      </c>
      <c r="K1582" s="8"/>
      <c r="L1582" s="8"/>
      <c r="M1582" s="8" t="s">
        <v>740</v>
      </c>
      <c r="N1582" s="8"/>
      <c r="O1582" s="8"/>
      <c r="P1582" t="s">
        <v>1135</v>
      </c>
      <c r="Q1582" s="8"/>
      <c r="R1582" s="8" t="s">
        <v>1127</v>
      </c>
      <c r="S1582" t="s">
        <v>1128</v>
      </c>
      <c r="T1582" s="8" t="s">
        <v>46</v>
      </c>
      <c r="U1582" s="8" t="s">
        <v>422</v>
      </c>
      <c r="V1582" s="8" t="s">
        <v>741</v>
      </c>
      <c r="W1582" s="8" t="str">
        <f>IF(ISNUMBER(MATCH(V976,{"Doryteuthis pealeii","Loligo vulgaris","Leptuca thayeri","Stylocheilus striatus","Ophryotrocha labronica"},0)),"N","Y")</f>
        <v>Y</v>
      </c>
      <c r="X1582" s="8"/>
      <c r="Y1582" s="8"/>
      <c r="Z1582" s="8" t="s">
        <v>177</v>
      </c>
      <c r="AA1582" s="8" t="s">
        <v>177</v>
      </c>
      <c r="AB1582" s="8" t="s">
        <v>71</v>
      </c>
      <c r="AC1582" s="8" t="s">
        <v>195</v>
      </c>
      <c r="AD1582" s="8" t="s">
        <v>52</v>
      </c>
      <c r="AE1582" s="8" t="s">
        <v>53</v>
      </c>
      <c r="AF1582" s="8" t="s">
        <v>52</v>
      </c>
      <c r="AG1582" s="8" t="s">
        <v>52</v>
      </c>
      <c r="AH1582" s="8" t="s">
        <v>64</v>
      </c>
      <c r="AI1582" s="8"/>
      <c r="AJ1582" s="8"/>
      <c r="AK1582" s="8">
        <v>3</v>
      </c>
      <c r="AL1582" s="8">
        <v>3</v>
      </c>
      <c r="AM1582" s="8"/>
      <c r="AN1582" s="8">
        <v>489</v>
      </c>
      <c r="AO1582" s="8" t="s">
        <v>56</v>
      </c>
      <c r="AP1582" s="8" t="s">
        <v>56</v>
      </c>
      <c r="AQ1582" s="8" t="s">
        <v>56</v>
      </c>
      <c r="AR1582" s="8">
        <v>8.06</v>
      </c>
      <c r="AS1582" s="8" t="s">
        <v>56</v>
      </c>
      <c r="AT1582" s="8">
        <v>0.04</v>
      </c>
      <c r="AU1582" s="8">
        <v>1316</v>
      </c>
      <c r="AV1582" t="s">
        <v>56</v>
      </c>
      <c r="AW1582" t="s">
        <v>56</v>
      </c>
      <c r="AX1582">
        <v>7.7</v>
      </c>
      <c r="AY1582" t="s">
        <v>56</v>
      </c>
      <c r="AZ1582">
        <v>0.02</v>
      </c>
      <c r="BA1582" s="8"/>
      <c r="BB1582" s="8">
        <f>LOG(AU1582)</f>
        <v>3.1192558892779365</v>
      </c>
      <c r="BC1582" s="8">
        <v>19.3</v>
      </c>
      <c r="BD1582" s="8" t="s">
        <v>56</v>
      </c>
      <c r="BE1582" s="8">
        <v>0.1</v>
      </c>
      <c r="BF1582" s="8">
        <v>23</v>
      </c>
      <c r="BG1582" s="8" t="s">
        <v>56</v>
      </c>
      <c r="BH1582" s="8">
        <v>0</v>
      </c>
      <c r="BI1582" s="8">
        <v>827</v>
      </c>
      <c r="BJ1582" s="8">
        <v>3.7</v>
      </c>
      <c r="BK1582" s="8" t="s">
        <v>56</v>
      </c>
      <c r="BL1582" s="8" t="s">
        <v>473</v>
      </c>
      <c r="BM1582" s="8" t="s">
        <v>473</v>
      </c>
      <c r="BN1582" s="8" t="s">
        <v>81</v>
      </c>
      <c r="BO1582" s="8" t="s">
        <v>82</v>
      </c>
      <c r="BP1582" s="8" t="s">
        <v>190</v>
      </c>
      <c r="BQ1582" s="8" t="s">
        <v>190</v>
      </c>
      <c r="BR1582" s="8" t="s">
        <v>84</v>
      </c>
      <c r="BS1582" s="8"/>
      <c r="BT1582" s="8">
        <v>98.48</v>
      </c>
      <c r="BU1582" s="8">
        <v>98.477157000000005</v>
      </c>
      <c r="BV1582" s="8">
        <v>4.0999999999999996</v>
      </c>
      <c r="BW1582" s="8">
        <f>BV1582*SQRT(AK1582)</f>
        <v>7.1014083110323956</v>
      </c>
      <c r="BX1582" s="8">
        <v>72.59</v>
      </c>
      <c r="BY1582" s="8">
        <v>72.588832499999995</v>
      </c>
      <c r="BZ1582" s="8">
        <v>4.4000000000000004</v>
      </c>
      <c r="CA1582" s="8">
        <f>BZ1582*SQRT(AL1582)</f>
        <v>7.6210235533030604</v>
      </c>
      <c r="CB1582" s="8">
        <v>0</v>
      </c>
      <c r="CC1582" s="8">
        <v>12</v>
      </c>
      <c r="CD1582" s="8">
        <v>-0.30499999999999999</v>
      </c>
      <c r="CE1582" s="8">
        <v>5.4000000000000003E-3</v>
      </c>
      <c r="CF1582" s="8" t="s">
        <v>1134</v>
      </c>
    </row>
    <row r="1583" spans="1:84" hidden="1" x14ac:dyDescent="0.2">
      <c r="A1583" s="8"/>
      <c r="B1583" t="str">
        <f>ROW()-1&amp;"_AltersInvert"</f>
        <v>1582_AltersInvert</v>
      </c>
      <c r="C1583" t="str">
        <f>D1583&amp;"_"&amp;
SUBSTITUTE(TRIM(V1583)," ","_")&amp;"_"&amp;
TRIM(AC1583)&amp;"_"&amp;
"CO2"&amp;TEXT(AN1583,"0.00")&amp;"_"&amp;
"pH"&amp;TEXT(AR1583,"0.00")&amp;"_"&amp;
"T"&amp;TEXT(BC1583,"0.##")</f>
        <v>89_Sphaerechinus_granularis_EMBRYO_CO2489.00_pH8.06_T19.3</v>
      </c>
      <c r="D1583" s="8">
        <v>89</v>
      </c>
      <c r="E1583" s="8"/>
      <c r="F1583" s="8"/>
      <c r="G1583" s="8" t="s">
        <v>43</v>
      </c>
      <c r="H1583" s="8" t="s">
        <v>739</v>
      </c>
      <c r="I1583" s="8" t="s">
        <v>1130</v>
      </c>
      <c r="J1583" s="8">
        <v>2018</v>
      </c>
      <c r="K1583" s="8"/>
      <c r="L1583" s="8"/>
      <c r="M1583" s="8" t="s">
        <v>740</v>
      </c>
      <c r="N1583" s="8"/>
      <c r="O1583" s="8"/>
      <c r="P1583" t="s">
        <v>1135</v>
      </c>
      <c r="Q1583" s="8"/>
      <c r="R1583" s="8" t="s">
        <v>1127</v>
      </c>
      <c r="S1583" t="s">
        <v>1128</v>
      </c>
      <c r="T1583" s="8" t="s">
        <v>46</v>
      </c>
      <c r="U1583" s="8" t="s">
        <v>422</v>
      </c>
      <c r="V1583" s="8" t="s">
        <v>741</v>
      </c>
      <c r="W1583" s="8" t="str">
        <f>IF(ISNUMBER(MATCH(V977,{"Doryteuthis pealeii","Loligo vulgaris","Leptuca thayeri","Stylocheilus striatus","Ophryotrocha labronica"},0)),"N","Y")</f>
        <v>Y</v>
      </c>
      <c r="X1583" s="8"/>
      <c r="Y1583" s="8"/>
      <c r="Z1583" s="8" t="s">
        <v>177</v>
      </c>
      <c r="AA1583" s="8" t="s">
        <v>177</v>
      </c>
      <c r="AB1583" s="8" t="s">
        <v>71</v>
      </c>
      <c r="AC1583" s="8" t="s">
        <v>195</v>
      </c>
      <c r="AD1583" s="8" t="s">
        <v>52</v>
      </c>
      <c r="AE1583" s="8" t="s">
        <v>53</v>
      </c>
      <c r="AF1583" s="8" t="s">
        <v>52</v>
      </c>
      <c r="AG1583" s="8" t="s">
        <v>52</v>
      </c>
      <c r="AH1583" s="8" t="s">
        <v>64</v>
      </c>
      <c r="AI1583" s="8"/>
      <c r="AJ1583" s="8"/>
      <c r="AK1583" s="8">
        <v>3</v>
      </c>
      <c r="AL1583" s="8">
        <v>3</v>
      </c>
      <c r="AM1583" s="8"/>
      <c r="AN1583" s="8">
        <v>489</v>
      </c>
      <c r="AO1583" s="8" t="s">
        <v>56</v>
      </c>
      <c r="AP1583" s="8" t="s">
        <v>56</v>
      </c>
      <c r="AQ1583" s="8" t="s">
        <v>56</v>
      </c>
      <c r="AR1583" s="8">
        <v>8.06</v>
      </c>
      <c r="AS1583" s="8" t="s">
        <v>56</v>
      </c>
      <c r="AT1583" s="8">
        <v>0.04</v>
      </c>
      <c r="AU1583" s="8">
        <v>2813</v>
      </c>
      <c r="AV1583" t="s">
        <v>56</v>
      </c>
      <c r="AW1583" t="s">
        <v>56</v>
      </c>
      <c r="AX1583">
        <v>7.37</v>
      </c>
      <c r="AY1583" t="s">
        <v>56</v>
      </c>
      <c r="AZ1583">
        <v>0.02</v>
      </c>
      <c r="BA1583" s="8"/>
      <c r="BB1583" s="8">
        <f>LOG(AU1583)</f>
        <v>3.4491697321652008</v>
      </c>
      <c r="BC1583" s="8">
        <v>19.3</v>
      </c>
      <c r="BD1583" s="8" t="s">
        <v>56</v>
      </c>
      <c r="BE1583" s="8">
        <v>0.1</v>
      </c>
      <c r="BF1583" s="8">
        <v>21.2</v>
      </c>
      <c r="BG1583" s="8" t="s">
        <v>56</v>
      </c>
      <c r="BH1583" s="8">
        <v>0.2</v>
      </c>
      <c r="BI1583" s="8">
        <v>2324</v>
      </c>
      <c r="BJ1583" s="8">
        <v>1.9</v>
      </c>
      <c r="BK1583" s="8" t="s">
        <v>56</v>
      </c>
      <c r="BL1583" s="8" t="s">
        <v>473</v>
      </c>
      <c r="BM1583" s="8" t="s">
        <v>473</v>
      </c>
      <c r="BN1583" s="8" t="s">
        <v>81</v>
      </c>
      <c r="BO1583" s="8" t="s">
        <v>82</v>
      </c>
      <c r="BP1583" s="8" t="s">
        <v>190</v>
      </c>
      <c r="BQ1583" s="8" t="s">
        <v>190</v>
      </c>
      <c r="BR1583" s="8" t="s">
        <v>84</v>
      </c>
      <c r="BS1583" s="8"/>
      <c r="BT1583" s="8">
        <v>98.48</v>
      </c>
      <c r="BU1583" s="8">
        <v>98.477157000000005</v>
      </c>
      <c r="BV1583" s="8">
        <v>4.0999999999999996</v>
      </c>
      <c r="BW1583" s="8">
        <f>BV1583*SQRT(AK1583)</f>
        <v>7.1014083110323956</v>
      </c>
      <c r="BX1583" s="8">
        <v>76.14</v>
      </c>
      <c r="BY1583" s="8">
        <v>76.142132000000004</v>
      </c>
      <c r="BZ1583" s="8">
        <v>4.4000000000000004</v>
      </c>
      <c r="CA1583" s="8">
        <f>BZ1583*SQRT(AL1583)</f>
        <v>7.6210235533030604</v>
      </c>
      <c r="CB1583" s="8">
        <v>0</v>
      </c>
      <c r="CC1583" s="8">
        <v>12</v>
      </c>
      <c r="CD1583" s="8">
        <v>-0.25700000000000001</v>
      </c>
      <c r="CE1583" s="8">
        <v>5.1000000000000004E-3</v>
      </c>
      <c r="CF1583" s="8" t="s">
        <v>1134</v>
      </c>
    </row>
    <row r="1584" spans="1:84" hidden="1" x14ac:dyDescent="0.2">
      <c r="A1584" s="8"/>
      <c r="B1584" t="str">
        <f>ROW()-1&amp;"_AltersInvert"</f>
        <v>1583_AltersInvert</v>
      </c>
      <c r="C1584" t="str">
        <f>D1584&amp;"_"&amp;
SUBSTITUTE(TRIM(V1584)," ","_")&amp;"_"&amp;
TRIM(AC1584)&amp;"_"&amp;
"CO2"&amp;TEXT(AN1584,"0.00")&amp;"_"&amp;
"pH"&amp;TEXT(AR1584,"0.00")&amp;"_"&amp;
"T"&amp;TEXT(BC1584,"0.##")</f>
        <v>89_Sphaerechinus_granularis_EMBRYO_CO2489.00_pH8.06_T19.3</v>
      </c>
      <c r="D1584" s="8">
        <v>89</v>
      </c>
      <c r="E1584" s="8"/>
      <c r="F1584" s="8"/>
      <c r="G1584" s="8" t="s">
        <v>43</v>
      </c>
      <c r="H1584" s="8" t="s">
        <v>739</v>
      </c>
      <c r="I1584" s="8" t="s">
        <v>1130</v>
      </c>
      <c r="J1584" s="8">
        <v>2018</v>
      </c>
      <c r="K1584" s="8"/>
      <c r="L1584" s="8"/>
      <c r="M1584" s="8" t="s">
        <v>740</v>
      </c>
      <c r="N1584" s="8"/>
      <c r="O1584" s="8"/>
      <c r="P1584" t="s">
        <v>1135</v>
      </c>
      <c r="Q1584" s="8"/>
      <c r="R1584" s="8" t="s">
        <v>1127</v>
      </c>
      <c r="S1584" t="s">
        <v>1128</v>
      </c>
      <c r="T1584" s="8" t="s">
        <v>46</v>
      </c>
      <c r="U1584" s="8" t="s">
        <v>422</v>
      </c>
      <c r="V1584" s="8" t="s">
        <v>741</v>
      </c>
      <c r="W1584" s="8" t="str">
        <f>IF(ISNUMBER(MATCH(V978,{"Doryteuthis pealeii","Loligo vulgaris","Leptuca thayeri","Stylocheilus striatus","Ophryotrocha labronica"},0)),"N","Y")</f>
        <v>Y</v>
      </c>
      <c r="X1584" s="8"/>
      <c r="Y1584" s="8"/>
      <c r="Z1584" s="8" t="s">
        <v>177</v>
      </c>
      <c r="AA1584" s="8" t="s">
        <v>177</v>
      </c>
      <c r="AB1584" s="8" t="s">
        <v>71</v>
      </c>
      <c r="AC1584" s="8" t="s">
        <v>195</v>
      </c>
      <c r="AD1584" s="8" t="s">
        <v>52</v>
      </c>
      <c r="AE1584" s="8" t="s">
        <v>53</v>
      </c>
      <c r="AF1584" s="8" t="s">
        <v>52</v>
      </c>
      <c r="AG1584" s="8" t="s">
        <v>52</v>
      </c>
      <c r="AH1584" s="8" t="s">
        <v>64</v>
      </c>
      <c r="AI1584" s="8"/>
      <c r="AJ1584" s="8"/>
      <c r="AK1584" s="8">
        <v>3</v>
      </c>
      <c r="AL1584" s="8">
        <v>3</v>
      </c>
      <c r="AM1584" s="8"/>
      <c r="AN1584" s="8">
        <v>489</v>
      </c>
      <c r="AO1584" s="8" t="s">
        <v>56</v>
      </c>
      <c r="AP1584" s="8" t="s">
        <v>56</v>
      </c>
      <c r="AQ1584" s="8" t="s">
        <v>56</v>
      </c>
      <c r="AR1584" s="8">
        <v>8.06</v>
      </c>
      <c r="AS1584" s="8" t="s">
        <v>56</v>
      </c>
      <c r="AT1584" s="8">
        <v>0.04</v>
      </c>
      <c r="AU1584" s="8">
        <v>1433</v>
      </c>
      <c r="AV1584" t="s">
        <v>56</v>
      </c>
      <c r="AW1584" t="s">
        <v>56</v>
      </c>
      <c r="AX1584">
        <v>7.65</v>
      </c>
      <c r="AY1584" t="s">
        <v>56</v>
      </c>
      <c r="AZ1584">
        <v>0.02</v>
      </c>
      <c r="BA1584" s="8"/>
      <c r="BB1584" s="8">
        <f>LOG(AU1584)</f>
        <v>3.1562461903973444</v>
      </c>
      <c r="BC1584" s="8">
        <v>19.3</v>
      </c>
      <c r="BD1584" s="8" t="s">
        <v>56</v>
      </c>
      <c r="BE1584" s="8">
        <v>0.1</v>
      </c>
      <c r="BF1584" s="8">
        <v>21.2</v>
      </c>
      <c r="BG1584" s="8" t="s">
        <v>56</v>
      </c>
      <c r="BH1584" s="8">
        <v>0.2</v>
      </c>
      <c r="BI1584" s="8">
        <v>944</v>
      </c>
      <c r="BJ1584" s="8">
        <v>2</v>
      </c>
      <c r="BK1584" s="8" t="s">
        <v>56</v>
      </c>
      <c r="BL1584" s="8" t="s">
        <v>473</v>
      </c>
      <c r="BM1584" s="8" t="s">
        <v>473</v>
      </c>
      <c r="BN1584" s="8" t="s">
        <v>81</v>
      </c>
      <c r="BO1584" s="8" t="s">
        <v>82</v>
      </c>
      <c r="BP1584" s="8" t="s">
        <v>190</v>
      </c>
      <c r="BQ1584" s="8" t="s">
        <v>190</v>
      </c>
      <c r="BR1584" s="8" t="s">
        <v>84</v>
      </c>
      <c r="BS1584" s="8"/>
      <c r="BT1584" s="8">
        <v>98.48</v>
      </c>
      <c r="BU1584" s="8">
        <v>98.477157000000005</v>
      </c>
      <c r="BV1584" s="8">
        <v>4.0999999999999996</v>
      </c>
      <c r="BW1584" s="8">
        <f>BV1584*SQRT(AK1584)</f>
        <v>7.1014083110323956</v>
      </c>
      <c r="BX1584" s="8">
        <v>95.94</v>
      </c>
      <c r="BY1584" s="8">
        <v>95.9390863</v>
      </c>
      <c r="BZ1584" s="8">
        <v>4.4000000000000004</v>
      </c>
      <c r="CA1584" s="8">
        <f>BZ1584*SQRT(AL1584)</f>
        <v>7.6210235533030604</v>
      </c>
      <c r="CB1584" s="8">
        <v>0</v>
      </c>
      <c r="CC1584" s="8">
        <v>12</v>
      </c>
      <c r="CD1584" s="8">
        <v>-2.5999999999999999E-2</v>
      </c>
      <c r="CE1584" s="8">
        <v>3.8E-3</v>
      </c>
      <c r="CF1584" s="8" t="s">
        <v>1134</v>
      </c>
    </row>
    <row r="1585" spans="1:84" hidden="1" x14ac:dyDescent="0.2">
      <c r="D1585">
        <v>122</v>
      </c>
      <c r="G1585" t="s">
        <v>43</v>
      </c>
      <c r="H1585" t="s">
        <v>863</v>
      </c>
      <c r="J1585">
        <v>2012</v>
      </c>
      <c r="M1585" t="s">
        <v>381</v>
      </c>
      <c r="T1585" t="s">
        <v>103</v>
      </c>
      <c r="U1585" t="s">
        <v>414</v>
      </c>
      <c r="V1585" t="s">
        <v>864</v>
      </c>
      <c r="Z1585" t="s">
        <v>106</v>
      </c>
      <c r="AA1585" t="s">
        <v>107</v>
      </c>
      <c r="AB1585" t="s">
        <v>50</v>
      </c>
      <c r="AC1585" t="s">
        <v>108</v>
      </c>
      <c r="AD1585" t="s">
        <v>52</v>
      </c>
      <c r="AE1585" t="s">
        <v>53</v>
      </c>
      <c r="AF1585" t="s">
        <v>52</v>
      </c>
      <c r="AG1585" t="s">
        <v>54</v>
      </c>
      <c r="AH1585" t="s">
        <v>55</v>
      </c>
      <c r="AK1585">
        <v>10</v>
      </c>
      <c r="AL1585">
        <v>10</v>
      </c>
      <c r="AM1585" t="s">
        <v>866</v>
      </c>
      <c r="AN1585">
        <v>410</v>
      </c>
      <c r="AO1585">
        <v>9</v>
      </c>
      <c r="AP1585" t="s">
        <v>56</v>
      </c>
      <c r="AQ1585" t="s">
        <v>109</v>
      </c>
      <c r="AR1585">
        <v>7.99</v>
      </c>
      <c r="AS1585">
        <v>0.1</v>
      </c>
      <c r="AT1585" t="s">
        <v>56</v>
      </c>
      <c r="AU1585">
        <v>824</v>
      </c>
      <c r="AV1585">
        <v>27</v>
      </c>
      <c r="AW1585" t="s">
        <v>56</v>
      </c>
      <c r="AX1585">
        <v>7.74</v>
      </c>
      <c r="AY1585">
        <v>0.1</v>
      </c>
      <c r="AZ1585" t="s">
        <v>56</v>
      </c>
      <c r="BB1585">
        <f>LOG(AU1585)</f>
        <v>2.9159272116971158</v>
      </c>
      <c r="BC1585">
        <v>25.4</v>
      </c>
      <c r="BD1585">
        <v>0.1</v>
      </c>
      <c r="BE1585" t="s">
        <v>56</v>
      </c>
      <c r="BF1585">
        <v>25.7</v>
      </c>
      <c r="BG1585">
        <v>0.1</v>
      </c>
      <c r="BH1585" t="s">
        <v>56</v>
      </c>
      <c r="BI1585">
        <v>414</v>
      </c>
      <c r="BJ1585">
        <v>0.3</v>
      </c>
      <c r="BK1585" t="s">
        <v>56</v>
      </c>
      <c r="BL1585" t="s">
        <v>234</v>
      </c>
      <c r="BM1585" t="s">
        <v>232</v>
      </c>
      <c r="BN1585" t="s">
        <v>81</v>
      </c>
      <c r="BO1585" t="s">
        <v>865</v>
      </c>
      <c r="BP1585" t="s">
        <v>234</v>
      </c>
      <c r="BQ1585" s="8" t="s">
        <v>194</v>
      </c>
      <c r="BR1585" t="s">
        <v>63</v>
      </c>
      <c r="BT1585">
        <v>1.73</v>
      </c>
      <c r="BU1585">
        <v>1.7291669999999999</v>
      </c>
      <c r="BV1585">
        <v>0.17</v>
      </c>
      <c r="BW1585">
        <f>BV1585*SQRT(AK1585)</f>
        <v>0.53758720222862455</v>
      </c>
      <c r="BX1585">
        <v>1.48</v>
      </c>
      <c r="BY1585">
        <v>1.4791666999999999</v>
      </c>
      <c r="BZ1585">
        <v>0.11</v>
      </c>
      <c r="CA1585">
        <f>BZ1585*SQRT(AL1585)</f>
        <v>0.34785054261852177</v>
      </c>
      <c r="CB1585">
        <v>30</v>
      </c>
      <c r="CC1585">
        <v>2</v>
      </c>
      <c r="CD1585">
        <v>-0.156</v>
      </c>
      <c r="CE1585">
        <v>1.49E-2</v>
      </c>
    </row>
    <row r="1586" spans="1:84" hidden="1" x14ac:dyDescent="0.2">
      <c r="D1586">
        <v>122</v>
      </c>
      <c r="G1586" t="s">
        <v>43</v>
      </c>
      <c r="H1586" t="s">
        <v>863</v>
      </c>
      <c r="J1586">
        <v>2012</v>
      </c>
      <c r="M1586" t="s">
        <v>381</v>
      </c>
      <c r="T1586" t="s">
        <v>103</v>
      </c>
      <c r="U1586" t="s">
        <v>414</v>
      </c>
      <c r="V1586" t="s">
        <v>867</v>
      </c>
      <c r="Z1586" t="s">
        <v>106</v>
      </c>
      <c r="AA1586" t="s">
        <v>107</v>
      </c>
      <c r="AB1586" t="s">
        <v>50</v>
      </c>
      <c r="AC1586" t="s">
        <v>108</v>
      </c>
      <c r="AD1586" t="s">
        <v>52</v>
      </c>
      <c r="AE1586" t="s">
        <v>53</v>
      </c>
      <c r="AF1586" t="s">
        <v>52</v>
      </c>
      <c r="AG1586" t="s">
        <v>54</v>
      </c>
      <c r="AH1586" t="s">
        <v>55</v>
      </c>
      <c r="AK1586">
        <v>10</v>
      </c>
      <c r="AL1586">
        <v>10</v>
      </c>
      <c r="AM1586" t="s">
        <v>866</v>
      </c>
      <c r="AN1586">
        <v>410</v>
      </c>
      <c r="AO1586">
        <v>9</v>
      </c>
      <c r="AP1586" t="s">
        <v>56</v>
      </c>
      <c r="AQ1586" t="s">
        <v>109</v>
      </c>
      <c r="AR1586">
        <v>7.99</v>
      </c>
      <c r="AS1586">
        <v>0.1</v>
      </c>
      <c r="AT1586" t="s">
        <v>56</v>
      </c>
      <c r="AU1586">
        <v>824</v>
      </c>
      <c r="AV1586">
        <v>27</v>
      </c>
      <c r="AW1586" t="s">
        <v>56</v>
      </c>
      <c r="AX1586">
        <v>7.74</v>
      </c>
      <c r="AY1586">
        <v>0.1</v>
      </c>
      <c r="AZ1586" t="s">
        <v>56</v>
      </c>
      <c r="BB1586">
        <f>LOG(AU1586)</f>
        <v>2.9159272116971158</v>
      </c>
      <c r="BC1586">
        <v>25.4</v>
      </c>
      <c r="BD1586">
        <v>0.1</v>
      </c>
      <c r="BE1586" t="s">
        <v>56</v>
      </c>
      <c r="BF1586">
        <v>25.7</v>
      </c>
      <c r="BG1586">
        <v>0.1</v>
      </c>
      <c r="BH1586" t="s">
        <v>56</v>
      </c>
      <c r="BI1586">
        <v>414</v>
      </c>
      <c r="BJ1586">
        <v>0.3</v>
      </c>
      <c r="BK1586" t="s">
        <v>56</v>
      </c>
      <c r="BL1586" t="s">
        <v>234</v>
      </c>
      <c r="BM1586" t="s">
        <v>232</v>
      </c>
      <c r="BN1586" t="s">
        <v>81</v>
      </c>
      <c r="BO1586" t="s">
        <v>865</v>
      </c>
      <c r="BP1586" t="s">
        <v>234</v>
      </c>
      <c r="BQ1586" s="8" t="s">
        <v>194</v>
      </c>
      <c r="BR1586" t="s">
        <v>63</v>
      </c>
      <c r="BT1586">
        <v>0.99</v>
      </c>
      <c r="BU1586">
        <v>0.99305600000000005</v>
      </c>
      <c r="BV1586">
        <v>0.04</v>
      </c>
      <c r="BW1586">
        <f>BV1586*SQRT(AK1586)</f>
        <v>0.12649110640673519</v>
      </c>
      <c r="BX1586">
        <v>0.86</v>
      </c>
      <c r="BY1586">
        <v>0.86111110000000002</v>
      </c>
      <c r="BZ1586">
        <v>0.1</v>
      </c>
      <c r="CA1586">
        <f>BZ1586*SQRT(AL1586)</f>
        <v>0.316227766016838</v>
      </c>
      <c r="CB1586">
        <v>30</v>
      </c>
      <c r="CC1586">
        <v>2</v>
      </c>
      <c r="CD1586">
        <v>-0.14299999999999999</v>
      </c>
      <c r="CE1586">
        <v>1.4500000000000001E-2</v>
      </c>
    </row>
    <row r="1587" spans="1:84" hidden="1" x14ac:dyDescent="0.2">
      <c r="D1587">
        <v>122</v>
      </c>
      <c r="G1587" t="s">
        <v>43</v>
      </c>
      <c r="H1587" t="s">
        <v>863</v>
      </c>
      <c r="J1587">
        <v>2012</v>
      </c>
      <c r="M1587" t="s">
        <v>381</v>
      </c>
      <c r="T1587" t="s">
        <v>103</v>
      </c>
      <c r="U1587" t="s">
        <v>414</v>
      </c>
      <c r="V1587" t="s">
        <v>867</v>
      </c>
      <c r="Z1587" t="s">
        <v>106</v>
      </c>
      <c r="AA1587" t="s">
        <v>107</v>
      </c>
      <c r="AB1587" t="s">
        <v>50</v>
      </c>
      <c r="AC1587" t="s">
        <v>108</v>
      </c>
      <c r="AD1587" t="s">
        <v>52</v>
      </c>
      <c r="AE1587" t="s">
        <v>53</v>
      </c>
      <c r="AF1587" t="s">
        <v>54</v>
      </c>
      <c r="AG1587" t="s">
        <v>52</v>
      </c>
      <c r="AH1587" t="s">
        <v>65</v>
      </c>
      <c r="AK1587">
        <v>10</v>
      </c>
      <c r="AL1587">
        <v>10</v>
      </c>
      <c r="AM1587" t="s">
        <v>866</v>
      </c>
      <c r="AN1587">
        <v>410</v>
      </c>
      <c r="AO1587">
        <v>9</v>
      </c>
      <c r="AP1587" t="s">
        <v>56</v>
      </c>
      <c r="AQ1587" t="s">
        <v>109</v>
      </c>
      <c r="AR1587">
        <v>7.99</v>
      </c>
      <c r="AS1587">
        <v>0.1</v>
      </c>
      <c r="AT1587" t="s">
        <v>56</v>
      </c>
      <c r="AU1587">
        <v>413</v>
      </c>
      <c r="AV1587">
        <v>9</v>
      </c>
      <c r="AW1587" t="s">
        <v>56</v>
      </c>
      <c r="AX1587">
        <v>8.02</v>
      </c>
      <c r="AY1587">
        <v>0.1</v>
      </c>
      <c r="AZ1587" t="s">
        <v>56</v>
      </c>
      <c r="BB1587">
        <f>LOG(AU1587)</f>
        <v>2.6159500516564012</v>
      </c>
      <c r="BC1587">
        <v>25.4</v>
      </c>
      <c r="BD1587">
        <v>0.1</v>
      </c>
      <c r="BE1587" t="s">
        <v>56</v>
      </c>
      <c r="BF1587">
        <v>29.2</v>
      </c>
      <c r="BG1587">
        <v>0.1</v>
      </c>
      <c r="BH1587" t="s">
        <v>56</v>
      </c>
      <c r="BI1587">
        <v>3</v>
      </c>
      <c r="BJ1587">
        <v>3.8</v>
      </c>
      <c r="BK1587" t="s">
        <v>56</v>
      </c>
      <c r="BL1587" t="s">
        <v>234</v>
      </c>
      <c r="BM1587" t="s">
        <v>232</v>
      </c>
      <c r="BN1587" t="s">
        <v>81</v>
      </c>
      <c r="BO1587" t="s">
        <v>865</v>
      </c>
      <c r="BP1587" t="s">
        <v>234</v>
      </c>
      <c r="BQ1587" s="8" t="s">
        <v>92</v>
      </c>
      <c r="BR1587" t="s">
        <v>63</v>
      </c>
      <c r="BT1587">
        <v>0.99</v>
      </c>
      <c r="BU1587">
        <v>0.99305600000000005</v>
      </c>
      <c r="BV1587">
        <v>0.04</v>
      </c>
      <c r="BW1587">
        <f>BV1587*SQRT(AK1587)</f>
        <v>0.12649110640673519</v>
      </c>
      <c r="BX1587">
        <v>0.97</v>
      </c>
      <c r="BY1587">
        <v>0.97222220000000004</v>
      </c>
      <c r="BZ1587">
        <v>0.11</v>
      </c>
      <c r="CA1587">
        <f>BZ1587*SQRT(AL1587)</f>
        <v>0.34785054261852177</v>
      </c>
      <c r="CB1587">
        <v>30</v>
      </c>
      <c r="CC1587">
        <v>2</v>
      </c>
      <c r="CD1587">
        <v>-2.1000000000000001E-2</v>
      </c>
      <c r="CE1587">
        <v>1.4800000000000001E-2</v>
      </c>
    </row>
    <row r="1588" spans="1:84" hidden="1" x14ac:dyDescent="0.2">
      <c r="D1588">
        <v>122</v>
      </c>
      <c r="G1588" t="s">
        <v>43</v>
      </c>
      <c r="H1588" t="s">
        <v>863</v>
      </c>
      <c r="J1588">
        <v>2012</v>
      </c>
      <c r="M1588" t="s">
        <v>381</v>
      </c>
      <c r="T1588" t="s">
        <v>103</v>
      </c>
      <c r="U1588" t="s">
        <v>414</v>
      </c>
      <c r="V1588" t="s">
        <v>867</v>
      </c>
      <c r="Z1588" t="s">
        <v>106</v>
      </c>
      <c r="AA1588" t="s">
        <v>107</v>
      </c>
      <c r="AB1588" t="s">
        <v>50</v>
      </c>
      <c r="AC1588" t="s">
        <v>108</v>
      </c>
      <c r="AD1588" t="s">
        <v>52</v>
      </c>
      <c r="AE1588" t="s">
        <v>53</v>
      </c>
      <c r="AF1588" t="s">
        <v>52</v>
      </c>
      <c r="AG1588" t="s">
        <v>52</v>
      </c>
      <c r="AH1588" t="s">
        <v>64</v>
      </c>
      <c r="AK1588">
        <v>10</v>
      </c>
      <c r="AL1588">
        <v>10</v>
      </c>
      <c r="AM1588" t="s">
        <v>866</v>
      </c>
      <c r="AN1588">
        <v>410</v>
      </c>
      <c r="AO1588">
        <v>9</v>
      </c>
      <c r="AP1588" t="s">
        <v>56</v>
      </c>
      <c r="AQ1588" t="s">
        <v>109</v>
      </c>
      <c r="AR1588">
        <v>7.99</v>
      </c>
      <c r="AS1588">
        <v>0.1</v>
      </c>
      <c r="AT1588" t="s">
        <v>56</v>
      </c>
      <c r="AU1588">
        <v>780</v>
      </c>
      <c r="AV1588">
        <v>36</v>
      </c>
      <c r="AW1588" t="s">
        <v>56</v>
      </c>
      <c r="AX1588">
        <v>7.8</v>
      </c>
      <c r="AY1588">
        <v>0.1</v>
      </c>
      <c r="AZ1588" t="s">
        <v>56</v>
      </c>
      <c r="BB1588">
        <f>LOG(AU1588)</f>
        <v>2.8920946026904804</v>
      </c>
      <c r="BC1588">
        <v>25.4</v>
      </c>
      <c r="BD1588">
        <v>0.1</v>
      </c>
      <c r="BE1588" t="s">
        <v>56</v>
      </c>
      <c r="BF1588">
        <v>29.3</v>
      </c>
      <c r="BG1588">
        <v>0.1</v>
      </c>
      <c r="BH1588" t="s">
        <v>56</v>
      </c>
      <c r="BI1588">
        <v>370</v>
      </c>
      <c r="BJ1588">
        <v>3.9</v>
      </c>
      <c r="BK1588" t="s">
        <v>56</v>
      </c>
      <c r="BL1588" t="s">
        <v>234</v>
      </c>
      <c r="BM1588" t="s">
        <v>232</v>
      </c>
      <c r="BN1588" t="s">
        <v>81</v>
      </c>
      <c r="BO1588" t="s">
        <v>865</v>
      </c>
      <c r="BP1588" t="s">
        <v>234</v>
      </c>
      <c r="BQ1588" s="8" t="s">
        <v>9</v>
      </c>
      <c r="BR1588" t="s">
        <v>63</v>
      </c>
      <c r="BT1588">
        <v>0.99</v>
      </c>
      <c r="BU1588">
        <v>0.99305600000000005</v>
      </c>
      <c r="BV1588">
        <v>0.04</v>
      </c>
      <c r="BW1588">
        <f>BV1588*SQRT(AK1588)</f>
        <v>0.12649110640673519</v>
      </c>
      <c r="BX1588">
        <v>1.08</v>
      </c>
      <c r="BY1588">
        <v>1.0763889</v>
      </c>
      <c r="BZ1588">
        <v>0.1</v>
      </c>
      <c r="CA1588">
        <f>BZ1588*SQRT(AL1588)</f>
        <v>0.316227766016838</v>
      </c>
      <c r="CB1588">
        <v>30</v>
      </c>
      <c r="CC1588">
        <v>2</v>
      </c>
      <c r="CD1588">
        <v>8.1000000000000003E-2</v>
      </c>
      <c r="CE1588">
        <v>9.9000000000000008E-3</v>
      </c>
    </row>
    <row r="1589" spans="1:84" hidden="1" x14ac:dyDescent="0.2">
      <c r="D1589">
        <v>122</v>
      </c>
      <c r="G1589" t="s">
        <v>43</v>
      </c>
      <c r="H1589" t="s">
        <v>863</v>
      </c>
      <c r="J1589">
        <v>2012</v>
      </c>
      <c r="M1589" t="s">
        <v>381</v>
      </c>
      <c r="T1589" t="s">
        <v>103</v>
      </c>
      <c r="U1589" t="s">
        <v>414</v>
      </c>
      <c r="V1589" t="s">
        <v>864</v>
      </c>
      <c r="Z1589" t="s">
        <v>106</v>
      </c>
      <c r="AA1589" t="s">
        <v>107</v>
      </c>
      <c r="AB1589" t="s">
        <v>50</v>
      </c>
      <c r="AC1589" t="s">
        <v>108</v>
      </c>
      <c r="AD1589" t="s">
        <v>52</v>
      </c>
      <c r="AE1589" t="s">
        <v>53</v>
      </c>
      <c r="AF1589" t="s">
        <v>52</v>
      </c>
      <c r="AG1589" t="s">
        <v>52</v>
      </c>
      <c r="AH1589" t="s">
        <v>64</v>
      </c>
      <c r="AK1589">
        <v>10</v>
      </c>
      <c r="AL1589">
        <v>10</v>
      </c>
      <c r="AM1589" t="s">
        <v>866</v>
      </c>
      <c r="AN1589">
        <v>410</v>
      </c>
      <c r="AO1589">
        <v>9</v>
      </c>
      <c r="AP1589" t="s">
        <v>56</v>
      </c>
      <c r="AQ1589" t="s">
        <v>109</v>
      </c>
      <c r="AR1589">
        <v>7.99</v>
      </c>
      <c r="AS1589">
        <v>0.1</v>
      </c>
      <c r="AT1589" t="s">
        <v>56</v>
      </c>
      <c r="AU1589">
        <v>780</v>
      </c>
      <c r="AV1589">
        <v>36</v>
      </c>
      <c r="AW1589" t="s">
        <v>56</v>
      </c>
      <c r="AX1589">
        <v>7.8</v>
      </c>
      <c r="AY1589">
        <v>0.1</v>
      </c>
      <c r="AZ1589" t="s">
        <v>56</v>
      </c>
      <c r="BB1589">
        <f>LOG(AU1589)</f>
        <v>2.8920946026904804</v>
      </c>
      <c r="BC1589">
        <v>25.4</v>
      </c>
      <c r="BD1589">
        <v>0.1</v>
      </c>
      <c r="BE1589" t="s">
        <v>56</v>
      </c>
      <c r="BF1589">
        <v>29.3</v>
      </c>
      <c r="BG1589">
        <v>0.1</v>
      </c>
      <c r="BH1589" t="s">
        <v>56</v>
      </c>
      <c r="BI1589">
        <v>370</v>
      </c>
      <c r="BJ1589">
        <v>3.9</v>
      </c>
      <c r="BK1589" t="s">
        <v>56</v>
      </c>
      <c r="BL1589" t="s">
        <v>234</v>
      </c>
      <c r="BM1589" t="s">
        <v>232</v>
      </c>
      <c r="BN1589" t="s">
        <v>81</v>
      </c>
      <c r="BO1589" t="s">
        <v>865</v>
      </c>
      <c r="BP1589" t="s">
        <v>234</v>
      </c>
      <c r="BQ1589" s="8" t="s">
        <v>194</v>
      </c>
      <c r="BR1589" t="s">
        <v>63</v>
      </c>
      <c r="BT1589">
        <v>1.73</v>
      </c>
      <c r="BU1589">
        <v>1.7291669999999999</v>
      </c>
      <c r="BV1589">
        <v>0.17</v>
      </c>
      <c r="BW1589">
        <f>BV1589*SQRT(AK1589)</f>
        <v>0.53758720222862455</v>
      </c>
      <c r="BX1589">
        <v>1.88</v>
      </c>
      <c r="BY1589">
        <v>1.8819444000000001</v>
      </c>
      <c r="BZ1589">
        <v>0.18</v>
      </c>
      <c r="CA1589">
        <f>BZ1589*SQRT(AL1589)</f>
        <v>0.56920997883030833</v>
      </c>
      <c r="CB1589">
        <v>30</v>
      </c>
      <c r="CC1589">
        <v>2</v>
      </c>
      <c r="CD1589">
        <v>8.5000000000000006E-2</v>
      </c>
      <c r="CE1589">
        <v>1.8499999999999999E-2</v>
      </c>
    </row>
    <row r="1590" spans="1:84" hidden="1" x14ac:dyDescent="0.2">
      <c r="D1590">
        <v>122</v>
      </c>
      <c r="G1590" t="s">
        <v>43</v>
      </c>
      <c r="H1590" t="s">
        <v>863</v>
      </c>
      <c r="J1590">
        <v>2012</v>
      </c>
      <c r="M1590" t="s">
        <v>381</v>
      </c>
      <c r="T1590" t="s">
        <v>103</v>
      </c>
      <c r="U1590" t="s">
        <v>414</v>
      </c>
      <c r="V1590" t="s">
        <v>864</v>
      </c>
      <c r="Z1590" t="s">
        <v>106</v>
      </c>
      <c r="AA1590" t="s">
        <v>107</v>
      </c>
      <c r="AB1590" t="s">
        <v>50</v>
      </c>
      <c r="AC1590" t="s">
        <v>108</v>
      </c>
      <c r="AD1590" t="s">
        <v>52</v>
      </c>
      <c r="AE1590" t="s">
        <v>53</v>
      </c>
      <c r="AF1590" t="s">
        <v>54</v>
      </c>
      <c r="AG1590" t="s">
        <v>52</v>
      </c>
      <c r="AH1590" t="s">
        <v>65</v>
      </c>
      <c r="AK1590">
        <v>10</v>
      </c>
      <c r="AL1590">
        <v>10</v>
      </c>
      <c r="AM1590" t="s">
        <v>866</v>
      </c>
      <c r="AN1590">
        <v>410</v>
      </c>
      <c r="AO1590">
        <v>9</v>
      </c>
      <c r="AP1590" t="s">
        <v>56</v>
      </c>
      <c r="AQ1590" t="s">
        <v>109</v>
      </c>
      <c r="AR1590">
        <v>7.99</v>
      </c>
      <c r="AS1590">
        <v>0.1</v>
      </c>
      <c r="AT1590" t="s">
        <v>56</v>
      </c>
      <c r="AU1590">
        <v>413</v>
      </c>
      <c r="AV1590">
        <v>9</v>
      </c>
      <c r="AW1590" t="s">
        <v>56</v>
      </c>
      <c r="AX1590">
        <v>8.02</v>
      </c>
      <c r="AY1590">
        <v>0.1</v>
      </c>
      <c r="AZ1590" t="s">
        <v>56</v>
      </c>
      <c r="BB1590">
        <f>LOG(AU1590)</f>
        <v>2.6159500516564012</v>
      </c>
      <c r="BC1590">
        <v>25.4</v>
      </c>
      <c r="BD1590">
        <v>0.1</v>
      </c>
      <c r="BE1590" t="s">
        <v>56</v>
      </c>
      <c r="BF1590">
        <v>29.2</v>
      </c>
      <c r="BG1590">
        <v>0.1</v>
      </c>
      <c r="BH1590" t="s">
        <v>56</v>
      </c>
      <c r="BI1590">
        <v>3</v>
      </c>
      <c r="BJ1590">
        <v>3.8</v>
      </c>
      <c r="BK1590" t="s">
        <v>56</v>
      </c>
      <c r="BL1590" t="s">
        <v>234</v>
      </c>
      <c r="BM1590" t="s">
        <v>232</v>
      </c>
      <c r="BN1590" t="s">
        <v>81</v>
      </c>
      <c r="BO1590" t="s">
        <v>865</v>
      </c>
      <c r="BP1590" t="s">
        <v>234</v>
      </c>
      <c r="BQ1590" s="8" t="s">
        <v>9</v>
      </c>
      <c r="BR1590" t="s">
        <v>63</v>
      </c>
      <c r="BT1590">
        <v>1.73</v>
      </c>
      <c r="BU1590">
        <v>1.7291669999999999</v>
      </c>
      <c r="BV1590">
        <v>0.17</v>
      </c>
      <c r="BW1590">
        <f>BV1590*SQRT(AK1590)</f>
        <v>0.53758720222862455</v>
      </c>
      <c r="BX1590">
        <v>2.95</v>
      </c>
      <c r="BY1590">
        <v>2.9513889</v>
      </c>
      <c r="BZ1590">
        <v>0.5</v>
      </c>
      <c r="CA1590">
        <f>BZ1590*SQRT(AL1590)</f>
        <v>1.5811388300841898</v>
      </c>
      <c r="CB1590">
        <v>30</v>
      </c>
      <c r="CC1590">
        <v>2</v>
      </c>
      <c r="CD1590">
        <v>0.53500000000000003</v>
      </c>
      <c r="CE1590">
        <v>3.7999999999999999E-2</v>
      </c>
    </row>
    <row r="1591" spans="1:84" s="8" customFormat="1" hidden="1" x14ac:dyDescent="0.2">
      <c r="B1591" t="str">
        <f>ROW()-1&amp;"_AltersInvert"</f>
        <v>1590_AltersInvert</v>
      </c>
      <c r="C1591" t="str">
        <f>D1591&amp;"_"&amp;
SUBSTITUTE(TRIM(V1591)," ","_")&amp;"_"&amp;
TRIM(AC1591)&amp;"_"&amp;
"CO2"&amp;TEXT(AN1591,"0.00")&amp;"_"&amp;
"pH"&amp;TEXT(AR1591,"0.00")&amp;"_"&amp;
"T"&amp;TEXT(BC1591,"0.##")</f>
        <v>240_Leptuca_thayeri_EMBRYO_CO28271.00_pH0.00_T26.1</v>
      </c>
      <c r="D1591" s="8">
        <v>240</v>
      </c>
      <c r="G1591" s="8" t="s">
        <v>43</v>
      </c>
      <c r="H1591" s="8" t="s">
        <v>991</v>
      </c>
      <c r="J1591" s="8">
        <v>2021</v>
      </c>
      <c r="M1591" s="8" t="s">
        <v>750</v>
      </c>
      <c r="P1591" t="s">
        <v>1135</v>
      </c>
      <c r="R1591" s="8" t="s">
        <v>1127</v>
      </c>
      <c r="S1591" t="s">
        <v>1128</v>
      </c>
      <c r="T1591" s="8" t="s">
        <v>131</v>
      </c>
      <c r="U1591" s="8" t="s">
        <v>992</v>
      </c>
      <c r="V1591" s="8" t="s">
        <v>993</v>
      </c>
      <c r="W1591" s="8" t="str">
        <f>IF(ISNUMBER(MATCH(V985,{"Doryteuthis pealeii","Loligo vulgaris","Leptuca thayeri","Stylocheilus striatus","Ophryotrocha labronica"},0)),"N","Y")</f>
        <v>Y</v>
      </c>
      <c r="AC1591" s="8" t="s">
        <v>195</v>
      </c>
      <c r="AF1591" s="8" t="s">
        <v>52</v>
      </c>
      <c r="AG1591" s="8" t="s">
        <v>54</v>
      </c>
      <c r="AH1591" s="8" t="s">
        <v>55</v>
      </c>
      <c r="AK1591" s="8">
        <v>3</v>
      </c>
      <c r="AL1591" s="8">
        <v>3</v>
      </c>
      <c r="AM1591" s="8" t="s">
        <v>995</v>
      </c>
      <c r="AN1591" s="8">
        <v>8271</v>
      </c>
      <c r="AU1591" s="8">
        <v>41067</v>
      </c>
      <c r="AV1591"/>
      <c r="AW1591"/>
      <c r="AX1591"/>
      <c r="AY1591"/>
      <c r="AZ1591"/>
      <c r="BB1591" s="8">
        <f>LOG(AU1591)</f>
        <v>4.613492978211986</v>
      </c>
      <c r="BC1591" s="8">
        <v>26.1</v>
      </c>
      <c r="BF1591" s="8">
        <v>26.4</v>
      </c>
      <c r="BI1591" s="8">
        <v>32796</v>
      </c>
      <c r="BJ1591" s="8">
        <v>0.3</v>
      </c>
      <c r="BL1591" s="8" t="s">
        <v>83</v>
      </c>
      <c r="BM1591" s="8" t="s">
        <v>83</v>
      </c>
      <c r="BN1591" s="8" t="s">
        <v>81</v>
      </c>
      <c r="BO1591" s="8" t="s">
        <v>82</v>
      </c>
      <c r="BP1591" s="8" t="s">
        <v>83</v>
      </c>
      <c r="BQ1591" s="8" t="s">
        <v>83</v>
      </c>
      <c r="BR1591" s="8" t="s">
        <v>84</v>
      </c>
      <c r="BT1591" s="8">
        <v>93.84</v>
      </c>
      <c r="BU1591" s="8">
        <v>93.838863000000003</v>
      </c>
      <c r="BV1591" s="8">
        <v>4.2699999999999996</v>
      </c>
      <c r="BW1591" s="8">
        <f>BV1591*SQRT(AK1591)</f>
        <v>7.3958569483191052</v>
      </c>
      <c r="BX1591" s="8">
        <v>80.213270140000006</v>
      </c>
      <c r="BY1591" s="8">
        <v>80.213270100000003</v>
      </c>
      <c r="BZ1591" s="8">
        <v>7.23</v>
      </c>
      <c r="CA1591" s="8">
        <f>BZ1591*SQRT(AL1591)</f>
        <v>12.522727338722984</v>
      </c>
      <c r="CB1591" s="8">
        <v>10</v>
      </c>
      <c r="CD1591" s="8">
        <v>-0.157</v>
      </c>
      <c r="CE1591" s="8">
        <v>1.0200000000000001E-2</v>
      </c>
      <c r="CF1591" s="8" t="s">
        <v>1134</v>
      </c>
    </row>
    <row r="1592" spans="1:84" s="8" customFormat="1" hidden="1" x14ac:dyDescent="0.2">
      <c r="B1592" t="str">
        <f>ROW()-1&amp;"_AltersInvert"</f>
        <v>1591_AltersInvert</v>
      </c>
      <c r="C1592" t="str">
        <f>D1592&amp;"_"&amp;
SUBSTITUTE(TRIM(V1592)," ","_")&amp;"_"&amp;
TRIM(AC1592)&amp;"_"&amp;
"CO2"&amp;TEXT(AN1592,"0.00")&amp;"_"&amp;
"pH"&amp;TEXT(AR1592,"0.00")&amp;"_"&amp;
"T"&amp;TEXT(BC1592,"0.##")</f>
        <v>240_Leptuca_thayeri_EMBRYO_CO28271.00_pH0.00_T26.1</v>
      </c>
      <c r="D1592" s="8">
        <v>240</v>
      </c>
      <c r="G1592" s="8" t="s">
        <v>43</v>
      </c>
      <c r="H1592" s="8" t="s">
        <v>991</v>
      </c>
      <c r="J1592" s="8">
        <v>2021</v>
      </c>
      <c r="M1592" s="8" t="s">
        <v>750</v>
      </c>
      <c r="P1592" t="s">
        <v>1135</v>
      </c>
      <c r="R1592" s="8" t="s">
        <v>1127</v>
      </c>
      <c r="S1592" t="s">
        <v>1128</v>
      </c>
      <c r="T1592" s="8" t="s">
        <v>131</v>
      </c>
      <c r="U1592" s="8" t="s">
        <v>992</v>
      </c>
      <c r="V1592" s="8" t="s">
        <v>993</v>
      </c>
      <c r="W1592" s="8" t="str">
        <f>IF(ISNUMBER(MATCH(V986,{"Doryteuthis pealeii","Loligo vulgaris","Leptuca thayeri","Stylocheilus striatus","Ophryotrocha labronica"},0)),"N","Y")</f>
        <v>Y</v>
      </c>
      <c r="AC1592" s="8" t="s">
        <v>195</v>
      </c>
      <c r="AF1592" s="8" t="s">
        <v>54</v>
      </c>
      <c r="AG1592" s="8" t="s">
        <v>52</v>
      </c>
      <c r="AH1592" s="8" t="s">
        <v>65</v>
      </c>
      <c r="AK1592" s="8">
        <v>3</v>
      </c>
      <c r="AL1592" s="8">
        <v>3</v>
      </c>
      <c r="AM1592" s="8" t="s">
        <v>995</v>
      </c>
      <c r="AN1592" s="8">
        <v>8271</v>
      </c>
      <c r="AU1592" s="8">
        <v>10190</v>
      </c>
      <c r="AV1592"/>
      <c r="AW1592"/>
      <c r="AX1592"/>
      <c r="AY1592"/>
      <c r="AZ1592"/>
      <c r="BB1592" s="8">
        <f>LOG(AU1592)</f>
        <v>4.0081741840064264</v>
      </c>
      <c r="BC1592" s="8">
        <v>26.1</v>
      </c>
      <c r="BF1592" s="8">
        <v>29.9</v>
      </c>
      <c r="BI1592" s="8">
        <v>1919</v>
      </c>
      <c r="BJ1592" s="8">
        <v>3.8</v>
      </c>
      <c r="BL1592" s="8" t="s">
        <v>83</v>
      </c>
      <c r="BM1592" s="8" t="s">
        <v>83</v>
      </c>
      <c r="BN1592" s="8" t="s">
        <v>81</v>
      </c>
      <c r="BO1592" s="8" t="s">
        <v>82</v>
      </c>
      <c r="BP1592" s="8" t="s">
        <v>83</v>
      </c>
      <c r="BQ1592" s="8" t="s">
        <v>83</v>
      </c>
      <c r="BR1592" s="8" t="s">
        <v>84</v>
      </c>
      <c r="BT1592" s="8">
        <v>93.84</v>
      </c>
      <c r="BU1592" s="8">
        <v>93.838863000000003</v>
      </c>
      <c r="BV1592" s="8">
        <v>4.2699999999999996</v>
      </c>
      <c r="BW1592" s="8">
        <f>BV1592*SQRT(AK1592)</f>
        <v>7.3958569483191052</v>
      </c>
      <c r="BX1592" s="8">
        <v>75.118483409999996</v>
      </c>
      <c r="BY1592" s="8">
        <v>75.118483400000002</v>
      </c>
      <c r="BZ1592" s="8">
        <v>14.93</v>
      </c>
      <c r="CA1592" s="8">
        <f>BZ1592*SQRT(AL1592)</f>
        <v>25.859518557003337</v>
      </c>
      <c r="CB1592" s="8">
        <v>10</v>
      </c>
      <c r="CD1592" s="8">
        <v>-0.223</v>
      </c>
      <c r="CE1592" s="8">
        <v>4.1599999999999998E-2</v>
      </c>
      <c r="CF1592" s="8" t="s">
        <v>1134</v>
      </c>
    </row>
    <row r="1593" spans="1:84" s="8" customFormat="1" hidden="1" x14ac:dyDescent="0.2">
      <c r="B1593" t="str">
        <f>ROW()-1&amp;"_AltersInvert"</f>
        <v>1592_AltersInvert</v>
      </c>
      <c r="C1593" t="str">
        <f>D1593&amp;"_"&amp;
SUBSTITUTE(TRIM(V1593)," ","_")&amp;"_"&amp;
TRIM(AC1593)&amp;"_"&amp;
"CO2"&amp;TEXT(AN1593,"0.00")&amp;"_"&amp;
"pH"&amp;TEXT(AR1593,"0.00")&amp;"_"&amp;
"T"&amp;TEXT(BC1593,"0.##")</f>
        <v>240_Leptuca_thayeri_EMBRYO_CO28271.00_pH0.00_T26.1</v>
      </c>
      <c r="D1593" s="8">
        <v>240</v>
      </c>
      <c r="G1593" s="8" t="s">
        <v>43</v>
      </c>
      <c r="H1593" s="8" t="s">
        <v>991</v>
      </c>
      <c r="J1593" s="8">
        <v>2021</v>
      </c>
      <c r="M1593" s="8" t="s">
        <v>750</v>
      </c>
      <c r="P1593" t="s">
        <v>1135</v>
      </c>
      <c r="R1593" s="8" t="s">
        <v>1127</v>
      </c>
      <c r="S1593" t="s">
        <v>1128</v>
      </c>
      <c r="T1593" s="8" t="s">
        <v>131</v>
      </c>
      <c r="U1593" s="8" t="s">
        <v>992</v>
      </c>
      <c r="V1593" s="8" t="s">
        <v>993</v>
      </c>
      <c r="W1593" s="8" t="str">
        <f>IF(ISNUMBER(MATCH(V987,{"Doryteuthis pealeii","Loligo vulgaris","Leptuca thayeri","Stylocheilus striatus","Ophryotrocha labronica"},0)),"N","Y")</f>
        <v>Y</v>
      </c>
      <c r="AC1593" s="8" t="s">
        <v>195</v>
      </c>
      <c r="AF1593" s="8" t="s">
        <v>52</v>
      </c>
      <c r="AG1593" s="8" t="s">
        <v>52</v>
      </c>
      <c r="AH1593" s="8" t="s">
        <v>64</v>
      </c>
      <c r="AK1593" s="8">
        <v>3</v>
      </c>
      <c r="AL1593" s="8">
        <v>3</v>
      </c>
      <c r="AM1593" s="8" t="s">
        <v>995</v>
      </c>
      <c r="AN1593" s="8">
        <v>8271</v>
      </c>
      <c r="AU1593" s="8">
        <v>48031</v>
      </c>
      <c r="AV1593"/>
      <c r="AW1593"/>
      <c r="AX1593"/>
      <c r="AY1593"/>
      <c r="AZ1593"/>
      <c r="BB1593" s="8">
        <f>LOG(AU1593)</f>
        <v>4.6815216286951955</v>
      </c>
      <c r="BC1593" s="8">
        <v>26.1</v>
      </c>
      <c r="BF1593" s="8">
        <v>30</v>
      </c>
      <c r="BI1593" s="8">
        <v>39760</v>
      </c>
      <c r="BJ1593" s="8">
        <v>3.9</v>
      </c>
      <c r="BL1593" s="8" t="s">
        <v>83</v>
      </c>
      <c r="BM1593" s="8" t="s">
        <v>83</v>
      </c>
      <c r="BN1593" s="8" t="s">
        <v>81</v>
      </c>
      <c r="BO1593" s="8" t="s">
        <v>82</v>
      </c>
      <c r="BP1593" s="8" t="s">
        <v>83</v>
      </c>
      <c r="BQ1593" s="8" t="s">
        <v>83</v>
      </c>
      <c r="BR1593" s="8" t="s">
        <v>84</v>
      </c>
      <c r="BT1593" s="8">
        <v>93.84</v>
      </c>
      <c r="BU1593" s="8">
        <v>93.838863000000003</v>
      </c>
      <c r="BV1593" s="8">
        <v>4.2699999999999996</v>
      </c>
      <c r="BW1593" s="8">
        <f>BV1593*SQRT(AK1593)</f>
        <v>7.3958569483191052</v>
      </c>
      <c r="BX1593" s="8">
        <v>89.573459720000002</v>
      </c>
      <c r="BY1593" s="8">
        <v>89.573459700000001</v>
      </c>
      <c r="BZ1593" s="8">
        <v>2.0099999999999998</v>
      </c>
      <c r="CA1593" s="8">
        <f>BZ1593*SQRT(AL1593)</f>
        <v>3.4814221232134428</v>
      </c>
      <c r="CB1593" s="8">
        <v>10</v>
      </c>
      <c r="CD1593" s="8">
        <v>-4.7E-2</v>
      </c>
      <c r="CE1593" s="8">
        <v>2.5999999999999999E-3</v>
      </c>
      <c r="CF1593" s="8" t="s">
        <v>1134</v>
      </c>
    </row>
    <row r="1594" spans="1:84" s="8" customFormat="1" hidden="1" x14ac:dyDescent="0.2">
      <c r="A1594"/>
      <c r="B1594" t="str">
        <f>ROW()-1&amp;"_AltersInvert"</f>
        <v>1593_AltersInvert</v>
      </c>
      <c r="C1594" t="str">
        <f>D1594&amp;"_"&amp;
SUBSTITUTE(TRIM(V1594)," ","_")&amp;"_"&amp;
TRIM(AC1594)&amp;"_"&amp;
"CO2"&amp;TEXT(AN1594,"0.00")&amp;"_"&amp;
"pH"&amp;TEXT(AR1594,"0.00")&amp;"_"&amp;
"T"&amp;TEXT(BC1594,"0.##")</f>
        <v>200_Laternula_elliptica_LARVA_CO2350.00_pH7.99_T-1.6</v>
      </c>
      <c r="D1594">
        <v>200</v>
      </c>
      <c r="E1594"/>
      <c r="F1594"/>
      <c r="G1594" t="s">
        <v>43</v>
      </c>
      <c r="H1594" t="s">
        <v>662</v>
      </c>
      <c r="I1594"/>
      <c r="J1594">
        <v>2015</v>
      </c>
      <c r="K1594"/>
      <c r="L1594"/>
      <c r="M1594" t="s">
        <v>257</v>
      </c>
      <c r="N1594"/>
      <c r="O1594"/>
      <c r="P1594" t="s">
        <v>1135</v>
      </c>
      <c r="Q1594"/>
      <c r="R1594" t="s">
        <v>1127</v>
      </c>
      <c r="S1594" t="s">
        <v>1128</v>
      </c>
      <c r="T1594" t="s">
        <v>68</v>
      </c>
      <c r="U1594" t="s">
        <v>663</v>
      </c>
      <c r="V1594" t="s">
        <v>664</v>
      </c>
      <c r="W1594"/>
      <c r="X1594"/>
      <c r="Y1594"/>
      <c r="Z1594" t="s">
        <v>475</v>
      </c>
      <c r="AA1594" t="s">
        <v>475</v>
      </c>
      <c r="AB1594" t="s">
        <v>71</v>
      </c>
      <c r="AC1594" t="s">
        <v>72</v>
      </c>
      <c r="AD1594" t="s">
        <v>52</v>
      </c>
      <c r="AE1594" t="s">
        <v>53</v>
      </c>
      <c r="AF1594" t="s">
        <v>52</v>
      </c>
      <c r="AG1594" t="s">
        <v>54</v>
      </c>
      <c r="AH1594" t="s">
        <v>55</v>
      </c>
      <c r="AI1594"/>
      <c r="AJ1594"/>
      <c r="AK1594">
        <v>6</v>
      </c>
      <c r="AL1594">
        <v>6</v>
      </c>
      <c r="AM1594"/>
      <c r="AN1594">
        <v>350</v>
      </c>
      <c r="AO1594">
        <v>1</v>
      </c>
      <c r="AP1594" t="s">
        <v>56</v>
      </c>
      <c r="AQ1594" t="s">
        <v>109</v>
      </c>
      <c r="AR1594">
        <v>7.99</v>
      </c>
      <c r="AS1594" t="s">
        <v>56</v>
      </c>
      <c r="AT1594" t="s">
        <v>56</v>
      </c>
      <c r="AU1594">
        <v>554</v>
      </c>
      <c r="AV1594">
        <v>2</v>
      </c>
      <c r="AW1594" t="s">
        <v>56</v>
      </c>
      <c r="AX1594">
        <v>7.88</v>
      </c>
      <c r="AY1594" t="s">
        <v>56</v>
      </c>
      <c r="AZ1594" t="s">
        <v>56</v>
      </c>
      <c r="BA1594"/>
      <c r="BB1594">
        <f>LOG(AU1594)</f>
        <v>2.7435097647284299</v>
      </c>
      <c r="BC1594">
        <v>-1.6</v>
      </c>
      <c r="BD1594">
        <v>0</v>
      </c>
      <c r="BE1594" t="s">
        <v>56</v>
      </c>
      <c r="BF1594">
        <v>-1.6</v>
      </c>
      <c r="BG1594">
        <v>0</v>
      </c>
      <c r="BH1594" t="s">
        <v>56</v>
      </c>
      <c r="BI1594">
        <v>204</v>
      </c>
      <c r="BJ1594">
        <v>0</v>
      </c>
      <c r="BK1594" t="s">
        <v>56</v>
      </c>
      <c r="BL1594" t="s">
        <v>949</v>
      </c>
      <c r="BM1594" t="s">
        <v>226</v>
      </c>
      <c r="BN1594" t="s">
        <v>60</v>
      </c>
      <c r="BO1594" t="s">
        <v>82</v>
      </c>
      <c r="BP1594" t="s">
        <v>9</v>
      </c>
      <c r="BQ1594" t="s">
        <v>9</v>
      </c>
      <c r="BR1594" t="s">
        <v>84</v>
      </c>
      <c r="BS1594"/>
      <c r="BT1594">
        <v>13.25</v>
      </c>
      <c r="BU1594">
        <v>13.25</v>
      </c>
      <c r="BV1594">
        <v>3.03</v>
      </c>
      <c r="BW1594">
        <f>BV1594*SQRT(AK1594)</f>
        <v>7.4219539206330287</v>
      </c>
      <c r="BX1594">
        <v>19.309999999999999</v>
      </c>
      <c r="BY1594">
        <v>19.309999999999999</v>
      </c>
      <c r="BZ1594">
        <v>4.55</v>
      </c>
      <c r="CA1594">
        <f>BZ1594*SQRT(AL1594)</f>
        <v>11.145178329663459</v>
      </c>
      <c r="CB1594">
        <v>20</v>
      </c>
      <c r="CC1594">
        <v>6</v>
      </c>
      <c r="CD1594">
        <v>0.377</v>
      </c>
      <c r="CE1594">
        <v>0.10780000000000001</v>
      </c>
      <c r="CF1594"/>
    </row>
    <row r="1595" spans="1:84" s="8" customFormat="1" hidden="1" x14ac:dyDescent="0.2">
      <c r="A1595"/>
      <c r="B1595" t="str">
        <f>ROW()-1&amp;"_AltersInvert"</f>
        <v>1594_AltersInvert</v>
      </c>
      <c r="C1595" t="str">
        <f>D1595&amp;"_"&amp;
SUBSTITUTE(TRIM(V1595)," ","_")&amp;"_"&amp;
TRIM(AC1595)&amp;"_"&amp;
"CO2"&amp;TEXT(AN1595,"0.00")&amp;"_"&amp;
"pH"&amp;TEXT(AR1595,"0.00")&amp;"_"&amp;
"T"&amp;TEXT(BC1595,"0.##")</f>
        <v>200_Laternula_elliptica_LARVA_CO2350.00_pH7.99_T-1.6</v>
      </c>
      <c r="D1595">
        <v>200</v>
      </c>
      <c r="E1595"/>
      <c r="F1595"/>
      <c r="G1595" t="s">
        <v>43</v>
      </c>
      <c r="H1595" t="s">
        <v>662</v>
      </c>
      <c r="I1595"/>
      <c r="J1595">
        <v>2015</v>
      </c>
      <c r="K1595"/>
      <c r="L1595"/>
      <c r="M1595" t="s">
        <v>257</v>
      </c>
      <c r="N1595"/>
      <c r="O1595"/>
      <c r="P1595" t="s">
        <v>1135</v>
      </c>
      <c r="Q1595"/>
      <c r="R1595" t="s">
        <v>1127</v>
      </c>
      <c r="S1595" t="s">
        <v>1128</v>
      </c>
      <c r="T1595" t="s">
        <v>68</v>
      </c>
      <c r="U1595" t="s">
        <v>663</v>
      </c>
      <c r="V1595" t="s">
        <v>664</v>
      </c>
      <c r="W1595"/>
      <c r="X1595"/>
      <c r="Y1595"/>
      <c r="Z1595" t="s">
        <v>475</v>
      </c>
      <c r="AA1595" t="s">
        <v>475</v>
      </c>
      <c r="AB1595" t="s">
        <v>71</v>
      </c>
      <c r="AC1595" t="s">
        <v>72</v>
      </c>
      <c r="AD1595" t="s">
        <v>52</v>
      </c>
      <c r="AE1595" t="s">
        <v>53</v>
      </c>
      <c r="AF1595" t="s">
        <v>52</v>
      </c>
      <c r="AG1595" t="s">
        <v>54</v>
      </c>
      <c r="AH1595" t="s">
        <v>55</v>
      </c>
      <c r="AI1595"/>
      <c r="AJ1595"/>
      <c r="AK1595">
        <v>6</v>
      </c>
      <c r="AL1595">
        <v>6</v>
      </c>
      <c r="AM1595"/>
      <c r="AN1595">
        <v>350</v>
      </c>
      <c r="AO1595">
        <v>1</v>
      </c>
      <c r="AP1595" t="s">
        <v>56</v>
      </c>
      <c r="AQ1595" t="s">
        <v>109</v>
      </c>
      <c r="AR1595">
        <v>7.99</v>
      </c>
      <c r="AS1595" t="s">
        <v>56</v>
      </c>
      <c r="AT1595" t="s">
        <v>56</v>
      </c>
      <c r="AU1595">
        <v>823</v>
      </c>
      <c r="AV1595">
        <v>2</v>
      </c>
      <c r="AW1595" t="s">
        <v>56</v>
      </c>
      <c r="AX1595">
        <v>7.63</v>
      </c>
      <c r="AY1595" t="s">
        <v>56</v>
      </c>
      <c r="AZ1595" t="s">
        <v>56</v>
      </c>
      <c r="BA1595"/>
      <c r="BB1595">
        <f>LOG(AU1595)</f>
        <v>2.9153998352122699</v>
      </c>
      <c r="BC1595">
        <v>-1.6</v>
      </c>
      <c r="BD1595">
        <v>0</v>
      </c>
      <c r="BE1595" t="s">
        <v>56</v>
      </c>
      <c r="BF1595">
        <v>-1.6</v>
      </c>
      <c r="BG1595">
        <v>0</v>
      </c>
      <c r="BH1595" t="s">
        <v>56</v>
      </c>
      <c r="BI1595">
        <v>473</v>
      </c>
      <c r="BJ1595">
        <v>0</v>
      </c>
      <c r="BK1595" t="s">
        <v>56</v>
      </c>
      <c r="BL1595" t="s">
        <v>949</v>
      </c>
      <c r="BM1595" t="s">
        <v>226</v>
      </c>
      <c r="BN1595" t="s">
        <v>60</v>
      </c>
      <c r="BO1595" t="s">
        <v>82</v>
      </c>
      <c r="BP1595" t="s">
        <v>9</v>
      </c>
      <c r="BQ1595" t="s">
        <v>9</v>
      </c>
      <c r="BR1595" t="s">
        <v>84</v>
      </c>
      <c r="BS1595"/>
      <c r="BT1595">
        <v>13.25</v>
      </c>
      <c r="BU1595">
        <v>13.25</v>
      </c>
      <c r="BV1595">
        <v>3.03</v>
      </c>
      <c r="BW1595">
        <f>BV1595*SQRT(AK1595)</f>
        <v>7.4219539206330287</v>
      </c>
      <c r="BX1595">
        <v>25.75</v>
      </c>
      <c r="BY1595">
        <v>25.75</v>
      </c>
      <c r="BZ1595">
        <v>3.79</v>
      </c>
      <c r="CA1595">
        <f>BZ1595*SQRT(AL1595)</f>
        <v>9.2835661251482442</v>
      </c>
      <c r="CB1595">
        <v>20</v>
      </c>
      <c r="CC1595">
        <v>6</v>
      </c>
      <c r="CD1595">
        <v>0.66400000000000003</v>
      </c>
      <c r="CE1595">
        <v>7.3999999999999996E-2</v>
      </c>
      <c r="CF1595"/>
    </row>
    <row r="1596" spans="1:84" s="8" customFormat="1" hidden="1" x14ac:dyDescent="0.2">
      <c r="A1596"/>
      <c r="B1596" t="str">
        <f>ROW()-1&amp;"_AltersInvert"</f>
        <v>1595_AltersInvert</v>
      </c>
      <c r="C1596" t="str">
        <f>D1596&amp;"_"&amp;
SUBSTITUTE(TRIM(V1596)," ","_")&amp;"_"&amp;
TRIM(AC1596)&amp;"_"&amp;
"CO2"&amp;TEXT(AN1596,"0.00")&amp;"_"&amp;
"pH"&amp;TEXT(AR1596,"0.00")&amp;"_"&amp;
"T"&amp;TEXT(BC1596,"0.##")</f>
        <v>200_Laternula_elliptica_LARVA_CO2350.00_pH7.99_T-1.6</v>
      </c>
      <c r="D1596">
        <v>200</v>
      </c>
      <c r="E1596"/>
      <c r="F1596"/>
      <c r="G1596" t="s">
        <v>43</v>
      </c>
      <c r="H1596" t="s">
        <v>662</v>
      </c>
      <c r="I1596"/>
      <c r="J1596">
        <v>2015</v>
      </c>
      <c r="K1596"/>
      <c r="L1596"/>
      <c r="M1596" t="s">
        <v>257</v>
      </c>
      <c r="N1596"/>
      <c r="O1596"/>
      <c r="P1596" t="s">
        <v>1135</v>
      </c>
      <c r="Q1596"/>
      <c r="R1596" t="s">
        <v>1127</v>
      </c>
      <c r="S1596" t="s">
        <v>1128</v>
      </c>
      <c r="T1596" t="s">
        <v>68</v>
      </c>
      <c r="U1596" t="s">
        <v>663</v>
      </c>
      <c r="V1596" t="s">
        <v>664</v>
      </c>
      <c r="W1596"/>
      <c r="X1596"/>
      <c r="Y1596"/>
      <c r="Z1596" t="s">
        <v>475</v>
      </c>
      <c r="AA1596" t="s">
        <v>475</v>
      </c>
      <c r="AB1596" t="s">
        <v>71</v>
      </c>
      <c r="AC1596" t="s">
        <v>72</v>
      </c>
      <c r="AD1596" t="s">
        <v>52</v>
      </c>
      <c r="AE1596" t="s">
        <v>53</v>
      </c>
      <c r="AF1596" t="s">
        <v>54</v>
      </c>
      <c r="AG1596" t="s">
        <v>52</v>
      </c>
      <c r="AH1596" t="s">
        <v>65</v>
      </c>
      <c r="AI1596"/>
      <c r="AJ1596"/>
      <c r="AK1596">
        <v>6</v>
      </c>
      <c r="AL1596">
        <v>6</v>
      </c>
      <c r="AM1596"/>
      <c r="AN1596">
        <v>350</v>
      </c>
      <c r="AO1596">
        <v>1</v>
      </c>
      <c r="AP1596" t="s">
        <v>56</v>
      </c>
      <c r="AQ1596" t="s">
        <v>109</v>
      </c>
      <c r="AR1596">
        <v>7.99</v>
      </c>
      <c r="AS1596" t="s">
        <v>56</v>
      </c>
      <c r="AT1596" t="s">
        <v>56</v>
      </c>
      <c r="AU1596">
        <v>393</v>
      </c>
      <c r="AV1596">
        <v>1</v>
      </c>
      <c r="AW1596" t="s">
        <v>56</v>
      </c>
      <c r="AX1596">
        <v>7.97</v>
      </c>
      <c r="AY1596" t="s">
        <v>56</v>
      </c>
      <c r="AZ1596" t="s">
        <v>56</v>
      </c>
      <c r="BA1596"/>
      <c r="BB1596">
        <f>LOG(AU1596)</f>
        <v>2.5943925503754266</v>
      </c>
      <c r="BC1596">
        <v>-1.6</v>
      </c>
      <c r="BD1596">
        <v>0</v>
      </c>
      <c r="BE1596" t="s">
        <v>56</v>
      </c>
      <c r="BF1596">
        <v>0.4</v>
      </c>
      <c r="BG1596">
        <v>0</v>
      </c>
      <c r="BH1596" t="s">
        <v>56</v>
      </c>
      <c r="BI1596">
        <v>43</v>
      </c>
      <c r="BJ1596">
        <v>2</v>
      </c>
      <c r="BK1596" t="s">
        <v>56</v>
      </c>
      <c r="BL1596" t="s">
        <v>949</v>
      </c>
      <c r="BM1596" t="s">
        <v>226</v>
      </c>
      <c r="BN1596" t="s">
        <v>60</v>
      </c>
      <c r="BO1596" t="s">
        <v>82</v>
      </c>
      <c r="BP1596" t="s">
        <v>9</v>
      </c>
      <c r="BQ1596" t="s">
        <v>9</v>
      </c>
      <c r="BR1596" t="s">
        <v>84</v>
      </c>
      <c r="BS1596"/>
      <c r="BT1596">
        <v>13.25</v>
      </c>
      <c r="BU1596">
        <v>13.25</v>
      </c>
      <c r="BV1596">
        <v>3.03</v>
      </c>
      <c r="BW1596">
        <f>BV1596*SQRT(AK1596)</f>
        <v>7.4219539206330287</v>
      </c>
      <c r="BX1596">
        <v>93.18</v>
      </c>
      <c r="BY1596">
        <v>93.18</v>
      </c>
      <c r="BZ1596">
        <v>2.27</v>
      </c>
      <c r="CA1596">
        <f>BZ1596*SQRT(AL1596)</f>
        <v>5.5603417161178141</v>
      </c>
      <c r="CB1596">
        <v>20</v>
      </c>
      <c r="CC1596">
        <v>6</v>
      </c>
      <c r="CD1596">
        <v>1.9510000000000001</v>
      </c>
      <c r="CE1596">
        <v>5.2900000000000003E-2</v>
      </c>
      <c r="CF1596"/>
    </row>
    <row r="1597" spans="1:84" s="8" customFormat="1" hidden="1" x14ac:dyDescent="0.2">
      <c r="A1597"/>
      <c r="B1597" t="str">
        <f>ROW()-1&amp;"_AltersInvert"</f>
        <v>1596_AltersInvert</v>
      </c>
      <c r="C1597" t="str">
        <f>D1597&amp;"_"&amp;
SUBSTITUTE(TRIM(V1597)," ","_")&amp;"_"&amp;
TRIM(AC1597)&amp;"_"&amp;
"CO2"&amp;TEXT(AN1597,"0.00")&amp;"_"&amp;
"pH"&amp;TEXT(AR1597,"0.00")&amp;"_"&amp;
"T"&amp;TEXT(BC1597,"0.##")</f>
        <v>200_Laternula_elliptica_LARVA_CO2350.00_pH7.99_T-1.6</v>
      </c>
      <c r="D1597">
        <v>200</v>
      </c>
      <c r="E1597"/>
      <c r="F1597"/>
      <c r="G1597" t="s">
        <v>43</v>
      </c>
      <c r="H1597" t="s">
        <v>662</v>
      </c>
      <c r="I1597"/>
      <c r="J1597">
        <v>2015</v>
      </c>
      <c r="K1597"/>
      <c r="L1597"/>
      <c r="M1597" t="s">
        <v>257</v>
      </c>
      <c r="N1597"/>
      <c r="O1597"/>
      <c r="P1597" t="s">
        <v>1135</v>
      </c>
      <c r="Q1597"/>
      <c r="R1597" t="s">
        <v>1127</v>
      </c>
      <c r="S1597" t="s">
        <v>1128</v>
      </c>
      <c r="T1597" t="s">
        <v>68</v>
      </c>
      <c r="U1597" t="s">
        <v>663</v>
      </c>
      <c r="V1597" t="s">
        <v>664</v>
      </c>
      <c r="W1597"/>
      <c r="X1597"/>
      <c r="Y1597"/>
      <c r="Z1597" t="s">
        <v>475</v>
      </c>
      <c r="AA1597" t="s">
        <v>475</v>
      </c>
      <c r="AB1597" t="s">
        <v>71</v>
      </c>
      <c r="AC1597" t="s">
        <v>72</v>
      </c>
      <c r="AD1597" t="s">
        <v>52</v>
      </c>
      <c r="AE1597" t="s">
        <v>53</v>
      </c>
      <c r="AF1597" t="s">
        <v>54</v>
      </c>
      <c r="AG1597" t="s">
        <v>52</v>
      </c>
      <c r="AH1597" t="s">
        <v>65</v>
      </c>
      <c r="AI1597"/>
      <c r="AJ1597"/>
      <c r="AK1597">
        <v>6</v>
      </c>
      <c r="AL1597">
        <v>6</v>
      </c>
      <c r="AM1597"/>
      <c r="AN1597">
        <v>350</v>
      </c>
      <c r="AO1597">
        <v>1</v>
      </c>
      <c r="AP1597" t="s">
        <v>56</v>
      </c>
      <c r="AQ1597" t="s">
        <v>109</v>
      </c>
      <c r="AR1597">
        <v>7.99</v>
      </c>
      <c r="AS1597" t="s">
        <v>56</v>
      </c>
      <c r="AT1597" t="s">
        <v>56</v>
      </c>
      <c r="AU1597">
        <v>367</v>
      </c>
      <c r="AV1597">
        <v>1</v>
      </c>
      <c r="AW1597" t="s">
        <v>56</v>
      </c>
      <c r="AX1597">
        <v>7.97</v>
      </c>
      <c r="AY1597" t="s">
        <v>56</v>
      </c>
      <c r="AZ1597" t="s">
        <v>56</v>
      </c>
      <c r="BA1597"/>
      <c r="BB1597">
        <f>LOG(AU1597)</f>
        <v>2.5646660642520893</v>
      </c>
      <c r="BC1597">
        <v>-1.6</v>
      </c>
      <c r="BD1597">
        <v>0</v>
      </c>
      <c r="BE1597" t="s">
        <v>56</v>
      </c>
      <c r="BF1597">
        <v>-0.5</v>
      </c>
      <c r="BG1597">
        <v>0</v>
      </c>
      <c r="BH1597" t="s">
        <v>56</v>
      </c>
      <c r="BI1597">
        <v>17</v>
      </c>
      <c r="BJ1597">
        <v>1.1000000000000001</v>
      </c>
      <c r="BK1597" t="s">
        <v>56</v>
      </c>
      <c r="BL1597" t="s">
        <v>949</v>
      </c>
      <c r="BM1597" t="s">
        <v>226</v>
      </c>
      <c r="BN1597" t="s">
        <v>60</v>
      </c>
      <c r="BO1597" t="s">
        <v>82</v>
      </c>
      <c r="BP1597" t="s">
        <v>9</v>
      </c>
      <c r="BQ1597" t="s">
        <v>9</v>
      </c>
      <c r="BR1597" t="s">
        <v>84</v>
      </c>
      <c r="BS1597"/>
      <c r="BT1597">
        <v>13.25</v>
      </c>
      <c r="BU1597">
        <v>13.25</v>
      </c>
      <c r="BV1597">
        <v>3.03</v>
      </c>
      <c r="BW1597">
        <f>BV1597*SQRT(AK1597)</f>
        <v>7.4219539206330287</v>
      </c>
      <c r="BX1597">
        <v>95.07</v>
      </c>
      <c r="BY1597">
        <v>95.07</v>
      </c>
      <c r="BZ1597">
        <v>2.65</v>
      </c>
      <c r="CA1597">
        <f>BZ1597*SQRT(AL1597)</f>
        <v>6.4911478183754214</v>
      </c>
      <c r="CB1597">
        <v>20</v>
      </c>
      <c r="CC1597">
        <v>6</v>
      </c>
      <c r="CD1597">
        <v>1.9710000000000001</v>
      </c>
      <c r="CE1597">
        <v>5.3100000000000001E-2</v>
      </c>
      <c r="CF1597"/>
    </row>
    <row r="1598" spans="1:84" s="8" customFormat="1" hidden="1" x14ac:dyDescent="0.2">
      <c r="A1598"/>
      <c r="B1598" t="str">
        <f>ROW()-1&amp;"_AltersInvert"</f>
        <v>1597_AltersInvert</v>
      </c>
      <c r="C1598" t="str">
        <f>D1598&amp;"_"&amp;
SUBSTITUTE(TRIM(V1598)," ","_")&amp;"_"&amp;
TRIM(AC1598)&amp;"_"&amp;
"CO2"&amp;TEXT(AN1598,"0.00")&amp;"_"&amp;
"pH"&amp;TEXT(AR1598,"0.00")&amp;"_"&amp;
"T"&amp;TEXT(BC1598,"0.##")</f>
        <v>200_Laternula_elliptica_LARVA_CO2350.00_pH7.99_T-1.6</v>
      </c>
      <c r="D1598">
        <v>200</v>
      </c>
      <c r="E1598"/>
      <c r="F1598"/>
      <c r="G1598" t="s">
        <v>43</v>
      </c>
      <c r="H1598" t="s">
        <v>662</v>
      </c>
      <c r="I1598"/>
      <c r="J1598">
        <v>2015</v>
      </c>
      <c r="K1598"/>
      <c r="L1598"/>
      <c r="M1598" t="s">
        <v>257</v>
      </c>
      <c r="N1598"/>
      <c r="O1598"/>
      <c r="P1598" t="s">
        <v>1135</v>
      </c>
      <c r="Q1598"/>
      <c r="R1598" t="s">
        <v>1127</v>
      </c>
      <c r="S1598" t="s">
        <v>1128</v>
      </c>
      <c r="T1598" t="s">
        <v>68</v>
      </c>
      <c r="U1598" t="s">
        <v>663</v>
      </c>
      <c r="V1598" t="s">
        <v>664</v>
      </c>
      <c r="W1598"/>
      <c r="X1598"/>
      <c r="Y1598"/>
      <c r="Z1598" t="s">
        <v>475</v>
      </c>
      <c r="AA1598" t="s">
        <v>475</v>
      </c>
      <c r="AB1598" t="s">
        <v>71</v>
      </c>
      <c r="AC1598" t="s">
        <v>72</v>
      </c>
      <c r="AD1598" t="s">
        <v>52</v>
      </c>
      <c r="AE1598" t="s">
        <v>53</v>
      </c>
      <c r="AF1598" t="s">
        <v>52</v>
      </c>
      <c r="AG1598" t="s">
        <v>52</v>
      </c>
      <c r="AH1598" t="s">
        <v>64</v>
      </c>
      <c r="AI1598"/>
      <c r="AJ1598"/>
      <c r="AK1598">
        <v>6</v>
      </c>
      <c r="AL1598">
        <v>6</v>
      </c>
      <c r="AM1598"/>
      <c r="AN1598">
        <v>350</v>
      </c>
      <c r="AO1598">
        <v>1</v>
      </c>
      <c r="AP1598" t="s">
        <v>56</v>
      </c>
      <c r="AQ1598" t="s">
        <v>109</v>
      </c>
      <c r="AR1598">
        <v>7.99</v>
      </c>
      <c r="AS1598" t="s">
        <v>56</v>
      </c>
      <c r="AT1598" t="s">
        <v>56</v>
      </c>
      <c r="AU1598">
        <v>893</v>
      </c>
      <c r="AV1598">
        <v>4</v>
      </c>
      <c r="AW1598" t="s">
        <v>56</v>
      </c>
      <c r="AX1598">
        <v>7.63</v>
      </c>
      <c r="AY1598" t="s">
        <v>56</v>
      </c>
      <c r="AZ1598" t="s">
        <v>56</v>
      </c>
      <c r="BA1598"/>
      <c r="BB1598">
        <f>LOG(AU1598)</f>
        <v>2.9508514588885464</v>
      </c>
      <c r="BC1598">
        <v>-1.6</v>
      </c>
      <c r="BD1598">
        <v>0</v>
      </c>
      <c r="BE1598" t="s">
        <v>56</v>
      </c>
      <c r="BF1598">
        <v>0.4</v>
      </c>
      <c r="BG1598">
        <v>0</v>
      </c>
      <c r="BH1598" t="s">
        <v>56</v>
      </c>
      <c r="BI1598">
        <v>543</v>
      </c>
      <c r="BJ1598">
        <v>2</v>
      </c>
      <c r="BK1598" t="s">
        <v>56</v>
      </c>
      <c r="BL1598" t="s">
        <v>949</v>
      </c>
      <c r="BM1598" t="s">
        <v>226</v>
      </c>
      <c r="BN1598" t="s">
        <v>60</v>
      </c>
      <c r="BO1598" t="s">
        <v>82</v>
      </c>
      <c r="BP1598" t="s">
        <v>9</v>
      </c>
      <c r="BQ1598" t="s">
        <v>9</v>
      </c>
      <c r="BR1598" t="s">
        <v>84</v>
      </c>
      <c r="BS1598"/>
      <c r="BT1598">
        <v>13.25</v>
      </c>
      <c r="BU1598">
        <v>13.25</v>
      </c>
      <c r="BV1598">
        <v>3.03</v>
      </c>
      <c r="BW1598">
        <f>BV1598*SQRT(AK1598)</f>
        <v>7.4219539206330287</v>
      </c>
      <c r="BX1598">
        <v>89.01</v>
      </c>
      <c r="BY1598">
        <v>89.01</v>
      </c>
      <c r="BZ1598">
        <v>3.03</v>
      </c>
      <c r="CA1598">
        <f>BZ1598*SQRT(AL1598)</f>
        <v>7.4219539206330287</v>
      </c>
      <c r="CB1598">
        <v>20</v>
      </c>
      <c r="CC1598">
        <v>6</v>
      </c>
      <c r="CD1598">
        <v>1.905</v>
      </c>
      <c r="CE1598">
        <v>5.3499999999999999E-2</v>
      </c>
      <c r="CF1598"/>
    </row>
    <row r="1599" spans="1:84" s="8" customFormat="1" hidden="1" x14ac:dyDescent="0.2">
      <c r="A1599"/>
      <c r="B1599" t="str">
        <f>ROW()-1&amp;"_AltersInvert"</f>
        <v>1598_AltersInvert</v>
      </c>
      <c r="C1599" t="str">
        <f>D1599&amp;"_"&amp;
SUBSTITUTE(TRIM(V1599)," ","_")&amp;"_"&amp;
TRIM(AC1599)&amp;"_"&amp;
"CO2"&amp;TEXT(AN1599,"0.00")&amp;"_"&amp;
"pH"&amp;TEXT(AR1599,"0.00")&amp;"_"&amp;
"T"&amp;TEXT(BC1599,"0.##")</f>
        <v>200_Laternula_elliptica_LARVA_CO2350.00_pH7.99_T-1.6</v>
      </c>
      <c r="D1599">
        <v>200</v>
      </c>
      <c r="E1599"/>
      <c r="F1599"/>
      <c r="G1599" t="s">
        <v>43</v>
      </c>
      <c r="H1599" t="s">
        <v>662</v>
      </c>
      <c r="I1599"/>
      <c r="J1599">
        <v>2015</v>
      </c>
      <c r="K1599"/>
      <c r="L1599"/>
      <c r="M1599" t="s">
        <v>257</v>
      </c>
      <c r="N1599"/>
      <c r="O1599"/>
      <c r="P1599" t="s">
        <v>1135</v>
      </c>
      <c r="Q1599"/>
      <c r="R1599" t="s">
        <v>1127</v>
      </c>
      <c r="S1599" t="s">
        <v>1128</v>
      </c>
      <c r="T1599" t="s">
        <v>68</v>
      </c>
      <c r="U1599" t="s">
        <v>663</v>
      </c>
      <c r="V1599" t="s">
        <v>664</v>
      </c>
      <c r="W1599"/>
      <c r="X1599"/>
      <c r="Y1599"/>
      <c r="Z1599" t="s">
        <v>475</v>
      </c>
      <c r="AA1599" t="s">
        <v>475</v>
      </c>
      <c r="AB1599" t="s">
        <v>71</v>
      </c>
      <c r="AC1599" t="s">
        <v>72</v>
      </c>
      <c r="AD1599" t="s">
        <v>52</v>
      </c>
      <c r="AE1599" t="s">
        <v>53</v>
      </c>
      <c r="AF1599" t="s">
        <v>52</v>
      </c>
      <c r="AG1599" t="s">
        <v>52</v>
      </c>
      <c r="AH1599" t="s">
        <v>64</v>
      </c>
      <c r="AI1599"/>
      <c r="AJ1599"/>
      <c r="AK1599">
        <v>6</v>
      </c>
      <c r="AL1599">
        <v>6</v>
      </c>
      <c r="AM1599"/>
      <c r="AN1599">
        <v>350</v>
      </c>
      <c r="AO1599">
        <v>1</v>
      </c>
      <c r="AP1599" t="s">
        <v>56</v>
      </c>
      <c r="AQ1599" t="s">
        <v>109</v>
      </c>
      <c r="AR1599">
        <v>7.99</v>
      </c>
      <c r="AS1599" t="s">
        <v>56</v>
      </c>
      <c r="AT1599" t="s">
        <v>56</v>
      </c>
      <c r="AU1599">
        <v>569</v>
      </c>
      <c r="AV1599">
        <v>2</v>
      </c>
      <c r="AW1599" t="s">
        <v>56</v>
      </c>
      <c r="AX1599">
        <v>7.8</v>
      </c>
      <c r="AY1599" t="s">
        <v>56</v>
      </c>
      <c r="AZ1599" t="s">
        <v>56</v>
      </c>
      <c r="BA1599"/>
      <c r="BB1599">
        <f>LOG(AU1599)</f>
        <v>2.7551122663950713</v>
      </c>
      <c r="BC1599">
        <v>-1.6</v>
      </c>
      <c r="BD1599">
        <v>0</v>
      </c>
      <c r="BE1599" t="s">
        <v>56</v>
      </c>
      <c r="BF1599">
        <v>-0.5</v>
      </c>
      <c r="BG1599">
        <v>0</v>
      </c>
      <c r="BH1599" t="s">
        <v>56</v>
      </c>
      <c r="BI1599">
        <v>219</v>
      </c>
      <c r="BJ1599">
        <v>1.1000000000000001</v>
      </c>
      <c r="BK1599" t="s">
        <v>56</v>
      </c>
      <c r="BL1599" t="s">
        <v>949</v>
      </c>
      <c r="BM1599" t="s">
        <v>226</v>
      </c>
      <c r="BN1599" t="s">
        <v>60</v>
      </c>
      <c r="BO1599" t="s">
        <v>82</v>
      </c>
      <c r="BP1599" t="s">
        <v>9</v>
      </c>
      <c r="BQ1599" t="s">
        <v>9</v>
      </c>
      <c r="BR1599" t="s">
        <v>84</v>
      </c>
      <c r="BS1599"/>
      <c r="BT1599">
        <v>13.25</v>
      </c>
      <c r="BU1599">
        <v>13.25</v>
      </c>
      <c r="BV1599">
        <v>3.03</v>
      </c>
      <c r="BW1599">
        <f>BV1599*SQRT(AK1599)</f>
        <v>7.4219539206330287</v>
      </c>
      <c r="BX1599">
        <v>93.56</v>
      </c>
      <c r="BY1599">
        <v>93.56</v>
      </c>
      <c r="BZ1599">
        <v>2.27</v>
      </c>
      <c r="CA1599">
        <f>BZ1599*SQRT(AL1599)</f>
        <v>5.5603417161178141</v>
      </c>
      <c r="CB1599">
        <v>20</v>
      </c>
      <c r="CC1599">
        <v>6</v>
      </c>
      <c r="CD1599">
        <v>1.9550000000000001</v>
      </c>
      <c r="CE1599">
        <v>5.2900000000000003E-2</v>
      </c>
      <c r="CF1599"/>
    </row>
    <row r="1600" spans="1:84" s="8" customFormat="1" hidden="1" x14ac:dyDescent="0.2">
      <c r="A1600"/>
      <c r="B1600" t="str">
        <f>ROW()-1&amp;"_AltersInvert"</f>
        <v>1599_AltersInvert</v>
      </c>
      <c r="C1600" t="str">
        <f>D1600&amp;"_"&amp;
SUBSTITUTE(TRIM(V1600)," ","_")&amp;"_"&amp;
TRIM(AC1600)&amp;"_"&amp;
"CO2"&amp;TEXT(AN1600,"0.00")&amp;"_"&amp;
"pH"&amp;TEXT(AR1600,"0.00")&amp;"_"&amp;
"T"&amp;TEXT(BC1600,"0.##")</f>
        <v>200_Laternula_elliptica_LARVA_CO2350.00_pH7.99_T-1.6</v>
      </c>
      <c r="D1600">
        <v>200</v>
      </c>
      <c r="E1600"/>
      <c r="F1600"/>
      <c r="G1600" t="s">
        <v>43</v>
      </c>
      <c r="H1600" t="s">
        <v>662</v>
      </c>
      <c r="I1600"/>
      <c r="J1600">
        <v>2015</v>
      </c>
      <c r="K1600"/>
      <c r="L1600"/>
      <c r="M1600" t="s">
        <v>257</v>
      </c>
      <c r="N1600"/>
      <c r="O1600"/>
      <c r="P1600" t="s">
        <v>1135</v>
      </c>
      <c r="Q1600"/>
      <c r="R1600" t="s">
        <v>1127</v>
      </c>
      <c r="S1600" t="s">
        <v>1128</v>
      </c>
      <c r="T1600" t="s">
        <v>68</v>
      </c>
      <c r="U1600" t="s">
        <v>663</v>
      </c>
      <c r="V1600" t="s">
        <v>664</v>
      </c>
      <c r="W1600"/>
      <c r="X1600"/>
      <c r="Y1600"/>
      <c r="Z1600" t="s">
        <v>475</v>
      </c>
      <c r="AA1600" t="s">
        <v>475</v>
      </c>
      <c r="AB1600" t="s">
        <v>71</v>
      </c>
      <c r="AC1600" t="s">
        <v>72</v>
      </c>
      <c r="AD1600" t="s">
        <v>52</v>
      </c>
      <c r="AE1600" t="s">
        <v>53</v>
      </c>
      <c r="AF1600" t="s">
        <v>52</v>
      </c>
      <c r="AG1600" t="s">
        <v>52</v>
      </c>
      <c r="AH1600" t="s">
        <v>64</v>
      </c>
      <c r="AI1600"/>
      <c r="AJ1600"/>
      <c r="AK1600">
        <v>6</v>
      </c>
      <c r="AL1600">
        <v>6</v>
      </c>
      <c r="AM1600"/>
      <c r="AN1600">
        <v>350</v>
      </c>
      <c r="AO1600">
        <v>1</v>
      </c>
      <c r="AP1600" t="s">
        <v>56</v>
      </c>
      <c r="AQ1600" t="s">
        <v>109</v>
      </c>
      <c r="AR1600">
        <v>7.99</v>
      </c>
      <c r="AS1600" t="s">
        <v>56</v>
      </c>
      <c r="AT1600" t="s">
        <v>56</v>
      </c>
      <c r="AU1600">
        <v>835</v>
      </c>
      <c r="AV1600">
        <v>3</v>
      </c>
      <c r="AW1600" t="s">
        <v>56</v>
      </c>
      <c r="AX1600">
        <v>7.64</v>
      </c>
      <c r="AY1600" t="s">
        <v>56</v>
      </c>
      <c r="AZ1600" t="s">
        <v>56</v>
      </c>
      <c r="BA1600"/>
      <c r="BB1600">
        <f>LOG(AU1600)</f>
        <v>2.9216864754836021</v>
      </c>
      <c r="BC1600">
        <v>-1.6</v>
      </c>
      <c r="BD1600">
        <v>0</v>
      </c>
      <c r="BE1600" t="s">
        <v>56</v>
      </c>
      <c r="BF1600">
        <v>-0.5</v>
      </c>
      <c r="BG1600">
        <v>0</v>
      </c>
      <c r="BH1600" t="s">
        <v>56</v>
      </c>
      <c r="BI1600">
        <v>485</v>
      </c>
      <c r="BJ1600">
        <v>1.1000000000000001</v>
      </c>
      <c r="BK1600" t="s">
        <v>56</v>
      </c>
      <c r="BL1600" t="s">
        <v>949</v>
      </c>
      <c r="BM1600" t="s">
        <v>226</v>
      </c>
      <c r="BN1600" t="s">
        <v>60</v>
      </c>
      <c r="BO1600" t="s">
        <v>82</v>
      </c>
      <c r="BP1600" t="s">
        <v>9</v>
      </c>
      <c r="BQ1600" t="s">
        <v>9</v>
      </c>
      <c r="BR1600" t="s">
        <v>84</v>
      </c>
      <c r="BS1600"/>
      <c r="BT1600">
        <v>13.25</v>
      </c>
      <c r="BU1600">
        <v>13.25</v>
      </c>
      <c r="BV1600">
        <v>3.03</v>
      </c>
      <c r="BW1600">
        <f>BV1600*SQRT(AK1600)</f>
        <v>7.4219539206330287</v>
      </c>
      <c r="BX1600">
        <v>95.83</v>
      </c>
      <c r="BY1600">
        <v>95.83</v>
      </c>
      <c r="BZ1600">
        <v>1.89</v>
      </c>
      <c r="CA1600">
        <f>BZ1600*SQRT(AL1600)</f>
        <v>4.629535613860206</v>
      </c>
      <c r="CB1600">
        <v>20</v>
      </c>
      <c r="CC1600">
        <v>6</v>
      </c>
      <c r="CD1600">
        <v>1.9790000000000001</v>
      </c>
      <c r="CE1600">
        <v>5.2699999999999997E-2</v>
      </c>
      <c r="CF1600"/>
    </row>
    <row r="1601" spans="1:84" s="8" customFormat="1" hidden="1" x14ac:dyDescent="0.2">
      <c r="B1601" t="str">
        <f>ROW()-1&amp;"_AltersInvert"</f>
        <v>1600_AltersInvert</v>
      </c>
      <c r="C1601" t="str">
        <f>D1601&amp;"_"&amp;
SUBSTITUTE(TRIM(V1601)," ","_")&amp;"_"&amp;
TRIM(AC1601)&amp;"_"&amp;
"CO2"&amp;TEXT(AN1601,"0.00")&amp;"_"&amp;
"pH"&amp;TEXT(AR1601,"0.00")&amp;"_"&amp;
"T"&amp;TEXT(BC1601,"0.##")</f>
        <v>224_Stylocheilus_striatus_EMBRYO_CO2420.00_pH0.00_T27.</v>
      </c>
      <c r="D1601" s="8">
        <v>224</v>
      </c>
      <c r="G1601" s="8" t="s">
        <v>43</v>
      </c>
      <c r="H1601" s="8" t="s">
        <v>1061</v>
      </c>
      <c r="J1601" s="8">
        <v>2017</v>
      </c>
      <c r="M1601" s="8" t="s">
        <v>67</v>
      </c>
      <c r="P1601" t="s">
        <v>1135</v>
      </c>
      <c r="R1601" s="8" t="s">
        <v>1127</v>
      </c>
      <c r="S1601" t="s">
        <v>1128</v>
      </c>
      <c r="T1601" s="8" t="s">
        <v>68</v>
      </c>
      <c r="U1601" s="8" t="s">
        <v>496</v>
      </c>
      <c r="V1601" s="8" t="s">
        <v>497</v>
      </c>
      <c r="W1601" s="8" t="str">
        <f>IF(ISNUMBER(MATCH(#REF!,{"Doryteuthis pealeii","Loligo vulgaris","Leptuca thayeri","Stylocheilus striatus","Ophryotrocha labronica"},0)),"N","Y")</f>
        <v>Y</v>
      </c>
      <c r="AC1601" s="8" t="s">
        <v>195</v>
      </c>
      <c r="AF1601" s="8" t="s">
        <v>52</v>
      </c>
      <c r="AG1601" s="8" t="s">
        <v>54</v>
      </c>
      <c r="AH1601" s="8" t="s">
        <v>55</v>
      </c>
      <c r="AK1601" s="8">
        <v>44</v>
      </c>
      <c r="AL1601" s="8">
        <v>44</v>
      </c>
      <c r="AN1601" s="8">
        <v>420</v>
      </c>
      <c r="AU1601" s="8">
        <v>1113</v>
      </c>
      <c r="AV1601"/>
      <c r="AW1601"/>
      <c r="AX1601"/>
      <c r="AY1601"/>
      <c r="AZ1601"/>
      <c r="BB1601" s="8">
        <f>LOG(AU1601)</f>
        <v>3.0464951643347082</v>
      </c>
      <c r="BC1601" s="8">
        <v>27</v>
      </c>
      <c r="BF1601" s="8">
        <v>27</v>
      </c>
      <c r="BI1601" s="8">
        <v>693</v>
      </c>
      <c r="BJ1601" s="8">
        <v>0</v>
      </c>
      <c r="BL1601" s="8" t="s">
        <v>908</v>
      </c>
      <c r="BM1601" s="8" t="s">
        <v>197</v>
      </c>
      <c r="BN1601" s="8" t="s">
        <v>81</v>
      </c>
      <c r="BO1601" s="8" t="s">
        <v>82</v>
      </c>
      <c r="BP1601" s="8" t="s">
        <v>83</v>
      </c>
      <c r="BQ1601" s="8" t="s">
        <v>83</v>
      </c>
      <c r="BR1601" s="8" t="s">
        <v>84</v>
      </c>
      <c r="BT1601" s="8">
        <v>93.8</v>
      </c>
      <c r="BU1601" s="8">
        <v>93.79562</v>
      </c>
      <c r="BV1601" s="8">
        <v>1.1200000000000001</v>
      </c>
      <c r="BW1601" s="8">
        <f>BV1601*SQRT(AK1601)</f>
        <v>7.4292395303960959</v>
      </c>
      <c r="BX1601" s="8">
        <v>74.64</v>
      </c>
      <c r="BY1601" s="8">
        <v>74.635036499999998</v>
      </c>
      <c r="BZ1601" s="8">
        <v>4.5599999999999996</v>
      </c>
      <c r="CA1601" s="8">
        <f>BZ1601*SQRT(AL1601)</f>
        <v>30.247618088041243</v>
      </c>
      <c r="CB1601" s="8">
        <v>10</v>
      </c>
      <c r="CD1601" s="8">
        <v>-0.22900000000000001</v>
      </c>
      <c r="CE1601" s="8">
        <v>3.8999999999999998E-3</v>
      </c>
      <c r="CF1601" s="8" t="s">
        <v>1134</v>
      </c>
    </row>
    <row r="1602" spans="1:84" s="8" customFormat="1" hidden="1" x14ac:dyDescent="0.2">
      <c r="B1602" t="str">
        <f>ROW()-1&amp;"_AltersInvert"</f>
        <v>1601_AltersInvert</v>
      </c>
      <c r="C1602" t="str">
        <f>D1602&amp;"_"&amp;
SUBSTITUTE(TRIM(V1602)," ","_")&amp;"_"&amp;
TRIM(AC1602)&amp;"_"&amp;
"CO2"&amp;TEXT(AN1602,"0.00")&amp;"_"&amp;
"pH"&amp;TEXT(AR1602,"0.00")&amp;"_"&amp;
"T"&amp;TEXT(BC1602,"0.##")</f>
        <v>224_Stylocheilus_striatus_EMBRYO_CO2420.00_pH0.00_T27.</v>
      </c>
      <c r="D1602" s="8">
        <v>224</v>
      </c>
      <c r="G1602" s="8" t="s">
        <v>43</v>
      </c>
      <c r="H1602" s="8" t="s">
        <v>1061</v>
      </c>
      <c r="J1602" s="8">
        <v>2017</v>
      </c>
      <c r="M1602" s="8" t="s">
        <v>67</v>
      </c>
      <c r="P1602" t="s">
        <v>1135</v>
      </c>
      <c r="R1602" s="8" t="s">
        <v>1127</v>
      </c>
      <c r="S1602" t="s">
        <v>1128</v>
      </c>
      <c r="T1602" s="8" t="s">
        <v>68</v>
      </c>
      <c r="U1602" s="8" t="s">
        <v>496</v>
      </c>
      <c r="V1602" s="8" t="s">
        <v>497</v>
      </c>
      <c r="W1602" s="8" t="str">
        <f>IF(ISNUMBER(MATCH(#REF!,{"Doryteuthis pealeii","Loligo vulgaris","Leptuca thayeri","Stylocheilus striatus","Ophryotrocha labronica"},0)),"N","Y")</f>
        <v>Y</v>
      </c>
      <c r="AC1602" s="8" t="s">
        <v>195</v>
      </c>
      <c r="AF1602" s="8" t="s">
        <v>54</v>
      </c>
      <c r="AG1602" s="8" t="s">
        <v>52</v>
      </c>
      <c r="AH1602" s="8" t="s">
        <v>65</v>
      </c>
      <c r="AK1602" s="8">
        <v>44</v>
      </c>
      <c r="AL1602" s="8">
        <v>44</v>
      </c>
      <c r="AN1602" s="8">
        <v>420</v>
      </c>
      <c r="AU1602" s="8">
        <v>420</v>
      </c>
      <c r="AV1602"/>
      <c r="AW1602"/>
      <c r="AX1602"/>
      <c r="AY1602"/>
      <c r="AZ1602"/>
      <c r="BB1602" s="8">
        <f>LOG(AU1602)</f>
        <v>2.6232492903979003</v>
      </c>
      <c r="BC1602" s="8">
        <v>27</v>
      </c>
      <c r="BF1602" s="8">
        <v>31</v>
      </c>
      <c r="BI1602" s="8">
        <v>0</v>
      </c>
      <c r="BJ1602" s="8">
        <v>4</v>
      </c>
      <c r="BL1602" s="8" t="s">
        <v>908</v>
      </c>
      <c r="BM1602" s="8" t="s">
        <v>197</v>
      </c>
      <c r="BN1602" s="8" t="s">
        <v>81</v>
      </c>
      <c r="BO1602" s="8" t="s">
        <v>82</v>
      </c>
      <c r="BP1602" s="8" t="s">
        <v>83</v>
      </c>
      <c r="BQ1602" s="8" t="s">
        <v>83</v>
      </c>
      <c r="BR1602" s="8" t="s">
        <v>84</v>
      </c>
      <c r="BT1602" s="8">
        <v>93.8</v>
      </c>
      <c r="BU1602" s="8">
        <v>93.79562</v>
      </c>
      <c r="BV1602" s="8">
        <v>1.1200000000000001</v>
      </c>
      <c r="BW1602" s="8">
        <f>BV1602*SQRT(AK1602)</f>
        <v>7.4292395303960959</v>
      </c>
      <c r="BX1602" s="8">
        <v>39.42</v>
      </c>
      <c r="BY1602" s="8">
        <v>39.416058399999997</v>
      </c>
      <c r="BZ1602" s="8">
        <v>2.79</v>
      </c>
      <c r="CA1602" s="8">
        <f>BZ1602*SQRT(AL1602)</f>
        <v>18.50676633018313</v>
      </c>
      <c r="CB1602" s="8">
        <v>10</v>
      </c>
      <c r="CD1602" s="8">
        <v>-0.86699999999999999</v>
      </c>
      <c r="CE1602" s="8">
        <v>5.1999999999999998E-3</v>
      </c>
      <c r="CF1602" s="8" t="s">
        <v>1134</v>
      </c>
    </row>
    <row r="1603" spans="1:84" s="8" customFormat="1" hidden="1" x14ac:dyDescent="0.2">
      <c r="B1603" t="str">
        <f>ROW()-1&amp;"_AltersInvert"</f>
        <v>1602_AltersInvert</v>
      </c>
      <c r="C1603" t="str">
        <f>D1603&amp;"_"&amp;
SUBSTITUTE(TRIM(V1603)," ","_")&amp;"_"&amp;
TRIM(AC1603)&amp;"_"&amp;
"CO2"&amp;TEXT(AN1603,"0.00")&amp;"_"&amp;
"pH"&amp;TEXT(AR1603,"0.00")&amp;"_"&amp;
"T"&amp;TEXT(BC1603,"0.##")</f>
        <v>224_Stylocheilus_striatus_EMBRYO_CO2420.00_pH0.00_T27.</v>
      </c>
      <c r="D1603" s="8">
        <v>224</v>
      </c>
      <c r="G1603" s="8" t="s">
        <v>43</v>
      </c>
      <c r="H1603" s="8" t="s">
        <v>1061</v>
      </c>
      <c r="J1603" s="8">
        <v>2017</v>
      </c>
      <c r="M1603" s="8" t="s">
        <v>67</v>
      </c>
      <c r="P1603" t="s">
        <v>1135</v>
      </c>
      <c r="R1603" s="8" t="s">
        <v>1127</v>
      </c>
      <c r="S1603" t="s">
        <v>1128</v>
      </c>
      <c r="T1603" s="8" t="s">
        <v>68</v>
      </c>
      <c r="U1603" s="8" t="s">
        <v>496</v>
      </c>
      <c r="V1603" s="8" t="s">
        <v>497</v>
      </c>
      <c r="W1603" s="8" t="str">
        <f>IF(ISNUMBER(MATCH(#REF!,{"Doryteuthis pealeii","Loligo vulgaris","Leptuca thayeri","Stylocheilus striatus","Ophryotrocha labronica"},0)),"N","Y")</f>
        <v>Y</v>
      </c>
      <c r="AC1603" s="8" t="s">
        <v>195</v>
      </c>
      <c r="AF1603" s="8" t="s">
        <v>52</v>
      </c>
      <c r="AG1603" s="8" t="s">
        <v>52</v>
      </c>
      <c r="AH1603" s="8" t="s">
        <v>64</v>
      </c>
      <c r="AK1603" s="8">
        <v>44</v>
      </c>
      <c r="AL1603" s="8">
        <v>44</v>
      </c>
      <c r="AN1603" s="8">
        <v>420</v>
      </c>
      <c r="AU1603" s="8">
        <v>1113</v>
      </c>
      <c r="AV1603"/>
      <c r="AW1603"/>
      <c r="AX1603"/>
      <c r="AY1603"/>
      <c r="AZ1603"/>
      <c r="BB1603" s="8">
        <f>LOG(AU1603)</f>
        <v>3.0464951643347082</v>
      </c>
      <c r="BC1603" s="8">
        <v>27</v>
      </c>
      <c r="BF1603" s="8">
        <v>31</v>
      </c>
      <c r="BI1603" s="8">
        <v>693</v>
      </c>
      <c r="BJ1603" s="8">
        <v>4</v>
      </c>
      <c r="BL1603" s="8" t="s">
        <v>908</v>
      </c>
      <c r="BM1603" s="8" t="s">
        <v>197</v>
      </c>
      <c r="BN1603" s="8" t="s">
        <v>81</v>
      </c>
      <c r="BO1603" s="8" t="s">
        <v>82</v>
      </c>
      <c r="BP1603" s="8" t="s">
        <v>83</v>
      </c>
      <c r="BQ1603" s="8" t="s">
        <v>83</v>
      </c>
      <c r="BR1603" s="8" t="s">
        <v>84</v>
      </c>
      <c r="BT1603" s="8">
        <v>93.8</v>
      </c>
      <c r="BU1603" s="8">
        <v>93.79562</v>
      </c>
      <c r="BV1603" s="8">
        <v>1.1200000000000001</v>
      </c>
      <c r="BW1603" s="8">
        <f>BV1603*SQRT(AK1603)</f>
        <v>7.4292395303960959</v>
      </c>
      <c r="BX1603" s="8">
        <v>25.91</v>
      </c>
      <c r="BY1603" s="8">
        <v>25.912408800000001</v>
      </c>
      <c r="BZ1603" s="8">
        <v>3.91</v>
      </c>
      <c r="CA1603" s="8">
        <f>BZ1603*SQRT(AL1603)</f>
        <v>25.936005860579229</v>
      </c>
      <c r="CB1603" s="8">
        <v>10</v>
      </c>
      <c r="CD1603" s="8">
        <v>-1.286</v>
      </c>
      <c r="CE1603" s="8">
        <v>2.29E-2</v>
      </c>
      <c r="CF1603" s="8" t="s">
        <v>1134</v>
      </c>
    </row>
    <row r="1604" spans="1:84" s="8" customFormat="1" hidden="1" x14ac:dyDescent="0.2">
      <c r="A1604"/>
      <c r="B1604" t="str">
        <f>ROW()-1&amp;"_AltersInvert"</f>
        <v>1603_AltersInvert</v>
      </c>
      <c r="C1604" t="str">
        <f>D1604&amp;"_"&amp;
SUBSTITUTE(TRIM(V1604)," ","_")&amp;"_"&amp;
TRIM(AC1604)&amp;"_"&amp;
"CO2"&amp;TEXT(AN1604,"0.00")&amp;"_"&amp;
"pH"&amp;TEXT(AR1604,"0.00")&amp;"_"&amp;
"T"&amp;TEXT(BC1604,"0.##")</f>
        <v>75_Laternula_elliptica_LARVA_CO2458.00_pH7.97_T-1.6</v>
      </c>
      <c r="D1604">
        <v>75</v>
      </c>
      <c r="E1604"/>
      <c r="F1604"/>
      <c r="G1604" t="s">
        <v>43</v>
      </c>
      <c r="H1604" t="s">
        <v>662</v>
      </c>
      <c r="I1604"/>
      <c r="J1604">
        <v>2017</v>
      </c>
      <c r="K1604"/>
      <c r="L1604"/>
      <c r="M1604" t="s">
        <v>436</v>
      </c>
      <c r="N1604"/>
      <c r="O1604"/>
      <c r="P1604" t="s">
        <v>1135</v>
      </c>
      <c r="Q1604"/>
      <c r="R1604" t="s">
        <v>1127</v>
      </c>
      <c r="S1604" t="s">
        <v>1128</v>
      </c>
      <c r="T1604" t="s">
        <v>68</v>
      </c>
      <c r="U1604" t="s">
        <v>663</v>
      </c>
      <c r="V1604" t="s">
        <v>664</v>
      </c>
      <c r="W1604"/>
      <c r="X1604"/>
      <c r="Y1604"/>
      <c r="Z1604" t="s">
        <v>475</v>
      </c>
      <c r="AA1604" t="s">
        <v>475</v>
      </c>
      <c r="AB1604" t="s">
        <v>71</v>
      </c>
      <c r="AC1604" t="s">
        <v>72</v>
      </c>
      <c r="AD1604" t="s">
        <v>52</v>
      </c>
      <c r="AE1604" t="s">
        <v>53</v>
      </c>
      <c r="AF1604" t="s">
        <v>52</v>
      </c>
      <c r="AG1604" t="s">
        <v>54</v>
      </c>
      <c r="AH1604" t="s">
        <v>55</v>
      </c>
      <c r="AI1604"/>
      <c r="AJ1604"/>
      <c r="AK1604">
        <v>3</v>
      </c>
      <c r="AL1604">
        <v>3</v>
      </c>
      <c r="AM1604"/>
      <c r="AN1604">
        <v>458</v>
      </c>
      <c r="AO1604">
        <v>2</v>
      </c>
      <c r="AP1604" t="s">
        <v>56</v>
      </c>
      <c r="AQ1604" t="s">
        <v>109</v>
      </c>
      <c r="AR1604">
        <v>7.97</v>
      </c>
      <c r="AS1604">
        <v>0</v>
      </c>
      <c r="AT1604" t="s">
        <v>56</v>
      </c>
      <c r="AU1604">
        <v>1045</v>
      </c>
      <c r="AV1604">
        <v>3</v>
      </c>
      <c r="AW1604" t="s">
        <v>56</v>
      </c>
      <c r="AX1604">
        <v>7.63</v>
      </c>
      <c r="AY1604">
        <v>0</v>
      </c>
      <c r="AZ1604" t="s">
        <v>56</v>
      </c>
      <c r="BA1604"/>
      <c r="BB1604">
        <f>LOG(AU1604)</f>
        <v>3.019116290447073</v>
      </c>
      <c r="BC1604">
        <v>-1.6</v>
      </c>
      <c r="BD1604">
        <v>0</v>
      </c>
      <c r="BE1604" t="s">
        <v>56</v>
      </c>
      <c r="BF1604">
        <v>-1.6</v>
      </c>
      <c r="BG1604">
        <v>0</v>
      </c>
      <c r="BH1604" t="s">
        <v>56</v>
      </c>
      <c r="BI1604">
        <v>587</v>
      </c>
      <c r="BJ1604">
        <v>0</v>
      </c>
      <c r="BK1604" t="s">
        <v>56</v>
      </c>
      <c r="BL1604" t="s">
        <v>666</v>
      </c>
      <c r="BM1604" t="s">
        <v>86</v>
      </c>
      <c r="BN1604" t="s">
        <v>81</v>
      </c>
      <c r="BO1604" t="s">
        <v>82</v>
      </c>
      <c r="BP1604" t="s">
        <v>9</v>
      </c>
      <c r="BQ1604" t="s">
        <v>9</v>
      </c>
      <c r="BR1604" t="s">
        <v>84</v>
      </c>
      <c r="BS1604"/>
      <c r="BT1604">
        <v>29.04</v>
      </c>
      <c r="BU1604">
        <v>70.959999999999994</v>
      </c>
      <c r="BV1604">
        <v>4.29</v>
      </c>
      <c r="BW1604">
        <f>BV1604*SQRT(AK1604)</f>
        <v>7.4304979644704829</v>
      </c>
      <c r="BX1604">
        <v>56.57</v>
      </c>
      <c r="BY1604">
        <v>43.43</v>
      </c>
      <c r="BZ1604">
        <v>19.690000000000001</v>
      </c>
      <c r="CA1604">
        <f>BZ1604*SQRT(AL1604)</f>
        <v>34.104080401031197</v>
      </c>
      <c r="CB1604">
        <v>27</v>
      </c>
      <c r="CC1604">
        <v>3</v>
      </c>
      <c r="CD1604">
        <v>-0.49099999999999999</v>
      </c>
      <c r="CE1604">
        <v>0.2092</v>
      </c>
      <c r="CF1604"/>
    </row>
    <row r="1605" spans="1:84" s="8" customFormat="1" hidden="1" x14ac:dyDescent="0.2">
      <c r="A1605"/>
      <c r="B1605" t="str">
        <f>ROW()-1&amp;"_AltersInvert"</f>
        <v>1604_AltersInvert</v>
      </c>
      <c r="C1605" t="str">
        <f>D1605&amp;"_"&amp;
SUBSTITUTE(TRIM(V1605)," ","_")&amp;"_"&amp;
TRIM(AC1605)&amp;"_"&amp;
"CO2"&amp;TEXT(AN1605,"0.00")&amp;"_"&amp;
"pH"&amp;TEXT(AR1605,"0.00")&amp;"_"&amp;
"T"&amp;TEXT(BC1605,"0.##")</f>
        <v>75_Laternula_elliptica_LARVA_CO2458.00_pH7.97_T-1.6</v>
      </c>
      <c r="D1605">
        <v>75</v>
      </c>
      <c r="E1605"/>
      <c r="F1605"/>
      <c r="G1605" t="s">
        <v>43</v>
      </c>
      <c r="H1605" t="s">
        <v>662</v>
      </c>
      <c r="I1605"/>
      <c r="J1605">
        <v>2017</v>
      </c>
      <c r="K1605"/>
      <c r="L1605"/>
      <c r="M1605" t="s">
        <v>436</v>
      </c>
      <c r="N1605"/>
      <c r="O1605"/>
      <c r="P1605" t="s">
        <v>1135</v>
      </c>
      <c r="Q1605"/>
      <c r="R1605" t="s">
        <v>1127</v>
      </c>
      <c r="S1605" t="s">
        <v>1128</v>
      </c>
      <c r="T1605" t="s">
        <v>68</v>
      </c>
      <c r="U1605" t="s">
        <v>663</v>
      </c>
      <c r="V1605" t="s">
        <v>664</v>
      </c>
      <c r="W1605"/>
      <c r="X1605"/>
      <c r="Y1605"/>
      <c r="Z1605" t="s">
        <v>475</v>
      </c>
      <c r="AA1605" t="s">
        <v>475</v>
      </c>
      <c r="AB1605" t="s">
        <v>71</v>
      </c>
      <c r="AC1605" t="s">
        <v>72</v>
      </c>
      <c r="AD1605" t="s">
        <v>52</v>
      </c>
      <c r="AE1605" t="s">
        <v>53</v>
      </c>
      <c r="AF1605" t="s">
        <v>52</v>
      </c>
      <c r="AG1605" t="s">
        <v>54</v>
      </c>
      <c r="AH1605" t="s">
        <v>55</v>
      </c>
      <c r="AI1605"/>
      <c r="AJ1605"/>
      <c r="AK1605">
        <v>3</v>
      </c>
      <c r="AL1605">
        <v>3</v>
      </c>
      <c r="AM1605"/>
      <c r="AN1605">
        <v>458</v>
      </c>
      <c r="AO1605">
        <v>2</v>
      </c>
      <c r="AP1605" t="s">
        <v>56</v>
      </c>
      <c r="AQ1605" t="s">
        <v>109</v>
      </c>
      <c r="AR1605">
        <v>7.97</v>
      </c>
      <c r="AS1605">
        <v>0</v>
      </c>
      <c r="AT1605" t="s">
        <v>56</v>
      </c>
      <c r="AU1605">
        <v>714</v>
      </c>
      <c r="AV1605">
        <v>3</v>
      </c>
      <c r="AW1605" t="s">
        <v>56</v>
      </c>
      <c r="AX1605">
        <v>7.79</v>
      </c>
      <c r="AY1605">
        <v>0</v>
      </c>
      <c r="AZ1605" t="s">
        <v>56</v>
      </c>
      <c r="BA1605"/>
      <c r="BB1605">
        <f>LOG(AU1605)</f>
        <v>2.8536982117761744</v>
      </c>
      <c r="BC1605">
        <v>-1.6</v>
      </c>
      <c r="BD1605">
        <v>0</v>
      </c>
      <c r="BE1605" t="s">
        <v>56</v>
      </c>
      <c r="BF1605">
        <v>-1.6</v>
      </c>
      <c r="BG1605">
        <v>0</v>
      </c>
      <c r="BH1605" t="s">
        <v>56</v>
      </c>
      <c r="BI1605">
        <v>256</v>
      </c>
      <c r="BJ1605">
        <v>0</v>
      </c>
      <c r="BK1605" t="s">
        <v>56</v>
      </c>
      <c r="BL1605" t="s">
        <v>666</v>
      </c>
      <c r="BM1605" t="s">
        <v>86</v>
      </c>
      <c r="BN1605" t="s">
        <v>81</v>
      </c>
      <c r="BO1605" t="s">
        <v>82</v>
      </c>
      <c r="BP1605" t="s">
        <v>9</v>
      </c>
      <c r="BQ1605" t="s">
        <v>9</v>
      </c>
      <c r="BR1605" t="s">
        <v>84</v>
      </c>
      <c r="BS1605"/>
      <c r="BT1605">
        <v>29.04</v>
      </c>
      <c r="BU1605">
        <v>70.959999999999994</v>
      </c>
      <c r="BV1605">
        <v>4.29</v>
      </c>
      <c r="BW1605">
        <f>BV1605*SQRT(AK1605)</f>
        <v>7.4304979644704829</v>
      </c>
      <c r="BX1605">
        <v>51.77</v>
      </c>
      <c r="BY1605">
        <v>48.23</v>
      </c>
      <c r="BZ1605">
        <v>9.09</v>
      </c>
      <c r="CA1605">
        <f>BZ1605*SQRT(AL1605)</f>
        <v>15.744341840801093</v>
      </c>
      <c r="CB1605">
        <v>27</v>
      </c>
      <c r="CC1605">
        <v>3</v>
      </c>
      <c r="CD1605">
        <v>-0.38600000000000001</v>
      </c>
      <c r="CE1605">
        <v>3.9199999999999999E-2</v>
      </c>
      <c r="CF1605"/>
    </row>
    <row r="1606" spans="1:84" s="8" customFormat="1" hidden="1" x14ac:dyDescent="0.2">
      <c r="A1606"/>
      <c r="B1606" t="str">
        <f>ROW()-1&amp;"_AltersInvert"</f>
        <v>1605_AltersInvert</v>
      </c>
      <c r="C1606" t="str">
        <f>D1606&amp;"_"&amp;
SUBSTITUTE(TRIM(V1606)," ","_")&amp;"_"&amp;
TRIM(AC1606)&amp;"_"&amp;
"CO2"&amp;TEXT(AN1606,"0.00")&amp;"_"&amp;
"pH"&amp;TEXT(AR1606,"0.00")&amp;"_"&amp;
"T"&amp;TEXT(BC1606,"0.##")</f>
        <v>75_Laternula_elliptica_LARVA_CO2458.00_pH7.97_T-1.6</v>
      </c>
      <c r="D1606">
        <v>75</v>
      </c>
      <c r="E1606"/>
      <c r="F1606"/>
      <c r="G1606" t="s">
        <v>43</v>
      </c>
      <c r="H1606" t="s">
        <v>662</v>
      </c>
      <c r="I1606"/>
      <c r="J1606">
        <v>2017</v>
      </c>
      <c r="K1606"/>
      <c r="L1606"/>
      <c r="M1606" t="s">
        <v>436</v>
      </c>
      <c r="N1606"/>
      <c r="O1606"/>
      <c r="P1606" t="s">
        <v>1135</v>
      </c>
      <c r="Q1606"/>
      <c r="R1606" t="s">
        <v>1127</v>
      </c>
      <c r="S1606" t="s">
        <v>1128</v>
      </c>
      <c r="T1606" t="s">
        <v>68</v>
      </c>
      <c r="U1606" t="s">
        <v>663</v>
      </c>
      <c r="V1606" t="s">
        <v>664</v>
      </c>
      <c r="W1606"/>
      <c r="X1606"/>
      <c r="Y1606"/>
      <c r="Z1606" t="s">
        <v>475</v>
      </c>
      <c r="AA1606" t="s">
        <v>475</v>
      </c>
      <c r="AB1606" t="s">
        <v>71</v>
      </c>
      <c r="AC1606" t="s">
        <v>72</v>
      </c>
      <c r="AD1606" t="s">
        <v>52</v>
      </c>
      <c r="AE1606" t="s">
        <v>53</v>
      </c>
      <c r="AF1606" t="s">
        <v>54</v>
      </c>
      <c r="AG1606" t="s">
        <v>52</v>
      </c>
      <c r="AH1606" t="s">
        <v>65</v>
      </c>
      <c r="AI1606"/>
      <c r="AJ1606"/>
      <c r="AK1606">
        <v>3</v>
      </c>
      <c r="AL1606">
        <v>3</v>
      </c>
      <c r="AM1606"/>
      <c r="AN1606">
        <v>458</v>
      </c>
      <c r="AO1606">
        <v>2</v>
      </c>
      <c r="AP1606" t="s">
        <v>56</v>
      </c>
      <c r="AQ1606" t="s">
        <v>109</v>
      </c>
      <c r="AR1606">
        <v>7.97</v>
      </c>
      <c r="AS1606">
        <v>0</v>
      </c>
      <c r="AT1606" t="s">
        <v>56</v>
      </c>
      <c r="AU1606">
        <v>462</v>
      </c>
      <c r="AV1606">
        <v>2</v>
      </c>
      <c r="AW1606" t="s">
        <v>56</v>
      </c>
      <c r="AX1606">
        <v>7.99</v>
      </c>
      <c r="AY1606">
        <v>0</v>
      </c>
      <c r="AZ1606" t="s">
        <v>56</v>
      </c>
      <c r="BA1606"/>
      <c r="BB1606">
        <f>LOG(AU1606)</f>
        <v>2.6646419755561257</v>
      </c>
      <c r="BC1606">
        <v>-1.6</v>
      </c>
      <c r="BD1606">
        <v>0</v>
      </c>
      <c r="BE1606" t="s">
        <v>56</v>
      </c>
      <c r="BF1606">
        <v>0.4</v>
      </c>
      <c r="BG1606">
        <v>0</v>
      </c>
      <c r="BH1606" t="s">
        <v>56</v>
      </c>
      <c r="BI1606">
        <v>4</v>
      </c>
      <c r="BJ1606">
        <v>2</v>
      </c>
      <c r="BK1606" t="s">
        <v>56</v>
      </c>
      <c r="BL1606" t="s">
        <v>666</v>
      </c>
      <c r="BM1606" t="s">
        <v>86</v>
      </c>
      <c r="BN1606" t="s">
        <v>81</v>
      </c>
      <c r="BO1606" t="s">
        <v>82</v>
      </c>
      <c r="BP1606" t="s">
        <v>9</v>
      </c>
      <c r="BQ1606" t="s">
        <v>9</v>
      </c>
      <c r="BR1606" t="s">
        <v>84</v>
      </c>
      <c r="BS1606"/>
      <c r="BT1606">
        <v>29.04</v>
      </c>
      <c r="BU1606">
        <v>70.959999999999994</v>
      </c>
      <c r="BV1606">
        <v>4.29</v>
      </c>
      <c r="BW1606">
        <f>BV1606*SQRT(AK1606)</f>
        <v>7.4304979644704829</v>
      </c>
      <c r="BX1606">
        <v>36.11</v>
      </c>
      <c r="BY1606">
        <v>63.89</v>
      </c>
      <c r="BZ1606">
        <v>4.55</v>
      </c>
      <c r="CA1606">
        <f>BZ1606*SQRT(AL1606)</f>
        <v>7.8808311744383905</v>
      </c>
      <c r="CB1606">
        <v>27</v>
      </c>
      <c r="CC1606">
        <v>3</v>
      </c>
      <c r="CD1606">
        <v>-0.105</v>
      </c>
      <c r="CE1606">
        <v>8.6999999999999994E-3</v>
      </c>
      <c r="CF1606"/>
    </row>
    <row r="1607" spans="1:84" hidden="1" x14ac:dyDescent="0.2">
      <c r="D1607">
        <v>185</v>
      </c>
      <c r="G1607" t="s">
        <v>43</v>
      </c>
      <c r="H1607" t="s">
        <v>871</v>
      </c>
      <c r="J1607">
        <v>2021</v>
      </c>
      <c r="M1607" t="s">
        <v>872</v>
      </c>
      <c r="T1607" t="s">
        <v>68</v>
      </c>
      <c r="U1607" t="s">
        <v>873</v>
      </c>
      <c r="V1607" t="s">
        <v>874</v>
      </c>
      <c r="Z1607" t="s">
        <v>106</v>
      </c>
      <c r="AA1607" t="s">
        <v>107</v>
      </c>
      <c r="AB1607" t="s">
        <v>50</v>
      </c>
      <c r="AC1607" t="s">
        <v>51</v>
      </c>
      <c r="AD1607" t="s">
        <v>52</v>
      </c>
      <c r="AE1607" t="s">
        <v>53</v>
      </c>
      <c r="AF1607" t="s">
        <v>52</v>
      </c>
      <c r="AG1607" t="s">
        <v>54</v>
      </c>
      <c r="AH1607" t="s">
        <v>55</v>
      </c>
      <c r="AK1607">
        <v>5</v>
      </c>
      <c r="AL1607">
        <v>5</v>
      </c>
      <c r="AM1607" t="s">
        <v>342</v>
      </c>
      <c r="AN1607">
        <v>454</v>
      </c>
      <c r="AO1607" t="s">
        <v>56</v>
      </c>
      <c r="AP1607">
        <v>25.09</v>
      </c>
      <c r="AQ1607" t="s">
        <v>57</v>
      </c>
      <c r="AR1607">
        <v>8.1300000000000008</v>
      </c>
      <c r="AS1607" t="s">
        <v>56</v>
      </c>
      <c r="AT1607">
        <v>0.01</v>
      </c>
      <c r="AU1607">
        <v>1858</v>
      </c>
      <c r="AV1607" t="s">
        <v>56</v>
      </c>
      <c r="AW1607">
        <v>69.06</v>
      </c>
      <c r="AX1607">
        <v>7.59</v>
      </c>
      <c r="AY1607" t="s">
        <v>56</v>
      </c>
      <c r="AZ1607">
        <v>0.02</v>
      </c>
      <c r="BB1607">
        <f>LOG(AU1607)</f>
        <v>3.2690457096576231</v>
      </c>
      <c r="BC1607">
        <v>26.9</v>
      </c>
      <c r="BD1607" t="s">
        <v>56</v>
      </c>
      <c r="BE1607">
        <v>0.2</v>
      </c>
      <c r="BF1607">
        <v>26.8</v>
      </c>
      <c r="BG1607" t="s">
        <v>56</v>
      </c>
      <c r="BH1607">
        <v>0.2</v>
      </c>
      <c r="BI1607">
        <v>1404</v>
      </c>
      <c r="BJ1607">
        <v>-0.1</v>
      </c>
      <c r="BK1607" t="s">
        <v>56</v>
      </c>
      <c r="BL1607" t="s">
        <v>875</v>
      </c>
      <c r="BM1607" t="s">
        <v>339</v>
      </c>
      <c r="BN1607" t="s">
        <v>340</v>
      </c>
      <c r="BO1607" t="s">
        <v>876</v>
      </c>
      <c r="BP1607" t="s">
        <v>194</v>
      </c>
      <c r="BQ1607" s="8" t="s">
        <v>190</v>
      </c>
      <c r="BR1607" t="s">
        <v>63</v>
      </c>
      <c r="BT1607">
        <v>0.44</v>
      </c>
      <c r="BU1607">
        <v>0.44</v>
      </c>
      <c r="BV1607">
        <v>0.03</v>
      </c>
      <c r="BW1607">
        <f>BV1607*SQRT(AK1607)</f>
        <v>6.7082039324993695E-2</v>
      </c>
      <c r="BX1607">
        <v>0.76</v>
      </c>
      <c r="BY1607">
        <v>0.75549999999999995</v>
      </c>
      <c r="BZ1607">
        <v>0.04</v>
      </c>
      <c r="CA1607">
        <f>BZ1607*SQRT(AL1607)</f>
        <v>8.9442719099991588E-2</v>
      </c>
      <c r="CB1607">
        <v>28</v>
      </c>
      <c r="CC1607">
        <v>3</v>
      </c>
      <c r="CD1607">
        <v>-0.53200000000000003</v>
      </c>
      <c r="CE1607">
        <v>7.3000000000000001E-3</v>
      </c>
    </row>
    <row r="1608" spans="1:84" hidden="1" x14ac:dyDescent="0.2">
      <c r="D1608">
        <v>185</v>
      </c>
      <c r="G1608" t="s">
        <v>43</v>
      </c>
      <c r="H1608" t="s">
        <v>871</v>
      </c>
      <c r="J1608">
        <v>2021</v>
      </c>
      <c r="M1608" t="s">
        <v>872</v>
      </c>
      <c r="T1608" t="s">
        <v>68</v>
      </c>
      <c r="U1608" t="s">
        <v>873</v>
      </c>
      <c r="V1608" t="s">
        <v>874</v>
      </c>
      <c r="Z1608" t="s">
        <v>106</v>
      </c>
      <c r="AA1608" t="s">
        <v>107</v>
      </c>
      <c r="AB1608" t="s">
        <v>50</v>
      </c>
      <c r="AC1608" t="s">
        <v>51</v>
      </c>
      <c r="AD1608" t="s">
        <v>52</v>
      </c>
      <c r="AE1608" t="s">
        <v>53</v>
      </c>
      <c r="AF1608" t="s">
        <v>52</v>
      </c>
      <c r="AG1608" t="s">
        <v>52</v>
      </c>
      <c r="AH1608" t="s">
        <v>64</v>
      </c>
      <c r="AK1608">
        <v>5</v>
      </c>
      <c r="AL1608">
        <v>5</v>
      </c>
      <c r="AM1608" t="s">
        <v>342</v>
      </c>
      <c r="AN1608">
        <v>454</v>
      </c>
      <c r="AO1608" t="s">
        <v>56</v>
      </c>
      <c r="AP1608">
        <v>25.09</v>
      </c>
      <c r="AQ1608" t="s">
        <v>57</v>
      </c>
      <c r="AR1608">
        <v>8.1300000000000008</v>
      </c>
      <c r="AS1608" t="s">
        <v>56</v>
      </c>
      <c r="AT1608">
        <v>0.01</v>
      </c>
      <c r="AU1608">
        <v>1948</v>
      </c>
      <c r="AV1608" t="s">
        <v>56</v>
      </c>
      <c r="AW1608">
        <v>28.87</v>
      </c>
      <c r="AX1608">
        <v>7.58</v>
      </c>
      <c r="AY1608" t="s">
        <v>56</v>
      </c>
      <c r="AZ1608">
        <v>0.01</v>
      </c>
      <c r="BB1608">
        <f>LOG(AU1608)</f>
        <v>3.2895889525425965</v>
      </c>
      <c r="BC1608">
        <v>26.9</v>
      </c>
      <c r="BD1608" t="s">
        <v>56</v>
      </c>
      <c r="BE1608">
        <v>0.2</v>
      </c>
      <c r="BF1608">
        <v>29.9</v>
      </c>
      <c r="BG1608" t="s">
        <v>56</v>
      </c>
      <c r="BH1608">
        <v>0.1</v>
      </c>
      <c r="BI1608">
        <v>1494</v>
      </c>
      <c r="BJ1608">
        <v>3</v>
      </c>
      <c r="BK1608" t="s">
        <v>56</v>
      </c>
      <c r="BL1608" t="s">
        <v>875</v>
      </c>
      <c r="BM1608" t="s">
        <v>339</v>
      </c>
      <c r="BN1608" t="s">
        <v>340</v>
      </c>
      <c r="BO1608" t="s">
        <v>876</v>
      </c>
      <c r="BP1608" t="s">
        <v>194</v>
      </c>
      <c r="BQ1608" s="8" t="s">
        <v>190</v>
      </c>
      <c r="BR1608" t="s">
        <v>63</v>
      </c>
      <c r="BT1608">
        <v>0.44</v>
      </c>
      <c r="BU1608">
        <v>0.44</v>
      </c>
      <c r="BV1608">
        <v>0.03</v>
      </c>
      <c r="BW1608">
        <f>BV1608*SQRT(AK1608)</f>
        <v>6.7082039324993695E-2</v>
      </c>
      <c r="BX1608">
        <v>0.75</v>
      </c>
      <c r="BY1608">
        <v>0.75249999999999995</v>
      </c>
      <c r="BZ1608">
        <v>0.02</v>
      </c>
      <c r="CA1608">
        <f>BZ1608*SQRT(AL1608)</f>
        <v>4.4721359549995794E-2</v>
      </c>
      <c r="CB1608">
        <v>28</v>
      </c>
      <c r="CC1608">
        <v>3</v>
      </c>
      <c r="CD1608">
        <v>-0.52800000000000002</v>
      </c>
      <c r="CE1608">
        <v>6.0000000000000001E-3</v>
      </c>
    </row>
    <row r="1609" spans="1:84" hidden="1" x14ac:dyDescent="0.2">
      <c r="D1609">
        <v>185</v>
      </c>
      <c r="G1609" t="s">
        <v>43</v>
      </c>
      <c r="H1609" t="s">
        <v>871</v>
      </c>
      <c r="J1609">
        <v>2021</v>
      </c>
      <c r="M1609" t="s">
        <v>872</v>
      </c>
      <c r="T1609" t="s">
        <v>68</v>
      </c>
      <c r="U1609" t="s">
        <v>873</v>
      </c>
      <c r="V1609" t="s">
        <v>874</v>
      </c>
      <c r="Z1609" t="s">
        <v>106</v>
      </c>
      <c r="AA1609" t="s">
        <v>107</v>
      </c>
      <c r="AB1609" t="s">
        <v>50</v>
      </c>
      <c r="AC1609" t="s">
        <v>51</v>
      </c>
      <c r="AD1609" t="s">
        <v>52</v>
      </c>
      <c r="AE1609" t="s">
        <v>53</v>
      </c>
      <c r="AF1609" t="s">
        <v>54</v>
      </c>
      <c r="AG1609" t="s">
        <v>52</v>
      </c>
      <c r="AH1609" t="s">
        <v>65</v>
      </c>
      <c r="AK1609">
        <v>5</v>
      </c>
      <c r="AL1609">
        <v>5</v>
      </c>
      <c r="AM1609" t="s">
        <v>342</v>
      </c>
      <c r="AN1609">
        <v>454</v>
      </c>
      <c r="AO1609" t="s">
        <v>56</v>
      </c>
      <c r="AP1609">
        <v>25.09</v>
      </c>
      <c r="AQ1609" t="s">
        <v>57</v>
      </c>
      <c r="AR1609">
        <v>8.1300000000000008</v>
      </c>
      <c r="AS1609" t="s">
        <v>56</v>
      </c>
      <c r="AT1609">
        <v>0.01</v>
      </c>
      <c r="AU1609">
        <v>458</v>
      </c>
      <c r="AV1609" t="s">
        <v>56</v>
      </c>
      <c r="AW1609">
        <v>32.35</v>
      </c>
      <c r="AX1609">
        <v>8.1300000000000008</v>
      </c>
      <c r="AY1609" t="s">
        <v>56</v>
      </c>
      <c r="AZ1609">
        <v>0.02</v>
      </c>
      <c r="BB1609">
        <f>LOG(AU1609)</f>
        <v>2.6608654780038692</v>
      </c>
      <c r="BC1609">
        <v>26.9</v>
      </c>
      <c r="BD1609" t="s">
        <v>56</v>
      </c>
      <c r="BE1609">
        <v>0.2</v>
      </c>
      <c r="BF1609">
        <v>29.9</v>
      </c>
      <c r="BG1609" t="s">
        <v>56</v>
      </c>
      <c r="BH1609">
        <v>0.2</v>
      </c>
      <c r="BI1609">
        <v>4</v>
      </c>
      <c r="BJ1609">
        <v>3</v>
      </c>
      <c r="BK1609" t="s">
        <v>56</v>
      </c>
      <c r="BL1609" t="s">
        <v>875</v>
      </c>
      <c r="BM1609" t="s">
        <v>339</v>
      </c>
      <c r="BN1609" t="s">
        <v>340</v>
      </c>
      <c r="BO1609" t="s">
        <v>876</v>
      </c>
      <c r="BP1609" t="s">
        <v>194</v>
      </c>
      <c r="BQ1609" s="8" t="s">
        <v>9</v>
      </c>
      <c r="BR1609" t="s">
        <v>63</v>
      </c>
      <c r="BT1609">
        <v>0.44</v>
      </c>
      <c r="BU1609">
        <v>0.44</v>
      </c>
      <c r="BV1609">
        <v>0.03</v>
      </c>
      <c r="BW1609">
        <f>BV1609*SQRT(AK1609)</f>
        <v>6.7082039324993695E-2</v>
      </c>
      <c r="BX1609">
        <v>0.66</v>
      </c>
      <c r="BY1609">
        <v>0.66149999999999998</v>
      </c>
      <c r="BZ1609">
        <v>0.04</v>
      </c>
      <c r="CA1609">
        <f>BZ1609*SQRT(AL1609)</f>
        <v>8.9442719099991588E-2</v>
      </c>
      <c r="CB1609">
        <v>28</v>
      </c>
      <c r="CC1609">
        <v>3</v>
      </c>
      <c r="CD1609">
        <v>-0.39900000000000002</v>
      </c>
      <c r="CE1609">
        <v>8.8999999999999999E-3</v>
      </c>
    </row>
    <row r="1610" spans="1:84" hidden="1" x14ac:dyDescent="0.2">
      <c r="D1610">
        <v>185</v>
      </c>
      <c r="G1610" t="s">
        <v>43</v>
      </c>
      <c r="H1610" t="s">
        <v>871</v>
      </c>
      <c r="J1610">
        <v>2021</v>
      </c>
      <c r="M1610" t="s">
        <v>872</v>
      </c>
      <c r="T1610" t="s">
        <v>68</v>
      </c>
      <c r="U1610" t="s">
        <v>873</v>
      </c>
      <c r="V1610" t="s">
        <v>874</v>
      </c>
      <c r="Z1610" t="s">
        <v>106</v>
      </c>
      <c r="AA1610" t="s">
        <v>107</v>
      </c>
      <c r="AB1610" t="s">
        <v>50</v>
      </c>
      <c r="AC1610" t="s">
        <v>51</v>
      </c>
      <c r="AD1610" t="s">
        <v>52</v>
      </c>
      <c r="AE1610" t="s">
        <v>53</v>
      </c>
      <c r="AF1610" t="s">
        <v>52</v>
      </c>
      <c r="AG1610" t="s">
        <v>54</v>
      </c>
      <c r="AH1610" t="s">
        <v>55</v>
      </c>
      <c r="AK1610">
        <v>5</v>
      </c>
      <c r="AL1610">
        <v>5</v>
      </c>
      <c r="AN1610">
        <v>454</v>
      </c>
      <c r="AO1610" t="s">
        <v>56</v>
      </c>
      <c r="AP1610">
        <v>25.09</v>
      </c>
      <c r="AQ1610" t="s">
        <v>57</v>
      </c>
      <c r="AR1610">
        <v>8.1300000000000008</v>
      </c>
      <c r="AS1610" t="s">
        <v>56</v>
      </c>
      <c r="AT1610">
        <v>0.01</v>
      </c>
      <c r="AU1610">
        <v>1858</v>
      </c>
      <c r="AV1610" t="s">
        <v>56</v>
      </c>
      <c r="AW1610">
        <v>69.06</v>
      </c>
      <c r="AX1610">
        <v>7.59</v>
      </c>
      <c r="AY1610" t="s">
        <v>56</v>
      </c>
      <c r="AZ1610">
        <v>0.02</v>
      </c>
      <c r="BB1610">
        <f>LOG(AU1610)</f>
        <v>3.2690457096576231</v>
      </c>
      <c r="BC1610">
        <v>26.9</v>
      </c>
      <c r="BD1610" t="s">
        <v>56</v>
      </c>
      <c r="BE1610">
        <v>0.2</v>
      </c>
      <c r="BF1610">
        <v>26.8</v>
      </c>
      <c r="BG1610" t="s">
        <v>56</v>
      </c>
      <c r="BH1610">
        <v>0.2</v>
      </c>
      <c r="BI1610">
        <v>1404</v>
      </c>
      <c r="BJ1610">
        <v>-0.1</v>
      </c>
      <c r="BK1610" t="s">
        <v>56</v>
      </c>
      <c r="BL1610" t="s">
        <v>274</v>
      </c>
      <c r="BM1610" t="s">
        <v>59</v>
      </c>
      <c r="BN1610" t="s">
        <v>60</v>
      </c>
      <c r="BO1610" t="s">
        <v>877</v>
      </c>
      <c r="BP1610" t="s">
        <v>62</v>
      </c>
      <c r="BQ1610" s="8" t="s">
        <v>9</v>
      </c>
      <c r="BR1610" t="s">
        <v>63</v>
      </c>
      <c r="BT1610">
        <v>0.64</v>
      </c>
      <c r="BU1610">
        <v>0.64</v>
      </c>
      <c r="BV1610">
        <v>0.05</v>
      </c>
      <c r="BW1610">
        <f>BV1610*SQRT(AK1610)</f>
        <v>0.1118033988749895</v>
      </c>
      <c r="BX1610">
        <v>0.56999999999999995</v>
      </c>
      <c r="BY1610">
        <v>0.57079999999999997</v>
      </c>
      <c r="BZ1610">
        <v>0.04</v>
      </c>
      <c r="CA1610">
        <f>BZ1610*SQRT(AL1610)</f>
        <v>8.9442719099991588E-2</v>
      </c>
      <c r="CB1610">
        <v>28</v>
      </c>
      <c r="CC1610">
        <v>3</v>
      </c>
      <c r="CD1610">
        <v>-0.12</v>
      </c>
      <c r="CE1610">
        <v>1.0999999999999999E-2</v>
      </c>
    </row>
    <row r="1611" spans="1:84" hidden="1" x14ac:dyDescent="0.2">
      <c r="D1611">
        <v>185</v>
      </c>
      <c r="G1611" t="s">
        <v>43</v>
      </c>
      <c r="H1611" t="s">
        <v>871</v>
      </c>
      <c r="J1611">
        <v>2021</v>
      </c>
      <c r="M1611" t="s">
        <v>872</v>
      </c>
      <c r="T1611" t="s">
        <v>68</v>
      </c>
      <c r="U1611" t="s">
        <v>873</v>
      </c>
      <c r="V1611" t="s">
        <v>874</v>
      </c>
      <c r="Z1611" t="s">
        <v>106</v>
      </c>
      <c r="AA1611" t="s">
        <v>107</v>
      </c>
      <c r="AB1611" t="s">
        <v>50</v>
      </c>
      <c r="AC1611" t="s">
        <v>51</v>
      </c>
      <c r="AD1611" t="s">
        <v>52</v>
      </c>
      <c r="AE1611" t="s">
        <v>53</v>
      </c>
      <c r="AF1611" t="s">
        <v>54</v>
      </c>
      <c r="AG1611" t="s">
        <v>52</v>
      </c>
      <c r="AH1611" t="s">
        <v>65</v>
      </c>
      <c r="AK1611">
        <v>5</v>
      </c>
      <c r="AL1611">
        <v>5</v>
      </c>
      <c r="AN1611">
        <v>454</v>
      </c>
      <c r="AO1611" t="s">
        <v>56</v>
      </c>
      <c r="AP1611">
        <v>25.09</v>
      </c>
      <c r="AQ1611" t="s">
        <v>57</v>
      </c>
      <c r="AR1611">
        <v>8.1300000000000008</v>
      </c>
      <c r="AS1611" t="s">
        <v>56</v>
      </c>
      <c r="AT1611">
        <v>0.01</v>
      </c>
      <c r="AU1611">
        <v>458</v>
      </c>
      <c r="AV1611" t="s">
        <v>56</v>
      </c>
      <c r="AW1611">
        <v>32.35</v>
      </c>
      <c r="AX1611">
        <v>8.1300000000000008</v>
      </c>
      <c r="AY1611" t="s">
        <v>56</v>
      </c>
      <c r="AZ1611">
        <v>0.02</v>
      </c>
      <c r="BB1611">
        <f>LOG(AU1611)</f>
        <v>2.6608654780038692</v>
      </c>
      <c r="BC1611">
        <v>26.9</v>
      </c>
      <c r="BD1611" t="s">
        <v>56</v>
      </c>
      <c r="BE1611">
        <v>0.2</v>
      </c>
      <c r="BF1611">
        <v>29.9</v>
      </c>
      <c r="BG1611" t="s">
        <v>56</v>
      </c>
      <c r="BH1611">
        <v>0.2</v>
      </c>
      <c r="BI1611">
        <v>4</v>
      </c>
      <c r="BJ1611">
        <v>3</v>
      </c>
      <c r="BK1611" t="s">
        <v>56</v>
      </c>
      <c r="BL1611" t="s">
        <v>878</v>
      </c>
      <c r="BM1611" t="s">
        <v>336</v>
      </c>
      <c r="BN1611" t="s">
        <v>81</v>
      </c>
      <c r="BO1611" t="s">
        <v>879</v>
      </c>
      <c r="BP1611" t="s">
        <v>194</v>
      </c>
      <c r="BQ1611" s="8" t="s">
        <v>9</v>
      </c>
      <c r="BR1611" t="s">
        <v>63</v>
      </c>
      <c r="BT1611">
        <v>63.29</v>
      </c>
      <c r="BU1611">
        <v>63.29</v>
      </c>
      <c r="BV1611">
        <v>15.34</v>
      </c>
      <c r="BW1611">
        <f>BV1611*SQRT(AK1611)</f>
        <v>34.301282774846776</v>
      </c>
      <c r="BX1611">
        <v>87.58</v>
      </c>
      <c r="BY1611">
        <v>87.577100000000002</v>
      </c>
      <c r="BZ1611">
        <v>14.04</v>
      </c>
      <c r="CA1611">
        <f>BZ1611*SQRT(AL1611)</f>
        <v>31.394394404097046</v>
      </c>
      <c r="CB1611">
        <v>28</v>
      </c>
      <c r="CC1611">
        <v>3</v>
      </c>
      <c r="CD1611">
        <v>0.32479999999999998</v>
      </c>
      <c r="CE1611">
        <v>8.4500000000000006E-2</v>
      </c>
    </row>
    <row r="1612" spans="1:84" hidden="1" x14ac:dyDescent="0.2">
      <c r="D1612">
        <v>185</v>
      </c>
      <c r="G1612" t="s">
        <v>43</v>
      </c>
      <c r="H1612" t="s">
        <v>871</v>
      </c>
      <c r="J1612">
        <v>2021</v>
      </c>
      <c r="M1612" t="s">
        <v>872</v>
      </c>
      <c r="T1612" t="s">
        <v>68</v>
      </c>
      <c r="U1612" t="s">
        <v>873</v>
      </c>
      <c r="V1612" t="s">
        <v>874</v>
      </c>
      <c r="Z1612" t="s">
        <v>106</v>
      </c>
      <c r="AA1612" t="s">
        <v>107</v>
      </c>
      <c r="AB1612" t="s">
        <v>50</v>
      </c>
      <c r="AC1612" t="s">
        <v>51</v>
      </c>
      <c r="AD1612" t="s">
        <v>52</v>
      </c>
      <c r="AE1612" t="s">
        <v>53</v>
      </c>
      <c r="AF1612" t="s">
        <v>52</v>
      </c>
      <c r="AG1612" t="s">
        <v>52</v>
      </c>
      <c r="AH1612" t="s">
        <v>64</v>
      </c>
      <c r="AK1612">
        <v>5</v>
      </c>
      <c r="AL1612">
        <v>5</v>
      </c>
      <c r="AN1612">
        <v>454</v>
      </c>
      <c r="AO1612" t="s">
        <v>56</v>
      </c>
      <c r="AP1612">
        <v>25.09</v>
      </c>
      <c r="AQ1612" t="s">
        <v>57</v>
      </c>
      <c r="AR1612">
        <v>8.1300000000000008</v>
      </c>
      <c r="AS1612" t="s">
        <v>56</v>
      </c>
      <c r="AT1612">
        <v>0.01</v>
      </c>
      <c r="AU1612">
        <v>1948</v>
      </c>
      <c r="AV1612" t="s">
        <v>56</v>
      </c>
      <c r="AW1612">
        <v>28.87</v>
      </c>
      <c r="AX1612">
        <v>7.58</v>
      </c>
      <c r="AY1612" t="s">
        <v>56</v>
      </c>
      <c r="AZ1612">
        <v>0.01</v>
      </c>
      <c r="BB1612">
        <f>LOG(AU1612)</f>
        <v>3.2895889525425965</v>
      </c>
      <c r="BC1612">
        <v>26.9</v>
      </c>
      <c r="BD1612" t="s">
        <v>56</v>
      </c>
      <c r="BE1612">
        <v>0.2</v>
      </c>
      <c r="BF1612">
        <v>29.9</v>
      </c>
      <c r="BG1612" t="s">
        <v>56</v>
      </c>
      <c r="BH1612">
        <v>0.1</v>
      </c>
      <c r="BI1612">
        <v>1494</v>
      </c>
      <c r="BJ1612">
        <v>3</v>
      </c>
      <c r="BK1612" t="s">
        <v>56</v>
      </c>
      <c r="BL1612" t="s">
        <v>878</v>
      </c>
      <c r="BM1612" t="s">
        <v>336</v>
      </c>
      <c r="BN1612" t="s">
        <v>81</v>
      </c>
      <c r="BO1612" t="s">
        <v>879</v>
      </c>
      <c r="BP1612" t="s">
        <v>194</v>
      </c>
      <c r="BQ1612" s="8" t="s">
        <v>190</v>
      </c>
      <c r="BR1612" t="s">
        <v>63</v>
      </c>
      <c r="BT1612">
        <v>63.29</v>
      </c>
      <c r="BU1612">
        <v>63.29</v>
      </c>
      <c r="BV1612">
        <v>15.34</v>
      </c>
      <c r="BW1612">
        <f>BV1612*SQRT(AK1612)</f>
        <v>34.301282774846776</v>
      </c>
      <c r="BX1612">
        <v>88.99</v>
      </c>
      <c r="BY1612">
        <v>88.992000000000004</v>
      </c>
      <c r="BZ1612">
        <v>8.32</v>
      </c>
      <c r="CA1612">
        <f>BZ1612*SQRT(AL1612)</f>
        <v>18.604085572798251</v>
      </c>
      <c r="CB1612">
        <v>28</v>
      </c>
      <c r="CC1612">
        <v>3</v>
      </c>
      <c r="CD1612">
        <v>0.34079999999999999</v>
      </c>
      <c r="CE1612">
        <v>6.7500000000000004E-2</v>
      </c>
    </row>
    <row r="1613" spans="1:84" hidden="1" x14ac:dyDescent="0.2">
      <c r="D1613">
        <v>185</v>
      </c>
      <c r="G1613" t="s">
        <v>43</v>
      </c>
      <c r="H1613" t="s">
        <v>871</v>
      </c>
      <c r="J1613">
        <v>2021</v>
      </c>
      <c r="M1613" t="s">
        <v>872</v>
      </c>
      <c r="T1613" t="s">
        <v>68</v>
      </c>
      <c r="U1613" t="s">
        <v>873</v>
      </c>
      <c r="V1613" t="s">
        <v>874</v>
      </c>
      <c r="Z1613" t="s">
        <v>106</v>
      </c>
      <c r="AA1613" t="s">
        <v>107</v>
      </c>
      <c r="AB1613" t="s">
        <v>50</v>
      </c>
      <c r="AC1613" t="s">
        <v>51</v>
      </c>
      <c r="AD1613" t="s">
        <v>52</v>
      </c>
      <c r="AE1613" t="s">
        <v>53</v>
      </c>
      <c r="AF1613" t="s">
        <v>52</v>
      </c>
      <c r="AG1613" t="s">
        <v>54</v>
      </c>
      <c r="AH1613" t="s">
        <v>55</v>
      </c>
      <c r="AK1613">
        <v>5</v>
      </c>
      <c r="AL1613">
        <v>5</v>
      </c>
      <c r="AN1613">
        <v>454</v>
      </c>
      <c r="AO1613" t="s">
        <v>56</v>
      </c>
      <c r="AP1613">
        <v>25.09</v>
      </c>
      <c r="AQ1613" t="s">
        <v>57</v>
      </c>
      <c r="AR1613">
        <v>8.1300000000000008</v>
      </c>
      <c r="AS1613" t="s">
        <v>56</v>
      </c>
      <c r="AT1613">
        <v>0.01</v>
      </c>
      <c r="AU1613">
        <v>1858</v>
      </c>
      <c r="AV1613" t="s">
        <v>56</v>
      </c>
      <c r="AW1613">
        <v>69.06</v>
      </c>
      <c r="AX1613">
        <v>7.59</v>
      </c>
      <c r="AY1613" t="s">
        <v>56</v>
      </c>
      <c r="AZ1613">
        <v>0.02</v>
      </c>
      <c r="BB1613">
        <f>LOG(AU1613)</f>
        <v>3.2690457096576231</v>
      </c>
      <c r="BC1613">
        <v>26.9</v>
      </c>
      <c r="BD1613" t="s">
        <v>56</v>
      </c>
      <c r="BE1613">
        <v>0.2</v>
      </c>
      <c r="BF1613">
        <v>26.8</v>
      </c>
      <c r="BG1613" t="s">
        <v>56</v>
      </c>
      <c r="BH1613">
        <v>0.2</v>
      </c>
      <c r="BI1613">
        <v>1404</v>
      </c>
      <c r="BJ1613">
        <v>-0.1</v>
      </c>
      <c r="BK1613" t="s">
        <v>56</v>
      </c>
      <c r="BL1613" t="s">
        <v>878</v>
      </c>
      <c r="BM1613" t="s">
        <v>336</v>
      </c>
      <c r="BN1613" t="s">
        <v>81</v>
      </c>
      <c r="BO1613" t="s">
        <v>879</v>
      </c>
      <c r="BP1613" t="s">
        <v>194</v>
      </c>
      <c r="BQ1613" s="8" t="s">
        <v>9</v>
      </c>
      <c r="BR1613" t="s">
        <v>63</v>
      </c>
      <c r="BT1613">
        <v>63.29</v>
      </c>
      <c r="BU1613">
        <v>63.29</v>
      </c>
      <c r="BV1613">
        <v>15.34</v>
      </c>
      <c r="BW1613">
        <f>BV1613*SQRT(AK1613)</f>
        <v>34.301282774846776</v>
      </c>
      <c r="BX1613">
        <v>90.28</v>
      </c>
      <c r="BY1613">
        <v>90.280900000000003</v>
      </c>
      <c r="BZ1613">
        <v>7.8</v>
      </c>
      <c r="CA1613">
        <f>BZ1613*SQRT(AL1613)</f>
        <v>17.441330224498358</v>
      </c>
      <c r="CB1613">
        <v>28</v>
      </c>
      <c r="CC1613">
        <v>3</v>
      </c>
      <c r="CD1613">
        <v>0.35520000000000002</v>
      </c>
      <c r="CE1613">
        <v>6.6199999999999995E-2</v>
      </c>
    </row>
    <row r="1614" spans="1:84" hidden="1" x14ac:dyDescent="0.2">
      <c r="D1614">
        <v>185</v>
      </c>
      <c r="G1614" t="s">
        <v>43</v>
      </c>
      <c r="H1614" t="s">
        <v>871</v>
      </c>
      <c r="J1614">
        <v>2021</v>
      </c>
      <c r="M1614" t="s">
        <v>872</v>
      </c>
      <c r="T1614" t="s">
        <v>68</v>
      </c>
      <c r="U1614" t="s">
        <v>873</v>
      </c>
      <c r="V1614" t="s">
        <v>874</v>
      </c>
      <c r="Z1614" t="s">
        <v>106</v>
      </c>
      <c r="AA1614" t="s">
        <v>107</v>
      </c>
      <c r="AB1614" t="s">
        <v>50</v>
      </c>
      <c r="AC1614" t="s">
        <v>51</v>
      </c>
      <c r="AD1614" t="s">
        <v>52</v>
      </c>
      <c r="AE1614" t="s">
        <v>53</v>
      </c>
      <c r="AF1614" t="s">
        <v>54</v>
      </c>
      <c r="AG1614" t="s">
        <v>52</v>
      </c>
      <c r="AH1614" t="s">
        <v>65</v>
      </c>
      <c r="AK1614">
        <v>5</v>
      </c>
      <c r="AL1614">
        <v>5</v>
      </c>
      <c r="AN1614">
        <v>454</v>
      </c>
      <c r="AO1614" t="s">
        <v>56</v>
      </c>
      <c r="AP1614">
        <v>25.09</v>
      </c>
      <c r="AQ1614" t="s">
        <v>57</v>
      </c>
      <c r="AR1614">
        <v>8.1300000000000008</v>
      </c>
      <c r="AS1614" t="s">
        <v>56</v>
      </c>
      <c r="AT1614">
        <v>0.01</v>
      </c>
      <c r="AU1614">
        <v>458</v>
      </c>
      <c r="AV1614" t="s">
        <v>56</v>
      </c>
      <c r="AW1614">
        <v>32.35</v>
      </c>
      <c r="AX1614">
        <v>8.1300000000000008</v>
      </c>
      <c r="AY1614" t="s">
        <v>56</v>
      </c>
      <c r="AZ1614">
        <v>0.02</v>
      </c>
      <c r="BB1614">
        <f>LOG(AU1614)</f>
        <v>2.6608654780038692</v>
      </c>
      <c r="BC1614">
        <v>26.9</v>
      </c>
      <c r="BD1614" t="s">
        <v>56</v>
      </c>
      <c r="BE1614">
        <v>0.2</v>
      </c>
      <c r="BF1614">
        <v>29.9</v>
      </c>
      <c r="BG1614" t="s">
        <v>56</v>
      </c>
      <c r="BH1614">
        <v>0.2</v>
      </c>
      <c r="BI1614">
        <v>4</v>
      </c>
      <c r="BJ1614">
        <v>3</v>
      </c>
      <c r="BK1614" t="s">
        <v>56</v>
      </c>
      <c r="BL1614" t="s">
        <v>274</v>
      </c>
      <c r="BM1614" t="s">
        <v>59</v>
      </c>
      <c r="BN1614" t="s">
        <v>60</v>
      </c>
      <c r="BO1614" t="s">
        <v>877</v>
      </c>
      <c r="BP1614" t="s">
        <v>62</v>
      </c>
      <c r="BQ1614" s="8" t="s">
        <v>190</v>
      </c>
      <c r="BR1614" t="s">
        <v>63</v>
      </c>
      <c r="BT1614">
        <v>0.64</v>
      </c>
      <c r="BU1614">
        <v>0.64</v>
      </c>
      <c r="BV1614">
        <v>0.05</v>
      </c>
      <c r="BW1614">
        <f>BV1614*SQRT(AK1614)</f>
        <v>0.1118033988749895</v>
      </c>
      <c r="BX1614">
        <v>0.93</v>
      </c>
      <c r="BY1614">
        <v>0.93469999999999998</v>
      </c>
      <c r="BZ1614">
        <v>0.08</v>
      </c>
      <c r="CA1614">
        <f>BZ1614*SQRT(AL1614)</f>
        <v>0.17888543819998318</v>
      </c>
      <c r="CB1614">
        <v>28</v>
      </c>
      <c r="CC1614">
        <v>3</v>
      </c>
      <c r="CD1614">
        <v>0.37309999999999999</v>
      </c>
      <c r="CE1614">
        <v>1.34E-2</v>
      </c>
    </row>
    <row r="1615" spans="1:84" hidden="1" x14ac:dyDescent="0.2">
      <c r="D1615">
        <v>185</v>
      </c>
      <c r="G1615" t="s">
        <v>43</v>
      </c>
      <c r="H1615" t="s">
        <v>871</v>
      </c>
      <c r="J1615">
        <v>2021</v>
      </c>
      <c r="M1615" t="s">
        <v>872</v>
      </c>
      <c r="T1615" t="s">
        <v>68</v>
      </c>
      <c r="U1615" t="s">
        <v>873</v>
      </c>
      <c r="V1615" t="s">
        <v>874</v>
      </c>
      <c r="Z1615" t="s">
        <v>106</v>
      </c>
      <c r="AA1615" t="s">
        <v>107</v>
      </c>
      <c r="AB1615" t="s">
        <v>50</v>
      </c>
      <c r="AC1615" t="s">
        <v>51</v>
      </c>
      <c r="AD1615" t="s">
        <v>52</v>
      </c>
      <c r="AE1615" t="s">
        <v>53</v>
      </c>
      <c r="AF1615" t="s">
        <v>52</v>
      </c>
      <c r="AG1615" t="s">
        <v>52</v>
      </c>
      <c r="AH1615" t="s">
        <v>64</v>
      </c>
      <c r="AK1615">
        <v>5</v>
      </c>
      <c r="AL1615">
        <v>5</v>
      </c>
      <c r="AN1615">
        <v>454</v>
      </c>
      <c r="AO1615" t="s">
        <v>56</v>
      </c>
      <c r="AP1615">
        <v>25.09</v>
      </c>
      <c r="AQ1615" t="s">
        <v>57</v>
      </c>
      <c r="AR1615">
        <v>8.1300000000000008</v>
      </c>
      <c r="AS1615" t="s">
        <v>56</v>
      </c>
      <c r="AT1615">
        <v>0.01</v>
      </c>
      <c r="AU1615">
        <v>1948</v>
      </c>
      <c r="AV1615" t="s">
        <v>56</v>
      </c>
      <c r="AW1615">
        <v>28.87</v>
      </c>
      <c r="AX1615">
        <v>7.58</v>
      </c>
      <c r="AY1615" t="s">
        <v>56</v>
      </c>
      <c r="AZ1615">
        <v>0.01</v>
      </c>
      <c r="BB1615">
        <f>LOG(AU1615)</f>
        <v>3.2895889525425965</v>
      </c>
      <c r="BC1615">
        <v>26.9</v>
      </c>
      <c r="BD1615" t="s">
        <v>56</v>
      </c>
      <c r="BE1615">
        <v>0.2</v>
      </c>
      <c r="BF1615">
        <v>29.9</v>
      </c>
      <c r="BG1615" t="s">
        <v>56</v>
      </c>
      <c r="BH1615">
        <v>0.1</v>
      </c>
      <c r="BI1615">
        <v>1494</v>
      </c>
      <c r="BJ1615">
        <v>3</v>
      </c>
      <c r="BK1615" t="s">
        <v>56</v>
      </c>
      <c r="BL1615" t="s">
        <v>274</v>
      </c>
      <c r="BM1615" t="s">
        <v>59</v>
      </c>
      <c r="BN1615" t="s">
        <v>60</v>
      </c>
      <c r="BO1615" t="s">
        <v>877</v>
      </c>
      <c r="BP1615" t="s">
        <v>62</v>
      </c>
      <c r="BQ1615" s="8" t="s">
        <v>9</v>
      </c>
      <c r="BR1615" t="s">
        <v>63</v>
      </c>
      <c r="BT1615">
        <v>0.64</v>
      </c>
      <c r="BU1615">
        <v>0.64</v>
      </c>
      <c r="BV1615">
        <v>0.05</v>
      </c>
      <c r="BW1615">
        <f>BV1615*SQRT(AK1615)</f>
        <v>0.1118033988749895</v>
      </c>
      <c r="BX1615">
        <v>0.97</v>
      </c>
      <c r="BY1615">
        <v>0.96819999999999995</v>
      </c>
      <c r="BZ1615">
        <v>0.1</v>
      </c>
      <c r="CA1615">
        <f>BZ1615*SQRT(AL1615)</f>
        <v>0.22360679774997899</v>
      </c>
      <c r="CB1615">
        <v>28</v>
      </c>
      <c r="CC1615">
        <v>3</v>
      </c>
      <c r="CD1615">
        <v>0.40839999999999999</v>
      </c>
      <c r="CE1615">
        <v>1.67E-2</v>
      </c>
    </row>
    <row r="1616" spans="1:84" hidden="1" x14ac:dyDescent="0.2">
      <c r="B1616" t="str">
        <f>ROW()-1&amp;"_AltersInvert"</f>
        <v>1615_AltersInvert</v>
      </c>
      <c r="C1616" t="str">
        <f>D1616&amp;"_"&amp;
SUBSTITUTE(TRIM(V1616)," ","_")&amp;"_"&amp;
TRIM(AC1616)&amp;"_"&amp;
"CO2"&amp;TEXT(AN1616,"0.00")&amp;"_"&amp;
"pH"&amp;TEXT(AR1616,"0.00")&amp;"_"&amp;
"T"&amp;TEXT(BC1616,"0.##")</f>
        <v>75_Laternula_elliptica_LARVA_CO2458.00_pH7.97_T-1.6</v>
      </c>
      <c r="D1616">
        <v>75</v>
      </c>
      <c r="G1616" t="s">
        <v>43</v>
      </c>
      <c r="H1616" t="s">
        <v>662</v>
      </c>
      <c r="J1616">
        <v>2017</v>
      </c>
      <c r="M1616" t="s">
        <v>436</v>
      </c>
      <c r="P1616" t="s">
        <v>1135</v>
      </c>
      <c r="R1616" t="s">
        <v>1127</v>
      </c>
      <c r="S1616" t="s">
        <v>1128</v>
      </c>
      <c r="T1616" t="s">
        <v>68</v>
      </c>
      <c r="U1616" t="s">
        <v>663</v>
      </c>
      <c r="V1616" t="s">
        <v>664</v>
      </c>
      <c r="Z1616" t="s">
        <v>475</v>
      </c>
      <c r="AA1616" t="s">
        <v>475</v>
      </c>
      <c r="AB1616" t="s">
        <v>71</v>
      </c>
      <c r="AC1616" t="s">
        <v>72</v>
      </c>
      <c r="AD1616" t="s">
        <v>52</v>
      </c>
      <c r="AE1616" t="s">
        <v>53</v>
      </c>
      <c r="AF1616" t="s">
        <v>54</v>
      </c>
      <c r="AG1616" t="s">
        <v>52</v>
      </c>
      <c r="AH1616" t="s">
        <v>65</v>
      </c>
      <c r="AK1616">
        <v>3</v>
      </c>
      <c r="AL1616">
        <v>3</v>
      </c>
      <c r="AN1616">
        <v>458</v>
      </c>
      <c r="AO1616">
        <v>2</v>
      </c>
      <c r="AP1616" t="s">
        <v>56</v>
      </c>
      <c r="AQ1616" t="s">
        <v>109</v>
      </c>
      <c r="AR1616">
        <v>7.97</v>
      </c>
      <c r="AS1616">
        <v>0</v>
      </c>
      <c r="AT1616" t="s">
        <v>56</v>
      </c>
      <c r="AU1616">
        <v>460</v>
      </c>
      <c r="AV1616">
        <v>2</v>
      </c>
      <c r="AW1616" t="s">
        <v>56</v>
      </c>
      <c r="AX1616">
        <v>7.99</v>
      </c>
      <c r="AY1616">
        <v>0</v>
      </c>
      <c r="AZ1616" t="s">
        <v>56</v>
      </c>
      <c r="BB1616">
        <f>LOG(AU1616)</f>
        <v>2.6627578316815739</v>
      </c>
      <c r="BC1616">
        <v>-1.6</v>
      </c>
      <c r="BD1616">
        <v>0</v>
      </c>
      <c r="BE1616" t="s">
        <v>56</v>
      </c>
      <c r="BF1616">
        <v>-0.5</v>
      </c>
      <c r="BG1616">
        <v>0</v>
      </c>
      <c r="BH1616" t="s">
        <v>56</v>
      </c>
      <c r="BI1616">
        <v>2</v>
      </c>
      <c r="BJ1616">
        <v>1.1000000000000001</v>
      </c>
      <c r="BK1616" t="s">
        <v>56</v>
      </c>
      <c r="BL1616" t="s">
        <v>666</v>
      </c>
      <c r="BM1616" t="s">
        <v>86</v>
      </c>
      <c r="BN1616" t="s">
        <v>81</v>
      </c>
      <c r="BO1616" t="s">
        <v>82</v>
      </c>
      <c r="BP1616" t="s">
        <v>9</v>
      </c>
      <c r="BQ1616" t="s">
        <v>9</v>
      </c>
      <c r="BR1616" t="s">
        <v>84</v>
      </c>
      <c r="BT1616">
        <v>29.04</v>
      </c>
      <c r="BU1616">
        <v>70.959999999999994</v>
      </c>
      <c r="BV1616">
        <v>4.29</v>
      </c>
      <c r="BW1616">
        <f>BV1616*SQRT(AK1616)</f>
        <v>7.4304979644704829</v>
      </c>
      <c r="BX1616">
        <v>22.8</v>
      </c>
      <c r="BY1616">
        <v>77.2</v>
      </c>
      <c r="BZ1616">
        <v>1.44</v>
      </c>
      <c r="CA1616">
        <f>BZ1616*SQRT(AL1616)</f>
        <v>2.4941531628991829</v>
      </c>
      <c r="CB1616">
        <v>27</v>
      </c>
      <c r="CC1616">
        <v>3</v>
      </c>
      <c r="CD1616">
        <v>8.4000000000000005E-2</v>
      </c>
      <c r="CE1616">
        <v>4.0000000000000001E-3</v>
      </c>
      <c r="CF1616" s="8"/>
    </row>
    <row r="1617" spans="2:84" hidden="1" x14ac:dyDescent="0.2">
      <c r="B1617" t="str">
        <f>ROW()-1&amp;"_AltersInvert"</f>
        <v>1616_AltersInvert</v>
      </c>
      <c r="C1617" t="str">
        <f>D1617&amp;"_"&amp;
SUBSTITUTE(TRIM(V1617)," ","_")&amp;"_"&amp;
TRIM(AC1617)&amp;"_"&amp;
"CO2"&amp;TEXT(AN1617,"0.00")&amp;"_"&amp;
"pH"&amp;TEXT(AR1617,"0.00")&amp;"_"&amp;
"T"&amp;TEXT(BC1617,"0.##")</f>
        <v>75_Laternula_elliptica_LARVA_CO2458.00_pH7.97_T-1.6</v>
      </c>
      <c r="D1617">
        <v>75</v>
      </c>
      <c r="G1617" t="s">
        <v>43</v>
      </c>
      <c r="H1617" t="s">
        <v>662</v>
      </c>
      <c r="J1617">
        <v>2017</v>
      </c>
      <c r="M1617" t="s">
        <v>436</v>
      </c>
      <c r="P1617" t="s">
        <v>1135</v>
      </c>
      <c r="R1617" t="s">
        <v>1127</v>
      </c>
      <c r="S1617" t="s">
        <v>1128</v>
      </c>
      <c r="T1617" t="s">
        <v>68</v>
      </c>
      <c r="U1617" t="s">
        <v>663</v>
      </c>
      <c r="V1617" t="s">
        <v>664</v>
      </c>
      <c r="Z1617" t="s">
        <v>475</v>
      </c>
      <c r="AA1617" t="s">
        <v>475</v>
      </c>
      <c r="AB1617" t="s">
        <v>71</v>
      </c>
      <c r="AC1617" t="s">
        <v>72</v>
      </c>
      <c r="AD1617" t="s">
        <v>52</v>
      </c>
      <c r="AE1617" t="s">
        <v>53</v>
      </c>
      <c r="AF1617" t="s">
        <v>52</v>
      </c>
      <c r="AG1617" t="s">
        <v>52</v>
      </c>
      <c r="AH1617" t="s">
        <v>64</v>
      </c>
      <c r="AK1617">
        <v>3</v>
      </c>
      <c r="AL1617">
        <v>3</v>
      </c>
      <c r="AN1617">
        <v>458</v>
      </c>
      <c r="AO1617">
        <v>2</v>
      </c>
      <c r="AP1617" t="s">
        <v>56</v>
      </c>
      <c r="AQ1617" t="s">
        <v>109</v>
      </c>
      <c r="AR1617">
        <v>7.97</v>
      </c>
      <c r="AS1617">
        <v>0</v>
      </c>
      <c r="AT1617" t="s">
        <v>56</v>
      </c>
      <c r="AU1617">
        <v>1052</v>
      </c>
      <c r="AV1617">
        <v>4</v>
      </c>
      <c r="AW1617" t="s">
        <v>56</v>
      </c>
      <c r="AX1617">
        <v>7.63</v>
      </c>
      <c r="AY1617">
        <v>0</v>
      </c>
      <c r="AZ1617" t="s">
        <v>56</v>
      </c>
      <c r="BB1617">
        <f>LOG(AU1617)</f>
        <v>3.0220157398177201</v>
      </c>
      <c r="BC1617">
        <v>-1.6</v>
      </c>
      <c r="BD1617">
        <v>0</v>
      </c>
      <c r="BE1617" t="s">
        <v>56</v>
      </c>
      <c r="BF1617">
        <v>0.4</v>
      </c>
      <c r="BG1617">
        <v>0</v>
      </c>
      <c r="BH1617" t="s">
        <v>56</v>
      </c>
      <c r="BI1617">
        <v>594</v>
      </c>
      <c r="BJ1617">
        <v>2</v>
      </c>
      <c r="BK1617" t="s">
        <v>56</v>
      </c>
      <c r="BL1617" t="s">
        <v>666</v>
      </c>
      <c r="BM1617" t="s">
        <v>86</v>
      </c>
      <c r="BN1617" t="s">
        <v>81</v>
      </c>
      <c r="BO1617" t="s">
        <v>82</v>
      </c>
      <c r="BP1617" t="s">
        <v>9</v>
      </c>
      <c r="BQ1617" t="s">
        <v>9</v>
      </c>
      <c r="BR1617" t="s">
        <v>84</v>
      </c>
      <c r="BT1617">
        <v>29.04</v>
      </c>
      <c r="BU1617">
        <v>70.959999999999994</v>
      </c>
      <c r="BV1617">
        <v>4.29</v>
      </c>
      <c r="BW1617">
        <f>BV1617*SQRT(AK1617)</f>
        <v>7.4304979644704829</v>
      </c>
      <c r="BX1617">
        <v>54.8</v>
      </c>
      <c r="BY1617">
        <v>45.201999999999998</v>
      </c>
      <c r="BZ1617">
        <v>1.51</v>
      </c>
      <c r="CA1617">
        <f>BZ1617*SQRT(AL1617)</f>
        <v>2.6153967194290044</v>
      </c>
      <c r="CB1617">
        <v>27</v>
      </c>
      <c r="CC1617">
        <v>3</v>
      </c>
      <c r="CD1617">
        <v>-0.45100000000000001</v>
      </c>
      <c r="CE1617">
        <v>4.7999999999999996E-3</v>
      </c>
    </row>
    <row r="1618" spans="2:84" hidden="1" x14ac:dyDescent="0.2">
      <c r="B1618" t="str">
        <f>ROW()-1&amp;"_AltersInvert"</f>
        <v>1617_AltersInvert</v>
      </c>
      <c r="C1618" t="str">
        <f>D1618&amp;"_"&amp;
SUBSTITUTE(TRIM(V1618)," ","_")&amp;"_"&amp;
TRIM(AC1618)&amp;"_"&amp;
"CO2"&amp;TEXT(AN1618,"0.00")&amp;"_"&amp;
"pH"&amp;TEXT(AR1618,"0.00")&amp;"_"&amp;
"T"&amp;TEXT(BC1618,"0.##")</f>
        <v>75_Laternula_elliptica_LARVA_CO2458.00_pH7.97_T-1.6</v>
      </c>
      <c r="D1618">
        <v>75</v>
      </c>
      <c r="G1618" t="s">
        <v>43</v>
      </c>
      <c r="H1618" t="s">
        <v>662</v>
      </c>
      <c r="J1618">
        <v>2017</v>
      </c>
      <c r="M1618" t="s">
        <v>436</v>
      </c>
      <c r="P1618" t="s">
        <v>1135</v>
      </c>
      <c r="R1618" t="s">
        <v>1127</v>
      </c>
      <c r="S1618" t="s">
        <v>1128</v>
      </c>
      <c r="T1618" t="s">
        <v>68</v>
      </c>
      <c r="U1618" t="s">
        <v>663</v>
      </c>
      <c r="V1618" t="s">
        <v>664</v>
      </c>
      <c r="Z1618" t="s">
        <v>475</v>
      </c>
      <c r="AA1618" t="s">
        <v>475</v>
      </c>
      <c r="AB1618" t="s">
        <v>71</v>
      </c>
      <c r="AC1618" t="s">
        <v>72</v>
      </c>
      <c r="AD1618" t="s">
        <v>52</v>
      </c>
      <c r="AE1618" t="s">
        <v>53</v>
      </c>
      <c r="AF1618" t="s">
        <v>52</v>
      </c>
      <c r="AG1618" t="s">
        <v>52</v>
      </c>
      <c r="AH1618" t="s">
        <v>64</v>
      </c>
      <c r="AK1618">
        <v>3</v>
      </c>
      <c r="AL1618">
        <v>3</v>
      </c>
      <c r="AN1618">
        <v>458</v>
      </c>
      <c r="AO1618">
        <v>2</v>
      </c>
      <c r="AP1618" t="s">
        <v>56</v>
      </c>
      <c r="AQ1618" t="s">
        <v>109</v>
      </c>
      <c r="AR1618">
        <v>7.97</v>
      </c>
      <c r="AS1618">
        <v>0</v>
      </c>
      <c r="AT1618" t="s">
        <v>56</v>
      </c>
      <c r="AU1618">
        <v>1021</v>
      </c>
      <c r="AV1618">
        <v>3</v>
      </c>
      <c r="AW1618" t="s">
        <v>56</v>
      </c>
      <c r="AX1618">
        <v>7.64</v>
      </c>
      <c r="AY1618">
        <v>0</v>
      </c>
      <c r="AZ1618" t="s">
        <v>56</v>
      </c>
      <c r="BB1618">
        <f>LOG(AU1618)</f>
        <v>3.0090257420869104</v>
      </c>
      <c r="BC1618">
        <v>-1.6</v>
      </c>
      <c r="BD1618">
        <v>0</v>
      </c>
      <c r="BE1618" t="s">
        <v>56</v>
      </c>
      <c r="BF1618">
        <v>-0.5</v>
      </c>
      <c r="BG1618">
        <v>0</v>
      </c>
      <c r="BH1618" t="s">
        <v>56</v>
      </c>
      <c r="BI1618">
        <v>562</v>
      </c>
      <c r="BJ1618">
        <v>1.1000000000000001</v>
      </c>
      <c r="BK1618" t="s">
        <v>56</v>
      </c>
      <c r="BL1618" t="s">
        <v>666</v>
      </c>
      <c r="BM1618" t="s">
        <v>86</v>
      </c>
      <c r="BN1618" t="s">
        <v>81</v>
      </c>
      <c r="BO1618" t="s">
        <v>82</v>
      </c>
      <c r="BP1618" t="s">
        <v>9</v>
      </c>
      <c r="BQ1618" t="s">
        <v>9</v>
      </c>
      <c r="BR1618" t="s">
        <v>84</v>
      </c>
      <c r="BT1618">
        <v>29.04</v>
      </c>
      <c r="BU1618">
        <v>70.959999999999994</v>
      </c>
      <c r="BV1618">
        <v>4.29</v>
      </c>
      <c r="BW1618">
        <f>BV1618*SQRT(AK1618)</f>
        <v>7.4304979644704829</v>
      </c>
      <c r="BX1618">
        <v>49.24</v>
      </c>
      <c r="BY1618">
        <v>50.76</v>
      </c>
      <c r="BZ1618">
        <v>13.64</v>
      </c>
      <c r="CA1618">
        <f>BZ1618*SQRT(AL1618)</f>
        <v>23.625173015239486</v>
      </c>
      <c r="CB1618">
        <v>27</v>
      </c>
      <c r="CC1618">
        <v>3</v>
      </c>
      <c r="CD1618">
        <v>-0.33500000000000002</v>
      </c>
      <c r="CE1618">
        <v>7.5899999999999995E-2</v>
      </c>
    </row>
    <row r="1619" spans="2:84" hidden="1" x14ac:dyDescent="0.2">
      <c r="B1619" t="str">
        <f>ROW()-1&amp;"_AltersInvert"</f>
        <v>1618_AltersInvert</v>
      </c>
      <c r="C1619" t="str">
        <f>D1619&amp;"_"&amp;
SUBSTITUTE(TRIM(V1619)," ","_")&amp;"_"&amp;
TRIM(AC1619)&amp;"_"&amp;
"CO2"&amp;TEXT(AN1619,"0.00")&amp;"_"&amp;
"pH"&amp;TEXT(AR1619,"0.00")&amp;"_"&amp;
"T"&amp;TEXT(BC1619,"0.##")</f>
        <v>75_Laternula_elliptica_LARVA_CO2458.00_pH7.97_T-1.6</v>
      </c>
      <c r="D1619">
        <v>75</v>
      </c>
      <c r="G1619" t="s">
        <v>43</v>
      </c>
      <c r="H1619" t="s">
        <v>662</v>
      </c>
      <c r="J1619">
        <v>2017</v>
      </c>
      <c r="M1619" t="s">
        <v>436</v>
      </c>
      <c r="P1619" t="s">
        <v>1135</v>
      </c>
      <c r="R1619" t="s">
        <v>1127</v>
      </c>
      <c r="S1619" t="s">
        <v>1128</v>
      </c>
      <c r="T1619" t="s">
        <v>68</v>
      </c>
      <c r="U1619" t="s">
        <v>663</v>
      </c>
      <c r="V1619" t="s">
        <v>664</v>
      </c>
      <c r="Z1619" t="s">
        <v>475</v>
      </c>
      <c r="AA1619" t="s">
        <v>475</v>
      </c>
      <c r="AB1619" t="s">
        <v>71</v>
      </c>
      <c r="AC1619" t="s">
        <v>72</v>
      </c>
      <c r="AD1619" t="s">
        <v>52</v>
      </c>
      <c r="AE1619" t="s">
        <v>53</v>
      </c>
      <c r="AF1619" t="s">
        <v>52</v>
      </c>
      <c r="AG1619" t="s">
        <v>52</v>
      </c>
      <c r="AH1619" t="s">
        <v>64</v>
      </c>
      <c r="AK1619">
        <v>3</v>
      </c>
      <c r="AL1619">
        <v>3</v>
      </c>
      <c r="AN1619">
        <v>458</v>
      </c>
      <c r="AO1619">
        <v>2</v>
      </c>
      <c r="AP1619" t="s">
        <v>56</v>
      </c>
      <c r="AQ1619" t="s">
        <v>109</v>
      </c>
      <c r="AR1619">
        <v>7.97</v>
      </c>
      <c r="AS1619">
        <v>0</v>
      </c>
      <c r="AT1619" t="s">
        <v>56</v>
      </c>
      <c r="AU1619">
        <v>704</v>
      </c>
      <c r="AV1619">
        <v>2</v>
      </c>
      <c r="AW1619" t="s">
        <v>56</v>
      </c>
      <c r="AX1619">
        <v>7.8</v>
      </c>
      <c r="AY1619">
        <v>0</v>
      </c>
      <c r="AZ1619" t="s">
        <v>56</v>
      </c>
      <c r="BB1619">
        <f>LOG(AU1619)</f>
        <v>2.847572659142112</v>
      </c>
      <c r="BC1619">
        <v>-1.6</v>
      </c>
      <c r="BD1619">
        <v>0</v>
      </c>
      <c r="BE1619" t="s">
        <v>56</v>
      </c>
      <c r="BF1619">
        <v>-0.5</v>
      </c>
      <c r="BG1619">
        <v>0</v>
      </c>
      <c r="BH1619" t="s">
        <v>56</v>
      </c>
      <c r="BI1619">
        <v>245</v>
      </c>
      <c r="BJ1619">
        <v>1.1000000000000001</v>
      </c>
      <c r="BK1619" t="s">
        <v>56</v>
      </c>
      <c r="BL1619" t="s">
        <v>666</v>
      </c>
      <c r="BM1619" t="s">
        <v>86</v>
      </c>
      <c r="BN1619" t="s">
        <v>81</v>
      </c>
      <c r="BO1619" t="s">
        <v>82</v>
      </c>
      <c r="BP1619" t="s">
        <v>9</v>
      </c>
      <c r="BQ1619" t="s">
        <v>9</v>
      </c>
      <c r="BR1619" t="s">
        <v>84</v>
      </c>
      <c r="BT1619">
        <v>29.04</v>
      </c>
      <c r="BU1619">
        <v>70.959999999999994</v>
      </c>
      <c r="BV1619">
        <v>4.29</v>
      </c>
      <c r="BW1619">
        <f>BV1619*SQRT(AK1619)</f>
        <v>7.4304979644704829</v>
      </c>
      <c r="BX1619">
        <v>48.74</v>
      </c>
      <c r="BY1619">
        <v>51.26</v>
      </c>
      <c r="BZ1619">
        <v>6.56</v>
      </c>
      <c r="CA1619">
        <f>BZ1619*SQRT(AL1619)</f>
        <v>11.362253297651833</v>
      </c>
      <c r="CB1619">
        <v>27</v>
      </c>
      <c r="CC1619">
        <v>3</v>
      </c>
      <c r="CD1619">
        <v>-0.32500000000000001</v>
      </c>
      <c r="CE1619">
        <v>0.02</v>
      </c>
    </row>
    <row r="1620" spans="2:84" hidden="1" x14ac:dyDescent="0.2">
      <c r="B1620" t="str">
        <f>ROW()-1&amp;"_AltersInvert"</f>
        <v>1619_AltersInvert</v>
      </c>
      <c r="C1620" t="str">
        <f>D1620&amp;"_"&amp;
SUBSTITUTE(TRIM(V1620)," ","_")&amp;"_"&amp;
TRIM(AC1620)&amp;"_"&amp;
"CO2"&amp;TEXT(AN1620,"0.00")&amp;"_"&amp;
"pH"&amp;TEXT(AR1620,"0.00")&amp;"_"&amp;
"T"&amp;TEXT(BC1620,"0.##")</f>
        <v>200_Laternula_elliptica_LARVA_CO2350.00_pH7.99_T-1.6</v>
      </c>
      <c r="D1620">
        <v>200</v>
      </c>
      <c r="G1620" t="s">
        <v>43</v>
      </c>
      <c r="H1620" t="s">
        <v>662</v>
      </c>
      <c r="J1620">
        <v>2015</v>
      </c>
      <c r="M1620" t="s">
        <v>257</v>
      </c>
      <c r="P1620" t="s">
        <v>1135</v>
      </c>
      <c r="R1620" t="s">
        <v>1127</v>
      </c>
      <c r="S1620" t="s">
        <v>1128</v>
      </c>
      <c r="T1620" t="s">
        <v>68</v>
      </c>
      <c r="U1620" t="s">
        <v>663</v>
      </c>
      <c r="V1620" t="s">
        <v>664</v>
      </c>
      <c r="Z1620" t="s">
        <v>475</v>
      </c>
      <c r="AA1620" t="s">
        <v>475</v>
      </c>
      <c r="AB1620" t="s">
        <v>71</v>
      </c>
      <c r="AC1620" t="s">
        <v>72</v>
      </c>
      <c r="AD1620" t="s">
        <v>52</v>
      </c>
      <c r="AE1620" t="s">
        <v>53</v>
      </c>
      <c r="AF1620" t="s">
        <v>52</v>
      </c>
      <c r="AG1620" t="s">
        <v>54</v>
      </c>
      <c r="AH1620" t="s">
        <v>55</v>
      </c>
      <c r="AK1620">
        <v>6</v>
      </c>
      <c r="AL1620">
        <v>6</v>
      </c>
      <c r="AN1620">
        <v>350</v>
      </c>
      <c r="AO1620">
        <v>1</v>
      </c>
      <c r="AP1620" t="s">
        <v>56</v>
      </c>
      <c r="AQ1620" t="s">
        <v>109</v>
      </c>
      <c r="AR1620">
        <v>7.99</v>
      </c>
      <c r="AS1620" t="s">
        <v>56</v>
      </c>
      <c r="AT1620" t="s">
        <v>56</v>
      </c>
      <c r="AU1620">
        <v>554</v>
      </c>
      <c r="AV1620">
        <v>2</v>
      </c>
      <c r="AW1620" t="s">
        <v>56</v>
      </c>
      <c r="AX1620">
        <v>7.88</v>
      </c>
      <c r="AY1620" t="s">
        <v>56</v>
      </c>
      <c r="AZ1620" t="s">
        <v>56</v>
      </c>
      <c r="BB1620">
        <f>LOG(AU1620)</f>
        <v>2.7435097647284299</v>
      </c>
      <c r="BC1620">
        <v>-1.6</v>
      </c>
      <c r="BD1620">
        <v>0</v>
      </c>
      <c r="BE1620" t="s">
        <v>56</v>
      </c>
      <c r="BF1620">
        <v>-1.6</v>
      </c>
      <c r="BG1620">
        <v>0</v>
      </c>
      <c r="BH1620" t="s">
        <v>56</v>
      </c>
      <c r="BI1620">
        <v>204</v>
      </c>
      <c r="BJ1620">
        <v>0</v>
      </c>
      <c r="BK1620" t="s">
        <v>56</v>
      </c>
      <c r="BL1620" t="s">
        <v>85</v>
      </c>
      <c r="BM1620" t="s">
        <v>86</v>
      </c>
      <c r="BN1620" t="s">
        <v>81</v>
      </c>
      <c r="BO1620" t="s">
        <v>82</v>
      </c>
      <c r="BP1620" t="s">
        <v>9</v>
      </c>
      <c r="BQ1620" t="s">
        <v>9</v>
      </c>
      <c r="BR1620" t="s">
        <v>84</v>
      </c>
      <c r="BT1620">
        <v>61.38</v>
      </c>
      <c r="BU1620">
        <v>38.619999999999997</v>
      </c>
      <c r="BV1620">
        <v>3.06</v>
      </c>
      <c r="BW1620">
        <f>BV1620*SQRT(AK1620)</f>
        <v>7.4954386129165247</v>
      </c>
      <c r="BX1620">
        <v>67.22</v>
      </c>
      <c r="BY1620">
        <v>32.78</v>
      </c>
      <c r="BZ1620">
        <v>3.33</v>
      </c>
      <c r="CA1620">
        <f>BZ1620*SQRT(AL1620)</f>
        <v>8.1568008434679822</v>
      </c>
      <c r="CB1620">
        <v>35</v>
      </c>
      <c r="CC1620">
        <v>6</v>
      </c>
      <c r="CD1620">
        <v>-0.16400000000000001</v>
      </c>
      <c r="CE1620">
        <v>1.66E-2</v>
      </c>
      <c r="CF1620" s="8"/>
    </row>
    <row r="1621" spans="2:84" hidden="1" x14ac:dyDescent="0.2">
      <c r="B1621" t="str">
        <f>ROW()-1&amp;"_AltersInvert"</f>
        <v>1620_AltersInvert</v>
      </c>
      <c r="C1621" t="str">
        <f>D1621&amp;"_"&amp;
SUBSTITUTE(TRIM(V1621)," ","_")&amp;"_"&amp;
TRIM(AC1621)&amp;"_"&amp;
"CO2"&amp;TEXT(AN1621,"0.00")&amp;"_"&amp;
"pH"&amp;TEXT(AR1621,"0.00")&amp;"_"&amp;
"T"&amp;TEXT(BC1621,"0.##")</f>
        <v>200_Laternula_elliptica_LARVA_CO2350.00_pH7.99_T-1.6</v>
      </c>
      <c r="D1621">
        <v>200</v>
      </c>
      <c r="G1621" t="s">
        <v>43</v>
      </c>
      <c r="H1621" t="s">
        <v>662</v>
      </c>
      <c r="J1621">
        <v>2015</v>
      </c>
      <c r="M1621" t="s">
        <v>257</v>
      </c>
      <c r="P1621" t="s">
        <v>1135</v>
      </c>
      <c r="R1621" t="s">
        <v>1127</v>
      </c>
      <c r="S1621" t="s">
        <v>1128</v>
      </c>
      <c r="T1621" t="s">
        <v>68</v>
      </c>
      <c r="U1621" t="s">
        <v>663</v>
      </c>
      <c r="V1621" t="s">
        <v>664</v>
      </c>
      <c r="Z1621" t="s">
        <v>475</v>
      </c>
      <c r="AA1621" t="s">
        <v>475</v>
      </c>
      <c r="AB1621" t="s">
        <v>71</v>
      </c>
      <c r="AC1621" t="s">
        <v>72</v>
      </c>
      <c r="AD1621" t="s">
        <v>52</v>
      </c>
      <c r="AE1621" t="s">
        <v>53</v>
      </c>
      <c r="AF1621" t="s">
        <v>52</v>
      </c>
      <c r="AG1621" t="s">
        <v>54</v>
      </c>
      <c r="AH1621" t="s">
        <v>55</v>
      </c>
      <c r="AK1621">
        <v>6</v>
      </c>
      <c r="AL1621">
        <v>6</v>
      </c>
      <c r="AN1621">
        <v>350</v>
      </c>
      <c r="AO1621">
        <v>1</v>
      </c>
      <c r="AP1621" t="s">
        <v>56</v>
      </c>
      <c r="AQ1621" t="s">
        <v>109</v>
      </c>
      <c r="AR1621">
        <v>7.99</v>
      </c>
      <c r="AS1621" t="s">
        <v>56</v>
      </c>
      <c r="AT1621" t="s">
        <v>56</v>
      </c>
      <c r="AU1621">
        <v>823</v>
      </c>
      <c r="AV1621">
        <v>2</v>
      </c>
      <c r="AW1621" t="s">
        <v>56</v>
      </c>
      <c r="AX1621">
        <v>7.63</v>
      </c>
      <c r="AY1621" t="s">
        <v>56</v>
      </c>
      <c r="AZ1621" t="s">
        <v>56</v>
      </c>
      <c r="BB1621">
        <f>LOG(AU1621)</f>
        <v>2.9153998352122699</v>
      </c>
      <c r="BC1621">
        <v>-1.6</v>
      </c>
      <c r="BD1621">
        <v>0</v>
      </c>
      <c r="BE1621" t="s">
        <v>56</v>
      </c>
      <c r="BF1621">
        <v>-1.6</v>
      </c>
      <c r="BG1621">
        <v>0</v>
      </c>
      <c r="BH1621" t="s">
        <v>56</v>
      </c>
      <c r="BI1621">
        <v>473</v>
      </c>
      <c r="BJ1621">
        <v>0</v>
      </c>
      <c r="BK1621" t="s">
        <v>56</v>
      </c>
      <c r="BL1621" t="s">
        <v>85</v>
      </c>
      <c r="BM1621" t="s">
        <v>86</v>
      </c>
      <c r="BN1621" t="s">
        <v>81</v>
      </c>
      <c r="BO1621" t="s">
        <v>82</v>
      </c>
      <c r="BP1621" t="s">
        <v>9</v>
      </c>
      <c r="BQ1621" t="s">
        <v>9</v>
      </c>
      <c r="BR1621" t="s">
        <v>84</v>
      </c>
      <c r="BT1621">
        <v>61.38</v>
      </c>
      <c r="BU1621">
        <v>38.619999999999997</v>
      </c>
      <c r="BV1621">
        <v>3.06</v>
      </c>
      <c r="BW1621">
        <f>BV1621*SQRT(AK1621)</f>
        <v>7.4954386129165247</v>
      </c>
      <c r="BX1621">
        <v>64.72</v>
      </c>
      <c r="BY1621">
        <v>35.28</v>
      </c>
      <c r="BZ1621">
        <v>4.4400000000000004</v>
      </c>
      <c r="CA1621">
        <f>BZ1621*SQRT(AL1621)</f>
        <v>10.875734457957311</v>
      </c>
      <c r="CB1621">
        <v>35</v>
      </c>
      <c r="CC1621">
        <v>6</v>
      </c>
      <c r="CD1621">
        <v>-0.09</v>
      </c>
      <c r="CE1621">
        <v>2.2100000000000002E-2</v>
      </c>
      <c r="CF1621" s="8"/>
    </row>
    <row r="1622" spans="2:84" hidden="1" x14ac:dyDescent="0.2">
      <c r="B1622" t="str">
        <f>ROW()-1&amp;"_AltersInvert"</f>
        <v>1621_AltersInvert</v>
      </c>
      <c r="C1622" t="str">
        <f>D1622&amp;"_"&amp;
SUBSTITUTE(TRIM(V1622)," ","_")&amp;"_"&amp;
TRIM(AC1622)&amp;"_"&amp;
"CO2"&amp;TEXT(AN1622,"0.00")&amp;"_"&amp;
"pH"&amp;TEXT(AR1622,"0.00")&amp;"_"&amp;
"T"&amp;TEXT(BC1622,"0.##")</f>
        <v>200_Laternula_elliptica_LARVA_CO2350.00_pH7.99_T-1.6</v>
      </c>
      <c r="D1622">
        <v>200</v>
      </c>
      <c r="G1622" t="s">
        <v>43</v>
      </c>
      <c r="H1622" t="s">
        <v>662</v>
      </c>
      <c r="J1622">
        <v>2015</v>
      </c>
      <c r="M1622" t="s">
        <v>257</v>
      </c>
      <c r="P1622" t="s">
        <v>1135</v>
      </c>
      <c r="R1622" t="s">
        <v>1127</v>
      </c>
      <c r="S1622" t="s">
        <v>1128</v>
      </c>
      <c r="T1622" t="s">
        <v>68</v>
      </c>
      <c r="U1622" t="s">
        <v>663</v>
      </c>
      <c r="V1622" t="s">
        <v>664</v>
      </c>
      <c r="Z1622" t="s">
        <v>475</v>
      </c>
      <c r="AA1622" t="s">
        <v>475</v>
      </c>
      <c r="AB1622" t="s">
        <v>71</v>
      </c>
      <c r="AC1622" t="s">
        <v>72</v>
      </c>
      <c r="AD1622" t="s">
        <v>52</v>
      </c>
      <c r="AE1622" t="s">
        <v>53</v>
      </c>
      <c r="AF1622" t="s">
        <v>54</v>
      </c>
      <c r="AG1622" t="s">
        <v>52</v>
      </c>
      <c r="AH1622" t="s">
        <v>65</v>
      </c>
      <c r="AK1622">
        <v>6</v>
      </c>
      <c r="AL1622">
        <v>6</v>
      </c>
      <c r="AN1622">
        <v>350</v>
      </c>
      <c r="AO1622">
        <v>1</v>
      </c>
      <c r="AP1622" t="s">
        <v>56</v>
      </c>
      <c r="AQ1622" t="s">
        <v>109</v>
      </c>
      <c r="AR1622">
        <v>7.99</v>
      </c>
      <c r="AS1622" t="s">
        <v>56</v>
      </c>
      <c r="AT1622" t="s">
        <v>56</v>
      </c>
      <c r="AU1622">
        <v>393</v>
      </c>
      <c r="AV1622">
        <v>1</v>
      </c>
      <c r="AW1622" t="s">
        <v>56</v>
      </c>
      <c r="AX1622">
        <v>7.97</v>
      </c>
      <c r="AY1622" t="s">
        <v>56</v>
      </c>
      <c r="AZ1622" t="s">
        <v>56</v>
      </c>
      <c r="BB1622">
        <f>LOG(AU1622)</f>
        <v>2.5943925503754266</v>
      </c>
      <c r="BC1622">
        <v>-1.6</v>
      </c>
      <c r="BD1622">
        <v>0</v>
      </c>
      <c r="BE1622" t="s">
        <v>56</v>
      </c>
      <c r="BF1622">
        <v>0.4</v>
      </c>
      <c r="BG1622">
        <v>0</v>
      </c>
      <c r="BH1622" t="s">
        <v>56</v>
      </c>
      <c r="BI1622">
        <v>43</v>
      </c>
      <c r="BJ1622">
        <v>2</v>
      </c>
      <c r="BK1622" t="s">
        <v>56</v>
      </c>
      <c r="BL1622" t="s">
        <v>85</v>
      </c>
      <c r="BM1622" t="s">
        <v>86</v>
      </c>
      <c r="BN1622" t="s">
        <v>81</v>
      </c>
      <c r="BO1622" t="s">
        <v>82</v>
      </c>
      <c r="BP1622" t="s">
        <v>9</v>
      </c>
      <c r="BQ1622" t="s">
        <v>9</v>
      </c>
      <c r="BR1622" t="s">
        <v>84</v>
      </c>
      <c r="BT1622">
        <v>61.38</v>
      </c>
      <c r="BU1622">
        <v>38.619999999999997</v>
      </c>
      <c r="BV1622">
        <v>3.06</v>
      </c>
      <c r="BW1622">
        <f>BV1622*SQRT(AK1622)</f>
        <v>7.4954386129165247</v>
      </c>
      <c r="BX1622">
        <v>56.11</v>
      </c>
      <c r="BY1622">
        <v>43.89</v>
      </c>
      <c r="BZ1622">
        <v>2.5</v>
      </c>
      <c r="CA1622">
        <f>BZ1622*SQRT(AL1622)</f>
        <v>6.1237243569579451</v>
      </c>
      <c r="CB1622">
        <v>35</v>
      </c>
      <c r="CC1622">
        <v>6</v>
      </c>
      <c r="CD1622">
        <v>0.128</v>
      </c>
      <c r="CE1622">
        <v>9.4999999999999998E-3</v>
      </c>
    </row>
    <row r="1623" spans="2:84" hidden="1" x14ac:dyDescent="0.2">
      <c r="B1623" t="str">
        <f>ROW()-1&amp;"_AltersInvert"</f>
        <v>1622_AltersInvert</v>
      </c>
      <c r="C1623" t="str">
        <f>D1623&amp;"_"&amp;
SUBSTITUTE(TRIM(V1623)," ","_")&amp;"_"&amp;
TRIM(AC1623)&amp;"_"&amp;
"CO2"&amp;TEXT(AN1623,"0.00")&amp;"_"&amp;
"pH"&amp;TEXT(AR1623,"0.00")&amp;"_"&amp;
"T"&amp;TEXT(BC1623,"0.##")</f>
        <v>200_Laternula_elliptica_LARVA_CO2350.00_pH7.99_T-1.6</v>
      </c>
      <c r="D1623">
        <v>200</v>
      </c>
      <c r="G1623" t="s">
        <v>43</v>
      </c>
      <c r="H1623" t="s">
        <v>662</v>
      </c>
      <c r="J1623">
        <v>2015</v>
      </c>
      <c r="M1623" t="s">
        <v>257</v>
      </c>
      <c r="P1623" t="s">
        <v>1135</v>
      </c>
      <c r="R1623" t="s">
        <v>1127</v>
      </c>
      <c r="S1623" t="s">
        <v>1128</v>
      </c>
      <c r="T1623" t="s">
        <v>68</v>
      </c>
      <c r="U1623" t="s">
        <v>663</v>
      </c>
      <c r="V1623" t="s">
        <v>664</v>
      </c>
      <c r="Z1623" t="s">
        <v>475</v>
      </c>
      <c r="AA1623" t="s">
        <v>475</v>
      </c>
      <c r="AB1623" t="s">
        <v>71</v>
      </c>
      <c r="AC1623" t="s">
        <v>72</v>
      </c>
      <c r="AD1623" t="s">
        <v>52</v>
      </c>
      <c r="AE1623" t="s">
        <v>53</v>
      </c>
      <c r="AF1623" t="s">
        <v>54</v>
      </c>
      <c r="AG1623" t="s">
        <v>52</v>
      </c>
      <c r="AH1623" t="s">
        <v>65</v>
      </c>
      <c r="AK1623">
        <v>6</v>
      </c>
      <c r="AL1623">
        <v>6</v>
      </c>
      <c r="AN1623">
        <v>350</v>
      </c>
      <c r="AO1623">
        <v>1</v>
      </c>
      <c r="AP1623" t="s">
        <v>56</v>
      </c>
      <c r="AQ1623" t="s">
        <v>109</v>
      </c>
      <c r="AR1623">
        <v>7.99</v>
      </c>
      <c r="AS1623" t="s">
        <v>56</v>
      </c>
      <c r="AT1623" t="s">
        <v>56</v>
      </c>
      <c r="AU1623">
        <v>367</v>
      </c>
      <c r="AV1623">
        <v>1</v>
      </c>
      <c r="AW1623" t="s">
        <v>56</v>
      </c>
      <c r="AX1623">
        <v>7.97</v>
      </c>
      <c r="AY1623" t="s">
        <v>56</v>
      </c>
      <c r="AZ1623" t="s">
        <v>56</v>
      </c>
      <c r="BB1623">
        <f>LOG(AU1623)</f>
        <v>2.5646660642520893</v>
      </c>
      <c r="BC1623">
        <v>-1.6</v>
      </c>
      <c r="BD1623">
        <v>0</v>
      </c>
      <c r="BE1623" t="s">
        <v>56</v>
      </c>
      <c r="BF1623">
        <v>-0.5</v>
      </c>
      <c r="BG1623">
        <v>0</v>
      </c>
      <c r="BH1623" t="s">
        <v>56</v>
      </c>
      <c r="BI1623">
        <v>17</v>
      </c>
      <c r="BJ1623">
        <v>1.1000000000000001</v>
      </c>
      <c r="BK1623" t="s">
        <v>56</v>
      </c>
      <c r="BL1623" t="s">
        <v>85</v>
      </c>
      <c r="BM1623" t="s">
        <v>86</v>
      </c>
      <c r="BN1623" t="s">
        <v>81</v>
      </c>
      <c r="BO1623" t="s">
        <v>82</v>
      </c>
      <c r="BP1623" t="s">
        <v>9</v>
      </c>
      <c r="BQ1623" t="s">
        <v>9</v>
      </c>
      <c r="BR1623" t="s">
        <v>84</v>
      </c>
      <c r="BT1623">
        <v>61.38</v>
      </c>
      <c r="BU1623">
        <v>38.619999999999997</v>
      </c>
      <c r="BV1623">
        <v>3.06</v>
      </c>
      <c r="BW1623">
        <f>BV1623*SQRT(AK1623)</f>
        <v>7.4954386129165247</v>
      </c>
      <c r="BX1623">
        <v>50.83</v>
      </c>
      <c r="BY1623">
        <v>49.17</v>
      </c>
      <c r="BZ1623">
        <v>2.78</v>
      </c>
      <c r="CA1623">
        <f>BZ1623*SQRT(AL1623)</f>
        <v>6.809581484937234</v>
      </c>
      <c r="CB1623">
        <v>35</v>
      </c>
      <c r="CC1623">
        <v>6</v>
      </c>
      <c r="CD1623">
        <v>0.24199999999999999</v>
      </c>
      <c r="CE1623">
        <v>9.4999999999999998E-3</v>
      </c>
    </row>
    <row r="1624" spans="2:84" hidden="1" x14ac:dyDescent="0.2">
      <c r="B1624" t="str">
        <f>ROW()-1&amp;"_AltersInvert"</f>
        <v>1623_AltersInvert</v>
      </c>
      <c r="C1624" t="str">
        <f>D1624&amp;"_"&amp;
SUBSTITUTE(TRIM(V1624)," ","_")&amp;"_"&amp;
TRIM(AC1624)&amp;"_"&amp;
"CO2"&amp;TEXT(AN1624,"0.00")&amp;"_"&amp;
"pH"&amp;TEXT(AR1624,"0.00")&amp;"_"&amp;
"T"&amp;TEXT(BC1624,"0.##")</f>
        <v>200_Laternula_elliptica_LARVA_CO2350.00_pH7.99_T-1.6</v>
      </c>
      <c r="D1624">
        <v>200</v>
      </c>
      <c r="G1624" t="s">
        <v>43</v>
      </c>
      <c r="H1624" t="s">
        <v>662</v>
      </c>
      <c r="J1624">
        <v>2015</v>
      </c>
      <c r="M1624" t="s">
        <v>257</v>
      </c>
      <c r="P1624" t="s">
        <v>1135</v>
      </c>
      <c r="R1624" t="s">
        <v>1127</v>
      </c>
      <c r="S1624" t="s">
        <v>1128</v>
      </c>
      <c r="T1624" t="s">
        <v>68</v>
      </c>
      <c r="U1624" t="s">
        <v>663</v>
      </c>
      <c r="V1624" t="s">
        <v>664</v>
      </c>
      <c r="Z1624" t="s">
        <v>475</v>
      </c>
      <c r="AA1624" t="s">
        <v>475</v>
      </c>
      <c r="AB1624" t="s">
        <v>71</v>
      </c>
      <c r="AC1624" t="s">
        <v>72</v>
      </c>
      <c r="AD1624" t="s">
        <v>52</v>
      </c>
      <c r="AE1624" t="s">
        <v>53</v>
      </c>
      <c r="AF1624" t="s">
        <v>52</v>
      </c>
      <c r="AG1624" t="s">
        <v>52</v>
      </c>
      <c r="AH1624" t="s">
        <v>64</v>
      </c>
      <c r="AK1624">
        <v>6</v>
      </c>
      <c r="AL1624">
        <v>6</v>
      </c>
      <c r="AN1624">
        <v>350</v>
      </c>
      <c r="AO1624">
        <v>1</v>
      </c>
      <c r="AP1624" t="s">
        <v>56</v>
      </c>
      <c r="AQ1624" t="s">
        <v>109</v>
      </c>
      <c r="AR1624">
        <v>7.99</v>
      </c>
      <c r="AS1624" t="s">
        <v>56</v>
      </c>
      <c r="AT1624" t="s">
        <v>56</v>
      </c>
      <c r="AU1624">
        <v>893</v>
      </c>
      <c r="AV1624">
        <v>4</v>
      </c>
      <c r="AW1624" t="s">
        <v>56</v>
      </c>
      <c r="AX1624">
        <v>7.63</v>
      </c>
      <c r="AY1624" t="s">
        <v>56</v>
      </c>
      <c r="AZ1624" t="s">
        <v>56</v>
      </c>
      <c r="BB1624">
        <f>LOG(AU1624)</f>
        <v>2.9508514588885464</v>
      </c>
      <c r="BC1624">
        <v>-1.6</v>
      </c>
      <c r="BD1624">
        <v>0</v>
      </c>
      <c r="BE1624" t="s">
        <v>56</v>
      </c>
      <c r="BF1624">
        <v>0.4</v>
      </c>
      <c r="BG1624">
        <v>0</v>
      </c>
      <c r="BH1624" t="s">
        <v>56</v>
      </c>
      <c r="BI1624">
        <v>543</v>
      </c>
      <c r="BJ1624">
        <v>2</v>
      </c>
      <c r="BK1624" t="s">
        <v>56</v>
      </c>
      <c r="BL1624" t="s">
        <v>85</v>
      </c>
      <c r="BM1624" t="s">
        <v>86</v>
      </c>
      <c r="BN1624" t="s">
        <v>81</v>
      </c>
      <c r="BO1624" t="s">
        <v>82</v>
      </c>
      <c r="BP1624" t="s">
        <v>9</v>
      </c>
      <c r="BQ1624" t="s">
        <v>9</v>
      </c>
      <c r="BR1624" t="s">
        <v>84</v>
      </c>
      <c r="BT1624">
        <v>61.38</v>
      </c>
      <c r="BU1624">
        <v>38.619999999999997</v>
      </c>
      <c r="BV1624">
        <v>3.06</v>
      </c>
      <c r="BW1624">
        <f>BV1624*SQRT(AK1624)</f>
        <v>7.4954386129165247</v>
      </c>
      <c r="BX1624">
        <v>61.38</v>
      </c>
      <c r="BY1624">
        <v>38.619999999999997</v>
      </c>
      <c r="BZ1624">
        <v>1.39</v>
      </c>
      <c r="CA1624">
        <f>BZ1624*SQRT(AL1624)</f>
        <v>3.404790742468617</v>
      </c>
      <c r="CB1624">
        <v>35</v>
      </c>
      <c r="CC1624">
        <v>6</v>
      </c>
      <c r="CD1624">
        <v>0</v>
      </c>
      <c r="CE1624">
        <v>7.6E-3</v>
      </c>
    </row>
    <row r="1625" spans="2:84" hidden="1" x14ac:dyDescent="0.2">
      <c r="B1625" t="str">
        <f>ROW()-1&amp;"_AltersInvert"</f>
        <v>1624_AltersInvert</v>
      </c>
      <c r="C1625" t="str">
        <f>D1625&amp;"_"&amp;
SUBSTITUTE(TRIM(V1625)," ","_")&amp;"_"&amp;
TRIM(AC1625)&amp;"_"&amp;
"CO2"&amp;TEXT(AN1625,"0.00")&amp;"_"&amp;
"pH"&amp;TEXT(AR1625,"0.00")&amp;"_"&amp;
"T"&amp;TEXT(BC1625,"0.##")</f>
        <v>200_Laternula_elliptica_LARVA_CO2350.00_pH7.99_T-1.6</v>
      </c>
      <c r="D1625">
        <v>200</v>
      </c>
      <c r="G1625" t="s">
        <v>43</v>
      </c>
      <c r="H1625" t="s">
        <v>662</v>
      </c>
      <c r="J1625">
        <v>2015</v>
      </c>
      <c r="M1625" t="s">
        <v>257</v>
      </c>
      <c r="P1625" t="s">
        <v>1135</v>
      </c>
      <c r="R1625" t="s">
        <v>1127</v>
      </c>
      <c r="S1625" t="s">
        <v>1128</v>
      </c>
      <c r="T1625" t="s">
        <v>68</v>
      </c>
      <c r="U1625" t="s">
        <v>663</v>
      </c>
      <c r="V1625" t="s">
        <v>664</v>
      </c>
      <c r="Z1625" t="s">
        <v>475</v>
      </c>
      <c r="AA1625" t="s">
        <v>475</v>
      </c>
      <c r="AB1625" t="s">
        <v>71</v>
      </c>
      <c r="AC1625" t="s">
        <v>72</v>
      </c>
      <c r="AD1625" t="s">
        <v>52</v>
      </c>
      <c r="AE1625" t="s">
        <v>53</v>
      </c>
      <c r="AF1625" t="s">
        <v>52</v>
      </c>
      <c r="AG1625" t="s">
        <v>52</v>
      </c>
      <c r="AH1625" t="s">
        <v>64</v>
      </c>
      <c r="AK1625">
        <v>6</v>
      </c>
      <c r="AL1625">
        <v>6</v>
      </c>
      <c r="AN1625">
        <v>350</v>
      </c>
      <c r="AO1625">
        <v>1</v>
      </c>
      <c r="AP1625" t="s">
        <v>56</v>
      </c>
      <c r="AQ1625" t="s">
        <v>109</v>
      </c>
      <c r="AR1625">
        <v>7.99</v>
      </c>
      <c r="AS1625" t="s">
        <v>56</v>
      </c>
      <c r="AT1625" t="s">
        <v>56</v>
      </c>
      <c r="AU1625">
        <v>569</v>
      </c>
      <c r="AV1625">
        <v>2</v>
      </c>
      <c r="AW1625" t="s">
        <v>56</v>
      </c>
      <c r="AX1625">
        <v>7.8</v>
      </c>
      <c r="AY1625" t="s">
        <v>56</v>
      </c>
      <c r="AZ1625" t="s">
        <v>56</v>
      </c>
      <c r="BB1625">
        <f>LOG(AU1625)</f>
        <v>2.7551122663950713</v>
      </c>
      <c r="BC1625">
        <v>-1.6</v>
      </c>
      <c r="BD1625">
        <v>0</v>
      </c>
      <c r="BE1625" t="s">
        <v>56</v>
      </c>
      <c r="BF1625">
        <v>-0.5</v>
      </c>
      <c r="BG1625">
        <v>0</v>
      </c>
      <c r="BH1625" t="s">
        <v>56</v>
      </c>
      <c r="BI1625">
        <v>219</v>
      </c>
      <c r="BJ1625">
        <v>1.1000000000000001</v>
      </c>
      <c r="BK1625" t="s">
        <v>56</v>
      </c>
      <c r="BL1625" t="s">
        <v>85</v>
      </c>
      <c r="BM1625" t="s">
        <v>86</v>
      </c>
      <c r="BN1625" t="s">
        <v>81</v>
      </c>
      <c r="BO1625" t="s">
        <v>82</v>
      </c>
      <c r="BP1625" t="s">
        <v>9</v>
      </c>
      <c r="BQ1625" t="s">
        <v>9</v>
      </c>
      <c r="BR1625" t="s">
        <v>84</v>
      </c>
      <c r="BT1625">
        <v>61.38</v>
      </c>
      <c r="BU1625">
        <v>38.619999999999997</v>
      </c>
      <c r="BV1625">
        <v>3.06</v>
      </c>
      <c r="BW1625">
        <f>BV1625*SQRT(AK1625)</f>
        <v>7.4954386129165247</v>
      </c>
      <c r="BX1625">
        <v>55.83</v>
      </c>
      <c r="BY1625">
        <v>44.17</v>
      </c>
      <c r="BZ1625">
        <v>3.33</v>
      </c>
      <c r="CA1625">
        <f>BZ1625*SQRT(AL1625)</f>
        <v>8.1568008434679822</v>
      </c>
      <c r="CB1625">
        <v>35</v>
      </c>
      <c r="CC1625">
        <v>6</v>
      </c>
      <c r="CD1625">
        <v>0.13400000000000001</v>
      </c>
      <c r="CE1625">
        <v>1.2E-2</v>
      </c>
    </row>
    <row r="1626" spans="2:84" hidden="1" x14ac:dyDescent="0.2">
      <c r="B1626" t="str">
        <f>ROW()-1&amp;"_AltersInvert"</f>
        <v>1625_AltersInvert</v>
      </c>
      <c r="C1626" t="str">
        <f>D1626&amp;"_"&amp;
SUBSTITUTE(TRIM(V1626)," ","_")&amp;"_"&amp;
TRIM(AC1626)&amp;"_"&amp;
"CO2"&amp;TEXT(AN1626,"0.00")&amp;"_"&amp;
"pH"&amp;TEXT(AR1626,"0.00")&amp;"_"&amp;
"T"&amp;TEXT(BC1626,"0.##")</f>
        <v>200_Laternula_elliptica_LARVA_CO2350.00_pH7.99_T-1.6</v>
      </c>
      <c r="D1626">
        <v>200</v>
      </c>
      <c r="G1626" t="s">
        <v>43</v>
      </c>
      <c r="H1626" t="s">
        <v>662</v>
      </c>
      <c r="J1626">
        <v>2015</v>
      </c>
      <c r="M1626" t="s">
        <v>257</v>
      </c>
      <c r="P1626" t="s">
        <v>1135</v>
      </c>
      <c r="R1626" t="s">
        <v>1127</v>
      </c>
      <c r="S1626" t="s">
        <v>1128</v>
      </c>
      <c r="T1626" t="s">
        <v>68</v>
      </c>
      <c r="U1626" t="s">
        <v>663</v>
      </c>
      <c r="V1626" t="s">
        <v>664</v>
      </c>
      <c r="Z1626" t="s">
        <v>475</v>
      </c>
      <c r="AA1626" t="s">
        <v>475</v>
      </c>
      <c r="AB1626" t="s">
        <v>71</v>
      </c>
      <c r="AC1626" t="s">
        <v>72</v>
      </c>
      <c r="AD1626" t="s">
        <v>52</v>
      </c>
      <c r="AE1626" t="s">
        <v>53</v>
      </c>
      <c r="AF1626" t="s">
        <v>52</v>
      </c>
      <c r="AG1626" t="s">
        <v>52</v>
      </c>
      <c r="AH1626" t="s">
        <v>64</v>
      </c>
      <c r="AK1626">
        <v>6</v>
      </c>
      <c r="AL1626">
        <v>6</v>
      </c>
      <c r="AN1626">
        <v>350</v>
      </c>
      <c r="AO1626">
        <v>1</v>
      </c>
      <c r="AP1626" t="s">
        <v>56</v>
      </c>
      <c r="AQ1626" t="s">
        <v>109</v>
      </c>
      <c r="AR1626">
        <v>7.99</v>
      </c>
      <c r="AS1626" t="s">
        <v>56</v>
      </c>
      <c r="AT1626" t="s">
        <v>56</v>
      </c>
      <c r="AU1626">
        <v>835</v>
      </c>
      <c r="AV1626">
        <v>3</v>
      </c>
      <c r="AW1626" t="s">
        <v>56</v>
      </c>
      <c r="AX1626">
        <v>7.64</v>
      </c>
      <c r="AY1626" t="s">
        <v>56</v>
      </c>
      <c r="AZ1626" t="s">
        <v>56</v>
      </c>
      <c r="BB1626">
        <f>LOG(AU1626)</f>
        <v>2.9216864754836021</v>
      </c>
      <c r="BC1626">
        <v>-1.6</v>
      </c>
      <c r="BD1626">
        <v>0</v>
      </c>
      <c r="BE1626" t="s">
        <v>56</v>
      </c>
      <c r="BF1626">
        <v>-0.5</v>
      </c>
      <c r="BG1626">
        <v>0</v>
      </c>
      <c r="BH1626" t="s">
        <v>56</v>
      </c>
      <c r="BI1626">
        <v>485</v>
      </c>
      <c r="BJ1626">
        <v>1.1000000000000001</v>
      </c>
      <c r="BK1626" t="s">
        <v>56</v>
      </c>
      <c r="BL1626" t="s">
        <v>85</v>
      </c>
      <c r="BM1626" t="s">
        <v>86</v>
      </c>
      <c r="BN1626" t="s">
        <v>81</v>
      </c>
      <c r="BO1626" t="s">
        <v>82</v>
      </c>
      <c r="BP1626" t="s">
        <v>9</v>
      </c>
      <c r="BQ1626" t="s">
        <v>9</v>
      </c>
      <c r="BR1626" t="s">
        <v>84</v>
      </c>
      <c r="BT1626">
        <v>61.38</v>
      </c>
      <c r="BU1626">
        <v>38.619999999999997</v>
      </c>
      <c r="BV1626">
        <v>3.06</v>
      </c>
      <c r="BW1626">
        <f>BV1626*SQRT(AK1626)</f>
        <v>7.4954386129165247</v>
      </c>
      <c r="BX1626">
        <v>54.44</v>
      </c>
      <c r="BY1626">
        <v>45.56</v>
      </c>
      <c r="BZ1626">
        <v>4.4400000000000004</v>
      </c>
      <c r="CA1626">
        <f>BZ1626*SQRT(AL1626)</f>
        <v>10.875734457957311</v>
      </c>
      <c r="CB1626">
        <v>35</v>
      </c>
      <c r="CC1626">
        <v>6</v>
      </c>
      <c r="CD1626">
        <v>0.16500000000000001</v>
      </c>
      <c r="CE1626">
        <v>1.5800000000000002E-2</v>
      </c>
    </row>
    <row r="1627" spans="2:84" hidden="1" x14ac:dyDescent="0.2">
      <c r="B1627" t="str">
        <f>ROW()-1&amp;"_AltersInvert"</f>
        <v>1626_AltersInvert</v>
      </c>
      <c r="C1627" t="str">
        <f>D1627&amp;"_"&amp;
SUBSTITUTE(TRIM(V1627)," ","_")&amp;"_"&amp;
TRIM(AC1627)&amp;"_"&amp;
"CO2"&amp;TEXT(AN1627,"0.00")&amp;"_"&amp;
"pH"&amp;TEXT(AR1627,"0.00")&amp;"_"&amp;
"T"&amp;TEXT(BC1627,"0.##")</f>
        <v>192_Balanus_amphitrite_LARVA_CO2416.00_pHNA_T29.8</v>
      </c>
      <c r="D1627">
        <v>192</v>
      </c>
      <c r="G1627" t="s">
        <v>43</v>
      </c>
      <c r="H1627" t="s">
        <v>911</v>
      </c>
      <c r="J1627">
        <v>2015</v>
      </c>
      <c r="M1627" t="s">
        <v>45</v>
      </c>
      <c r="P1627" t="s">
        <v>1135</v>
      </c>
      <c r="R1627" t="s">
        <v>1127</v>
      </c>
      <c r="S1627" t="s">
        <v>1128</v>
      </c>
      <c r="T1627" t="s">
        <v>131</v>
      </c>
      <c r="U1627" t="s">
        <v>860</v>
      </c>
      <c r="V1627" t="s">
        <v>912</v>
      </c>
      <c r="Z1627" t="s">
        <v>106</v>
      </c>
      <c r="AA1627" t="s">
        <v>107</v>
      </c>
      <c r="AB1627" t="s">
        <v>71</v>
      </c>
      <c r="AC1627" t="s">
        <v>72</v>
      </c>
      <c r="AD1627" t="s">
        <v>52</v>
      </c>
      <c r="AE1627" t="s">
        <v>53</v>
      </c>
      <c r="AF1627" t="s">
        <v>52</v>
      </c>
      <c r="AG1627" t="s">
        <v>54</v>
      </c>
      <c r="AH1627" t="s">
        <v>55</v>
      </c>
      <c r="AK1627">
        <v>3</v>
      </c>
      <c r="AL1627">
        <v>3</v>
      </c>
      <c r="AN1627">
        <v>416</v>
      </c>
      <c r="AO1627" t="s">
        <v>56</v>
      </c>
      <c r="AP1627">
        <v>31</v>
      </c>
      <c r="AQ1627" t="s">
        <v>56</v>
      </c>
      <c r="AR1627" t="s">
        <v>56</v>
      </c>
      <c r="AS1627" t="s">
        <v>56</v>
      </c>
      <c r="AT1627" t="s">
        <v>56</v>
      </c>
      <c r="AU1627">
        <v>784</v>
      </c>
      <c r="AV1627" t="s">
        <v>56</v>
      </c>
      <c r="AW1627">
        <v>19</v>
      </c>
      <c r="AX1627" t="s">
        <v>56</v>
      </c>
      <c r="AY1627" t="s">
        <v>56</v>
      </c>
      <c r="AZ1627" t="s">
        <v>56</v>
      </c>
      <c r="BB1627">
        <f>LOG(AU1627)</f>
        <v>2.8943160626844384</v>
      </c>
      <c r="BC1627">
        <v>29.8</v>
      </c>
      <c r="BD1627" t="s">
        <v>56</v>
      </c>
      <c r="BE1627">
        <v>0.2</v>
      </c>
      <c r="BF1627">
        <v>29.8</v>
      </c>
      <c r="BG1627" t="s">
        <v>56</v>
      </c>
      <c r="BH1627">
        <v>0.2</v>
      </c>
      <c r="BI1627">
        <v>368</v>
      </c>
      <c r="BJ1627">
        <v>0</v>
      </c>
      <c r="BK1627" t="s">
        <v>913</v>
      </c>
      <c r="BL1627" t="s">
        <v>88</v>
      </c>
      <c r="BM1627" t="s">
        <v>83</v>
      </c>
      <c r="BN1627" t="s">
        <v>81</v>
      </c>
      <c r="BO1627" t="s">
        <v>82</v>
      </c>
      <c r="BP1627" t="s">
        <v>83</v>
      </c>
      <c r="BQ1627" t="s">
        <v>83</v>
      </c>
      <c r="BR1627" t="s">
        <v>84</v>
      </c>
      <c r="BT1627">
        <v>20.170000000000002</v>
      </c>
      <c r="BU1627">
        <v>79.83</v>
      </c>
      <c r="BV1627">
        <v>4.3600000000000003</v>
      </c>
      <c r="BW1627">
        <f>BV1627*SQRT(AK1627)</f>
        <v>7.5517415210003049</v>
      </c>
      <c r="BX1627">
        <v>34.03</v>
      </c>
      <c r="BY1627">
        <v>65.97</v>
      </c>
      <c r="BZ1627">
        <v>3.64</v>
      </c>
      <c r="CA1627">
        <f>BZ1627*SQRT(AL1627)</f>
        <v>6.3046649395507135</v>
      </c>
      <c r="CB1627">
        <v>5</v>
      </c>
      <c r="CC1627">
        <v>3</v>
      </c>
      <c r="CD1627">
        <v>-0.191</v>
      </c>
      <c r="CE1627">
        <v>6.0000000000000001E-3</v>
      </c>
    </row>
    <row r="1628" spans="2:84" hidden="1" x14ac:dyDescent="0.2">
      <c r="B1628" t="str">
        <f>ROW()-1&amp;"_AltersInvert"</f>
        <v>1627_AltersInvert</v>
      </c>
      <c r="C1628" t="str">
        <f>D1628&amp;"_"&amp;
SUBSTITUTE(TRIM(V1628)," ","_")&amp;"_"&amp;
TRIM(AC1628)&amp;"_"&amp;
"CO2"&amp;TEXT(AN1628,"0.00")&amp;"_"&amp;
"pH"&amp;TEXT(AR1628,"0.00")&amp;"_"&amp;
"T"&amp;TEXT(BC1628,"0.##")</f>
        <v>192_Balanus_amphitrite_LARVA_CO2416.00_pHNA_T29.8</v>
      </c>
      <c r="D1628">
        <v>192</v>
      </c>
      <c r="G1628" t="s">
        <v>43</v>
      </c>
      <c r="H1628" t="s">
        <v>911</v>
      </c>
      <c r="J1628">
        <v>2015</v>
      </c>
      <c r="M1628" t="s">
        <v>45</v>
      </c>
      <c r="P1628" t="s">
        <v>1135</v>
      </c>
      <c r="R1628" t="s">
        <v>1127</v>
      </c>
      <c r="S1628" t="s">
        <v>1128</v>
      </c>
      <c r="T1628" t="s">
        <v>131</v>
      </c>
      <c r="U1628" t="s">
        <v>860</v>
      </c>
      <c r="V1628" t="s">
        <v>912</v>
      </c>
      <c r="Z1628" t="s">
        <v>106</v>
      </c>
      <c r="AA1628" t="s">
        <v>107</v>
      </c>
      <c r="AB1628" t="s">
        <v>71</v>
      </c>
      <c r="AC1628" t="s">
        <v>72</v>
      </c>
      <c r="AD1628" t="s">
        <v>52</v>
      </c>
      <c r="AE1628" t="s">
        <v>53</v>
      </c>
      <c r="AF1628" t="s">
        <v>54</v>
      </c>
      <c r="AG1628" t="s">
        <v>52</v>
      </c>
      <c r="AH1628" t="s">
        <v>65</v>
      </c>
      <c r="AK1628">
        <v>3</v>
      </c>
      <c r="AL1628">
        <v>3</v>
      </c>
      <c r="AN1628">
        <v>416</v>
      </c>
      <c r="AO1628" t="s">
        <v>56</v>
      </c>
      <c r="AP1628">
        <v>31</v>
      </c>
      <c r="AQ1628" t="s">
        <v>56</v>
      </c>
      <c r="AR1628" t="s">
        <v>56</v>
      </c>
      <c r="AS1628" t="s">
        <v>56</v>
      </c>
      <c r="AT1628" t="s">
        <v>56</v>
      </c>
      <c r="AU1628">
        <v>412</v>
      </c>
      <c r="AV1628" t="s">
        <v>56</v>
      </c>
      <c r="AW1628">
        <v>9</v>
      </c>
      <c r="AX1628" t="s">
        <v>56</v>
      </c>
      <c r="AY1628" t="s">
        <v>56</v>
      </c>
      <c r="AZ1628" t="s">
        <v>56</v>
      </c>
      <c r="BB1628">
        <f>LOG(AU1628)</f>
        <v>2.6148972160331345</v>
      </c>
      <c r="BC1628">
        <v>29.8</v>
      </c>
      <c r="BD1628" t="s">
        <v>56</v>
      </c>
      <c r="BE1628">
        <v>0.2</v>
      </c>
      <c r="BF1628">
        <v>33.9</v>
      </c>
      <c r="BG1628" t="s">
        <v>56</v>
      </c>
      <c r="BH1628">
        <v>0.4</v>
      </c>
      <c r="BI1628">
        <v>-4</v>
      </c>
      <c r="BJ1628">
        <v>4.0999999999999996</v>
      </c>
      <c r="BK1628" t="s">
        <v>913</v>
      </c>
      <c r="BL1628" t="s">
        <v>88</v>
      </c>
      <c r="BM1628" t="s">
        <v>83</v>
      </c>
      <c r="BN1628" t="s">
        <v>81</v>
      </c>
      <c r="BO1628" t="s">
        <v>82</v>
      </c>
      <c r="BP1628" t="s">
        <v>83</v>
      </c>
      <c r="BQ1628" t="s">
        <v>83</v>
      </c>
      <c r="BR1628" t="s">
        <v>84</v>
      </c>
      <c r="BT1628">
        <v>20.170000000000002</v>
      </c>
      <c r="BU1628">
        <v>79.83</v>
      </c>
      <c r="BV1628">
        <v>4.3600000000000003</v>
      </c>
      <c r="BW1628">
        <f>BV1628*SQRT(AK1628)</f>
        <v>7.5517415210003049</v>
      </c>
      <c r="BX1628">
        <v>59.66</v>
      </c>
      <c r="BY1628">
        <v>40.340000000000003</v>
      </c>
      <c r="BZ1628">
        <v>5.34</v>
      </c>
      <c r="CA1628">
        <f>BZ1628*SQRT(AL1628)</f>
        <v>9.2491513124178031</v>
      </c>
      <c r="CB1628">
        <v>5</v>
      </c>
      <c r="CC1628">
        <v>3</v>
      </c>
      <c r="CD1628">
        <v>-0.68300000000000005</v>
      </c>
      <c r="CE1628">
        <v>2.0500000000000001E-2</v>
      </c>
    </row>
    <row r="1629" spans="2:84" hidden="1" x14ac:dyDescent="0.2">
      <c r="B1629" t="str">
        <f>ROW()-1&amp;"_AltersInvert"</f>
        <v>1628_AltersInvert</v>
      </c>
      <c r="C1629" t="str">
        <f>D1629&amp;"_"&amp;
SUBSTITUTE(TRIM(V1629)," ","_")&amp;"_"&amp;
TRIM(AC1629)&amp;"_"&amp;
"CO2"&amp;TEXT(AN1629,"0.00")&amp;"_"&amp;
"pH"&amp;TEXT(AR1629,"0.00")&amp;"_"&amp;
"T"&amp;TEXT(BC1629,"0.##")</f>
        <v>192_Balanus_amphitrite_LARVA_CO2416.00_pHNA_T29.8</v>
      </c>
      <c r="D1629">
        <v>192</v>
      </c>
      <c r="G1629" t="s">
        <v>43</v>
      </c>
      <c r="H1629" t="s">
        <v>911</v>
      </c>
      <c r="J1629">
        <v>2015</v>
      </c>
      <c r="M1629" t="s">
        <v>45</v>
      </c>
      <c r="P1629" t="s">
        <v>1135</v>
      </c>
      <c r="R1629" t="s">
        <v>1127</v>
      </c>
      <c r="S1629" t="s">
        <v>1128</v>
      </c>
      <c r="T1629" t="s">
        <v>131</v>
      </c>
      <c r="U1629" t="s">
        <v>860</v>
      </c>
      <c r="V1629" t="s">
        <v>912</v>
      </c>
      <c r="Z1629" t="s">
        <v>106</v>
      </c>
      <c r="AA1629" t="s">
        <v>107</v>
      </c>
      <c r="AB1629" t="s">
        <v>71</v>
      </c>
      <c r="AC1629" t="s">
        <v>72</v>
      </c>
      <c r="AD1629" t="s">
        <v>52</v>
      </c>
      <c r="AE1629" t="s">
        <v>53</v>
      </c>
      <c r="AF1629" t="s">
        <v>52</v>
      </c>
      <c r="AG1629" t="s">
        <v>52</v>
      </c>
      <c r="AH1629" t="s">
        <v>64</v>
      </c>
      <c r="AK1629">
        <v>3</v>
      </c>
      <c r="AL1629">
        <v>3</v>
      </c>
      <c r="AN1629">
        <v>416</v>
      </c>
      <c r="AO1629" t="s">
        <v>56</v>
      </c>
      <c r="AP1629">
        <v>31</v>
      </c>
      <c r="AQ1629" t="s">
        <v>56</v>
      </c>
      <c r="AR1629" t="s">
        <v>56</v>
      </c>
      <c r="AS1629" t="s">
        <v>56</v>
      </c>
      <c r="AT1629" t="s">
        <v>56</v>
      </c>
      <c r="AU1629">
        <v>781</v>
      </c>
      <c r="AV1629" t="s">
        <v>56</v>
      </c>
      <c r="AW1629">
        <v>22</v>
      </c>
      <c r="AX1629" t="s">
        <v>56</v>
      </c>
      <c r="AY1629" t="s">
        <v>56</v>
      </c>
      <c r="AZ1629" t="s">
        <v>56</v>
      </c>
      <c r="BB1629">
        <f>LOG(AU1629)</f>
        <v>2.8926510338773004</v>
      </c>
      <c r="BC1629">
        <v>29.8</v>
      </c>
      <c r="BD1629" t="s">
        <v>56</v>
      </c>
      <c r="BE1629">
        <v>0.2</v>
      </c>
      <c r="BF1629">
        <v>33.9</v>
      </c>
      <c r="BG1629" t="s">
        <v>56</v>
      </c>
      <c r="BH1629">
        <v>0.4</v>
      </c>
      <c r="BI1629">
        <v>365</v>
      </c>
      <c r="BJ1629">
        <v>4.0999999999999996</v>
      </c>
      <c r="BK1629" t="s">
        <v>913</v>
      </c>
      <c r="BL1629" t="s">
        <v>88</v>
      </c>
      <c r="BM1629" t="s">
        <v>83</v>
      </c>
      <c r="BN1629" t="s">
        <v>81</v>
      </c>
      <c r="BO1629" t="s">
        <v>82</v>
      </c>
      <c r="BP1629" t="s">
        <v>83</v>
      </c>
      <c r="BQ1629" t="s">
        <v>83</v>
      </c>
      <c r="BR1629" t="s">
        <v>84</v>
      </c>
      <c r="BT1629">
        <v>20.170000000000002</v>
      </c>
      <c r="BU1629">
        <v>79.83</v>
      </c>
      <c r="BV1629">
        <v>4.3600000000000003</v>
      </c>
      <c r="BW1629">
        <f>BV1629*SQRT(AK1629)</f>
        <v>7.5517415210003049</v>
      </c>
      <c r="BX1629">
        <v>79.83</v>
      </c>
      <c r="BY1629">
        <v>20.170000000000002</v>
      </c>
      <c r="BZ1629">
        <v>3.15</v>
      </c>
      <c r="CA1629">
        <f>BZ1629*SQRT(AL1629)</f>
        <v>5.4559600438419631</v>
      </c>
      <c r="CB1629">
        <v>4</v>
      </c>
      <c r="CC1629">
        <v>3</v>
      </c>
      <c r="CD1629">
        <v>-1.3759999999999999</v>
      </c>
      <c r="CE1629">
        <v>2.7400000000000001E-2</v>
      </c>
    </row>
    <row r="1630" spans="2:84" hidden="1" x14ac:dyDescent="0.2">
      <c r="D1630">
        <v>187</v>
      </c>
      <c r="G1630" t="s">
        <v>43</v>
      </c>
      <c r="H1630" t="s">
        <v>883</v>
      </c>
      <c r="J1630">
        <v>2021</v>
      </c>
      <c r="M1630" t="s">
        <v>45</v>
      </c>
      <c r="T1630" t="s">
        <v>68</v>
      </c>
      <c r="U1630" t="s">
        <v>266</v>
      </c>
      <c r="V1630" t="s">
        <v>437</v>
      </c>
      <c r="Z1630" t="s">
        <v>49</v>
      </c>
      <c r="AA1630" t="s">
        <v>49</v>
      </c>
      <c r="AB1630" t="s">
        <v>50</v>
      </c>
      <c r="AC1630" t="s">
        <v>51</v>
      </c>
      <c r="AD1630" t="s">
        <v>54</v>
      </c>
      <c r="AE1630" t="s">
        <v>53</v>
      </c>
      <c r="AF1630" t="s">
        <v>52</v>
      </c>
      <c r="AG1630" t="s">
        <v>52</v>
      </c>
      <c r="AH1630" t="s">
        <v>64</v>
      </c>
      <c r="AK1630">
        <v>3</v>
      </c>
      <c r="AL1630">
        <v>3</v>
      </c>
      <c r="AN1630">
        <v>421.5</v>
      </c>
      <c r="AO1630" t="s">
        <v>56</v>
      </c>
      <c r="AP1630">
        <v>58.5</v>
      </c>
      <c r="AQ1630" t="s">
        <v>56</v>
      </c>
      <c r="AR1630" t="s">
        <v>56</v>
      </c>
      <c r="AS1630" t="s">
        <v>56</v>
      </c>
      <c r="AT1630" t="s">
        <v>56</v>
      </c>
      <c r="AU1630">
        <v>984</v>
      </c>
      <c r="AV1630" t="s">
        <v>56</v>
      </c>
      <c r="AW1630">
        <v>80</v>
      </c>
      <c r="AX1630" t="s">
        <v>56</v>
      </c>
      <c r="AY1630" t="s">
        <v>56</v>
      </c>
      <c r="AZ1630" t="s">
        <v>56</v>
      </c>
      <c r="BB1630">
        <f>LOG(AU1630)</f>
        <v>2.9929950984313414</v>
      </c>
      <c r="BC1630">
        <v>11.7</v>
      </c>
      <c r="BD1630" t="s">
        <v>56</v>
      </c>
      <c r="BE1630">
        <v>0.55000000000000004</v>
      </c>
      <c r="BF1630">
        <v>13.4</v>
      </c>
      <c r="BG1630" t="s">
        <v>56</v>
      </c>
      <c r="BH1630">
        <v>0.4</v>
      </c>
      <c r="BI1630">
        <v>563</v>
      </c>
      <c r="BJ1630">
        <v>1.8</v>
      </c>
      <c r="BK1630" t="s">
        <v>884</v>
      </c>
      <c r="BL1630" t="s">
        <v>885</v>
      </c>
      <c r="BM1630" t="s">
        <v>885</v>
      </c>
      <c r="BN1630" t="s">
        <v>60</v>
      </c>
      <c r="BO1630" t="s">
        <v>886</v>
      </c>
      <c r="BP1630" t="s">
        <v>234</v>
      </c>
      <c r="BQ1630" s="8" t="s">
        <v>190</v>
      </c>
      <c r="BR1630" t="s">
        <v>63</v>
      </c>
      <c r="BT1630">
        <v>-0.87</v>
      </c>
      <c r="BU1630">
        <v>-0.87</v>
      </c>
      <c r="BV1630">
        <v>0.09</v>
      </c>
      <c r="BW1630">
        <f>BV1630*SQRT(AK1630)</f>
        <v>0.15588457268119893</v>
      </c>
      <c r="BX1630">
        <v>-0.5</v>
      </c>
      <c r="BY1630">
        <v>-0.5</v>
      </c>
      <c r="BZ1630">
        <v>0.63</v>
      </c>
      <c r="CA1630">
        <f>BZ1630*SQRT(AL1630)</f>
        <v>1.0911920087683926</v>
      </c>
      <c r="CB1630">
        <v>21</v>
      </c>
      <c r="CC1630">
        <v>3</v>
      </c>
      <c r="CD1630">
        <v>-0.55389999999999995</v>
      </c>
      <c r="CE1630">
        <v>1.5953999999999999</v>
      </c>
    </row>
    <row r="1631" spans="2:84" hidden="1" x14ac:dyDescent="0.2">
      <c r="D1631">
        <v>187</v>
      </c>
      <c r="G1631" t="s">
        <v>43</v>
      </c>
      <c r="H1631" t="s">
        <v>883</v>
      </c>
      <c r="J1631">
        <v>2021</v>
      </c>
      <c r="M1631" t="s">
        <v>45</v>
      </c>
      <c r="T1631" t="s">
        <v>68</v>
      </c>
      <c r="U1631" t="s">
        <v>266</v>
      </c>
      <c r="V1631" t="s">
        <v>437</v>
      </c>
      <c r="Z1631" t="s">
        <v>49</v>
      </c>
      <c r="AA1631" t="s">
        <v>49</v>
      </c>
      <c r="AB1631" t="s">
        <v>50</v>
      </c>
      <c r="AC1631" t="s">
        <v>51</v>
      </c>
      <c r="AD1631" t="s">
        <v>54</v>
      </c>
      <c r="AE1631" t="s">
        <v>53</v>
      </c>
      <c r="AF1631" t="s">
        <v>52</v>
      </c>
      <c r="AG1631" t="s">
        <v>54</v>
      </c>
      <c r="AH1631" t="s">
        <v>55</v>
      </c>
      <c r="AK1631">
        <v>3</v>
      </c>
      <c r="AL1631">
        <v>3</v>
      </c>
      <c r="AN1631">
        <v>421.5</v>
      </c>
      <c r="AO1631" t="s">
        <v>56</v>
      </c>
      <c r="AP1631">
        <v>58.5</v>
      </c>
      <c r="AQ1631" t="s">
        <v>56</v>
      </c>
      <c r="AR1631" t="s">
        <v>56</v>
      </c>
      <c r="AS1631" t="s">
        <v>56</v>
      </c>
      <c r="AT1631" t="s">
        <v>56</v>
      </c>
      <c r="AU1631">
        <v>1013.5</v>
      </c>
      <c r="AV1631" t="s">
        <v>56</v>
      </c>
      <c r="AW1631">
        <v>80</v>
      </c>
      <c r="AX1631" t="s">
        <v>56</v>
      </c>
      <c r="AY1631" t="s">
        <v>56</v>
      </c>
      <c r="AZ1631" t="s">
        <v>56</v>
      </c>
      <c r="BB1631">
        <f>LOG(AU1631)</f>
        <v>3.0058237530290275</v>
      </c>
      <c r="BC1631">
        <v>11.7</v>
      </c>
      <c r="BD1631" t="s">
        <v>56</v>
      </c>
      <c r="BE1631">
        <v>0.55000000000000004</v>
      </c>
      <c r="BF1631">
        <v>11.2</v>
      </c>
      <c r="BG1631" t="s">
        <v>56</v>
      </c>
      <c r="BH1631">
        <v>0.55000000000000004</v>
      </c>
      <c r="BI1631">
        <v>592</v>
      </c>
      <c r="BJ1631">
        <v>-0.5</v>
      </c>
      <c r="BK1631" t="s">
        <v>884</v>
      </c>
      <c r="BL1631" t="s">
        <v>885</v>
      </c>
      <c r="BM1631" t="s">
        <v>885</v>
      </c>
      <c r="BN1631" t="s">
        <v>60</v>
      </c>
      <c r="BO1631" t="s">
        <v>886</v>
      </c>
      <c r="BP1631" t="s">
        <v>234</v>
      </c>
      <c r="BQ1631" s="8" t="s">
        <v>190</v>
      </c>
      <c r="BR1631" t="s">
        <v>63</v>
      </c>
      <c r="BT1631">
        <v>-0.87</v>
      </c>
      <c r="BU1631">
        <v>-0.87</v>
      </c>
      <c r="BV1631">
        <v>0.09</v>
      </c>
      <c r="BW1631">
        <f>BV1631*SQRT(AK1631)</f>
        <v>0.15588457268119893</v>
      </c>
      <c r="BX1631">
        <v>-0.66</v>
      </c>
      <c r="BY1631">
        <v>-0.66</v>
      </c>
      <c r="BZ1631">
        <v>0.16</v>
      </c>
      <c r="CA1631">
        <f>BZ1631*SQRT(AL1631)</f>
        <v>0.27712812921102037</v>
      </c>
      <c r="CB1631">
        <v>21</v>
      </c>
      <c r="CC1631">
        <v>2</v>
      </c>
      <c r="CD1631">
        <v>-0.27629999999999999</v>
      </c>
      <c r="CE1631">
        <v>7.1300000000000002E-2</v>
      </c>
    </row>
    <row r="1632" spans="2:84" hidden="1" x14ac:dyDescent="0.2">
      <c r="D1632">
        <v>187</v>
      </c>
      <c r="G1632" t="s">
        <v>43</v>
      </c>
      <c r="H1632" t="s">
        <v>883</v>
      </c>
      <c r="J1632">
        <v>2021</v>
      </c>
      <c r="M1632" t="s">
        <v>45</v>
      </c>
      <c r="T1632" t="s">
        <v>68</v>
      </c>
      <c r="U1632" t="s">
        <v>266</v>
      </c>
      <c r="V1632" t="s">
        <v>437</v>
      </c>
      <c r="Z1632" t="s">
        <v>49</v>
      </c>
      <c r="AA1632" t="s">
        <v>49</v>
      </c>
      <c r="AB1632" t="s">
        <v>50</v>
      </c>
      <c r="AC1632" t="s">
        <v>51</v>
      </c>
      <c r="AD1632" t="s">
        <v>54</v>
      </c>
      <c r="AE1632" t="s">
        <v>53</v>
      </c>
      <c r="AF1632" t="s">
        <v>54</v>
      </c>
      <c r="AG1632" t="s">
        <v>52</v>
      </c>
      <c r="AH1632" t="s">
        <v>65</v>
      </c>
      <c r="AK1632">
        <v>3</v>
      </c>
      <c r="AL1632">
        <v>3</v>
      </c>
      <c r="AN1632">
        <v>421.5</v>
      </c>
      <c r="AO1632" t="s">
        <v>56</v>
      </c>
      <c r="AP1632">
        <v>58.5</v>
      </c>
      <c r="AQ1632" t="s">
        <v>56</v>
      </c>
      <c r="AR1632" t="s">
        <v>56</v>
      </c>
      <c r="AS1632" t="s">
        <v>56</v>
      </c>
      <c r="AT1632" t="s">
        <v>56</v>
      </c>
      <c r="AU1632">
        <v>410</v>
      </c>
      <c r="AV1632" t="s">
        <v>56</v>
      </c>
      <c r="AW1632">
        <v>58</v>
      </c>
      <c r="AX1632" t="s">
        <v>56</v>
      </c>
      <c r="AY1632" t="s">
        <v>56</v>
      </c>
      <c r="AZ1632" t="s">
        <v>56</v>
      </c>
      <c r="BB1632">
        <f>LOG(AU1632)</f>
        <v>2.6127838567197355</v>
      </c>
      <c r="BC1632">
        <v>11.7</v>
      </c>
      <c r="BD1632" t="s">
        <v>56</v>
      </c>
      <c r="BE1632">
        <v>0.55000000000000004</v>
      </c>
      <c r="BF1632">
        <v>13.4</v>
      </c>
      <c r="BG1632" t="s">
        <v>56</v>
      </c>
      <c r="BH1632">
        <v>0.4</v>
      </c>
      <c r="BI1632">
        <v>-12</v>
      </c>
      <c r="BJ1632">
        <v>1.7</v>
      </c>
      <c r="BK1632" t="s">
        <v>884</v>
      </c>
      <c r="BL1632" t="s">
        <v>885</v>
      </c>
      <c r="BM1632" t="s">
        <v>885</v>
      </c>
      <c r="BN1632" t="s">
        <v>60</v>
      </c>
      <c r="BO1632" t="s">
        <v>886</v>
      </c>
      <c r="BP1632" t="s">
        <v>234</v>
      </c>
      <c r="BQ1632" s="8" t="s">
        <v>190</v>
      </c>
      <c r="BR1632" t="s">
        <v>63</v>
      </c>
      <c r="BT1632">
        <v>-0.87</v>
      </c>
      <c r="BU1632">
        <v>-0.87</v>
      </c>
      <c r="BV1632">
        <v>0.09</v>
      </c>
      <c r="BW1632">
        <f>BV1632*SQRT(AK1632)</f>
        <v>0.15588457268119893</v>
      </c>
      <c r="BX1632">
        <v>-1.22</v>
      </c>
      <c r="BY1632">
        <v>-1.22</v>
      </c>
      <c r="BZ1632">
        <v>0.05</v>
      </c>
      <c r="CA1632">
        <f>BZ1632*SQRT(AL1632)</f>
        <v>8.6602540378443865E-2</v>
      </c>
      <c r="CB1632">
        <v>21</v>
      </c>
      <c r="CC1632">
        <v>2</v>
      </c>
      <c r="CD1632">
        <v>0.33810000000000001</v>
      </c>
      <c r="CE1632">
        <v>1.2699999999999999E-2</v>
      </c>
    </row>
    <row r="1633" spans="4:83" hidden="1" x14ac:dyDescent="0.2">
      <c r="D1633">
        <v>188</v>
      </c>
      <c r="G1633" t="s">
        <v>43</v>
      </c>
      <c r="H1633" t="s">
        <v>887</v>
      </c>
      <c r="J1633">
        <v>2021</v>
      </c>
      <c r="M1633" t="s">
        <v>513</v>
      </c>
      <c r="T1633" t="s">
        <v>68</v>
      </c>
      <c r="U1633" t="s">
        <v>266</v>
      </c>
      <c r="V1633" t="s">
        <v>597</v>
      </c>
      <c r="Z1633" t="s">
        <v>49</v>
      </c>
      <c r="AA1633" t="s">
        <v>49</v>
      </c>
      <c r="AB1633" t="s">
        <v>50</v>
      </c>
      <c r="AC1633" t="s">
        <v>51</v>
      </c>
      <c r="AD1633" t="s">
        <v>52</v>
      </c>
      <c r="AE1633" t="s">
        <v>53</v>
      </c>
      <c r="AF1633" t="s">
        <v>52</v>
      </c>
      <c r="AG1633" t="s">
        <v>52</v>
      </c>
      <c r="AH1633" t="s">
        <v>64</v>
      </c>
      <c r="AK1633">
        <v>3</v>
      </c>
      <c r="AL1633">
        <v>3</v>
      </c>
      <c r="AN1633">
        <v>379</v>
      </c>
      <c r="AO1633" t="s">
        <v>56</v>
      </c>
      <c r="AP1633">
        <v>13</v>
      </c>
      <c r="AQ1633" t="s">
        <v>57</v>
      </c>
      <c r="AR1633">
        <v>8.1</v>
      </c>
      <c r="AS1633" t="s">
        <v>56</v>
      </c>
      <c r="AT1633">
        <v>0.01</v>
      </c>
      <c r="AU1633">
        <v>979</v>
      </c>
      <c r="AV1633" t="s">
        <v>56</v>
      </c>
      <c r="AW1633">
        <v>69</v>
      </c>
      <c r="AX1633">
        <v>7.73</v>
      </c>
      <c r="AY1633" t="s">
        <v>56</v>
      </c>
      <c r="AZ1633">
        <v>0.03</v>
      </c>
      <c r="BB1633">
        <f>LOG(AU1633)</f>
        <v>2.9907826918031377</v>
      </c>
      <c r="BC1633">
        <v>20.2</v>
      </c>
      <c r="BD1633" t="s">
        <v>56</v>
      </c>
      <c r="BE1633">
        <v>0.1</v>
      </c>
      <c r="BF1633">
        <v>30.2</v>
      </c>
      <c r="BG1633" t="s">
        <v>56</v>
      </c>
      <c r="BH1633">
        <v>0.2</v>
      </c>
      <c r="BI1633">
        <v>600</v>
      </c>
      <c r="BJ1633">
        <v>10</v>
      </c>
      <c r="BK1633" t="s">
        <v>888</v>
      </c>
      <c r="BL1633" t="s">
        <v>889</v>
      </c>
      <c r="BM1633" t="s">
        <v>336</v>
      </c>
      <c r="BN1633" t="s">
        <v>81</v>
      </c>
      <c r="BO1633" t="s">
        <v>879</v>
      </c>
      <c r="BP1633" t="s">
        <v>194</v>
      </c>
      <c r="BQ1633" s="8" t="s">
        <v>190</v>
      </c>
      <c r="BR1633" t="s">
        <v>63</v>
      </c>
      <c r="BT1633">
        <v>0.06</v>
      </c>
      <c r="BU1633">
        <v>6.0490000000000002E-2</v>
      </c>
      <c r="BV1633">
        <v>0</v>
      </c>
      <c r="BW1633">
        <f>BV1633*SQRT(AK1633)</f>
        <v>0</v>
      </c>
      <c r="BX1633">
        <v>0</v>
      </c>
      <c r="BY1633">
        <v>2.6689999999999999E-3</v>
      </c>
      <c r="BZ1633">
        <v>0</v>
      </c>
      <c r="CA1633">
        <f>BZ1633*SQRT(AL1633)</f>
        <v>0</v>
      </c>
      <c r="CB1633">
        <v>30</v>
      </c>
      <c r="CC1633">
        <v>3</v>
      </c>
      <c r="CD1633">
        <v>-3.1208</v>
      </c>
      <c r="CE1633">
        <v>0.15140000000000001</v>
      </c>
    </row>
    <row r="1634" spans="4:83" hidden="1" x14ac:dyDescent="0.2">
      <c r="D1634">
        <v>188</v>
      </c>
      <c r="G1634" t="s">
        <v>43</v>
      </c>
      <c r="H1634" t="s">
        <v>887</v>
      </c>
      <c r="J1634">
        <v>2021</v>
      </c>
      <c r="M1634" t="s">
        <v>513</v>
      </c>
      <c r="T1634" t="s">
        <v>68</v>
      </c>
      <c r="U1634" t="s">
        <v>266</v>
      </c>
      <c r="V1634" t="s">
        <v>597</v>
      </c>
      <c r="Z1634" t="s">
        <v>49</v>
      </c>
      <c r="AA1634" t="s">
        <v>49</v>
      </c>
      <c r="AB1634" t="s">
        <v>50</v>
      </c>
      <c r="AC1634" t="s">
        <v>51</v>
      </c>
      <c r="AD1634" t="s">
        <v>52</v>
      </c>
      <c r="AE1634" t="s">
        <v>53</v>
      </c>
      <c r="AF1634" t="s">
        <v>54</v>
      </c>
      <c r="AG1634" t="s">
        <v>52</v>
      </c>
      <c r="AH1634" t="s">
        <v>65</v>
      </c>
      <c r="AK1634">
        <v>3</v>
      </c>
      <c r="AL1634">
        <v>3</v>
      </c>
      <c r="AN1634">
        <v>379</v>
      </c>
      <c r="AO1634" t="s">
        <v>56</v>
      </c>
      <c r="AP1634">
        <v>13</v>
      </c>
      <c r="AQ1634" t="s">
        <v>57</v>
      </c>
      <c r="AR1634">
        <v>8.1</v>
      </c>
      <c r="AS1634" t="s">
        <v>56</v>
      </c>
      <c r="AT1634">
        <v>0.01</v>
      </c>
      <c r="AU1634">
        <v>362</v>
      </c>
      <c r="AV1634" t="s">
        <v>56</v>
      </c>
      <c r="AW1634">
        <v>27</v>
      </c>
      <c r="AX1634">
        <v>8.11</v>
      </c>
      <c r="AY1634" t="s">
        <v>56</v>
      </c>
      <c r="AZ1634">
        <v>0.02</v>
      </c>
      <c r="BB1634">
        <f>LOG(AU1634)</f>
        <v>2.5587085705331658</v>
      </c>
      <c r="BC1634">
        <v>20.2</v>
      </c>
      <c r="BD1634" t="s">
        <v>56</v>
      </c>
      <c r="BE1634">
        <v>0.1</v>
      </c>
      <c r="BF1634">
        <v>30.2</v>
      </c>
      <c r="BG1634" t="s">
        <v>56</v>
      </c>
      <c r="BH1634">
        <v>0.3</v>
      </c>
      <c r="BI1634">
        <v>-17</v>
      </c>
      <c r="BJ1634">
        <v>10</v>
      </c>
      <c r="BK1634" t="s">
        <v>888</v>
      </c>
      <c r="BL1634" t="s">
        <v>889</v>
      </c>
      <c r="BM1634" t="s">
        <v>336</v>
      </c>
      <c r="BN1634" t="s">
        <v>81</v>
      </c>
      <c r="BO1634" t="s">
        <v>879</v>
      </c>
      <c r="BP1634" t="s">
        <v>194</v>
      </c>
      <c r="BQ1634" s="8" t="s">
        <v>190</v>
      </c>
      <c r="BR1634" t="s">
        <v>63</v>
      </c>
      <c r="BT1634">
        <v>0.06</v>
      </c>
      <c r="BU1634">
        <v>6.0490000000000002E-2</v>
      </c>
      <c r="BV1634">
        <v>0</v>
      </c>
      <c r="BW1634">
        <f>BV1634*SQRT(AK1634)</f>
        <v>0</v>
      </c>
      <c r="BX1634">
        <v>0.01</v>
      </c>
      <c r="BY1634">
        <v>8.8959999999999994E-3</v>
      </c>
      <c r="BZ1634">
        <v>0</v>
      </c>
      <c r="CA1634">
        <f>BZ1634*SQRT(AL1634)</f>
        <v>0</v>
      </c>
      <c r="CB1634">
        <v>30</v>
      </c>
      <c r="CC1634">
        <v>3</v>
      </c>
      <c r="CD1634">
        <v>-1.9169</v>
      </c>
      <c r="CE1634">
        <v>1.7999999999999999E-2</v>
      </c>
    </row>
    <row r="1635" spans="4:83" hidden="1" x14ac:dyDescent="0.2">
      <c r="D1635">
        <v>188</v>
      </c>
      <c r="G1635" t="s">
        <v>43</v>
      </c>
      <c r="H1635" t="s">
        <v>887</v>
      </c>
      <c r="J1635">
        <v>2021</v>
      </c>
      <c r="M1635" t="s">
        <v>513</v>
      </c>
      <c r="T1635" t="s">
        <v>68</v>
      </c>
      <c r="U1635" t="s">
        <v>266</v>
      </c>
      <c r="V1635" t="s">
        <v>597</v>
      </c>
      <c r="Z1635" t="s">
        <v>49</v>
      </c>
      <c r="AA1635" t="s">
        <v>49</v>
      </c>
      <c r="AB1635" t="s">
        <v>50</v>
      </c>
      <c r="AC1635" t="s">
        <v>51</v>
      </c>
      <c r="AD1635" t="s">
        <v>52</v>
      </c>
      <c r="AE1635" t="s">
        <v>53</v>
      </c>
      <c r="AF1635" t="s">
        <v>52</v>
      </c>
      <c r="AG1635" t="s">
        <v>54</v>
      </c>
      <c r="AH1635" t="s">
        <v>55</v>
      </c>
      <c r="AK1635">
        <v>3</v>
      </c>
      <c r="AL1635">
        <v>3</v>
      </c>
      <c r="AN1635">
        <v>379</v>
      </c>
      <c r="AO1635" t="s">
        <v>56</v>
      </c>
      <c r="AP1635">
        <v>13</v>
      </c>
      <c r="AQ1635" t="s">
        <v>57</v>
      </c>
      <c r="AR1635">
        <v>8.1</v>
      </c>
      <c r="AS1635" t="s">
        <v>56</v>
      </c>
      <c r="AT1635">
        <v>0.01</v>
      </c>
      <c r="AU1635">
        <v>1006</v>
      </c>
      <c r="AV1635" t="s">
        <v>56</v>
      </c>
      <c r="AW1635">
        <v>36</v>
      </c>
      <c r="AX1635">
        <v>7.71</v>
      </c>
      <c r="AY1635" t="s">
        <v>56</v>
      </c>
      <c r="AZ1635">
        <v>0.01</v>
      </c>
      <c r="BB1635">
        <f>LOG(AU1635)</f>
        <v>3.0025979807199086</v>
      </c>
      <c r="BC1635">
        <v>20.2</v>
      </c>
      <c r="BD1635" t="s">
        <v>56</v>
      </c>
      <c r="BE1635">
        <v>0.1</v>
      </c>
      <c r="BF1635">
        <v>20.2</v>
      </c>
      <c r="BG1635" t="s">
        <v>56</v>
      </c>
      <c r="BH1635">
        <v>0.2</v>
      </c>
      <c r="BI1635">
        <v>627</v>
      </c>
      <c r="BJ1635">
        <v>0</v>
      </c>
      <c r="BK1635" t="s">
        <v>888</v>
      </c>
      <c r="BL1635" t="s">
        <v>889</v>
      </c>
      <c r="BM1635" t="s">
        <v>336</v>
      </c>
      <c r="BN1635" t="s">
        <v>81</v>
      </c>
      <c r="BO1635" t="s">
        <v>879</v>
      </c>
      <c r="BP1635" t="s">
        <v>194</v>
      </c>
      <c r="BQ1635" s="8" t="s">
        <v>190</v>
      </c>
      <c r="BR1635" t="s">
        <v>63</v>
      </c>
      <c r="BT1635">
        <v>0.06</v>
      </c>
      <c r="BU1635">
        <v>6.0490000000000002E-2</v>
      </c>
      <c r="BV1635">
        <v>0</v>
      </c>
      <c r="BW1635">
        <f>BV1635*SQRT(AK1635)</f>
        <v>0</v>
      </c>
      <c r="BX1635">
        <v>0.02</v>
      </c>
      <c r="BY1635">
        <v>2.0459999999999999E-2</v>
      </c>
      <c r="BZ1635">
        <v>0</v>
      </c>
      <c r="CA1635">
        <f>BZ1635*SQRT(AL1635)</f>
        <v>0</v>
      </c>
      <c r="CB1635">
        <v>30</v>
      </c>
      <c r="CC1635">
        <v>3</v>
      </c>
      <c r="CD1635">
        <v>-1.0840000000000001</v>
      </c>
      <c r="CE1635">
        <v>1.47E-2</v>
      </c>
    </row>
    <row r="1636" spans="4:83" hidden="1" x14ac:dyDescent="0.2">
      <c r="D1636">
        <v>188</v>
      </c>
      <c r="G1636" t="s">
        <v>43</v>
      </c>
      <c r="H1636" t="s">
        <v>887</v>
      </c>
      <c r="J1636">
        <v>2021</v>
      </c>
      <c r="M1636" t="s">
        <v>513</v>
      </c>
      <c r="T1636" t="s">
        <v>68</v>
      </c>
      <c r="U1636" t="s">
        <v>266</v>
      </c>
      <c r="V1636" t="s">
        <v>597</v>
      </c>
      <c r="Z1636" t="s">
        <v>49</v>
      </c>
      <c r="AA1636" t="s">
        <v>49</v>
      </c>
      <c r="AB1636" t="s">
        <v>50</v>
      </c>
      <c r="AC1636" t="s">
        <v>51</v>
      </c>
      <c r="AD1636" t="s">
        <v>52</v>
      </c>
      <c r="AE1636" t="s">
        <v>53</v>
      </c>
      <c r="AF1636" t="s">
        <v>52</v>
      </c>
      <c r="AG1636" t="s">
        <v>54</v>
      </c>
      <c r="AH1636" t="s">
        <v>55</v>
      </c>
      <c r="AK1636">
        <v>3</v>
      </c>
      <c r="AL1636">
        <v>3</v>
      </c>
      <c r="AM1636" t="s">
        <v>342</v>
      </c>
      <c r="AN1636">
        <v>379</v>
      </c>
      <c r="AO1636" t="s">
        <v>56</v>
      </c>
      <c r="AP1636">
        <v>13</v>
      </c>
      <c r="AQ1636" t="s">
        <v>57</v>
      </c>
      <c r="AR1636">
        <v>8.1</v>
      </c>
      <c r="AS1636" t="s">
        <v>56</v>
      </c>
      <c r="AT1636">
        <v>0.01</v>
      </c>
      <c r="AU1636">
        <v>1006</v>
      </c>
      <c r="AV1636" t="s">
        <v>56</v>
      </c>
      <c r="AW1636">
        <v>36</v>
      </c>
      <c r="AX1636">
        <v>7.71</v>
      </c>
      <c r="AY1636" t="s">
        <v>56</v>
      </c>
      <c r="AZ1636">
        <v>0.01</v>
      </c>
      <c r="BB1636">
        <f>LOG(AU1636)</f>
        <v>3.0025979807199086</v>
      </c>
      <c r="BC1636">
        <v>20.2</v>
      </c>
      <c r="BD1636" t="s">
        <v>56</v>
      </c>
      <c r="BE1636">
        <v>0.1</v>
      </c>
      <c r="BF1636">
        <v>20.2</v>
      </c>
      <c r="BG1636" t="s">
        <v>56</v>
      </c>
      <c r="BH1636">
        <v>0.2</v>
      </c>
      <c r="BI1636">
        <v>627</v>
      </c>
      <c r="BJ1636">
        <v>0</v>
      </c>
      <c r="BK1636" t="s">
        <v>888</v>
      </c>
      <c r="BL1636" t="s">
        <v>881</v>
      </c>
      <c r="BM1636" t="s">
        <v>339</v>
      </c>
      <c r="BN1636" t="s">
        <v>340</v>
      </c>
      <c r="BO1636" t="s">
        <v>879</v>
      </c>
      <c r="BP1636" t="s">
        <v>194</v>
      </c>
      <c r="BQ1636" s="8" t="s">
        <v>190</v>
      </c>
      <c r="BR1636" t="s">
        <v>63</v>
      </c>
      <c r="BT1636">
        <v>10.81</v>
      </c>
      <c r="BU1636">
        <v>10.81</v>
      </c>
      <c r="BV1636">
        <v>0.49</v>
      </c>
      <c r="BW1636">
        <f>BV1636*SQRT(AK1636)</f>
        <v>0.84870489570874985</v>
      </c>
      <c r="BX1636">
        <v>29.68</v>
      </c>
      <c r="BY1636">
        <v>29.68</v>
      </c>
      <c r="BZ1636">
        <v>0.36</v>
      </c>
      <c r="CA1636">
        <f>BZ1636*SQRT(AL1636)</f>
        <v>0.62353829072479572</v>
      </c>
      <c r="CB1636">
        <v>30</v>
      </c>
      <c r="CC1636">
        <v>3</v>
      </c>
      <c r="CD1636">
        <v>-1.01</v>
      </c>
      <c r="CE1636">
        <v>2.2000000000000001E-3</v>
      </c>
    </row>
    <row r="1637" spans="4:83" hidden="1" x14ac:dyDescent="0.2">
      <c r="D1637">
        <v>188</v>
      </c>
      <c r="G1637" t="s">
        <v>43</v>
      </c>
      <c r="H1637" t="s">
        <v>887</v>
      </c>
      <c r="J1637">
        <v>2021</v>
      </c>
      <c r="M1637" t="s">
        <v>513</v>
      </c>
      <c r="T1637" t="s">
        <v>68</v>
      </c>
      <c r="U1637" t="s">
        <v>266</v>
      </c>
      <c r="V1637" t="s">
        <v>597</v>
      </c>
      <c r="Z1637" t="s">
        <v>49</v>
      </c>
      <c r="AA1637" t="s">
        <v>49</v>
      </c>
      <c r="AB1637" t="s">
        <v>50</v>
      </c>
      <c r="AC1637" t="s">
        <v>51</v>
      </c>
      <c r="AD1637" t="s">
        <v>52</v>
      </c>
      <c r="AE1637" t="s">
        <v>53</v>
      </c>
      <c r="AF1637" t="s">
        <v>54</v>
      </c>
      <c r="AG1637" t="s">
        <v>52</v>
      </c>
      <c r="AH1637" t="s">
        <v>65</v>
      </c>
      <c r="AK1637">
        <v>3</v>
      </c>
      <c r="AL1637">
        <v>3</v>
      </c>
      <c r="AM1637" t="s">
        <v>342</v>
      </c>
      <c r="AN1637">
        <v>379</v>
      </c>
      <c r="AO1637" t="s">
        <v>56</v>
      </c>
      <c r="AP1637">
        <v>13</v>
      </c>
      <c r="AQ1637" t="s">
        <v>57</v>
      </c>
      <c r="AR1637">
        <v>8.1</v>
      </c>
      <c r="AS1637" t="s">
        <v>56</v>
      </c>
      <c r="AT1637">
        <v>0.01</v>
      </c>
      <c r="AU1637">
        <v>362</v>
      </c>
      <c r="AV1637" t="s">
        <v>56</v>
      </c>
      <c r="AW1637">
        <v>27</v>
      </c>
      <c r="AX1637">
        <v>8.11</v>
      </c>
      <c r="AY1637" t="s">
        <v>56</v>
      </c>
      <c r="AZ1637">
        <v>0.02</v>
      </c>
      <c r="BB1637">
        <f>LOG(AU1637)</f>
        <v>2.5587085705331658</v>
      </c>
      <c r="BC1637">
        <v>20.2</v>
      </c>
      <c r="BD1637" t="s">
        <v>56</v>
      </c>
      <c r="BE1637">
        <v>0.1</v>
      </c>
      <c r="BF1637">
        <v>30.2</v>
      </c>
      <c r="BG1637" t="s">
        <v>56</v>
      </c>
      <c r="BH1637">
        <v>0.3</v>
      </c>
      <c r="BI1637">
        <v>-17</v>
      </c>
      <c r="BJ1637">
        <v>10</v>
      </c>
      <c r="BK1637" t="s">
        <v>888</v>
      </c>
      <c r="BL1637" t="s">
        <v>881</v>
      </c>
      <c r="BM1637" t="s">
        <v>339</v>
      </c>
      <c r="BN1637" t="s">
        <v>340</v>
      </c>
      <c r="BO1637" t="s">
        <v>879</v>
      </c>
      <c r="BP1637" t="s">
        <v>194</v>
      </c>
      <c r="BQ1637" s="8" t="s">
        <v>190</v>
      </c>
      <c r="BR1637" t="s">
        <v>63</v>
      </c>
      <c r="BT1637">
        <v>10.81</v>
      </c>
      <c r="BU1637">
        <v>10.81</v>
      </c>
      <c r="BV1637">
        <v>0.49</v>
      </c>
      <c r="BW1637">
        <f>BV1637*SQRT(AK1637)</f>
        <v>0.84870489570874985</v>
      </c>
      <c r="BX1637">
        <v>17.39</v>
      </c>
      <c r="BY1637">
        <v>17.385000000000002</v>
      </c>
      <c r="BZ1637">
        <v>1.47</v>
      </c>
      <c r="CA1637">
        <f>BZ1637*SQRT(AL1637)</f>
        <v>2.5461146871262494</v>
      </c>
      <c r="CB1637">
        <v>30</v>
      </c>
      <c r="CC1637">
        <v>3</v>
      </c>
      <c r="CD1637">
        <v>-0.47499999999999998</v>
      </c>
      <c r="CE1637">
        <v>9.1999999999999998E-3</v>
      </c>
    </row>
    <row r="1638" spans="4:83" hidden="1" x14ac:dyDescent="0.2">
      <c r="D1638">
        <v>188</v>
      </c>
      <c r="G1638" t="s">
        <v>43</v>
      </c>
      <c r="H1638" t="s">
        <v>887</v>
      </c>
      <c r="J1638">
        <v>2021</v>
      </c>
      <c r="M1638" t="s">
        <v>513</v>
      </c>
      <c r="T1638" t="s">
        <v>68</v>
      </c>
      <c r="U1638" t="s">
        <v>266</v>
      </c>
      <c r="V1638" t="s">
        <v>597</v>
      </c>
      <c r="Z1638" t="s">
        <v>49</v>
      </c>
      <c r="AA1638" t="s">
        <v>49</v>
      </c>
      <c r="AB1638" t="s">
        <v>50</v>
      </c>
      <c r="AC1638" t="s">
        <v>51</v>
      </c>
      <c r="AD1638" t="s">
        <v>52</v>
      </c>
      <c r="AE1638" t="s">
        <v>53</v>
      </c>
      <c r="AF1638" t="s">
        <v>52</v>
      </c>
      <c r="AG1638" t="s">
        <v>52</v>
      </c>
      <c r="AH1638" t="s">
        <v>64</v>
      </c>
      <c r="AK1638">
        <v>3</v>
      </c>
      <c r="AL1638">
        <v>3</v>
      </c>
      <c r="AM1638" t="s">
        <v>342</v>
      </c>
      <c r="AN1638">
        <v>379</v>
      </c>
      <c r="AO1638" t="s">
        <v>56</v>
      </c>
      <c r="AP1638">
        <v>13</v>
      </c>
      <c r="AQ1638" t="s">
        <v>57</v>
      </c>
      <c r="AR1638">
        <v>8.1</v>
      </c>
      <c r="AS1638" t="s">
        <v>56</v>
      </c>
      <c r="AT1638">
        <v>0.01</v>
      </c>
      <c r="AU1638">
        <v>979</v>
      </c>
      <c r="AV1638" t="s">
        <v>56</v>
      </c>
      <c r="AW1638">
        <v>69</v>
      </c>
      <c r="AX1638">
        <v>7.73</v>
      </c>
      <c r="AY1638" t="s">
        <v>56</v>
      </c>
      <c r="AZ1638">
        <v>0.03</v>
      </c>
      <c r="BB1638">
        <f>LOG(AU1638)</f>
        <v>2.9907826918031377</v>
      </c>
      <c r="BC1638">
        <v>20.2</v>
      </c>
      <c r="BD1638" t="s">
        <v>56</v>
      </c>
      <c r="BE1638">
        <v>0.1</v>
      </c>
      <c r="BF1638">
        <v>30.2</v>
      </c>
      <c r="BG1638" t="s">
        <v>56</v>
      </c>
      <c r="BH1638">
        <v>0.2</v>
      </c>
      <c r="BI1638">
        <v>600</v>
      </c>
      <c r="BJ1638">
        <v>10</v>
      </c>
      <c r="BK1638" t="s">
        <v>888</v>
      </c>
      <c r="BL1638" t="s">
        <v>881</v>
      </c>
      <c r="BM1638" t="s">
        <v>339</v>
      </c>
      <c r="BN1638" t="s">
        <v>340</v>
      </c>
      <c r="BO1638" t="s">
        <v>879</v>
      </c>
      <c r="BP1638" t="s">
        <v>194</v>
      </c>
      <c r="BQ1638" s="8" t="s">
        <v>190</v>
      </c>
      <c r="BR1638" t="s">
        <v>63</v>
      </c>
      <c r="BT1638">
        <v>10.81</v>
      </c>
      <c r="BU1638">
        <v>10.81</v>
      </c>
      <c r="BV1638">
        <v>0.49</v>
      </c>
      <c r="BW1638">
        <f>BV1638*SQRT(AK1638)</f>
        <v>0.84870489570874985</v>
      </c>
      <c r="BX1638">
        <v>16.54</v>
      </c>
      <c r="BY1638">
        <v>16.536999999999999</v>
      </c>
      <c r="BZ1638">
        <v>1.22</v>
      </c>
      <c r="CA1638">
        <f>BZ1638*SQRT(AL1638)</f>
        <v>2.1131019852340303</v>
      </c>
      <c r="CB1638">
        <v>30</v>
      </c>
      <c r="CC1638">
        <v>3</v>
      </c>
      <c r="CD1638">
        <v>-0.42499999999999999</v>
      </c>
      <c r="CE1638">
        <v>7.4999999999999997E-3</v>
      </c>
    </row>
    <row r="1639" spans="4:83" hidden="1" x14ac:dyDescent="0.2">
      <c r="D1639">
        <v>189</v>
      </c>
      <c r="G1639" t="s">
        <v>43</v>
      </c>
      <c r="H1639" t="s">
        <v>890</v>
      </c>
      <c r="J1639">
        <v>2015</v>
      </c>
      <c r="M1639" t="s">
        <v>257</v>
      </c>
      <c r="T1639" t="s">
        <v>103</v>
      </c>
      <c r="U1639" t="s">
        <v>228</v>
      </c>
      <c r="V1639" t="s">
        <v>842</v>
      </c>
      <c r="Z1639" t="s">
        <v>106</v>
      </c>
      <c r="AA1639" t="s">
        <v>107</v>
      </c>
      <c r="AB1639" t="s">
        <v>50</v>
      </c>
      <c r="AC1639" t="s">
        <v>51</v>
      </c>
      <c r="AD1639" t="s">
        <v>52</v>
      </c>
      <c r="AE1639" t="s">
        <v>53</v>
      </c>
      <c r="AF1639" t="s">
        <v>52</v>
      </c>
      <c r="AG1639" t="s">
        <v>54</v>
      </c>
      <c r="AH1639" t="s">
        <v>55</v>
      </c>
      <c r="AK1639">
        <v>5</v>
      </c>
      <c r="AL1639">
        <v>5</v>
      </c>
      <c r="AN1639">
        <v>364</v>
      </c>
      <c r="AO1639">
        <v>10</v>
      </c>
      <c r="AP1639" t="s">
        <v>56</v>
      </c>
      <c r="AQ1639" t="s">
        <v>109</v>
      </c>
      <c r="AR1639">
        <v>8.07</v>
      </c>
      <c r="AS1639">
        <v>0.01</v>
      </c>
      <c r="AT1639" t="s">
        <v>56</v>
      </c>
      <c r="AU1639">
        <v>732</v>
      </c>
      <c r="AV1639">
        <v>22</v>
      </c>
      <c r="AW1639" t="s">
        <v>56</v>
      </c>
      <c r="AX1639">
        <v>7.98</v>
      </c>
      <c r="AY1639">
        <v>0.01</v>
      </c>
      <c r="AZ1639" t="s">
        <v>56</v>
      </c>
      <c r="BB1639">
        <f>LOG(AU1639)</f>
        <v>2.8645110810583918</v>
      </c>
      <c r="BC1639">
        <v>26.5</v>
      </c>
      <c r="BD1639">
        <v>0</v>
      </c>
      <c r="BE1639" t="s">
        <v>56</v>
      </c>
      <c r="BF1639">
        <v>26.6</v>
      </c>
      <c r="BG1639">
        <v>0</v>
      </c>
      <c r="BH1639" t="s">
        <v>56</v>
      </c>
      <c r="BI1639">
        <v>368</v>
      </c>
      <c r="BJ1639">
        <v>0.2</v>
      </c>
      <c r="BK1639" t="s">
        <v>56</v>
      </c>
      <c r="BL1639" t="s">
        <v>891</v>
      </c>
      <c r="BM1639" t="s">
        <v>59</v>
      </c>
      <c r="BN1639" t="s">
        <v>60</v>
      </c>
      <c r="BO1639" t="s">
        <v>892</v>
      </c>
      <c r="BP1639" t="s">
        <v>62</v>
      </c>
      <c r="BQ1639" s="8" t="s">
        <v>190</v>
      </c>
      <c r="BR1639" t="s">
        <v>63</v>
      </c>
      <c r="BT1639">
        <v>0.54</v>
      </c>
      <c r="BU1639">
        <v>0.54330000000000001</v>
      </c>
      <c r="BV1639">
        <v>0.13</v>
      </c>
      <c r="BW1639">
        <f>BV1639*SQRT(AK1639)</f>
        <v>0.29068883707497267</v>
      </c>
      <c r="BX1639">
        <v>0.23</v>
      </c>
      <c r="BY1639">
        <v>0.23139999999999999</v>
      </c>
      <c r="BZ1639">
        <v>0.03</v>
      </c>
      <c r="CA1639">
        <f>BZ1639*SQRT(AL1639)</f>
        <v>6.7082039324993695E-2</v>
      </c>
      <c r="CB1639">
        <v>24</v>
      </c>
      <c r="CC1639">
        <v>6</v>
      </c>
      <c r="CD1639">
        <v>-0.85350000000000004</v>
      </c>
      <c r="CE1639">
        <v>7.0099999999999996E-2</v>
      </c>
    </row>
    <row r="1640" spans="4:83" hidden="1" x14ac:dyDescent="0.2">
      <c r="D1640">
        <v>189</v>
      </c>
      <c r="G1640" t="s">
        <v>43</v>
      </c>
      <c r="H1640" t="s">
        <v>890</v>
      </c>
      <c r="J1640">
        <v>2015</v>
      </c>
      <c r="M1640" t="s">
        <v>257</v>
      </c>
      <c r="T1640" t="s">
        <v>103</v>
      </c>
      <c r="U1640" t="s">
        <v>228</v>
      </c>
      <c r="V1640" t="s">
        <v>842</v>
      </c>
      <c r="Z1640" t="s">
        <v>106</v>
      </c>
      <c r="AA1640" t="s">
        <v>107</v>
      </c>
      <c r="AB1640" t="s">
        <v>50</v>
      </c>
      <c r="AC1640" t="s">
        <v>51</v>
      </c>
      <c r="AD1640" t="s">
        <v>52</v>
      </c>
      <c r="AE1640" t="s">
        <v>53</v>
      </c>
      <c r="AF1640" t="s">
        <v>52</v>
      </c>
      <c r="AG1640" t="s">
        <v>52</v>
      </c>
      <c r="AH1640" t="s">
        <v>64</v>
      </c>
      <c r="AK1640">
        <v>5</v>
      </c>
      <c r="AL1640">
        <v>5</v>
      </c>
      <c r="AN1640">
        <v>364</v>
      </c>
      <c r="AO1640">
        <v>10</v>
      </c>
      <c r="AP1640" t="s">
        <v>56</v>
      </c>
      <c r="AQ1640" t="s">
        <v>109</v>
      </c>
      <c r="AR1640">
        <v>8.07</v>
      </c>
      <c r="AS1640">
        <v>0.01</v>
      </c>
      <c r="AT1640" t="s">
        <v>56</v>
      </c>
      <c r="AU1640">
        <v>750</v>
      </c>
      <c r="AV1640">
        <v>26</v>
      </c>
      <c r="AW1640" t="s">
        <v>56</v>
      </c>
      <c r="AX1640">
        <v>7.81</v>
      </c>
      <c r="AY1640">
        <v>0.01</v>
      </c>
      <c r="AZ1640" t="s">
        <v>56</v>
      </c>
      <c r="BB1640">
        <f>LOG(AU1640)</f>
        <v>2.8750612633917001</v>
      </c>
      <c r="BC1640">
        <v>26.5</v>
      </c>
      <c r="BD1640">
        <v>0</v>
      </c>
      <c r="BE1640" t="s">
        <v>56</v>
      </c>
      <c r="BF1640">
        <v>28.9</v>
      </c>
      <c r="BG1640">
        <v>0</v>
      </c>
      <c r="BH1640" t="s">
        <v>56</v>
      </c>
      <c r="BI1640">
        <v>386</v>
      </c>
      <c r="BJ1640">
        <v>2.5</v>
      </c>
      <c r="BK1640" t="s">
        <v>56</v>
      </c>
      <c r="BL1640" t="s">
        <v>891</v>
      </c>
      <c r="BM1640" t="s">
        <v>59</v>
      </c>
      <c r="BN1640" t="s">
        <v>60</v>
      </c>
      <c r="BO1640" t="s">
        <v>892</v>
      </c>
      <c r="BP1640" t="s">
        <v>62</v>
      </c>
      <c r="BQ1640" s="8" t="s">
        <v>190</v>
      </c>
      <c r="BR1640" t="s">
        <v>63</v>
      </c>
      <c r="BT1640">
        <v>0.54</v>
      </c>
      <c r="BU1640">
        <v>0.54330000000000001</v>
      </c>
      <c r="BV1640">
        <v>0.13</v>
      </c>
      <c r="BW1640">
        <f>BV1640*SQRT(AK1640)</f>
        <v>0.29068883707497267</v>
      </c>
      <c r="BX1640">
        <v>0.36</v>
      </c>
      <c r="BY1640">
        <v>0.36377999999999999</v>
      </c>
      <c r="BZ1640">
        <v>0.03</v>
      </c>
      <c r="CA1640">
        <f>BZ1640*SQRT(AL1640)</f>
        <v>6.7082039324993695E-2</v>
      </c>
      <c r="CB1640">
        <v>24</v>
      </c>
      <c r="CC1640">
        <v>6</v>
      </c>
      <c r="CD1640">
        <v>-0.40110000000000001</v>
      </c>
      <c r="CE1640">
        <v>6.3299999999999995E-2</v>
      </c>
    </row>
    <row r="1641" spans="4:83" hidden="1" x14ac:dyDescent="0.2">
      <c r="D1641">
        <v>189</v>
      </c>
      <c r="G1641" t="s">
        <v>43</v>
      </c>
      <c r="H1641" t="s">
        <v>890</v>
      </c>
      <c r="J1641">
        <v>2015</v>
      </c>
      <c r="M1641" t="s">
        <v>257</v>
      </c>
      <c r="T1641" t="s">
        <v>103</v>
      </c>
      <c r="U1641" t="s">
        <v>228</v>
      </c>
      <c r="V1641" t="s">
        <v>842</v>
      </c>
      <c r="Z1641" t="s">
        <v>106</v>
      </c>
      <c r="AA1641" t="s">
        <v>107</v>
      </c>
      <c r="AB1641" t="s">
        <v>50</v>
      </c>
      <c r="AC1641" t="s">
        <v>51</v>
      </c>
      <c r="AD1641" t="s">
        <v>52</v>
      </c>
      <c r="AE1641" t="s">
        <v>53</v>
      </c>
      <c r="AF1641" t="s">
        <v>54</v>
      </c>
      <c r="AG1641" t="s">
        <v>52</v>
      </c>
      <c r="AH1641" t="s">
        <v>65</v>
      </c>
      <c r="AK1641">
        <v>5</v>
      </c>
      <c r="AL1641">
        <v>5</v>
      </c>
      <c r="AN1641">
        <v>364</v>
      </c>
      <c r="AO1641">
        <v>10</v>
      </c>
      <c r="AP1641" t="s">
        <v>56</v>
      </c>
      <c r="AQ1641" t="s">
        <v>109</v>
      </c>
      <c r="AR1641">
        <v>8.07</v>
      </c>
      <c r="AS1641">
        <v>0.01</v>
      </c>
      <c r="AT1641" t="s">
        <v>56</v>
      </c>
      <c r="AU1641">
        <v>401</v>
      </c>
      <c r="AV1641">
        <v>17</v>
      </c>
      <c r="AW1641" t="s">
        <v>56</v>
      </c>
      <c r="AX1641">
        <v>8.0399999999999991</v>
      </c>
      <c r="AY1641">
        <v>0.01</v>
      </c>
      <c r="AZ1641" t="s">
        <v>56</v>
      </c>
      <c r="BB1641">
        <f>LOG(AU1641)</f>
        <v>2.6031443726201822</v>
      </c>
      <c r="BC1641">
        <v>26.5</v>
      </c>
      <c r="BD1641">
        <v>0</v>
      </c>
      <c r="BE1641" t="s">
        <v>56</v>
      </c>
      <c r="BF1641">
        <v>29.3</v>
      </c>
      <c r="BG1641">
        <v>0</v>
      </c>
      <c r="BH1641" t="s">
        <v>56</v>
      </c>
      <c r="BI1641">
        <v>36</v>
      </c>
      <c r="BJ1641">
        <v>2.9</v>
      </c>
      <c r="BK1641" t="s">
        <v>56</v>
      </c>
      <c r="BL1641" t="s">
        <v>891</v>
      </c>
      <c r="BM1641" t="s">
        <v>59</v>
      </c>
      <c r="BN1641" t="s">
        <v>60</v>
      </c>
      <c r="BO1641" t="s">
        <v>892</v>
      </c>
      <c r="BP1641" t="s">
        <v>62</v>
      </c>
      <c r="BQ1641" s="8" t="s">
        <v>190</v>
      </c>
      <c r="BR1641" t="s">
        <v>63</v>
      </c>
      <c r="BT1641">
        <v>0.54</v>
      </c>
      <c r="BU1641">
        <v>0.54330000000000001</v>
      </c>
      <c r="BV1641">
        <v>0.13</v>
      </c>
      <c r="BW1641">
        <f>BV1641*SQRT(AK1641)</f>
        <v>0.29068883707497267</v>
      </c>
      <c r="BX1641">
        <v>0.42</v>
      </c>
      <c r="BY1641">
        <v>0.4204</v>
      </c>
      <c r="BZ1641">
        <v>0.06</v>
      </c>
      <c r="CA1641">
        <f>BZ1641*SQRT(AL1641)</f>
        <v>0.13416407864998739</v>
      </c>
      <c r="CB1641">
        <v>24</v>
      </c>
      <c r="CC1641">
        <v>6</v>
      </c>
      <c r="CD1641">
        <v>-0.25650000000000001</v>
      </c>
      <c r="CE1641">
        <v>7.6399999999999996E-2</v>
      </c>
    </row>
    <row r="1642" spans="4:83" hidden="1" x14ac:dyDescent="0.2">
      <c r="D1642">
        <v>189</v>
      </c>
      <c r="G1642" t="s">
        <v>43</v>
      </c>
      <c r="H1642" t="s">
        <v>890</v>
      </c>
      <c r="J1642">
        <v>2015</v>
      </c>
      <c r="M1642" t="s">
        <v>257</v>
      </c>
      <c r="T1642" t="s">
        <v>103</v>
      </c>
      <c r="U1642" t="s">
        <v>348</v>
      </c>
      <c r="V1642" t="s">
        <v>893</v>
      </c>
      <c r="Z1642" t="s">
        <v>106</v>
      </c>
      <c r="AA1642" t="s">
        <v>107</v>
      </c>
      <c r="AB1642" t="s">
        <v>50</v>
      </c>
      <c r="AC1642" t="s">
        <v>51</v>
      </c>
      <c r="AD1642" t="s">
        <v>52</v>
      </c>
      <c r="AE1642" t="s">
        <v>53</v>
      </c>
      <c r="AF1642" t="s">
        <v>52</v>
      </c>
      <c r="AG1642" t="s">
        <v>54</v>
      </c>
      <c r="AH1642" t="s">
        <v>55</v>
      </c>
      <c r="AK1642">
        <v>5</v>
      </c>
      <c r="AL1642">
        <v>5</v>
      </c>
      <c r="AN1642">
        <v>364</v>
      </c>
      <c r="AO1642">
        <v>10</v>
      </c>
      <c r="AP1642" t="s">
        <v>56</v>
      </c>
      <c r="AQ1642" t="s">
        <v>109</v>
      </c>
      <c r="AR1642">
        <v>8.07</v>
      </c>
      <c r="AS1642">
        <v>0.01</v>
      </c>
      <c r="AT1642" t="s">
        <v>56</v>
      </c>
      <c r="AU1642">
        <v>732</v>
      </c>
      <c r="AV1642">
        <v>22</v>
      </c>
      <c r="AW1642" t="s">
        <v>56</v>
      </c>
      <c r="AX1642">
        <v>7.98</v>
      </c>
      <c r="AY1642">
        <v>0.01</v>
      </c>
      <c r="AZ1642" t="s">
        <v>56</v>
      </c>
      <c r="BB1642">
        <f>LOG(AU1642)</f>
        <v>2.8645110810583918</v>
      </c>
      <c r="BC1642">
        <v>26.5</v>
      </c>
      <c r="BD1642">
        <v>0</v>
      </c>
      <c r="BE1642" t="s">
        <v>56</v>
      </c>
      <c r="BF1642">
        <v>26.6</v>
      </c>
      <c r="BG1642">
        <v>0</v>
      </c>
      <c r="BH1642" t="s">
        <v>56</v>
      </c>
      <c r="BI1642">
        <v>368</v>
      </c>
      <c r="BJ1642">
        <v>0.2</v>
      </c>
      <c r="BK1642" t="s">
        <v>56</v>
      </c>
      <c r="BL1642" t="s">
        <v>891</v>
      </c>
      <c r="BM1642" t="s">
        <v>59</v>
      </c>
      <c r="BN1642" t="s">
        <v>60</v>
      </c>
      <c r="BO1642" t="s">
        <v>892</v>
      </c>
      <c r="BP1642" t="s">
        <v>62</v>
      </c>
      <c r="BQ1642" s="8" t="s">
        <v>190</v>
      </c>
      <c r="BR1642" t="s">
        <v>63</v>
      </c>
      <c r="BT1642">
        <v>0.33</v>
      </c>
      <c r="BU1642">
        <v>0.33069999999999999</v>
      </c>
      <c r="BV1642">
        <v>7.0000000000000007E-2</v>
      </c>
      <c r="BW1642">
        <f>BV1642*SQRT(AK1642)</f>
        <v>0.15652475842498531</v>
      </c>
      <c r="BX1642">
        <v>0.33</v>
      </c>
      <c r="BY1642">
        <v>0.33070899999999998</v>
      </c>
      <c r="BZ1642">
        <v>0.04</v>
      </c>
      <c r="CA1642">
        <f>BZ1642*SQRT(AL1642)</f>
        <v>8.9442719099991588E-2</v>
      </c>
      <c r="CB1642">
        <v>24</v>
      </c>
      <c r="CC1642">
        <v>6</v>
      </c>
      <c r="CD1642">
        <v>0</v>
      </c>
      <c r="CE1642">
        <v>5.3100000000000001E-2</v>
      </c>
    </row>
    <row r="1643" spans="4:83" hidden="1" x14ac:dyDescent="0.2">
      <c r="D1643">
        <v>189</v>
      </c>
      <c r="G1643" t="s">
        <v>43</v>
      </c>
      <c r="H1643" t="s">
        <v>890</v>
      </c>
      <c r="J1643">
        <v>2015</v>
      </c>
      <c r="M1643" t="s">
        <v>257</v>
      </c>
      <c r="T1643" t="s">
        <v>103</v>
      </c>
      <c r="U1643" t="s">
        <v>348</v>
      </c>
      <c r="V1643" t="s">
        <v>893</v>
      </c>
      <c r="Z1643" t="s">
        <v>106</v>
      </c>
      <c r="AA1643" t="s">
        <v>107</v>
      </c>
      <c r="AB1643" t="s">
        <v>50</v>
      </c>
      <c r="AC1643" t="s">
        <v>51</v>
      </c>
      <c r="AD1643" t="s">
        <v>52</v>
      </c>
      <c r="AE1643" t="s">
        <v>53</v>
      </c>
      <c r="AF1643" t="s">
        <v>52</v>
      </c>
      <c r="AG1643" t="s">
        <v>52</v>
      </c>
      <c r="AH1643" t="s">
        <v>64</v>
      </c>
      <c r="AK1643">
        <v>5</v>
      </c>
      <c r="AL1643">
        <v>5</v>
      </c>
      <c r="AN1643">
        <v>364</v>
      </c>
      <c r="AO1643">
        <v>10</v>
      </c>
      <c r="AP1643" t="s">
        <v>56</v>
      </c>
      <c r="AQ1643" t="s">
        <v>109</v>
      </c>
      <c r="AR1643">
        <v>8.07</v>
      </c>
      <c r="AS1643">
        <v>0.01</v>
      </c>
      <c r="AT1643" t="s">
        <v>56</v>
      </c>
      <c r="AU1643">
        <v>750</v>
      </c>
      <c r="AV1643">
        <v>26</v>
      </c>
      <c r="AW1643" t="s">
        <v>56</v>
      </c>
      <c r="AX1643">
        <v>7.81</v>
      </c>
      <c r="AY1643">
        <v>0.01</v>
      </c>
      <c r="AZ1643" t="s">
        <v>56</v>
      </c>
      <c r="BB1643">
        <f>LOG(AU1643)</f>
        <v>2.8750612633917001</v>
      </c>
      <c r="BC1643">
        <v>26.5</v>
      </c>
      <c r="BD1643">
        <v>0</v>
      </c>
      <c r="BE1643" t="s">
        <v>56</v>
      </c>
      <c r="BF1643">
        <v>28.9</v>
      </c>
      <c r="BG1643">
        <v>0</v>
      </c>
      <c r="BH1643" t="s">
        <v>56</v>
      </c>
      <c r="BI1643">
        <v>386</v>
      </c>
      <c r="BJ1643">
        <v>2.5</v>
      </c>
      <c r="BK1643" t="s">
        <v>56</v>
      </c>
      <c r="BL1643" t="s">
        <v>891</v>
      </c>
      <c r="BM1643" t="s">
        <v>59</v>
      </c>
      <c r="BN1643" t="s">
        <v>60</v>
      </c>
      <c r="BO1643" t="s">
        <v>892</v>
      </c>
      <c r="BP1643" t="s">
        <v>62</v>
      </c>
      <c r="BQ1643" s="8" t="s">
        <v>190</v>
      </c>
      <c r="BR1643" t="s">
        <v>63</v>
      </c>
      <c r="BT1643">
        <v>0.33</v>
      </c>
      <c r="BU1643">
        <v>0.33069999999999999</v>
      </c>
      <c r="BV1643">
        <v>7.0000000000000007E-2</v>
      </c>
      <c r="BW1643">
        <f>BV1643*SQRT(AK1643)</f>
        <v>0.15652475842498531</v>
      </c>
      <c r="BX1643">
        <v>0.53</v>
      </c>
      <c r="BY1643">
        <v>0.53385000000000005</v>
      </c>
      <c r="BZ1643">
        <v>0.06</v>
      </c>
      <c r="CA1643">
        <f>BZ1643*SQRT(AL1643)</f>
        <v>0.13416407864998739</v>
      </c>
      <c r="CB1643">
        <v>24</v>
      </c>
      <c r="CC1643">
        <v>6</v>
      </c>
      <c r="CD1643">
        <v>0.47899999999999998</v>
      </c>
      <c r="CE1643">
        <v>5.3199999999999997E-2</v>
      </c>
    </row>
    <row r="1644" spans="4:83" hidden="1" x14ac:dyDescent="0.2">
      <c r="D1644">
        <v>189</v>
      </c>
      <c r="G1644" t="s">
        <v>43</v>
      </c>
      <c r="H1644" t="s">
        <v>890</v>
      </c>
      <c r="J1644">
        <v>2015</v>
      </c>
      <c r="M1644" t="s">
        <v>257</v>
      </c>
      <c r="T1644" t="s">
        <v>103</v>
      </c>
      <c r="U1644" t="s">
        <v>348</v>
      </c>
      <c r="V1644" t="s">
        <v>893</v>
      </c>
      <c r="Z1644" t="s">
        <v>106</v>
      </c>
      <c r="AA1644" t="s">
        <v>107</v>
      </c>
      <c r="AB1644" t="s">
        <v>50</v>
      </c>
      <c r="AC1644" t="s">
        <v>51</v>
      </c>
      <c r="AD1644" t="s">
        <v>52</v>
      </c>
      <c r="AE1644" t="s">
        <v>53</v>
      </c>
      <c r="AF1644" t="s">
        <v>54</v>
      </c>
      <c r="AG1644" t="s">
        <v>52</v>
      </c>
      <c r="AH1644" t="s">
        <v>65</v>
      </c>
      <c r="AK1644">
        <v>5</v>
      </c>
      <c r="AL1644">
        <v>5</v>
      </c>
      <c r="AN1644">
        <v>364</v>
      </c>
      <c r="AO1644">
        <v>10</v>
      </c>
      <c r="AP1644" t="s">
        <v>56</v>
      </c>
      <c r="AQ1644" t="s">
        <v>109</v>
      </c>
      <c r="AR1644">
        <v>8.07</v>
      </c>
      <c r="AS1644">
        <v>0.01</v>
      </c>
      <c r="AT1644" t="s">
        <v>56</v>
      </c>
      <c r="AU1644">
        <v>401</v>
      </c>
      <c r="AV1644">
        <v>17</v>
      </c>
      <c r="AW1644" t="s">
        <v>56</v>
      </c>
      <c r="AX1644">
        <v>8.0399999999999991</v>
      </c>
      <c r="AY1644">
        <v>0.01</v>
      </c>
      <c r="AZ1644" t="s">
        <v>56</v>
      </c>
      <c r="BB1644">
        <f>LOG(AU1644)</f>
        <v>2.6031443726201822</v>
      </c>
      <c r="BC1644">
        <v>26.5</v>
      </c>
      <c r="BD1644">
        <v>0</v>
      </c>
      <c r="BE1644" t="s">
        <v>56</v>
      </c>
      <c r="BF1644">
        <v>29.3</v>
      </c>
      <c r="BG1644">
        <v>0</v>
      </c>
      <c r="BH1644" t="s">
        <v>56</v>
      </c>
      <c r="BI1644">
        <v>36</v>
      </c>
      <c r="BJ1644">
        <v>2.9</v>
      </c>
      <c r="BK1644" t="s">
        <v>56</v>
      </c>
      <c r="BL1644" t="s">
        <v>891</v>
      </c>
      <c r="BM1644" t="s">
        <v>59</v>
      </c>
      <c r="BN1644" t="s">
        <v>60</v>
      </c>
      <c r="BO1644" t="s">
        <v>892</v>
      </c>
      <c r="BP1644" t="s">
        <v>62</v>
      </c>
      <c r="BQ1644" s="8" t="s">
        <v>190</v>
      </c>
      <c r="BR1644" t="s">
        <v>63</v>
      </c>
      <c r="BT1644">
        <v>0.33</v>
      </c>
      <c r="BU1644">
        <v>0.33069999999999999</v>
      </c>
      <c r="BV1644">
        <v>7.0000000000000007E-2</v>
      </c>
      <c r="BW1644">
        <f>BV1644*SQRT(AK1644)</f>
        <v>0.15652475842498531</v>
      </c>
      <c r="BX1644">
        <v>0.56000000000000005</v>
      </c>
      <c r="BY1644">
        <v>0.56220000000000003</v>
      </c>
      <c r="BZ1644">
        <v>7.0000000000000007E-2</v>
      </c>
      <c r="CA1644">
        <f>BZ1644*SQRT(AL1644)</f>
        <v>0.15652475842498531</v>
      </c>
      <c r="CB1644">
        <v>24</v>
      </c>
      <c r="CC1644">
        <v>6</v>
      </c>
      <c r="CD1644">
        <v>0.53100000000000003</v>
      </c>
      <c r="CE1644">
        <v>5.5899999999999998E-2</v>
      </c>
    </row>
    <row r="1645" spans="4:83" hidden="1" x14ac:dyDescent="0.2">
      <c r="D1645">
        <v>190</v>
      </c>
      <c r="G1645" t="s">
        <v>43</v>
      </c>
      <c r="H1645" t="s">
        <v>894</v>
      </c>
      <c r="J1645">
        <v>2013</v>
      </c>
      <c r="M1645" t="s">
        <v>213</v>
      </c>
      <c r="T1645" t="s">
        <v>103</v>
      </c>
      <c r="U1645" t="s">
        <v>228</v>
      </c>
      <c r="V1645" t="s">
        <v>842</v>
      </c>
      <c r="Z1645" t="s">
        <v>106</v>
      </c>
      <c r="AA1645" t="s">
        <v>107</v>
      </c>
      <c r="AB1645" t="s">
        <v>50</v>
      </c>
      <c r="AC1645" t="s">
        <v>51</v>
      </c>
      <c r="AD1645" t="s">
        <v>54</v>
      </c>
      <c r="AE1645" t="s">
        <v>53</v>
      </c>
      <c r="AF1645" t="s">
        <v>52</v>
      </c>
      <c r="AG1645" t="s">
        <v>54</v>
      </c>
      <c r="AH1645" t="s">
        <v>55</v>
      </c>
      <c r="AK1645">
        <v>5</v>
      </c>
      <c r="AL1645">
        <v>5</v>
      </c>
      <c r="AN1645">
        <v>364</v>
      </c>
      <c r="AO1645">
        <v>10</v>
      </c>
      <c r="AP1645" t="s">
        <v>56</v>
      </c>
      <c r="AQ1645" t="s">
        <v>109</v>
      </c>
      <c r="AR1645">
        <v>8.07</v>
      </c>
      <c r="AS1645">
        <v>0.01</v>
      </c>
      <c r="AT1645" t="s">
        <v>56</v>
      </c>
      <c r="AU1645">
        <v>732</v>
      </c>
      <c r="AV1645">
        <v>22</v>
      </c>
      <c r="AW1645" t="s">
        <v>56</v>
      </c>
      <c r="AX1645">
        <v>7.98</v>
      </c>
      <c r="AY1645">
        <v>0.01</v>
      </c>
      <c r="AZ1645" t="s">
        <v>56</v>
      </c>
      <c r="BB1645">
        <f>LOG(AU1645)</f>
        <v>2.8645110810583918</v>
      </c>
      <c r="BC1645">
        <v>26.5</v>
      </c>
      <c r="BD1645">
        <v>0</v>
      </c>
      <c r="BE1645" t="s">
        <v>56</v>
      </c>
      <c r="BF1645">
        <v>26.6</v>
      </c>
      <c r="BG1645">
        <v>0</v>
      </c>
      <c r="BH1645" t="s">
        <v>56</v>
      </c>
      <c r="BI1645">
        <v>368</v>
      </c>
      <c r="BJ1645">
        <v>0.2</v>
      </c>
      <c r="BK1645" t="s">
        <v>895</v>
      </c>
      <c r="BL1645" t="s">
        <v>232</v>
      </c>
      <c r="BM1645" t="s">
        <v>232</v>
      </c>
      <c r="BN1645" t="s">
        <v>81</v>
      </c>
      <c r="BO1645" t="s">
        <v>896</v>
      </c>
      <c r="BP1645" t="s">
        <v>234</v>
      </c>
      <c r="BQ1645" s="8" t="s">
        <v>190</v>
      </c>
      <c r="BR1645" t="s">
        <v>63</v>
      </c>
      <c r="BT1645">
        <v>0.08</v>
      </c>
      <c r="BU1645">
        <v>7.5999999999999998E-2</v>
      </c>
      <c r="BV1645">
        <v>0.02</v>
      </c>
      <c r="BW1645">
        <f>BV1645*SQRT(AK1645)</f>
        <v>4.4721359549995794E-2</v>
      </c>
      <c r="BX1645">
        <v>0.03</v>
      </c>
      <c r="BY1645">
        <v>3.066E-2</v>
      </c>
      <c r="BZ1645">
        <v>0.01</v>
      </c>
      <c r="CA1645">
        <f>BZ1645*SQRT(AL1645)</f>
        <v>2.2360679774997897E-2</v>
      </c>
      <c r="CB1645">
        <v>24</v>
      </c>
      <c r="CC1645">
        <v>6</v>
      </c>
      <c r="CD1645">
        <v>-0.90800000000000003</v>
      </c>
      <c r="CE1645">
        <v>0.13830000000000001</v>
      </c>
    </row>
    <row r="1646" spans="4:83" hidden="1" x14ac:dyDescent="0.2">
      <c r="D1646">
        <v>190</v>
      </c>
      <c r="G1646" t="s">
        <v>43</v>
      </c>
      <c r="H1646" t="s">
        <v>894</v>
      </c>
      <c r="J1646">
        <v>2013</v>
      </c>
      <c r="M1646" t="s">
        <v>213</v>
      </c>
      <c r="T1646" t="s">
        <v>103</v>
      </c>
      <c r="U1646" t="s">
        <v>228</v>
      </c>
      <c r="V1646" t="s">
        <v>842</v>
      </c>
      <c r="Z1646" t="s">
        <v>106</v>
      </c>
      <c r="AA1646" t="s">
        <v>107</v>
      </c>
      <c r="AB1646" t="s">
        <v>50</v>
      </c>
      <c r="AC1646" t="s">
        <v>51</v>
      </c>
      <c r="AD1646" t="s">
        <v>54</v>
      </c>
      <c r="AE1646" t="s">
        <v>53</v>
      </c>
      <c r="AF1646" t="s">
        <v>52</v>
      </c>
      <c r="AG1646" t="s">
        <v>52</v>
      </c>
      <c r="AH1646" t="s">
        <v>64</v>
      </c>
      <c r="AK1646">
        <v>5</v>
      </c>
      <c r="AL1646">
        <v>5</v>
      </c>
      <c r="AN1646">
        <v>364</v>
      </c>
      <c r="AO1646">
        <v>10</v>
      </c>
      <c r="AP1646" t="s">
        <v>56</v>
      </c>
      <c r="AQ1646" t="s">
        <v>109</v>
      </c>
      <c r="AR1646">
        <v>8.07</v>
      </c>
      <c r="AS1646">
        <v>0.01</v>
      </c>
      <c r="AT1646" t="s">
        <v>56</v>
      </c>
      <c r="AU1646">
        <v>750</v>
      </c>
      <c r="AV1646">
        <v>26</v>
      </c>
      <c r="AW1646" t="s">
        <v>56</v>
      </c>
      <c r="AX1646">
        <v>7.81</v>
      </c>
      <c r="AY1646">
        <v>0.01</v>
      </c>
      <c r="AZ1646" t="s">
        <v>56</v>
      </c>
      <c r="BB1646">
        <f>LOG(AU1646)</f>
        <v>2.8750612633917001</v>
      </c>
      <c r="BC1646">
        <v>26.5</v>
      </c>
      <c r="BD1646">
        <v>0</v>
      </c>
      <c r="BE1646" t="s">
        <v>56</v>
      </c>
      <c r="BF1646">
        <v>28.9</v>
      </c>
      <c r="BG1646">
        <v>0</v>
      </c>
      <c r="BH1646" t="s">
        <v>56</v>
      </c>
      <c r="BI1646">
        <v>386</v>
      </c>
      <c r="BJ1646">
        <v>2.5</v>
      </c>
      <c r="BK1646" t="s">
        <v>895</v>
      </c>
      <c r="BL1646" t="s">
        <v>232</v>
      </c>
      <c r="BM1646" t="s">
        <v>232</v>
      </c>
      <c r="BN1646" t="s">
        <v>81</v>
      </c>
      <c r="BO1646" t="s">
        <v>896</v>
      </c>
      <c r="BP1646" t="s">
        <v>234</v>
      </c>
      <c r="BQ1646" s="8" t="s">
        <v>190</v>
      </c>
      <c r="BR1646" t="s">
        <v>63</v>
      </c>
      <c r="BT1646">
        <v>0.08</v>
      </c>
      <c r="BU1646">
        <v>7.5999999999999998E-2</v>
      </c>
      <c r="BV1646">
        <v>0.02</v>
      </c>
      <c r="BW1646">
        <f>BV1646*SQRT(AK1646)</f>
        <v>4.4721359549995794E-2</v>
      </c>
      <c r="BX1646">
        <v>0.03</v>
      </c>
      <c r="BY1646">
        <v>3.2439999999999997E-2</v>
      </c>
      <c r="BZ1646">
        <v>0.01</v>
      </c>
      <c r="CA1646">
        <f>BZ1646*SQRT(AL1646)</f>
        <v>2.2360679774997897E-2</v>
      </c>
      <c r="CB1646">
        <v>24</v>
      </c>
      <c r="CC1646">
        <v>6</v>
      </c>
      <c r="CD1646">
        <v>-0.85099999999999998</v>
      </c>
      <c r="CE1646">
        <v>0.1023</v>
      </c>
    </row>
    <row r="1647" spans="4:83" hidden="1" x14ac:dyDescent="0.2">
      <c r="D1647">
        <v>190</v>
      </c>
      <c r="G1647" t="s">
        <v>43</v>
      </c>
      <c r="H1647" t="s">
        <v>894</v>
      </c>
      <c r="J1647">
        <v>2013</v>
      </c>
      <c r="M1647" t="s">
        <v>213</v>
      </c>
      <c r="T1647" t="s">
        <v>103</v>
      </c>
      <c r="U1647" t="s">
        <v>228</v>
      </c>
      <c r="V1647" t="s">
        <v>897</v>
      </c>
      <c r="Z1647" t="s">
        <v>106</v>
      </c>
      <c r="AA1647" t="s">
        <v>107</v>
      </c>
      <c r="AB1647" t="s">
        <v>50</v>
      </c>
      <c r="AC1647" t="s">
        <v>51</v>
      </c>
      <c r="AD1647" t="s">
        <v>54</v>
      </c>
      <c r="AE1647" t="s">
        <v>53</v>
      </c>
      <c r="AF1647" t="s">
        <v>52</v>
      </c>
      <c r="AG1647" t="s">
        <v>52</v>
      </c>
      <c r="AH1647" t="s">
        <v>64</v>
      </c>
      <c r="AK1647">
        <v>5</v>
      </c>
      <c r="AL1647">
        <v>5</v>
      </c>
      <c r="AN1647">
        <v>364</v>
      </c>
      <c r="AO1647">
        <v>10</v>
      </c>
      <c r="AP1647" t="s">
        <v>56</v>
      </c>
      <c r="AQ1647" t="s">
        <v>109</v>
      </c>
      <c r="AR1647">
        <v>8.07</v>
      </c>
      <c r="AS1647">
        <v>0.01</v>
      </c>
      <c r="AT1647" t="s">
        <v>56</v>
      </c>
      <c r="AU1647">
        <v>616</v>
      </c>
      <c r="AV1647">
        <v>24</v>
      </c>
      <c r="AW1647" t="s">
        <v>56</v>
      </c>
      <c r="AX1647">
        <v>7.89</v>
      </c>
      <c r="AY1647">
        <v>0.01</v>
      </c>
      <c r="AZ1647" t="s">
        <v>56</v>
      </c>
      <c r="BB1647">
        <f>LOG(AU1647)</f>
        <v>2.7895807121644256</v>
      </c>
      <c r="BC1647">
        <v>26.5</v>
      </c>
      <c r="BD1647">
        <v>0</v>
      </c>
      <c r="BE1647" t="s">
        <v>56</v>
      </c>
      <c r="BF1647">
        <v>28.5</v>
      </c>
      <c r="BG1647">
        <v>0</v>
      </c>
      <c r="BH1647" t="s">
        <v>56</v>
      </c>
      <c r="BI1647">
        <v>252</v>
      </c>
      <c r="BJ1647">
        <v>2.1</v>
      </c>
      <c r="BK1647" t="s">
        <v>56</v>
      </c>
      <c r="BL1647" t="s">
        <v>543</v>
      </c>
      <c r="BM1647" t="s">
        <v>543</v>
      </c>
      <c r="BN1647" t="s">
        <v>60</v>
      </c>
      <c r="BO1647" t="s">
        <v>898</v>
      </c>
      <c r="BP1647" t="s">
        <v>194</v>
      </c>
      <c r="BQ1647" s="8" t="s">
        <v>190</v>
      </c>
      <c r="BR1647" t="s">
        <v>63</v>
      </c>
      <c r="BT1647">
        <v>1.17</v>
      </c>
      <c r="BU1647">
        <v>1.1708000000000001</v>
      </c>
      <c r="BV1647">
        <v>0.08</v>
      </c>
      <c r="BW1647">
        <f>BV1647*SQRT(AK1647)</f>
        <v>0.17888543819998318</v>
      </c>
      <c r="BX1647">
        <v>0.57999999999999996</v>
      </c>
      <c r="BY1647">
        <v>0.57609999999999995</v>
      </c>
      <c r="BZ1647">
        <v>0.08</v>
      </c>
      <c r="CA1647">
        <f>BZ1647*SQRT(AL1647)</f>
        <v>0.17888543819998318</v>
      </c>
      <c r="CB1647">
        <v>24</v>
      </c>
      <c r="CC1647">
        <v>6</v>
      </c>
      <c r="CD1647">
        <v>-0.70899999999999996</v>
      </c>
      <c r="CE1647">
        <v>2.7E-2</v>
      </c>
    </row>
    <row r="1648" spans="4:83" hidden="1" x14ac:dyDescent="0.2">
      <c r="D1648">
        <v>190</v>
      </c>
      <c r="G1648" t="s">
        <v>43</v>
      </c>
      <c r="H1648" t="s">
        <v>894</v>
      </c>
      <c r="J1648">
        <v>2013</v>
      </c>
      <c r="M1648" t="s">
        <v>213</v>
      </c>
      <c r="T1648" t="s">
        <v>103</v>
      </c>
      <c r="U1648" t="s">
        <v>201</v>
      </c>
      <c r="V1648" t="s">
        <v>214</v>
      </c>
      <c r="Z1648" t="s">
        <v>106</v>
      </c>
      <c r="AA1648" t="s">
        <v>107</v>
      </c>
      <c r="AB1648" t="s">
        <v>50</v>
      </c>
      <c r="AC1648" t="s">
        <v>51</v>
      </c>
      <c r="AD1648" t="s">
        <v>54</v>
      </c>
      <c r="AE1648" t="s">
        <v>53</v>
      </c>
      <c r="AF1648" t="s">
        <v>52</v>
      </c>
      <c r="AG1648" t="s">
        <v>52</v>
      </c>
      <c r="AH1648" t="s">
        <v>64</v>
      </c>
      <c r="AK1648">
        <v>5</v>
      </c>
      <c r="AL1648">
        <v>5</v>
      </c>
      <c r="AN1648">
        <v>364</v>
      </c>
      <c r="AO1648">
        <v>10</v>
      </c>
      <c r="AP1648" t="s">
        <v>56</v>
      </c>
      <c r="AQ1648" t="s">
        <v>109</v>
      </c>
      <c r="AR1648">
        <v>8.07</v>
      </c>
      <c r="AS1648">
        <v>0.01</v>
      </c>
      <c r="AT1648" t="s">
        <v>56</v>
      </c>
      <c r="AU1648">
        <v>616</v>
      </c>
      <c r="AV1648">
        <v>24</v>
      </c>
      <c r="AW1648" t="s">
        <v>56</v>
      </c>
      <c r="AX1648">
        <v>7.89</v>
      </c>
      <c r="AY1648">
        <v>0.01</v>
      </c>
      <c r="AZ1648" t="s">
        <v>56</v>
      </c>
      <c r="BB1648">
        <f>LOG(AU1648)</f>
        <v>2.7895807121644256</v>
      </c>
      <c r="BC1648">
        <v>26.5</v>
      </c>
      <c r="BD1648">
        <v>0</v>
      </c>
      <c r="BE1648" t="s">
        <v>56</v>
      </c>
      <c r="BF1648">
        <v>28.5</v>
      </c>
      <c r="BG1648">
        <v>0</v>
      </c>
      <c r="BH1648" t="s">
        <v>56</v>
      </c>
      <c r="BI1648">
        <v>252</v>
      </c>
      <c r="BJ1648">
        <v>2.1</v>
      </c>
      <c r="BK1648" t="s">
        <v>56</v>
      </c>
      <c r="BL1648" t="s">
        <v>543</v>
      </c>
      <c r="BM1648" t="s">
        <v>543</v>
      </c>
      <c r="BN1648" t="s">
        <v>60</v>
      </c>
      <c r="BO1648" t="s">
        <v>898</v>
      </c>
      <c r="BP1648" t="s">
        <v>194</v>
      </c>
      <c r="BQ1648" s="8" t="s">
        <v>190</v>
      </c>
      <c r="BR1648" t="s">
        <v>63</v>
      </c>
      <c r="BT1648">
        <v>0.28000000000000003</v>
      </c>
      <c r="BU1648">
        <v>0.27876000000000001</v>
      </c>
      <c r="BV1648">
        <v>0.02</v>
      </c>
      <c r="BW1648">
        <f>BV1648*SQRT(AK1648)</f>
        <v>4.4721359549995794E-2</v>
      </c>
      <c r="BX1648">
        <v>0.15</v>
      </c>
      <c r="BY1648">
        <v>0.15132000000000001</v>
      </c>
      <c r="BZ1648">
        <v>0.02</v>
      </c>
      <c r="CA1648">
        <f>BZ1648*SQRT(AL1648)</f>
        <v>4.4721359549995794E-2</v>
      </c>
      <c r="CB1648">
        <v>24</v>
      </c>
      <c r="CC1648">
        <v>6</v>
      </c>
      <c r="CD1648">
        <v>-0.61099999999999999</v>
      </c>
      <c r="CE1648">
        <v>2.3199999999999998E-2</v>
      </c>
    </row>
    <row r="1649" spans="4:83" hidden="1" x14ac:dyDescent="0.2">
      <c r="D1649">
        <v>190</v>
      </c>
      <c r="G1649" t="s">
        <v>43</v>
      </c>
      <c r="H1649" t="s">
        <v>894</v>
      </c>
      <c r="J1649">
        <v>2013</v>
      </c>
      <c r="M1649" t="s">
        <v>213</v>
      </c>
      <c r="T1649" t="s">
        <v>103</v>
      </c>
      <c r="U1649" t="s">
        <v>228</v>
      </c>
      <c r="V1649" t="s">
        <v>897</v>
      </c>
      <c r="Z1649" t="s">
        <v>106</v>
      </c>
      <c r="AA1649" t="s">
        <v>107</v>
      </c>
      <c r="AB1649" t="s">
        <v>50</v>
      </c>
      <c r="AC1649" t="s">
        <v>51</v>
      </c>
      <c r="AD1649" t="s">
        <v>54</v>
      </c>
      <c r="AE1649" t="s">
        <v>53</v>
      </c>
      <c r="AF1649" t="s">
        <v>54</v>
      </c>
      <c r="AG1649" t="s">
        <v>52</v>
      </c>
      <c r="AH1649" t="s">
        <v>65</v>
      </c>
      <c r="AK1649">
        <v>5</v>
      </c>
      <c r="AL1649">
        <v>5</v>
      </c>
      <c r="AN1649">
        <v>364</v>
      </c>
      <c r="AO1649">
        <v>10</v>
      </c>
      <c r="AP1649" t="s">
        <v>56</v>
      </c>
      <c r="AQ1649" t="s">
        <v>109</v>
      </c>
      <c r="AR1649">
        <v>8.07</v>
      </c>
      <c r="AS1649">
        <v>0.01</v>
      </c>
      <c r="AT1649" t="s">
        <v>56</v>
      </c>
      <c r="AU1649">
        <v>401</v>
      </c>
      <c r="AV1649">
        <v>17</v>
      </c>
      <c r="AW1649" t="s">
        <v>56</v>
      </c>
      <c r="AX1649">
        <v>8.0399999999999991</v>
      </c>
      <c r="AY1649">
        <v>0.01</v>
      </c>
      <c r="AZ1649" t="s">
        <v>56</v>
      </c>
      <c r="BB1649">
        <f>LOG(AU1649)</f>
        <v>2.6031443726201822</v>
      </c>
      <c r="BC1649">
        <v>26.5</v>
      </c>
      <c r="BD1649">
        <v>0</v>
      </c>
      <c r="BE1649" t="s">
        <v>56</v>
      </c>
      <c r="BF1649">
        <v>29.3</v>
      </c>
      <c r="BG1649">
        <v>0</v>
      </c>
      <c r="BH1649" t="s">
        <v>56</v>
      </c>
      <c r="BI1649">
        <v>36</v>
      </c>
      <c r="BJ1649">
        <v>2.9</v>
      </c>
      <c r="BK1649" t="s">
        <v>56</v>
      </c>
      <c r="BL1649" t="s">
        <v>543</v>
      </c>
      <c r="BM1649" t="s">
        <v>543</v>
      </c>
      <c r="BN1649" t="s">
        <v>60</v>
      </c>
      <c r="BO1649" t="s">
        <v>898</v>
      </c>
      <c r="BP1649" t="s">
        <v>194</v>
      </c>
      <c r="BQ1649" s="8" t="s">
        <v>190</v>
      </c>
      <c r="BR1649" t="s">
        <v>63</v>
      </c>
      <c r="BT1649">
        <v>1.17</v>
      </c>
      <c r="BU1649">
        <v>1.1708000000000001</v>
      </c>
      <c r="BV1649">
        <v>0.08</v>
      </c>
      <c r="BW1649">
        <f>BV1649*SQRT(AK1649)</f>
        <v>0.17888543819998318</v>
      </c>
      <c r="BX1649">
        <v>0.72</v>
      </c>
      <c r="BY1649">
        <v>0.72470000000000001</v>
      </c>
      <c r="BZ1649">
        <v>0.05</v>
      </c>
      <c r="CA1649">
        <f>BZ1649*SQRT(AL1649)</f>
        <v>0.1118033988749895</v>
      </c>
      <c r="CB1649">
        <v>24</v>
      </c>
      <c r="CC1649">
        <v>6</v>
      </c>
      <c r="CD1649">
        <v>-0.48</v>
      </c>
      <c r="CE1649">
        <v>1.06E-2</v>
      </c>
    </row>
    <row r="1650" spans="4:83" hidden="1" x14ac:dyDescent="0.2">
      <c r="D1650">
        <v>190</v>
      </c>
      <c r="G1650" t="s">
        <v>43</v>
      </c>
      <c r="H1650" t="s">
        <v>894</v>
      </c>
      <c r="J1650">
        <v>2013</v>
      </c>
      <c r="M1650" t="s">
        <v>213</v>
      </c>
      <c r="T1650" t="s">
        <v>103</v>
      </c>
      <c r="U1650" t="s">
        <v>228</v>
      </c>
      <c r="V1650" t="s">
        <v>842</v>
      </c>
      <c r="Z1650" t="s">
        <v>106</v>
      </c>
      <c r="AA1650" t="s">
        <v>107</v>
      </c>
      <c r="AB1650" t="s">
        <v>50</v>
      </c>
      <c r="AC1650" t="s">
        <v>51</v>
      </c>
      <c r="AD1650" t="s">
        <v>54</v>
      </c>
      <c r="AE1650" t="s">
        <v>53</v>
      </c>
      <c r="AF1650" t="s">
        <v>52</v>
      </c>
      <c r="AG1650" t="s">
        <v>52</v>
      </c>
      <c r="AH1650" t="s">
        <v>64</v>
      </c>
      <c r="AK1650">
        <v>5</v>
      </c>
      <c r="AL1650">
        <v>5</v>
      </c>
      <c r="AN1650">
        <v>364</v>
      </c>
      <c r="AO1650">
        <v>10</v>
      </c>
      <c r="AP1650" t="s">
        <v>56</v>
      </c>
      <c r="AQ1650" t="s">
        <v>109</v>
      </c>
      <c r="AR1650">
        <v>8.07</v>
      </c>
      <c r="AS1650">
        <v>0.01</v>
      </c>
      <c r="AT1650" t="s">
        <v>56</v>
      </c>
      <c r="AU1650">
        <v>616</v>
      </c>
      <c r="AV1650">
        <v>24</v>
      </c>
      <c r="AW1650" t="s">
        <v>56</v>
      </c>
      <c r="AX1650">
        <v>7.89</v>
      </c>
      <c r="AY1650">
        <v>0.01</v>
      </c>
      <c r="AZ1650" t="s">
        <v>56</v>
      </c>
      <c r="BB1650">
        <f>LOG(AU1650)</f>
        <v>2.7895807121644256</v>
      </c>
      <c r="BC1650">
        <v>26.5</v>
      </c>
      <c r="BD1650">
        <v>0</v>
      </c>
      <c r="BE1650" t="s">
        <v>56</v>
      </c>
      <c r="BF1650">
        <v>28.5</v>
      </c>
      <c r="BG1650">
        <v>0</v>
      </c>
      <c r="BH1650" t="s">
        <v>56</v>
      </c>
      <c r="BI1650">
        <v>252</v>
      </c>
      <c r="BJ1650">
        <v>2.1</v>
      </c>
      <c r="BK1650" t="s">
        <v>56</v>
      </c>
      <c r="BL1650" t="s">
        <v>543</v>
      </c>
      <c r="BM1650" t="s">
        <v>543</v>
      </c>
      <c r="BN1650" t="s">
        <v>60</v>
      </c>
      <c r="BO1650" t="s">
        <v>898</v>
      </c>
      <c r="BP1650" t="s">
        <v>194</v>
      </c>
      <c r="BQ1650" s="8" t="s">
        <v>190</v>
      </c>
      <c r="BR1650" t="s">
        <v>63</v>
      </c>
      <c r="BT1650">
        <v>0.23</v>
      </c>
      <c r="BU1650">
        <v>0.22566</v>
      </c>
      <c r="BV1650">
        <v>0.06</v>
      </c>
      <c r="BW1650">
        <f>BV1650*SQRT(AK1650)</f>
        <v>0.13416407864998739</v>
      </c>
      <c r="BX1650">
        <v>0.14000000000000001</v>
      </c>
      <c r="BY1650">
        <v>0.14069999999999999</v>
      </c>
      <c r="BZ1650">
        <v>0.02</v>
      </c>
      <c r="CA1650">
        <f>BZ1650*SQRT(AL1650)</f>
        <v>4.4721359549995794E-2</v>
      </c>
      <c r="CB1650">
        <v>24</v>
      </c>
      <c r="CC1650">
        <v>6</v>
      </c>
      <c r="CD1650">
        <v>-0.47199999999999998</v>
      </c>
      <c r="CE1650">
        <v>0.1022</v>
      </c>
    </row>
    <row r="1651" spans="4:83" hidden="1" x14ac:dyDescent="0.2">
      <c r="D1651">
        <v>190</v>
      </c>
      <c r="G1651" t="s">
        <v>43</v>
      </c>
      <c r="H1651" t="s">
        <v>894</v>
      </c>
      <c r="J1651">
        <v>2013</v>
      </c>
      <c r="M1651" t="s">
        <v>213</v>
      </c>
      <c r="T1651" t="s">
        <v>103</v>
      </c>
      <c r="U1651" t="s">
        <v>348</v>
      </c>
      <c r="V1651" t="s">
        <v>893</v>
      </c>
      <c r="Z1651" t="s">
        <v>106</v>
      </c>
      <c r="AA1651" t="s">
        <v>107</v>
      </c>
      <c r="AB1651" t="s">
        <v>50</v>
      </c>
      <c r="AC1651" t="s">
        <v>51</v>
      </c>
      <c r="AD1651" t="s">
        <v>54</v>
      </c>
      <c r="AE1651" t="s">
        <v>53</v>
      </c>
      <c r="AF1651" t="s">
        <v>52</v>
      </c>
      <c r="AG1651" t="s">
        <v>52</v>
      </c>
      <c r="AH1651" t="s">
        <v>64</v>
      </c>
      <c r="AK1651">
        <v>5</v>
      </c>
      <c r="AL1651">
        <v>5</v>
      </c>
      <c r="AN1651">
        <v>364</v>
      </c>
      <c r="AO1651">
        <v>10</v>
      </c>
      <c r="AP1651" t="s">
        <v>56</v>
      </c>
      <c r="AQ1651" t="s">
        <v>109</v>
      </c>
      <c r="AR1651">
        <v>8.07</v>
      </c>
      <c r="AS1651">
        <v>0.01</v>
      </c>
      <c r="AT1651" t="s">
        <v>56</v>
      </c>
      <c r="AU1651">
        <v>750</v>
      </c>
      <c r="AV1651">
        <v>26</v>
      </c>
      <c r="AW1651" t="s">
        <v>56</v>
      </c>
      <c r="AX1651">
        <v>7.81</v>
      </c>
      <c r="AY1651">
        <v>0.01</v>
      </c>
      <c r="AZ1651" t="s">
        <v>56</v>
      </c>
      <c r="BB1651">
        <f>LOG(AU1651)</f>
        <v>2.8750612633917001</v>
      </c>
      <c r="BC1651">
        <v>26.5</v>
      </c>
      <c r="BD1651">
        <v>0</v>
      </c>
      <c r="BE1651" t="s">
        <v>56</v>
      </c>
      <c r="BF1651">
        <v>28.9</v>
      </c>
      <c r="BG1651">
        <v>0</v>
      </c>
      <c r="BH1651" t="s">
        <v>56</v>
      </c>
      <c r="BI1651">
        <v>386</v>
      </c>
      <c r="BJ1651">
        <v>2.5</v>
      </c>
      <c r="BK1651" t="s">
        <v>895</v>
      </c>
      <c r="BL1651" t="s">
        <v>232</v>
      </c>
      <c r="BM1651" t="s">
        <v>232</v>
      </c>
      <c r="BN1651" t="s">
        <v>81</v>
      </c>
      <c r="BO1651" t="s">
        <v>896</v>
      </c>
      <c r="BP1651" t="s">
        <v>234</v>
      </c>
      <c r="BQ1651" s="8" t="s">
        <v>190</v>
      </c>
      <c r="BR1651" t="s">
        <v>63</v>
      </c>
      <c r="BT1651">
        <v>0.24</v>
      </c>
      <c r="BU1651">
        <v>0.24346999999999999</v>
      </c>
      <c r="BV1651">
        <v>0.03</v>
      </c>
      <c r="BW1651">
        <f>BV1651*SQRT(AK1651)</f>
        <v>6.7082039324993695E-2</v>
      </c>
      <c r="BX1651">
        <v>0.15</v>
      </c>
      <c r="BY1651">
        <v>0.15210000000000001</v>
      </c>
      <c r="BZ1651">
        <v>0.03</v>
      </c>
      <c r="CA1651">
        <f>BZ1651*SQRT(AL1651)</f>
        <v>6.7082039324993695E-2</v>
      </c>
      <c r="CB1651">
        <v>24</v>
      </c>
      <c r="CC1651">
        <v>6</v>
      </c>
      <c r="CD1651">
        <v>-0.47</v>
      </c>
      <c r="CE1651">
        <v>5.1700000000000003E-2</v>
      </c>
    </row>
    <row r="1652" spans="4:83" hidden="1" x14ac:dyDescent="0.2">
      <c r="D1652">
        <v>190</v>
      </c>
      <c r="G1652" t="s">
        <v>43</v>
      </c>
      <c r="H1652" t="s">
        <v>894</v>
      </c>
      <c r="J1652">
        <v>2013</v>
      </c>
      <c r="M1652" t="s">
        <v>213</v>
      </c>
      <c r="T1652" t="s">
        <v>103</v>
      </c>
      <c r="U1652" t="s">
        <v>228</v>
      </c>
      <c r="V1652" t="s">
        <v>842</v>
      </c>
      <c r="Z1652" t="s">
        <v>106</v>
      </c>
      <c r="AA1652" t="s">
        <v>107</v>
      </c>
      <c r="AB1652" t="s">
        <v>50</v>
      </c>
      <c r="AC1652" t="s">
        <v>51</v>
      </c>
      <c r="AD1652" t="s">
        <v>54</v>
      </c>
      <c r="AE1652" t="s">
        <v>53</v>
      </c>
      <c r="AF1652" t="s">
        <v>52</v>
      </c>
      <c r="AG1652" t="s">
        <v>52</v>
      </c>
      <c r="AH1652" t="s">
        <v>64</v>
      </c>
      <c r="AK1652">
        <v>5</v>
      </c>
      <c r="AL1652">
        <v>5</v>
      </c>
      <c r="AN1652">
        <v>364</v>
      </c>
      <c r="AO1652">
        <v>10</v>
      </c>
      <c r="AP1652" t="s">
        <v>56</v>
      </c>
      <c r="AQ1652" t="s">
        <v>109</v>
      </c>
      <c r="AR1652">
        <v>8.07</v>
      </c>
      <c r="AS1652">
        <v>0.01</v>
      </c>
      <c r="AT1652" t="s">
        <v>56</v>
      </c>
      <c r="AU1652">
        <v>616</v>
      </c>
      <c r="AV1652">
        <v>24</v>
      </c>
      <c r="AW1652" t="s">
        <v>56</v>
      </c>
      <c r="AX1652">
        <v>7.89</v>
      </c>
      <c r="AY1652">
        <v>0.01</v>
      </c>
      <c r="AZ1652" t="s">
        <v>56</v>
      </c>
      <c r="BB1652">
        <f>LOG(AU1652)</f>
        <v>2.7895807121644256</v>
      </c>
      <c r="BC1652">
        <v>26.5</v>
      </c>
      <c r="BD1652">
        <v>0</v>
      </c>
      <c r="BE1652" t="s">
        <v>56</v>
      </c>
      <c r="BF1652">
        <v>28.5</v>
      </c>
      <c r="BG1652">
        <v>0</v>
      </c>
      <c r="BH1652" t="s">
        <v>56</v>
      </c>
      <c r="BI1652">
        <v>252</v>
      </c>
      <c r="BJ1652">
        <v>2.1</v>
      </c>
      <c r="BK1652" t="s">
        <v>895</v>
      </c>
      <c r="BL1652" t="s">
        <v>232</v>
      </c>
      <c r="BM1652" t="s">
        <v>232</v>
      </c>
      <c r="BN1652" t="s">
        <v>81</v>
      </c>
      <c r="BO1652" t="s">
        <v>896</v>
      </c>
      <c r="BP1652" t="s">
        <v>234</v>
      </c>
      <c r="BQ1652" s="8" t="s">
        <v>190</v>
      </c>
      <c r="BR1652" t="s">
        <v>63</v>
      </c>
      <c r="BT1652">
        <v>0.08</v>
      </c>
      <c r="BU1652">
        <v>7.5999999999999998E-2</v>
      </c>
      <c r="BV1652">
        <v>0.02</v>
      </c>
      <c r="BW1652">
        <f>BV1652*SQRT(AK1652)</f>
        <v>4.4721359549995794E-2</v>
      </c>
      <c r="BX1652">
        <v>0.05</v>
      </c>
      <c r="BY1652">
        <v>4.7550000000000002E-2</v>
      </c>
      <c r="BZ1652">
        <v>0.01</v>
      </c>
      <c r="CA1652">
        <f>BZ1652*SQRT(AL1652)</f>
        <v>2.2360679774997897E-2</v>
      </c>
      <c r="CB1652">
        <v>24</v>
      </c>
      <c r="CC1652">
        <v>6</v>
      </c>
      <c r="CD1652">
        <v>-0.46899999999999997</v>
      </c>
      <c r="CE1652">
        <v>9.6500000000000002E-2</v>
      </c>
    </row>
    <row r="1653" spans="4:83" hidden="1" x14ac:dyDescent="0.2">
      <c r="D1653">
        <v>190</v>
      </c>
      <c r="G1653" t="s">
        <v>43</v>
      </c>
      <c r="H1653" t="s">
        <v>894</v>
      </c>
      <c r="J1653">
        <v>2013</v>
      </c>
      <c r="M1653" t="s">
        <v>213</v>
      </c>
      <c r="T1653" t="s">
        <v>103</v>
      </c>
      <c r="U1653" t="s">
        <v>228</v>
      </c>
      <c r="V1653" t="s">
        <v>897</v>
      </c>
      <c r="Z1653" t="s">
        <v>106</v>
      </c>
      <c r="AA1653" t="s">
        <v>107</v>
      </c>
      <c r="AB1653" t="s">
        <v>50</v>
      </c>
      <c r="AC1653" t="s">
        <v>51</v>
      </c>
      <c r="AD1653" t="s">
        <v>54</v>
      </c>
      <c r="AE1653" t="s">
        <v>53</v>
      </c>
      <c r="AF1653" t="s">
        <v>52</v>
      </c>
      <c r="AG1653" t="s">
        <v>52</v>
      </c>
      <c r="AH1653" t="s">
        <v>64</v>
      </c>
      <c r="AK1653">
        <v>5</v>
      </c>
      <c r="AL1653">
        <v>5</v>
      </c>
      <c r="AN1653">
        <v>364</v>
      </c>
      <c r="AO1653">
        <v>10</v>
      </c>
      <c r="AP1653" t="s">
        <v>56</v>
      </c>
      <c r="AQ1653" t="s">
        <v>109</v>
      </c>
      <c r="AR1653">
        <v>8.07</v>
      </c>
      <c r="AS1653">
        <v>0.01</v>
      </c>
      <c r="AT1653" t="s">
        <v>56</v>
      </c>
      <c r="AU1653">
        <v>750</v>
      </c>
      <c r="AV1653">
        <v>26</v>
      </c>
      <c r="AW1653" t="s">
        <v>56</v>
      </c>
      <c r="AX1653">
        <v>7.81</v>
      </c>
      <c r="AY1653">
        <v>0.01</v>
      </c>
      <c r="AZ1653" t="s">
        <v>56</v>
      </c>
      <c r="BB1653">
        <f>LOG(AU1653)</f>
        <v>2.8750612633917001</v>
      </c>
      <c r="BC1653">
        <v>26.5</v>
      </c>
      <c r="BD1653">
        <v>0</v>
      </c>
      <c r="BE1653" t="s">
        <v>56</v>
      </c>
      <c r="BF1653">
        <v>28.9</v>
      </c>
      <c r="BG1653">
        <v>0</v>
      </c>
      <c r="BH1653" t="s">
        <v>56</v>
      </c>
      <c r="BI1653">
        <v>386</v>
      </c>
      <c r="BJ1653">
        <v>2.5</v>
      </c>
      <c r="BK1653" t="s">
        <v>56</v>
      </c>
      <c r="BL1653" t="s">
        <v>543</v>
      </c>
      <c r="BM1653" t="s">
        <v>543</v>
      </c>
      <c r="BN1653" t="s">
        <v>60</v>
      </c>
      <c r="BO1653" t="s">
        <v>898</v>
      </c>
      <c r="BP1653" t="s">
        <v>194</v>
      </c>
      <c r="BQ1653" s="8" t="s">
        <v>190</v>
      </c>
      <c r="BR1653" t="s">
        <v>63</v>
      </c>
      <c r="BT1653">
        <v>1.17</v>
      </c>
      <c r="BU1653">
        <v>1.1708000000000001</v>
      </c>
      <c r="BV1653">
        <v>0.08</v>
      </c>
      <c r="BW1653">
        <f>BV1653*SQRT(AK1653)</f>
        <v>0.17888543819998318</v>
      </c>
      <c r="BX1653">
        <v>0.78</v>
      </c>
      <c r="BY1653">
        <v>0.77787600000000001</v>
      </c>
      <c r="BZ1653">
        <v>0.03</v>
      </c>
      <c r="CA1653">
        <f>BZ1653*SQRT(AL1653)</f>
        <v>6.7082039324993695E-2</v>
      </c>
      <c r="CB1653">
        <v>24</v>
      </c>
      <c r="CC1653">
        <v>6</v>
      </c>
      <c r="CD1653">
        <v>-0.40899999999999997</v>
      </c>
      <c r="CE1653">
        <v>6.8999999999999999E-3</v>
      </c>
    </row>
    <row r="1654" spans="4:83" hidden="1" x14ac:dyDescent="0.2">
      <c r="D1654">
        <v>190</v>
      </c>
      <c r="G1654" t="s">
        <v>43</v>
      </c>
      <c r="H1654" t="s">
        <v>894</v>
      </c>
      <c r="J1654">
        <v>2013</v>
      </c>
      <c r="M1654" t="s">
        <v>213</v>
      </c>
      <c r="T1654" t="s">
        <v>103</v>
      </c>
      <c r="U1654" t="s">
        <v>201</v>
      </c>
      <c r="V1654" t="s">
        <v>214</v>
      </c>
      <c r="Z1654" t="s">
        <v>106</v>
      </c>
      <c r="AA1654" t="s">
        <v>107</v>
      </c>
      <c r="AB1654" t="s">
        <v>50</v>
      </c>
      <c r="AC1654" t="s">
        <v>51</v>
      </c>
      <c r="AD1654" t="s">
        <v>54</v>
      </c>
      <c r="AE1654" t="s">
        <v>53</v>
      </c>
      <c r="AF1654" t="s">
        <v>52</v>
      </c>
      <c r="AG1654" t="s">
        <v>54</v>
      </c>
      <c r="AH1654" t="s">
        <v>55</v>
      </c>
      <c r="AK1654">
        <v>5</v>
      </c>
      <c r="AL1654">
        <v>5</v>
      </c>
      <c r="AN1654">
        <v>364</v>
      </c>
      <c r="AO1654">
        <v>10</v>
      </c>
      <c r="AP1654" t="s">
        <v>56</v>
      </c>
      <c r="AQ1654" t="s">
        <v>109</v>
      </c>
      <c r="AR1654">
        <v>8.07</v>
      </c>
      <c r="AS1654">
        <v>0.01</v>
      </c>
      <c r="AT1654" t="s">
        <v>56</v>
      </c>
      <c r="AU1654">
        <v>732</v>
      </c>
      <c r="AV1654">
        <v>22</v>
      </c>
      <c r="AW1654" t="s">
        <v>56</v>
      </c>
      <c r="AX1654">
        <v>7.98</v>
      </c>
      <c r="AY1654">
        <v>0.01</v>
      </c>
      <c r="AZ1654" t="s">
        <v>56</v>
      </c>
      <c r="BB1654">
        <f>LOG(AU1654)</f>
        <v>2.8645110810583918</v>
      </c>
      <c r="BC1654">
        <v>26.5</v>
      </c>
      <c r="BD1654">
        <v>0</v>
      </c>
      <c r="BE1654" t="s">
        <v>56</v>
      </c>
      <c r="BF1654">
        <v>26.6</v>
      </c>
      <c r="BG1654">
        <v>0</v>
      </c>
      <c r="BH1654" t="s">
        <v>56</v>
      </c>
      <c r="BI1654">
        <v>368</v>
      </c>
      <c r="BJ1654">
        <v>0.2</v>
      </c>
      <c r="BK1654" t="s">
        <v>56</v>
      </c>
      <c r="BL1654" t="s">
        <v>543</v>
      </c>
      <c r="BM1654" t="s">
        <v>543</v>
      </c>
      <c r="BN1654" t="s">
        <v>60</v>
      </c>
      <c r="BO1654" t="s">
        <v>898</v>
      </c>
      <c r="BP1654" t="s">
        <v>194</v>
      </c>
      <c r="BQ1654" s="8" t="s">
        <v>190</v>
      </c>
      <c r="BR1654" t="s">
        <v>63</v>
      </c>
      <c r="BT1654">
        <v>0.28000000000000003</v>
      </c>
      <c r="BU1654">
        <v>0.27876000000000001</v>
      </c>
      <c r="BV1654">
        <v>0.02</v>
      </c>
      <c r="BW1654">
        <f>BV1654*SQRT(AK1654)</f>
        <v>4.4721359549995794E-2</v>
      </c>
      <c r="BX1654">
        <v>0.19</v>
      </c>
      <c r="BY1654">
        <v>0.1938</v>
      </c>
      <c r="BZ1654">
        <v>0.03</v>
      </c>
      <c r="CA1654">
        <f>BZ1654*SQRT(AL1654)</f>
        <v>6.7082039324993695E-2</v>
      </c>
      <c r="CB1654">
        <v>24</v>
      </c>
      <c r="CC1654">
        <v>6</v>
      </c>
      <c r="CD1654">
        <v>-0.36399999999999999</v>
      </c>
      <c r="CE1654">
        <v>3.2800000000000003E-2</v>
      </c>
    </row>
    <row r="1655" spans="4:83" hidden="1" x14ac:dyDescent="0.2">
      <c r="D1655">
        <v>190</v>
      </c>
      <c r="G1655" t="s">
        <v>43</v>
      </c>
      <c r="H1655" t="s">
        <v>894</v>
      </c>
      <c r="J1655">
        <v>2013</v>
      </c>
      <c r="M1655" t="s">
        <v>213</v>
      </c>
      <c r="T1655" t="s">
        <v>103</v>
      </c>
      <c r="U1655" t="s">
        <v>228</v>
      </c>
      <c r="V1655" t="s">
        <v>897</v>
      </c>
      <c r="Z1655" t="s">
        <v>106</v>
      </c>
      <c r="AA1655" t="s">
        <v>107</v>
      </c>
      <c r="AB1655" t="s">
        <v>50</v>
      </c>
      <c r="AC1655" t="s">
        <v>51</v>
      </c>
      <c r="AD1655" t="s">
        <v>54</v>
      </c>
      <c r="AE1655" t="s">
        <v>53</v>
      </c>
      <c r="AF1655" t="s">
        <v>52</v>
      </c>
      <c r="AG1655" t="s">
        <v>54</v>
      </c>
      <c r="AH1655" t="s">
        <v>55</v>
      </c>
      <c r="AK1655">
        <v>5</v>
      </c>
      <c r="AL1655">
        <v>5</v>
      </c>
      <c r="AN1655">
        <v>364</v>
      </c>
      <c r="AO1655">
        <v>10</v>
      </c>
      <c r="AP1655" t="s">
        <v>56</v>
      </c>
      <c r="AQ1655" t="s">
        <v>109</v>
      </c>
      <c r="AR1655">
        <v>8.07</v>
      </c>
      <c r="AS1655">
        <v>0.01</v>
      </c>
      <c r="AT1655" t="s">
        <v>56</v>
      </c>
      <c r="AU1655">
        <v>598</v>
      </c>
      <c r="AV1655">
        <v>19</v>
      </c>
      <c r="AW1655" t="s">
        <v>56</v>
      </c>
      <c r="AX1655">
        <v>7.9</v>
      </c>
      <c r="AY1655">
        <v>0.01</v>
      </c>
      <c r="AZ1655" t="s">
        <v>56</v>
      </c>
      <c r="BB1655">
        <f>LOG(AU1655)</f>
        <v>2.7767011839884108</v>
      </c>
      <c r="BC1655">
        <v>26.5</v>
      </c>
      <c r="BD1655">
        <v>0</v>
      </c>
      <c r="BE1655" t="s">
        <v>56</v>
      </c>
      <c r="BF1655">
        <v>26.4</v>
      </c>
      <c r="BG1655">
        <v>0</v>
      </c>
      <c r="BH1655" t="s">
        <v>56</v>
      </c>
      <c r="BI1655">
        <v>234</v>
      </c>
      <c r="BJ1655">
        <v>-0.1</v>
      </c>
      <c r="BK1655" t="s">
        <v>56</v>
      </c>
      <c r="BL1655" t="s">
        <v>543</v>
      </c>
      <c r="BM1655" t="s">
        <v>543</v>
      </c>
      <c r="BN1655" t="s">
        <v>60</v>
      </c>
      <c r="BO1655" t="s">
        <v>898</v>
      </c>
      <c r="BP1655" t="s">
        <v>194</v>
      </c>
      <c r="BQ1655" s="8" t="s">
        <v>190</v>
      </c>
      <c r="BR1655" t="s">
        <v>63</v>
      </c>
      <c r="BT1655">
        <v>1.17</v>
      </c>
      <c r="BU1655">
        <v>1.1708000000000001</v>
      </c>
      <c r="BV1655">
        <v>0.08</v>
      </c>
      <c r="BW1655">
        <f>BV1655*SQRT(AK1655)</f>
        <v>0.17888543819998318</v>
      </c>
      <c r="BX1655">
        <v>0.82</v>
      </c>
      <c r="BY1655">
        <v>0.82035000000000002</v>
      </c>
      <c r="BZ1655">
        <v>0.05</v>
      </c>
      <c r="CA1655">
        <f>BZ1655*SQRT(AL1655)</f>
        <v>0.1118033988749895</v>
      </c>
      <c r="CB1655">
        <v>24</v>
      </c>
      <c r="CC1655">
        <v>6</v>
      </c>
      <c r="CD1655">
        <v>-0.35599999999999998</v>
      </c>
      <c r="CE1655">
        <v>9.4999999999999998E-3</v>
      </c>
    </row>
    <row r="1656" spans="4:83" hidden="1" x14ac:dyDescent="0.2">
      <c r="D1656">
        <v>190</v>
      </c>
      <c r="G1656" t="s">
        <v>43</v>
      </c>
      <c r="H1656" t="s">
        <v>894</v>
      </c>
      <c r="J1656">
        <v>2013</v>
      </c>
      <c r="M1656" t="s">
        <v>213</v>
      </c>
      <c r="T1656" t="s">
        <v>103</v>
      </c>
      <c r="U1656" t="s">
        <v>348</v>
      </c>
      <c r="V1656" t="s">
        <v>893</v>
      </c>
      <c r="Z1656" t="s">
        <v>106</v>
      </c>
      <c r="AA1656" t="s">
        <v>107</v>
      </c>
      <c r="AB1656" t="s">
        <v>50</v>
      </c>
      <c r="AC1656" t="s">
        <v>51</v>
      </c>
      <c r="AD1656" t="s">
        <v>54</v>
      </c>
      <c r="AE1656" t="s">
        <v>53</v>
      </c>
      <c r="AF1656" t="s">
        <v>52</v>
      </c>
      <c r="AG1656" t="s">
        <v>52</v>
      </c>
      <c r="AH1656" t="s">
        <v>64</v>
      </c>
      <c r="AK1656">
        <v>5</v>
      </c>
      <c r="AL1656">
        <v>5</v>
      </c>
      <c r="AN1656">
        <v>364</v>
      </c>
      <c r="AO1656">
        <v>10</v>
      </c>
      <c r="AP1656" t="s">
        <v>56</v>
      </c>
      <c r="AQ1656" t="s">
        <v>109</v>
      </c>
      <c r="AR1656">
        <v>8.07</v>
      </c>
      <c r="AS1656">
        <v>0.01</v>
      </c>
      <c r="AT1656" t="s">
        <v>56</v>
      </c>
      <c r="AU1656">
        <v>750</v>
      </c>
      <c r="AV1656">
        <v>26</v>
      </c>
      <c r="AW1656" t="s">
        <v>56</v>
      </c>
      <c r="AX1656">
        <v>7.81</v>
      </c>
      <c r="AY1656">
        <v>0.01</v>
      </c>
      <c r="AZ1656" t="s">
        <v>56</v>
      </c>
      <c r="BB1656">
        <f>LOG(AU1656)</f>
        <v>2.8750612633917001</v>
      </c>
      <c r="BC1656">
        <v>26.5</v>
      </c>
      <c r="BD1656">
        <v>0</v>
      </c>
      <c r="BE1656" t="s">
        <v>56</v>
      </c>
      <c r="BF1656">
        <v>28.9</v>
      </c>
      <c r="BG1656">
        <v>0</v>
      </c>
      <c r="BH1656" t="s">
        <v>56</v>
      </c>
      <c r="BI1656">
        <v>386</v>
      </c>
      <c r="BJ1656">
        <v>2.5</v>
      </c>
      <c r="BK1656" t="s">
        <v>56</v>
      </c>
      <c r="BL1656" t="s">
        <v>543</v>
      </c>
      <c r="BM1656" t="s">
        <v>543</v>
      </c>
      <c r="BN1656" t="s">
        <v>60</v>
      </c>
      <c r="BO1656" t="s">
        <v>898</v>
      </c>
      <c r="BP1656" t="s">
        <v>194</v>
      </c>
      <c r="BQ1656" s="8" t="s">
        <v>190</v>
      </c>
      <c r="BR1656" t="s">
        <v>63</v>
      </c>
      <c r="BT1656">
        <v>0.57999999999999996</v>
      </c>
      <c r="BU1656">
        <v>0.57610600000000001</v>
      </c>
      <c r="BV1656">
        <v>0.1</v>
      </c>
      <c r="BW1656">
        <f>BV1656*SQRT(AK1656)</f>
        <v>0.22360679774997899</v>
      </c>
      <c r="BX1656">
        <v>0.41</v>
      </c>
      <c r="BY1656">
        <v>0.40619</v>
      </c>
      <c r="BZ1656">
        <v>0.05</v>
      </c>
      <c r="CA1656">
        <f>BZ1656*SQRT(AL1656)</f>
        <v>0.1118033988749895</v>
      </c>
      <c r="CB1656">
        <v>24</v>
      </c>
      <c r="CC1656">
        <v>6</v>
      </c>
      <c r="CD1656">
        <v>-0.34899999999999998</v>
      </c>
      <c r="CE1656">
        <v>4.4600000000000001E-2</v>
      </c>
    </row>
    <row r="1657" spans="4:83" hidden="1" x14ac:dyDescent="0.2">
      <c r="D1657">
        <v>190</v>
      </c>
      <c r="G1657" t="s">
        <v>43</v>
      </c>
      <c r="H1657" t="s">
        <v>894</v>
      </c>
      <c r="J1657">
        <v>2013</v>
      </c>
      <c r="M1657" t="s">
        <v>213</v>
      </c>
      <c r="T1657" t="s">
        <v>103</v>
      </c>
      <c r="U1657" t="s">
        <v>228</v>
      </c>
      <c r="V1657" t="s">
        <v>842</v>
      </c>
      <c r="Z1657" t="s">
        <v>106</v>
      </c>
      <c r="AA1657" t="s">
        <v>107</v>
      </c>
      <c r="AB1657" t="s">
        <v>50</v>
      </c>
      <c r="AC1657" t="s">
        <v>51</v>
      </c>
      <c r="AD1657" t="s">
        <v>54</v>
      </c>
      <c r="AE1657" t="s">
        <v>53</v>
      </c>
      <c r="AF1657" t="s">
        <v>52</v>
      </c>
      <c r="AG1657" t="s">
        <v>54</v>
      </c>
      <c r="AH1657" t="s">
        <v>55</v>
      </c>
      <c r="AK1657">
        <v>5</v>
      </c>
      <c r="AL1657">
        <v>5</v>
      </c>
      <c r="AN1657">
        <v>364</v>
      </c>
      <c r="AO1657">
        <v>10</v>
      </c>
      <c r="AP1657" t="s">
        <v>56</v>
      </c>
      <c r="AQ1657" t="s">
        <v>109</v>
      </c>
      <c r="AR1657">
        <v>8.07</v>
      </c>
      <c r="AS1657">
        <v>0.01</v>
      </c>
      <c r="AT1657" t="s">
        <v>56</v>
      </c>
      <c r="AU1657">
        <v>598</v>
      </c>
      <c r="AV1657">
        <v>19</v>
      </c>
      <c r="AW1657" t="s">
        <v>56</v>
      </c>
      <c r="AX1657">
        <v>7.9</v>
      </c>
      <c r="AY1657">
        <v>0.01</v>
      </c>
      <c r="AZ1657" t="s">
        <v>56</v>
      </c>
      <c r="BB1657">
        <f>LOG(AU1657)</f>
        <v>2.7767011839884108</v>
      </c>
      <c r="BC1657">
        <v>26.5</v>
      </c>
      <c r="BD1657">
        <v>0</v>
      </c>
      <c r="BE1657" t="s">
        <v>56</v>
      </c>
      <c r="BF1657">
        <v>26.4</v>
      </c>
      <c r="BG1657">
        <v>0</v>
      </c>
      <c r="BH1657" t="s">
        <v>56</v>
      </c>
      <c r="BI1657">
        <v>234</v>
      </c>
      <c r="BJ1657">
        <v>-0.1</v>
      </c>
      <c r="BK1657" t="s">
        <v>895</v>
      </c>
      <c r="BL1657" t="s">
        <v>232</v>
      </c>
      <c r="BM1657" t="s">
        <v>232</v>
      </c>
      <c r="BN1657" t="s">
        <v>81</v>
      </c>
      <c r="BO1657" t="s">
        <v>896</v>
      </c>
      <c r="BP1657" t="s">
        <v>234</v>
      </c>
      <c r="BQ1657" s="8" t="s">
        <v>190</v>
      </c>
      <c r="BR1657" t="s">
        <v>63</v>
      </c>
      <c r="BT1657">
        <v>0.08</v>
      </c>
      <c r="BU1657">
        <v>7.5999999999999998E-2</v>
      </c>
      <c r="BV1657">
        <v>0.02</v>
      </c>
      <c r="BW1657">
        <f>BV1657*SQRT(AK1657)</f>
        <v>4.4721359549995794E-2</v>
      </c>
      <c r="BX1657">
        <v>0.05</v>
      </c>
      <c r="BY1657">
        <v>5.3769999999999998E-2</v>
      </c>
      <c r="BZ1657">
        <v>0.01</v>
      </c>
      <c r="CA1657">
        <f>BZ1657*SQRT(AL1657)</f>
        <v>2.2360679774997897E-2</v>
      </c>
      <c r="CB1657">
        <v>24</v>
      </c>
      <c r="CC1657">
        <v>6</v>
      </c>
      <c r="CD1657">
        <v>-0.34599999999999997</v>
      </c>
      <c r="CE1657">
        <v>7.6399999999999996E-2</v>
      </c>
    </row>
    <row r="1658" spans="4:83" hidden="1" x14ac:dyDescent="0.2">
      <c r="D1658">
        <v>190</v>
      </c>
      <c r="G1658" t="s">
        <v>43</v>
      </c>
      <c r="H1658" t="s">
        <v>894</v>
      </c>
      <c r="J1658">
        <v>2013</v>
      </c>
      <c r="M1658" t="s">
        <v>213</v>
      </c>
      <c r="T1658" t="s">
        <v>103</v>
      </c>
      <c r="U1658" t="s">
        <v>228</v>
      </c>
      <c r="V1658" t="s">
        <v>897</v>
      </c>
      <c r="Z1658" t="s">
        <v>106</v>
      </c>
      <c r="AA1658" t="s">
        <v>107</v>
      </c>
      <c r="AB1658" t="s">
        <v>50</v>
      </c>
      <c r="AC1658" t="s">
        <v>51</v>
      </c>
      <c r="AD1658" t="s">
        <v>54</v>
      </c>
      <c r="AE1658" t="s">
        <v>53</v>
      </c>
      <c r="AF1658" t="s">
        <v>52</v>
      </c>
      <c r="AG1658" t="s">
        <v>52</v>
      </c>
      <c r="AH1658" t="s">
        <v>64</v>
      </c>
      <c r="AK1658">
        <v>5</v>
      </c>
      <c r="AL1658">
        <v>5</v>
      </c>
      <c r="AN1658">
        <v>364</v>
      </c>
      <c r="AO1658">
        <v>10</v>
      </c>
      <c r="AP1658" t="s">
        <v>56</v>
      </c>
      <c r="AQ1658" t="s">
        <v>109</v>
      </c>
      <c r="AR1658">
        <v>8.07</v>
      </c>
      <c r="AS1658">
        <v>0.01</v>
      </c>
      <c r="AT1658" t="s">
        <v>56</v>
      </c>
      <c r="AU1658">
        <v>750</v>
      </c>
      <c r="AV1658">
        <v>26</v>
      </c>
      <c r="AW1658" t="s">
        <v>56</v>
      </c>
      <c r="AX1658">
        <v>7.81</v>
      </c>
      <c r="AY1658">
        <v>0.01</v>
      </c>
      <c r="AZ1658" t="s">
        <v>56</v>
      </c>
      <c r="BB1658">
        <f>LOG(AU1658)</f>
        <v>2.8750612633917001</v>
      </c>
      <c r="BC1658">
        <v>26.5</v>
      </c>
      <c r="BD1658">
        <v>0</v>
      </c>
      <c r="BE1658" t="s">
        <v>56</v>
      </c>
      <c r="BF1658">
        <v>28.9</v>
      </c>
      <c r="BG1658">
        <v>0</v>
      </c>
      <c r="BH1658" t="s">
        <v>56</v>
      </c>
      <c r="BI1658">
        <v>386</v>
      </c>
      <c r="BJ1658">
        <v>2.5</v>
      </c>
      <c r="BK1658" t="s">
        <v>895</v>
      </c>
      <c r="BL1658" t="s">
        <v>232</v>
      </c>
      <c r="BM1658" t="s">
        <v>232</v>
      </c>
      <c r="BN1658" t="s">
        <v>81</v>
      </c>
      <c r="BO1658" t="s">
        <v>896</v>
      </c>
      <c r="BP1658" t="s">
        <v>234</v>
      </c>
      <c r="BQ1658" s="8" t="s">
        <v>190</v>
      </c>
      <c r="BR1658" t="s">
        <v>63</v>
      </c>
      <c r="BT1658">
        <v>0.37</v>
      </c>
      <c r="BU1658">
        <v>0.36520000000000002</v>
      </c>
      <c r="BV1658">
        <v>7.0000000000000007E-2</v>
      </c>
      <c r="BW1658">
        <f>BV1658*SQRT(AK1658)</f>
        <v>0.15652475842498531</v>
      </c>
      <c r="BX1658">
        <v>0.27</v>
      </c>
      <c r="BY1658">
        <v>0.26956000000000002</v>
      </c>
      <c r="BZ1658">
        <v>0.06</v>
      </c>
      <c r="CA1658">
        <f>BZ1658*SQRT(AL1658)</f>
        <v>0.13416407864998739</v>
      </c>
      <c r="CB1658">
        <v>24</v>
      </c>
      <c r="CC1658">
        <v>6</v>
      </c>
      <c r="CD1658">
        <v>-0.30399999999999999</v>
      </c>
      <c r="CE1658">
        <v>8.2900000000000001E-2</v>
      </c>
    </row>
    <row r="1659" spans="4:83" hidden="1" x14ac:dyDescent="0.2">
      <c r="D1659">
        <v>190</v>
      </c>
      <c r="G1659" t="s">
        <v>43</v>
      </c>
      <c r="H1659" t="s">
        <v>894</v>
      </c>
      <c r="J1659">
        <v>2013</v>
      </c>
      <c r="M1659" t="s">
        <v>213</v>
      </c>
      <c r="T1659" t="s">
        <v>103</v>
      </c>
      <c r="U1659" t="s">
        <v>348</v>
      </c>
      <c r="V1659" t="s">
        <v>893</v>
      </c>
      <c r="Z1659" t="s">
        <v>106</v>
      </c>
      <c r="AA1659" t="s">
        <v>107</v>
      </c>
      <c r="AB1659" t="s">
        <v>50</v>
      </c>
      <c r="AC1659" t="s">
        <v>51</v>
      </c>
      <c r="AD1659" t="s">
        <v>54</v>
      </c>
      <c r="AE1659" t="s">
        <v>53</v>
      </c>
      <c r="AF1659" t="s">
        <v>52</v>
      </c>
      <c r="AG1659" t="s">
        <v>54</v>
      </c>
      <c r="AH1659" t="s">
        <v>55</v>
      </c>
      <c r="AK1659">
        <v>5</v>
      </c>
      <c r="AL1659">
        <v>5</v>
      </c>
      <c r="AN1659">
        <v>364</v>
      </c>
      <c r="AO1659">
        <v>10</v>
      </c>
      <c r="AP1659" t="s">
        <v>56</v>
      </c>
      <c r="AQ1659" t="s">
        <v>109</v>
      </c>
      <c r="AR1659">
        <v>8.07</v>
      </c>
      <c r="AS1659">
        <v>0.01</v>
      </c>
      <c r="AT1659" t="s">
        <v>56</v>
      </c>
      <c r="AU1659">
        <v>598</v>
      </c>
      <c r="AV1659">
        <v>19</v>
      </c>
      <c r="AW1659" t="s">
        <v>56</v>
      </c>
      <c r="AX1659">
        <v>7.9</v>
      </c>
      <c r="AY1659">
        <v>0.01</v>
      </c>
      <c r="AZ1659" t="s">
        <v>56</v>
      </c>
      <c r="BB1659">
        <f>LOG(AU1659)</f>
        <v>2.7767011839884108</v>
      </c>
      <c r="BC1659">
        <v>26.5</v>
      </c>
      <c r="BD1659">
        <v>0</v>
      </c>
      <c r="BE1659" t="s">
        <v>56</v>
      </c>
      <c r="BF1659">
        <v>26.4</v>
      </c>
      <c r="BG1659">
        <v>0</v>
      </c>
      <c r="BH1659" t="s">
        <v>56</v>
      </c>
      <c r="BI1659">
        <v>234</v>
      </c>
      <c r="BJ1659">
        <v>-0.1</v>
      </c>
      <c r="BK1659" t="s">
        <v>56</v>
      </c>
      <c r="BL1659" t="s">
        <v>543</v>
      </c>
      <c r="BM1659" t="s">
        <v>543</v>
      </c>
      <c r="BN1659" t="s">
        <v>60</v>
      </c>
      <c r="BO1659" t="s">
        <v>898</v>
      </c>
      <c r="BP1659" t="s">
        <v>194</v>
      </c>
      <c r="BQ1659" s="8" t="s">
        <v>190</v>
      </c>
      <c r="BR1659" t="s">
        <v>63</v>
      </c>
      <c r="BT1659">
        <v>0.57999999999999996</v>
      </c>
      <c r="BU1659">
        <v>0.57610600000000001</v>
      </c>
      <c r="BV1659">
        <v>0.1</v>
      </c>
      <c r="BW1659">
        <f>BV1659*SQRT(AK1659)</f>
        <v>0.22360679774997899</v>
      </c>
      <c r="BX1659">
        <v>0.44</v>
      </c>
      <c r="BY1659">
        <v>0.438</v>
      </c>
      <c r="BZ1659">
        <v>0.06</v>
      </c>
      <c r="CA1659">
        <f>BZ1659*SQRT(AL1659)</f>
        <v>0.13416407864998739</v>
      </c>
      <c r="CB1659">
        <v>24</v>
      </c>
      <c r="CC1659">
        <v>6</v>
      </c>
      <c r="CD1659">
        <v>-0.27400000000000002</v>
      </c>
      <c r="CE1659">
        <v>4.87E-2</v>
      </c>
    </row>
    <row r="1660" spans="4:83" hidden="1" x14ac:dyDescent="0.2">
      <c r="D1660">
        <v>190</v>
      </c>
      <c r="G1660" t="s">
        <v>43</v>
      </c>
      <c r="H1660" t="s">
        <v>894</v>
      </c>
      <c r="J1660">
        <v>2013</v>
      </c>
      <c r="M1660" t="s">
        <v>213</v>
      </c>
      <c r="T1660" t="s">
        <v>103</v>
      </c>
      <c r="U1660" t="s">
        <v>228</v>
      </c>
      <c r="V1660" t="s">
        <v>842</v>
      </c>
      <c r="Z1660" t="s">
        <v>106</v>
      </c>
      <c r="AA1660" t="s">
        <v>107</v>
      </c>
      <c r="AB1660" t="s">
        <v>50</v>
      </c>
      <c r="AC1660" t="s">
        <v>51</v>
      </c>
      <c r="AD1660" t="s">
        <v>54</v>
      </c>
      <c r="AE1660" t="s">
        <v>53</v>
      </c>
      <c r="AF1660" t="s">
        <v>54</v>
      </c>
      <c r="AG1660" t="s">
        <v>52</v>
      </c>
      <c r="AH1660" t="s">
        <v>65</v>
      </c>
      <c r="AK1660">
        <v>5</v>
      </c>
      <c r="AL1660">
        <v>5</v>
      </c>
      <c r="AN1660">
        <v>364</v>
      </c>
      <c r="AO1660">
        <v>10</v>
      </c>
      <c r="AP1660" t="s">
        <v>56</v>
      </c>
      <c r="AQ1660" t="s">
        <v>109</v>
      </c>
      <c r="AR1660">
        <v>8.07</v>
      </c>
      <c r="AS1660">
        <v>0.01</v>
      </c>
      <c r="AT1660" t="s">
        <v>56</v>
      </c>
      <c r="AU1660">
        <v>401</v>
      </c>
      <c r="AV1660">
        <v>17</v>
      </c>
      <c r="AW1660" t="s">
        <v>56</v>
      </c>
      <c r="AX1660">
        <v>8.0399999999999991</v>
      </c>
      <c r="AY1660">
        <v>0.01</v>
      </c>
      <c r="AZ1660" t="s">
        <v>56</v>
      </c>
      <c r="BB1660">
        <f>LOG(AU1660)</f>
        <v>2.6031443726201822</v>
      </c>
      <c r="BC1660">
        <v>26.5</v>
      </c>
      <c r="BD1660">
        <v>0</v>
      </c>
      <c r="BE1660" t="s">
        <v>56</v>
      </c>
      <c r="BF1660">
        <v>29.3</v>
      </c>
      <c r="BG1660">
        <v>0</v>
      </c>
      <c r="BH1660" t="s">
        <v>56</v>
      </c>
      <c r="BI1660">
        <v>36</v>
      </c>
      <c r="BJ1660">
        <v>2.9</v>
      </c>
      <c r="BK1660" t="s">
        <v>895</v>
      </c>
      <c r="BL1660" t="s">
        <v>232</v>
      </c>
      <c r="BM1660" t="s">
        <v>232</v>
      </c>
      <c r="BN1660" t="s">
        <v>81</v>
      </c>
      <c r="BO1660" t="s">
        <v>896</v>
      </c>
      <c r="BP1660" t="s">
        <v>234</v>
      </c>
      <c r="BQ1660" s="8" t="s">
        <v>190</v>
      </c>
      <c r="BR1660" t="s">
        <v>63</v>
      </c>
      <c r="BT1660">
        <v>0.08</v>
      </c>
      <c r="BU1660">
        <v>7.5999999999999998E-2</v>
      </c>
      <c r="BV1660">
        <v>0.02</v>
      </c>
      <c r="BW1660">
        <f>BV1660*SQRT(AK1660)</f>
        <v>4.4721359549995794E-2</v>
      </c>
      <c r="BX1660">
        <v>0.06</v>
      </c>
      <c r="BY1660">
        <v>5.8220000000000001E-2</v>
      </c>
      <c r="BZ1660">
        <v>0.01</v>
      </c>
      <c r="CA1660">
        <f>BZ1660*SQRT(AL1660)</f>
        <v>2.2360679774997897E-2</v>
      </c>
      <c r="CB1660">
        <v>24</v>
      </c>
      <c r="CC1660">
        <v>6</v>
      </c>
      <c r="CD1660">
        <v>-0.26700000000000002</v>
      </c>
      <c r="CE1660">
        <v>8.2500000000000004E-2</v>
      </c>
    </row>
    <row r="1661" spans="4:83" hidden="1" x14ac:dyDescent="0.2">
      <c r="D1661">
        <v>190</v>
      </c>
      <c r="G1661" t="s">
        <v>43</v>
      </c>
      <c r="H1661" t="s">
        <v>894</v>
      </c>
      <c r="J1661">
        <v>2013</v>
      </c>
      <c r="M1661" t="s">
        <v>213</v>
      </c>
      <c r="T1661" t="s">
        <v>103</v>
      </c>
      <c r="U1661" t="s">
        <v>228</v>
      </c>
      <c r="V1661" t="s">
        <v>897</v>
      </c>
      <c r="Z1661" t="s">
        <v>106</v>
      </c>
      <c r="AA1661" t="s">
        <v>107</v>
      </c>
      <c r="AB1661" t="s">
        <v>50</v>
      </c>
      <c r="AC1661" t="s">
        <v>51</v>
      </c>
      <c r="AD1661" t="s">
        <v>54</v>
      </c>
      <c r="AE1661" t="s">
        <v>53</v>
      </c>
      <c r="AF1661" t="s">
        <v>52</v>
      </c>
      <c r="AG1661" t="s">
        <v>54</v>
      </c>
      <c r="AH1661" t="s">
        <v>55</v>
      </c>
      <c r="AK1661">
        <v>5</v>
      </c>
      <c r="AL1661">
        <v>5</v>
      </c>
      <c r="AN1661">
        <v>364</v>
      </c>
      <c r="AO1661">
        <v>10</v>
      </c>
      <c r="AP1661" t="s">
        <v>56</v>
      </c>
      <c r="AQ1661" t="s">
        <v>109</v>
      </c>
      <c r="AR1661">
        <v>8.07</v>
      </c>
      <c r="AS1661">
        <v>0.01</v>
      </c>
      <c r="AT1661" t="s">
        <v>56</v>
      </c>
      <c r="AU1661">
        <v>598</v>
      </c>
      <c r="AV1661">
        <v>19</v>
      </c>
      <c r="AW1661" t="s">
        <v>56</v>
      </c>
      <c r="AX1661">
        <v>7.9</v>
      </c>
      <c r="AY1661">
        <v>0.01</v>
      </c>
      <c r="AZ1661" t="s">
        <v>56</v>
      </c>
      <c r="BB1661">
        <f>LOG(AU1661)</f>
        <v>2.7767011839884108</v>
      </c>
      <c r="BC1661">
        <v>26.5</v>
      </c>
      <c r="BD1661">
        <v>0</v>
      </c>
      <c r="BE1661" t="s">
        <v>56</v>
      </c>
      <c r="BF1661">
        <v>26.4</v>
      </c>
      <c r="BG1661">
        <v>0</v>
      </c>
      <c r="BH1661" t="s">
        <v>56</v>
      </c>
      <c r="BI1661">
        <v>234</v>
      </c>
      <c r="BJ1661">
        <v>-0.1</v>
      </c>
      <c r="BK1661" t="s">
        <v>56</v>
      </c>
      <c r="BL1661" t="s">
        <v>899</v>
      </c>
      <c r="BM1661" t="s">
        <v>262</v>
      </c>
      <c r="BN1661" t="s">
        <v>81</v>
      </c>
      <c r="BO1661" t="s">
        <v>900</v>
      </c>
      <c r="BP1661" t="s">
        <v>92</v>
      </c>
      <c r="BQ1661" s="8" t="s">
        <v>190</v>
      </c>
      <c r="BR1661" t="s">
        <v>63</v>
      </c>
      <c r="BT1661">
        <v>7.66</v>
      </c>
      <c r="BU1661">
        <v>7.65517</v>
      </c>
      <c r="BV1661">
        <v>1.03</v>
      </c>
      <c r="BW1661">
        <f>BV1661*SQRT(AK1661)</f>
        <v>2.3031500168247834</v>
      </c>
      <c r="BX1661">
        <v>6.1</v>
      </c>
      <c r="BY1661">
        <v>6.1034499999999996</v>
      </c>
      <c r="BZ1661">
        <v>0.52</v>
      </c>
      <c r="CA1661">
        <f>BZ1661*SQRT(AL1661)</f>
        <v>1.1627553482998907</v>
      </c>
      <c r="CB1661">
        <v>24</v>
      </c>
      <c r="CC1661">
        <v>6</v>
      </c>
      <c r="CD1661">
        <v>-0.22700000000000001</v>
      </c>
      <c r="CE1661">
        <v>2.5399999999999999E-2</v>
      </c>
    </row>
    <row r="1662" spans="4:83" hidden="1" x14ac:dyDescent="0.2">
      <c r="D1662">
        <v>190</v>
      </c>
      <c r="G1662" t="s">
        <v>43</v>
      </c>
      <c r="H1662" t="s">
        <v>894</v>
      </c>
      <c r="J1662">
        <v>2013</v>
      </c>
      <c r="M1662" t="s">
        <v>213</v>
      </c>
      <c r="T1662" t="s">
        <v>103</v>
      </c>
      <c r="U1662" t="s">
        <v>228</v>
      </c>
      <c r="V1662" t="s">
        <v>897</v>
      </c>
      <c r="Z1662" t="s">
        <v>106</v>
      </c>
      <c r="AA1662" t="s">
        <v>107</v>
      </c>
      <c r="AB1662" t="s">
        <v>50</v>
      </c>
      <c r="AC1662" t="s">
        <v>51</v>
      </c>
      <c r="AD1662" t="s">
        <v>54</v>
      </c>
      <c r="AE1662" t="s">
        <v>53</v>
      </c>
      <c r="AF1662" t="s">
        <v>52</v>
      </c>
      <c r="AG1662" t="s">
        <v>54</v>
      </c>
      <c r="AH1662" t="s">
        <v>55</v>
      </c>
      <c r="AK1662">
        <v>5</v>
      </c>
      <c r="AL1662">
        <v>5</v>
      </c>
      <c r="AN1662">
        <v>364</v>
      </c>
      <c r="AO1662">
        <v>10</v>
      </c>
      <c r="AP1662" t="s">
        <v>56</v>
      </c>
      <c r="AQ1662" t="s">
        <v>109</v>
      </c>
      <c r="AR1662">
        <v>8.07</v>
      </c>
      <c r="AS1662">
        <v>0.01</v>
      </c>
      <c r="AT1662" t="s">
        <v>56</v>
      </c>
      <c r="AU1662">
        <v>732</v>
      </c>
      <c r="AV1662">
        <v>22</v>
      </c>
      <c r="AW1662" t="s">
        <v>56</v>
      </c>
      <c r="AX1662">
        <v>7.98</v>
      </c>
      <c r="AY1662">
        <v>0.01</v>
      </c>
      <c r="AZ1662" t="s">
        <v>56</v>
      </c>
      <c r="BB1662">
        <f>LOG(AU1662)</f>
        <v>2.8645110810583918</v>
      </c>
      <c r="BC1662">
        <v>26.5</v>
      </c>
      <c r="BD1662">
        <v>0</v>
      </c>
      <c r="BE1662" t="s">
        <v>56</v>
      </c>
      <c r="BF1662">
        <v>26.6</v>
      </c>
      <c r="BG1662">
        <v>0</v>
      </c>
      <c r="BH1662" t="s">
        <v>56</v>
      </c>
      <c r="BI1662">
        <v>368</v>
      </c>
      <c r="BJ1662">
        <v>0.2</v>
      </c>
      <c r="BK1662" t="s">
        <v>895</v>
      </c>
      <c r="BL1662" t="s">
        <v>232</v>
      </c>
      <c r="BM1662" t="s">
        <v>232</v>
      </c>
      <c r="BN1662" t="s">
        <v>81</v>
      </c>
      <c r="BO1662" t="s">
        <v>896</v>
      </c>
      <c r="BP1662" t="s">
        <v>234</v>
      </c>
      <c r="BQ1662" s="8" t="s">
        <v>190</v>
      </c>
      <c r="BR1662" t="s">
        <v>63</v>
      </c>
      <c r="BT1662">
        <v>0.37</v>
      </c>
      <c r="BU1662">
        <v>0.36520000000000002</v>
      </c>
      <c r="BV1662">
        <v>7.0000000000000007E-2</v>
      </c>
      <c r="BW1662">
        <f>BV1662*SQRT(AK1662)</f>
        <v>0.15652475842498531</v>
      </c>
      <c r="BX1662">
        <v>0.28999999999999998</v>
      </c>
      <c r="BY1662">
        <v>0.2913</v>
      </c>
      <c r="BZ1662">
        <v>0.03</v>
      </c>
      <c r="CA1662">
        <f>BZ1662*SQRT(AL1662)</f>
        <v>6.7082039324993695E-2</v>
      </c>
      <c r="CB1662">
        <v>24</v>
      </c>
      <c r="CC1662">
        <v>6</v>
      </c>
      <c r="CD1662">
        <v>-0.22600000000000001</v>
      </c>
      <c r="CE1662">
        <v>4.2799999999999998E-2</v>
      </c>
    </row>
    <row r="1663" spans="4:83" hidden="1" x14ac:dyDescent="0.2">
      <c r="D1663">
        <v>190</v>
      </c>
      <c r="G1663" t="s">
        <v>43</v>
      </c>
      <c r="H1663" t="s">
        <v>894</v>
      </c>
      <c r="J1663">
        <v>2013</v>
      </c>
      <c r="M1663" t="s">
        <v>213</v>
      </c>
      <c r="T1663" t="s">
        <v>103</v>
      </c>
      <c r="U1663" t="s">
        <v>348</v>
      </c>
      <c r="V1663" t="s">
        <v>893</v>
      </c>
      <c r="Z1663" t="s">
        <v>106</v>
      </c>
      <c r="AA1663" t="s">
        <v>107</v>
      </c>
      <c r="AB1663" t="s">
        <v>50</v>
      </c>
      <c r="AC1663" t="s">
        <v>51</v>
      </c>
      <c r="AD1663" t="s">
        <v>54</v>
      </c>
      <c r="AE1663" t="s">
        <v>53</v>
      </c>
      <c r="AF1663" t="s">
        <v>54</v>
      </c>
      <c r="AG1663" t="s">
        <v>52</v>
      </c>
      <c r="AH1663" t="s">
        <v>65</v>
      </c>
      <c r="AK1663">
        <v>5</v>
      </c>
      <c r="AL1663">
        <v>5</v>
      </c>
      <c r="AN1663">
        <v>364</v>
      </c>
      <c r="AO1663">
        <v>10</v>
      </c>
      <c r="AP1663" t="s">
        <v>56</v>
      </c>
      <c r="AQ1663" t="s">
        <v>109</v>
      </c>
      <c r="AR1663">
        <v>8.07</v>
      </c>
      <c r="AS1663">
        <v>0.01</v>
      </c>
      <c r="AT1663" t="s">
        <v>56</v>
      </c>
      <c r="AU1663">
        <v>401</v>
      </c>
      <c r="AV1663">
        <v>17</v>
      </c>
      <c r="AW1663" t="s">
        <v>56</v>
      </c>
      <c r="AX1663">
        <v>8.0399999999999991</v>
      </c>
      <c r="AY1663">
        <v>0.01</v>
      </c>
      <c r="AZ1663" t="s">
        <v>56</v>
      </c>
      <c r="BB1663">
        <f>LOG(AU1663)</f>
        <v>2.6031443726201822</v>
      </c>
      <c r="BC1663">
        <v>26.5</v>
      </c>
      <c r="BD1663">
        <v>0</v>
      </c>
      <c r="BE1663" t="s">
        <v>56</v>
      </c>
      <c r="BF1663">
        <v>29.3</v>
      </c>
      <c r="BG1663">
        <v>0</v>
      </c>
      <c r="BH1663" t="s">
        <v>56</v>
      </c>
      <c r="BI1663">
        <v>36</v>
      </c>
      <c r="BJ1663">
        <v>2.9</v>
      </c>
      <c r="BK1663" t="s">
        <v>56</v>
      </c>
      <c r="BL1663" t="s">
        <v>899</v>
      </c>
      <c r="BM1663" t="s">
        <v>262</v>
      </c>
      <c r="BN1663" t="s">
        <v>81</v>
      </c>
      <c r="BO1663" t="s">
        <v>900</v>
      </c>
      <c r="BP1663" t="s">
        <v>92</v>
      </c>
      <c r="BQ1663" s="8" t="s">
        <v>190</v>
      </c>
      <c r="BR1663" t="s">
        <v>63</v>
      </c>
      <c r="BT1663">
        <v>12.31</v>
      </c>
      <c r="BU1663">
        <v>12.3103</v>
      </c>
      <c r="BV1663">
        <v>0.83</v>
      </c>
      <c r="BW1663">
        <f>BV1663*SQRT(AK1663)</f>
        <v>1.8559364213248255</v>
      </c>
      <c r="BX1663">
        <v>9.83</v>
      </c>
      <c r="BY1663">
        <v>9.8275900000000007</v>
      </c>
      <c r="BZ1663">
        <v>0.62</v>
      </c>
      <c r="CA1663">
        <f>BZ1663*SQRT(AL1663)</f>
        <v>1.3863621460498696</v>
      </c>
      <c r="CB1663">
        <v>24</v>
      </c>
      <c r="CC1663">
        <v>6</v>
      </c>
      <c r="CD1663">
        <v>-0.22500000000000001</v>
      </c>
      <c r="CE1663">
        <v>8.5000000000000006E-3</v>
      </c>
    </row>
    <row r="1664" spans="4:83" hidden="1" x14ac:dyDescent="0.2">
      <c r="D1664">
        <v>190</v>
      </c>
      <c r="G1664" t="s">
        <v>43</v>
      </c>
      <c r="H1664" t="s">
        <v>894</v>
      </c>
      <c r="J1664">
        <v>2013</v>
      </c>
      <c r="M1664" t="s">
        <v>213</v>
      </c>
      <c r="T1664" t="s">
        <v>103</v>
      </c>
      <c r="U1664" t="s">
        <v>348</v>
      </c>
      <c r="V1664" t="s">
        <v>893</v>
      </c>
      <c r="Z1664" t="s">
        <v>106</v>
      </c>
      <c r="AA1664" t="s">
        <v>107</v>
      </c>
      <c r="AB1664" t="s">
        <v>50</v>
      </c>
      <c r="AC1664" t="s">
        <v>51</v>
      </c>
      <c r="AD1664" t="s">
        <v>54</v>
      </c>
      <c r="AE1664" t="s">
        <v>53</v>
      </c>
      <c r="AF1664" t="s">
        <v>54</v>
      </c>
      <c r="AG1664" t="s">
        <v>52</v>
      </c>
      <c r="AH1664" t="s">
        <v>65</v>
      </c>
      <c r="AK1664">
        <v>5</v>
      </c>
      <c r="AL1664">
        <v>5</v>
      </c>
      <c r="AN1664">
        <v>364</v>
      </c>
      <c r="AO1664">
        <v>10</v>
      </c>
      <c r="AP1664" t="s">
        <v>56</v>
      </c>
      <c r="AQ1664" t="s">
        <v>109</v>
      </c>
      <c r="AR1664">
        <v>8.07</v>
      </c>
      <c r="AS1664">
        <v>0.01</v>
      </c>
      <c r="AT1664" t="s">
        <v>56</v>
      </c>
      <c r="AU1664">
        <v>401</v>
      </c>
      <c r="AV1664">
        <v>17</v>
      </c>
      <c r="AW1664" t="s">
        <v>56</v>
      </c>
      <c r="AX1664">
        <v>8.0399999999999991</v>
      </c>
      <c r="AY1664">
        <v>0.01</v>
      </c>
      <c r="AZ1664" t="s">
        <v>56</v>
      </c>
      <c r="BB1664">
        <f>LOG(AU1664)</f>
        <v>2.6031443726201822</v>
      </c>
      <c r="BC1664">
        <v>26.5</v>
      </c>
      <c r="BD1664">
        <v>0</v>
      </c>
      <c r="BE1664" t="s">
        <v>56</v>
      </c>
      <c r="BF1664">
        <v>29.3</v>
      </c>
      <c r="BG1664">
        <v>0</v>
      </c>
      <c r="BH1664" t="s">
        <v>56</v>
      </c>
      <c r="BI1664">
        <v>36</v>
      </c>
      <c r="BJ1664">
        <v>2.9</v>
      </c>
      <c r="BK1664" t="s">
        <v>895</v>
      </c>
      <c r="BL1664" t="s">
        <v>232</v>
      </c>
      <c r="BM1664" t="s">
        <v>232</v>
      </c>
      <c r="BN1664" t="s">
        <v>81</v>
      </c>
      <c r="BO1664" t="s">
        <v>896</v>
      </c>
      <c r="BP1664" t="s">
        <v>234</v>
      </c>
      <c r="BQ1664" s="8" t="s">
        <v>190</v>
      </c>
      <c r="BR1664" t="s">
        <v>63</v>
      </c>
      <c r="BT1664">
        <v>0.24</v>
      </c>
      <c r="BU1664">
        <v>0.24346999999999999</v>
      </c>
      <c r="BV1664">
        <v>0.03</v>
      </c>
      <c r="BW1664">
        <f>BV1664*SQRT(AK1664)</f>
        <v>6.7082039324993695E-2</v>
      </c>
      <c r="BX1664">
        <v>0.2</v>
      </c>
      <c r="BY1664">
        <v>0.1956</v>
      </c>
      <c r="BZ1664">
        <v>0.06</v>
      </c>
      <c r="CA1664">
        <f>BZ1664*SQRT(AL1664)</f>
        <v>0.13416407864998739</v>
      </c>
      <c r="CB1664">
        <v>24</v>
      </c>
      <c r="CC1664">
        <v>6</v>
      </c>
      <c r="CD1664">
        <v>-0.219</v>
      </c>
      <c r="CE1664">
        <v>9.4899999999999998E-2</v>
      </c>
    </row>
    <row r="1665" spans="4:83" hidden="1" x14ac:dyDescent="0.2">
      <c r="D1665">
        <v>190</v>
      </c>
      <c r="G1665" t="s">
        <v>43</v>
      </c>
      <c r="H1665" t="s">
        <v>894</v>
      </c>
      <c r="J1665">
        <v>2013</v>
      </c>
      <c r="M1665" t="s">
        <v>213</v>
      </c>
      <c r="T1665" t="s">
        <v>103</v>
      </c>
      <c r="U1665" t="s">
        <v>228</v>
      </c>
      <c r="V1665" t="s">
        <v>842</v>
      </c>
      <c r="Z1665" t="s">
        <v>106</v>
      </c>
      <c r="AA1665" t="s">
        <v>107</v>
      </c>
      <c r="AB1665" t="s">
        <v>50</v>
      </c>
      <c r="AC1665" t="s">
        <v>51</v>
      </c>
      <c r="AD1665" t="s">
        <v>54</v>
      </c>
      <c r="AE1665" t="s">
        <v>53</v>
      </c>
      <c r="AF1665" t="s">
        <v>52</v>
      </c>
      <c r="AG1665" t="s">
        <v>54</v>
      </c>
      <c r="AH1665" t="s">
        <v>55</v>
      </c>
      <c r="AK1665">
        <v>5</v>
      </c>
      <c r="AL1665">
        <v>5</v>
      </c>
      <c r="AN1665">
        <v>364</v>
      </c>
      <c r="AO1665">
        <v>10</v>
      </c>
      <c r="AP1665" t="s">
        <v>56</v>
      </c>
      <c r="AQ1665" t="s">
        <v>109</v>
      </c>
      <c r="AR1665">
        <v>8.07</v>
      </c>
      <c r="AS1665">
        <v>0.01</v>
      </c>
      <c r="AT1665" t="s">
        <v>56</v>
      </c>
      <c r="AU1665">
        <v>598</v>
      </c>
      <c r="AV1665">
        <v>19</v>
      </c>
      <c r="AW1665" t="s">
        <v>56</v>
      </c>
      <c r="AX1665">
        <v>7.9</v>
      </c>
      <c r="AY1665">
        <v>0.01</v>
      </c>
      <c r="AZ1665" t="s">
        <v>56</v>
      </c>
      <c r="BB1665">
        <f>LOG(AU1665)</f>
        <v>2.7767011839884108</v>
      </c>
      <c r="BC1665">
        <v>26.5</v>
      </c>
      <c r="BD1665">
        <v>0</v>
      </c>
      <c r="BE1665" t="s">
        <v>56</v>
      </c>
      <c r="BF1665">
        <v>26.4</v>
      </c>
      <c r="BG1665">
        <v>0</v>
      </c>
      <c r="BH1665" t="s">
        <v>56</v>
      </c>
      <c r="BI1665">
        <v>234</v>
      </c>
      <c r="BJ1665">
        <v>-0.1</v>
      </c>
      <c r="BK1665" t="s">
        <v>56</v>
      </c>
      <c r="BL1665" t="s">
        <v>543</v>
      </c>
      <c r="BM1665" t="s">
        <v>543</v>
      </c>
      <c r="BN1665" t="s">
        <v>60</v>
      </c>
      <c r="BO1665" t="s">
        <v>898</v>
      </c>
      <c r="BP1665" t="s">
        <v>194</v>
      </c>
      <c r="BQ1665" s="8" t="s">
        <v>190</v>
      </c>
      <c r="BR1665" t="s">
        <v>63</v>
      </c>
      <c r="BT1665">
        <v>0.23</v>
      </c>
      <c r="BU1665">
        <v>0.22566</v>
      </c>
      <c r="BV1665">
        <v>0.06</v>
      </c>
      <c r="BW1665">
        <f>BV1665*SQRT(AK1665)</f>
        <v>0.13416407864998739</v>
      </c>
      <c r="BX1665">
        <v>0.18</v>
      </c>
      <c r="BY1665">
        <v>0.18310000000000001</v>
      </c>
      <c r="BZ1665">
        <v>0.02</v>
      </c>
      <c r="CA1665">
        <f>BZ1665*SQRT(AL1665)</f>
        <v>4.4721359549995794E-2</v>
      </c>
      <c r="CB1665">
        <v>24</v>
      </c>
      <c r="CC1665">
        <v>6</v>
      </c>
      <c r="CD1665">
        <v>-0.20899999999999999</v>
      </c>
      <c r="CE1665">
        <v>9.2999999999999999E-2</v>
      </c>
    </row>
    <row r="1666" spans="4:83" hidden="1" x14ac:dyDescent="0.2">
      <c r="D1666">
        <v>190</v>
      </c>
      <c r="G1666" t="s">
        <v>43</v>
      </c>
      <c r="H1666" t="s">
        <v>894</v>
      </c>
      <c r="J1666">
        <v>2013</v>
      </c>
      <c r="M1666" t="s">
        <v>213</v>
      </c>
      <c r="T1666" t="s">
        <v>103</v>
      </c>
      <c r="U1666" t="s">
        <v>228</v>
      </c>
      <c r="V1666" t="s">
        <v>842</v>
      </c>
      <c r="Z1666" t="s">
        <v>106</v>
      </c>
      <c r="AA1666" t="s">
        <v>107</v>
      </c>
      <c r="AB1666" t="s">
        <v>50</v>
      </c>
      <c r="AC1666" t="s">
        <v>51</v>
      </c>
      <c r="AD1666" t="s">
        <v>54</v>
      </c>
      <c r="AE1666" t="s">
        <v>53</v>
      </c>
      <c r="AF1666" t="s">
        <v>54</v>
      </c>
      <c r="AG1666" t="s">
        <v>52</v>
      </c>
      <c r="AH1666" t="s">
        <v>65</v>
      </c>
      <c r="AK1666">
        <v>5</v>
      </c>
      <c r="AL1666">
        <v>5</v>
      </c>
      <c r="AN1666">
        <v>364</v>
      </c>
      <c r="AO1666">
        <v>10</v>
      </c>
      <c r="AP1666" t="s">
        <v>56</v>
      </c>
      <c r="AQ1666" t="s">
        <v>109</v>
      </c>
      <c r="AR1666">
        <v>8.07</v>
      </c>
      <c r="AS1666">
        <v>0.01</v>
      </c>
      <c r="AT1666" t="s">
        <v>56</v>
      </c>
      <c r="AU1666">
        <v>401</v>
      </c>
      <c r="AV1666">
        <v>17</v>
      </c>
      <c r="AW1666" t="s">
        <v>56</v>
      </c>
      <c r="AX1666">
        <v>8.0399999999999991</v>
      </c>
      <c r="AY1666">
        <v>0.01</v>
      </c>
      <c r="AZ1666" t="s">
        <v>56</v>
      </c>
      <c r="BB1666">
        <f>LOG(AU1666)</f>
        <v>2.6031443726201822</v>
      </c>
      <c r="BC1666">
        <v>26.5</v>
      </c>
      <c r="BD1666">
        <v>0</v>
      </c>
      <c r="BE1666" t="s">
        <v>56</v>
      </c>
      <c r="BF1666">
        <v>29.3</v>
      </c>
      <c r="BG1666">
        <v>0</v>
      </c>
      <c r="BH1666" t="s">
        <v>56</v>
      </c>
      <c r="BI1666">
        <v>36</v>
      </c>
      <c r="BJ1666">
        <v>2.9</v>
      </c>
      <c r="BK1666" t="s">
        <v>56</v>
      </c>
      <c r="BL1666" t="s">
        <v>543</v>
      </c>
      <c r="BM1666" t="s">
        <v>543</v>
      </c>
      <c r="BN1666" t="s">
        <v>60</v>
      </c>
      <c r="BO1666" t="s">
        <v>898</v>
      </c>
      <c r="BP1666" t="s">
        <v>194</v>
      </c>
      <c r="BQ1666" s="8" t="s">
        <v>190</v>
      </c>
      <c r="BR1666" t="s">
        <v>63</v>
      </c>
      <c r="BT1666">
        <v>0.23</v>
      </c>
      <c r="BU1666">
        <v>0.22566</v>
      </c>
      <c r="BV1666">
        <v>0.06</v>
      </c>
      <c r="BW1666">
        <f>BV1666*SQRT(AK1666)</f>
        <v>0.13416407864998739</v>
      </c>
      <c r="BX1666">
        <v>0.18</v>
      </c>
      <c r="BY1666">
        <v>0.18318000000000001</v>
      </c>
      <c r="BZ1666">
        <v>0.02</v>
      </c>
      <c r="CA1666">
        <f>BZ1666*SQRT(AL1666)</f>
        <v>4.4721359549995794E-2</v>
      </c>
      <c r="CB1666">
        <v>24</v>
      </c>
      <c r="CC1666">
        <v>6</v>
      </c>
      <c r="CD1666">
        <v>-0.20899999999999999</v>
      </c>
      <c r="CE1666">
        <v>9.2899999999999996E-2</v>
      </c>
    </row>
    <row r="1667" spans="4:83" hidden="1" x14ac:dyDescent="0.2">
      <c r="D1667">
        <v>190</v>
      </c>
      <c r="G1667" t="s">
        <v>43</v>
      </c>
      <c r="H1667" t="s">
        <v>894</v>
      </c>
      <c r="J1667">
        <v>2013</v>
      </c>
      <c r="M1667" t="s">
        <v>213</v>
      </c>
      <c r="T1667" t="s">
        <v>103</v>
      </c>
      <c r="U1667" t="s">
        <v>228</v>
      </c>
      <c r="V1667" t="s">
        <v>897</v>
      </c>
      <c r="Z1667" t="s">
        <v>106</v>
      </c>
      <c r="AA1667" t="s">
        <v>107</v>
      </c>
      <c r="AB1667" t="s">
        <v>50</v>
      </c>
      <c r="AC1667" t="s">
        <v>51</v>
      </c>
      <c r="AD1667" t="s">
        <v>54</v>
      </c>
      <c r="AE1667" t="s">
        <v>53</v>
      </c>
      <c r="AF1667" t="s">
        <v>52</v>
      </c>
      <c r="AG1667" t="s">
        <v>54</v>
      </c>
      <c r="AH1667" t="s">
        <v>55</v>
      </c>
      <c r="AK1667">
        <v>5</v>
      </c>
      <c r="AL1667">
        <v>5</v>
      </c>
      <c r="AN1667">
        <v>364</v>
      </c>
      <c r="AO1667">
        <v>10</v>
      </c>
      <c r="AP1667" t="s">
        <v>56</v>
      </c>
      <c r="AQ1667" t="s">
        <v>109</v>
      </c>
      <c r="AR1667">
        <v>8.07</v>
      </c>
      <c r="AS1667">
        <v>0.01</v>
      </c>
      <c r="AT1667" t="s">
        <v>56</v>
      </c>
      <c r="AU1667">
        <v>598</v>
      </c>
      <c r="AV1667">
        <v>19</v>
      </c>
      <c r="AW1667" t="s">
        <v>56</v>
      </c>
      <c r="AX1667">
        <v>7.9</v>
      </c>
      <c r="AY1667">
        <v>0.01</v>
      </c>
      <c r="AZ1667" t="s">
        <v>56</v>
      </c>
      <c r="BB1667">
        <f>LOG(AU1667)</f>
        <v>2.7767011839884108</v>
      </c>
      <c r="BC1667">
        <v>26.5</v>
      </c>
      <c r="BD1667">
        <v>0</v>
      </c>
      <c r="BE1667" t="s">
        <v>56</v>
      </c>
      <c r="BF1667">
        <v>26.4</v>
      </c>
      <c r="BG1667">
        <v>0</v>
      </c>
      <c r="BH1667" t="s">
        <v>56</v>
      </c>
      <c r="BI1667">
        <v>234</v>
      </c>
      <c r="BJ1667">
        <v>-0.1</v>
      </c>
      <c r="BK1667" t="s">
        <v>895</v>
      </c>
      <c r="BL1667" t="s">
        <v>232</v>
      </c>
      <c r="BM1667" t="s">
        <v>232</v>
      </c>
      <c r="BN1667" t="s">
        <v>81</v>
      </c>
      <c r="BO1667" t="s">
        <v>896</v>
      </c>
      <c r="BP1667" t="s">
        <v>234</v>
      </c>
      <c r="BQ1667" s="8" t="s">
        <v>190</v>
      </c>
      <c r="BR1667" t="s">
        <v>63</v>
      </c>
      <c r="BT1667">
        <v>0.37</v>
      </c>
      <c r="BU1667">
        <v>0.36520000000000002</v>
      </c>
      <c r="BV1667">
        <v>7.0000000000000007E-2</v>
      </c>
      <c r="BW1667">
        <f>BV1667*SQRT(AK1667)</f>
        <v>0.15652475842498531</v>
      </c>
      <c r="BX1667">
        <v>0.3</v>
      </c>
      <c r="BY1667">
        <v>0.30430000000000001</v>
      </c>
      <c r="BZ1667">
        <v>7.0000000000000007E-2</v>
      </c>
      <c r="CA1667">
        <f>BZ1667*SQRT(AL1667)</f>
        <v>0.15652475842498531</v>
      </c>
      <c r="CB1667">
        <v>24</v>
      </c>
      <c r="CC1667">
        <v>6</v>
      </c>
      <c r="CD1667">
        <v>-0.182</v>
      </c>
      <c r="CE1667">
        <v>8.4199999999999997E-2</v>
      </c>
    </row>
    <row r="1668" spans="4:83" hidden="1" x14ac:dyDescent="0.2">
      <c r="D1668">
        <v>190</v>
      </c>
      <c r="G1668" t="s">
        <v>43</v>
      </c>
      <c r="H1668" t="s">
        <v>894</v>
      </c>
      <c r="J1668">
        <v>2013</v>
      </c>
      <c r="M1668" t="s">
        <v>213</v>
      </c>
      <c r="T1668" t="s">
        <v>103</v>
      </c>
      <c r="U1668" t="s">
        <v>201</v>
      </c>
      <c r="V1668" t="s">
        <v>214</v>
      </c>
      <c r="Z1668" t="s">
        <v>106</v>
      </c>
      <c r="AA1668" t="s">
        <v>107</v>
      </c>
      <c r="AB1668" t="s">
        <v>50</v>
      </c>
      <c r="AC1668" t="s">
        <v>51</v>
      </c>
      <c r="AD1668" t="s">
        <v>54</v>
      </c>
      <c r="AE1668" t="s">
        <v>53</v>
      </c>
      <c r="AF1668" t="s">
        <v>52</v>
      </c>
      <c r="AG1668" t="s">
        <v>54</v>
      </c>
      <c r="AH1668" t="s">
        <v>55</v>
      </c>
      <c r="AK1668">
        <v>5</v>
      </c>
      <c r="AL1668">
        <v>5</v>
      </c>
      <c r="AN1668">
        <v>364</v>
      </c>
      <c r="AO1668">
        <v>10</v>
      </c>
      <c r="AP1668" t="s">
        <v>56</v>
      </c>
      <c r="AQ1668" t="s">
        <v>109</v>
      </c>
      <c r="AR1668">
        <v>8.07</v>
      </c>
      <c r="AS1668">
        <v>0.01</v>
      </c>
      <c r="AT1668" t="s">
        <v>56</v>
      </c>
      <c r="AU1668">
        <v>598</v>
      </c>
      <c r="AV1668">
        <v>19</v>
      </c>
      <c r="AW1668" t="s">
        <v>56</v>
      </c>
      <c r="AX1668">
        <v>7.9</v>
      </c>
      <c r="AY1668">
        <v>0.01</v>
      </c>
      <c r="AZ1668" t="s">
        <v>56</v>
      </c>
      <c r="BB1668">
        <f>LOG(AU1668)</f>
        <v>2.7767011839884108</v>
      </c>
      <c r="BC1668">
        <v>26.5</v>
      </c>
      <c r="BD1668">
        <v>0</v>
      </c>
      <c r="BE1668" t="s">
        <v>56</v>
      </c>
      <c r="BF1668">
        <v>26.4</v>
      </c>
      <c r="BG1668">
        <v>0</v>
      </c>
      <c r="BH1668" t="s">
        <v>56</v>
      </c>
      <c r="BI1668">
        <v>234</v>
      </c>
      <c r="BJ1668">
        <v>-0.1</v>
      </c>
      <c r="BK1668" t="s">
        <v>56</v>
      </c>
      <c r="BL1668" t="s">
        <v>543</v>
      </c>
      <c r="BM1668" t="s">
        <v>543</v>
      </c>
      <c r="BN1668" t="s">
        <v>60</v>
      </c>
      <c r="BO1668" t="s">
        <v>898</v>
      </c>
      <c r="BP1668" t="s">
        <v>194</v>
      </c>
      <c r="BQ1668" s="8" t="s">
        <v>190</v>
      </c>
      <c r="BR1668" t="s">
        <v>63</v>
      </c>
      <c r="BT1668">
        <v>0.28000000000000003</v>
      </c>
      <c r="BU1668">
        <v>0.27876000000000001</v>
      </c>
      <c r="BV1668">
        <v>0.02</v>
      </c>
      <c r="BW1668">
        <f>BV1668*SQRT(AK1668)</f>
        <v>4.4721359549995794E-2</v>
      </c>
      <c r="BX1668">
        <v>0.24</v>
      </c>
      <c r="BY1668">
        <v>0.23619999999999999</v>
      </c>
      <c r="BZ1668">
        <v>0.03</v>
      </c>
      <c r="CA1668">
        <f>BZ1668*SQRT(AL1668)</f>
        <v>6.7082039324993695E-2</v>
      </c>
      <c r="CB1668">
        <v>24</v>
      </c>
      <c r="CC1668">
        <v>6</v>
      </c>
      <c r="CD1668">
        <v>-0.16600000000000001</v>
      </c>
      <c r="CE1668">
        <v>2.41E-2</v>
      </c>
    </row>
    <row r="1669" spans="4:83" hidden="1" x14ac:dyDescent="0.2">
      <c r="D1669">
        <v>190</v>
      </c>
      <c r="G1669" t="s">
        <v>43</v>
      </c>
      <c r="H1669" t="s">
        <v>894</v>
      </c>
      <c r="J1669">
        <v>2013</v>
      </c>
      <c r="M1669" t="s">
        <v>213</v>
      </c>
      <c r="T1669" t="s">
        <v>103</v>
      </c>
      <c r="U1669" t="s">
        <v>348</v>
      </c>
      <c r="V1669" t="s">
        <v>893</v>
      </c>
      <c r="Z1669" t="s">
        <v>106</v>
      </c>
      <c r="AA1669" t="s">
        <v>107</v>
      </c>
      <c r="AB1669" t="s">
        <v>50</v>
      </c>
      <c r="AC1669" t="s">
        <v>51</v>
      </c>
      <c r="AD1669" t="s">
        <v>54</v>
      </c>
      <c r="AE1669" t="s">
        <v>53</v>
      </c>
      <c r="AF1669" t="s">
        <v>52</v>
      </c>
      <c r="AG1669" t="s">
        <v>54</v>
      </c>
      <c r="AH1669" t="s">
        <v>55</v>
      </c>
      <c r="AK1669">
        <v>5</v>
      </c>
      <c r="AL1669">
        <v>5</v>
      </c>
      <c r="AN1669">
        <v>364</v>
      </c>
      <c r="AO1669">
        <v>10</v>
      </c>
      <c r="AP1669" t="s">
        <v>56</v>
      </c>
      <c r="AQ1669" t="s">
        <v>109</v>
      </c>
      <c r="AR1669">
        <v>8.07</v>
      </c>
      <c r="AS1669">
        <v>0.01</v>
      </c>
      <c r="AT1669" t="s">
        <v>56</v>
      </c>
      <c r="AU1669">
        <v>732</v>
      </c>
      <c r="AV1669">
        <v>22</v>
      </c>
      <c r="AW1669" t="s">
        <v>56</v>
      </c>
      <c r="AX1669">
        <v>7.98</v>
      </c>
      <c r="AY1669">
        <v>0.01</v>
      </c>
      <c r="AZ1669" t="s">
        <v>56</v>
      </c>
      <c r="BB1669">
        <f>LOG(AU1669)</f>
        <v>2.8645110810583918</v>
      </c>
      <c r="BC1669">
        <v>26.5</v>
      </c>
      <c r="BD1669">
        <v>0</v>
      </c>
      <c r="BE1669" t="s">
        <v>56</v>
      </c>
      <c r="BF1669">
        <v>26.6</v>
      </c>
      <c r="BG1669">
        <v>0</v>
      </c>
      <c r="BH1669" t="s">
        <v>56</v>
      </c>
      <c r="BI1669">
        <v>368</v>
      </c>
      <c r="BJ1669">
        <v>0.2</v>
      </c>
      <c r="BK1669" t="s">
        <v>56</v>
      </c>
      <c r="BL1669" t="s">
        <v>899</v>
      </c>
      <c r="BM1669" t="s">
        <v>262</v>
      </c>
      <c r="BN1669" t="s">
        <v>81</v>
      </c>
      <c r="BO1669" t="s">
        <v>900</v>
      </c>
      <c r="BP1669" t="s">
        <v>92</v>
      </c>
      <c r="BQ1669" s="8" t="s">
        <v>190</v>
      </c>
      <c r="BR1669" t="s">
        <v>63</v>
      </c>
      <c r="BT1669">
        <v>12.31</v>
      </c>
      <c r="BU1669">
        <v>12.3103</v>
      </c>
      <c r="BV1669">
        <v>0.83</v>
      </c>
      <c r="BW1669">
        <f>BV1669*SQRT(AK1669)</f>
        <v>1.8559364213248255</v>
      </c>
      <c r="BX1669">
        <v>10.45</v>
      </c>
      <c r="BY1669">
        <v>10.4483</v>
      </c>
      <c r="BZ1669">
        <v>1.24</v>
      </c>
      <c r="CA1669">
        <f>BZ1669*SQRT(AL1669)</f>
        <v>2.7727242920997393</v>
      </c>
      <c r="CB1669">
        <v>24</v>
      </c>
      <c r="CC1669">
        <v>6</v>
      </c>
      <c r="CD1669">
        <v>-0.16400000000000001</v>
      </c>
      <c r="CE1669">
        <v>1.8599999999999998E-2</v>
      </c>
    </row>
    <row r="1670" spans="4:83" hidden="1" x14ac:dyDescent="0.2">
      <c r="D1670">
        <v>190</v>
      </c>
      <c r="G1670" t="s">
        <v>43</v>
      </c>
      <c r="H1670" t="s">
        <v>894</v>
      </c>
      <c r="J1670">
        <v>2013</v>
      </c>
      <c r="M1670" t="s">
        <v>213</v>
      </c>
      <c r="T1670" t="s">
        <v>103</v>
      </c>
      <c r="U1670" t="s">
        <v>228</v>
      </c>
      <c r="V1670" t="s">
        <v>897</v>
      </c>
      <c r="Z1670" t="s">
        <v>106</v>
      </c>
      <c r="AA1670" t="s">
        <v>107</v>
      </c>
      <c r="AB1670" t="s">
        <v>50</v>
      </c>
      <c r="AC1670" t="s">
        <v>51</v>
      </c>
      <c r="AD1670" t="s">
        <v>54</v>
      </c>
      <c r="AE1670" t="s">
        <v>53</v>
      </c>
      <c r="AF1670" t="s">
        <v>54</v>
      </c>
      <c r="AG1670" t="s">
        <v>52</v>
      </c>
      <c r="AH1670" t="s">
        <v>65</v>
      </c>
      <c r="AK1670">
        <v>5</v>
      </c>
      <c r="AL1670">
        <v>5</v>
      </c>
      <c r="AN1670">
        <v>364</v>
      </c>
      <c r="AO1670">
        <v>10</v>
      </c>
      <c r="AP1670" t="s">
        <v>56</v>
      </c>
      <c r="AQ1670" t="s">
        <v>109</v>
      </c>
      <c r="AR1670">
        <v>8.07</v>
      </c>
      <c r="AS1670">
        <v>0.01</v>
      </c>
      <c r="AT1670" t="s">
        <v>56</v>
      </c>
      <c r="AU1670">
        <v>401</v>
      </c>
      <c r="AV1670">
        <v>17</v>
      </c>
      <c r="AW1670" t="s">
        <v>56</v>
      </c>
      <c r="AX1670">
        <v>8.0399999999999991</v>
      </c>
      <c r="AY1670">
        <v>0.01</v>
      </c>
      <c r="AZ1670" t="s">
        <v>56</v>
      </c>
      <c r="BB1670">
        <f>LOG(AU1670)</f>
        <v>2.6031443726201822</v>
      </c>
      <c r="BC1670">
        <v>26.5</v>
      </c>
      <c r="BD1670">
        <v>0</v>
      </c>
      <c r="BE1670" t="s">
        <v>56</v>
      </c>
      <c r="BF1670">
        <v>29.3</v>
      </c>
      <c r="BG1670">
        <v>0</v>
      </c>
      <c r="BH1670" t="s">
        <v>56</v>
      </c>
      <c r="BI1670">
        <v>36</v>
      </c>
      <c r="BJ1670">
        <v>2.9</v>
      </c>
      <c r="BK1670" t="s">
        <v>56</v>
      </c>
      <c r="BL1670" t="s">
        <v>899</v>
      </c>
      <c r="BM1670" t="s">
        <v>262</v>
      </c>
      <c r="BN1670" t="s">
        <v>81</v>
      </c>
      <c r="BO1670" t="s">
        <v>900</v>
      </c>
      <c r="BP1670" t="s">
        <v>92</v>
      </c>
      <c r="BQ1670" s="8" t="s">
        <v>190</v>
      </c>
      <c r="BR1670" t="s">
        <v>63</v>
      </c>
      <c r="BT1670">
        <v>7.66</v>
      </c>
      <c r="BU1670">
        <v>7.65517</v>
      </c>
      <c r="BV1670">
        <v>1.03</v>
      </c>
      <c r="BW1670">
        <f>BV1670*SQRT(AK1670)</f>
        <v>2.3031500168247834</v>
      </c>
      <c r="BX1670">
        <v>6.62</v>
      </c>
      <c r="BY1670">
        <v>6.6205999999999996</v>
      </c>
      <c r="BZ1670">
        <v>0.93</v>
      </c>
      <c r="CA1670">
        <f>BZ1670*SQRT(AL1670)</f>
        <v>2.0795432190748047</v>
      </c>
      <c r="CB1670">
        <v>24</v>
      </c>
      <c r="CC1670">
        <v>6</v>
      </c>
      <c r="CD1670">
        <v>-0.14499999999999999</v>
      </c>
      <c r="CE1670">
        <v>3.7999999999999999E-2</v>
      </c>
    </row>
    <row r="1671" spans="4:83" hidden="1" x14ac:dyDescent="0.2">
      <c r="D1671">
        <v>190</v>
      </c>
      <c r="G1671" t="s">
        <v>43</v>
      </c>
      <c r="H1671" t="s">
        <v>894</v>
      </c>
      <c r="J1671">
        <v>2013</v>
      </c>
      <c r="M1671" t="s">
        <v>213</v>
      </c>
      <c r="T1671" t="s">
        <v>103</v>
      </c>
      <c r="U1671" t="s">
        <v>228</v>
      </c>
      <c r="V1671" t="s">
        <v>897</v>
      </c>
      <c r="Z1671" t="s">
        <v>106</v>
      </c>
      <c r="AA1671" t="s">
        <v>107</v>
      </c>
      <c r="AB1671" t="s">
        <v>50</v>
      </c>
      <c r="AC1671" t="s">
        <v>51</v>
      </c>
      <c r="AD1671" t="s">
        <v>54</v>
      </c>
      <c r="AE1671" t="s">
        <v>53</v>
      </c>
      <c r="AF1671" t="s">
        <v>52</v>
      </c>
      <c r="AG1671" t="s">
        <v>52</v>
      </c>
      <c r="AH1671" t="s">
        <v>64</v>
      </c>
      <c r="AK1671">
        <v>5</v>
      </c>
      <c r="AL1671">
        <v>5</v>
      </c>
      <c r="AN1671">
        <v>364</v>
      </c>
      <c r="AO1671">
        <v>10</v>
      </c>
      <c r="AP1671" t="s">
        <v>56</v>
      </c>
      <c r="AQ1671" t="s">
        <v>109</v>
      </c>
      <c r="AR1671">
        <v>8.07</v>
      </c>
      <c r="AS1671">
        <v>0.01</v>
      </c>
      <c r="AT1671" t="s">
        <v>56</v>
      </c>
      <c r="AU1671">
        <v>616</v>
      </c>
      <c r="AV1671">
        <v>24</v>
      </c>
      <c r="AW1671" t="s">
        <v>56</v>
      </c>
      <c r="AX1671">
        <v>7.89</v>
      </c>
      <c r="AY1671">
        <v>0.01</v>
      </c>
      <c r="AZ1671" t="s">
        <v>56</v>
      </c>
      <c r="BB1671">
        <f>LOG(AU1671)</f>
        <v>2.7895807121644256</v>
      </c>
      <c r="BC1671">
        <v>26.5</v>
      </c>
      <c r="BD1671">
        <v>0</v>
      </c>
      <c r="BE1671" t="s">
        <v>56</v>
      </c>
      <c r="BF1671">
        <v>28.5</v>
      </c>
      <c r="BG1671">
        <v>0</v>
      </c>
      <c r="BH1671" t="s">
        <v>56</v>
      </c>
      <c r="BI1671">
        <v>252</v>
      </c>
      <c r="BJ1671">
        <v>2.1</v>
      </c>
      <c r="BK1671" t="s">
        <v>56</v>
      </c>
      <c r="BL1671" t="s">
        <v>899</v>
      </c>
      <c r="BM1671" t="s">
        <v>262</v>
      </c>
      <c r="BN1671" t="s">
        <v>81</v>
      </c>
      <c r="BO1671" t="s">
        <v>900</v>
      </c>
      <c r="BP1671" t="s">
        <v>92</v>
      </c>
      <c r="BQ1671" s="8" t="s">
        <v>190</v>
      </c>
      <c r="BR1671" t="s">
        <v>63</v>
      </c>
      <c r="BT1671">
        <v>7.66</v>
      </c>
      <c r="BU1671">
        <v>7.65517</v>
      </c>
      <c r="BV1671">
        <v>1.03</v>
      </c>
      <c r="BW1671">
        <f>BV1671*SQRT(AK1671)</f>
        <v>2.3031500168247834</v>
      </c>
      <c r="BX1671">
        <v>6.62</v>
      </c>
      <c r="BY1671">
        <v>6.6206899999999997</v>
      </c>
      <c r="BZ1671">
        <v>0.83</v>
      </c>
      <c r="CA1671">
        <f>BZ1671*SQRT(AL1671)</f>
        <v>1.8559364213248255</v>
      </c>
      <c r="CB1671">
        <v>24</v>
      </c>
      <c r="CC1671">
        <v>6</v>
      </c>
      <c r="CD1671">
        <v>-0.14499999999999999</v>
      </c>
      <c r="CE1671">
        <v>3.39E-2</v>
      </c>
    </row>
    <row r="1672" spans="4:83" hidden="1" x14ac:dyDescent="0.2">
      <c r="D1672">
        <v>190</v>
      </c>
      <c r="G1672" t="s">
        <v>43</v>
      </c>
      <c r="H1672" t="s">
        <v>894</v>
      </c>
      <c r="J1672">
        <v>2013</v>
      </c>
      <c r="M1672" t="s">
        <v>213</v>
      </c>
      <c r="T1672" t="s">
        <v>103</v>
      </c>
      <c r="U1672" t="s">
        <v>348</v>
      </c>
      <c r="V1672" t="s">
        <v>893</v>
      </c>
      <c r="Z1672" t="s">
        <v>106</v>
      </c>
      <c r="AA1672" t="s">
        <v>107</v>
      </c>
      <c r="AB1672" t="s">
        <v>50</v>
      </c>
      <c r="AC1672" t="s">
        <v>51</v>
      </c>
      <c r="AD1672" t="s">
        <v>54</v>
      </c>
      <c r="AE1672" t="s">
        <v>53</v>
      </c>
      <c r="AF1672" t="s">
        <v>52</v>
      </c>
      <c r="AG1672" t="s">
        <v>54</v>
      </c>
      <c r="AH1672" t="s">
        <v>55</v>
      </c>
      <c r="AK1672">
        <v>5</v>
      </c>
      <c r="AL1672">
        <v>5</v>
      </c>
      <c r="AN1672">
        <v>364</v>
      </c>
      <c r="AO1672">
        <v>10</v>
      </c>
      <c r="AP1672" t="s">
        <v>56</v>
      </c>
      <c r="AQ1672" t="s">
        <v>109</v>
      </c>
      <c r="AR1672">
        <v>8.07</v>
      </c>
      <c r="AS1672">
        <v>0.01</v>
      </c>
      <c r="AT1672" t="s">
        <v>56</v>
      </c>
      <c r="AU1672">
        <v>732</v>
      </c>
      <c r="AV1672">
        <v>22</v>
      </c>
      <c r="AW1672" t="s">
        <v>56</v>
      </c>
      <c r="AX1672">
        <v>7.98</v>
      </c>
      <c r="AY1672">
        <v>0.01</v>
      </c>
      <c r="AZ1672" t="s">
        <v>56</v>
      </c>
      <c r="BB1672">
        <f>LOG(AU1672)</f>
        <v>2.8645110810583918</v>
      </c>
      <c r="BC1672">
        <v>26.5</v>
      </c>
      <c r="BD1672">
        <v>0</v>
      </c>
      <c r="BE1672" t="s">
        <v>56</v>
      </c>
      <c r="BF1672">
        <v>26.6</v>
      </c>
      <c r="BG1672">
        <v>0</v>
      </c>
      <c r="BH1672" t="s">
        <v>56</v>
      </c>
      <c r="BI1672">
        <v>368</v>
      </c>
      <c r="BJ1672">
        <v>0.2</v>
      </c>
      <c r="BK1672" t="s">
        <v>895</v>
      </c>
      <c r="BL1672" t="s">
        <v>232</v>
      </c>
      <c r="BM1672" t="s">
        <v>232</v>
      </c>
      <c r="BN1672" t="s">
        <v>81</v>
      </c>
      <c r="BO1672" t="s">
        <v>896</v>
      </c>
      <c r="BP1672" t="s">
        <v>234</v>
      </c>
      <c r="BQ1672" s="8" t="s">
        <v>190</v>
      </c>
      <c r="BR1672" t="s">
        <v>63</v>
      </c>
      <c r="BT1672">
        <v>0.24</v>
      </c>
      <c r="BU1672">
        <v>0.24346999999999999</v>
      </c>
      <c r="BV1672">
        <v>0.03</v>
      </c>
      <c r="BW1672">
        <f>BV1672*SQRT(AK1672)</f>
        <v>6.7082039324993695E-2</v>
      </c>
      <c r="BX1672">
        <v>0.21</v>
      </c>
      <c r="BY1672">
        <v>0.21304000000000001</v>
      </c>
      <c r="BZ1672">
        <v>0.03</v>
      </c>
      <c r="CA1672">
        <f>BZ1672*SQRT(AL1672)</f>
        <v>6.7082039324993695E-2</v>
      </c>
      <c r="CB1672">
        <v>24</v>
      </c>
      <c r="CC1672">
        <v>6</v>
      </c>
      <c r="CD1672">
        <v>-0.13400000000000001</v>
      </c>
      <c r="CE1672">
        <v>3.8100000000000002E-2</v>
      </c>
    </row>
    <row r="1673" spans="4:83" hidden="1" x14ac:dyDescent="0.2">
      <c r="D1673">
        <v>190</v>
      </c>
      <c r="G1673" t="s">
        <v>43</v>
      </c>
      <c r="H1673" t="s">
        <v>894</v>
      </c>
      <c r="J1673">
        <v>2013</v>
      </c>
      <c r="M1673" t="s">
        <v>213</v>
      </c>
      <c r="T1673" t="s">
        <v>103</v>
      </c>
      <c r="U1673" t="s">
        <v>348</v>
      </c>
      <c r="V1673" t="s">
        <v>893</v>
      </c>
      <c r="Z1673" t="s">
        <v>106</v>
      </c>
      <c r="AA1673" t="s">
        <v>107</v>
      </c>
      <c r="AB1673" t="s">
        <v>50</v>
      </c>
      <c r="AC1673" t="s">
        <v>51</v>
      </c>
      <c r="AD1673" t="s">
        <v>54</v>
      </c>
      <c r="AE1673" t="s">
        <v>53</v>
      </c>
      <c r="AF1673" t="s">
        <v>52</v>
      </c>
      <c r="AG1673" t="s">
        <v>52</v>
      </c>
      <c r="AH1673" t="s">
        <v>64</v>
      </c>
      <c r="AK1673">
        <v>5</v>
      </c>
      <c r="AL1673">
        <v>5</v>
      </c>
      <c r="AN1673">
        <v>364</v>
      </c>
      <c r="AO1673">
        <v>10</v>
      </c>
      <c r="AP1673" t="s">
        <v>56</v>
      </c>
      <c r="AQ1673" t="s">
        <v>109</v>
      </c>
      <c r="AR1673">
        <v>8.07</v>
      </c>
      <c r="AS1673">
        <v>0.01</v>
      </c>
      <c r="AT1673" t="s">
        <v>56</v>
      </c>
      <c r="AU1673">
        <v>750</v>
      </c>
      <c r="AV1673">
        <v>26</v>
      </c>
      <c r="AW1673" t="s">
        <v>56</v>
      </c>
      <c r="AX1673">
        <v>7.81</v>
      </c>
      <c r="AY1673">
        <v>0.01</v>
      </c>
      <c r="AZ1673" t="s">
        <v>56</v>
      </c>
      <c r="BB1673">
        <f>LOG(AU1673)</f>
        <v>2.8750612633917001</v>
      </c>
      <c r="BC1673">
        <v>26.5</v>
      </c>
      <c r="BD1673">
        <v>0</v>
      </c>
      <c r="BE1673" t="s">
        <v>56</v>
      </c>
      <c r="BF1673">
        <v>28.9</v>
      </c>
      <c r="BG1673">
        <v>0</v>
      </c>
      <c r="BH1673" t="s">
        <v>56</v>
      </c>
      <c r="BI1673">
        <v>386</v>
      </c>
      <c r="BJ1673">
        <v>2.5</v>
      </c>
      <c r="BK1673" t="s">
        <v>56</v>
      </c>
      <c r="BL1673" t="s">
        <v>899</v>
      </c>
      <c r="BM1673" t="s">
        <v>262</v>
      </c>
      <c r="BN1673" t="s">
        <v>81</v>
      </c>
      <c r="BO1673" t="s">
        <v>900</v>
      </c>
      <c r="BP1673" t="s">
        <v>92</v>
      </c>
      <c r="BQ1673" s="8" t="s">
        <v>190</v>
      </c>
      <c r="BR1673" t="s">
        <v>63</v>
      </c>
      <c r="BT1673">
        <v>12.31</v>
      </c>
      <c r="BU1673">
        <v>12.3103</v>
      </c>
      <c r="BV1673">
        <v>0.83</v>
      </c>
      <c r="BW1673">
        <f>BV1673*SQRT(AK1673)</f>
        <v>1.8559364213248255</v>
      </c>
      <c r="BX1673">
        <v>10.97</v>
      </c>
      <c r="BY1673">
        <v>10.9655</v>
      </c>
      <c r="BZ1673">
        <v>1.1399999999999999</v>
      </c>
      <c r="CA1673">
        <f>BZ1673*SQRT(AL1673)</f>
        <v>2.5491174943497601</v>
      </c>
      <c r="CB1673">
        <v>24</v>
      </c>
      <c r="CC1673">
        <v>6</v>
      </c>
      <c r="CD1673">
        <v>-0.11600000000000001</v>
      </c>
      <c r="CE1673">
        <v>1.5299999999999999E-2</v>
      </c>
    </row>
    <row r="1674" spans="4:83" hidden="1" x14ac:dyDescent="0.2">
      <c r="D1674">
        <v>190</v>
      </c>
      <c r="G1674" t="s">
        <v>43</v>
      </c>
      <c r="H1674" t="s">
        <v>894</v>
      </c>
      <c r="J1674">
        <v>2013</v>
      </c>
      <c r="M1674" t="s">
        <v>213</v>
      </c>
      <c r="T1674" t="s">
        <v>103</v>
      </c>
      <c r="U1674" t="s">
        <v>348</v>
      </c>
      <c r="V1674" t="s">
        <v>893</v>
      </c>
      <c r="Z1674" t="s">
        <v>106</v>
      </c>
      <c r="AA1674" t="s">
        <v>107</v>
      </c>
      <c r="AB1674" t="s">
        <v>50</v>
      </c>
      <c r="AC1674" t="s">
        <v>51</v>
      </c>
      <c r="AD1674" t="s">
        <v>54</v>
      </c>
      <c r="AE1674" t="s">
        <v>53</v>
      </c>
      <c r="AF1674" t="s">
        <v>52</v>
      </c>
      <c r="AG1674" t="s">
        <v>54</v>
      </c>
      <c r="AH1674" t="s">
        <v>55</v>
      </c>
      <c r="AK1674">
        <v>5</v>
      </c>
      <c r="AL1674">
        <v>5</v>
      </c>
      <c r="AN1674">
        <v>364</v>
      </c>
      <c r="AO1674">
        <v>10</v>
      </c>
      <c r="AP1674" t="s">
        <v>56</v>
      </c>
      <c r="AQ1674" t="s">
        <v>109</v>
      </c>
      <c r="AR1674">
        <v>8.07</v>
      </c>
      <c r="AS1674">
        <v>0.01</v>
      </c>
      <c r="AT1674" t="s">
        <v>56</v>
      </c>
      <c r="AU1674">
        <v>598</v>
      </c>
      <c r="AV1674">
        <v>19</v>
      </c>
      <c r="AW1674" t="s">
        <v>56</v>
      </c>
      <c r="AX1674">
        <v>7.9</v>
      </c>
      <c r="AY1674">
        <v>0.01</v>
      </c>
      <c r="AZ1674" t="s">
        <v>56</v>
      </c>
      <c r="BB1674">
        <f>LOG(AU1674)</f>
        <v>2.7767011839884108</v>
      </c>
      <c r="BC1674">
        <v>26.5</v>
      </c>
      <c r="BD1674">
        <v>0</v>
      </c>
      <c r="BE1674" t="s">
        <v>56</v>
      </c>
      <c r="BF1674">
        <v>26.4</v>
      </c>
      <c r="BG1674">
        <v>0</v>
      </c>
      <c r="BH1674" t="s">
        <v>56</v>
      </c>
      <c r="BI1674">
        <v>234</v>
      </c>
      <c r="BJ1674">
        <v>-0.1</v>
      </c>
      <c r="BK1674" t="s">
        <v>56</v>
      </c>
      <c r="BL1674" t="s">
        <v>899</v>
      </c>
      <c r="BM1674" t="s">
        <v>262</v>
      </c>
      <c r="BN1674" t="s">
        <v>81</v>
      </c>
      <c r="BO1674" t="s">
        <v>900</v>
      </c>
      <c r="BP1674" t="s">
        <v>92</v>
      </c>
      <c r="BQ1674" s="8" t="s">
        <v>190</v>
      </c>
      <c r="BR1674" t="s">
        <v>63</v>
      </c>
      <c r="BT1674">
        <v>12.31</v>
      </c>
      <c r="BU1674">
        <v>12.3103</v>
      </c>
      <c r="BV1674">
        <v>0.83</v>
      </c>
      <c r="BW1674">
        <f>BV1674*SQRT(AK1674)</f>
        <v>1.8559364213248255</v>
      </c>
      <c r="BX1674">
        <v>11.07</v>
      </c>
      <c r="BY1674">
        <v>11.069000000000001</v>
      </c>
      <c r="BZ1674">
        <v>0.72</v>
      </c>
      <c r="CA1674">
        <f>BZ1674*SQRT(AL1674)</f>
        <v>1.6099689437998486</v>
      </c>
      <c r="CB1674">
        <v>24</v>
      </c>
      <c r="CC1674">
        <v>6</v>
      </c>
      <c r="CD1674">
        <v>-0.106</v>
      </c>
      <c r="CE1674">
        <v>8.8000000000000005E-3</v>
      </c>
    </row>
    <row r="1675" spans="4:83" hidden="1" x14ac:dyDescent="0.2">
      <c r="D1675">
        <v>190</v>
      </c>
      <c r="G1675" t="s">
        <v>43</v>
      </c>
      <c r="H1675" t="s">
        <v>894</v>
      </c>
      <c r="J1675">
        <v>2013</v>
      </c>
      <c r="M1675" t="s">
        <v>213</v>
      </c>
      <c r="T1675" t="s">
        <v>103</v>
      </c>
      <c r="U1675" t="s">
        <v>228</v>
      </c>
      <c r="V1675" t="s">
        <v>897</v>
      </c>
      <c r="Z1675" t="s">
        <v>106</v>
      </c>
      <c r="AA1675" t="s">
        <v>107</v>
      </c>
      <c r="AB1675" t="s">
        <v>50</v>
      </c>
      <c r="AC1675" t="s">
        <v>51</v>
      </c>
      <c r="AD1675" t="s">
        <v>54</v>
      </c>
      <c r="AE1675" t="s">
        <v>53</v>
      </c>
      <c r="AF1675" t="s">
        <v>52</v>
      </c>
      <c r="AG1675" t="s">
        <v>54</v>
      </c>
      <c r="AH1675" t="s">
        <v>55</v>
      </c>
      <c r="AK1675">
        <v>5</v>
      </c>
      <c r="AL1675">
        <v>5</v>
      </c>
      <c r="AN1675">
        <v>364</v>
      </c>
      <c r="AO1675">
        <v>10</v>
      </c>
      <c r="AP1675" t="s">
        <v>56</v>
      </c>
      <c r="AQ1675" t="s">
        <v>109</v>
      </c>
      <c r="AR1675">
        <v>8.07</v>
      </c>
      <c r="AS1675">
        <v>0.01</v>
      </c>
      <c r="AT1675" t="s">
        <v>56</v>
      </c>
      <c r="AU1675">
        <v>732</v>
      </c>
      <c r="AV1675">
        <v>22</v>
      </c>
      <c r="AW1675" t="s">
        <v>56</v>
      </c>
      <c r="AX1675">
        <v>7.98</v>
      </c>
      <c r="AY1675">
        <v>0.01</v>
      </c>
      <c r="AZ1675" t="s">
        <v>56</v>
      </c>
      <c r="BB1675">
        <f>LOG(AU1675)</f>
        <v>2.8645110810583918</v>
      </c>
      <c r="BC1675">
        <v>26.5</v>
      </c>
      <c r="BD1675">
        <v>0</v>
      </c>
      <c r="BE1675" t="s">
        <v>56</v>
      </c>
      <c r="BF1675">
        <v>26.6</v>
      </c>
      <c r="BG1675">
        <v>0</v>
      </c>
      <c r="BH1675" t="s">
        <v>56</v>
      </c>
      <c r="BI1675">
        <v>368</v>
      </c>
      <c r="BJ1675">
        <v>0.2</v>
      </c>
      <c r="BK1675" t="s">
        <v>56</v>
      </c>
      <c r="BL1675" t="s">
        <v>543</v>
      </c>
      <c r="BM1675" t="s">
        <v>543</v>
      </c>
      <c r="BN1675" t="s">
        <v>60</v>
      </c>
      <c r="BO1675" t="s">
        <v>898</v>
      </c>
      <c r="BP1675" t="s">
        <v>194</v>
      </c>
      <c r="BQ1675" s="8" t="s">
        <v>190</v>
      </c>
      <c r="BR1675" t="s">
        <v>63</v>
      </c>
      <c r="BT1675">
        <v>1.17</v>
      </c>
      <c r="BU1675">
        <v>1.1708000000000001</v>
      </c>
      <c r="BV1675">
        <v>0.08</v>
      </c>
      <c r="BW1675">
        <f>BV1675*SQRT(AK1675)</f>
        <v>0.17888543819998318</v>
      </c>
      <c r="BX1675">
        <v>1.08</v>
      </c>
      <c r="BY1675">
        <v>1.0752200000000001</v>
      </c>
      <c r="BZ1675">
        <v>0.13</v>
      </c>
      <c r="CA1675">
        <f>BZ1675*SQRT(AL1675)</f>
        <v>0.29068883707497267</v>
      </c>
      <c r="CB1675">
        <v>24</v>
      </c>
      <c r="CC1675">
        <v>6</v>
      </c>
      <c r="CD1675">
        <v>-8.5000000000000006E-2</v>
      </c>
      <c r="CE1675">
        <v>1.9300000000000001E-2</v>
      </c>
    </row>
    <row r="1676" spans="4:83" hidden="1" x14ac:dyDescent="0.2">
      <c r="D1676">
        <v>190</v>
      </c>
      <c r="G1676" t="s">
        <v>43</v>
      </c>
      <c r="H1676" t="s">
        <v>894</v>
      </c>
      <c r="J1676">
        <v>2013</v>
      </c>
      <c r="M1676" t="s">
        <v>213</v>
      </c>
      <c r="T1676" t="s">
        <v>103</v>
      </c>
      <c r="U1676" t="s">
        <v>228</v>
      </c>
      <c r="V1676" t="s">
        <v>897</v>
      </c>
      <c r="Z1676" t="s">
        <v>106</v>
      </c>
      <c r="AA1676" t="s">
        <v>107</v>
      </c>
      <c r="AB1676" t="s">
        <v>50</v>
      </c>
      <c r="AC1676" t="s">
        <v>51</v>
      </c>
      <c r="AD1676" t="s">
        <v>54</v>
      </c>
      <c r="AE1676" t="s">
        <v>53</v>
      </c>
      <c r="AF1676" t="s">
        <v>52</v>
      </c>
      <c r="AG1676" t="s">
        <v>54</v>
      </c>
      <c r="AH1676" t="s">
        <v>55</v>
      </c>
      <c r="AK1676">
        <v>5</v>
      </c>
      <c r="AL1676">
        <v>5</v>
      </c>
      <c r="AN1676">
        <v>364</v>
      </c>
      <c r="AO1676">
        <v>10</v>
      </c>
      <c r="AP1676" t="s">
        <v>56</v>
      </c>
      <c r="AQ1676" t="s">
        <v>109</v>
      </c>
      <c r="AR1676">
        <v>8.07</v>
      </c>
      <c r="AS1676">
        <v>0.01</v>
      </c>
      <c r="AT1676" t="s">
        <v>56</v>
      </c>
      <c r="AU1676">
        <v>732</v>
      </c>
      <c r="AV1676">
        <v>22</v>
      </c>
      <c r="AW1676" t="s">
        <v>56</v>
      </c>
      <c r="AX1676">
        <v>7.98</v>
      </c>
      <c r="AY1676">
        <v>0.01</v>
      </c>
      <c r="AZ1676" t="s">
        <v>56</v>
      </c>
      <c r="BB1676">
        <f>LOG(AU1676)</f>
        <v>2.8645110810583918</v>
      </c>
      <c r="BC1676">
        <v>26.5</v>
      </c>
      <c r="BD1676">
        <v>0</v>
      </c>
      <c r="BE1676" t="s">
        <v>56</v>
      </c>
      <c r="BF1676">
        <v>26.6</v>
      </c>
      <c r="BG1676">
        <v>0</v>
      </c>
      <c r="BH1676" t="s">
        <v>56</v>
      </c>
      <c r="BI1676">
        <v>368</v>
      </c>
      <c r="BJ1676">
        <v>0.2</v>
      </c>
      <c r="BK1676" t="s">
        <v>56</v>
      </c>
      <c r="BL1676" t="s">
        <v>899</v>
      </c>
      <c r="BM1676" t="s">
        <v>262</v>
      </c>
      <c r="BN1676" t="s">
        <v>81</v>
      </c>
      <c r="BO1676" t="s">
        <v>900</v>
      </c>
      <c r="BP1676" t="s">
        <v>92</v>
      </c>
      <c r="BQ1676" s="8" t="s">
        <v>190</v>
      </c>
      <c r="BR1676" t="s">
        <v>63</v>
      </c>
      <c r="BT1676">
        <v>7.66</v>
      </c>
      <c r="BU1676">
        <v>7.65517</v>
      </c>
      <c r="BV1676">
        <v>1.03</v>
      </c>
      <c r="BW1676">
        <f>BV1676*SQRT(AK1676)</f>
        <v>2.3031500168247834</v>
      </c>
      <c r="BX1676">
        <v>7.03</v>
      </c>
      <c r="BY1676">
        <v>7.0343999999999998</v>
      </c>
      <c r="BZ1676">
        <v>0.52</v>
      </c>
      <c r="CA1676">
        <f>BZ1676*SQRT(AL1676)</f>
        <v>1.1627553482998907</v>
      </c>
      <c r="CB1676">
        <v>24</v>
      </c>
      <c r="CC1676">
        <v>6</v>
      </c>
      <c r="CD1676">
        <v>-8.5000000000000006E-2</v>
      </c>
      <c r="CE1676">
        <v>2.3699999999999999E-2</v>
      </c>
    </row>
    <row r="1677" spans="4:83" hidden="1" x14ac:dyDescent="0.2">
      <c r="D1677">
        <v>190</v>
      </c>
      <c r="G1677" t="s">
        <v>43</v>
      </c>
      <c r="H1677" t="s">
        <v>894</v>
      </c>
      <c r="J1677">
        <v>2013</v>
      </c>
      <c r="M1677" t="s">
        <v>213</v>
      </c>
      <c r="T1677" t="s">
        <v>103</v>
      </c>
      <c r="U1677" t="s">
        <v>201</v>
      </c>
      <c r="V1677" t="s">
        <v>214</v>
      </c>
      <c r="Z1677" t="s">
        <v>106</v>
      </c>
      <c r="AA1677" t="s">
        <v>107</v>
      </c>
      <c r="AB1677" t="s">
        <v>50</v>
      </c>
      <c r="AC1677" t="s">
        <v>51</v>
      </c>
      <c r="AD1677" t="s">
        <v>54</v>
      </c>
      <c r="AE1677" t="s">
        <v>53</v>
      </c>
      <c r="AF1677" t="s">
        <v>52</v>
      </c>
      <c r="AG1677" t="s">
        <v>52</v>
      </c>
      <c r="AH1677" t="s">
        <v>64</v>
      </c>
      <c r="AK1677">
        <v>5</v>
      </c>
      <c r="AL1677">
        <v>5</v>
      </c>
      <c r="AN1677">
        <v>364</v>
      </c>
      <c r="AO1677">
        <v>10</v>
      </c>
      <c r="AP1677" t="s">
        <v>56</v>
      </c>
      <c r="AQ1677" t="s">
        <v>109</v>
      </c>
      <c r="AR1677">
        <v>8.07</v>
      </c>
      <c r="AS1677">
        <v>0.01</v>
      </c>
      <c r="AT1677" t="s">
        <v>56</v>
      </c>
      <c r="AU1677">
        <v>750</v>
      </c>
      <c r="AV1677">
        <v>26</v>
      </c>
      <c r="AW1677" t="s">
        <v>56</v>
      </c>
      <c r="AX1677">
        <v>7.81</v>
      </c>
      <c r="AY1677">
        <v>0.01</v>
      </c>
      <c r="AZ1677" t="s">
        <v>56</v>
      </c>
      <c r="BB1677">
        <f>LOG(AU1677)</f>
        <v>2.8750612633917001</v>
      </c>
      <c r="BC1677">
        <v>26.5</v>
      </c>
      <c r="BD1677">
        <v>0</v>
      </c>
      <c r="BE1677" t="s">
        <v>56</v>
      </c>
      <c r="BF1677">
        <v>28.9</v>
      </c>
      <c r="BG1677">
        <v>0</v>
      </c>
      <c r="BH1677" t="s">
        <v>56</v>
      </c>
      <c r="BI1677">
        <v>386</v>
      </c>
      <c r="BJ1677">
        <v>2.5</v>
      </c>
      <c r="BK1677" t="s">
        <v>56</v>
      </c>
      <c r="BL1677" t="s">
        <v>543</v>
      </c>
      <c r="BM1677" t="s">
        <v>543</v>
      </c>
      <c r="BN1677" t="s">
        <v>60</v>
      </c>
      <c r="BO1677" t="s">
        <v>898</v>
      </c>
      <c r="BP1677" t="s">
        <v>194</v>
      </c>
      <c r="BQ1677" s="8" t="s">
        <v>190</v>
      </c>
      <c r="BR1677" t="s">
        <v>63</v>
      </c>
      <c r="BT1677">
        <v>0.28000000000000003</v>
      </c>
      <c r="BU1677">
        <v>0.27876000000000001</v>
      </c>
      <c r="BV1677">
        <v>0.02</v>
      </c>
      <c r="BW1677">
        <f>BV1677*SQRT(AK1677)</f>
        <v>4.4721359549995794E-2</v>
      </c>
      <c r="BX1677">
        <v>0.26</v>
      </c>
      <c r="BY1677">
        <v>0.25752199999999997</v>
      </c>
      <c r="BZ1677">
        <v>0.01</v>
      </c>
      <c r="CA1677">
        <f>BZ1677*SQRT(AL1677)</f>
        <v>2.2360679774997897E-2</v>
      </c>
      <c r="CB1677">
        <v>24</v>
      </c>
      <c r="CC1677">
        <v>6</v>
      </c>
      <c r="CD1677">
        <v>-7.9000000000000001E-2</v>
      </c>
      <c r="CE1677">
        <v>7.4999999999999997E-3</v>
      </c>
    </row>
    <row r="1678" spans="4:83" hidden="1" x14ac:dyDescent="0.2">
      <c r="D1678">
        <v>190</v>
      </c>
      <c r="G1678" t="s">
        <v>43</v>
      </c>
      <c r="H1678" t="s">
        <v>894</v>
      </c>
      <c r="J1678">
        <v>2013</v>
      </c>
      <c r="M1678" t="s">
        <v>213</v>
      </c>
      <c r="T1678" t="s">
        <v>103</v>
      </c>
      <c r="U1678" t="s">
        <v>228</v>
      </c>
      <c r="V1678" t="s">
        <v>897</v>
      </c>
      <c r="Z1678" t="s">
        <v>106</v>
      </c>
      <c r="AA1678" t="s">
        <v>107</v>
      </c>
      <c r="AB1678" t="s">
        <v>50</v>
      </c>
      <c r="AC1678" t="s">
        <v>51</v>
      </c>
      <c r="AD1678" t="s">
        <v>54</v>
      </c>
      <c r="AE1678" t="s">
        <v>53</v>
      </c>
      <c r="AF1678" t="s">
        <v>54</v>
      </c>
      <c r="AG1678" t="s">
        <v>52</v>
      </c>
      <c r="AH1678" t="s">
        <v>65</v>
      </c>
      <c r="AK1678">
        <v>5</v>
      </c>
      <c r="AL1678">
        <v>5</v>
      </c>
      <c r="AN1678">
        <v>364</v>
      </c>
      <c r="AO1678">
        <v>10</v>
      </c>
      <c r="AP1678" t="s">
        <v>56</v>
      </c>
      <c r="AQ1678" t="s">
        <v>109</v>
      </c>
      <c r="AR1678">
        <v>8.07</v>
      </c>
      <c r="AS1678">
        <v>0.01</v>
      </c>
      <c r="AT1678" t="s">
        <v>56</v>
      </c>
      <c r="AU1678">
        <v>401</v>
      </c>
      <c r="AV1678">
        <v>17</v>
      </c>
      <c r="AW1678" t="s">
        <v>56</v>
      </c>
      <c r="AX1678">
        <v>8.0399999999999991</v>
      </c>
      <c r="AY1678">
        <v>0.01</v>
      </c>
      <c r="AZ1678" t="s">
        <v>56</v>
      </c>
      <c r="BB1678">
        <f>LOG(AU1678)</f>
        <v>2.6031443726201822</v>
      </c>
      <c r="BC1678">
        <v>26.5</v>
      </c>
      <c r="BD1678">
        <v>0</v>
      </c>
      <c r="BE1678" t="s">
        <v>56</v>
      </c>
      <c r="BF1678">
        <v>29.3</v>
      </c>
      <c r="BG1678">
        <v>0</v>
      </c>
      <c r="BH1678" t="s">
        <v>56</v>
      </c>
      <c r="BI1678">
        <v>36</v>
      </c>
      <c r="BJ1678">
        <v>2.9</v>
      </c>
      <c r="BK1678" t="s">
        <v>895</v>
      </c>
      <c r="BL1678" t="s">
        <v>232</v>
      </c>
      <c r="BM1678" t="s">
        <v>232</v>
      </c>
      <c r="BN1678" t="s">
        <v>81</v>
      </c>
      <c r="BO1678" t="s">
        <v>896</v>
      </c>
      <c r="BP1678" t="s">
        <v>234</v>
      </c>
      <c r="BQ1678" s="8" t="s">
        <v>190</v>
      </c>
      <c r="BR1678" t="s">
        <v>63</v>
      </c>
      <c r="BT1678">
        <v>0.37</v>
      </c>
      <c r="BU1678">
        <v>0.36520000000000002</v>
      </c>
      <c r="BV1678">
        <v>7.0000000000000007E-2</v>
      </c>
      <c r="BW1678">
        <f>BV1678*SQRT(AK1678)</f>
        <v>0.15652475842498531</v>
      </c>
      <c r="BX1678">
        <v>0.34</v>
      </c>
      <c r="BY1678">
        <v>0.34339999999999998</v>
      </c>
      <c r="BZ1678">
        <v>7.0000000000000007E-2</v>
      </c>
      <c r="CA1678">
        <f>BZ1678*SQRT(AL1678)</f>
        <v>0.15652475842498531</v>
      </c>
      <c r="CB1678">
        <v>24</v>
      </c>
      <c r="CC1678">
        <v>6</v>
      </c>
      <c r="CD1678">
        <v>-6.2E-2</v>
      </c>
      <c r="CE1678">
        <v>7.2999999999999995E-2</v>
      </c>
    </row>
    <row r="1679" spans="4:83" hidden="1" x14ac:dyDescent="0.2">
      <c r="D1679">
        <v>190</v>
      </c>
      <c r="G1679" t="s">
        <v>43</v>
      </c>
      <c r="H1679" t="s">
        <v>894</v>
      </c>
      <c r="J1679">
        <v>2013</v>
      </c>
      <c r="M1679" t="s">
        <v>213</v>
      </c>
      <c r="T1679" t="s">
        <v>103</v>
      </c>
      <c r="U1679" t="s">
        <v>228</v>
      </c>
      <c r="V1679" t="s">
        <v>842</v>
      </c>
      <c r="Z1679" t="s">
        <v>106</v>
      </c>
      <c r="AA1679" t="s">
        <v>107</v>
      </c>
      <c r="AB1679" t="s">
        <v>50</v>
      </c>
      <c r="AC1679" t="s">
        <v>51</v>
      </c>
      <c r="AD1679" t="s">
        <v>54</v>
      </c>
      <c r="AE1679" t="s">
        <v>53</v>
      </c>
      <c r="AF1679" t="s">
        <v>52</v>
      </c>
      <c r="AG1679" t="s">
        <v>52</v>
      </c>
      <c r="AH1679" t="s">
        <v>64</v>
      </c>
      <c r="AK1679">
        <v>5</v>
      </c>
      <c r="AL1679">
        <v>5</v>
      </c>
      <c r="AN1679">
        <v>364</v>
      </c>
      <c r="AO1679">
        <v>10</v>
      </c>
      <c r="AP1679" t="s">
        <v>56</v>
      </c>
      <c r="AQ1679" t="s">
        <v>109</v>
      </c>
      <c r="AR1679">
        <v>8.07</v>
      </c>
      <c r="AS1679">
        <v>0.01</v>
      </c>
      <c r="AT1679" t="s">
        <v>56</v>
      </c>
      <c r="AU1679">
        <v>750</v>
      </c>
      <c r="AV1679">
        <v>26</v>
      </c>
      <c r="AW1679" t="s">
        <v>56</v>
      </c>
      <c r="AX1679">
        <v>7.81</v>
      </c>
      <c r="AY1679">
        <v>0.01</v>
      </c>
      <c r="AZ1679" t="s">
        <v>56</v>
      </c>
      <c r="BB1679">
        <f>LOG(AU1679)</f>
        <v>2.8750612633917001</v>
      </c>
      <c r="BC1679">
        <v>26.5</v>
      </c>
      <c r="BD1679">
        <v>0</v>
      </c>
      <c r="BE1679" t="s">
        <v>56</v>
      </c>
      <c r="BF1679">
        <v>28.9</v>
      </c>
      <c r="BG1679">
        <v>0</v>
      </c>
      <c r="BH1679" t="s">
        <v>56</v>
      </c>
      <c r="BI1679">
        <v>386</v>
      </c>
      <c r="BJ1679">
        <v>2.5</v>
      </c>
      <c r="BK1679" t="s">
        <v>56</v>
      </c>
      <c r="BL1679" t="s">
        <v>543</v>
      </c>
      <c r="BM1679" t="s">
        <v>543</v>
      </c>
      <c r="BN1679" t="s">
        <v>60</v>
      </c>
      <c r="BO1679" t="s">
        <v>898</v>
      </c>
      <c r="BP1679" t="s">
        <v>194</v>
      </c>
      <c r="BQ1679" s="8" t="s">
        <v>190</v>
      </c>
      <c r="BR1679" t="s">
        <v>63</v>
      </c>
      <c r="BT1679">
        <v>0.23</v>
      </c>
      <c r="BU1679">
        <v>0.22566</v>
      </c>
      <c r="BV1679">
        <v>0.06</v>
      </c>
      <c r="BW1679">
        <f>BV1679*SQRT(AK1679)</f>
        <v>0.13416407864998739</v>
      </c>
      <c r="BX1679">
        <v>0.22</v>
      </c>
      <c r="BY1679">
        <v>0.21504400000000001</v>
      </c>
      <c r="BZ1679">
        <v>0.04</v>
      </c>
      <c r="CA1679">
        <f>BZ1679*SQRT(AL1679)</f>
        <v>8.9442719099991588E-2</v>
      </c>
      <c r="CB1679">
        <v>24</v>
      </c>
      <c r="CC1679">
        <v>6</v>
      </c>
      <c r="CD1679">
        <v>-4.8000000000000001E-2</v>
      </c>
      <c r="CE1679">
        <v>0.11849999999999999</v>
      </c>
    </row>
    <row r="1680" spans="4:83" hidden="1" x14ac:dyDescent="0.2">
      <c r="D1680">
        <v>190</v>
      </c>
      <c r="G1680" t="s">
        <v>43</v>
      </c>
      <c r="H1680" t="s">
        <v>894</v>
      </c>
      <c r="J1680">
        <v>2013</v>
      </c>
      <c r="M1680" t="s">
        <v>213</v>
      </c>
      <c r="T1680" t="s">
        <v>103</v>
      </c>
      <c r="U1680" t="s">
        <v>348</v>
      </c>
      <c r="V1680" t="s">
        <v>893</v>
      </c>
      <c r="Z1680" t="s">
        <v>106</v>
      </c>
      <c r="AA1680" t="s">
        <v>107</v>
      </c>
      <c r="AB1680" t="s">
        <v>50</v>
      </c>
      <c r="AC1680" t="s">
        <v>51</v>
      </c>
      <c r="AD1680" t="s">
        <v>54</v>
      </c>
      <c r="AE1680" t="s">
        <v>53</v>
      </c>
      <c r="AF1680" t="s">
        <v>52</v>
      </c>
      <c r="AG1680" t="s">
        <v>52</v>
      </c>
      <c r="AH1680" t="s">
        <v>64</v>
      </c>
      <c r="AK1680">
        <v>5</v>
      </c>
      <c r="AL1680">
        <v>5</v>
      </c>
      <c r="AN1680">
        <v>364</v>
      </c>
      <c r="AO1680">
        <v>10</v>
      </c>
      <c r="AP1680" t="s">
        <v>56</v>
      </c>
      <c r="AQ1680" t="s">
        <v>109</v>
      </c>
      <c r="AR1680">
        <v>8.07</v>
      </c>
      <c r="AS1680">
        <v>0.01</v>
      </c>
      <c r="AT1680" t="s">
        <v>56</v>
      </c>
      <c r="AU1680">
        <v>616</v>
      </c>
      <c r="AV1680">
        <v>24</v>
      </c>
      <c r="AW1680" t="s">
        <v>56</v>
      </c>
      <c r="AX1680">
        <v>7.89</v>
      </c>
      <c r="AY1680">
        <v>0.01</v>
      </c>
      <c r="AZ1680" t="s">
        <v>56</v>
      </c>
      <c r="BB1680">
        <f>LOG(AU1680)</f>
        <v>2.7895807121644256</v>
      </c>
      <c r="BC1680">
        <v>26.5</v>
      </c>
      <c r="BD1680">
        <v>0</v>
      </c>
      <c r="BE1680" t="s">
        <v>56</v>
      </c>
      <c r="BF1680">
        <v>28.5</v>
      </c>
      <c r="BG1680">
        <v>0</v>
      </c>
      <c r="BH1680" t="s">
        <v>56</v>
      </c>
      <c r="BI1680">
        <v>252</v>
      </c>
      <c r="BJ1680">
        <v>2.1</v>
      </c>
      <c r="BK1680" t="s">
        <v>56</v>
      </c>
      <c r="BL1680" t="s">
        <v>543</v>
      </c>
      <c r="BM1680" t="s">
        <v>543</v>
      </c>
      <c r="BN1680" t="s">
        <v>60</v>
      </c>
      <c r="BO1680" t="s">
        <v>898</v>
      </c>
      <c r="BP1680" t="s">
        <v>194</v>
      </c>
      <c r="BQ1680" s="8" t="s">
        <v>190</v>
      </c>
      <c r="BR1680" t="s">
        <v>63</v>
      </c>
      <c r="BT1680">
        <v>0.57999999999999996</v>
      </c>
      <c r="BU1680">
        <v>0.57610600000000001</v>
      </c>
      <c r="BV1680">
        <v>0.1</v>
      </c>
      <c r="BW1680">
        <f>BV1680*SQRT(AK1680)</f>
        <v>0.22360679774997899</v>
      </c>
      <c r="BX1680">
        <v>0.56999999999999995</v>
      </c>
      <c r="BY1680">
        <v>0.56548699999999996</v>
      </c>
      <c r="BZ1680">
        <v>0.12</v>
      </c>
      <c r="CA1680">
        <f>BZ1680*SQRT(AL1680)</f>
        <v>0.26832815729997478</v>
      </c>
      <c r="CB1680">
        <v>24</v>
      </c>
      <c r="CC1680">
        <v>6</v>
      </c>
      <c r="CD1680">
        <v>-1.9E-2</v>
      </c>
      <c r="CE1680">
        <v>7.0199999999999999E-2</v>
      </c>
    </row>
    <row r="1681" spans="4:83" hidden="1" x14ac:dyDescent="0.2">
      <c r="D1681">
        <v>190</v>
      </c>
      <c r="G1681" t="s">
        <v>43</v>
      </c>
      <c r="H1681" t="s">
        <v>894</v>
      </c>
      <c r="J1681">
        <v>2013</v>
      </c>
      <c r="M1681" t="s">
        <v>213</v>
      </c>
      <c r="T1681" t="s">
        <v>103</v>
      </c>
      <c r="U1681" t="s">
        <v>348</v>
      </c>
      <c r="V1681" t="s">
        <v>893</v>
      </c>
      <c r="Z1681" t="s">
        <v>106</v>
      </c>
      <c r="AA1681" t="s">
        <v>107</v>
      </c>
      <c r="AB1681" t="s">
        <v>50</v>
      </c>
      <c r="AC1681" t="s">
        <v>51</v>
      </c>
      <c r="AD1681" t="s">
        <v>54</v>
      </c>
      <c r="AE1681" t="s">
        <v>53</v>
      </c>
      <c r="AF1681" t="s">
        <v>52</v>
      </c>
      <c r="AG1681" t="s">
        <v>52</v>
      </c>
      <c r="AH1681" t="s">
        <v>64</v>
      </c>
      <c r="AK1681">
        <v>5</v>
      </c>
      <c r="AL1681">
        <v>5</v>
      </c>
      <c r="AN1681">
        <v>364</v>
      </c>
      <c r="AO1681">
        <v>10</v>
      </c>
      <c r="AP1681" t="s">
        <v>56</v>
      </c>
      <c r="AQ1681" t="s">
        <v>109</v>
      </c>
      <c r="AR1681">
        <v>8.07</v>
      </c>
      <c r="AS1681">
        <v>0.01</v>
      </c>
      <c r="AT1681" t="s">
        <v>56</v>
      </c>
      <c r="AU1681">
        <v>616</v>
      </c>
      <c r="AV1681">
        <v>24</v>
      </c>
      <c r="AW1681" t="s">
        <v>56</v>
      </c>
      <c r="AX1681">
        <v>7.89</v>
      </c>
      <c r="AY1681">
        <v>0.01</v>
      </c>
      <c r="AZ1681" t="s">
        <v>56</v>
      </c>
      <c r="BB1681">
        <f>LOG(AU1681)</f>
        <v>2.7895807121644256</v>
      </c>
      <c r="BC1681">
        <v>26.5</v>
      </c>
      <c r="BD1681">
        <v>0</v>
      </c>
      <c r="BE1681" t="s">
        <v>56</v>
      </c>
      <c r="BF1681">
        <v>28.5</v>
      </c>
      <c r="BG1681">
        <v>0</v>
      </c>
      <c r="BH1681" t="s">
        <v>56</v>
      </c>
      <c r="BI1681">
        <v>252</v>
      </c>
      <c r="BJ1681">
        <v>2.1</v>
      </c>
      <c r="BK1681" t="s">
        <v>56</v>
      </c>
      <c r="BL1681" t="s">
        <v>899</v>
      </c>
      <c r="BM1681" t="s">
        <v>262</v>
      </c>
      <c r="BN1681" t="s">
        <v>81</v>
      </c>
      <c r="BO1681" t="s">
        <v>900</v>
      </c>
      <c r="BP1681" t="s">
        <v>92</v>
      </c>
      <c r="BQ1681" s="8" t="s">
        <v>190</v>
      </c>
      <c r="BR1681" t="s">
        <v>63</v>
      </c>
      <c r="BT1681">
        <v>12.31</v>
      </c>
      <c r="BU1681">
        <v>12.3103</v>
      </c>
      <c r="BV1681">
        <v>0.83</v>
      </c>
      <c r="BW1681">
        <f>BV1681*SQRT(AK1681)</f>
        <v>1.8559364213248255</v>
      </c>
      <c r="BX1681">
        <v>12.1</v>
      </c>
      <c r="BY1681">
        <v>12.103400000000001</v>
      </c>
      <c r="BZ1681">
        <v>1.24</v>
      </c>
      <c r="CA1681">
        <f>BZ1681*SQRT(AL1681)</f>
        <v>2.7727242920997393</v>
      </c>
      <c r="CB1681">
        <v>24</v>
      </c>
      <c r="CC1681">
        <v>6</v>
      </c>
      <c r="CD1681">
        <v>-1.7000000000000001E-2</v>
      </c>
      <c r="CE1681">
        <v>1.4999999999999999E-2</v>
      </c>
    </row>
    <row r="1682" spans="4:83" hidden="1" x14ac:dyDescent="0.2">
      <c r="D1682">
        <v>190</v>
      </c>
      <c r="G1682" t="s">
        <v>43</v>
      </c>
      <c r="H1682" t="s">
        <v>894</v>
      </c>
      <c r="J1682">
        <v>2013</v>
      </c>
      <c r="M1682" t="s">
        <v>213</v>
      </c>
      <c r="T1682" t="s">
        <v>103</v>
      </c>
      <c r="U1682" t="s">
        <v>201</v>
      </c>
      <c r="V1682" t="s">
        <v>214</v>
      </c>
      <c r="Z1682" t="s">
        <v>106</v>
      </c>
      <c r="AA1682" t="s">
        <v>107</v>
      </c>
      <c r="AB1682" t="s">
        <v>50</v>
      </c>
      <c r="AC1682" t="s">
        <v>51</v>
      </c>
      <c r="AD1682" t="s">
        <v>54</v>
      </c>
      <c r="AE1682" t="s">
        <v>53</v>
      </c>
      <c r="AF1682" t="s">
        <v>54</v>
      </c>
      <c r="AG1682" t="s">
        <v>52</v>
      </c>
      <c r="AH1682" t="s">
        <v>65</v>
      </c>
      <c r="AK1682">
        <v>5</v>
      </c>
      <c r="AL1682">
        <v>5</v>
      </c>
      <c r="AN1682">
        <v>364</v>
      </c>
      <c r="AO1682">
        <v>10</v>
      </c>
      <c r="AP1682" t="s">
        <v>56</v>
      </c>
      <c r="AQ1682" t="s">
        <v>109</v>
      </c>
      <c r="AR1682">
        <v>8.07</v>
      </c>
      <c r="AS1682">
        <v>0.01</v>
      </c>
      <c r="AT1682" t="s">
        <v>56</v>
      </c>
      <c r="AU1682">
        <v>401</v>
      </c>
      <c r="AV1682">
        <v>17</v>
      </c>
      <c r="AW1682" t="s">
        <v>56</v>
      </c>
      <c r="AX1682">
        <v>8.0399999999999991</v>
      </c>
      <c r="AY1682">
        <v>0.01</v>
      </c>
      <c r="AZ1682" t="s">
        <v>56</v>
      </c>
      <c r="BB1682">
        <f>LOG(AU1682)</f>
        <v>2.6031443726201822</v>
      </c>
      <c r="BC1682">
        <v>26.5</v>
      </c>
      <c r="BD1682">
        <v>0</v>
      </c>
      <c r="BE1682" t="s">
        <v>56</v>
      </c>
      <c r="BF1682">
        <v>29.3</v>
      </c>
      <c r="BG1682">
        <v>0</v>
      </c>
      <c r="BH1682" t="s">
        <v>56</v>
      </c>
      <c r="BI1682">
        <v>36</v>
      </c>
      <c r="BJ1682">
        <v>2.9</v>
      </c>
      <c r="BK1682" t="s">
        <v>56</v>
      </c>
      <c r="BL1682" t="s">
        <v>899</v>
      </c>
      <c r="BM1682" t="s">
        <v>262</v>
      </c>
      <c r="BN1682" t="s">
        <v>81</v>
      </c>
      <c r="BO1682" t="s">
        <v>900</v>
      </c>
      <c r="BP1682" t="s">
        <v>92</v>
      </c>
      <c r="BQ1682" s="8" t="s">
        <v>190</v>
      </c>
      <c r="BR1682" t="s">
        <v>63</v>
      </c>
      <c r="BT1682">
        <v>5.69</v>
      </c>
      <c r="BU1682">
        <v>5.6896000000000004</v>
      </c>
      <c r="BV1682">
        <v>0.62</v>
      </c>
      <c r="BW1682">
        <f>BV1682*SQRT(AK1682)</f>
        <v>1.3863621460498696</v>
      </c>
      <c r="BX1682">
        <v>5.6</v>
      </c>
      <c r="BY1682">
        <v>5.5961999999999996</v>
      </c>
      <c r="BZ1682">
        <v>0.4</v>
      </c>
      <c r="CA1682">
        <f>BZ1682*SQRT(AL1682)</f>
        <v>0.89442719099991597</v>
      </c>
      <c r="CB1682">
        <v>24</v>
      </c>
      <c r="CC1682">
        <v>6</v>
      </c>
      <c r="CD1682">
        <v>-1.7000000000000001E-2</v>
      </c>
      <c r="CE1682">
        <v>1.7100000000000001E-2</v>
      </c>
    </row>
    <row r="1683" spans="4:83" hidden="1" x14ac:dyDescent="0.2">
      <c r="D1683">
        <v>190</v>
      </c>
      <c r="G1683" t="s">
        <v>43</v>
      </c>
      <c r="H1683" t="s">
        <v>894</v>
      </c>
      <c r="J1683">
        <v>2013</v>
      </c>
      <c r="M1683" t="s">
        <v>213</v>
      </c>
      <c r="T1683" t="s">
        <v>103</v>
      </c>
      <c r="U1683" t="s">
        <v>201</v>
      </c>
      <c r="V1683" t="s">
        <v>214</v>
      </c>
      <c r="Z1683" t="s">
        <v>106</v>
      </c>
      <c r="AA1683" t="s">
        <v>107</v>
      </c>
      <c r="AB1683" t="s">
        <v>50</v>
      </c>
      <c r="AC1683" t="s">
        <v>51</v>
      </c>
      <c r="AD1683" t="s">
        <v>54</v>
      </c>
      <c r="AE1683" t="s">
        <v>53</v>
      </c>
      <c r="AF1683" t="s">
        <v>54</v>
      </c>
      <c r="AG1683" t="s">
        <v>52</v>
      </c>
      <c r="AH1683" t="s">
        <v>65</v>
      </c>
      <c r="AK1683">
        <v>5</v>
      </c>
      <c r="AL1683">
        <v>5</v>
      </c>
      <c r="AN1683">
        <v>364</v>
      </c>
      <c r="AO1683">
        <v>10</v>
      </c>
      <c r="AP1683" t="s">
        <v>56</v>
      </c>
      <c r="AQ1683" t="s">
        <v>109</v>
      </c>
      <c r="AR1683">
        <v>8.07</v>
      </c>
      <c r="AS1683">
        <v>0.01</v>
      </c>
      <c r="AT1683" t="s">
        <v>56</v>
      </c>
      <c r="AU1683">
        <v>401</v>
      </c>
      <c r="AV1683">
        <v>17</v>
      </c>
      <c r="AW1683" t="s">
        <v>56</v>
      </c>
      <c r="AX1683">
        <v>8.0399999999999991</v>
      </c>
      <c r="AY1683">
        <v>0.01</v>
      </c>
      <c r="AZ1683" t="s">
        <v>56</v>
      </c>
      <c r="BB1683">
        <f>LOG(AU1683)</f>
        <v>2.6031443726201822</v>
      </c>
      <c r="BC1683">
        <v>26.5</v>
      </c>
      <c r="BD1683">
        <v>0</v>
      </c>
      <c r="BE1683" t="s">
        <v>56</v>
      </c>
      <c r="BF1683">
        <v>29.3</v>
      </c>
      <c r="BG1683">
        <v>0</v>
      </c>
      <c r="BH1683" t="s">
        <v>56</v>
      </c>
      <c r="BI1683">
        <v>36</v>
      </c>
      <c r="BJ1683">
        <v>2.9</v>
      </c>
      <c r="BK1683" t="s">
        <v>56</v>
      </c>
      <c r="BL1683" t="s">
        <v>543</v>
      </c>
      <c r="BM1683" t="s">
        <v>543</v>
      </c>
      <c r="BN1683" t="s">
        <v>60</v>
      </c>
      <c r="BO1683" t="s">
        <v>898</v>
      </c>
      <c r="BP1683" t="s">
        <v>194</v>
      </c>
      <c r="BQ1683" s="8" t="s">
        <v>190</v>
      </c>
      <c r="BR1683" t="s">
        <v>63</v>
      </c>
      <c r="BT1683">
        <v>0.28000000000000003</v>
      </c>
      <c r="BU1683">
        <v>0.27876000000000001</v>
      </c>
      <c r="BV1683">
        <v>0.02</v>
      </c>
      <c r="BW1683">
        <f>BV1683*SQRT(AK1683)</f>
        <v>4.4721359549995794E-2</v>
      </c>
      <c r="BX1683">
        <v>0.28000000000000003</v>
      </c>
      <c r="BY1683">
        <v>0.27876000000000001</v>
      </c>
      <c r="BZ1683">
        <v>0.02</v>
      </c>
      <c r="CA1683">
        <f>BZ1683*SQRT(AL1683)</f>
        <v>4.4721359549995794E-2</v>
      </c>
      <c r="CB1683">
        <v>24</v>
      </c>
      <c r="CC1683">
        <v>6</v>
      </c>
      <c r="CD1683">
        <v>0</v>
      </c>
      <c r="CE1683">
        <v>1.1599999999999999E-2</v>
      </c>
    </row>
    <row r="1684" spans="4:83" hidden="1" x14ac:dyDescent="0.2">
      <c r="D1684">
        <v>190</v>
      </c>
      <c r="G1684" t="s">
        <v>43</v>
      </c>
      <c r="H1684" t="s">
        <v>894</v>
      </c>
      <c r="J1684">
        <v>2013</v>
      </c>
      <c r="M1684" t="s">
        <v>213</v>
      </c>
      <c r="T1684" t="s">
        <v>103</v>
      </c>
      <c r="U1684" t="s">
        <v>201</v>
      </c>
      <c r="V1684" t="s">
        <v>214</v>
      </c>
      <c r="Z1684" t="s">
        <v>106</v>
      </c>
      <c r="AA1684" t="s">
        <v>107</v>
      </c>
      <c r="AB1684" t="s">
        <v>50</v>
      </c>
      <c r="AC1684" t="s">
        <v>51</v>
      </c>
      <c r="AD1684" t="s">
        <v>54</v>
      </c>
      <c r="AE1684" t="s">
        <v>53</v>
      </c>
      <c r="AF1684" t="s">
        <v>52</v>
      </c>
      <c r="AG1684" t="s">
        <v>52</v>
      </c>
      <c r="AH1684" t="s">
        <v>64</v>
      </c>
      <c r="AK1684">
        <v>5</v>
      </c>
      <c r="AL1684">
        <v>5</v>
      </c>
      <c r="AN1684">
        <v>364</v>
      </c>
      <c r="AO1684">
        <v>10</v>
      </c>
      <c r="AP1684" t="s">
        <v>56</v>
      </c>
      <c r="AQ1684" t="s">
        <v>109</v>
      </c>
      <c r="AR1684">
        <v>8.07</v>
      </c>
      <c r="AS1684">
        <v>0.01</v>
      </c>
      <c r="AT1684" t="s">
        <v>56</v>
      </c>
      <c r="AU1684">
        <v>616</v>
      </c>
      <c r="AV1684">
        <v>24</v>
      </c>
      <c r="AW1684" t="s">
        <v>56</v>
      </c>
      <c r="AX1684">
        <v>7.89</v>
      </c>
      <c r="AY1684">
        <v>0.01</v>
      </c>
      <c r="AZ1684" t="s">
        <v>56</v>
      </c>
      <c r="BB1684">
        <f>LOG(AU1684)</f>
        <v>2.7895807121644256</v>
      </c>
      <c r="BC1684">
        <v>26.5</v>
      </c>
      <c r="BD1684">
        <v>0</v>
      </c>
      <c r="BE1684" t="s">
        <v>56</v>
      </c>
      <c r="BF1684">
        <v>28.5</v>
      </c>
      <c r="BG1684">
        <v>0</v>
      </c>
      <c r="BH1684" t="s">
        <v>56</v>
      </c>
      <c r="BI1684">
        <v>252</v>
      </c>
      <c r="BJ1684">
        <v>2.1</v>
      </c>
      <c r="BK1684" t="s">
        <v>56</v>
      </c>
      <c r="BL1684" t="s">
        <v>899</v>
      </c>
      <c r="BM1684" t="s">
        <v>262</v>
      </c>
      <c r="BN1684" t="s">
        <v>81</v>
      </c>
      <c r="BO1684" t="s">
        <v>900</v>
      </c>
      <c r="BP1684" t="s">
        <v>92</v>
      </c>
      <c r="BQ1684" s="8" t="s">
        <v>190</v>
      </c>
      <c r="BR1684" t="s">
        <v>63</v>
      </c>
      <c r="BT1684">
        <v>5.69</v>
      </c>
      <c r="BU1684">
        <v>5.6896000000000004</v>
      </c>
      <c r="BV1684">
        <v>0.62</v>
      </c>
      <c r="BW1684">
        <f>BV1684*SQRT(AK1684)</f>
        <v>1.3863621460498696</v>
      </c>
      <c r="BX1684">
        <v>5.69</v>
      </c>
      <c r="BY1684">
        <v>5.6896000000000004</v>
      </c>
      <c r="BZ1684">
        <v>0.21</v>
      </c>
      <c r="CA1684">
        <f>BZ1684*SQRT(AL1684)</f>
        <v>0.46957427527495582</v>
      </c>
      <c r="CB1684">
        <v>24</v>
      </c>
      <c r="CC1684">
        <v>6</v>
      </c>
      <c r="CD1684">
        <v>0</v>
      </c>
      <c r="CE1684">
        <v>1.32E-2</v>
      </c>
    </row>
    <row r="1685" spans="4:83" hidden="1" x14ac:dyDescent="0.2">
      <c r="D1685">
        <v>190</v>
      </c>
      <c r="G1685" t="s">
        <v>43</v>
      </c>
      <c r="H1685" t="s">
        <v>894</v>
      </c>
      <c r="J1685">
        <v>2013</v>
      </c>
      <c r="M1685" t="s">
        <v>213</v>
      </c>
      <c r="T1685" t="s">
        <v>103</v>
      </c>
      <c r="U1685" t="s">
        <v>228</v>
      </c>
      <c r="V1685" t="s">
        <v>897</v>
      </c>
      <c r="Z1685" t="s">
        <v>106</v>
      </c>
      <c r="AA1685" t="s">
        <v>107</v>
      </c>
      <c r="AB1685" t="s">
        <v>50</v>
      </c>
      <c r="AC1685" t="s">
        <v>51</v>
      </c>
      <c r="AD1685" t="s">
        <v>54</v>
      </c>
      <c r="AE1685" t="s">
        <v>53</v>
      </c>
      <c r="AF1685" t="s">
        <v>52</v>
      </c>
      <c r="AG1685" t="s">
        <v>52</v>
      </c>
      <c r="AH1685" t="s">
        <v>64</v>
      </c>
      <c r="AK1685">
        <v>5</v>
      </c>
      <c r="AL1685">
        <v>5</v>
      </c>
      <c r="AN1685">
        <v>364</v>
      </c>
      <c r="AO1685">
        <v>10</v>
      </c>
      <c r="AP1685" t="s">
        <v>56</v>
      </c>
      <c r="AQ1685" t="s">
        <v>109</v>
      </c>
      <c r="AR1685">
        <v>8.07</v>
      </c>
      <c r="AS1685">
        <v>0.01</v>
      </c>
      <c r="AT1685" t="s">
        <v>56</v>
      </c>
      <c r="AU1685">
        <v>750</v>
      </c>
      <c r="AV1685">
        <v>26</v>
      </c>
      <c r="AW1685" t="s">
        <v>56</v>
      </c>
      <c r="AX1685">
        <v>7.81</v>
      </c>
      <c r="AY1685">
        <v>0.01</v>
      </c>
      <c r="AZ1685" t="s">
        <v>56</v>
      </c>
      <c r="BB1685">
        <f>LOG(AU1685)</f>
        <v>2.8750612633917001</v>
      </c>
      <c r="BC1685">
        <v>26.5</v>
      </c>
      <c r="BD1685">
        <v>0</v>
      </c>
      <c r="BE1685" t="s">
        <v>56</v>
      </c>
      <c r="BF1685">
        <v>28.9</v>
      </c>
      <c r="BG1685">
        <v>0</v>
      </c>
      <c r="BH1685" t="s">
        <v>56</v>
      </c>
      <c r="BI1685">
        <v>386</v>
      </c>
      <c r="BJ1685">
        <v>2.5</v>
      </c>
      <c r="BK1685" t="s">
        <v>56</v>
      </c>
      <c r="BL1685" t="s">
        <v>899</v>
      </c>
      <c r="BM1685" t="s">
        <v>262</v>
      </c>
      <c r="BN1685" t="s">
        <v>81</v>
      </c>
      <c r="BO1685" t="s">
        <v>900</v>
      </c>
      <c r="BP1685" t="s">
        <v>92</v>
      </c>
      <c r="BQ1685" s="8" t="s">
        <v>190</v>
      </c>
      <c r="BR1685" t="s">
        <v>63</v>
      </c>
      <c r="BT1685">
        <v>7.66</v>
      </c>
      <c r="BU1685">
        <v>7.65517</v>
      </c>
      <c r="BV1685">
        <v>1.03</v>
      </c>
      <c r="BW1685">
        <f>BV1685*SQRT(AK1685)</f>
        <v>2.3031500168247834</v>
      </c>
      <c r="BX1685">
        <v>7.76</v>
      </c>
      <c r="BY1685">
        <v>7.7586000000000004</v>
      </c>
      <c r="BZ1685">
        <v>0.83</v>
      </c>
      <c r="CA1685">
        <f>BZ1685*SQRT(AL1685)</f>
        <v>1.8559364213248255</v>
      </c>
      <c r="CB1685">
        <v>24</v>
      </c>
      <c r="CC1685">
        <v>6</v>
      </c>
      <c r="CD1685">
        <v>1.2999999999999999E-2</v>
      </c>
      <c r="CE1685">
        <v>2.9600000000000001E-2</v>
      </c>
    </row>
    <row r="1686" spans="4:83" hidden="1" x14ac:dyDescent="0.2">
      <c r="D1686">
        <v>190</v>
      </c>
      <c r="G1686" t="s">
        <v>43</v>
      </c>
      <c r="H1686" t="s">
        <v>894</v>
      </c>
      <c r="J1686">
        <v>2013</v>
      </c>
      <c r="M1686" t="s">
        <v>213</v>
      </c>
      <c r="T1686" t="s">
        <v>103</v>
      </c>
      <c r="U1686" t="s">
        <v>228</v>
      </c>
      <c r="V1686" t="s">
        <v>897</v>
      </c>
      <c r="Z1686" t="s">
        <v>106</v>
      </c>
      <c r="AA1686" t="s">
        <v>107</v>
      </c>
      <c r="AB1686" t="s">
        <v>50</v>
      </c>
      <c r="AC1686" t="s">
        <v>51</v>
      </c>
      <c r="AD1686" t="s">
        <v>54</v>
      </c>
      <c r="AE1686" t="s">
        <v>53</v>
      </c>
      <c r="AF1686" t="s">
        <v>52</v>
      </c>
      <c r="AG1686" t="s">
        <v>52</v>
      </c>
      <c r="AH1686" t="s">
        <v>64</v>
      </c>
      <c r="AK1686">
        <v>5</v>
      </c>
      <c r="AL1686">
        <v>5</v>
      </c>
      <c r="AN1686">
        <v>364</v>
      </c>
      <c r="AO1686">
        <v>10</v>
      </c>
      <c r="AP1686" t="s">
        <v>56</v>
      </c>
      <c r="AQ1686" t="s">
        <v>109</v>
      </c>
      <c r="AR1686">
        <v>8.07</v>
      </c>
      <c r="AS1686">
        <v>0.01</v>
      </c>
      <c r="AT1686" t="s">
        <v>56</v>
      </c>
      <c r="AU1686">
        <v>616</v>
      </c>
      <c r="AV1686">
        <v>24</v>
      </c>
      <c r="AW1686" t="s">
        <v>56</v>
      </c>
      <c r="AX1686">
        <v>7.89</v>
      </c>
      <c r="AY1686">
        <v>0.01</v>
      </c>
      <c r="AZ1686" t="s">
        <v>56</v>
      </c>
      <c r="BB1686">
        <f>LOG(AU1686)</f>
        <v>2.7895807121644256</v>
      </c>
      <c r="BC1686">
        <v>26.5</v>
      </c>
      <c r="BD1686">
        <v>0</v>
      </c>
      <c r="BE1686" t="s">
        <v>56</v>
      </c>
      <c r="BF1686">
        <v>28.5</v>
      </c>
      <c r="BG1686">
        <v>0</v>
      </c>
      <c r="BH1686" t="s">
        <v>56</v>
      </c>
      <c r="BI1686">
        <v>252</v>
      </c>
      <c r="BJ1686">
        <v>2.1</v>
      </c>
      <c r="BK1686" t="s">
        <v>895</v>
      </c>
      <c r="BL1686" t="s">
        <v>232</v>
      </c>
      <c r="BM1686" t="s">
        <v>232</v>
      </c>
      <c r="BN1686" t="s">
        <v>81</v>
      </c>
      <c r="BO1686" t="s">
        <v>896</v>
      </c>
      <c r="BP1686" t="s">
        <v>234</v>
      </c>
      <c r="BQ1686" s="8" t="s">
        <v>190</v>
      </c>
      <c r="BR1686" t="s">
        <v>63</v>
      </c>
      <c r="BT1686">
        <v>0.37</v>
      </c>
      <c r="BU1686">
        <v>0.36520000000000002</v>
      </c>
      <c r="BV1686">
        <v>7.0000000000000007E-2</v>
      </c>
      <c r="BW1686">
        <f>BV1686*SQRT(AK1686)</f>
        <v>0.15652475842498531</v>
      </c>
      <c r="BX1686">
        <v>0.37</v>
      </c>
      <c r="BY1686">
        <v>0.37390000000000001</v>
      </c>
      <c r="BZ1686">
        <v>7.0000000000000007E-2</v>
      </c>
      <c r="CA1686">
        <f>BZ1686*SQRT(AL1686)</f>
        <v>0.15652475842498531</v>
      </c>
      <c r="CB1686">
        <v>24</v>
      </c>
      <c r="CC1686">
        <v>6</v>
      </c>
      <c r="CD1686">
        <v>2.4E-2</v>
      </c>
      <c r="CE1686">
        <v>6.6500000000000004E-2</v>
      </c>
    </row>
    <row r="1687" spans="4:83" hidden="1" x14ac:dyDescent="0.2">
      <c r="D1687">
        <v>190</v>
      </c>
      <c r="G1687" t="s">
        <v>43</v>
      </c>
      <c r="H1687" t="s">
        <v>894</v>
      </c>
      <c r="J1687">
        <v>2013</v>
      </c>
      <c r="M1687" t="s">
        <v>213</v>
      </c>
      <c r="T1687" t="s">
        <v>103</v>
      </c>
      <c r="U1687" t="s">
        <v>201</v>
      </c>
      <c r="V1687" t="s">
        <v>214</v>
      </c>
      <c r="Z1687" t="s">
        <v>106</v>
      </c>
      <c r="AA1687" t="s">
        <v>107</v>
      </c>
      <c r="AB1687" t="s">
        <v>50</v>
      </c>
      <c r="AC1687" t="s">
        <v>51</v>
      </c>
      <c r="AD1687" t="s">
        <v>54</v>
      </c>
      <c r="AE1687" t="s">
        <v>53</v>
      </c>
      <c r="AF1687" t="s">
        <v>52</v>
      </c>
      <c r="AG1687" t="s">
        <v>54</v>
      </c>
      <c r="AH1687" t="s">
        <v>55</v>
      </c>
      <c r="AK1687">
        <v>5</v>
      </c>
      <c r="AL1687">
        <v>5</v>
      </c>
      <c r="AN1687">
        <v>364</v>
      </c>
      <c r="AO1687">
        <v>10</v>
      </c>
      <c r="AP1687" t="s">
        <v>56</v>
      </c>
      <c r="AQ1687" t="s">
        <v>109</v>
      </c>
      <c r="AR1687">
        <v>8.07</v>
      </c>
      <c r="AS1687">
        <v>0.01</v>
      </c>
      <c r="AT1687" t="s">
        <v>56</v>
      </c>
      <c r="AU1687">
        <v>732</v>
      </c>
      <c r="AV1687">
        <v>22</v>
      </c>
      <c r="AW1687" t="s">
        <v>56</v>
      </c>
      <c r="AX1687">
        <v>7.98</v>
      </c>
      <c r="AY1687">
        <v>0.01</v>
      </c>
      <c r="AZ1687" t="s">
        <v>56</v>
      </c>
      <c r="BB1687">
        <f>LOG(AU1687)</f>
        <v>2.8645110810583918</v>
      </c>
      <c r="BC1687">
        <v>26.5</v>
      </c>
      <c r="BD1687">
        <v>0</v>
      </c>
      <c r="BE1687" t="s">
        <v>56</v>
      </c>
      <c r="BF1687">
        <v>26.6</v>
      </c>
      <c r="BG1687">
        <v>0</v>
      </c>
      <c r="BH1687" t="s">
        <v>56</v>
      </c>
      <c r="BI1687">
        <v>368</v>
      </c>
      <c r="BJ1687">
        <v>0.2</v>
      </c>
      <c r="BK1687" t="s">
        <v>56</v>
      </c>
      <c r="BL1687" t="s">
        <v>899</v>
      </c>
      <c r="BM1687" t="s">
        <v>262</v>
      </c>
      <c r="BN1687" t="s">
        <v>81</v>
      </c>
      <c r="BO1687" t="s">
        <v>900</v>
      </c>
      <c r="BP1687" t="s">
        <v>92</v>
      </c>
      <c r="BQ1687" s="8" t="s">
        <v>190</v>
      </c>
      <c r="BR1687" t="s">
        <v>63</v>
      </c>
      <c r="BT1687">
        <v>5.69</v>
      </c>
      <c r="BU1687">
        <v>5.6896000000000004</v>
      </c>
      <c r="BV1687">
        <v>0.62</v>
      </c>
      <c r="BW1687">
        <f>BV1687*SQRT(AK1687)</f>
        <v>1.3863621460498696</v>
      </c>
      <c r="BX1687">
        <v>5.9</v>
      </c>
      <c r="BY1687">
        <v>5.8964999999999996</v>
      </c>
      <c r="BZ1687">
        <v>0.31</v>
      </c>
      <c r="CA1687">
        <f>BZ1687*SQRT(AL1687)</f>
        <v>0.69318107302493481</v>
      </c>
      <c r="CB1687">
        <v>24</v>
      </c>
      <c r="CC1687">
        <v>6</v>
      </c>
      <c r="CD1687">
        <v>3.5999999999999997E-2</v>
      </c>
      <c r="CE1687">
        <v>1.47E-2</v>
      </c>
    </row>
    <row r="1688" spans="4:83" hidden="1" x14ac:dyDescent="0.2">
      <c r="D1688">
        <v>190</v>
      </c>
      <c r="G1688" t="s">
        <v>43</v>
      </c>
      <c r="H1688" t="s">
        <v>894</v>
      </c>
      <c r="J1688">
        <v>2013</v>
      </c>
      <c r="M1688" t="s">
        <v>213</v>
      </c>
      <c r="T1688" t="s">
        <v>103</v>
      </c>
      <c r="U1688" t="s">
        <v>201</v>
      </c>
      <c r="V1688" t="s">
        <v>214</v>
      </c>
      <c r="Z1688" t="s">
        <v>106</v>
      </c>
      <c r="AA1688" t="s">
        <v>107</v>
      </c>
      <c r="AB1688" t="s">
        <v>50</v>
      </c>
      <c r="AC1688" t="s">
        <v>51</v>
      </c>
      <c r="AD1688" t="s">
        <v>54</v>
      </c>
      <c r="AE1688" t="s">
        <v>53</v>
      </c>
      <c r="AF1688" t="s">
        <v>52</v>
      </c>
      <c r="AG1688" t="s">
        <v>52</v>
      </c>
      <c r="AH1688" t="s">
        <v>64</v>
      </c>
      <c r="AK1688">
        <v>5</v>
      </c>
      <c r="AL1688">
        <v>5</v>
      </c>
      <c r="AN1688">
        <v>364</v>
      </c>
      <c r="AO1688">
        <v>10</v>
      </c>
      <c r="AP1688" t="s">
        <v>56</v>
      </c>
      <c r="AQ1688" t="s">
        <v>109</v>
      </c>
      <c r="AR1688">
        <v>8.07</v>
      </c>
      <c r="AS1688">
        <v>0.01</v>
      </c>
      <c r="AT1688" t="s">
        <v>56</v>
      </c>
      <c r="AU1688">
        <v>750</v>
      </c>
      <c r="AV1688">
        <v>26</v>
      </c>
      <c r="AW1688" t="s">
        <v>56</v>
      </c>
      <c r="AX1688">
        <v>7.81</v>
      </c>
      <c r="AY1688">
        <v>0.01</v>
      </c>
      <c r="AZ1688" t="s">
        <v>56</v>
      </c>
      <c r="BB1688">
        <f>LOG(AU1688)</f>
        <v>2.8750612633917001</v>
      </c>
      <c r="BC1688">
        <v>26.5</v>
      </c>
      <c r="BD1688">
        <v>0</v>
      </c>
      <c r="BE1688" t="s">
        <v>56</v>
      </c>
      <c r="BF1688">
        <v>28.9</v>
      </c>
      <c r="BG1688">
        <v>0</v>
      </c>
      <c r="BH1688" t="s">
        <v>56</v>
      </c>
      <c r="BI1688">
        <v>386</v>
      </c>
      <c r="BJ1688">
        <v>2.5</v>
      </c>
      <c r="BK1688" t="s">
        <v>56</v>
      </c>
      <c r="BL1688" t="s">
        <v>899</v>
      </c>
      <c r="BM1688" t="s">
        <v>262</v>
      </c>
      <c r="BN1688" t="s">
        <v>81</v>
      </c>
      <c r="BO1688" t="s">
        <v>900</v>
      </c>
      <c r="BP1688" t="s">
        <v>92</v>
      </c>
      <c r="BQ1688" s="8" t="s">
        <v>190</v>
      </c>
      <c r="BR1688" t="s">
        <v>63</v>
      </c>
      <c r="BT1688">
        <v>5.69</v>
      </c>
      <c r="BU1688">
        <v>5.6896000000000004</v>
      </c>
      <c r="BV1688">
        <v>0.62</v>
      </c>
      <c r="BW1688">
        <f>BV1688*SQRT(AK1688)</f>
        <v>1.3863621460498696</v>
      </c>
      <c r="BX1688">
        <v>5.9</v>
      </c>
      <c r="BY1688">
        <v>5.8964999999999996</v>
      </c>
      <c r="BZ1688">
        <v>0.41</v>
      </c>
      <c r="CA1688">
        <f>BZ1688*SQRT(AL1688)</f>
        <v>0.91678787077491375</v>
      </c>
      <c r="CB1688">
        <v>24</v>
      </c>
      <c r="CC1688">
        <v>6</v>
      </c>
      <c r="CD1688">
        <v>3.5999999999999997E-2</v>
      </c>
      <c r="CE1688">
        <v>1.6799999999999999E-2</v>
      </c>
    </row>
    <row r="1689" spans="4:83" hidden="1" x14ac:dyDescent="0.2">
      <c r="D1689">
        <v>190</v>
      </c>
      <c r="G1689" t="s">
        <v>43</v>
      </c>
      <c r="H1689" t="s">
        <v>894</v>
      </c>
      <c r="J1689">
        <v>2013</v>
      </c>
      <c r="M1689" t="s">
        <v>213</v>
      </c>
      <c r="T1689" t="s">
        <v>103</v>
      </c>
      <c r="U1689" t="s">
        <v>228</v>
      </c>
      <c r="V1689" t="s">
        <v>842</v>
      </c>
      <c r="Z1689" t="s">
        <v>106</v>
      </c>
      <c r="AA1689" t="s">
        <v>107</v>
      </c>
      <c r="AB1689" t="s">
        <v>50</v>
      </c>
      <c r="AC1689" t="s">
        <v>51</v>
      </c>
      <c r="AD1689" t="s">
        <v>54</v>
      </c>
      <c r="AE1689" t="s">
        <v>53</v>
      </c>
      <c r="AF1689" t="s">
        <v>54</v>
      </c>
      <c r="AG1689" t="s">
        <v>52</v>
      </c>
      <c r="AH1689" t="s">
        <v>65</v>
      </c>
      <c r="AK1689">
        <v>5</v>
      </c>
      <c r="AL1689">
        <v>5</v>
      </c>
      <c r="AN1689">
        <v>364</v>
      </c>
      <c r="AO1689">
        <v>10</v>
      </c>
      <c r="AP1689" t="s">
        <v>56</v>
      </c>
      <c r="AQ1689" t="s">
        <v>109</v>
      </c>
      <c r="AR1689">
        <v>8.07</v>
      </c>
      <c r="AS1689">
        <v>0.01</v>
      </c>
      <c r="AT1689" t="s">
        <v>56</v>
      </c>
      <c r="AU1689">
        <v>401</v>
      </c>
      <c r="AV1689">
        <v>17</v>
      </c>
      <c r="AW1689" t="s">
        <v>56</v>
      </c>
      <c r="AX1689">
        <v>8.0399999999999991</v>
      </c>
      <c r="AY1689">
        <v>0.01</v>
      </c>
      <c r="AZ1689" t="s">
        <v>56</v>
      </c>
      <c r="BB1689">
        <f>LOG(AU1689)</f>
        <v>2.6031443726201822</v>
      </c>
      <c r="BC1689">
        <v>26.5</v>
      </c>
      <c r="BD1689">
        <v>0</v>
      </c>
      <c r="BE1689" t="s">
        <v>56</v>
      </c>
      <c r="BF1689">
        <v>29.3</v>
      </c>
      <c r="BG1689">
        <v>0</v>
      </c>
      <c r="BH1689" t="s">
        <v>56</v>
      </c>
      <c r="BI1689">
        <v>36</v>
      </c>
      <c r="BJ1689">
        <v>2.9</v>
      </c>
      <c r="BK1689" t="s">
        <v>56</v>
      </c>
      <c r="BL1689" t="s">
        <v>899</v>
      </c>
      <c r="BM1689" t="s">
        <v>262</v>
      </c>
      <c r="BN1689" t="s">
        <v>81</v>
      </c>
      <c r="BO1689" t="s">
        <v>900</v>
      </c>
      <c r="BP1689" t="s">
        <v>92</v>
      </c>
      <c r="BQ1689" s="8" t="s">
        <v>190</v>
      </c>
      <c r="BR1689" t="s">
        <v>63</v>
      </c>
      <c r="BT1689">
        <v>7.14</v>
      </c>
      <c r="BU1689">
        <v>7.1379000000000001</v>
      </c>
      <c r="BV1689">
        <v>0.52</v>
      </c>
      <c r="BW1689">
        <f>BV1689*SQRT(AK1689)</f>
        <v>1.1627553482998907</v>
      </c>
      <c r="BX1689">
        <v>7.55</v>
      </c>
      <c r="BY1689">
        <v>7.5517000000000003</v>
      </c>
      <c r="BZ1689">
        <v>0.41</v>
      </c>
      <c r="CA1689">
        <f>BZ1689*SQRT(AL1689)</f>
        <v>0.91678787077491375</v>
      </c>
      <c r="CB1689">
        <v>24</v>
      </c>
      <c r="CC1689">
        <v>6</v>
      </c>
      <c r="CD1689">
        <v>5.6000000000000001E-2</v>
      </c>
      <c r="CE1689">
        <v>8.3000000000000001E-3</v>
      </c>
    </row>
    <row r="1690" spans="4:83" hidden="1" x14ac:dyDescent="0.2">
      <c r="D1690">
        <v>190</v>
      </c>
      <c r="G1690" t="s">
        <v>43</v>
      </c>
      <c r="H1690" t="s">
        <v>894</v>
      </c>
      <c r="J1690">
        <v>2013</v>
      </c>
      <c r="M1690" t="s">
        <v>213</v>
      </c>
      <c r="T1690" t="s">
        <v>103</v>
      </c>
      <c r="U1690" t="s">
        <v>348</v>
      </c>
      <c r="V1690" t="s">
        <v>893</v>
      </c>
      <c r="Z1690" t="s">
        <v>106</v>
      </c>
      <c r="AA1690" t="s">
        <v>107</v>
      </c>
      <c r="AB1690" t="s">
        <v>50</v>
      </c>
      <c r="AC1690" t="s">
        <v>51</v>
      </c>
      <c r="AD1690" t="s">
        <v>54</v>
      </c>
      <c r="AE1690" t="s">
        <v>53</v>
      </c>
      <c r="AF1690" t="s">
        <v>52</v>
      </c>
      <c r="AG1690" t="s">
        <v>52</v>
      </c>
      <c r="AH1690" t="s">
        <v>64</v>
      </c>
      <c r="AK1690">
        <v>5</v>
      </c>
      <c r="AL1690">
        <v>5</v>
      </c>
      <c r="AN1690">
        <v>364</v>
      </c>
      <c r="AO1690">
        <v>10</v>
      </c>
      <c r="AP1690" t="s">
        <v>56</v>
      </c>
      <c r="AQ1690" t="s">
        <v>109</v>
      </c>
      <c r="AR1690">
        <v>8.07</v>
      </c>
      <c r="AS1690">
        <v>0.01</v>
      </c>
      <c r="AT1690" t="s">
        <v>56</v>
      </c>
      <c r="AU1690">
        <v>616</v>
      </c>
      <c r="AV1690">
        <v>24</v>
      </c>
      <c r="AW1690" t="s">
        <v>56</v>
      </c>
      <c r="AX1690">
        <v>7.89</v>
      </c>
      <c r="AY1690">
        <v>0.01</v>
      </c>
      <c r="AZ1690" t="s">
        <v>56</v>
      </c>
      <c r="BB1690">
        <f>LOG(AU1690)</f>
        <v>2.7895807121644256</v>
      </c>
      <c r="BC1690">
        <v>26.5</v>
      </c>
      <c r="BD1690">
        <v>0</v>
      </c>
      <c r="BE1690" t="s">
        <v>56</v>
      </c>
      <c r="BF1690">
        <v>28.5</v>
      </c>
      <c r="BG1690">
        <v>0</v>
      </c>
      <c r="BH1690" t="s">
        <v>56</v>
      </c>
      <c r="BI1690">
        <v>252</v>
      </c>
      <c r="BJ1690">
        <v>2.1</v>
      </c>
      <c r="BK1690" t="s">
        <v>895</v>
      </c>
      <c r="BL1690" t="s">
        <v>232</v>
      </c>
      <c r="BM1690" t="s">
        <v>232</v>
      </c>
      <c r="BN1690" t="s">
        <v>81</v>
      </c>
      <c r="BO1690" t="s">
        <v>896</v>
      </c>
      <c r="BP1690" t="s">
        <v>234</v>
      </c>
      <c r="BQ1690" s="8" t="s">
        <v>190</v>
      </c>
      <c r="BR1690" t="s">
        <v>63</v>
      </c>
      <c r="BT1690">
        <v>0.24</v>
      </c>
      <c r="BU1690">
        <v>0.24346999999999999</v>
      </c>
      <c r="BV1690">
        <v>0.03</v>
      </c>
      <c r="BW1690">
        <f>BV1690*SQRT(AK1690)</f>
        <v>6.7082039324993695E-2</v>
      </c>
      <c r="BX1690">
        <v>0.26</v>
      </c>
      <c r="BY1690">
        <v>0.26079999999999998</v>
      </c>
      <c r="BZ1690">
        <v>0.03</v>
      </c>
      <c r="CA1690">
        <f>BZ1690*SQRT(AL1690)</f>
        <v>6.7082039324993695E-2</v>
      </c>
      <c r="CB1690">
        <v>24</v>
      </c>
      <c r="CC1690">
        <v>6</v>
      </c>
      <c r="CD1690">
        <v>6.9000000000000006E-2</v>
      </c>
      <c r="CE1690">
        <v>2.93E-2</v>
      </c>
    </row>
    <row r="1691" spans="4:83" hidden="1" x14ac:dyDescent="0.2">
      <c r="D1691">
        <v>190</v>
      </c>
      <c r="G1691" t="s">
        <v>43</v>
      </c>
      <c r="H1691" t="s">
        <v>894</v>
      </c>
      <c r="J1691">
        <v>2013</v>
      </c>
      <c r="M1691" t="s">
        <v>213</v>
      </c>
      <c r="T1691" t="s">
        <v>103</v>
      </c>
      <c r="U1691" t="s">
        <v>348</v>
      </c>
      <c r="V1691" t="s">
        <v>893</v>
      </c>
      <c r="Z1691" t="s">
        <v>106</v>
      </c>
      <c r="AA1691" t="s">
        <v>107</v>
      </c>
      <c r="AB1691" t="s">
        <v>50</v>
      </c>
      <c r="AC1691" t="s">
        <v>51</v>
      </c>
      <c r="AD1691" t="s">
        <v>54</v>
      </c>
      <c r="AE1691" t="s">
        <v>53</v>
      </c>
      <c r="AF1691" t="s">
        <v>52</v>
      </c>
      <c r="AG1691" t="s">
        <v>54</v>
      </c>
      <c r="AH1691" t="s">
        <v>55</v>
      </c>
      <c r="AK1691">
        <v>5</v>
      </c>
      <c r="AL1691">
        <v>5</v>
      </c>
      <c r="AN1691">
        <v>364</v>
      </c>
      <c r="AO1691">
        <v>10</v>
      </c>
      <c r="AP1691" t="s">
        <v>56</v>
      </c>
      <c r="AQ1691" t="s">
        <v>109</v>
      </c>
      <c r="AR1691">
        <v>8.07</v>
      </c>
      <c r="AS1691">
        <v>0.01</v>
      </c>
      <c r="AT1691" t="s">
        <v>56</v>
      </c>
      <c r="AU1691">
        <v>598</v>
      </c>
      <c r="AV1691">
        <v>19</v>
      </c>
      <c r="AW1691" t="s">
        <v>56</v>
      </c>
      <c r="AX1691">
        <v>7.9</v>
      </c>
      <c r="AY1691">
        <v>0.01</v>
      </c>
      <c r="AZ1691" t="s">
        <v>56</v>
      </c>
      <c r="BB1691">
        <f>LOG(AU1691)</f>
        <v>2.7767011839884108</v>
      </c>
      <c r="BC1691">
        <v>26.5</v>
      </c>
      <c r="BD1691">
        <v>0</v>
      </c>
      <c r="BE1691" t="s">
        <v>56</v>
      </c>
      <c r="BF1691">
        <v>26.4</v>
      </c>
      <c r="BG1691">
        <v>0</v>
      </c>
      <c r="BH1691" t="s">
        <v>56</v>
      </c>
      <c r="BI1691">
        <v>234</v>
      </c>
      <c r="BJ1691">
        <v>-0.1</v>
      </c>
      <c r="BK1691" t="s">
        <v>895</v>
      </c>
      <c r="BL1691" t="s">
        <v>232</v>
      </c>
      <c r="BM1691" t="s">
        <v>232</v>
      </c>
      <c r="BN1691" t="s">
        <v>81</v>
      </c>
      <c r="BO1691" t="s">
        <v>896</v>
      </c>
      <c r="BP1691" t="s">
        <v>234</v>
      </c>
      <c r="BQ1691" s="8" t="s">
        <v>92</v>
      </c>
      <c r="BR1691" t="s">
        <v>63</v>
      </c>
      <c r="BT1691">
        <v>0.24</v>
      </c>
      <c r="BU1691">
        <v>0.24346999999999999</v>
      </c>
      <c r="BV1691">
        <v>0.03</v>
      </c>
      <c r="BW1691">
        <f>BV1691*SQRT(AK1691)</f>
        <v>6.7082039324993695E-2</v>
      </c>
      <c r="BX1691">
        <v>0.27</v>
      </c>
      <c r="BY1691">
        <v>0.26519999999999999</v>
      </c>
      <c r="BZ1691">
        <v>0.05</v>
      </c>
      <c r="CA1691">
        <f>BZ1691*SQRT(AL1691)</f>
        <v>0.1118033988749895</v>
      </c>
      <c r="CB1691">
        <v>24</v>
      </c>
      <c r="CC1691">
        <v>6</v>
      </c>
      <c r="CD1691">
        <v>8.5000000000000006E-2</v>
      </c>
      <c r="CE1691">
        <v>5.0099999999999999E-2</v>
      </c>
    </row>
    <row r="1692" spans="4:83" hidden="1" x14ac:dyDescent="0.2">
      <c r="D1692">
        <v>190</v>
      </c>
      <c r="G1692" t="s">
        <v>43</v>
      </c>
      <c r="H1692" t="s">
        <v>894</v>
      </c>
      <c r="J1692">
        <v>2013</v>
      </c>
      <c r="M1692" t="s">
        <v>213</v>
      </c>
      <c r="T1692" t="s">
        <v>103</v>
      </c>
      <c r="U1692" t="s">
        <v>228</v>
      </c>
      <c r="V1692" t="s">
        <v>842</v>
      </c>
      <c r="Z1692" t="s">
        <v>106</v>
      </c>
      <c r="AA1692" t="s">
        <v>107</v>
      </c>
      <c r="AB1692" t="s">
        <v>50</v>
      </c>
      <c r="AC1692" t="s">
        <v>51</v>
      </c>
      <c r="AD1692" t="s">
        <v>54</v>
      </c>
      <c r="AE1692" t="s">
        <v>53</v>
      </c>
      <c r="AF1692" t="s">
        <v>52</v>
      </c>
      <c r="AG1692" t="s">
        <v>54</v>
      </c>
      <c r="AH1692" t="s">
        <v>55</v>
      </c>
      <c r="AK1692">
        <v>5</v>
      </c>
      <c r="AL1692">
        <v>5</v>
      </c>
      <c r="AN1692">
        <v>364</v>
      </c>
      <c r="AO1692">
        <v>10</v>
      </c>
      <c r="AP1692" t="s">
        <v>56</v>
      </c>
      <c r="AQ1692" t="s">
        <v>109</v>
      </c>
      <c r="AR1692">
        <v>8.07</v>
      </c>
      <c r="AS1692">
        <v>0.01</v>
      </c>
      <c r="AT1692" t="s">
        <v>56</v>
      </c>
      <c r="AU1692">
        <v>598</v>
      </c>
      <c r="AV1692">
        <v>19</v>
      </c>
      <c r="AW1692" t="s">
        <v>56</v>
      </c>
      <c r="AX1692">
        <v>7.9</v>
      </c>
      <c r="AY1692">
        <v>0.01</v>
      </c>
      <c r="AZ1692" t="s">
        <v>56</v>
      </c>
      <c r="BB1692">
        <f>LOG(AU1692)</f>
        <v>2.7767011839884108</v>
      </c>
      <c r="BC1692">
        <v>26.5</v>
      </c>
      <c r="BD1692">
        <v>0</v>
      </c>
      <c r="BE1692" t="s">
        <v>56</v>
      </c>
      <c r="BF1692">
        <v>26.4</v>
      </c>
      <c r="BG1692">
        <v>0</v>
      </c>
      <c r="BH1692" t="s">
        <v>56</v>
      </c>
      <c r="BI1692">
        <v>234</v>
      </c>
      <c r="BJ1692">
        <v>-0.1</v>
      </c>
      <c r="BK1692" t="s">
        <v>56</v>
      </c>
      <c r="BL1692" t="s">
        <v>899</v>
      </c>
      <c r="BM1692" t="s">
        <v>262</v>
      </c>
      <c r="BN1692" t="s">
        <v>81</v>
      </c>
      <c r="BO1692" t="s">
        <v>900</v>
      </c>
      <c r="BP1692" t="s">
        <v>92</v>
      </c>
      <c r="BQ1692" s="8" t="s">
        <v>92</v>
      </c>
      <c r="BR1692" t="s">
        <v>63</v>
      </c>
      <c r="BT1692">
        <v>7.14</v>
      </c>
      <c r="BU1692">
        <v>7.1379000000000001</v>
      </c>
      <c r="BV1692">
        <v>0.52</v>
      </c>
      <c r="BW1692">
        <f>BV1692*SQRT(AK1692)</f>
        <v>1.1627553482998907</v>
      </c>
      <c r="BX1692">
        <v>7.86</v>
      </c>
      <c r="BY1692">
        <v>7.8620000000000001</v>
      </c>
      <c r="BZ1692">
        <v>0.52</v>
      </c>
      <c r="CA1692">
        <f>BZ1692*SQRT(AL1692)</f>
        <v>1.1627553482998907</v>
      </c>
      <c r="CB1692">
        <v>24</v>
      </c>
      <c r="CC1692">
        <v>6</v>
      </c>
      <c r="CD1692">
        <v>9.7000000000000003E-2</v>
      </c>
      <c r="CE1692">
        <v>9.5999999999999992E-3</v>
      </c>
    </row>
    <row r="1693" spans="4:83" hidden="1" x14ac:dyDescent="0.2">
      <c r="D1693">
        <v>190</v>
      </c>
      <c r="G1693" t="s">
        <v>43</v>
      </c>
      <c r="H1693" t="s">
        <v>894</v>
      </c>
      <c r="J1693">
        <v>2013</v>
      </c>
      <c r="M1693" t="s">
        <v>213</v>
      </c>
      <c r="T1693" t="s">
        <v>103</v>
      </c>
      <c r="U1693" t="s">
        <v>228</v>
      </c>
      <c r="V1693" t="s">
        <v>842</v>
      </c>
      <c r="Z1693" t="s">
        <v>106</v>
      </c>
      <c r="AA1693" t="s">
        <v>107</v>
      </c>
      <c r="AB1693" t="s">
        <v>50</v>
      </c>
      <c r="AC1693" t="s">
        <v>51</v>
      </c>
      <c r="AD1693" t="s">
        <v>54</v>
      </c>
      <c r="AE1693" t="s">
        <v>53</v>
      </c>
      <c r="AF1693" t="s">
        <v>52</v>
      </c>
      <c r="AG1693" t="s">
        <v>52</v>
      </c>
      <c r="AH1693" t="s">
        <v>64</v>
      </c>
      <c r="AK1693">
        <v>5</v>
      </c>
      <c r="AL1693">
        <v>5</v>
      </c>
      <c r="AN1693">
        <v>364</v>
      </c>
      <c r="AO1693">
        <v>10</v>
      </c>
      <c r="AP1693" t="s">
        <v>56</v>
      </c>
      <c r="AQ1693" t="s">
        <v>109</v>
      </c>
      <c r="AR1693">
        <v>8.07</v>
      </c>
      <c r="AS1693">
        <v>0.01</v>
      </c>
      <c r="AT1693" t="s">
        <v>56</v>
      </c>
      <c r="AU1693">
        <v>616</v>
      </c>
      <c r="AV1693">
        <v>24</v>
      </c>
      <c r="AW1693" t="s">
        <v>56</v>
      </c>
      <c r="AX1693">
        <v>7.89</v>
      </c>
      <c r="AY1693">
        <v>0.01</v>
      </c>
      <c r="AZ1693" t="s">
        <v>56</v>
      </c>
      <c r="BB1693">
        <f>LOG(AU1693)</f>
        <v>2.7895807121644256</v>
      </c>
      <c r="BC1693">
        <v>26.5</v>
      </c>
      <c r="BD1693">
        <v>0</v>
      </c>
      <c r="BE1693" t="s">
        <v>56</v>
      </c>
      <c r="BF1693">
        <v>28.5</v>
      </c>
      <c r="BG1693">
        <v>0</v>
      </c>
      <c r="BH1693" t="s">
        <v>56</v>
      </c>
      <c r="BI1693">
        <v>252</v>
      </c>
      <c r="BJ1693">
        <v>2.1</v>
      </c>
      <c r="BK1693" t="s">
        <v>56</v>
      </c>
      <c r="BL1693" t="s">
        <v>899</v>
      </c>
      <c r="BM1693" t="s">
        <v>262</v>
      </c>
      <c r="BN1693" t="s">
        <v>81</v>
      </c>
      <c r="BO1693" t="s">
        <v>900</v>
      </c>
      <c r="BP1693" t="s">
        <v>92</v>
      </c>
      <c r="BQ1693" s="8" t="s">
        <v>92</v>
      </c>
      <c r="BR1693" t="s">
        <v>63</v>
      </c>
      <c r="BT1693">
        <v>7.14</v>
      </c>
      <c r="BU1693">
        <v>7.1379000000000001</v>
      </c>
      <c r="BV1693">
        <v>0.52</v>
      </c>
      <c r="BW1693">
        <f>BV1693*SQRT(AK1693)</f>
        <v>1.1627553482998907</v>
      </c>
      <c r="BX1693">
        <v>8.3800000000000008</v>
      </c>
      <c r="BY1693">
        <v>8.3793000000000006</v>
      </c>
      <c r="BZ1693">
        <v>0.72</v>
      </c>
      <c r="CA1693">
        <f>BZ1693*SQRT(AL1693)</f>
        <v>1.6099689437998486</v>
      </c>
      <c r="CB1693">
        <v>24</v>
      </c>
      <c r="CC1693">
        <v>6</v>
      </c>
      <c r="CD1693">
        <v>0.16</v>
      </c>
      <c r="CE1693">
        <v>1.2699999999999999E-2</v>
      </c>
    </row>
    <row r="1694" spans="4:83" hidden="1" x14ac:dyDescent="0.2">
      <c r="D1694">
        <v>190</v>
      </c>
      <c r="G1694" t="s">
        <v>43</v>
      </c>
      <c r="H1694" t="s">
        <v>894</v>
      </c>
      <c r="J1694">
        <v>2013</v>
      </c>
      <c r="M1694" t="s">
        <v>213</v>
      </c>
      <c r="T1694" t="s">
        <v>103</v>
      </c>
      <c r="U1694" t="s">
        <v>228</v>
      </c>
      <c r="V1694" t="s">
        <v>842</v>
      </c>
      <c r="Z1694" t="s">
        <v>106</v>
      </c>
      <c r="AA1694" t="s">
        <v>107</v>
      </c>
      <c r="AB1694" t="s">
        <v>50</v>
      </c>
      <c r="AC1694" t="s">
        <v>51</v>
      </c>
      <c r="AD1694" t="s">
        <v>54</v>
      </c>
      <c r="AE1694" t="s">
        <v>53</v>
      </c>
      <c r="AF1694" t="s">
        <v>52</v>
      </c>
      <c r="AG1694" t="s">
        <v>52</v>
      </c>
      <c r="AH1694" t="s">
        <v>64</v>
      </c>
      <c r="AK1694">
        <v>5</v>
      </c>
      <c r="AL1694">
        <v>5</v>
      </c>
      <c r="AN1694">
        <v>364</v>
      </c>
      <c r="AO1694">
        <v>10</v>
      </c>
      <c r="AP1694" t="s">
        <v>56</v>
      </c>
      <c r="AQ1694" t="s">
        <v>109</v>
      </c>
      <c r="AR1694">
        <v>8.07</v>
      </c>
      <c r="AS1694">
        <v>0.01</v>
      </c>
      <c r="AT1694" t="s">
        <v>56</v>
      </c>
      <c r="AU1694">
        <v>750</v>
      </c>
      <c r="AV1694">
        <v>26</v>
      </c>
      <c r="AW1694" t="s">
        <v>56</v>
      </c>
      <c r="AX1694">
        <v>7.81</v>
      </c>
      <c r="AY1694">
        <v>0.01</v>
      </c>
      <c r="AZ1694" t="s">
        <v>56</v>
      </c>
      <c r="BB1694">
        <f>LOG(AU1694)</f>
        <v>2.8750612633917001</v>
      </c>
      <c r="BC1694">
        <v>26.5</v>
      </c>
      <c r="BD1694">
        <v>0</v>
      </c>
      <c r="BE1694" t="s">
        <v>56</v>
      </c>
      <c r="BF1694">
        <v>28.9</v>
      </c>
      <c r="BG1694">
        <v>0</v>
      </c>
      <c r="BH1694" t="s">
        <v>56</v>
      </c>
      <c r="BI1694">
        <v>386</v>
      </c>
      <c r="BJ1694">
        <v>2.5</v>
      </c>
      <c r="BK1694" t="s">
        <v>56</v>
      </c>
      <c r="BL1694" t="s">
        <v>899</v>
      </c>
      <c r="BM1694" t="s">
        <v>262</v>
      </c>
      <c r="BN1694" t="s">
        <v>81</v>
      </c>
      <c r="BO1694" t="s">
        <v>900</v>
      </c>
      <c r="BP1694" t="s">
        <v>92</v>
      </c>
      <c r="BQ1694" s="8" t="s">
        <v>92</v>
      </c>
      <c r="BR1694" t="s">
        <v>63</v>
      </c>
      <c r="BT1694">
        <v>7.14</v>
      </c>
      <c r="BU1694">
        <v>7.1379000000000001</v>
      </c>
      <c r="BV1694">
        <v>0.52</v>
      </c>
      <c r="BW1694">
        <f>BV1694*SQRT(AK1694)</f>
        <v>1.1627553482998907</v>
      </c>
      <c r="BX1694">
        <v>8.3800000000000008</v>
      </c>
      <c r="BY1694">
        <v>8.3793000000000006</v>
      </c>
      <c r="BZ1694">
        <v>0.62</v>
      </c>
      <c r="CA1694">
        <f>BZ1694*SQRT(AL1694)</f>
        <v>1.3863621460498696</v>
      </c>
      <c r="CB1694">
        <v>24</v>
      </c>
      <c r="CC1694">
        <v>6</v>
      </c>
      <c r="CD1694">
        <v>0.16</v>
      </c>
      <c r="CE1694">
        <v>1.0699999999999999E-2</v>
      </c>
    </row>
    <row r="1695" spans="4:83" hidden="1" x14ac:dyDescent="0.2">
      <c r="D1695">
        <v>190</v>
      </c>
      <c r="G1695" t="s">
        <v>43</v>
      </c>
      <c r="H1695" t="s">
        <v>894</v>
      </c>
      <c r="J1695">
        <v>2013</v>
      </c>
      <c r="M1695" t="s">
        <v>213</v>
      </c>
      <c r="T1695" t="s">
        <v>103</v>
      </c>
      <c r="U1695" t="s">
        <v>201</v>
      </c>
      <c r="V1695" t="s">
        <v>214</v>
      </c>
      <c r="Z1695" t="s">
        <v>106</v>
      </c>
      <c r="AA1695" t="s">
        <v>107</v>
      </c>
      <c r="AB1695" t="s">
        <v>50</v>
      </c>
      <c r="AC1695" t="s">
        <v>51</v>
      </c>
      <c r="AD1695" t="s">
        <v>54</v>
      </c>
      <c r="AE1695" t="s">
        <v>53</v>
      </c>
      <c r="AF1695" t="s">
        <v>52</v>
      </c>
      <c r="AG1695" t="s">
        <v>54</v>
      </c>
      <c r="AH1695" t="s">
        <v>55</v>
      </c>
      <c r="AK1695">
        <v>5</v>
      </c>
      <c r="AL1695">
        <v>5</v>
      </c>
      <c r="AN1695">
        <v>364</v>
      </c>
      <c r="AO1695">
        <v>10</v>
      </c>
      <c r="AP1695" t="s">
        <v>56</v>
      </c>
      <c r="AQ1695" t="s">
        <v>109</v>
      </c>
      <c r="AR1695">
        <v>8.07</v>
      </c>
      <c r="AS1695">
        <v>0.01</v>
      </c>
      <c r="AT1695" t="s">
        <v>56</v>
      </c>
      <c r="AU1695">
        <v>598</v>
      </c>
      <c r="AV1695">
        <v>19</v>
      </c>
      <c r="AW1695" t="s">
        <v>56</v>
      </c>
      <c r="AX1695">
        <v>7.9</v>
      </c>
      <c r="AY1695">
        <v>0.01</v>
      </c>
      <c r="AZ1695" t="s">
        <v>56</v>
      </c>
      <c r="BB1695">
        <f>LOG(AU1695)</f>
        <v>2.7767011839884108</v>
      </c>
      <c r="BC1695">
        <v>26.5</v>
      </c>
      <c r="BD1695">
        <v>0</v>
      </c>
      <c r="BE1695" t="s">
        <v>56</v>
      </c>
      <c r="BF1695">
        <v>26.4</v>
      </c>
      <c r="BG1695">
        <v>0</v>
      </c>
      <c r="BH1695" t="s">
        <v>56</v>
      </c>
      <c r="BI1695">
        <v>234</v>
      </c>
      <c r="BJ1695">
        <v>-0.1</v>
      </c>
      <c r="BK1695" t="s">
        <v>56</v>
      </c>
      <c r="BL1695" t="s">
        <v>899</v>
      </c>
      <c r="BM1695" t="s">
        <v>262</v>
      </c>
      <c r="BN1695" t="s">
        <v>81</v>
      </c>
      <c r="BO1695" t="s">
        <v>900</v>
      </c>
      <c r="BP1695" t="s">
        <v>92</v>
      </c>
      <c r="BQ1695" s="8" t="s">
        <v>92</v>
      </c>
      <c r="BR1695" t="s">
        <v>63</v>
      </c>
      <c r="BT1695">
        <v>5.69</v>
      </c>
      <c r="BU1695">
        <v>5.6896000000000004</v>
      </c>
      <c r="BV1695">
        <v>0.62</v>
      </c>
      <c r="BW1695">
        <f>BV1695*SQRT(AK1695)</f>
        <v>1.3863621460498696</v>
      </c>
      <c r="BX1695">
        <v>6.72</v>
      </c>
      <c r="BY1695">
        <v>6.7241</v>
      </c>
      <c r="BZ1695">
        <v>0.62</v>
      </c>
      <c r="CA1695">
        <f>BZ1695*SQRT(AL1695)</f>
        <v>1.3863621460498696</v>
      </c>
      <c r="CB1695">
        <v>24</v>
      </c>
      <c r="CC1695">
        <v>6</v>
      </c>
      <c r="CD1695">
        <v>0.16700000000000001</v>
      </c>
      <c r="CE1695">
        <v>2.0400000000000001E-2</v>
      </c>
    </row>
    <row r="1696" spans="4:83" hidden="1" x14ac:dyDescent="0.2">
      <c r="D1696">
        <v>190</v>
      </c>
      <c r="G1696" t="s">
        <v>43</v>
      </c>
      <c r="H1696" t="s">
        <v>894</v>
      </c>
      <c r="J1696">
        <v>2013</v>
      </c>
      <c r="M1696" t="s">
        <v>213</v>
      </c>
      <c r="T1696" t="s">
        <v>103</v>
      </c>
      <c r="U1696" t="s">
        <v>228</v>
      </c>
      <c r="V1696" t="s">
        <v>842</v>
      </c>
      <c r="Z1696" t="s">
        <v>106</v>
      </c>
      <c r="AA1696" t="s">
        <v>107</v>
      </c>
      <c r="AB1696" t="s">
        <v>50</v>
      </c>
      <c r="AC1696" t="s">
        <v>51</v>
      </c>
      <c r="AD1696" t="s">
        <v>54</v>
      </c>
      <c r="AE1696" t="s">
        <v>53</v>
      </c>
      <c r="AF1696" t="s">
        <v>52</v>
      </c>
      <c r="AG1696" t="s">
        <v>54</v>
      </c>
      <c r="AH1696" t="s">
        <v>55</v>
      </c>
      <c r="AK1696">
        <v>5</v>
      </c>
      <c r="AL1696">
        <v>5</v>
      </c>
      <c r="AN1696">
        <v>364</v>
      </c>
      <c r="AO1696">
        <v>10</v>
      </c>
      <c r="AP1696" t="s">
        <v>56</v>
      </c>
      <c r="AQ1696" t="s">
        <v>109</v>
      </c>
      <c r="AR1696">
        <v>8.07</v>
      </c>
      <c r="AS1696">
        <v>0.01</v>
      </c>
      <c r="AT1696" t="s">
        <v>56</v>
      </c>
      <c r="AU1696">
        <v>732</v>
      </c>
      <c r="AV1696">
        <v>22</v>
      </c>
      <c r="AW1696" t="s">
        <v>56</v>
      </c>
      <c r="AX1696">
        <v>7.98</v>
      </c>
      <c r="AY1696">
        <v>0.01</v>
      </c>
      <c r="AZ1696" t="s">
        <v>56</v>
      </c>
      <c r="BB1696">
        <f>LOG(AU1696)</f>
        <v>2.8645110810583918</v>
      </c>
      <c r="BC1696">
        <v>26.5</v>
      </c>
      <c r="BD1696">
        <v>0</v>
      </c>
      <c r="BE1696" t="s">
        <v>56</v>
      </c>
      <c r="BF1696">
        <v>26.6</v>
      </c>
      <c r="BG1696">
        <v>0</v>
      </c>
      <c r="BH1696" t="s">
        <v>56</v>
      </c>
      <c r="BI1696">
        <v>368</v>
      </c>
      <c r="BJ1696">
        <v>0.2</v>
      </c>
      <c r="BK1696" t="s">
        <v>56</v>
      </c>
      <c r="BL1696" t="s">
        <v>899</v>
      </c>
      <c r="BM1696" t="s">
        <v>262</v>
      </c>
      <c r="BN1696" t="s">
        <v>81</v>
      </c>
      <c r="BO1696" t="s">
        <v>900</v>
      </c>
      <c r="BP1696" t="s">
        <v>92</v>
      </c>
      <c r="BQ1696" s="8" t="s">
        <v>92</v>
      </c>
      <c r="BR1696" t="s">
        <v>63</v>
      </c>
      <c r="BT1696">
        <v>7.14</v>
      </c>
      <c r="BU1696">
        <v>7.1379000000000001</v>
      </c>
      <c r="BV1696">
        <v>0.52</v>
      </c>
      <c r="BW1696">
        <f>BV1696*SQRT(AK1696)</f>
        <v>1.1627553482998907</v>
      </c>
      <c r="BX1696">
        <v>9.2100000000000009</v>
      </c>
      <c r="BY1696">
        <v>9.2068999999999992</v>
      </c>
      <c r="BZ1696">
        <v>0.31</v>
      </c>
      <c r="CA1696">
        <f>BZ1696*SQRT(AL1696)</f>
        <v>0.69318107302493481</v>
      </c>
      <c r="CB1696">
        <v>24</v>
      </c>
      <c r="CC1696">
        <v>6</v>
      </c>
      <c r="CD1696">
        <v>0.255</v>
      </c>
      <c r="CE1696">
        <v>6.4000000000000003E-3</v>
      </c>
    </row>
    <row r="1697" spans="1:84" hidden="1" x14ac:dyDescent="0.2">
      <c r="D1697">
        <v>190</v>
      </c>
      <c r="G1697" t="s">
        <v>43</v>
      </c>
      <c r="H1697" t="s">
        <v>894</v>
      </c>
      <c r="J1697">
        <v>2013</v>
      </c>
      <c r="M1697" t="s">
        <v>213</v>
      </c>
      <c r="T1697" t="s">
        <v>103</v>
      </c>
      <c r="U1697" t="s">
        <v>348</v>
      </c>
      <c r="V1697" t="s">
        <v>893</v>
      </c>
      <c r="Z1697" t="s">
        <v>106</v>
      </c>
      <c r="AA1697" t="s">
        <v>107</v>
      </c>
      <c r="AB1697" t="s">
        <v>50</v>
      </c>
      <c r="AC1697" t="s">
        <v>51</v>
      </c>
      <c r="AD1697" t="s">
        <v>54</v>
      </c>
      <c r="AE1697" t="s">
        <v>53</v>
      </c>
      <c r="AF1697" t="s">
        <v>52</v>
      </c>
      <c r="AG1697" t="s">
        <v>54</v>
      </c>
      <c r="AH1697" t="s">
        <v>55</v>
      </c>
      <c r="AK1697">
        <v>5</v>
      </c>
      <c r="AL1697">
        <v>5</v>
      </c>
      <c r="AN1697">
        <v>364</v>
      </c>
      <c r="AO1697">
        <v>10</v>
      </c>
      <c r="AP1697" t="s">
        <v>56</v>
      </c>
      <c r="AQ1697" t="s">
        <v>109</v>
      </c>
      <c r="AR1697">
        <v>8.07</v>
      </c>
      <c r="AS1697">
        <v>0.01</v>
      </c>
      <c r="AT1697" t="s">
        <v>56</v>
      </c>
      <c r="AU1697">
        <v>732</v>
      </c>
      <c r="AV1697">
        <v>22</v>
      </c>
      <c r="AW1697" t="s">
        <v>56</v>
      </c>
      <c r="AX1697">
        <v>7.98</v>
      </c>
      <c r="AY1697">
        <v>0.01</v>
      </c>
      <c r="AZ1697" t="s">
        <v>56</v>
      </c>
      <c r="BB1697">
        <f>LOG(AU1697)</f>
        <v>2.8645110810583918</v>
      </c>
      <c r="BC1697">
        <v>26.5</v>
      </c>
      <c r="BD1697">
        <v>0</v>
      </c>
      <c r="BE1697" t="s">
        <v>56</v>
      </c>
      <c r="BF1697">
        <v>26.6</v>
      </c>
      <c r="BG1697">
        <v>0</v>
      </c>
      <c r="BH1697" t="s">
        <v>56</v>
      </c>
      <c r="BI1697">
        <v>368</v>
      </c>
      <c r="BJ1697">
        <v>0.2</v>
      </c>
      <c r="BK1697" t="s">
        <v>56</v>
      </c>
      <c r="BL1697" t="s">
        <v>543</v>
      </c>
      <c r="BM1697" t="s">
        <v>543</v>
      </c>
      <c r="BN1697" t="s">
        <v>60</v>
      </c>
      <c r="BO1697" t="s">
        <v>898</v>
      </c>
      <c r="BP1697" t="s">
        <v>194</v>
      </c>
      <c r="BQ1697" s="8" t="s">
        <v>92</v>
      </c>
      <c r="BR1697" t="s">
        <v>63</v>
      </c>
      <c r="BT1697">
        <v>0.57999999999999996</v>
      </c>
      <c r="BU1697">
        <v>0.57610600000000001</v>
      </c>
      <c r="BV1697">
        <v>0.1</v>
      </c>
      <c r="BW1697">
        <f>BV1697*SQRT(AK1697)</f>
        <v>0.22360679774997899</v>
      </c>
      <c r="BX1697">
        <v>0.75</v>
      </c>
      <c r="BY1697">
        <v>0.74600999999999995</v>
      </c>
      <c r="BZ1697">
        <v>0.11</v>
      </c>
      <c r="CA1697">
        <f>BZ1697*SQRT(AL1697)</f>
        <v>0.24596747752497689</v>
      </c>
      <c r="CB1697">
        <v>24</v>
      </c>
      <c r="CC1697">
        <v>6</v>
      </c>
      <c r="CD1697">
        <v>0.25800000000000001</v>
      </c>
      <c r="CE1697">
        <v>4.7800000000000002E-2</v>
      </c>
    </row>
    <row r="1698" spans="1:84" hidden="1" x14ac:dyDescent="0.2">
      <c r="D1698">
        <v>190</v>
      </c>
      <c r="G1698" t="s">
        <v>43</v>
      </c>
      <c r="H1698" t="s">
        <v>894</v>
      </c>
      <c r="J1698">
        <v>2013</v>
      </c>
      <c r="M1698" t="s">
        <v>213</v>
      </c>
      <c r="T1698" t="s">
        <v>103</v>
      </c>
      <c r="U1698" t="s">
        <v>228</v>
      </c>
      <c r="V1698" t="s">
        <v>842</v>
      </c>
      <c r="Z1698" t="s">
        <v>106</v>
      </c>
      <c r="AA1698" t="s">
        <v>107</v>
      </c>
      <c r="AB1698" t="s">
        <v>50</v>
      </c>
      <c r="AC1698" t="s">
        <v>51</v>
      </c>
      <c r="AD1698" t="s">
        <v>54</v>
      </c>
      <c r="AE1698" t="s">
        <v>53</v>
      </c>
      <c r="AF1698" t="s">
        <v>52</v>
      </c>
      <c r="AG1698" t="s">
        <v>54</v>
      </c>
      <c r="AH1698" t="s">
        <v>55</v>
      </c>
      <c r="AK1698">
        <v>5</v>
      </c>
      <c r="AL1698">
        <v>5</v>
      </c>
      <c r="AN1698">
        <v>364</v>
      </c>
      <c r="AO1698">
        <v>10</v>
      </c>
      <c r="AP1698" t="s">
        <v>56</v>
      </c>
      <c r="AQ1698" t="s">
        <v>109</v>
      </c>
      <c r="AR1698">
        <v>8.07</v>
      </c>
      <c r="AS1698">
        <v>0.01</v>
      </c>
      <c r="AT1698" t="s">
        <v>56</v>
      </c>
      <c r="AU1698">
        <v>732</v>
      </c>
      <c r="AV1698">
        <v>22</v>
      </c>
      <c r="AW1698" t="s">
        <v>56</v>
      </c>
      <c r="AX1698">
        <v>7.98</v>
      </c>
      <c r="AY1698">
        <v>0.01</v>
      </c>
      <c r="AZ1698" t="s">
        <v>56</v>
      </c>
      <c r="BB1698">
        <f>LOG(AU1698)</f>
        <v>2.8645110810583918</v>
      </c>
      <c r="BC1698">
        <v>26.5</v>
      </c>
      <c r="BD1698">
        <v>0</v>
      </c>
      <c r="BE1698" t="s">
        <v>56</v>
      </c>
      <c r="BF1698">
        <v>26.6</v>
      </c>
      <c r="BG1698">
        <v>0</v>
      </c>
      <c r="BH1698" t="s">
        <v>56</v>
      </c>
      <c r="BI1698">
        <v>368</v>
      </c>
      <c r="BJ1698">
        <v>0.2</v>
      </c>
      <c r="BK1698" t="s">
        <v>56</v>
      </c>
      <c r="BL1698" t="s">
        <v>543</v>
      </c>
      <c r="BM1698" t="s">
        <v>543</v>
      </c>
      <c r="BN1698" t="s">
        <v>60</v>
      </c>
      <c r="BO1698" t="s">
        <v>898</v>
      </c>
      <c r="BP1698" t="s">
        <v>194</v>
      </c>
      <c r="BQ1698" s="8" t="s">
        <v>92</v>
      </c>
      <c r="BR1698" t="s">
        <v>63</v>
      </c>
      <c r="BT1698">
        <v>0.23</v>
      </c>
      <c r="BU1698">
        <v>0.22566</v>
      </c>
      <c r="BV1698">
        <v>0.06</v>
      </c>
      <c r="BW1698">
        <f>BV1698*SQRT(AK1698)</f>
        <v>0.13416407864998739</v>
      </c>
      <c r="BX1698">
        <v>0.3</v>
      </c>
      <c r="BY1698">
        <v>0.3</v>
      </c>
      <c r="BZ1698">
        <v>0.05</v>
      </c>
      <c r="CA1698">
        <f>BZ1698*SQRT(AL1698)</f>
        <v>0.1118033988749895</v>
      </c>
      <c r="CB1698">
        <v>24</v>
      </c>
      <c r="CC1698">
        <v>6</v>
      </c>
      <c r="CD1698">
        <v>0.28499999999999998</v>
      </c>
      <c r="CE1698">
        <v>0.1108</v>
      </c>
    </row>
    <row r="1699" spans="1:84" hidden="1" x14ac:dyDescent="0.2">
      <c r="D1699">
        <v>190</v>
      </c>
      <c r="G1699" t="s">
        <v>43</v>
      </c>
      <c r="H1699" t="s">
        <v>894</v>
      </c>
      <c r="J1699">
        <v>2013</v>
      </c>
      <c r="M1699" t="s">
        <v>213</v>
      </c>
      <c r="T1699" t="s">
        <v>103</v>
      </c>
      <c r="U1699" t="s">
        <v>348</v>
      </c>
      <c r="V1699" t="s">
        <v>893</v>
      </c>
      <c r="Z1699" t="s">
        <v>106</v>
      </c>
      <c r="AA1699" t="s">
        <v>107</v>
      </c>
      <c r="AB1699" t="s">
        <v>50</v>
      </c>
      <c r="AC1699" t="s">
        <v>51</v>
      </c>
      <c r="AD1699" t="s">
        <v>54</v>
      </c>
      <c r="AE1699" t="s">
        <v>53</v>
      </c>
      <c r="AF1699" t="s">
        <v>54</v>
      </c>
      <c r="AG1699" t="s">
        <v>52</v>
      </c>
      <c r="AH1699" t="s">
        <v>65</v>
      </c>
      <c r="AK1699">
        <v>5</v>
      </c>
      <c r="AL1699">
        <v>5</v>
      </c>
      <c r="AN1699">
        <v>364</v>
      </c>
      <c r="AO1699">
        <v>10</v>
      </c>
      <c r="AP1699" t="s">
        <v>56</v>
      </c>
      <c r="AQ1699" t="s">
        <v>109</v>
      </c>
      <c r="AR1699">
        <v>8.07</v>
      </c>
      <c r="AS1699">
        <v>0.01</v>
      </c>
      <c r="AT1699" t="s">
        <v>56</v>
      </c>
      <c r="AU1699">
        <v>401</v>
      </c>
      <c r="AV1699">
        <v>17</v>
      </c>
      <c r="AW1699" t="s">
        <v>56</v>
      </c>
      <c r="AX1699">
        <v>8.0399999999999991</v>
      </c>
      <c r="AY1699">
        <v>0.01</v>
      </c>
      <c r="AZ1699" t="s">
        <v>56</v>
      </c>
      <c r="BB1699">
        <f>LOG(AU1699)</f>
        <v>2.6031443726201822</v>
      </c>
      <c r="BC1699">
        <v>26.5</v>
      </c>
      <c r="BD1699">
        <v>0</v>
      </c>
      <c r="BE1699" t="s">
        <v>56</v>
      </c>
      <c r="BF1699">
        <v>29.3</v>
      </c>
      <c r="BG1699">
        <v>0</v>
      </c>
      <c r="BH1699" t="s">
        <v>56</v>
      </c>
      <c r="BI1699">
        <v>36</v>
      </c>
      <c r="BJ1699">
        <v>2.9</v>
      </c>
      <c r="BK1699" t="s">
        <v>56</v>
      </c>
      <c r="BL1699" t="s">
        <v>543</v>
      </c>
      <c r="BM1699" t="s">
        <v>543</v>
      </c>
      <c r="BN1699" t="s">
        <v>60</v>
      </c>
      <c r="BO1699" t="s">
        <v>898</v>
      </c>
      <c r="BP1699" t="s">
        <v>194</v>
      </c>
      <c r="BQ1699" s="8" t="s">
        <v>92</v>
      </c>
      <c r="BR1699" t="s">
        <v>63</v>
      </c>
      <c r="BT1699">
        <v>0.57999999999999996</v>
      </c>
      <c r="BU1699">
        <v>0.57610600000000001</v>
      </c>
      <c r="BV1699">
        <v>0.1</v>
      </c>
      <c r="BW1699">
        <f>BV1699*SQRT(AK1699)</f>
        <v>0.22360679774997899</v>
      </c>
      <c r="BX1699">
        <v>0.78</v>
      </c>
      <c r="BY1699">
        <v>0.77787600000000001</v>
      </c>
      <c r="BZ1699">
        <v>0.13</v>
      </c>
      <c r="CA1699">
        <f>BZ1699*SQRT(AL1699)</f>
        <v>0.29068883707497267</v>
      </c>
      <c r="CB1699">
        <v>24</v>
      </c>
      <c r="CC1699">
        <v>6</v>
      </c>
      <c r="CD1699">
        <v>0.3</v>
      </c>
      <c r="CE1699">
        <v>5.4399999999999997E-2</v>
      </c>
    </row>
    <row r="1700" spans="1:84" hidden="1" x14ac:dyDescent="0.2">
      <c r="D1700">
        <v>190</v>
      </c>
      <c r="G1700" t="s">
        <v>43</v>
      </c>
      <c r="H1700" t="s">
        <v>894</v>
      </c>
      <c r="J1700">
        <v>2013</v>
      </c>
      <c r="M1700" t="s">
        <v>213</v>
      </c>
      <c r="T1700" t="s">
        <v>103</v>
      </c>
      <c r="U1700" t="s">
        <v>201</v>
      </c>
      <c r="V1700" t="s">
        <v>214</v>
      </c>
      <c r="Z1700" t="s">
        <v>106</v>
      </c>
      <c r="AA1700" t="s">
        <v>107</v>
      </c>
      <c r="AB1700" t="s">
        <v>50</v>
      </c>
      <c r="AC1700" t="s">
        <v>51</v>
      </c>
      <c r="AD1700" t="s">
        <v>54</v>
      </c>
      <c r="AE1700" t="s">
        <v>53</v>
      </c>
      <c r="AF1700" t="s">
        <v>52</v>
      </c>
      <c r="AG1700" t="s">
        <v>54</v>
      </c>
      <c r="AH1700" t="s">
        <v>55</v>
      </c>
      <c r="AK1700">
        <v>5</v>
      </c>
      <c r="AL1700">
        <v>5</v>
      </c>
      <c r="AN1700">
        <v>364</v>
      </c>
      <c r="AO1700">
        <v>10</v>
      </c>
      <c r="AP1700" t="s">
        <v>56</v>
      </c>
      <c r="AQ1700" t="s">
        <v>109</v>
      </c>
      <c r="AR1700">
        <v>8.07</v>
      </c>
      <c r="AS1700">
        <v>0.01</v>
      </c>
      <c r="AT1700" t="s">
        <v>56</v>
      </c>
      <c r="AU1700">
        <v>732</v>
      </c>
      <c r="AV1700">
        <v>22</v>
      </c>
      <c r="AW1700" t="s">
        <v>56</v>
      </c>
      <c r="AX1700">
        <v>7.98</v>
      </c>
      <c r="AY1700">
        <v>0.01</v>
      </c>
      <c r="AZ1700" t="s">
        <v>56</v>
      </c>
      <c r="BB1700">
        <f>LOG(AU1700)</f>
        <v>2.8645110810583918</v>
      </c>
      <c r="BC1700">
        <v>26.5</v>
      </c>
      <c r="BD1700">
        <v>0</v>
      </c>
      <c r="BE1700" t="s">
        <v>56</v>
      </c>
      <c r="BF1700">
        <v>26.6</v>
      </c>
      <c r="BG1700">
        <v>0</v>
      </c>
      <c r="BH1700" t="s">
        <v>56</v>
      </c>
      <c r="BI1700">
        <v>368</v>
      </c>
      <c r="BJ1700">
        <v>0.2</v>
      </c>
      <c r="BK1700" t="s">
        <v>895</v>
      </c>
      <c r="BL1700" t="s">
        <v>232</v>
      </c>
      <c r="BM1700" t="s">
        <v>232</v>
      </c>
      <c r="BN1700" t="s">
        <v>81</v>
      </c>
      <c r="BO1700" t="s">
        <v>896</v>
      </c>
      <c r="BP1700" t="s">
        <v>234</v>
      </c>
      <c r="BQ1700" s="8" t="s">
        <v>83</v>
      </c>
      <c r="BR1700" t="s">
        <v>63</v>
      </c>
      <c r="BT1700">
        <v>0.08</v>
      </c>
      <c r="BU1700">
        <v>7.4999999999999997E-2</v>
      </c>
      <c r="BV1700">
        <v>0.01</v>
      </c>
      <c r="BW1700">
        <f>BV1700*SQRT(AK1700)</f>
        <v>2.2360679774997897E-2</v>
      </c>
      <c r="BX1700">
        <v>0.11</v>
      </c>
      <c r="BY1700">
        <v>0.1104</v>
      </c>
      <c r="BZ1700">
        <v>0.03</v>
      </c>
      <c r="CA1700">
        <f>BZ1700*SQRT(AL1700)</f>
        <v>6.7082039324993695E-2</v>
      </c>
      <c r="CB1700">
        <v>24</v>
      </c>
      <c r="CC1700">
        <v>6</v>
      </c>
      <c r="CD1700">
        <v>0.38700000000000001</v>
      </c>
      <c r="CE1700">
        <v>9.1600000000000001E-2</v>
      </c>
    </row>
    <row r="1701" spans="1:84" hidden="1" x14ac:dyDescent="0.2">
      <c r="D1701">
        <v>190</v>
      </c>
      <c r="G1701" t="s">
        <v>43</v>
      </c>
      <c r="H1701" t="s">
        <v>894</v>
      </c>
      <c r="J1701">
        <v>2013</v>
      </c>
      <c r="M1701" t="s">
        <v>213</v>
      </c>
      <c r="T1701" t="s">
        <v>103</v>
      </c>
      <c r="U1701" t="s">
        <v>201</v>
      </c>
      <c r="V1701" t="s">
        <v>214</v>
      </c>
      <c r="Z1701" t="s">
        <v>106</v>
      </c>
      <c r="AA1701" t="s">
        <v>107</v>
      </c>
      <c r="AB1701" t="s">
        <v>50</v>
      </c>
      <c r="AC1701" t="s">
        <v>51</v>
      </c>
      <c r="AD1701" t="s">
        <v>54</v>
      </c>
      <c r="AE1701" t="s">
        <v>53</v>
      </c>
      <c r="AF1701" t="s">
        <v>52</v>
      </c>
      <c r="AG1701" t="s">
        <v>52</v>
      </c>
      <c r="AH1701" t="s">
        <v>64</v>
      </c>
      <c r="AK1701">
        <v>5</v>
      </c>
      <c r="AL1701">
        <v>5</v>
      </c>
      <c r="AN1701">
        <v>364</v>
      </c>
      <c r="AO1701">
        <v>10</v>
      </c>
      <c r="AP1701" t="s">
        <v>56</v>
      </c>
      <c r="AQ1701" t="s">
        <v>109</v>
      </c>
      <c r="AR1701">
        <v>8.07</v>
      </c>
      <c r="AS1701">
        <v>0.01</v>
      </c>
      <c r="AT1701" t="s">
        <v>56</v>
      </c>
      <c r="AU1701">
        <v>616</v>
      </c>
      <c r="AV1701">
        <v>24</v>
      </c>
      <c r="AW1701" t="s">
        <v>56</v>
      </c>
      <c r="AX1701">
        <v>7.89</v>
      </c>
      <c r="AY1701">
        <v>0.01</v>
      </c>
      <c r="AZ1701" t="s">
        <v>56</v>
      </c>
      <c r="BB1701">
        <f>LOG(AU1701)</f>
        <v>2.7895807121644256</v>
      </c>
      <c r="BC1701">
        <v>26.5</v>
      </c>
      <c r="BD1701">
        <v>0</v>
      </c>
      <c r="BE1701" t="s">
        <v>56</v>
      </c>
      <c r="BF1701">
        <v>28.5</v>
      </c>
      <c r="BG1701">
        <v>0</v>
      </c>
      <c r="BH1701" t="s">
        <v>56</v>
      </c>
      <c r="BI1701">
        <v>252</v>
      </c>
      <c r="BJ1701">
        <v>2.1</v>
      </c>
      <c r="BK1701" t="s">
        <v>895</v>
      </c>
      <c r="BL1701" t="s">
        <v>232</v>
      </c>
      <c r="BM1701" t="s">
        <v>232</v>
      </c>
      <c r="BN1701" t="s">
        <v>81</v>
      </c>
      <c r="BO1701" t="s">
        <v>896</v>
      </c>
      <c r="BP1701" t="s">
        <v>234</v>
      </c>
      <c r="BQ1701" s="8" t="s">
        <v>190</v>
      </c>
      <c r="BR1701" t="s">
        <v>63</v>
      </c>
      <c r="BT1701">
        <v>0.08</v>
      </c>
      <c r="BU1701">
        <v>7.4999999999999997E-2</v>
      </c>
      <c r="BV1701">
        <v>0.01</v>
      </c>
      <c r="BW1701">
        <f>BV1701*SQRT(AK1701)</f>
        <v>2.2360679774997897E-2</v>
      </c>
      <c r="BX1701">
        <v>0.14000000000000001</v>
      </c>
      <c r="BY1701">
        <v>0.13950000000000001</v>
      </c>
      <c r="BZ1701">
        <v>0.03</v>
      </c>
      <c r="CA1701">
        <f>BZ1701*SQRT(AL1701)</f>
        <v>6.7082039324993695E-2</v>
      </c>
      <c r="CB1701">
        <v>24</v>
      </c>
      <c r="CC1701">
        <v>6</v>
      </c>
      <c r="CD1701">
        <v>0.621</v>
      </c>
      <c r="CE1701">
        <v>4.3499999999999997E-2</v>
      </c>
    </row>
    <row r="1702" spans="1:84" hidden="1" x14ac:dyDescent="0.2">
      <c r="D1702">
        <v>190</v>
      </c>
      <c r="G1702" t="s">
        <v>43</v>
      </c>
      <c r="H1702" t="s">
        <v>894</v>
      </c>
      <c r="J1702">
        <v>2013</v>
      </c>
      <c r="M1702" t="s">
        <v>213</v>
      </c>
      <c r="T1702" t="s">
        <v>103</v>
      </c>
      <c r="U1702" t="s">
        <v>201</v>
      </c>
      <c r="V1702" t="s">
        <v>214</v>
      </c>
      <c r="Z1702" t="s">
        <v>106</v>
      </c>
      <c r="AA1702" t="s">
        <v>107</v>
      </c>
      <c r="AB1702" t="s">
        <v>50</v>
      </c>
      <c r="AC1702" t="s">
        <v>51</v>
      </c>
      <c r="AD1702" t="s">
        <v>54</v>
      </c>
      <c r="AE1702" t="s">
        <v>53</v>
      </c>
      <c r="AF1702" t="s">
        <v>54</v>
      </c>
      <c r="AG1702" t="s">
        <v>52</v>
      </c>
      <c r="AH1702" t="s">
        <v>65</v>
      </c>
      <c r="AK1702">
        <v>5</v>
      </c>
      <c r="AL1702">
        <v>5</v>
      </c>
      <c r="AN1702">
        <v>364</v>
      </c>
      <c r="AO1702">
        <v>10</v>
      </c>
      <c r="AP1702" t="s">
        <v>56</v>
      </c>
      <c r="AQ1702" t="s">
        <v>109</v>
      </c>
      <c r="AR1702">
        <v>8.07</v>
      </c>
      <c r="AS1702">
        <v>0.01</v>
      </c>
      <c r="AT1702" t="s">
        <v>56</v>
      </c>
      <c r="AU1702">
        <v>401</v>
      </c>
      <c r="AV1702">
        <v>17</v>
      </c>
      <c r="AW1702" t="s">
        <v>56</v>
      </c>
      <c r="AX1702">
        <v>8.0399999999999991</v>
      </c>
      <c r="AY1702">
        <v>0.01</v>
      </c>
      <c r="AZ1702" t="s">
        <v>56</v>
      </c>
      <c r="BB1702">
        <f>LOG(AU1702)</f>
        <v>2.6031443726201822</v>
      </c>
      <c r="BC1702">
        <v>26.5</v>
      </c>
      <c r="BD1702">
        <v>0</v>
      </c>
      <c r="BE1702" t="s">
        <v>56</v>
      </c>
      <c r="BF1702">
        <v>29.3</v>
      </c>
      <c r="BG1702">
        <v>0</v>
      </c>
      <c r="BH1702" t="s">
        <v>56</v>
      </c>
      <c r="BI1702">
        <v>36</v>
      </c>
      <c r="BJ1702">
        <v>2.9</v>
      </c>
      <c r="BK1702" t="s">
        <v>895</v>
      </c>
      <c r="BL1702" t="s">
        <v>232</v>
      </c>
      <c r="BM1702" t="s">
        <v>232</v>
      </c>
      <c r="BN1702" t="s">
        <v>81</v>
      </c>
      <c r="BO1702" t="s">
        <v>896</v>
      </c>
      <c r="BP1702" t="s">
        <v>234</v>
      </c>
      <c r="BQ1702" s="8" t="s">
        <v>83</v>
      </c>
      <c r="BR1702" t="s">
        <v>63</v>
      </c>
      <c r="BT1702">
        <v>0.08</v>
      </c>
      <c r="BU1702">
        <v>7.4999999999999997E-2</v>
      </c>
      <c r="BV1702">
        <v>0.01</v>
      </c>
      <c r="BW1702">
        <f>BV1702*SQRT(AK1702)</f>
        <v>2.2360679774997897E-2</v>
      </c>
      <c r="BX1702">
        <v>0.14000000000000001</v>
      </c>
      <c r="BY1702">
        <v>0.1416</v>
      </c>
      <c r="BZ1702">
        <v>0.02</v>
      </c>
      <c r="CA1702">
        <f>BZ1702*SQRT(AL1702)</f>
        <v>4.4721359549995794E-2</v>
      </c>
      <c r="CB1702">
        <v>24</v>
      </c>
      <c r="CC1702">
        <v>6</v>
      </c>
      <c r="CD1702">
        <v>0.63600000000000001</v>
      </c>
      <c r="CE1702">
        <v>3.32E-2</v>
      </c>
    </row>
    <row r="1703" spans="1:84" hidden="1" x14ac:dyDescent="0.2">
      <c r="D1703">
        <v>190</v>
      </c>
      <c r="G1703" t="s">
        <v>43</v>
      </c>
      <c r="H1703" t="s">
        <v>894</v>
      </c>
      <c r="J1703">
        <v>2013</v>
      </c>
      <c r="M1703" t="s">
        <v>213</v>
      </c>
      <c r="T1703" t="s">
        <v>103</v>
      </c>
      <c r="U1703" t="s">
        <v>201</v>
      </c>
      <c r="V1703" t="s">
        <v>214</v>
      </c>
      <c r="Z1703" t="s">
        <v>106</v>
      </c>
      <c r="AA1703" t="s">
        <v>107</v>
      </c>
      <c r="AB1703" t="s">
        <v>50</v>
      </c>
      <c r="AC1703" t="s">
        <v>51</v>
      </c>
      <c r="AD1703" t="s">
        <v>54</v>
      </c>
      <c r="AE1703" t="s">
        <v>53</v>
      </c>
      <c r="AF1703" t="s">
        <v>52</v>
      </c>
      <c r="AG1703" t="s">
        <v>52</v>
      </c>
      <c r="AH1703" t="s">
        <v>64</v>
      </c>
      <c r="AK1703">
        <v>5</v>
      </c>
      <c r="AL1703">
        <v>5</v>
      </c>
      <c r="AN1703">
        <v>364</v>
      </c>
      <c r="AO1703">
        <v>10</v>
      </c>
      <c r="AP1703" t="s">
        <v>56</v>
      </c>
      <c r="AQ1703" t="s">
        <v>109</v>
      </c>
      <c r="AR1703">
        <v>8.07</v>
      </c>
      <c r="AS1703">
        <v>0.01</v>
      </c>
      <c r="AT1703" t="s">
        <v>56</v>
      </c>
      <c r="AU1703">
        <v>750</v>
      </c>
      <c r="AV1703">
        <v>26</v>
      </c>
      <c r="AW1703" t="s">
        <v>56</v>
      </c>
      <c r="AX1703">
        <v>7.81</v>
      </c>
      <c r="AY1703">
        <v>0.01</v>
      </c>
      <c r="AZ1703" t="s">
        <v>56</v>
      </c>
      <c r="BB1703">
        <f>LOG(AU1703)</f>
        <v>2.8750612633917001</v>
      </c>
      <c r="BC1703">
        <v>26.5</v>
      </c>
      <c r="BD1703">
        <v>0</v>
      </c>
      <c r="BE1703" t="s">
        <v>56</v>
      </c>
      <c r="BF1703">
        <v>28.9</v>
      </c>
      <c r="BG1703">
        <v>0</v>
      </c>
      <c r="BH1703" t="s">
        <v>56</v>
      </c>
      <c r="BI1703">
        <v>386</v>
      </c>
      <c r="BJ1703">
        <v>2.5</v>
      </c>
      <c r="BK1703" t="s">
        <v>895</v>
      </c>
      <c r="BL1703" t="s">
        <v>232</v>
      </c>
      <c r="BM1703" t="s">
        <v>232</v>
      </c>
      <c r="BN1703" t="s">
        <v>81</v>
      </c>
      <c r="BO1703" t="s">
        <v>896</v>
      </c>
      <c r="BP1703" t="s">
        <v>234</v>
      </c>
      <c r="BQ1703" s="8" t="s">
        <v>190</v>
      </c>
      <c r="BR1703" t="s">
        <v>63</v>
      </c>
      <c r="BT1703">
        <v>0.08</v>
      </c>
      <c r="BU1703">
        <v>7.4999999999999997E-2</v>
      </c>
      <c r="BV1703">
        <v>0.01</v>
      </c>
      <c r="BW1703">
        <f>BV1703*SQRT(AK1703)</f>
        <v>2.2360679774997897E-2</v>
      </c>
      <c r="BX1703">
        <v>0.15</v>
      </c>
      <c r="BY1703">
        <v>0.15</v>
      </c>
      <c r="BZ1703">
        <v>0.02</v>
      </c>
      <c r="CA1703">
        <f>BZ1703*SQRT(AL1703)</f>
        <v>4.4721359549995794E-2</v>
      </c>
      <c r="CB1703">
        <v>24</v>
      </c>
      <c r="CC1703">
        <v>6</v>
      </c>
      <c r="CD1703">
        <v>0.69299999999999995</v>
      </c>
      <c r="CE1703">
        <v>2.3599999999999999E-2</v>
      </c>
    </row>
    <row r="1704" spans="1:84" hidden="1" x14ac:dyDescent="0.2">
      <c r="D1704">
        <v>190</v>
      </c>
      <c r="G1704" t="s">
        <v>43</v>
      </c>
      <c r="H1704" t="s">
        <v>894</v>
      </c>
      <c r="J1704">
        <v>2013</v>
      </c>
      <c r="M1704" t="s">
        <v>213</v>
      </c>
      <c r="T1704" t="s">
        <v>103</v>
      </c>
      <c r="U1704" t="s">
        <v>201</v>
      </c>
      <c r="V1704" t="s">
        <v>214</v>
      </c>
      <c r="Z1704" t="s">
        <v>106</v>
      </c>
      <c r="AA1704" t="s">
        <v>107</v>
      </c>
      <c r="AB1704" t="s">
        <v>50</v>
      </c>
      <c r="AC1704" t="s">
        <v>51</v>
      </c>
      <c r="AD1704" t="s">
        <v>54</v>
      </c>
      <c r="AE1704" t="s">
        <v>53</v>
      </c>
      <c r="AF1704" t="s">
        <v>52</v>
      </c>
      <c r="AG1704" t="s">
        <v>54</v>
      </c>
      <c r="AH1704" t="s">
        <v>55</v>
      </c>
      <c r="AK1704">
        <v>5</v>
      </c>
      <c r="AL1704">
        <v>5</v>
      </c>
      <c r="AN1704">
        <v>364</v>
      </c>
      <c r="AO1704">
        <v>10</v>
      </c>
      <c r="AP1704" t="s">
        <v>56</v>
      </c>
      <c r="AQ1704" t="s">
        <v>109</v>
      </c>
      <c r="AR1704">
        <v>8.07</v>
      </c>
      <c r="AS1704">
        <v>0.01</v>
      </c>
      <c r="AT1704" t="s">
        <v>56</v>
      </c>
      <c r="AU1704">
        <v>598</v>
      </c>
      <c r="AV1704">
        <v>19</v>
      </c>
      <c r="AW1704" t="s">
        <v>56</v>
      </c>
      <c r="AX1704">
        <v>7.9</v>
      </c>
      <c r="AY1704">
        <v>0.01</v>
      </c>
      <c r="AZ1704" t="s">
        <v>56</v>
      </c>
      <c r="BB1704">
        <f>LOG(AU1704)</f>
        <v>2.7767011839884108</v>
      </c>
      <c r="BC1704">
        <v>26.5</v>
      </c>
      <c r="BD1704">
        <v>0</v>
      </c>
      <c r="BE1704" t="s">
        <v>56</v>
      </c>
      <c r="BF1704">
        <v>26.4</v>
      </c>
      <c r="BG1704">
        <v>0</v>
      </c>
      <c r="BH1704" t="s">
        <v>56</v>
      </c>
      <c r="BI1704">
        <v>234</v>
      </c>
      <c r="BJ1704">
        <v>-0.1</v>
      </c>
      <c r="BK1704" t="s">
        <v>895</v>
      </c>
      <c r="BL1704" t="s">
        <v>232</v>
      </c>
      <c r="BM1704" t="s">
        <v>232</v>
      </c>
      <c r="BN1704" t="s">
        <v>81</v>
      </c>
      <c r="BO1704" t="s">
        <v>896</v>
      </c>
      <c r="BP1704" t="s">
        <v>234</v>
      </c>
      <c r="BQ1704" s="8" t="s">
        <v>190</v>
      </c>
      <c r="BR1704" t="s">
        <v>63</v>
      </c>
      <c r="BT1704">
        <v>0.08</v>
      </c>
      <c r="BU1704">
        <v>7.4999999999999997E-2</v>
      </c>
      <c r="BV1704">
        <v>0.01</v>
      </c>
      <c r="BW1704">
        <f>BV1704*SQRT(AK1704)</f>
        <v>2.2360679774997897E-2</v>
      </c>
      <c r="BX1704">
        <v>0.16</v>
      </c>
      <c r="BY1704">
        <v>0.15620000000000001</v>
      </c>
      <c r="BZ1704">
        <v>0.02</v>
      </c>
      <c r="CA1704">
        <f>BZ1704*SQRT(AL1704)</f>
        <v>4.4721359549995794E-2</v>
      </c>
      <c r="CB1704">
        <v>24</v>
      </c>
      <c r="CC1704">
        <v>6</v>
      </c>
      <c r="CD1704">
        <v>0.73399999999999999</v>
      </c>
      <c r="CE1704">
        <v>3.2899999999999999E-2</v>
      </c>
    </row>
    <row r="1705" spans="1:84" hidden="1" x14ac:dyDescent="0.2">
      <c r="A1705" s="8"/>
      <c r="B1705" t="str">
        <f>ROW()-1&amp;"_AltersInvert"</f>
        <v>1704_AltersInvert</v>
      </c>
      <c r="C1705" t="str">
        <f>D1705&amp;"_"&amp;
SUBSTITUTE(TRIM(V1705)," ","_")&amp;"_"&amp;
TRIM(AC1705)&amp;"_"&amp;
"CO2"&amp;TEXT(AN1705,"0.00")&amp;"_"&amp;
"pH"&amp;TEXT(AR1705,"0.00")&amp;"_"&amp;
"T"&amp;TEXT(BC1705,"0.##")</f>
        <v>201_Heliocidaris_erythrogramma_EMBRYO_CO2330.00_pH8.25_T22.</v>
      </c>
      <c r="D1705" s="8">
        <v>201</v>
      </c>
      <c r="E1705" s="8"/>
      <c r="F1705" s="8"/>
      <c r="G1705" s="8" t="s">
        <v>43</v>
      </c>
      <c r="H1705" s="8" t="s">
        <v>950</v>
      </c>
      <c r="I1705" s="8"/>
      <c r="J1705" s="8">
        <v>2010</v>
      </c>
      <c r="K1705" s="8"/>
      <c r="L1705" s="8"/>
      <c r="M1705" s="8" t="s">
        <v>67</v>
      </c>
      <c r="N1705" s="8"/>
      <c r="O1705" s="8"/>
      <c r="P1705" t="s">
        <v>1135</v>
      </c>
      <c r="Q1705" s="8"/>
      <c r="R1705" s="8" t="s">
        <v>1127</v>
      </c>
      <c r="S1705" t="s">
        <v>1128</v>
      </c>
      <c r="T1705" s="8" t="s">
        <v>46</v>
      </c>
      <c r="U1705" s="8" t="s">
        <v>382</v>
      </c>
      <c r="V1705" s="8" t="s">
        <v>383</v>
      </c>
      <c r="W1705" s="8" t="str">
        <f>IF(ISNUMBER(MATCH(V1099,{"Doryteuthis pealeii","Loligo vulgaris","Leptuca thayeri","Stylocheilus striatus","Ophryotrocha labronica"},0)),"N","Y")</f>
        <v>Y</v>
      </c>
      <c r="X1705" s="8"/>
      <c r="Y1705" s="8"/>
      <c r="Z1705" s="8" t="s">
        <v>177</v>
      </c>
      <c r="AA1705" s="8" t="s">
        <v>177</v>
      </c>
      <c r="AB1705" s="8" t="s">
        <v>71</v>
      </c>
      <c r="AC1705" s="8" t="s">
        <v>195</v>
      </c>
      <c r="AD1705" s="8" t="s">
        <v>52</v>
      </c>
      <c r="AE1705" s="8" t="s">
        <v>53</v>
      </c>
      <c r="AF1705" s="8" t="s">
        <v>52</v>
      </c>
      <c r="AG1705" s="8" t="s">
        <v>54</v>
      </c>
      <c r="AH1705" s="8" t="s">
        <v>55</v>
      </c>
      <c r="AI1705" s="8"/>
      <c r="AJ1705" s="8"/>
      <c r="AK1705" s="8">
        <v>3</v>
      </c>
      <c r="AL1705" s="8">
        <v>3</v>
      </c>
      <c r="AM1705" s="8"/>
      <c r="AN1705" s="8">
        <v>330</v>
      </c>
      <c r="AO1705" s="8">
        <v>23</v>
      </c>
      <c r="AP1705" s="8" t="s">
        <v>56</v>
      </c>
      <c r="AQ1705" s="8" t="s">
        <v>57</v>
      </c>
      <c r="AR1705" s="8">
        <v>8.25</v>
      </c>
      <c r="AS1705" s="8" t="s">
        <v>56</v>
      </c>
      <c r="AT1705" s="8" t="s">
        <v>56</v>
      </c>
      <c r="AU1705" s="8">
        <v>1069</v>
      </c>
      <c r="AV1705">
        <v>16</v>
      </c>
      <c r="AW1705" t="s">
        <v>56</v>
      </c>
      <c r="AX1705">
        <v>7.8</v>
      </c>
      <c r="AY1705" t="s">
        <v>56</v>
      </c>
      <c r="AZ1705" t="s">
        <v>56</v>
      </c>
      <c r="BA1705" s="8"/>
      <c r="BB1705" s="8">
        <f>LOG(AU1705)</f>
        <v>3.0289777052087778</v>
      </c>
      <c r="BC1705" s="8">
        <v>22</v>
      </c>
      <c r="BD1705" s="8" t="s">
        <v>56</v>
      </c>
      <c r="BE1705" s="8" t="s">
        <v>56</v>
      </c>
      <c r="BF1705" s="8">
        <v>22</v>
      </c>
      <c r="BG1705" s="8" t="s">
        <v>56</v>
      </c>
      <c r="BH1705" s="8" t="s">
        <v>56</v>
      </c>
      <c r="BI1705" s="8">
        <v>739</v>
      </c>
      <c r="BJ1705" s="8">
        <v>0</v>
      </c>
      <c r="BK1705" s="8" t="s">
        <v>56</v>
      </c>
      <c r="BL1705" s="8" t="s">
        <v>933</v>
      </c>
      <c r="BM1705" s="8" t="s">
        <v>473</v>
      </c>
      <c r="BN1705" s="8" t="s">
        <v>81</v>
      </c>
      <c r="BO1705" s="8" t="s">
        <v>82</v>
      </c>
      <c r="BP1705" s="8" t="s">
        <v>190</v>
      </c>
      <c r="BQ1705" s="8" t="s">
        <v>190</v>
      </c>
      <c r="BR1705" s="8" t="s">
        <v>84</v>
      </c>
      <c r="BS1705" s="8"/>
      <c r="BT1705" s="8">
        <v>90.33</v>
      </c>
      <c r="BU1705" s="8">
        <v>90.33</v>
      </c>
      <c r="BV1705" s="8">
        <v>4.71</v>
      </c>
      <c r="BW1705" s="8">
        <f>BV1705*SQRT(AK1705)</f>
        <v>8.1579593036494114</v>
      </c>
      <c r="BX1705" s="8">
        <v>89.25</v>
      </c>
      <c r="BY1705" s="8">
        <v>89.25</v>
      </c>
      <c r="BZ1705" s="8">
        <v>5.3</v>
      </c>
      <c r="CA1705" s="8">
        <f>BZ1705*SQRT(AL1705)</f>
        <v>9.1798692801150494</v>
      </c>
      <c r="CB1705" s="8">
        <v>1</v>
      </c>
      <c r="CC1705" s="8">
        <v>1</v>
      </c>
      <c r="CD1705" s="8">
        <v>-1.2E-2</v>
      </c>
      <c r="CE1705" s="8">
        <v>6.1999999999999998E-3</v>
      </c>
      <c r="CF1705" s="8" t="s">
        <v>1134</v>
      </c>
    </row>
    <row r="1706" spans="1:84" hidden="1" x14ac:dyDescent="0.2">
      <c r="A1706" s="8"/>
      <c r="B1706" t="str">
        <f>ROW()-1&amp;"_AltersInvert"</f>
        <v>1705_AltersInvert</v>
      </c>
      <c r="C1706" t="str">
        <f>D1706&amp;"_"&amp;
SUBSTITUTE(TRIM(V1706)," ","_")&amp;"_"&amp;
TRIM(AC1706)&amp;"_"&amp;
"CO2"&amp;TEXT(AN1706,"0.00")&amp;"_"&amp;
"pH"&amp;TEXT(AR1706,"0.00")&amp;"_"&amp;
"T"&amp;TEXT(BC1706,"0.##")</f>
        <v>201_Heliocidaris_erythrogramma_EMBRYO_CO2330.00_pH8.25_T22.</v>
      </c>
      <c r="D1706" s="8">
        <v>201</v>
      </c>
      <c r="E1706" s="8"/>
      <c r="F1706" s="8"/>
      <c r="G1706" s="8" t="s">
        <v>43</v>
      </c>
      <c r="H1706" s="8" t="s">
        <v>950</v>
      </c>
      <c r="I1706" s="8"/>
      <c r="J1706" s="8">
        <v>2010</v>
      </c>
      <c r="K1706" s="8"/>
      <c r="L1706" s="8"/>
      <c r="M1706" s="8" t="s">
        <v>67</v>
      </c>
      <c r="N1706" s="8"/>
      <c r="O1706" s="8"/>
      <c r="P1706" t="s">
        <v>1135</v>
      </c>
      <c r="Q1706" s="8"/>
      <c r="R1706" s="8" t="s">
        <v>1127</v>
      </c>
      <c r="S1706" t="s">
        <v>1128</v>
      </c>
      <c r="T1706" s="8" t="s">
        <v>46</v>
      </c>
      <c r="U1706" s="8" t="s">
        <v>382</v>
      </c>
      <c r="V1706" s="8" t="s">
        <v>383</v>
      </c>
      <c r="W1706" s="8" t="str">
        <f>IF(ISNUMBER(MATCH(V1100,{"Doryteuthis pealeii","Loligo vulgaris","Leptuca thayeri","Stylocheilus striatus","Ophryotrocha labronica"},0)),"N","Y")</f>
        <v>Y</v>
      </c>
      <c r="X1706" s="8"/>
      <c r="Y1706" s="8"/>
      <c r="Z1706" s="8" t="s">
        <v>177</v>
      </c>
      <c r="AA1706" s="8" t="s">
        <v>177</v>
      </c>
      <c r="AB1706" s="8" t="s">
        <v>71</v>
      </c>
      <c r="AC1706" s="8" t="s">
        <v>195</v>
      </c>
      <c r="AD1706" s="8" t="s">
        <v>52</v>
      </c>
      <c r="AE1706" s="8" t="s">
        <v>53</v>
      </c>
      <c r="AF1706" s="8" t="s">
        <v>52</v>
      </c>
      <c r="AG1706" s="8" t="s">
        <v>54</v>
      </c>
      <c r="AH1706" s="8" t="s">
        <v>55</v>
      </c>
      <c r="AI1706" s="8"/>
      <c r="AJ1706" s="8"/>
      <c r="AK1706" s="8">
        <v>3</v>
      </c>
      <c r="AL1706" s="8">
        <v>3</v>
      </c>
      <c r="AM1706" s="8"/>
      <c r="AN1706" s="8">
        <v>330</v>
      </c>
      <c r="AO1706" s="8">
        <v>23</v>
      </c>
      <c r="AP1706" s="8" t="s">
        <v>56</v>
      </c>
      <c r="AQ1706" s="8" t="s">
        <v>57</v>
      </c>
      <c r="AR1706" s="8">
        <v>8.25</v>
      </c>
      <c r="AS1706" s="8" t="s">
        <v>56</v>
      </c>
      <c r="AT1706" s="8" t="s">
        <v>56</v>
      </c>
      <c r="AU1706" s="8">
        <v>1762</v>
      </c>
      <c r="AV1706">
        <v>26</v>
      </c>
      <c r="AW1706" t="s">
        <v>56</v>
      </c>
      <c r="AX1706">
        <v>7.6</v>
      </c>
      <c r="AY1706" t="s">
        <v>56</v>
      </c>
      <c r="AZ1706" t="s">
        <v>56</v>
      </c>
      <c r="BA1706" s="8"/>
      <c r="BB1706" s="8">
        <f>LOG(AU1706)</f>
        <v>3.246005904076029</v>
      </c>
      <c r="BC1706" s="8">
        <v>22</v>
      </c>
      <c r="BD1706" s="8" t="s">
        <v>56</v>
      </c>
      <c r="BE1706" s="8" t="s">
        <v>56</v>
      </c>
      <c r="BF1706" s="8">
        <v>22</v>
      </c>
      <c r="BG1706" s="8" t="s">
        <v>56</v>
      </c>
      <c r="BH1706" s="8" t="s">
        <v>56</v>
      </c>
      <c r="BI1706" s="8">
        <v>1432</v>
      </c>
      <c r="BJ1706" s="8">
        <v>0</v>
      </c>
      <c r="BK1706" s="8" t="s">
        <v>56</v>
      </c>
      <c r="BL1706" s="8" t="s">
        <v>933</v>
      </c>
      <c r="BM1706" s="8" t="s">
        <v>473</v>
      </c>
      <c r="BN1706" s="8" t="s">
        <v>81</v>
      </c>
      <c r="BO1706" s="8" t="s">
        <v>82</v>
      </c>
      <c r="BP1706" s="8" t="s">
        <v>190</v>
      </c>
      <c r="BQ1706" s="8" t="s">
        <v>190</v>
      </c>
      <c r="BR1706" s="8" t="s">
        <v>84</v>
      </c>
      <c r="BS1706" s="8"/>
      <c r="BT1706" s="8">
        <v>90.33</v>
      </c>
      <c r="BU1706" s="8">
        <v>90.33</v>
      </c>
      <c r="BV1706" s="8">
        <v>4.71</v>
      </c>
      <c r="BW1706" s="8">
        <f>BV1706*SQRT(AK1706)</f>
        <v>8.1579593036494114</v>
      </c>
      <c r="BX1706" s="8">
        <v>92.29</v>
      </c>
      <c r="BY1706" s="8">
        <v>92.29</v>
      </c>
      <c r="BZ1706" s="8">
        <v>4.12</v>
      </c>
      <c r="CA1706" s="8">
        <f>BZ1706*SQRT(AL1706)</f>
        <v>7.1360493271837742</v>
      </c>
      <c r="CB1706" s="8">
        <v>1</v>
      </c>
      <c r="CC1706" s="8">
        <v>1</v>
      </c>
      <c r="CD1706" s="8">
        <v>2.1000000000000001E-2</v>
      </c>
      <c r="CE1706" s="8">
        <v>4.7000000000000002E-3</v>
      </c>
      <c r="CF1706" s="8" t="s">
        <v>1134</v>
      </c>
    </row>
    <row r="1707" spans="1:84" hidden="1" x14ac:dyDescent="0.2">
      <c r="A1707" s="8"/>
      <c r="B1707" t="str">
        <f>ROW()-1&amp;"_AltersInvert"</f>
        <v>1706_AltersInvert</v>
      </c>
      <c r="C1707" t="str">
        <f>D1707&amp;"_"&amp;
SUBSTITUTE(TRIM(V1707)," ","_")&amp;"_"&amp;
TRIM(AC1707)&amp;"_"&amp;
"CO2"&amp;TEXT(AN1707,"0.00")&amp;"_"&amp;
"pH"&amp;TEXT(AR1707,"0.00")&amp;"_"&amp;
"T"&amp;TEXT(BC1707,"0.##")</f>
        <v>201_Heliocidaris_erythrogramma_EMBRYO_CO2330.00_pH8.25_T22.</v>
      </c>
      <c r="D1707" s="8">
        <v>201</v>
      </c>
      <c r="E1707" s="8"/>
      <c r="F1707" s="8"/>
      <c r="G1707" s="8" t="s">
        <v>43</v>
      </c>
      <c r="H1707" s="8" t="s">
        <v>950</v>
      </c>
      <c r="I1707" s="8"/>
      <c r="J1707" s="8">
        <v>2010</v>
      </c>
      <c r="K1707" s="8"/>
      <c r="L1707" s="8"/>
      <c r="M1707" s="8" t="s">
        <v>67</v>
      </c>
      <c r="N1707" s="8"/>
      <c r="O1707" s="8"/>
      <c r="P1707" t="s">
        <v>1135</v>
      </c>
      <c r="Q1707" s="8"/>
      <c r="R1707" s="8" t="s">
        <v>1127</v>
      </c>
      <c r="S1707" t="s">
        <v>1128</v>
      </c>
      <c r="T1707" s="8" t="s">
        <v>46</v>
      </c>
      <c r="U1707" s="8" t="s">
        <v>382</v>
      </c>
      <c r="V1707" s="8" t="s">
        <v>383</v>
      </c>
      <c r="W1707" s="8" t="str">
        <f>IF(ISNUMBER(MATCH(V1101,{"Doryteuthis pealeii","Loligo vulgaris","Leptuca thayeri","Stylocheilus striatus","Ophryotrocha labronica"},0)),"N","Y")</f>
        <v>Y</v>
      </c>
      <c r="X1707" s="8"/>
      <c r="Y1707" s="8"/>
      <c r="Z1707" s="8" t="s">
        <v>177</v>
      </c>
      <c r="AA1707" s="8" t="s">
        <v>177</v>
      </c>
      <c r="AB1707" s="8" t="s">
        <v>71</v>
      </c>
      <c r="AC1707" s="8" t="s">
        <v>195</v>
      </c>
      <c r="AD1707" s="8" t="s">
        <v>52</v>
      </c>
      <c r="AE1707" s="8" t="s">
        <v>53</v>
      </c>
      <c r="AF1707" s="8" t="s">
        <v>54</v>
      </c>
      <c r="AG1707" s="8" t="s">
        <v>52</v>
      </c>
      <c r="AH1707" s="8" t="s">
        <v>65</v>
      </c>
      <c r="AI1707" s="8"/>
      <c r="AJ1707" s="8"/>
      <c r="AK1707" s="8">
        <v>3</v>
      </c>
      <c r="AL1707" s="8">
        <v>3</v>
      </c>
      <c r="AM1707" s="8"/>
      <c r="AN1707" s="8">
        <v>330</v>
      </c>
      <c r="AO1707" s="8">
        <v>23</v>
      </c>
      <c r="AP1707" s="8" t="s">
        <v>56</v>
      </c>
      <c r="AQ1707" s="8" t="s">
        <v>57</v>
      </c>
      <c r="AR1707" s="8">
        <v>8.25</v>
      </c>
      <c r="AS1707" s="8" t="s">
        <v>56</v>
      </c>
      <c r="AT1707" s="8" t="s">
        <v>56</v>
      </c>
      <c r="AU1707" s="8">
        <v>332</v>
      </c>
      <c r="AV1707">
        <v>23</v>
      </c>
      <c r="AW1707" t="s">
        <v>56</v>
      </c>
      <c r="AX1707">
        <v>8.25</v>
      </c>
      <c r="AY1707" t="s">
        <v>56</v>
      </c>
      <c r="AZ1707" t="s">
        <v>56</v>
      </c>
      <c r="BA1707" s="8"/>
      <c r="BB1707" s="8">
        <f>LOG(AU1707)</f>
        <v>2.5211380837040362</v>
      </c>
      <c r="BC1707" s="8">
        <v>22</v>
      </c>
      <c r="BD1707" s="8" t="s">
        <v>56</v>
      </c>
      <c r="BE1707" s="8" t="s">
        <v>56</v>
      </c>
      <c r="BF1707" s="8">
        <v>24</v>
      </c>
      <c r="BG1707" s="8" t="s">
        <v>56</v>
      </c>
      <c r="BH1707" s="8" t="s">
        <v>56</v>
      </c>
      <c r="BI1707" s="8">
        <v>2</v>
      </c>
      <c r="BJ1707" s="8">
        <v>2</v>
      </c>
      <c r="BK1707" s="8" t="s">
        <v>56</v>
      </c>
      <c r="BL1707" s="8" t="s">
        <v>933</v>
      </c>
      <c r="BM1707" s="8" t="s">
        <v>473</v>
      </c>
      <c r="BN1707" s="8" t="s">
        <v>81</v>
      </c>
      <c r="BO1707" s="8" t="s">
        <v>82</v>
      </c>
      <c r="BP1707" s="8" t="s">
        <v>190</v>
      </c>
      <c r="BQ1707" s="8" t="s">
        <v>190</v>
      </c>
      <c r="BR1707" s="8" t="s">
        <v>84</v>
      </c>
      <c r="BS1707" s="8"/>
      <c r="BT1707" s="8">
        <v>90.33</v>
      </c>
      <c r="BU1707" s="8">
        <v>90.33</v>
      </c>
      <c r="BV1707" s="8">
        <v>4.71</v>
      </c>
      <c r="BW1707" s="8">
        <f>BV1707*SQRT(AK1707)</f>
        <v>8.1579593036494114</v>
      </c>
      <c r="BX1707" s="8">
        <v>86.82</v>
      </c>
      <c r="BY1707" s="8">
        <v>86.82</v>
      </c>
      <c r="BZ1707" s="8">
        <v>5.89</v>
      </c>
      <c r="CA1707" s="8">
        <f>BZ1707*SQRT(AL1707)</f>
        <v>10.201779256580686</v>
      </c>
      <c r="CB1707" s="8">
        <v>1</v>
      </c>
      <c r="CC1707" s="8">
        <v>1</v>
      </c>
      <c r="CD1707" s="8">
        <v>-0.04</v>
      </c>
      <c r="CE1707" s="8">
        <v>7.3000000000000001E-3</v>
      </c>
      <c r="CF1707" s="8" t="s">
        <v>1134</v>
      </c>
    </row>
    <row r="1708" spans="1:84" hidden="1" x14ac:dyDescent="0.2">
      <c r="A1708" s="8"/>
      <c r="B1708" t="str">
        <f>ROW()-1&amp;"_AltersInvert"</f>
        <v>1707_AltersInvert</v>
      </c>
      <c r="C1708" t="str">
        <f>D1708&amp;"_"&amp;
SUBSTITUTE(TRIM(V1708)," ","_")&amp;"_"&amp;
TRIM(AC1708)&amp;"_"&amp;
"CO2"&amp;TEXT(AN1708,"0.00")&amp;"_"&amp;
"pH"&amp;TEXT(AR1708,"0.00")&amp;"_"&amp;
"T"&amp;TEXT(BC1708,"0.##")</f>
        <v>201_Heliocidaris_erythrogramma_EMBRYO_CO2330.00_pH8.25_T22.</v>
      </c>
      <c r="D1708" s="8">
        <v>201</v>
      </c>
      <c r="E1708" s="8"/>
      <c r="F1708" s="8"/>
      <c r="G1708" s="8" t="s">
        <v>43</v>
      </c>
      <c r="H1708" s="8" t="s">
        <v>950</v>
      </c>
      <c r="I1708" s="8"/>
      <c r="J1708" s="8">
        <v>2010</v>
      </c>
      <c r="K1708" s="8"/>
      <c r="L1708" s="8"/>
      <c r="M1708" s="8" t="s">
        <v>67</v>
      </c>
      <c r="N1708" s="8"/>
      <c r="O1708" s="8"/>
      <c r="P1708" t="s">
        <v>1135</v>
      </c>
      <c r="Q1708" s="8"/>
      <c r="R1708" s="8" t="s">
        <v>1127</v>
      </c>
      <c r="S1708" t="s">
        <v>1128</v>
      </c>
      <c r="T1708" s="8" t="s">
        <v>46</v>
      </c>
      <c r="U1708" s="8" t="s">
        <v>382</v>
      </c>
      <c r="V1708" s="8" t="s">
        <v>383</v>
      </c>
      <c r="W1708" s="8" t="str">
        <f>IF(ISNUMBER(MATCH(V1102,{"Doryteuthis pealeii","Loligo vulgaris","Leptuca thayeri","Stylocheilus striatus","Ophryotrocha labronica"},0)),"N","Y")</f>
        <v>Y</v>
      </c>
      <c r="X1708" s="8"/>
      <c r="Y1708" s="8"/>
      <c r="Z1708" s="8" t="s">
        <v>177</v>
      </c>
      <c r="AA1708" s="8" t="s">
        <v>177</v>
      </c>
      <c r="AB1708" s="8" t="s">
        <v>71</v>
      </c>
      <c r="AC1708" s="8" t="s">
        <v>195</v>
      </c>
      <c r="AD1708" s="8" t="s">
        <v>52</v>
      </c>
      <c r="AE1708" s="8" t="s">
        <v>53</v>
      </c>
      <c r="AF1708" s="8" t="s">
        <v>54</v>
      </c>
      <c r="AG1708" s="8" t="s">
        <v>52</v>
      </c>
      <c r="AH1708" s="8" t="s">
        <v>65</v>
      </c>
      <c r="AI1708" s="8"/>
      <c r="AJ1708" s="8"/>
      <c r="AK1708" s="8">
        <v>3</v>
      </c>
      <c r="AL1708" s="8">
        <v>3</v>
      </c>
      <c r="AM1708" s="8"/>
      <c r="AN1708" s="8">
        <v>330</v>
      </c>
      <c r="AO1708" s="8">
        <v>23</v>
      </c>
      <c r="AP1708" s="8" t="s">
        <v>56</v>
      </c>
      <c r="AQ1708" s="8" t="s">
        <v>57</v>
      </c>
      <c r="AR1708" s="8">
        <v>8.25</v>
      </c>
      <c r="AS1708" s="8" t="s">
        <v>56</v>
      </c>
      <c r="AT1708" s="8" t="s">
        <v>56</v>
      </c>
      <c r="AU1708" s="8">
        <v>335</v>
      </c>
      <c r="AV1708">
        <v>23</v>
      </c>
      <c r="AW1708" t="s">
        <v>56</v>
      </c>
      <c r="AX1708">
        <v>8.25</v>
      </c>
      <c r="AY1708" t="s">
        <v>56</v>
      </c>
      <c r="AZ1708" t="s">
        <v>56</v>
      </c>
      <c r="BA1708" s="8"/>
      <c r="BB1708" s="8">
        <f>LOG(AU1708)</f>
        <v>2.5250448070368452</v>
      </c>
      <c r="BC1708" s="8">
        <v>22</v>
      </c>
      <c r="BD1708" s="8" t="s">
        <v>56</v>
      </c>
      <c r="BE1708" s="8" t="s">
        <v>56</v>
      </c>
      <c r="BF1708" s="8">
        <v>26</v>
      </c>
      <c r="BG1708" s="8" t="s">
        <v>56</v>
      </c>
      <c r="BH1708" s="8" t="s">
        <v>56</v>
      </c>
      <c r="BI1708" s="8">
        <v>5</v>
      </c>
      <c r="BJ1708" s="8">
        <v>4</v>
      </c>
      <c r="BK1708" s="8" t="s">
        <v>56</v>
      </c>
      <c r="BL1708" s="8" t="s">
        <v>933</v>
      </c>
      <c r="BM1708" s="8" t="s">
        <v>473</v>
      </c>
      <c r="BN1708" s="8" t="s">
        <v>81</v>
      </c>
      <c r="BO1708" s="8" t="s">
        <v>82</v>
      </c>
      <c r="BP1708" s="8" t="s">
        <v>190</v>
      </c>
      <c r="BQ1708" s="8" t="s">
        <v>190</v>
      </c>
      <c r="BR1708" s="8" t="s">
        <v>84</v>
      </c>
      <c r="BS1708" s="8"/>
      <c r="BT1708" s="8">
        <v>90.33</v>
      </c>
      <c r="BU1708" s="8">
        <v>90.33</v>
      </c>
      <c r="BV1708" s="8">
        <v>4.71</v>
      </c>
      <c r="BW1708" s="8">
        <f>BV1708*SQRT(AK1708)</f>
        <v>8.1579593036494114</v>
      </c>
      <c r="BX1708" s="8">
        <v>90.97</v>
      </c>
      <c r="BY1708" s="8">
        <v>90.97</v>
      </c>
      <c r="BZ1708" s="8">
        <v>5.29</v>
      </c>
      <c r="CA1708" s="8">
        <f>BZ1708*SQRT(AL1708)</f>
        <v>9.1625487720393597</v>
      </c>
      <c r="CB1708" s="8">
        <v>1</v>
      </c>
      <c r="CC1708" s="8">
        <v>1</v>
      </c>
      <c r="CD1708" s="8">
        <v>7.0000000000000001E-3</v>
      </c>
      <c r="CE1708" s="8">
        <v>6.1000000000000004E-3</v>
      </c>
      <c r="CF1708" s="8" t="s">
        <v>1134</v>
      </c>
    </row>
    <row r="1709" spans="1:84" hidden="1" x14ac:dyDescent="0.2">
      <c r="A1709" s="8"/>
      <c r="B1709" t="str">
        <f>ROW()-1&amp;"_AltersInvert"</f>
        <v>1708_AltersInvert</v>
      </c>
      <c r="C1709" t="str">
        <f>D1709&amp;"_"&amp;
SUBSTITUTE(TRIM(V1709)," ","_")&amp;"_"&amp;
TRIM(AC1709)&amp;"_"&amp;
"CO2"&amp;TEXT(AN1709,"0.00")&amp;"_"&amp;
"pH"&amp;TEXT(AR1709,"0.00")&amp;"_"&amp;
"T"&amp;TEXT(BC1709,"0.##")</f>
        <v>201_Heliocidaris_erythrogramma_EMBRYO_CO2330.00_pH8.25_T22.</v>
      </c>
      <c r="D1709" s="8">
        <v>201</v>
      </c>
      <c r="E1709" s="8"/>
      <c r="F1709" s="8"/>
      <c r="G1709" s="8" t="s">
        <v>43</v>
      </c>
      <c r="H1709" s="8" t="s">
        <v>950</v>
      </c>
      <c r="I1709" s="8"/>
      <c r="J1709" s="8">
        <v>2010</v>
      </c>
      <c r="K1709" s="8"/>
      <c r="L1709" s="8"/>
      <c r="M1709" s="8" t="s">
        <v>67</v>
      </c>
      <c r="N1709" s="8"/>
      <c r="O1709" s="8"/>
      <c r="P1709" t="s">
        <v>1135</v>
      </c>
      <c r="Q1709" s="8"/>
      <c r="R1709" s="8" t="s">
        <v>1127</v>
      </c>
      <c r="S1709" t="s">
        <v>1128</v>
      </c>
      <c r="T1709" s="8" t="s">
        <v>46</v>
      </c>
      <c r="U1709" s="8" t="s">
        <v>382</v>
      </c>
      <c r="V1709" s="8" t="s">
        <v>383</v>
      </c>
      <c r="W1709" s="8" t="str">
        <f>IF(ISNUMBER(MATCH(V1103,{"Doryteuthis pealeii","Loligo vulgaris","Leptuca thayeri","Stylocheilus striatus","Ophryotrocha labronica"},0)),"N","Y")</f>
        <v>Y</v>
      </c>
      <c r="X1709" s="8"/>
      <c r="Y1709" s="8"/>
      <c r="Z1709" s="8" t="s">
        <v>177</v>
      </c>
      <c r="AA1709" s="8" t="s">
        <v>177</v>
      </c>
      <c r="AB1709" s="8" t="s">
        <v>71</v>
      </c>
      <c r="AC1709" s="8" t="s">
        <v>195</v>
      </c>
      <c r="AD1709" s="8" t="s">
        <v>52</v>
      </c>
      <c r="AE1709" s="8" t="s">
        <v>53</v>
      </c>
      <c r="AF1709" s="8" t="s">
        <v>52</v>
      </c>
      <c r="AG1709" s="8" t="s">
        <v>52</v>
      </c>
      <c r="AH1709" s="8" t="s">
        <v>64</v>
      </c>
      <c r="AI1709" s="8"/>
      <c r="AJ1709" s="8"/>
      <c r="AK1709" s="8">
        <v>3</v>
      </c>
      <c r="AL1709" s="8">
        <v>3</v>
      </c>
      <c r="AM1709" s="8"/>
      <c r="AN1709" s="8">
        <v>330</v>
      </c>
      <c r="AO1709" s="8">
        <v>23</v>
      </c>
      <c r="AP1709" s="8" t="s">
        <v>56</v>
      </c>
      <c r="AQ1709" s="8" t="s">
        <v>57</v>
      </c>
      <c r="AR1709" s="8">
        <v>8.25</v>
      </c>
      <c r="AS1709" s="8" t="s">
        <v>56</v>
      </c>
      <c r="AT1709" s="8" t="s">
        <v>56</v>
      </c>
      <c r="AU1709" s="8">
        <v>1828</v>
      </c>
      <c r="AV1709">
        <v>27</v>
      </c>
      <c r="AW1709" t="s">
        <v>56</v>
      </c>
      <c r="AX1709">
        <v>7.6</v>
      </c>
      <c r="AY1709" t="s">
        <v>56</v>
      </c>
      <c r="AZ1709" t="s">
        <v>56</v>
      </c>
      <c r="BA1709" s="8"/>
      <c r="BB1709" s="8">
        <f>LOG(AU1709)</f>
        <v>3.2619761913978125</v>
      </c>
      <c r="BC1709" s="8">
        <v>22</v>
      </c>
      <c r="BD1709" s="8" t="s">
        <v>56</v>
      </c>
      <c r="BE1709" s="8" t="s">
        <v>56</v>
      </c>
      <c r="BF1709" s="8">
        <v>26</v>
      </c>
      <c r="BG1709" s="8" t="s">
        <v>56</v>
      </c>
      <c r="BH1709" s="8" t="s">
        <v>56</v>
      </c>
      <c r="BI1709" s="8">
        <v>1498</v>
      </c>
      <c r="BJ1709" s="8">
        <v>4</v>
      </c>
      <c r="BK1709" s="8" t="s">
        <v>56</v>
      </c>
      <c r="BL1709" s="8" t="s">
        <v>933</v>
      </c>
      <c r="BM1709" s="8" t="s">
        <v>473</v>
      </c>
      <c r="BN1709" s="8" t="s">
        <v>81</v>
      </c>
      <c r="BO1709" s="8" t="s">
        <v>82</v>
      </c>
      <c r="BP1709" s="8" t="s">
        <v>190</v>
      </c>
      <c r="BQ1709" s="8" t="s">
        <v>190</v>
      </c>
      <c r="BR1709" s="8" t="s">
        <v>84</v>
      </c>
      <c r="BS1709" s="8"/>
      <c r="BT1709" s="8">
        <v>90.33</v>
      </c>
      <c r="BU1709" s="8">
        <v>90.33</v>
      </c>
      <c r="BV1709" s="8">
        <v>4.71</v>
      </c>
      <c r="BW1709" s="8">
        <f>BV1709*SQRT(AK1709)</f>
        <v>8.1579593036494114</v>
      </c>
      <c r="BX1709" s="8">
        <v>85.28</v>
      </c>
      <c r="BY1709" s="8">
        <v>85.28</v>
      </c>
      <c r="BZ1709" s="8">
        <v>7.06</v>
      </c>
      <c r="CA1709" s="8">
        <f>BZ1709*SQRT(AL1709)</f>
        <v>12.228278701436272</v>
      </c>
      <c r="CB1709" s="8">
        <v>1</v>
      </c>
      <c r="CC1709" s="8">
        <v>1</v>
      </c>
      <c r="CD1709" s="8">
        <v>-5.8000000000000003E-2</v>
      </c>
      <c r="CE1709" s="8">
        <v>9.5999999999999992E-3</v>
      </c>
      <c r="CF1709" s="8" t="s">
        <v>1134</v>
      </c>
    </row>
    <row r="1710" spans="1:84" hidden="1" x14ac:dyDescent="0.2">
      <c r="A1710" s="8"/>
      <c r="B1710" t="str">
        <f>ROW()-1&amp;"_AltersInvert"</f>
        <v>1709_AltersInvert</v>
      </c>
      <c r="C1710" t="str">
        <f>D1710&amp;"_"&amp;
SUBSTITUTE(TRIM(V1710)," ","_")&amp;"_"&amp;
TRIM(AC1710)&amp;"_"&amp;
"CO2"&amp;TEXT(AN1710,"0.00")&amp;"_"&amp;
"pH"&amp;TEXT(AR1710,"0.00")&amp;"_"&amp;
"T"&amp;TEXT(BC1710,"0.##")</f>
        <v>201_Heliocidaris_erythrogramma_EMBRYO_CO2330.00_pH8.25_T22.</v>
      </c>
      <c r="D1710" s="8">
        <v>201</v>
      </c>
      <c r="E1710" s="8"/>
      <c r="F1710" s="8"/>
      <c r="G1710" s="8" t="s">
        <v>43</v>
      </c>
      <c r="H1710" s="8" t="s">
        <v>950</v>
      </c>
      <c r="I1710" s="8"/>
      <c r="J1710" s="8">
        <v>2010</v>
      </c>
      <c r="K1710" s="8"/>
      <c r="L1710" s="8"/>
      <c r="M1710" s="8" t="s">
        <v>67</v>
      </c>
      <c r="N1710" s="8"/>
      <c r="O1710" s="8"/>
      <c r="P1710" t="s">
        <v>1135</v>
      </c>
      <c r="Q1710" s="8"/>
      <c r="R1710" s="8" t="s">
        <v>1127</v>
      </c>
      <c r="S1710" t="s">
        <v>1128</v>
      </c>
      <c r="T1710" s="8" t="s">
        <v>46</v>
      </c>
      <c r="U1710" s="8" t="s">
        <v>382</v>
      </c>
      <c r="V1710" s="8" t="s">
        <v>383</v>
      </c>
      <c r="W1710" s="8" t="str">
        <f>IF(ISNUMBER(MATCH(V1104,{"Doryteuthis pealeii","Loligo vulgaris","Leptuca thayeri","Stylocheilus striatus","Ophryotrocha labronica"},0)),"N","Y")</f>
        <v>Y</v>
      </c>
      <c r="X1710" s="8"/>
      <c r="Y1710" s="8"/>
      <c r="Z1710" s="8" t="s">
        <v>177</v>
      </c>
      <c r="AA1710" s="8" t="s">
        <v>177</v>
      </c>
      <c r="AB1710" s="8" t="s">
        <v>71</v>
      </c>
      <c r="AC1710" s="8" t="s">
        <v>195</v>
      </c>
      <c r="AD1710" s="8" t="s">
        <v>52</v>
      </c>
      <c r="AE1710" s="8" t="s">
        <v>53</v>
      </c>
      <c r="AF1710" s="8" t="s">
        <v>52</v>
      </c>
      <c r="AG1710" s="8" t="s">
        <v>52</v>
      </c>
      <c r="AH1710" s="8" t="s">
        <v>64</v>
      </c>
      <c r="AI1710" s="8"/>
      <c r="AJ1710" s="8"/>
      <c r="AK1710" s="8">
        <v>3</v>
      </c>
      <c r="AL1710" s="8">
        <v>3</v>
      </c>
      <c r="AM1710" s="8"/>
      <c r="AN1710" s="8">
        <v>330</v>
      </c>
      <c r="AO1710" s="8">
        <v>23</v>
      </c>
      <c r="AP1710" s="8" t="s">
        <v>56</v>
      </c>
      <c r="AQ1710" s="8" t="s">
        <v>57</v>
      </c>
      <c r="AR1710" s="8">
        <v>8.25</v>
      </c>
      <c r="AS1710" s="8" t="s">
        <v>56</v>
      </c>
      <c r="AT1710" s="8" t="s">
        <v>56</v>
      </c>
      <c r="AU1710" s="8">
        <v>1104</v>
      </c>
      <c r="AV1710">
        <v>16</v>
      </c>
      <c r="AW1710" t="s">
        <v>56</v>
      </c>
      <c r="AX1710">
        <v>7.8</v>
      </c>
      <c r="AY1710" t="s">
        <v>56</v>
      </c>
      <c r="AZ1710" t="s">
        <v>56</v>
      </c>
      <c r="BA1710" s="8"/>
      <c r="BB1710" s="8">
        <f>LOG(AU1710)</f>
        <v>3.0429690733931802</v>
      </c>
      <c r="BC1710" s="8">
        <v>22</v>
      </c>
      <c r="BD1710" s="8" t="s">
        <v>56</v>
      </c>
      <c r="BE1710" s="8" t="s">
        <v>56</v>
      </c>
      <c r="BF1710" s="8">
        <v>26</v>
      </c>
      <c r="BG1710" s="8" t="s">
        <v>56</v>
      </c>
      <c r="BH1710" s="8" t="s">
        <v>56</v>
      </c>
      <c r="BI1710" s="8">
        <v>774</v>
      </c>
      <c r="BJ1710" s="8">
        <v>4</v>
      </c>
      <c r="BK1710" s="8" t="s">
        <v>56</v>
      </c>
      <c r="BL1710" s="8" t="s">
        <v>933</v>
      </c>
      <c r="BM1710" s="8" t="s">
        <v>473</v>
      </c>
      <c r="BN1710" s="8" t="s">
        <v>81</v>
      </c>
      <c r="BO1710" s="8" t="s">
        <v>82</v>
      </c>
      <c r="BP1710" s="8" t="s">
        <v>190</v>
      </c>
      <c r="BQ1710" s="8" t="s">
        <v>190</v>
      </c>
      <c r="BR1710" s="8" t="s">
        <v>84</v>
      </c>
      <c r="BS1710" s="8"/>
      <c r="BT1710" s="8">
        <v>90.33</v>
      </c>
      <c r="BU1710" s="8">
        <v>90.33</v>
      </c>
      <c r="BV1710" s="8">
        <v>4.71</v>
      </c>
      <c r="BW1710" s="8">
        <f>BV1710*SQRT(AK1710)</f>
        <v>8.1579593036494114</v>
      </c>
      <c r="BX1710" s="8">
        <v>85.77</v>
      </c>
      <c r="BY1710" s="8">
        <v>85.77</v>
      </c>
      <c r="BZ1710" s="8">
        <v>6.47</v>
      </c>
      <c r="CA1710" s="8">
        <f>BZ1710*SQRT(AL1710)</f>
        <v>11.206368724970636</v>
      </c>
      <c r="CB1710" s="8">
        <v>1</v>
      </c>
      <c r="CC1710" s="8">
        <v>1</v>
      </c>
      <c r="CD1710" s="8">
        <v>-5.1999999999999998E-2</v>
      </c>
      <c r="CE1710" s="8">
        <v>8.3999999999999995E-3</v>
      </c>
      <c r="CF1710" s="8" t="s">
        <v>1134</v>
      </c>
    </row>
    <row r="1711" spans="1:84" hidden="1" x14ac:dyDescent="0.2">
      <c r="A1711" s="8"/>
      <c r="B1711" t="str">
        <f>ROW()-1&amp;"_AltersInvert"</f>
        <v>1710_AltersInvert</v>
      </c>
      <c r="C1711" t="str">
        <f>D1711&amp;"_"&amp;
SUBSTITUTE(TRIM(V1711)," ","_")&amp;"_"&amp;
TRIM(AC1711)&amp;"_"&amp;
"CO2"&amp;TEXT(AN1711,"0.00")&amp;"_"&amp;
"pH"&amp;TEXT(AR1711,"0.00")&amp;"_"&amp;
"T"&amp;TEXT(BC1711,"0.##")</f>
        <v>201_Heliocidaris_erythrogramma_EMBRYO_CO2330.00_pH8.25_T22.</v>
      </c>
      <c r="D1711" s="8">
        <v>201</v>
      </c>
      <c r="E1711" s="8"/>
      <c r="F1711" s="8"/>
      <c r="G1711" s="8" t="s">
        <v>43</v>
      </c>
      <c r="H1711" s="8" t="s">
        <v>950</v>
      </c>
      <c r="I1711" s="8"/>
      <c r="J1711" s="8">
        <v>2010</v>
      </c>
      <c r="K1711" s="8"/>
      <c r="L1711" s="8"/>
      <c r="M1711" s="8" t="s">
        <v>67</v>
      </c>
      <c r="N1711" s="8"/>
      <c r="O1711" s="8"/>
      <c r="P1711" t="s">
        <v>1135</v>
      </c>
      <c r="Q1711" s="8"/>
      <c r="R1711" s="8" t="s">
        <v>1127</v>
      </c>
      <c r="S1711" t="s">
        <v>1128</v>
      </c>
      <c r="T1711" s="8" t="s">
        <v>46</v>
      </c>
      <c r="U1711" s="8" t="s">
        <v>382</v>
      </c>
      <c r="V1711" s="8" t="s">
        <v>383</v>
      </c>
      <c r="W1711" s="8" t="str">
        <f>IF(ISNUMBER(MATCH(V1105,{"Doryteuthis pealeii","Loligo vulgaris","Leptuca thayeri","Stylocheilus striatus","Ophryotrocha labronica"},0)),"N","Y")</f>
        <v>Y</v>
      </c>
      <c r="X1711" s="8"/>
      <c r="Y1711" s="8"/>
      <c r="Z1711" s="8" t="s">
        <v>177</v>
      </c>
      <c r="AA1711" s="8" t="s">
        <v>177</v>
      </c>
      <c r="AB1711" s="8" t="s">
        <v>71</v>
      </c>
      <c r="AC1711" s="8" t="s">
        <v>195</v>
      </c>
      <c r="AD1711" s="8" t="s">
        <v>52</v>
      </c>
      <c r="AE1711" s="8" t="s">
        <v>53</v>
      </c>
      <c r="AF1711" s="8" t="s">
        <v>52</v>
      </c>
      <c r="AG1711" s="8" t="s">
        <v>52</v>
      </c>
      <c r="AH1711" s="8" t="s">
        <v>64</v>
      </c>
      <c r="AI1711" s="8"/>
      <c r="AJ1711" s="8"/>
      <c r="AK1711" s="8">
        <v>3</v>
      </c>
      <c r="AL1711" s="8">
        <v>3</v>
      </c>
      <c r="AM1711" s="8"/>
      <c r="AN1711" s="8">
        <v>330</v>
      </c>
      <c r="AO1711" s="8">
        <v>23</v>
      </c>
      <c r="AP1711" s="8" t="s">
        <v>56</v>
      </c>
      <c r="AQ1711" s="8" t="s">
        <v>57</v>
      </c>
      <c r="AR1711" s="8">
        <v>8.25</v>
      </c>
      <c r="AS1711" s="8" t="s">
        <v>56</v>
      </c>
      <c r="AT1711" s="8" t="s">
        <v>56</v>
      </c>
      <c r="AU1711" s="8">
        <v>1795</v>
      </c>
      <c r="AV1711">
        <v>26</v>
      </c>
      <c r="AW1711" t="s">
        <v>56</v>
      </c>
      <c r="AX1711">
        <v>7.6</v>
      </c>
      <c r="AY1711" t="s">
        <v>56</v>
      </c>
      <c r="AZ1711" t="s">
        <v>56</v>
      </c>
      <c r="BA1711" s="8"/>
      <c r="BB1711" s="8">
        <f>LOG(AU1711)</f>
        <v>3.2540644529143381</v>
      </c>
      <c r="BC1711" s="8">
        <v>22</v>
      </c>
      <c r="BD1711" s="8" t="s">
        <v>56</v>
      </c>
      <c r="BE1711" s="8" t="s">
        <v>56</v>
      </c>
      <c r="BF1711" s="8">
        <v>24</v>
      </c>
      <c r="BG1711" s="8" t="s">
        <v>56</v>
      </c>
      <c r="BH1711" s="8" t="s">
        <v>56</v>
      </c>
      <c r="BI1711" s="8">
        <v>1465</v>
      </c>
      <c r="BJ1711" s="8">
        <v>2</v>
      </c>
      <c r="BK1711" s="8" t="s">
        <v>56</v>
      </c>
      <c r="BL1711" s="8" t="s">
        <v>933</v>
      </c>
      <c r="BM1711" s="8" t="s">
        <v>473</v>
      </c>
      <c r="BN1711" s="8" t="s">
        <v>81</v>
      </c>
      <c r="BO1711" s="8" t="s">
        <v>82</v>
      </c>
      <c r="BP1711" s="8" t="s">
        <v>190</v>
      </c>
      <c r="BQ1711" s="8" t="s">
        <v>190</v>
      </c>
      <c r="BR1711" s="8" t="s">
        <v>84</v>
      </c>
      <c r="BS1711" s="8"/>
      <c r="BT1711" s="8">
        <v>90.33</v>
      </c>
      <c r="BU1711" s="8">
        <v>90.33</v>
      </c>
      <c r="BV1711" s="8">
        <v>4.71</v>
      </c>
      <c r="BW1711" s="8">
        <f>BV1711*SQRT(AK1711)</f>
        <v>8.1579593036494114</v>
      </c>
      <c r="BX1711" s="8">
        <v>88.79</v>
      </c>
      <c r="BY1711" s="8">
        <v>88.79</v>
      </c>
      <c r="BZ1711" s="8">
        <v>5.88</v>
      </c>
      <c r="CA1711" s="8">
        <f>BZ1711*SQRT(AL1711)</f>
        <v>10.184458748504998</v>
      </c>
      <c r="CB1711" s="8">
        <v>1</v>
      </c>
      <c r="CC1711" s="8">
        <v>1</v>
      </c>
      <c r="CD1711" s="8">
        <v>-1.7000000000000001E-2</v>
      </c>
      <c r="CE1711" s="8">
        <v>7.1000000000000004E-3</v>
      </c>
      <c r="CF1711" s="8" t="s">
        <v>1134</v>
      </c>
    </row>
    <row r="1712" spans="1:84" hidden="1" x14ac:dyDescent="0.2">
      <c r="A1712" s="8"/>
      <c r="B1712" t="str">
        <f>ROW()-1&amp;"_AltersInvert"</f>
        <v>1711_AltersInvert</v>
      </c>
      <c r="C1712" t="str">
        <f>D1712&amp;"_"&amp;
SUBSTITUTE(TRIM(V1712)," ","_")&amp;"_"&amp;
TRIM(AC1712)&amp;"_"&amp;
"CO2"&amp;TEXT(AN1712,"0.00")&amp;"_"&amp;
"pH"&amp;TEXT(AR1712,"0.00")&amp;"_"&amp;
"T"&amp;TEXT(BC1712,"0.##")</f>
        <v>201_Heliocidaris_erythrogramma_EMBRYO_CO2330.00_pH8.25_T22.</v>
      </c>
      <c r="D1712" s="8">
        <v>201</v>
      </c>
      <c r="E1712" s="8"/>
      <c r="F1712" s="8"/>
      <c r="G1712" s="8" t="s">
        <v>43</v>
      </c>
      <c r="H1712" s="8" t="s">
        <v>950</v>
      </c>
      <c r="I1712" s="8"/>
      <c r="J1712" s="8">
        <v>2010</v>
      </c>
      <c r="K1712" s="8"/>
      <c r="L1712" s="8"/>
      <c r="M1712" s="8" t="s">
        <v>67</v>
      </c>
      <c r="N1712" s="8"/>
      <c r="O1712" s="8"/>
      <c r="P1712" t="s">
        <v>1135</v>
      </c>
      <c r="Q1712" s="8"/>
      <c r="R1712" s="8" t="s">
        <v>1127</v>
      </c>
      <c r="S1712" t="s">
        <v>1128</v>
      </c>
      <c r="T1712" s="8" t="s">
        <v>46</v>
      </c>
      <c r="U1712" s="8" t="s">
        <v>382</v>
      </c>
      <c r="V1712" s="8" t="s">
        <v>383</v>
      </c>
      <c r="W1712" s="8" t="str">
        <f>IF(ISNUMBER(MATCH(V1106,{"Doryteuthis pealeii","Loligo vulgaris","Leptuca thayeri","Stylocheilus striatus","Ophryotrocha labronica"},0)),"N","Y")</f>
        <v>Y</v>
      </c>
      <c r="X1712" s="8"/>
      <c r="Y1712" s="8"/>
      <c r="Z1712" s="8" t="s">
        <v>177</v>
      </c>
      <c r="AA1712" s="8" t="s">
        <v>177</v>
      </c>
      <c r="AB1712" s="8" t="s">
        <v>71</v>
      </c>
      <c r="AC1712" s="8" t="s">
        <v>195</v>
      </c>
      <c r="AD1712" s="8" t="s">
        <v>52</v>
      </c>
      <c r="AE1712" s="8" t="s">
        <v>53</v>
      </c>
      <c r="AF1712" s="8" t="s">
        <v>52</v>
      </c>
      <c r="AG1712" s="8" t="s">
        <v>52</v>
      </c>
      <c r="AH1712" s="8" t="s">
        <v>64</v>
      </c>
      <c r="AI1712" s="8"/>
      <c r="AJ1712" s="8"/>
      <c r="AK1712" s="8">
        <v>3</v>
      </c>
      <c r="AL1712" s="8">
        <v>3</v>
      </c>
      <c r="AM1712" s="8"/>
      <c r="AN1712" s="8">
        <v>330</v>
      </c>
      <c r="AO1712" s="8">
        <v>23</v>
      </c>
      <c r="AP1712" s="8" t="s">
        <v>56</v>
      </c>
      <c r="AQ1712" s="8" t="s">
        <v>57</v>
      </c>
      <c r="AR1712" s="8">
        <v>8.25</v>
      </c>
      <c r="AS1712" s="8" t="s">
        <v>56</v>
      </c>
      <c r="AT1712" s="8" t="s">
        <v>56</v>
      </c>
      <c r="AU1712" s="8">
        <v>1087</v>
      </c>
      <c r="AV1712">
        <v>16</v>
      </c>
      <c r="AW1712" t="s">
        <v>56</v>
      </c>
      <c r="AX1712">
        <v>7.8</v>
      </c>
      <c r="AY1712" t="s">
        <v>56</v>
      </c>
      <c r="AZ1712" t="s">
        <v>56</v>
      </c>
      <c r="BA1712" s="8"/>
      <c r="BB1712" s="8">
        <f>LOG(AU1712)</f>
        <v>3.0362295440862948</v>
      </c>
      <c r="BC1712" s="8">
        <v>22</v>
      </c>
      <c r="BD1712" s="8" t="s">
        <v>56</v>
      </c>
      <c r="BE1712" s="8" t="s">
        <v>56</v>
      </c>
      <c r="BF1712" s="8">
        <v>24</v>
      </c>
      <c r="BG1712" s="8" t="s">
        <v>56</v>
      </c>
      <c r="BH1712" s="8" t="s">
        <v>56</v>
      </c>
      <c r="BI1712" s="8">
        <v>757</v>
      </c>
      <c r="BJ1712" s="8">
        <v>2</v>
      </c>
      <c r="BK1712" s="8" t="s">
        <v>56</v>
      </c>
      <c r="BL1712" s="8" t="s">
        <v>933</v>
      </c>
      <c r="BM1712" s="8" t="s">
        <v>473</v>
      </c>
      <c r="BN1712" s="8" t="s">
        <v>81</v>
      </c>
      <c r="BO1712" s="8" t="s">
        <v>82</v>
      </c>
      <c r="BP1712" s="8" t="s">
        <v>190</v>
      </c>
      <c r="BQ1712" s="8" t="s">
        <v>190</v>
      </c>
      <c r="BR1712" s="8" t="s">
        <v>84</v>
      </c>
      <c r="BS1712" s="8"/>
      <c r="BT1712" s="8">
        <v>90.33</v>
      </c>
      <c r="BU1712" s="8">
        <v>90.33</v>
      </c>
      <c r="BV1712" s="8">
        <v>4.71</v>
      </c>
      <c r="BW1712" s="8">
        <f>BV1712*SQRT(AK1712)</f>
        <v>8.1579593036494114</v>
      </c>
      <c r="BX1712" s="8">
        <v>89.28</v>
      </c>
      <c r="BY1712" s="8">
        <v>89.28</v>
      </c>
      <c r="BZ1712" s="8">
        <v>5.29</v>
      </c>
      <c r="CA1712" s="8">
        <f>BZ1712*SQRT(AL1712)</f>
        <v>9.1625487720393597</v>
      </c>
      <c r="CB1712" s="8">
        <v>1</v>
      </c>
      <c r="CC1712" s="8">
        <v>1</v>
      </c>
      <c r="CD1712" s="8">
        <v>-1.2E-2</v>
      </c>
      <c r="CE1712" s="8">
        <v>6.1999999999999998E-3</v>
      </c>
      <c r="CF1712" s="8" t="s">
        <v>1134</v>
      </c>
    </row>
    <row r="1713" spans="1:84" hidden="1" x14ac:dyDescent="0.2">
      <c r="B1713" t="str">
        <f>ROW()-1&amp;"_AltersInvert"</f>
        <v>1712_AltersInvert</v>
      </c>
      <c r="C1713" t="str">
        <f>D1713&amp;"_"&amp;
SUBSTITUTE(TRIM(V1713)," ","_")&amp;"_"&amp;
TRIM(AC1713)&amp;"_"&amp;
"CO2"&amp;TEXT(AN1713,"0.00")&amp;"_"&amp;
"pH"&amp;TEXT(AR1713,"0.00")&amp;"_"&amp;
"T"&amp;TEXT(BC1713,"0.##")</f>
        <v>192_Balanus_amphitrite_LARVA_CO2416.00_pHNA_T29.8</v>
      </c>
      <c r="D1713">
        <v>192</v>
      </c>
      <c r="G1713" t="s">
        <v>43</v>
      </c>
      <c r="H1713" t="s">
        <v>911</v>
      </c>
      <c r="J1713">
        <v>2015</v>
      </c>
      <c r="M1713" t="s">
        <v>45</v>
      </c>
      <c r="P1713" t="s">
        <v>1135</v>
      </c>
      <c r="R1713" t="s">
        <v>1127</v>
      </c>
      <c r="S1713" t="s">
        <v>1128</v>
      </c>
      <c r="T1713" t="s">
        <v>131</v>
      </c>
      <c r="U1713" t="s">
        <v>860</v>
      </c>
      <c r="V1713" t="s">
        <v>912</v>
      </c>
      <c r="Z1713" t="s">
        <v>106</v>
      </c>
      <c r="AA1713" t="s">
        <v>107</v>
      </c>
      <c r="AB1713" t="s">
        <v>71</v>
      </c>
      <c r="AC1713" t="s">
        <v>72</v>
      </c>
      <c r="AD1713" t="s">
        <v>52</v>
      </c>
      <c r="AE1713" t="s">
        <v>53</v>
      </c>
      <c r="AF1713" t="s">
        <v>52</v>
      </c>
      <c r="AG1713" t="s">
        <v>54</v>
      </c>
      <c r="AH1713" t="s">
        <v>55</v>
      </c>
      <c r="AK1713">
        <v>3</v>
      </c>
      <c r="AL1713">
        <v>3</v>
      </c>
      <c r="AN1713">
        <v>416</v>
      </c>
      <c r="AO1713" t="s">
        <v>56</v>
      </c>
      <c r="AP1713">
        <v>31</v>
      </c>
      <c r="AQ1713" t="s">
        <v>56</v>
      </c>
      <c r="AR1713" t="s">
        <v>56</v>
      </c>
      <c r="AS1713" t="s">
        <v>56</v>
      </c>
      <c r="AT1713" t="s">
        <v>56</v>
      </c>
      <c r="AU1713">
        <v>784</v>
      </c>
      <c r="AV1713" t="s">
        <v>56</v>
      </c>
      <c r="AW1713">
        <v>19</v>
      </c>
      <c r="AX1713" t="s">
        <v>56</v>
      </c>
      <c r="AY1713" t="s">
        <v>56</v>
      </c>
      <c r="AZ1713" t="s">
        <v>56</v>
      </c>
      <c r="BB1713">
        <f>LOG(AU1713)</f>
        <v>2.8943160626844384</v>
      </c>
      <c r="BC1713">
        <v>29.8</v>
      </c>
      <c r="BD1713" t="s">
        <v>56</v>
      </c>
      <c r="BE1713">
        <v>0.2</v>
      </c>
      <c r="BF1713">
        <v>29.8</v>
      </c>
      <c r="BG1713" t="s">
        <v>56</v>
      </c>
      <c r="BH1713">
        <v>0.2</v>
      </c>
      <c r="BI1713">
        <v>368</v>
      </c>
      <c r="BJ1713">
        <v>0</v>
      </c>
      <c r="BK1713" t="s">
        <v>914</v>
      </c>
      <c r="BL1713" t="s">
        <v>916</v>
      </c>
      <c r="BM1713" t="s">
        <v>90</v>
      </c>
      <c r="BN1713" t="s">
        <v>81</v>
      </c>
      <c r="BO1713" t="s">
        <v>917</v>
      </c>
      <c r="BP1713" t="s">
        <v>92</v>
      </c>
      <c r="BQ1713" t="s">
        <v>92</v>
      </c>
      <c r="BR1713" t="s">
        <v>63</v>
      </c>
      <c r="BT1713">
        <v>490.45</v>
      </c>
      <c r="BU1713">
        <v>490.45</v>
      </c>
      <c r="BV1713">
        <v>4.8600000000000003</v>
      </c>
      <c r="BW1713">
        <f>BV1713*SQRT(AK1713)</f>
        <v>8.4177669247847433</v>
      </c>
      <c r="BX1713">
        <v>471.91</v>
      </c>
      <c r="BY1713">
        <v>471.91</v>
      </c>
      <c r="BZ1713">
        <v>8.76</v>
      </c>
      <c r="CA1713">
        <f>BZ1713*SQRT(AL1713)</f>
        <v>15.172765074303364</v>
      </c>
      <c r="CB1713">
        <v>5</v>
      </c>
      <c r="CC1713">
        <v>3</v>
      </c>
      <c r="CD1713">
        <v>-3.9E-2</v>
      </c>
      <c r="CE1713">
        <v>4.0000000000000002E-4</v>
      </c>
    </row>
    <row r="1714" spans="1:84" hidden="1" x14ac:dyDescent="0.2">
      <c r="B1714" t="str">
        <f>ROW()-1&amp;"_AltersInvert"</f>
        <v>1713_AltersInvert</v>
      </c>
      <c r="C1714" t="str">
        <f>D1714&amp;"_"&amp;
SUBSTITUTE(TRIM(V1714)," ","_")&amp;"_"&amp;
TRIM(AC1714)&amp;"_"&amp;
"CO2"&amp;TEXT(AN1714,"0.00")&amp;"_"&amp;
"pH"&amp;TEXT(AR1714,"0.00")&amp;"_"&amp;
"T"&amp;TEXT(BC1714,"0.##")</f>
        <v>192_Balanus_amphitrite_LARVA_CO2416.00_pHNA_T29.8</v>
      </c>
      <c r="D1714">
        <v>192</v>
      </c>
      <c r="G1714" t="s">
        <v>43</v>
      </c>
      <c r="H1714" t="s">
        <v>911</v>
      </c>
      <c r="J1714">
        <v>2015</v>
      </c>
      <c r="M1714" t="s">
        <v>45</v>
      </c>
      <c r="P1714" t="s">
        <v>1135</v>
      </c>
      <c r="R1714" t="s">
        <v>1127</v>
      </c>
      <c r="S1714" t="s">
        <v>1128</v>
      </c>
      <c r="T1714" t="s">
        <v>131</v>
      </c>
      <c r="U1714" t="s">
        <v>860</v>
      </c>
      <c r="V1714" t="s">
        <v>912</v>
      </c>
      <c r="Z1714" t="s">
        <v>106</v>
      </c>
      <c r="AA1714" t="s">
        <v>107</v>
      </c>
      <c r="AB1714" t="s">
        <v>71</v>
      </c>
      <c r="AC1714" t="s">
        <v>72</v>
      </c>
      <c r="AD1714" t="s">
        <v>52</v>
      </c>
      <c r="AE1714" t="s">
        <v>53</v>
      </c>
      <c r="AF1714" t="s">
        <v>54</v>
      </c>
      <c r="AG1714" t="s">
        <v>52</v>
      </c>
      <c r="AH1714" t="s">
        <v>65</v>
      </c>
      <c r="AK1714">
        <v>3</v>
      </c>
      <c r="AL1714">
        <v>3</v>
      </c>
      <c r="AN1714">
        <v>416</v>
      </c>
      <c r="AO1714" t="s">
        <v>56</v>
      </c>
      <c r="AP1714">
        <v>31</v>
      </c>
      <c r="AQ1714" t="s">
        <v>56</v>
      </c>
      <c r="AR1714" t="s">
        <v>56</v>
      </c>
      <c r="AS1714" t="s">
        <v>56</v>
      </c>
      <c r="AT1714" t="s">
        <v>56</v>
      </c>
      <c r="AU1714">
        <v>412</v>
      </c>
      <c r="AV1714" t="s">
        <v>56</v>
      </c>
      <c r="AW1714">
        <v>9</v>
      </c>
      <c r="AX1714" t="s">
        <v>56</v>
      </c>
      <c r="AY1714" t="s">
        <v>56</v>
      </c>
      <c r="AZ1714" t="s">
        <v>56</v>
      </c>
      <c r="BB1714">
        <f>LOG(AU1714)</f>
        <v>2.6148972160331345</v>
      </c>
      <c r="BC1714">
        <v>29.8</v>
      </c>
      <c r="BD1714" t="s">
        <v>56</v>
      </c>
      <c r="BE1714">
        <v>0.2</v>
      </c>
      <c r="BF1714">
        <v>33.9</v>
      </c>
      <c r="BG1714" t="s">
        <v>56</v>
      </c>
      <c r="BH1714">
        <v>0.4</v>
      </c>
      <c r="BI1714">
        <v>-4</v>
      </c>
      <c r="BJ1714">
        <v>4.0999999999999996</v>
      </c>
      <c r="BK1714" t="s">
        <v>914</v>
      </c>
      <c r="BL1714" t="s">
        <v>916</v>
      </c>
      <c r="BM1714" t="s">
        <v>90</v>
      </c>
      <c r="BN1714" t="s">
        <v>81</v>
      </c>
      <c r="BO1714" t="s">
        <v>917</v>
      </c>
      <c r="BP1714" t="s">
        <v>92</v>
      </c>
      <c r="BQ1714" t="s">
        <v>92</v>
      </c>
      <c r="BR1714" t="s">
        <v>63</v>
      </c>
      <c r="BT1714">
        <v>490.45</v>
      </c>
      <c r="BU1714">
        <v>490.45</v>
      </c>
      <c r="BV1714">
        <v>4.8600000000000003</v>
      </c>
      <c r="BW1714">
        <f>BV1714*SQRT(AK1714)</f>
        <v>8.4177669247847433</v>
      </c>
      <c r="BX1714">
        <v>438.2</v>
      </c>
      <c r="BY1714">
        <v>438.202</v>
      </c>
      <c r="BZ1714">
        <v>8.76</v>
      </c>
      <c r="CA1714">
        <f>BZ1714*SQRT(AL1714)</f>
        <v>15.172765074303364</v>
      </c>
      <c r="CB1714">
        <v>5</v>
      </c>
      <c r="CC1714">
        <v>3</v>
      </c>
      <c r="CD1714">
        <v>-0.113</v>
      </c>
      <c r="CE1714">
        <v>5.0000000000000001E-4</v>
      </c>
    </row>
    <row r="1715" spans="1:84" hidden="1" x14ac:dyDescent="0.2">
      <c r="B1715" t="str">
        <f>ROW()-1&amp;"_AltersInvert"</f>
        <v>1714_AltersInvert</v>
      </c>
      <c r="C1715" t="str">
        <f>D1715&amp;"_"&amp;
SUBSTITUTE(TRIM(V1715)," ","_")&amp;"_"&amp;
TRIM(AC1715)&amp;"_"&amp;
"CO2"&amp;TEXT(AN1715,"0.00")&amp;"_"&amp;
"pH"&amp;TEXT(AR1715,"0.00")&amp;"_"&amp;
"T"&amp;TEXT(BC1715,"0.##")</f>
        <v>192_Balanus_amphitrite_LARVA_CO2416.00_pHNA_T29.8</v>
      </c>
      <c r="D1715">
        <v>192</v>
      </c>
      <c r="G1715" t="s">
        <v>43</v>
      </c>
      <c r="H1715" t="s">
        <v>911</v>
      </c>
      <c r="J1715">
        <v>2015</v>
      </c>
      <c r="M1715" t="s">
        <v>45</v>
      </c>
      <c r="P1715" t="s">
        <v>1135</v>
      </c>
      <c r="R1715" t="s">
        <v>1127</v>
      </c>
      <c r="S1715" t="s">
        <v>1128</v>
      </c>
      <c r="T1715" t="s">
        <v>131</v>
      </c>
      <c r="U1715" t="s">
        <v>860</v>
      </c>
      <c r="V1715" t="s">
        <v>912</v>
      </c>
      <c r="Z1715" t="s">
        <v>106</v>
      </c>
      <c r="AA1715" t="s">
        <v>107</v>
      </c>
      <c r="AB1715" t="s">
        <v>71</v>
      </c>
      <c r="AC1715" t="s">
        <v>72</v>
      </c>
      <c r="AD1715" t="s">
        <v>52</v>
      </c>
      <c r="AE1715" t="s">
        <v>53</v>
      </c>
      <c r="AF1715" t="s">
        <v>52</v>
      </c>
      <c r="AG1715" t="s">
        <v>52</v>
      </c>
      <c r="AH1715" t="s">
        <v>64</v>
      </c>
      <c r="AK1715">
        <v>3</v>
      </c>
      <c r="AL1715">
        <v>3</v>
      </c>
      <c r="AN1715">
        <v>416</v>
      </c>
      <c r="AO1715" t="s">
        <v>56</v>
      </c>
      <c r="AP1715">
        <v>31</v>
      </c>
      <c r="AQ1715" t="s">
        <v>56</v>
      </c>
      <c r="AR1715" t="s">
        <v>56</v>
      </c>
      <c r="AS1715" t="s">
        <v>56</v>
      </c>
      <c r="AT1715" t="s">
        <v>56</v>
      </c>
      <c r="AU1715">
        <v>781</v>
      </c>
      <c r="AV1715" t="s">
        <v>56</v>
      </c>
      <c r="AW1715">
        <v>22</v>
      </c>
      <c r="AX1715" t="s">
        <v>56</v>
      </c>
      <c r="AY1715" t="s">
        <v>56</v>
      </c>
      <c r="AZ1715" t="s">
        <v>56</v>
      </c>
      <c r="BB1715">
        <f>LOG(AU1715)</f>
        <v>2.8926510338773004</v>
      </c>
      <c r="BC1715">
        <v>29.8</v>
      </c>
      <c r="BD1715" t="s">
        <v>56</v>
      </c>
      <c r="BE1715">
        <v>0.2</v>
      </c>
      <c r="BF1715">
        <v>33.9</v>
      </c>
      <c r="BG1715" t="s">
        <v>56</v>
      </c>
      <c r="BH1715">
        <v>0.4</v>
      </c>
      <c r="BI1715">
        <v>365</v>
      </c>
      <c r="BJ1715">
        <v>4.0999999999999996</v>
      </c>
      <c r="BK1715" t="s">
        <v>914</v>
      </c>
      <c r="BL1715" t="s">
        <v>916</v>
      </c>
      <c r="BM1715" t="s">
        <v>90</v>
      </c>
      <c r="BN1715" t="s">
        <v>81</v>
      </c>
      <c r="BO1715" t="s">
        <v>917</v>
      </c>
      <c r="BP1715" t="s">
        <v>92</v>
      </c>
      <c r="BQ1715" t="s">
        <v>92</v>
      </c>
      <c r="BR1715" t="s">
        <v>63</v>
      </c>
      <c r="BT1715">
        <v>490.45</v>
      </c>
      <c r="BU1715">
        <v>490.45</v>
      </c>
      <c r="BV1715">
        <v>4.8600000000000003</v>
      </c>
      <c r="BW1715">
        <f>BV1715*SQRT(AK1715)</f>
        <v>8.4177669247847433</v>
      </c>
      <c r="BX1715">
        <v>490.45</v>
      </c>
      <c r="BY1715">
        <v>490.44900000000001</v>
      </c>
      <c r="BZ1715">
        <v>2.92</v>
      </c>
      <c r="CA1715">
        <f>BZ1715*SQRT(AL1715)</f>
        <v>5.0575883581011212</v>
      </c>
      <c r="CB1715">
        <v>4</v>
      </c>
      <c r="CC1715">
        <v>3</v>
      </c>
      <c r="CD1715">
        <v>0</v>
      </c>
      <c r="CE1715">
        <v>1E-4</v>
      </c>
    </row>
    <row r="1716" spans="1:84" hidden="1" x14ac:dyDescent="0.2">
      <c r="B1716" t="str">
        <f>ROW()-1&amp;"_AltersInvert"</f>
        <v>1715_AltersInvert</v>
      </c>
      <c r="C1716" t="str">
        <f>D1716&amp;"_"&amp;
SUBSTITUTE(TRIM(V1716)," ","_")&amp;"_"&amp;
TRIM(AC1716)&amp;"_"&amp;
"CO2"&amp;TEXT(AN1716,"0.00")&amp;"_"&amp;
"pH"&amp;TEXT(AR1716,"0.00")&amp;"_"&amp;
"T"&amp;TEXT(BC1716,"0.##")</f>
        <v>67_Semibalanus_balanoides_LARVA_CO2409.00_pH8.05_T14.4</v>
      </c>
      <c r="D1716">
        <v>67</v>
      </c>
      <c r="G1716" t="s">
        <v>43</v>
      </c>
      <c r="H1716" t="s">
        <v>622</v>
      </c>
      <c r="J1716">
        <v>2009</v>
      </c>
      <c r="M1716" t="s">
        <v>67</v>
      </c>
      <c r="P1716" t="s">
        <v>1135</v>
      </c>
      <c r="R1716" t="s">
        <v>1127</v>
      </c>
      <c r="S1716" t="s">
        <v>1128</v>
      </c>
      <c r="T1716" t="s">
        <v>131</v>
      </c>
      <c r="U1716" t="s">
        <v>623</v>
      </c>
      <c r="V1716" t="s">
        <v>624</v>
      </c>
      <c r="Z1716" t="s">
        <v>49</v>
      </c>
      <c r="AA1716" t="s">
        <v>49</v>
      </c>
      <c r="AB1716" t="s">
        <v>71</v>
      </c>
      <c r="AC1716" t="s">
        <v>72</v>
      </c>
      <c r="AD1716" t="s">
        <v>52</v>
      </c>
      <c r="AE1716" t="s">
        <v>53</v>
      </c>
      <c r="AF1716" t="s">
        <v>52</v>
      </c>
      <c r="AG1716" t="s">
        <v>54</v>
      </c>
      <c r="AH1716" t="s">
        <v>55</v>
      </c>
      <c r="AK1716">
        <v>5</v>
      </c>
      <c r="AL1716">
        <v>5</v>
      </c>
      <c r="AN1716">
        <v>409</v>
      </c>
      <c r="AO1716" t="s">
        <v>56</v>
      </c>
      <c r="AP1716" t="s">
        <v>56</v>
      </c>
      <c r="AQ1716" t="s">
        <v>57</v>
      </c>
      <c r="AR1716">
        <v>8.0500000000000007</v>
      </c>
      <c r="AS1716" t="s">
        <v>56</v>
      </c>
      <c r="AT1716" t="s">
        <v>56</v>
      </c>
      <c r="AU1716">
        <v>1132</v>
      </c>
      <c r="AV1716" t="s">
        <v>56</v>
      </c>
      <c r="AW1716" t="s">
        <v>56</v>
      </c>
      <c r="AX1716">
        <v>7.73</v>
      </c>
      <c r="AY1716" t="s">
        <v>56</v>
      </c>
      <c r="AZ1716" t="s">
        <v>56</v>
      </c>
      <c r="BB1716">
        <f>LOG(AU1716)</f>
        <v>3.0538464268522527</v>
      </c>
      <c r="BC1716">
        <v>14.4</v>
      </c>
      <c r="BD1716" t="s">
        <v>56</v>
      </c>
      <c r="BE1716" t="s">
        <v>56</v>
      </c>
      <c r="BF1716">
        <v>14.7</v>
      </c>
      <c r="BG1716" t="s">
        <v>56</v>
      </c>
      <c r="BH1716" t="s">
        <v>56</v>
      </c>
      <c r="BI1716">
        <v>723</v>
      </c>
      <c r="BJ1716">
        <v>0.3</v>
      </c>
      <c r="BK1716" t="s">
        <v>56</v>
      </c>
      <c r="BL1716" t="s">
        <v>625</v>
      </c>
      <c r="BM1716" t="s">
        <v>262</v>
      </c>
      <c r="BN1716" t="s">
        <v>81</v>
      </c>
      <c r="BO1716" t="s">
        <v>626</v>
      </c>
      <c r="BP1716" t="s">
        <v>92</v>
      </c>
      <c r="BQ1716" t="s">
        <v>92</v>
      </c>
      <c r="BR1716" t="s">
        <v>63</v>
      </c>
      <c r="BT1716">
        <v>14.35</v>
      </c>
      <c r="BU1716">
        <v>14.35</v>
      </c>
      <c r="BV1716">
        <v>3.77</v>
      </c>
      <c r="BW1716">
        <f>BV1716*SQRT(AK1716)</f>
        <v>8.4299762751742069</v>
      </c>
      <c r="BX1716">
        <v>2.94</v>
      </c>
      <c r="BY1716">
        <v>2.94</v>
      </c>
      <c r="BZ1716">
        <v>0.87</v>
      </c>
      <c r="CA1716">
        <f>BZ1716*SQRT(AL1716)</f>
        <v>1.9453791404248171</v>
      </c>
      <c r="CB1716">
        <v>30</v>
      </c>
      <c r="CC1716">
        <v>2</v>
      </c>
      <c r="CD1716">
        <v>-1.585</v>
      </c>
      <c r="CE1716">
        <v>0.157</v>
      </c>
      <c r="CF1716" s="8"/>
    </row>
    <row r="1717" spans="1:84" hidden="1" x14ac:dyDescent="0.2">
      <c r="B1717" t="str">
        <f>ROW()-1&amp;"_AltersInvert"</f>
        <v>1716_AltersInvert</v>
      </c>
      <c r="C1717" t="str">
        <f>D1717&amp;"_"&amp;
SUBSTITUTE(TRIM(V1717)," ","_")&amp;"_"&amp;
TRIM(AC1717)&amp;"_"&amp;
"CO2"&amp;TEXT(AN1717,"0.00")&amp;"_"&amp;
"pH"&amp;TEXT(AR1717,"0.00")&amp;"_"&amp;
"T"&amp;TEXT(BC1717,"0.##")</f>
        <v>67_Semibalanus_balanoides_LARVA_CO2409.00_pH8.05_T14.4</v>
      </c>
      <c r="D1717">
        <v>67</v>
      </c>
      <c r="G1717" t="s">
        <v>43</v>
      </c>
      <c r="H1717" t="s">
        <v>622</v>
      </c>
      <c r="J1717">
        <v>2009</v>
      </c>
      <c r="M1717" t="s">
        <v>67</v>
      </c>
      <c r="P1717" t="s">
        <v>1135</v>
      </c>
      <c r="R1717" t="s">
        <v>1127</v>
      </c>
      <c r="S1717" t="s">
        <v>1128</v>
      </c>
      <c r="T1717" t="s">
        <v>131</v>
      </c>
      <c r="U1717" t="s">
        <v>623</v>
      </c>
      <c r="V1717" t="s">
        <v>624</v>
      </c>
      <c r="Z1717" t="s">
        <v>49</v>
      </c>
      <c r="AA1717" t="s">
        <v>49</v>
      </c>
      <c r="AB1717" t="s">
        <v>71</v>
      </c>
      <c r="AC1717" t="s">
        <v>72</v>
      </c>
      <c r="AD1717" t="s">
        <v>52</v>
      </c>
      <c r="AE1717" t="s">
        <v>53</v>
      </c>
      <c r="AF1717" t="s">
        <v>54</v>
      </c>
      <c r="AG1717" t="s">
        <v>52</v>
      </c>
      <c r="AH1717" t="s">
        <v>65</v>
      </c>
      <c r="AK1717">
        <v>5</v>
      </c>
      <c r="AL1717">
        <v>5</v>
      </c>
      <c r="AN1717">
        <v>409</v>
      </c>
      <c r="AO1717" t="s">
        <v>56</v>
      </c>
      <c r="AP1717" t="s">
        <v>56</v>
      </c>
      <c r="AQ1717" t="s">
        <v>57</v>
      </c>
      <c r="AR1717">
        <v>8.0500000000000007</v>
      </c>
      <c r="AS1717" t="s">
        <v>56</v>
      </c>
      <c r="AT1717" t="s">
        <v>56</v>
      </c>
      <c r="AU1717">
        <v>423</v>
      </c>
      <c r="AV1717" t="s">
        <v>56</v>
      </c>
      <c r="AW1717" t="s">
        <v>56</v>
      </c>
      <c r="AX1717">
        <v>8.07</v>
      </c>
      <c r="AY1717" t="s">
        <v>56</v>
      </c>
      <c r="AZ1717" t="s">
        <v>56</v>
      </c>
      <c r="BB1717">
        <f>LOG(AU1717)</f>
        <v>2.6263403673750423</v>
      </c>
      <c r="BC1717">
        <v>14.4</v>
      </c>
      <c r="BD1717" t="s">
        <v>56</v>
      </c>
      <c r="BE1717" t="s">
        <v>56</v>
      </c>
      <c r="BF1717">
        <v>19.8</v>
      </c>
      <c r="BG1717" t="s">
        <v>56</v>
      </c>
      <c r="BH1717" t="s">
        <v>56</v>
      </c>
      <c r="BI1717">
        <v>14</v>
      </c>
      <c r="BJ1717">
        <v>5.4</v>
      </c>
      <c r="BK1717" t="s">
        <v>56</v>
      </c>
      <c r="BL1717" t="s">
        <v>625</v>
      </c>
      <c r="BM1717" t="s">
        <v>262</v>
      </c>
      <c r="BN1717" t="s">
        <v>81</v>
      </c>
      <c r="BO1717" t="s">
        <v>626</v>
      </c>
      <c r="BP1717" t="s">
        <v>92</v>
      </c>
      <c r="BQ1717" t="s">
        <v>92</v>
      </c>
      <c r="BR1717" t="s">
        <v>63</v>
      </c>
      <c r="BT1717">
        <v>14.35</v>
      </c>
      <c r="BU1717">
        <v>14.35</v>
      </c>
      <c r="BV1717">
        <v>3.77</v>
      </c>
      <c r="BW1717">
        <f>BV1717*SQRT(AK1717)</f>
        <v>8.4299762751742069</v>
      </c>
      <c r="BX1717">
        <v>4.3899999999999997</v>
      </c>
      <c r="BY1717">
        <v>4.3899999999999997</v>
      </c>
      <c r="BZ1717">
        <v>2.46</v>
      </c>
      <c r="CA1717">
        <f>BZ1717*SQRT(AL1717)</f>
        <v>5.5007272246494825</v>
      </c>
      <c r="CB1717">
        <v>30</v>
      </c>
      <c r="CC1717">
        <v>2</v>
      </c>
      <c r="CD1717">
        <v>-1.1839999999999999</v>
      </c>
      <c r="CE1717">
        <v>0.3841</v>
      </c>
      <c r="CF1717" s="8"/>
    </row>
    <row r="1718" spans="1:84" hidden="1" x14ac:dyDescent="0.2">
      <c r="B1718" t="str">
        <f>ROW()-1&amp;"_AltersInvert"</f>
        <v>1717_AltersInvert</v>
      </c>
      <c r="C1718" t="str">
        <f>D1718&amp;"_"&amp;
SUBSTITUTE(TRIM(V1718)," ","_")&amp;"_"&amp;
TRIM(AC1718)&amp;"_"&amp;
"CO2"&amp;TEXT(AN1718,"0.00")&amp;"_"&amp;
"pH"&amp;TEXT(AR1718,"0.00")&amp;"_"&amp;
"T"&amp;TEXT(BC1718,"0.##")</f>
        <v>67_Semibalanus_balanoides_LARVA_CO2409.00_pH8.05_T14.4</v>
      </c>
      <c r="D1718">
        <v>67</v>
      </c>
      <c r="G1718" t="s">
        <v>43</v>
      </c>
      <c r="H1718" t="s">
        <v>622</v>
      </c>
      <c r="J1718">
        <v>2009</v>
      </c>
      <c r="M1718" t="s">
        <v>67</v>
      </c>
      <c r="P1718" t="s">
        <v>1135</v>
      </c>
      <c r="R1718" t="s">
        <v>1127</v>
      </c>
      <c r="S1718" t="s">
        <v>1128</v>
      </c>
      <c r="T1718" t="s">
        <v>131</v>
      </c>
      <c r="U1718" t="s">
        <v>623</v>
      </c>
      <c r="V1718" t="s">
        <v>624</v>
      </c>
      <c r="Z1718" t="s">
        <v>49</v>
      </c>
      <c r="AA1718" t="s">
        <v>49</v>
      </c>
      <c r="AB1718" t="s">
        <v>71</v>
      </c>
      <c r="AC1718" t="s">
        <v>72</v>
      </c>
      <c r="AD1718" t="s">
        <v>52</v>
      </c>
      <c r="AE1718" t="s">
        <v>53</v>
      </c>
      <c r="AF1718" t="s">
        <v>52</v>
      </c>
      <c r="AG1718" t="s">
        <v>52</v>
      </c>
      <c r="AH1718" t="s">
        <v>64</v>
      </c>
      <c r="AK1718">
        <v>5</v>
      </c>
      <c r="AL1718">
        <v>5</v>
      </c>
      <c r="AN1718">
        <v>409</v>
      </c>
      <c r="AO1718" t="s">
        <v>56</v>
      </c>
      <c r="AP1718" t="s">
        <v>56</v>
      </c>
      <c r="AQ1718" t="s">
        <v>57</v>
      </c>
      <c r="AR1718">
        <v>8.0500000000000007</v>
      </c>
      <c r="AS1718" t="s">
        <v>56</v>
      </c>
      <c r="AT1718" t="s">
        <v>56</v>
      </c>
      <c r="AU1718">
        <v>1109</v>
      </c>
      <c r="AV1718" t="s">
        <v>56</v>
      </c>
      <c r="AW1718" t="s">
        <v>56</v>
      </c>
      <c r="AX1718">
        <v>7.71</v>
      </c>
      <c r="AY1718" t="s">
        <v>56</v>
      </c>
      <c r="AZ1718" t="s">
        <v>56</v>
      </c>
      <c r="BB1718">
        <f>LOG(AU1718)</f>
        <v>3.0449315461491602</v>
      </c>
      <c r="BC1718">
        <v>14.4</v>
      </c>
      <c r="BD1718" t="s">
        <v>56</v>
      </c>
      <c r="BE1718" t="s">
        <v>56</v>
      </c>
      <c r="BF1718">
        <v>19.7</v>
      </c>
      <c r="BG1718" t="s">
        <v>56</v>
      </c>
      <c r="BH1718" t="s">
        <v>56</v>
      </c>
      <c r="BI1718">
        <v>700</v>
      </c>
      <c r="BJ1718">
        <v>5.3</v>
      </c>
      <c r="BK1718" t="s">
        <v>56</v>
      </c>
      <c r="BL1718" t="s">
        <v>625</v>
      </c>
      <c r="BM1718" t="s">
        <v>262</v>
      </c>
      <c r="BN1718" t="s">
        <v>81</v>
      </c>
      <c r="BO1718" t="s">
        <v>626</v>
      </c>
      <c r="BP1718" t="s">
        <v>92</v>
      </c>
      <c r="BQ1718" t="s">
        <v>92</v>
      </c>
      <c r="BR1718" t="s">
        <v>63</v>
      </c>
      <c r="BT1718">
        <v>14.35</v>
      </c>
      <c r="BU1718">
        <v>14.35</v>
      </c>
      <c r="BV1718">
        <v>3.77</v>
      </c>
      <c r="BW1718">
        <f>BV1718*SQRT(AK1718)</f>
        <v>8.4299762751742069</v>
      </c>
      <c r="BX1718">
        <v>6.23</v>
      </c>
      <c r="BY1718">
        <v>6.23</v>
      </c>
      <c r="BZ1718">
        <v>1.27</v>
      </c>
      <c r="CA1718">
        <f>BZ1718*SQRT(AL1718)</f>
        <v>2.8398063314247333</v>
      </c>
      <c r="CB1718">
        <v>30</v>
      </c>
      <c r="CC1718">
        <v>2</v>
      </c>
      <c r="CD1718">
        <v>-0.83399999999999996</v>
      </c>
      <c r="CE1718">
        <v>0.1109</v>
      </c>
      <c r="CF1718" s="8"/>
    </row>
    <row r="1719" spans="1:84" hidden="1" x14ac:dyDescent="0.2">
      <c r="A1719" s="8"/>
      <c r="B1719" t="str">
        <f>ROW()-1&amp;"_AltersInvert"</f>
        <v>1718_AltersInvert</v>
      </c>
      <c r="C1719" t="str">
        <f>D1719&amp;"_"&amp;
SUBSTITUTE(TRIM(V1719)," ","_")&amp;"_"&amp;
TRIM(AC1719)&amp;"_"&amp;
"CO2"&amp;TEXT(AN1719,"0.00")&amp;"_"&amp;
"pH"&amp;TEXT(AR1719,"0.00")&amp;"_"&amp;
"T"&amp;TEXT(BC1719,"0.##")</f>
        <v>201_Patiriella_regularis_EMBRYO_CO2330.00_pH8.25_T22.</v>
      </c>
      <c r="D1719" s="8">
        <v>201</v>
      </c>
      <c r="E1719" s="8"/>
      <c r="F1719" s="8"/>
      <c r="G1719" s="8" t="s">
        <v>43</v>
      </c>
      <c r="H1719" s="8" t="s">
        <v>950</v>
      </c>
      <c r="I1719" s="8"/>
      <c r="J1719" s="8">
        <v>2010</v>
      </c>
      <c r="K1719" s="8"/>
      <c r="L1719" s="8"/>
      <c r="M1719" s="8" t="s">
        <v>67</v>
      </c>
      <c r="N1719" s="8"/>
      <c r="O1719" s="8"/>
      <c r="P1719" t="s">
        <v>1135</v>
      </c>
      <c r="Q1719" s="8"/>
      <c r="R1719" s="8" t="s">
        <v>1127</v>
      </c>
      <c r="S1719" t="s">
        <v>1128</v>
      </c>
      <c r="T1719" s="8" t="s">
        <v>46</v>
      </c>
      <c r="U1719" s="8" t="s">
        <v>602</v>
      </c>
      <c r="V1719" s="8" t="s">
        <v>603</v>
      </c>
      <c r="W1719" s="8" t="str">
        <f>IF(ISNUMBER(MATCH(V1113,{"Doryteuthis pealeii","Loligo vulgaris","Leptuca thayeri","Stylocheilus striatus","Ophryotrocha labronica"},0)),"N","Y")</f>
        <v>Y</v>
      </c>
      <c r="X1719" s="8"/>
      <c r="Y1719" s="8"/>
      <c r="Z1719" s="8" t="s">
        <v>49</v>
      </c>
      <c r="AA1719" s="8" t="s">
        <v>49</v>
      </c>
      <c r="AB1719" s="8" t="s">
        <v>71</v>
      </c>
      <c r="AC1719" s="8" t="s">
        <v>195</v>
      </c>
      <c r="AD1719" s="8" t="s">
        <v>52</v>
      </c>
      <c r="AE1719" s="8" t="s">
        <v>53</v>
      </c>
      <c r="AF1719" s="8" t="s">
        <v>52</v>
      </c>
      <c r="AG1719" s="8" t="s">
        <v>54</v>
      </c>
      <c r="AH1719" s="8" t="s">
        <v>55</v>
      </c>
      <c r="AI1719" s="8"/>
      <c r="AJ1719" s="8"/>
      <c r="AK1719" s="8">
        <v>3</v>
      </c>
      <c r="AL1719" s="8">
        <v>3</v>
      </c>
      <c r="AM1719" s="8"/>
      <c r="AN1719" s="8">
        <v>330</v>
      </c>
      <c r="AO1719" s="8">
        <v>23</v>
      </c>
      <c r="AP1719" s="8" t="s">
        <v>56</v>
      </c>
      <c r="AQ1719" s="8" t="s">
        <v>57</v>
      </c>
      <c r="AR1719" s="8">
        <v>8.25</v>
      </c>
      <c r="AS1719" s="8" t="s">
        <v>56</v>
      </c>
      <c r="AT1719" s="8" t="s">
        <v>56</v>
      </c>
      <c r="AU1719" s="8">
        <v>1069</v>
      </c>
      <c r="AV1719">
        <v>16</v>
      </c>
      <c r="AW1719" t="s">
        <v>56</v>
      </c>
      <c r="AX1719">
        <v>7.8</v>
      </c>
      <c r="AY1719" t="s">
        <v>56</v>
      </c>
      <c r="AZ1719" t="s">
        <v>56</v>
      </c>
      <c r="BA1719" s="8"/>
      <c r="BB1719" s="8">
        <f>LOG(AU1719)</f>
        <v>3.0289777052087778</v>
      </c>
      <c r="BC1719" s="8">
        <v>22</v>
      </c>
      <c r="BD1719" s="8" t="s">
        <v>56</v>
      </c>
      <c r="BE1719" s="8" t="s">
        <v>56</v>
      </c>
      <c r="BF1719" s="8">
        <v>22</v>
      </c>
      <c r="BG1719" s="8" t="s">
        <v>56</v>
      </c>
      <c r="BH1719" s="8" t="s">
        <v>56</v>
      </c>
      <c r="BI1719" s="8">
        <v>739</v>
      </c>
      <c r="BJ1719" s="8">
        <v>0</v>
      </c>
      <c r="BK1719" s="8" t="s">
        <v>56</v>
      </c>
      <c r="BL1719" s="8" t="s">
        <v>933</v>
      </c>
      <c r="BM1719" s="8" t="s">
        <v>473</v>
      </c>
      <c r="BN1719" s="8" t="s">
        <v>81</v>
      </c>
      <c r="BO1719" s="8" t="s">
        <v>82</v>
      </c>
      <c r="BP1719" s="8" t="s">
        <v>190</v>
      </c>
      <c r="BQ1719" s="8" t="s">
        <v>190</v>
      </c>
      <c r="BR1719" s="8" t="s">
        <v>84</v>
      </c>
      <c r="BS1719" s="8"/>
      <c r="BT1719" s="8">
        <v>89.93</v>
      </c>
      <c r="BU1719" s="8">
        <v>89.93</v>
      </c>
      <c r="BV1719" s="8">
        <v>4.9400000000000004</v>
      </c>
      <c r="BW1719" s="8">
        <f>BV1719*SQRT(AK1719)</f>
        <v>8.5563309893902542</v>
      </c>
      <c r="BX1719" s="8">
        <v>88.81</v>
      </c>
      <c r="BY1719" s="8">
        <v>88.81</v>
      </c>
      <c r="BZ1719" s="8">
        <v>8.0299999999999994</v>
      </c>
      <c r="CA1719" s="8">
        <f>BZ1719*SQRT(AL1719)</f>
        <v>13.908367984778083</v>
      </c>
      <c r="CB1719" s="8">
        <v>1</v>
      </c>
      <c r="CC1719" s="8">
        <v>1</v>
      </c>
      <c r="CD1719" s="8">
        <v>-1.2999999999999999E-2</v>
      </c>
      <c r="CE1719" s="8">
        <v>1.12E-2</v>
      </c>
      <c r="CF1719" s="8" t="s">
        <v>1134</v>
      </c>
    </row>
    <row r="1720" spans="1:84" hidden="1" x14ac:dyDescent="0.2">
      <c r="A1720" s="8"/>
      <c r="B1720" t="str">
        <f>ROW()-1&amp;"_AltersInvert"</f>
        <v>1719_AltersInvert</v>
      </c>
      <c r="C1720" t="str">
        <f>D1720&amp;"_"&amp;
SUBSTITUTE(TRIM(V1720)," ","_")&amp;"_"&amp;
TRIM(AC1720)&amp;"_"&amp;
"CO2"&amp;TEXT(AN1720,"0.00")&amp;"_"&amp;
"pH"&amp;TEXT(AR1720,"0.00")&amp;"_"&amp;
"T"&amp;TEXT(BC1720,"0.##")</f>
        <v>201_Patiriella_regularis_EMBRYO_CO2330.00_pH8.25_T22.</v>
      </c>
      <c r="D1720" s="8">
        <v>201</v>
      </c>
      <c r="E1720" s="8"/>
      <c r="F1720" s="8"/>
      <c r="G1720" s="8" t="s">
        <v>43</v>
      </c>
      <c r="H1720" s="8" t="s">
        <v>950</v>
      </c>
      <c r="I1720" s="8"/>
      <c r="J1720" s="8">
        <v>2010</v>
      </c>
      <c r="K1720" s="8"/>
      <c r="L1720" s="8"/>
      <c r="M1720" s="8" t="s">
        <v>67</v>
      </c>
      <c r="N1720" s="8"/>
      <c r="O1720" s="8"/>
      <c r="P1720" t="s">
        <v>1135</v>
      </c>
      <c r="Q1720" s="8"/>
      <c r="R1720" s="8" t="s">
        <v>1127</v>
      </c>
      <c r="S1720" t="s">
        <v>1128</v>
      </c>
      <c r="T1720" s="8" t="s">
        <v>46</v>
      </c>
      <c r="U1720" s="8" t="s">
        <v>602</v>
      </c>
      <c r="V1720" s="8" t="s">
        <v>603</v>
      </c>
      <c r="W1720" s="8" t="str">
        <f>IF(ISNUMBER(MATCH(V1114,{"Doryteuthis pealeii","Loligo vulgaris","Leptuca thayeri","Stylocheilus striatus","Ophryotrocha labronica"},0)),"N","Y")</f>
        <v>Y</v>
      </c>
      <c r="X1720" s="8"/>
      <c r="Y1720" s="8"/>
      <c r="Z1720" s="8" t="s">
        <v>49</v>
      </c>
      <c r="AA1720" s="8" t="s">
        <v>49</v>
      </c>
      <c r="AB1720" s="8" t="s">
        <v>71</v>
      </c>
      <c r="AC1720" s="8" t="s">
        <v>195</v>
      </c>
      <c r="AD1720" s="8" t="s">
        <v>52</v>
      </c>
      <c r="AE1720" s="8" t="s">
        <v>53</v>
      </c>
      <c r="AF1720" s="8" t="s">
        <v>52</v>
      </c>
      <c r="AG1720" s="8" t="s">
        <v>54</v>
      </c>
      <c r="AH1720" s="8" t="s">
        <v>55</v>
      </c>
      <c r="AI1720" s="8"/>
      <c r="AJ1720" s="8"/>
      <c r="AK1720" s="8">
        <v>3</v>
      </c>
      <c r="AL1720" s="8">
        <v>3</v>
      </c>
      <c r="AM1720" s="8"/>
      <c r="AN1720" s="8">
        <v>330</v>
      </c>
      <c r="AO1720" s="8">
        <v>23</v>
      </c>
      <c r="AP1720" s="8" t="s">
        <v>56</v>
      </c>
      <c r="AQ1720" s="8" t="s">
        <v>57</v>
      </c>
      <c r="AR1720" s="8">
        <v>8.25</v>
      </c>
      <c r="AS1720" s="8" t="s">
        <v>56</v>
      </c>
      <c r="AT1720" s="8" t="s">
        <v>56</v>
      </c>
      <c r="AU1720" s="8">
        <v>1762</v>
      </c>
      <c r="AV1720">
        <v>26</v>
      </c>
      <c r="AW1720" t="s">
        <v>56</v>
      </c>
      <c r="AX1720">
        <v>7.6</v>
      </c>
      <c r="AY1720" t="s">
        <v>56</v>
      </c>
      <c r="AZ1720" t="s">
        <v>56</v>
      </c>
      <c r="BA1720" s="8"/>
      <c r="BB1720" s="8">
        <f>LOG(AU1720)</f>
        <v>3.246005904076029</v>
      </c>
      <c r="BC1720" s="8">
        <v>22</v>
      </c>
      <c r="BD1720" s="8" t="s">
        <v>56</v>
      </c>
      <c r="BE1720" s="8" t="s">
        <v>56</v>
      </c>
      <c r="BF1720" s="8">
        <v>22</v>
      </c>
      <c r="BG1720" s="8" t="s">
        <v>56</v>
      </c>
      <c r="BH1720" s="8" t="s">
        <v>56</v>
      </c>
      <c r="BI1720" s="8">
        <v>1432</v>
      </c>
      <c r="BJ1720" s="8">
        <v>0</v>
      </c>
      <c r="BK1720" s="8" t="s">
        <v>56</v>
      </c>
      <c r="BL1720" s="8" t="s">
        <v>933</v>
      </c>
      <c r="BM1720" s="8" t="s">
        <v>473</v>
      </c>
      <c r="BN1720" s="8" t="s">
        <v>81</v>
      </c>
      <c r="BO1720" s="8" t="s">
        <v>82</v>
      </c>
      <c r="BP1720" s="8" t="s">
        <v>190</v>
      </c>
      <c r="BQ1720" s="8" t="s">
        <v>190</v>
      </c>
      <c r="BR1720" s="8" t="s">
        <v>84</v>
      </c>
      <c r="BS1720" s="8"/>
      <c r="BT1720" s="8">
        <v>89.93</v>
      </c>
      <c r="BU1720" s="8">
        <v>89.93</v>
      </c>
      <c r="BV1720" s="8">
        <v>4.9400000000000004</v>
      </c>
      <c r="BW1720" s="8">
        <f>BV1720*SQRT(AK1720)</f>
        <v>8.5563309893902542</v>
      </c>
      <c r="BX1720" s="8">
        <v>90.16</v>
      </c>
      <c r="BY1720" s="8">
        <v>90.16</v>
      </c>
      <c r="BZ1720" s="8">
        <v>5.56</v>
      </c>
      <c r="CA1720" s="8">
        <f>BZ1720*SQRT(AL1720)</f>
        <v>9.6302024900829561</v>
      </c>
      <c r="CB1720" s="8">
        <v>1</v>
      </c>
      <c r="CC1720" s="8">
        <v>1</v>
      </c>
      <c r="CD1720" s="8">
        <v>3.0000000000000001E-3</v>
      </c>
      <c r="CE1720" s="8">
        <v>6.7999999999999996E-3</v>
      </c>
      <c r="CF1720" s="8" t="s">
        <v>1134</v>
      </c>
    </row>
    <row r="1721" spans="1:84" hidden="1" x14ac:dyDescent="0.2">
      <c r="A1721" s="8"/>
      <c r="B1721" t="str">
        <f>ROW()-1&amp;"_AltersInvert"</f>
        <v>1720_AltersInvert</v>
      </c>
      <c r="C1721" t="str">
        <f>D1721&amp;"_"&amp;
SUBSTITUTE(TRIM(V1721)," ","_")&amp;"_"&amp;
TRIM(AC1721)&amp;"_"&amp;
"CO2"&amp;TEXT(AN1721,"0.00")&amp;"_"&amp;
"pH"&amp;TEXT(AR1721,"0.00")&amp;"_"&amp;
"T"&amp;TEXT(BC1721,"0.##")</f>
        <v>201_Patiriella_regularis_EMBRYO_CO2330.00_pH8.25_T22.</v>
      </c>
      <c r="D1721" s="8">
        <v>201</v>
      </c>
      <c r="E1721" s="8"/>
      <c r="F1721" s="8"/>
      <c r="G1721" s="8" t="s">
        <v>43</v>
      </c>
      <c r="H1721" s="8" t="s">
        <v>950</v>
      </c>
      <c r="I1721" s="8"/>
      <c r="J1721" s="8">
        <v>2010</v>
      </c>
      <c r="K1721" s="8"/>
      <c r="L1721" s="8"/>
      <c r="M1721" s="8" t="s">
        <v>67</v>
      </c>
      <c r="N1721" s="8"/>
      <c r="O1721" s="8"/>
      <c r="P1721" t="s">
        <v>1135</v>
      </c>
      <c r="Q1721" s="8"/>
      <c r="R1721" s="8" t="s">
        <v>1127</v>
      </c>
      <c r="S1721" t="s">
        <v>1128</v>
      </c>
      <c r="T1721" s="8" t="s">
        <v>46</v>
      </c>
      <c r="U1721" s="8" t="s">
        <v>602</v>
      </c>
      <c r="V1721" s="8" t="s">
        <v>603</v>
      </c>
      <c r="W1721" s="8" t="str">
        <f>IF(ISNUMBER(MATCH(V1115,{"Doryteuthis pealeii","Loligo vulgaris","Leptuca thayeri","Stylocheilus striatus","Ophryotrocha labronica"},0)),"N","Y")</f>
        <v>Y</v>
      </c>
      <c r="X1721" s="8"/>
      <c r="Y1721" s="8"/>
      <c r="Z1721" s="8" t="s">
        <v>49</v>
      </c>
      <c r="AA1721" s="8" t="s">
        <v>49</v>
      </c>
      <c r="AB1721" s="8" t="s">
        <v>71</v>
      </c>
      <c r="AC1721" s="8" t="s">
        <v>195</v>
      </c>
      <c r="AD1721" s="8" t="s">
        <v>52</v>
      </c>
      <c r="AE1721" s="8" t="s">
        <v>53</v>
      </c>
      <c r="AF1721" s="8" t="s">
        <v>54</v>
      </c>
      <c r="AG1721" s="8" t="s">
        <v>52</v>
      </c>
      <c r="AH1721" s="8" t="s">
        <v>65</v>
      </c>
      <c r="AI1721" s="8"/>
      <c r="AJ1721" s="8"/>
      <c r="AK1721" s="8">
        <v>3</v>
      </c>
      <c r="AL1721" s="8">
        <v>3</v>
      </c>
      <c r="AM1721" s="8"/>
      <c r="AN1721" s="8">
        <v>330</v>
      </c>
      <c r="AO1721" s="8">
        <v>23</v>
      </c>
      <c r="AP1721" s="8" t="s">
        <v>56</v>
      </c>
      <c r="AQ1721" s="8" t="s">
        <v>57</v>
      </c>
      <c r="AR1721" s="8">
        <v>8.25</v>
      </c>
      <c r="AS1721" s="8" t="s">
        <v>56</v>
      </c>
      <c r="AT1721" s="8" t="s">
        <v>56</v>
      </c>
      <c r="AU1721" s="8">
        <v>335</v>
      </c>
      <c r="AV1721">
        <v>23</v>
      </c>
      <c r="AW1721" t="s">
        <v>56</v>
      </c>
      <c r="AX1721">
        <v>8.25</v>
      </c>
      <c r="AY1721" t="s">
        <v>56</v>
      </c>
      <c r="AZ1721" t="s">
        <v>56</v>
      </c>
      <c r="BA1721" s="8"/>
      <c r="BB1721" s="8">
        <f>LOG(AU1721)</f>
        <v>2.5250448070368452</v>
      </c>
      <c r="BC1721" s="8">
        <v>22</v>
      </c>
      <c r="BD1721" s="8" t="s">
        <v>56</v>
      </c>
      <c r="BE1721" s="8" t="s">
        <v>56</v>
      </c>
      <c r="BF1721" s="8">
        <v>26</v>
      </c>
      <c r="BG1721" s="8" t="s">
        <v>56</v>
      </c>
      <c r="BH1721" s="8" t="s">
        <v>56</v>
      </c>
      <c r="BI1721" s="8">
        <v>5</v>
      </c>
      <c r="BJ1721" s="8">
        <v>4</v>
      </c>
      <c r="BK1721" s="8" t="s">
        <v>56</v>
      </c>
      <c r="BL1721" s="8" t="s">
        <v>933</v>
      </c>
      <c r="BM1721" s="8" t="s">
        <v>473</v>
      </c>
      <c r="BN1721" s="8" t="s">
        <v>81</v>
      </c>
      <c r="BO1721" s="8" t="s">
        <v>82</v>
      </c>
      <c r="BP1721" s="8" t="s">
        <v>190</v>
      </c>
      <c r="BQ1721" s="8" t="s">
        <v>190</v>
      </c>
      <c r="BR1721" s="8" t="s">
        <v>84</v>
      </c>
      <c r="BS1721" s="8"/>
      <c r="BT1721" s="8">
        <v>89.93</v>
      </c>
      <c r="BU1721" s="8">
        <v>89.93</v>
      </c>
      <c r="BV1721" s="8">
        <v>4.9400000000000004</v>
      </c>
      <c r="BW1721" s="8">
        <f>BV1721*SQRT(AK1721)</f>
        <v>8.5563309893902542</v>
      </c>
      <c r="BX1721" s="8">
        <v>91.84</v>
      </c>
      <c r="BY1721" s="8">
        <v>91.84</v>
      </c>
      <c r="BZ1721" s="8">
        <v>3.7</v>
      </c>
      <c r="CA1721" s="8">
        <f>BZ1721*SQRT(AL1721)</f>
        <v>6.4085879880048457</v>
      </c>
      <c r="CB1721" s="8">
        <v>1</v>
      </c>
      <c r="CC1721" s="8">
        <v>1</v>
      </c>
      <c r="CD1721" s="8">
        <v>2.1000000000000001E-2</v>
      </c>
      <c r="CE1721" s="8">
        <v>4.5999999999999999E-3</v>
      </c>
      <c r="CF1721" s="8" t="s">
        <v>1134</v>
      </c>
    </row>
    <row r="1722" spans="1:84" hidden="1" x14ac:dyDescent="0.2">
      <c r="A1722" s="8"/>
      <c r="B1722" t="str">
        <f>ROW()-1&amp;"_AltersInvert"</f>
        <v>1721_AltersInvert</v>
      </c>
      <c r="C1722" t="str">
        <f>D1722&amp;"_"&amp;
SUBSTITUTE(TRIM(V1722)," ","_")&amp;"_"&amp;
TRIM(AC1722)&amp;"_"&amp;
"CO2"&amp;TEXT(AN1722,"0.00")&amp;"_"&amp;
"pH"&amp;TEXT(AR1722,"0.00")&amp;"_"&amp;
"T"&amp;TEXT(BC1722,"0.##")</f>
        <v>201_Patiriella_regularis_EMBRYO_CO2330.00_pH8.25_T22.</v>
      </c>
      <c r="D1722" s="8">
        <v>201</v>
      </c>
      <c r="E1722" s="8"/>
      <c r="F1722" s="8"/>
      <c r="G1722" s="8" t="s">
        <v>43</v>
      </c>
      <c r="H1722" s="8" t="s">
        <v>950</v>
      </c>
      <c r="I1722" s="8"/>
      <c r="J1722" s="8">
        <v>2010</v>
      </c>
      <c r="K1722" s="8"/>
      <c r="L1722" s="8"/>
      <c r="M1722" s="8" t="s">
        <v>67</v>
      </c>
      <c r="N1722" s="8"/>
      <c r="O1722" s="8"/>
      <c r="P1722" t="s">
        <v>1135</v>
      </c>
      <c r="Q1722" s="8"/>
      <c r="R1722" s="8" t="s">
        <v>1127</v>
      </c>
      <c r="S1722" t="s">
        <v>1128</v>
      </c>
      <c r="T1722" s="8" t="s">
        <v>46</v>
      </c>
      <c r="U1722" s="8" t="s">
        <v>602</v>
      </c>
      <c r="V1722" s="8" t="s">
        <v>603</v>
      </c>
      <c r="W1722" s="8" t="str">
        <f>IF(ISNUMBER(MATCH(V1116,{"Doryteuthis pealeii","Loligo vulgaris","Leptuca thayeri","Stylocheilus striatus","Ophryotrocha labronica"},0)),"N","Y")</f>
        <v>Y</v>
      </c>
      <c r="X1722" s="8"/>
      <c r="Y1722" s="8"/>
      <c r="Z1722" s="8" t="s">
        <v>49</v>
      </c>
      <c r="AA1722" s="8" t="s">
        <v>49</v>
      </c>
      <c r="AB1722" s="8" t="s">
        <v>71</v>
      </c>
      <c r="AC1722" s="8" t="s">
        <v>195</v>
      </c>
      <c r="AD1722" s="8" t="s">
        <v>52</v>
      </c>
      <c r="AE1722" s="8" t="s">
        <v>53</v>
      </c>
      <c r="AF1722" s="8" t="s">
        <v>54</v>
      </c>
      <c r="AG1722" s="8" t="s">
        <v>52</v>
      </c>
      <c r="AH1722" s="8" t="s">
        <v>65</v>
      </c>
      <c r="AI1722" s="8"/>
      <c r="AJ1722" s="8"/>
      <c r="AK1722" s="8">
        <v>3</v>
      </c>
      <c r="AL1722" s="8">
        <v>3</v>
      </c>
      <c r="AM1722" s="8"/>
      <c r="AN1722" s="8">
        <v>330</v>
      </c>
      <c r="AO1722" s="8">
        <v>23</v>
      </c>
      <c r="AP1722" s="8" t="s">
        <v>56</v>
      </c>
      <c r="AQ1722" s="8" t="s">
        <v>57</v>
      </c>
      <c r="AR1722" s="8">
        <v>8.25</v>
      </c>
      <c r="AS1722" s="8" t="s">
        <v>56</v>
      </c>
      <c r="AT1722" s="8" t="s">
        <v>56</v>
      </c>
      <c r="AU1722" s="8">
        <v>332</v>
      </c>
      <c r="AV1722">
        <v>23</v>
      </c>
      <c r="AW1722" t="s">
        <v>56</v>
      </c>
      <c r="AX1722">
        <v>8.25</v>
      </c>
      <c r="AY1722" t="s">
        <v>56</v>
      </c>
      <c r="AZ1722" t="s">
        <v>56</v>
      </c>
      <c r="BA1722" s="8"/>
      <c r="BB1722" s="8">
        <f>LOG(AU1722)</f>
        <v>2.5211380837040362</v>
      </c>
      <c r="BC1722" s="8">
        <v>22</v>
      </c>
      <c r="BD1722" s="8" t="s">
        <v>56</v>
      </c>
      <c r="BE1722" s="8" t="s">
        <v>56</v>
      </c>
      <c r="BF1722" s="8">
        <v>24</v>
      </c>
      <c r="BG1722" s="8" t="s">
        <v>56</v>
      </c>
      <c r="BH1722" s="8" t="s">
        <v>56</v>
      </c>
      <c r="BI1722" s="8">
        <v>2</v>
      </c>
      <c r="BJ1722" s="8">
        <v>2</v>
      </c>
      <c r="BK1722" s="8" t="s">
        <v>56</v>
      </c>
      <c r="BL1722" s="8" t="s">
        <v>933</v>
      </c>
      <c r="BM1722" s="8" t="s">
        <v>473</v>
      </c>
      <c r="BN1722" s="8" t="s">
        <v>81</v>
      </c>
      <c r="BO1722" s="8" t="s">
        <v>82</v>
      </c>
      <c r="BP1722" s="8" t="s">
        <v>190</v>
      </c>
      <c r="BQ1722" s="8" t="s">
        <v>190</v>
      </c>
      <c r="BR1722" s="8" t="s">
        <v>84</v>
      </c>
      <c r="BS1722" s="8"/>
      <c r="BT1722" s="8">
        <v>89.93</v>
      </c>
      <c r="BU1722" s="8">
        <v>89.93</v>
      </c>
      <c r="BV1722" s="8">
        <v>4.9400000000000004</v>
      </c>
      <c r="BW1722" s="8">
        <f>BV1722*SQRT(AK1722)</f>
        <v>8.5563309893902542</v>
      </c>
      <c r="BX1722" s="8">
        <v>93.66</v>
      </c>
      <c r="BY1722" s="8">
        <v>93.66</v>
      </c>
      <c r="BZ1722" s="8">
        <v>6.17</v>
      </c>
      <c r="CA1722" s="8">
        <f>BZ1722*SQRT(AL1722)</f>
        <v>10.686753482699972</v>
      </c>
      <c r="CB1722" s="8">
        <v>1</v>
      </c>
      <c r="CC1722" s="8">
        <v>1</v>
      </c>
      <c r="CD1722" s="8">
        <v>4.1000000000000002E-2</v>
      </c>
      <c r="CE1722" s="8">
        <v>7.4000000000000003E-3</v>
      </c>
      <c r="CF1722" s="8" t="s">
        <v>1134</v>
      </c>
    </row>
    <row r="1723" spans="1:84" hidden="1" x14ac:dyDescent="0.2">
      <c r="A1723" s="8"/>
      <c r="B1723" t="str">
        <f>ROW()-1&amp;"_AltersInvert"</f>
        <v>1722_AltersInvert</v>
      </c>
      <c r="C1723" t="str">
        <f>D1723&amp;"_"&amp;
SUBSTITUTE(TRIM(V1723)," ","_")&amp;"_"&amp;
TRIM(AC1723)&amp;"_"&amp;
"CO2"&amp;TEXT(AN1723,"0.00")&amp;"_"&amp;
"pH"&amp;TEXT(AR1723,"0.00")&amp;"_"&amp;
"T"&amp;TEXT(BC1723,"0.##")</f>
        <v>201_Patiriella_regularis_EMBRYO_CO2330.00_pH8.25_T22.</v>
      </c>
      <c r="D1723" s="8">
        <v>201</v>
      </c>
      <c r="E1723" s="8"/>
      <c r="F1723" s="8"/>
      <c r="G1723" s="8" t="s">
        <v>43</v>
      </c>
      <c r="H1723" s="8" t="s">
        <v>950</v>
      </c>
      <c r="I1723" s="8"/>
      <c r="J1723" s="8">
        <v>2010</v>
      </c>
      <c r="K1723" s="8"/>
      <c r="L1723" s="8"/>
      <c r="M1723" s="8" t="s">
        <v>67</v>
      </c>
      <c r="N1723" s="8"/>
      <c r="O1723" s="8"/>
      <c r="P1723" t="s">
        <v>1135</v>
      </c>
      <c r="Q1723" s="8"/>
      <c r="R1723" s="8" t="s">
        <v>1127</v>
      </c>
      <c r="S1723" t="s">
        <v>1128</v>
      </c>
      <c r="T1723" s="8" t="s">
        <v>46</v>
      </c>
      <c r="U1723" s="8" t="s">
        <v>602</v>
      </c>
      <c r="V1723" s="8" t="s">
        <v>603</v>
      </c>
      <c r="W1723" s="8" t="str">
        <f>IF(ISNUMBER(MATCH(V1117,{"Doryteuthis pealeii","Loligo vulgaris","Leptuca thayeri","Stylocheilus striatus","Ophryotrocha labronica"},0)),"N","Y")</f>
        <v>Y</v>
      </c>
      <c r="X1723" s="8"/>
      <c r="Y1723" s="8"/>
      <c r="Z1723" s="8" t="s">
        <v>49</v>
      </c>
      <c r="AA1723" s="8" t="s">
        <v>49</v>
      </c>
      <c r="AB1723" s="8" t="s">
        <v>71</v>
      </c>
      <c r="AC1723" s="8" t="s">
        <v>195</v>
      </c>
      <c r="AD1723" s="8" t="s">
        <v>52</v>
      </c>
      <c r="AE1723" s="8" t="s">
        <v>53</v>
      </c>
      <c r="AF1723" s="8" t="s">
        <v>52</v>
      </c>
      <c r="AG1723" s="8" t="s">
        <v>52</v>
      </c>
      <c r="AH1723" s="8" t="s">
        <v>64</v>
      </c>
      <c r="AI1723" s="8"/>
      <c r="AJ1723" s="8"/>
      <c r="AK1723" s="8">
        <v>3</v>
      </c>
      <c r="AL1723" s="8">
        <v>3</v>
      </c>
      <c r="AM1723" s="8"/>
      <c r="AN1723" s="8">
        <v>330</v>
      </c>
      <c r="AO1723" s="8">
        <v>23</v>
      </c>
      <c r="AP1723" s="8" t="s">
        <v>56</v>
      </c>
      <c r="AQ1723" s="8" t="s">
        <v>57</v>
      </c>
      <c r="AR1723" s="8">
        <v>8.25</v>
      </c>
      <c r="AS1723" s="8" t="s">
        <v>56</v>
      </c>
      <c r="AT1723" s="8" t="s">
        <v>56</v>
      </c>
      <c r="AU1723" s="8">
        <v>1795</v>
      </c>
      <c r="AV1723">
        <v>26</v>
      </c>
      <c r="AW1723" t="s">
        <v>56</v>
      </c>
      <c r="AX1723">
        <v>7.6</v>
      </c>
      <c r="AY1723" t="s">
        <v>56</v>
      </c>
      <c r="AZ1723" t="s">
        <v>56</v>
      </c>
      <c r="BA1723" s="8"/>
      <c r="BB1723" s="8">
        <f>LOG(AU1723)</f>
        <v>3.2540644529143381</v>
      </c>
      <c r="BC1723" s="8">
        <v>22</v>
      </c>
      <c r="BD1723" s="8" t="s">
        <v>56</v>
      </c>
      <c r="BE1723" s="8" t="s">
        <v>56</v>
      </c>
      <c r="BF1723" s="8">
        <v>24</v>
      </c>
      <c r="BG1723" s="8" t="s">
        <v>56</v>
      </c>
      <c r="BH1723" s="8" t="s">
        <v>56</v>
      </c>
      <c r="BI1723" s="8">
        <v>1465</v>
      </c>
      <c r="BJ1723" s="8">
        <v>2</v>
      </c>
      <c r="BK1723" s="8" t="s">
        <v>56</v>
      </c>
      <c r="BL1723" s="8" t="s">
        <v>933</v>
      </c>
      <c r="BM1723" s="8" t="s">
        <v>473</v>
      </c>
      <c r="BN1723" s="8" t="s">
        <v>81</v>
      </c>
      <c r="BO1723" s="8" t="s">
        <v>82</v>
      </c>
      <c r="BP1723" s="8" t="s">
        <v>190</v>
      </c>
      <c r="BQ1723" s="8" t="s">
        <v>190</v>
      </c>
      <c r="BR1723" s="8" t="s">
        <v>84</v>
      </c>
      <c r="BS1723" s="8"/>
      <c r="BT1723" s="8">
        <v>89.93</v>
      </c>
      <c r="BU1723" s="8">
        <v>89.93</v>
      </c>
      <c r="BV1723" s="8">
        <v>4.9400000000000004</v>
      </c>
      <c r="BW1723" s="8">
        <f>BV1723*SQRT(AK1723)</f>
        <v>8.5563309893902542</v>
      </c>
      <c r="BX1723" s="8">
        <v>79.09</v>
      </c>
      <c r="BY1723" s="8">
        <v>79.09</v>
      </c>
      <c r="BZ1723" s="8">
        <v>10.49</v>
      </c>
      <c r="CA1723" s="8">
        <f>BZ1723*SQRT(AL1723)</f>
        <v>18.169212971397521</v>
      </c>
      <c r="CB1723" s="8">
        <v>1</v>
      </c>
      <c r="CC1723" s="8">
        <v>1</v>
      </c>
      <c r="CD1723" s="8">
        <v>-0.128</v>
      </c>
      <c r="CE1723" s="8">
        <v>2.06E-2</v>
      </c>
      <c r="CF1723" s="8" t="s">
        <v>1134</v>
      </c>
    </row>
    <row r="1724" spans="1:84" hidden="1" x14ac:dyDescent="0.2">
      <c r="A1724" s="8"/>
      <c r="B1724" t="str">
        <f>ROW()-1&amp;"_AltersInvert"</f>
        <v>1723_AltersInvert</v>
      </c>
      <c r="C1724" t="str">
        <f>D1724&amp;"_"&amp;
SUBSTITUTE(TRIM(V1724)," ","_")&amp;"_"&amp;
TRIM(AC1724)&amp;"_"&amp;
"CO2"&amp;TEXT(AN1724,"0.00")&amp;"_"&amp;
"pH"&amp;TEXT(AR1724,"0.00")&amp;"_"&amp;
"T"&amp;TEXT(BC1724,"0.##")</f>
        <v>201_Patiriella_regularis_EMBRYO_CO2330.00_pH8.25_T22.</v>
      </c>
      <c r="D1724" s="8">
        <v>201</v>
      </c>
      <c r="E1724" s="8"/>
      <c r="F1724" s="8"/>
      <c r="G1724" s="8" t="s">
        <v>43</v>
      </c>
      <c r="H1724" s="8" t="s">
        <v>950</v>
      </c>
      <c r="I1724" s="8"/>
      <c r="J1724" s="8">
        <v>2010</v>
      </c>
      <c r="K1724" s="8"/>
      <c r="L1724" s="8"/>
      <c r="M1724" s="8" t="s">
        <v>67</v>
      </c>
      <c r="N1724" s="8"/>
      <c r="O1724" s="8"/>
      <c r="P1724" t="s">
        <v>1135</v>
      </c>
      <c r="Q1724" s="8"/>
      <c r="R1724" s="8" t="s">
        <v>1127</v>
      </c>
      <c r="S1724" t="s">
        <v>1128</v>
      </c>
      <c r="T1724" s="8" t="s">
        <v>46</v>
      </c>
      <c r="U1724" s="8" t="s">
        <v>602</v>
      </c>
      <c r="V1724" s="8" t="s">
        <v>603</v>
      </c>
      <c r="W1724" s="8" t="str">
        <f>IF(ISNUMBER(MATCH(V1118,{"Doryteuthis pealeii","Loligo vulgaris","Leptuca thayeri","Stylocheilus striatus","Ophryotrocha labronica"},0)),"N","Y")</f>
        <v>Y</v>
      </c>
      <c r="X1724" s="8"/>
      <c r="Y1724" s="8"/>
      <c r="Z1724" s="8" t="s">
        <v>49</v>
      </c>
      <c r="AA1724" s="8" t="s">
        <v>49</v>
      </c>
      <c r="AB1724" s="8" t="s">
        <v>71</v>
      </c>
      <c r="AC1724" s="8" t="s">
        <v>195</v>
      </c>
      <c r="AD1724" s="8" t="s">
        <v>52</v>
      </c>
      <c r="AE1724" s="8" t="s">
        <v>53</v>
      </c>
      <c r="AF1724" s="8" t="s">
        <v>52</v>
      </c>
      <c r="AG1724" s="8" t="s">
        <v>52</v>
      </c>
      <c r="AH1724" s="8" t="s">
        <v>64</v>
      </c>
      <c r="AI1724" s="8"/>
      <c r="AJ1724" s="8"/>
      <c r="AK1724" s="8">
        <v>3</v>
      </c>
      <c r="AL1724" s="8">
        <v>3</v>
      </c>
      <c r="AM1724" s="8"/>
      <c r="AN1724" s="8">
        <v>330</v>
      </c>
      <c r="AO1724" s="8">
        <v>23</v>
      </c>
      <c r="AP1724" s="8" t="s">
        <v>56</v>
      </c>
      <c r="AQ1724" s="8" t="s">
        <v>57</v>
      </c>
      <c r="AR1724" s="8">
        <v>8.25</v>
      </c>
      <c r="AS1724" s="8" t="s">
        <v>56</v>
      </c>
      <c r="AT1724" s="8" t="s">
        <v>56</v>
      </c>
      <c r="AU1724" s="8">
        <v>1087</v>
      </c>
      <c r="AV1724">
        <v>16</v>
      </c>
      <c r="AW1724" t="s">
        <v>56</v>
      </c>
      <c r="AX1724">
        <v>7.8</v>
      </c>
      <c r="AY1724" t="s">
        <v>56</v>
      </c>
      <c r="AZ1724" t="s">
        <v>56</v>
      </c>
      <c r="BA1724" s="8"/>
      <c r="BB1724" s="8">
        <f>LOG(AU1724)</f>
        <v>3.0362295440862948</v>
      </c>
      <c r="BC1724" s="8">
        <v>22</v>
      </c>
      <c r="BD1724" s="8" t="s">
        <v>56</v>
      </c>
      <c r="BE1724" s="8" t="s">
        <v>56</v>
      </c>
      <c r="BF1724" s="8">
        <v>24</v>
      </c>
      <c r="BG1724" s="8" t="s">
        <v>56</v>
      </c>
      <c r="BH1724" s="8" t="s">
        <v>56</v>
      </c>
      <c r="BI1724" s="8">
        <v>757</v>
      </c>
      <c r="BJ1724" s="8">
        <v>2</v>
      </c>
      <c r="BK1724" s="8" t="s">
        <v>56</v>
      </c>
      <c r="BL1724" s="8" t="s">
        <v>933</v>
      </c>
      <c r="BM1724" s="8" t="s">
        <v>473</v>
      </c>
      <c r="BN1724" s="8" t="s">
        <v>81</v>
      </c>
      <c r="BO1724" s="8" t="s">
        <v>82</v>
      </c>
      <c r="BP1724" s="8" t="s">
        <v>190</v>
      </c>
      <c r="BQ1724" s="8" t="s">
        <v>190</v>
      </c>
      <c r="BR1724" s="8" t="s">
        <v>84</v>
      </c>
      <c r="BS1724" s="8"/>
      <c r="BT1724" s="8">
        <v>89.93</v>
      </c>
      <c r="BU1724" s="8">
        <v>89.93</v>
      </c>
      <c r="BV1724" s="8">
        <v>4.9400000000000004</v>
      </c>
      <c r="BW1724" s="8">
        <f>BV1724*SQRT(AK1724)</f>
        <v>8.5563309893902542</v>
      </c>
      <c r="BX1724" s="8">
        <v>86.99</v>
      </c>
      <c r="BY1724" s="8">
        <v>86.99</v>
      </c>
      <c r="BZ1724" s="8">
        <v>7.4</v>
      </c>
      <c r="CA1724" s="8">
        <f>BZ1724*SQRT(AL1724)</f>
        <v>12.817175976009691</v>
      </c>
      <c r="CB1724" s="8">
        <v>1</v>
      </c>
      <c r="CC1724" s="8">
        <v>1</v>
      </c>
      <c r="CD1724" s="8">
        <v>-3.3000000000000002E-2</v>
      </c>
      <c r="CE1724" s="8">
        <v>1.03E-2</v>
      </c>
      <c r="CF1724" s="8" t="s">
        <v>1134</v>
      </c>
    </row>
    <row r="1725" spans="1:84" hidden="1" x14ac:dyDescent="0.2">
      <c r="A1725" s="8"/>
      <c r="B1725" t="str">
        <f>ROW()-1&amp;"_AltersInvert"</f>
        <v>1724_AltersInvert</v>
      </c>
      <c r="C1725" t="str">
        <f>D1725&amp;"_"&amp;
SUBSTITUTE(TRIM(V1725)," ","_")&amp;"_"&amp;
TRIM(AC1725)&amp;"_"&amp;
"CO2"&amp;TEXT(AN1725,"0.00")&amp;"_"&amp;
"pH"&amp;TEXT(AR1725,"0.00")&amp;"_"&amp;
"T"&amp;TEXT(BC1725,"0.##")</f>
        <v>201_Patiriella_regularis_EMBRYO_CO2330.00_pH8.25_T22.</v>
      </c>
      <c r="D1725" s="8">
        <v>201</v>
      </c>
      <c r="E1725" s="8"/>
      <c r="F1725" s="8"/>
      <c r="G1725" s="8" t="s">
        <v>43</v>
      </c>
      <c r="H1725" s="8" t="s">
        <v>950</v>
      </c>
      <c r="I1725" s="8"/>
      <c r="J1725" s="8">
        <v>2010</v>
      </c>
      <c r="K1725" s="8"/>
      <c r="L1725" s="8"/>
      <c r="M1725" s="8" t="s">
        <v>67</v>
      </c>
      <c r="N1725" s="8"/>
      <c r="O1725" s="8"/>
      <c r="P1725" t="s">
        <v>1135</v>
      </c>
      <c r="Q1725" s="8"/>
      <c r="R1725" s="8" t="s">
        <v>1127</v>
      </c>
      <c r="S1725" t="s">
        <v>1128</v>
      </c>
      <c r="T1725" s="8" t="s">
        <v>46</v>
      </c>
      <c r="U1725" s="8" t="s">
        <v>602</v>
      </c>
      <c r="V1725" s="8" t="s">
        <v>603</v>
      </c>
      <c r="W1725" s="8" t="str">
        <f>IF(ISNUMBER(MATCH(V1119,{"Doryteuthis pealeii","Loligo vulgaris","Leptuca thayeri","Stylocheilus striatus","Ophryotrocha labronica"},0)),"N","Y")</f>
        <v>Y</v>
      </c>
      <c r="X1725" s="8"/>
      <c r="Y1725" s="8"/>
      <c r="Z1725" s="8" t="s">
        <v>49</v>
      </c>
      <c r="AA1725" s="8" t="s">
        <v>49</v>
      </c>
      <c r="AB1725" s="8" t="s">
        <v>71</v>
      </c>
      <c r="AC1725" s="8" t="s">
        <v>195</v>
      </c>
      <c r="AD1725" s="8" t="s">
        <v>52</v>
      </c>
      <c r="AE1725" s="8" t="s">
        <v>53</v>
      </c>
      <c r="AF1725" s="8" t="s">
        <v>52</v>
      </c>
      <c r="AG1725" s="8" t="s">
        <v>52</v>
      </c>
      <c r="AH1725" s="8" t="s">
        <v>64</v>
      </c>
      <c r="AI1725" s="8"/>
      <c r="AJ1725" s="8"/>
      <c r="AK1725" s="8">
        <v>3</v>
      </c>
      <c r="AL1725" s="8">
        <v>3</v>
      </c>
      <c r="AM1725" s="8"/>
      <c r="AN1725" s="8">
        <v>330</v>
      </c>
      <c r="AO1725" s="8">
        <v>23</v>
      </c>
      <c r="AP1725" s="8" t="s">
        <v>56</v>
      </c>
      <c r="AQ1725" s="8" t="s">
        <v>57</v>
      </c>
      <c r="AR1725" s="8">
        <v>8.25</v>
      </c>
      <c r="AS1725" s="8" t="s">
        <v>56</v>
      </c>
      <c r="AT1725" s="8" t="s">
        <v>56</v>
      </c>
      <c r="AU1725" s="8">
        <v>1828</v>
      </c>
      <c r="AV1725">
        <v>27</v>
      </c>
      <c r="AW1725" t="s">
        <v>56</v>
      </c>
      <c r="AX1725">
        <v>7.6</v>
      </c>
      <c r="AY1725" t="s">
        <v>56</v>
      </c>
      <c r="AZ1725" t="s">
        <v>56</v>
      </c>
      <c r="BA1725" s="8"/>
      <c r="BB1725" s="8">
        <f>LOG(AU1725)</f>
        <v>3.2619761913978125</v>
      </c>
      <c r="BC1725" s="8">
        <v>22</v>
      </c>
      <c r="BD1725" s="8" t="s">
        <v>56</v>
      </c>
      <c r="BE1725" s="8" t="s">
        <v>56</v>
      </c>
      <c r="BF1725" s="8">
        <v>26</v>
      </c>
      <c r="BG1725" s="8" t="s">
        <v>56</v>
      </c>
      <c r="BH1725" s="8" t="s">
        <v>56</v>
      </c>
      <c r="BI1725" s="8">
        <v>1498</v>
      </c>
      <c r="BJ1725" s="8">
        <v>4</v>
      </c>
      <c r="BK1725" s="8" t="s">
        <v>56</v>
      </c>
      <c r="BL1725" s="8" t="s">
        <v>933</v>
      </c>
      <c r="BM1725" s="8" t="s">
        <v>473</v>
      </c>
      <c r="BN1725" s="8" t="s">
        <v>81</v>
      </c>
      <c r="BO1725" s="8" t="s">
        <v>82</v>
      </c>
      <c r="BP1725" s="8" t="s">
        <v>190</v>
      </c>
      <c r="BQ1725" s="8" t="s">
        <v>190</v>
      </c>
      <c r="BR1725" s="8" t="s">
        <v>84</v>
      </c>
      <c r="BS1725" s="8"/>
      <c r="BT1725" s="8">
        <v>89.93</v>
      </c>
      <c r="BU1725" s="8">
        <v>89.93</v>
      </c>
      <c r="BV1725" s="8">
        <v>4.9400000000000004</v>
      </c>
      <c r="BW1725" s="8">
        <f>BV1725*SQRT(AK1725)</f>
        <v>8.5563309893902542</v>
      </c>
      <c r="BX1725" s="8">
        <v>89.61</v>
      </c>
      <c r="BY1725" s="8">
        <v>89.61</v>
      </c>
      <c r="BZ1725" s="8">
        <v>4.93</v>
      </c>
      <c r="CA1725" s="8">
        <f>BZ1725*SQRT(AL1725)</f>
        <v>8.5390104813145644</v>
      </c>
      <c r="CB1725" s="8">
        <v>1</v>
      </c>
      <c r="CC1725" s="8">
        <v>1</v>
      </c>
      <c r="CD1725" s="8">
        <v>-4.0000000000000001E-3</v>
      </c>
      <c r="CE1725" s="8">
        <v>6.0000000000000001E-3</v>
      </c>
      <c r="CF1725" s="8" t="s">
        <v>1134</v>
      </c>
    </row>
    <row r="1726" spans="1:84" hidden="1" x14ac:dyDescent="0.2">
      <c r="A1726" s="8"/>
      <c r="B1726" t="str">
        <f>ROW()-1&amp;"_AltersInvert"</f>
        <v>1725_AltersInvert</v>
      </c>
      <c r="C1726" t="str">
        <f>D1726&amp;"_"&amp;
SUBSTITUTE(TRIM(V1726)," ","_")&amp;"_"&amp;
TRIM(AC1726)&amp;"_"&amp;
"CO2"&amp;TEXT(AN1726,"0.00")&amp;"_"&amp;
"pH"&amp;TEXT(AR1726,"0.00")&amp;"_"&amp;
"T"&amp;TEXT(BC1726,"0.##")</f>
        <v>201_Patiriella_regularis_EMBRYO_CO2330.00_pH8.25_T22.</v>
      </c>
      <c r="D1726" s="8">
        <v>201</v>
      </c>
      <c r="E1726" s="8"/>
      <c r="F1726" s="8"/>
      <c r="G1726" s="8" t="s">
        <v>43</v>
      </c>
      <c r="H1726" s="8" t="s">
        <v>950</v>
      </c>
      <c r="I1726" s="8"/>
      <c r="J1726" s="8">
        <v>2010</v>
      </c>
      <c r="K1726" s="8"/>
      <c r="L1726" s="8"/>
      <c r="M1726" s="8" t="s">
        <v>67</v>
      </c>
      <c r="N1726" s="8"/>
      <c r="O1726" s="8"/>
      <c r="P1726" t="s">
        <v>1135</v>
      </c>
      <c r="Q1726" s="8"/>
      <c r="R1726" s="8" t="s">
        <v>1127</v>
      </c>
      <c r="S1726" t="s">
        <v>1128</v>
      </c>
      <c r="T1726" s="8" t="s">
        <v>46</v>
      </c>
      <c r="U1726" s="8" t="s">
        <v>602</v>
      </c>
      <c r="V1726" s="8" t="s">
        <v>603</v>
      </c>
      <c r="W1726" s="8" t="str">
        <f>IF(ISNUMBER(MATCH(V1120,{"Doryteuthis pealeii","Loligo vulgaris","Leptuca thayeri","Stylocheilus striatus","Ophryotrocha labronica"},0)),"N","Y")</f>
        <v>Y</v>
      </c>
      <c r="X1726" s="8"/>
      <c r="Y1726" s="8"/>
      <c r="Z1726" s="8" t="s">
        <v>49</v>
      </c>
      <c r="AA1726" s="8" t="s">
        <v>49</v>
      </c>
      <c r="AB1726" s="8" t="s">
        <v>71</v>
      </c>
      <c r="AC1726" s="8" t="s">
        <v>195</v>
      </c>
      <c r="AD1726" s="8" t="s">
        <v>52</v>
      </c>
      <c r="AE1726" s="8" t="s">
        <v>53</v>
      </c>
      <c r="AF1726" s="8" t="s">
        <v>52</v>
      </c>
      <c r="AG1726" s="8" t="s">
        <v>52</v>
      </c>
      <c r="AH1726" s="8" t="s">
        <v>64</v>
      </c>
      <c r="AI1726" s="8"/>
      <c r="AJ1726" s="8"/>
      <c r="AK1726" s="8">
        <v>3</v>
      </c>
      <c r="AL1726" s="8">
        <v>3</v>
      </c>
      <c r="AM1726" s="8"/>
      <c r="AN1726" s="8">
        <v>330</v>
      </c>
      <c r="AO1726" s="8">
        <v>23</v>
      </c>
      <c r="AP1726" s="8" t="s">
        <v>56</v>
      </c>
      <c r="AQ1726" s="8" t="s">
        <v>57</v>
      </c>
      <c r="AR1726" s="8">
        <v>8.25</v>
      </c>
      <c r="AS1726" s="8" t="s">
        <v>56</v>
      </c>
      <c r="AT1726" s="8" t="s">
        <v>56</v>
      </c>
      <c r="AU1726" s="8">
        <v>1104</v>
      </c>
      <c r="AV1726">
        <v>16</v>
      </c>
      <c r="AW1726" t="s">
        <v>56</v>
      </c>
      <c r="AX1726">
        <v>7.8</v>
      </c>
      <c r="AY1726" t="s">
        <v>56</v>
      </c>
      <c r="AZ1726" t="s">
        <v>56</v>
      </c>
      <c r="BA1726" s="8"/>
      <c r="BB1726" s="8">
        <f>LOG(AU1726)</f>
        <v>3.0429690733931802</v>
      </c>
      <c r="BC1726" s="8">
        <v>22</v>
      </c>
      <c r="BD1726" s="8" t="s">
        <v>56</v>
      </c>
      <c r="BE1726" s="8" t="s">
        <v>56</v>
      </c>
      <c r="BF1726" s="8">
        <v>26</v>
      </c>
      <c r="BG1726" s="8" t="s">
        <v>56</v>
      </c>
      <c r="BH1726" s="8" t="s">
        <v>56</v>
      </c>
      <c r="BI1726" s="8">
        <v>774</v>
      </c>
      <c r="BJ1726" s="8">
        <v>4</v>
      </c>
      <c r="BK1726" s="8" t="s">
        <v>56</v>
      </c>
      <c r="BL1726" s="8" t="s">
        <v>933</v>
      </c>
      <c r="BM1726" s="8" t="s">
        <v>473</v>
      </c>
      <c r="BN1726" s="8" t="s">
        <v>81</v>
      </c>
      <c r="BO1726" s="8" t="s">
        <v>82</v>
      </c>
      <c r="BP1726" s="8" t="s">
        <v>190</v>
      </c>
      <c r="BQ1726" s="8" t="s">
        <v>190</v>
      </c>
      <c r="BR1726" s="8" t="s">
        <v>84</v>
      </c>
      <c r="BS1726" s="8"/>
      <c r="BT1726" s="8">
        <v>89.93</v>
      </c>
      <c r="BU1726" s="8">
        <v>89.93</v>
      </c>
      <c r="BV1726" s="8">
        <v>4.9400000000000004</v>
      </c>
      <c r="BW1726" s="8">
        <f>BV1726*SQRT(AK1726)</f>
        <v>8.5563309893902542</v>
      </c>
      <c r="BX1726" s="8">
        <v>93.8</v>
      </c>
      <c r="BY1726" s="8">
        <v>93.8</v>
      </c>
      <c r="BZ1726" s="8">
        <v>3.09</v>
      </c>
      <c r="CA1726" s="8">
        <f>BZ1726*SQRT(AL1726)</f>
        <v>5.35203699538783</v>
      </c>
      <c r="CB1726" s="8">
        <v>1</v>
      </c>
      <c r="CC1726" s="8">
        <v>1</v>
      </c>
      <c r="CD1726" s="8">
        <v>4.2000000000000003E-2</v>
      </c>
      <c r="CE1726" s="8">
        <v>4.1000000000000003E-3</v>
      </c>
      <c r="CF1726" s="8" t="s">
        <v>1134</v>
      </c>
    </row>
    <row r="1727" spans="1:84" hidden="1" x14ac:dyDescent="0.2">
      <c r="B1727" t="str">
        <f>ROW()-1&amp;"_AltersInvert"</f>
        <v>1726_AltersInvert</v>
      </c>
      <c r="C1727" t="str">
        <f>D1727&amp;"_"&amp;
SUBSTITUTE(TRIM(V1727)," ","_")&amp;"_"&amp;
TRIM(AC1727)&amp;"_"&amp;
"CO2"&amp;TEXT(AN1727,"0.00")&amp;"_"&amp;
"pH"&amp;TEXT(AR1727,"0.00")&amp;"_"&amp;
"T"&amp;TEXT(BC1727,"0.##")</f>
        <v>186_Pocillopora_damicornis_LARVA_CO2516.00_pH8.10_T28.7</v>
      </c>
      <c r="D1727">
        <v>186</v>
      </c>
      <c r="G1727" t="s">
        <v>43</v>
      </c>
      <c r="H1727" t="s">
        <v>880</v>
      </c>
      <c r="J1727">
        <v>2021</v>
      </c>
      <c r="M1727" t="s">
        <v>657</v>
      </c>
      <c r="P1727" t="s">
        <v>1135</v>
      </c>
      <c r="R1727" t="s">
        <v>1127</v>
      </c>
      <c r="S1727" t="s">
        <v>1128</v>
      </c>
      <c r="T1727" t="s">
        <v>103</v>
      </c>
      <c r="U1727" t="s">
        <v>201</v>
      </c>
      <c r="V1727" t="s">
        <v>214</v>
      </c>
      <c r="Z1727" t="s">
        <v>106</v>
      </c>
      <c r="AA1727" t="s">
        <v>107</v>
      </c>
      <c r="AB1727" t="s">
        <v>71</v>
      </c>
      <c r="AC1727" t="s">
        <v>72</v>
      </c>
      <c r="AD1727" t="s">
        <v>52</v>
      </c>
      <c r="AE1727" t="s">
        <v>53</v>
      </c>
      <c r="AF1727" t="s">
        <v>52</v>
      </c>
      <c r="AG1727" t="s">
        <v>54</v>
      </c>
      <c r="AH1727" t="s">
        <v>55</v>
      </c>
      <c r="AK1727">
        <v>4</v>
      </c>
      <c r="AL1727">
        <v>4</v>
      </c>
      <c r="AM1727" t="s">
        <v>342</v>
      </c>
      <c r="AN1727">
        <v>516</v>
      </c>
      <c r="AO1727" t="s">
        <v>56</v>
      </c>
      <c r="AP1727">
        <v>36</v>
      </c>
      <c r="AQ1727" t="s">
        <v>57</v>
      </c>
      <c r="AR1727">
        <v>8.1</v>
      </c>
      <c r="AS1727" t="s">
        <v>56</v>
      </c>
      <c r="AT1727">
        <v>0.05</v>
      </c>
      <c r="AU1727">
        <v>1044</v>
      </c>
      <c r="AV1727" t="s">
        <v>56</v>
      </c>
      <c r="AW1727">
        <v>32</v>
      </c>
      <c r="AX1727">
        <v>7.83</v>
      </c>
      <c r="AY1727" t="s">
        <v>56</v>
      </c>
      <c r="AZ1727">
        <v>7.0000000000000007E-2</v>
      </c>
      <c r="BB1727">
        <f>LOG(AU1727)</f>
        <v>3.0187004986662433</v>
      </c>
      <c r="BC1727">
        <v>28.7</v>
      </c>
      <c r="BD1727" t="s">
        <v>56</v>
      </c>
      <c r="BE1727">
        <v>0.3</v>
      </c>
      <c r="BF1727">
        <v>28.7</v>
      </c>
      <c r="BG1727" t="s">
        <v>56</v>
      </c>
      <c r="BH1727">
        <v>0.2</v>
      </c>
      <c r="BI1727">
        <v>528</v>
      </c>
      <c r="BJ1727">
        <v>0</v>
      </c>
      <c r="BK1727" t="s">
        <v>56</v>
      </c>
      <c r="BL1727" t="s">
        <v>881</v>
      </c>
      <c r="BM1727" t="s">
        <v>339</v>
      </c>
      <c r="BN1727" t="s">
        <v>340</v>
      </c>
      <c r="BO1727" t="s">
        <v>882</v>
      </c>
      <c r="BP1727" t="s">
        <v>194</v>
      </c>
      <c r="BQ1727" t="s">
        <v>194</v>
      </c>
      <c r="BR1727" t="s">
        <v>63</v>
      </c>
      <c r="BT1727">
        <v>25.51</v>
      </c>
      <c r="BU1727">
        <v>25.51</v>
      </c>
      <c r="BV1727">
        <v>4.28</v>
      </c>
      <c r="BW1727">
        <f>BV1727*SQRT(AK1727)</f>
        <v>8.56</v>
      </c>
      <c r="BX1727">
        <v>34.9</v>
      </c>
      <c r="BY1727">
        <v>34.898000000000003</v>
      </c>
      <c r="BZ1727">
        <v>1.42</v>
      </c>
      <c r="CA1727">
        <f>BZ1727*SQRT(AL1727)</f>
        <v>2.84</v>
      </c>
      <c r="CB1727">
        <v>5</v>
      </c>
      <c r="CC1727">
        <v>4</v>
      </c>
      <c r="CD1727">
        <v>-0.313</v>
      </c>
      <c r="CE1727">
        <v>2.98E-2</v>
      </c>
    </row>
    <row r="1728" spans="1:84" hidden="1" x14ac:dyDescent="0.2">
      <c r="B1728" t="str">
        <f>ROW()-1&amp;"_AltersInvert"</f>
        <v>1727_AltersInvert</v>
      </c>
      <c r="C1728" t="str">
        <f>D1728&amp;"_"&amp;
SUBSTITUTE(TRIM(V1728)," ","_")&amp;"_"&amp;
TRIM(AC1728)&amp;"_"&amp;
"CO2"&amp;TEXT(AN1728,"0.00")&amp;"_"&amp;
"pH"&amp;TEXT(AR1728,"0.00")&amp;"_"&amp;
"T"&amp;TEXT(BC1728,"0.##")</f>
        <v>186_Pocillopora_damicornis_LARVA_CO2516.00_pH8.10_T28.7</v>
      </c>
      <c r="D1728">
        <v>186</v>
      </c>
      <c r="G1728" t="s">
        <v>43</v>
      </c>
      <c r="H1728" t="s">
        <v>880</v>
      </c>
      <c r="J1728">
        <v>2021</v>
      </c>
      <c r="M1728" t="s">
        <v>657</v>
      </c>
      <c r="P1728" t="s">
        <v>1135</v>
      </c>
      <c r="R1728" t="s">
        <v>1127</v>
      </c>
      <c r="S1728" t="s">
        <v>1128</v>
      </c>
      <c r="T1728" t="s">
        <v>103</v>
      </c>
      <c r="U1728" t="s">
        <v>201</v>
      </c>
      <c r="V1728" t="s">
        <v>214</v>
      </c>
      <c r="Z1728" t="s">
        <v>106</v>
      </c>
      <c r="AA1728" t="s">
        <v>107</v>
      </c>
      <c r="AB1728" t="s">
        <v>71</v>
      </c>
      <c r="AC1728" t="s">
        <v>72</v>
      </c>
      <c r="AD1728" t="s">
        <v>52</v>
      </c>
      <c r="AE1728" t="s">
        <v>53</v>
      </c>
      <c r="AF1728" t="s">
        <v>54</v>
      </c>
      <c r="AG1728" t="s">
        <v>52</v>
      </c>
      <c r="AH1728" t="s">
        <v>65</v>
      </c>
      <c r="AK1728">
        <v>4</v>
      </c>
      <c r="AL1728">
        <v>4</v>
      </c>
      <c r="AM1728" t="s">
        <v>342</v>
      </c>
      <c r="AN1728">
        <v>516</v>
      </c>
      <c r="AO1728" t="s">
        <v>56</v>
      </c>
      <c r="AP1728">
        <v>36</v>
      </c>
      <c r="AQ1728" t="s">
        <v>57</v>
      </c>
      <c r="AR1728">
        <v>8.1</v>
      </c>
      <c r="AS1728" t="s">
        <v>56</v>
      </c>
      <c r="AT1728">
        <v>0.05</v>
      </c>
      <c r="AU1728">
        <v>518</v>
      </c>
      <c r="AV1728" t="s">
        <v>56</v>
      </c>
      <c r="AW1728">
        <v>13</v>
      </c>
      <c r="AX1728">
        <v>8.1199999999999992</v>
      </c>
      <c r="AY1728" t="s">
        <v>56</v>
      </c>
      <c r="AZ1728">
        <v>0.05</v>
      </c>
      <c r="BB1728">
        <f>LOG(AU1728)</f>
        <v>2.7143297597452332</v>
      </c>
      <c r="BC1728">
        <v>28.7</v>
      </c>
      <c r="BD1728" t="s">
        <v>56</v>
      </c>
      <c r="BE1728">
        <v>0.3</v>
      </c>
      <c r="BF1728">
        <v>31.2</v>
      </c>
      <c r="BG1728" t="s">
        <v>56</v>
      </c>
      <c r="BH1728">
        <v>0.2</v>
      </c>
      <c r="BI1728">
        <v>2</v>
      </c>
      <c r="BJ1728">
        <v>2.5</v>
      </c>
      <c r="BK1728" t="s">
        <v>56</v>
      </c>
      <c r="BL1728" t="s">
        <v>881</v>
      </c>
      <c r="BM1728" t="s">
        <v>339</v>
      </c>
      <c r="BN1728" t="s">
        <v>340</v>
      </c>
      <c r="BO1728" t="s">
        <v>882</v>
      </c>
      <c r="BP1728" t="s">
        <v>194</v>
      </c>
      <c r="BQ1728" t="s">
        <v>194</v>
      </c>
      <c r="BR1728" t="s">
        <v>63</v>
      </c>
      <c r="BT1728">
        <v>25.51</v>
      </c>
      <c r="BU1728">
        <v>25.51</v>
      </c>
      <c r="BV1728">
        <v>4.28</v>
      </c>
      <c r="BW1728">
        <f>BV1728*SQRT(AK1728)</f>
        <v>8.56</v>
      </c>
      <c r="BX1728">
        <v>37.14</v>
      </c>
      <c r="BY1728">
        <v>37.14</v>
      </c>
      <c r="BZ1728">
        <v>7.14</v>
      </c>
      <c r="CA1728">
        <f>BZ1728*SQRT(AL1728)</f>
        <v>14.28</v>
      </c>
      <c r="CB1728">
        <v>5</v>
      </c>
      <c r="CC1728">
        <v>4</v>
      </c>
      <c r="CD1728">
        <v>-0.376</v>
      </c>
      <c r="CE1728">
        <v>6.5100000000000005E-2</v>
      </c>
    </row>
    <row r="1729" spans="2:83" hidden="1" x14ac:dyDescent="0.2">
      <c r="B1729" t="str">
        <f>ROW()-1&amp;"_AltersInvert"</f>
        <v>1728_AltersInvert</v>
      </c>
      <c r="C1729" t="str">
        <f>D1729&amp;"_"&amp;
SUBSTITUTE(TRIM(V1729)," ","_")&amp;"_"&amp;
TRIM(AC1729)&amp;"_"&amp;
"CO2"&amp;TEXT(AN1729,"0.00")&amp;"_"&amp;
"pH"&amp;TEXT(AR1729,"0.00")&amp;"_"&amp;
"T"&amp;TEXT(BC1729,"0.##")</f>
        <v>186_Pocillopora_damicornis_LARVA_CO2516.00_pH8.10_T28.7</v>
      </c>
      <c r="D1729">
        <v>186</v>
      </c>
      <c r="G1729" t="s">
        <v>43</v>
      </c>
      <c r="H1729" t="s">
        <v>880</v>
      </c>
      <c r="J1729">
        <v>2021</v>
      </c>
      <c r="M1729" t="s">
        <v>657</v>
      </c>
      <c r="P1729" t="s">
        <v>1135</v>
      </c>
      <c r="R1729" t="s">
        <v>1127</v>
      </c>
      <c r="S1729" t="s">
        <v>1128</v>
      </c>
      <c r="T1729" t="s">
        <v>103</v>
      </c>
      <c r="U1729" t="s">
        <v>201</v>
      </c>
      <c r="V1729" t="s">
        <v>214</v>
      </c>
      <c r="Z1729" t="s">
        <v>106</v>
      </c>
      <c r="AA1729" t="s">
        <v>107</v>
      </c>
      <c r="AB1729" t="s">
        <v>71</v>
      </c>
      <c r="AC1729" t="s">
        <v>72</v>
      </c>
      <c r="AD1729" t="s">
        <v>52</v>
      </c>
      <c r="AE1729" t="s">
        <v>53</v>
      </c>
      <c r="AF1729" t="s">
        <v>54</v>
      </c>
      <c r="AG1729" t="s">
        <v>52</v>
      </c>
      <c r="AH1729" t="s">
        <v>65</v>
      </c>
      <c r="AK1729">
        <v>4</v>
      </c>
      <c r="AL1729">
        <v>4</v>
      </c>
      <c r="AM1729" t="s">
        <v>342</v>
      </c>
      <c r="AN1729">
        <v>516</v>
      </c>
      <c r="AO1729" t="s">
        <v>56</v>
      </c>
      <c r="AP1729">
        <v>36</v>
      </c>
      <c r="AQ1729" t="s">
        <v>57</v>
      </c>
      <c r="AR1729">
        <v>8.1</v>
      </c>
      <c r="AS1729" t="s">
        <v>56</v>
      </c>
      <c r="AT1729">
        <v>0.05</v>
      </c>
      <c r="AU1729">
        <v>553</v>
      </c>
      <c r="AV1729" t="s">
        <v>56</v>
      </c>
      <c r="AW1729">
        <v>22</v>
      </c>
      <c r="AX1729">
        <v>8.1199999999999992</v>
      </c>
      <c r="AY1729" t="s">
        <v>56</v>
      </c>
      <c r="AZ1729">
        <v>0.05</v>
      </c>
      <c r="BB1729">
        <f>LOG(AU1729)</f>
        <v>2.7427251313046983</v>
      </c>
      <c r="BC1729">
        <v>28.7</v>
      </c>
      <c r="BD1729" t="s">
        <v>56</v>
      </c>
      <c r="BE1729">
        <v>0.3</v>
      </c>
      <c r="BF1729">
        <v>32.799999999999997</v>
      </c>
      <c r="BG1729" t="s">
        <v>56</v>
      </c>
      <c r="BH1729">
        <v>0.2</v>
      </c>
      <c r="BI1729">
        <v>37</v>
      </c>
      <c r="BJ1729">
        <v>4.0999999999999996</v>
      </c>
      <c r="BK1729" t="s">
        <v>56</v>
      </c>
      <c r="BL1729" t="s">
        <v>881</v>
      </c>
      <c r="BM1729" t="s">
        <v>339</v>
      </c>
      <c r="BN1729" t="s">
        <v>340</v>
      </c>
      <c r="BO1729" t="s">
        <v>882</v>
      </c>
      <c r="BP1729" t="s">
        <v>194</v>
      </c>
      <c r="BQ1729" t="s">
        <v>194</v>
      </c>
      <c r="BR1729" t="s">
        <v>63</v>
      </c>
      <c r="BT1729">
        <v>25.51</v>
      </c>
      <c r="BU1729">
        <v>25.51</v>
      </c>
      <c r="BV1729">
        <v>4.28</v>
      </c>
      <c r="BW1729">
        <f>BV1729*SQRT(AK1729)</f>
        <v>8.56</v>
      </c>
      <c r="BX1729">
        <v>33.869999999999997</v>
      </c>
      <c r="BY1729">
        <v>33.869999999999997</v>
      </c>
      <c r="BZ1729">
        <v>1.84</v>
      </c>
      <c r="CA1729">
        <f>BZ1729*SQRT(AL1729)</f>
        <v>3.68</v>
      </c>
      <c r="CB1729">
        <v>5</v>
      </c>
      <c r="CC1729">
        <v>4</v>
      </c>
      <c r="CD1729">
        <v>-0.28299999999999997</v>
      </c>
      <c r="CE1729">
        <v>3.1099999999999999E-2</v>
      </c>
    </row>
    <row r="1730" spans="2:83" hidden="1" x14ac:dyDescent="0.2">
      <c r="B1730" t="str">
        <f>ROW()-1&amp;"_AltersInvert"</f>
        <v>1729_AltersInvert</v>
      </c>
      <c r="C1730" t="str">
        <f>D1730&amp;"_"&amp;
SUBSTITUTE(TRIM(V1730)," ","_")&amp;"_"&amp;
TRIM(AC1730)&amp;"_"&amp;
"CO2"&amp;TEXT(AN1730,"0.00")&amp;"_"&amp;
"pH"&amp;TEXT(AR1730,"0.00")&amp;"_"&amp;
"T"&amp;TEXT(BC1730,"0.##")</f>
        <v>186_Pocillopora_damicornis_LARVA_CO2516.00_pH8.10_T28.7</v>
      </c>
      <c r="D1730">
        <v>186</v>
      </c>
      <c r="G1730" t="s">
        <v>43</v>
      </c>
      <c r="H1730" t="s">
        <v>880</v>
      </c>
      <c r="J1730">
        <v>2021</v>
      </c>
      <c r="M1730" t="s">
        <v>657</v>
      </c>
      <c r="P1730" t="s">
        <v>1135</v>
      </c>
      <c r="R1730" t="s">
        <v>1127</v>
      </c>
      <c r="S1730" t="s">
        <v>1128</v>
      </c>
      <c r="T1730" t="s">
        <v>103</v>
      </c>
      <c r="U1730" t="s">
        <v>201</v>
      </c>
      <c r="V1730" t="s">
        <v>214</v>
      </c>
      <c r="Z1730" t="s">
        <v>106</v>
      </c>
      <c r="AA1730" t="s">
        <v>107</v>
      </c>
      <c r="AB1730" t="s">
        <v>71</v>
      </c>
      <c r="AC1730" t="s">
        <v>72</v>
      </c>
      <c r="AD1730" t="s">
        <v>52</v>
      </c>
      <c r="AE1730" t="s">
        <v>53</v>
      </c>
      <c r="AF1730" t="s">
        <v>54</v>
      </c>
      <c r="AG1730" t="s">
        <v>52</v>
      </c>
      <c r="AH1730" t="s">
        <v>65</v>
      </c>
      <c r="AK1730">
        <v>4</v>
      </c>
      <c r="AL1730">
        <v>4</v>
      </c>
      <c r="AM1730" t="s">
        <v>342</v>
      </c>
      <c r="AN1730">
        <v>516</v>
      </c>
      <c r="AO1730" t="s">
        <v>56</v>
      </c>
      <c r="AP1730">
        <v>36</v>
      </c>
      <c r="AQ1730" t="s">
        <v>57</v>
      </c>
      <c r="AR1730">
        <v>8.1</v>
      </c>
      <c r="AS1730" t="s">
        <v>56</v>
      </c>
      <c r="AT1730">
        <v>0.05</v>
      </c>
      <c r="AU1730">
        <v>524</v>
      </c>
      <c r="AV1730" t="s">
        <v>56</v>
      </c>
      <c r="AW1730">
        <v>17</v>
      </c>
      <c r="AX1730">
        <v>8.1300000000000008</v>
      </c>
      <c r="AY1730" t="s">
        <v>56</v>
      </c>
      <c r="AZ1730">
        <v>0.06</v>
      </c>
      <c r="BB1730">
        <f>LOG(AU1730)</f>
        <v>2.7193312869837265</v>
      </c>
      <c r="BC1730">
        <v>28.7</v>
      </c>
      <c r="BD1730" t="s">
        <v>56</v>
      </c>
      <c r="BE1730">
        <v>0.3</v>
      </c>
      <c r="BF1730">
        <v>31.8</v>
      </c>
      <c r="BG1730" t="s">
        <v>56</v>
      </c>
      <c r="BH1730">
        <v>0.3</v>
      </c>
      <c r="BI1730">
        <v>8</v>
      </c>
      <c r="BJ1730">
        <v>3.1</v>
      </c>
      <c r="BK1730" t="s">
        <v>56</v>
      </c>
      <c r="BL1730" t="s">
        <v>881</v>
      </c>
      <c r="BM1730" t="s">
        <v>339</v>
      </c>
      <c r="BN1730" t="s">
        <v>340</v>
      </c>
      <c r="BO1730" t="s">
        <v>882</v>
      </c>
      <c r="BP1730" t="s">
        <v>194</v>
      </c>
      <c r="BQ1730" t="s">
        <v>194</v>
      </c>
      <c r="BR1730" t="s">
        <v>63</v>
      </c>
      <c r="BT1730">
        <v>25.51</v>
      </c>
      <c r="BU1730">
        <v>25.51</v>
      </c>
      <c r="BV1730">
        <v>4.28</v>
      </c>
      <c r="BW1730">
        <f>BV1730*SQRT(AK1730)</f>
        <v>8.56</v>
      </c>
      <c r="BX1730">
        <v>32.85</v>
      </c>
      <c r="BY1730">
        <v>32.85</v>
      </c>
      <c r="BZ1730">
        <v>3.47</v>
      </c>
      <c r="CA1730">
        <f>BZ1730*SQRT(AL1730)</f>
        <v>6.94</v>
      </c>
      <c r="CB1730">
        <v>5</v>
      </c>
      <c r="CC1730">
        <v>4</v>
      </c>
      <c r="CD1730">
        <v>-0.253</v>
      </c>
      <c r="CE1730">
        <v>3.9300000000000002E-2</v>
      </c>
    </row>
    <row r="1731" spans="2:83" hidden="1" x14ac:dyDescent="0.2">
      <c r="B1731" t="str">
        <f>ROW()-1&amp;"_AltersInvert"</f>
        <v>1730_AltersInvert</v>
      </c>
      <c r="C1731" t="str">
        <f>D1731&amp;"_"&amp;
SUBSTITUTE(TRIM(V1731)," ","_")&amp;"_"&amp;
TRIM(AC1731)&amp;"_"&amp;
"CO2"&amp;TEXT(AN1731,"0.00")&amp;"_"&amp;
"pH"&amp;TEXT(AR1731,"0.00")&amp;"_"&amp;
"T"&amp;TEXT(BC1731,"0.##")</f>
        <v>186_Pocillopora_damicornis_LARVA_CO2516.00_pH8.10_T28.7</v>
      </c>
      <c r="D1731">
        <v>186</v>
      </c>
      <c r="G1731" t="s">
        <v>43</v>
      </c>
      <c r="H1731" t="s">
        <v>880</v>
      </c>
      <c r="J1731">
        <v>2021</v>
      </c>
      <c r="M1731" t="s">
        <v>657</v>
      </c>
      <c r="P1731" t="s">
        <v>1135</v>
      </c>
      <c r="R1731" t="s">
        <v>1127</v>
      </c>
      <c r="S1731" t="s">
        <v>1128</v>
      </c>
      <c r="T1731" t="s">
        <v>103</v>
      </c>
      <c r="U1731" t="s">
        <v>201</v>
      </c>
      <c r="V1731" t="s">
        <v>214</v>
      </c>
      <c r="Z1731" t="s">
        <v>106</v>
      </c>
      <c r="AA1731" t="s">
        <v>107</v>
      </c>
      <c r="AB1731" t="s">
        <v>71</v>
      </c>
      <c r="AC1731" t="s">
        <v>72</v>
      </c>
      <c r="AD1731" t="s">
        <v>52</v>
      </c>
      <c r="AE1731" t="s">
        <v>53</v>
      </c>
      <c r="AF1731" t="s">
        <v>52</v>
      </c>
      <c r="AG1731" t="s">
        <v>52</v>
      </c>
      <c r="AH1731" t="s">
        <v>64</v>
      </c>
      <c r="AK1731">
        <v>4</v>
      </c>
      <c r="AL1731">
        <v>4</v>
      </c>
      <c r="AM1731" t="s">
        <v>342</v>
      </c>
      <c r="AN1731">
        <v>516</v>
      </c>
      <c r="AO1731" t="s">
        <v>56</v>
      </c>
      <c r="AP1731">
        <v>36</v>
      </c>
      <c r="AQ1731" t="s">
        <v>57</v>
      </c>
      <c r="AR1731">
        <v>8.1</v>
      </c>
      <c r="AS1731" t="s">
        <v>56</v>
      </c>
      <c r="AT1731">
        <v>0.05</v>
      </c>
      <c r="AU1731">
        <v>1014</v>
      </c>
      <c r="AV1731" t="s">
        <v>56</v>
      </c>
      <c r="AW1731">
        <v>62</v>
      </c>
      <c r="AX1731">
        <v>7.85</v>
      </c>
      <c r="AY1731" t="s">
        <v>56</v>
      </c>
      <c r="AZ1731">
        <v>7.0000000000000007E-2</v>
      </c>
      <c r="BB1731">
        <f>LOG(AU1731)</f>
        <v>3.0060379549973173</v>
      </c>
      <c r="BC1731">
        <v>28.7</v>
      </c>
      <c r="BD1731" t="s">
        <v>56</v>
      </c>
      <c r="BE1731">
        <v>0.3</v>
      </c>
      <c r="BF1731">
        <v>31.8</v>
      </c>
      <c r="BG1731" t="s">
        <v>56</v>
      </c>
      <c r="BH1731">
        <v>0.3</v>
      </c>
      <c r="BI1731">
        <v>498</v>
      </c>
      <c r="BJ1731">
        <v>3.1</v>
      </c>
      <c r="BK1731" t="s">
        <v>56</v>
      </c>
      <c r="BL1731" t="s">
        <v>881</v>
      </c>
      <c r="BM1731" t="s">
        <v>339</v>
      </c>
      <c r="BN1731" t="s">
        <v>340</v>
      </c>
      <c r="BO1731" t="s">
        <v>882</v>
      </c>
      <c r="BP1731" t="s">
        <v>194</v>
      </c>
      <c r="BQ1731" t="s">
        <v>194</v>
      </c>
      <c r="BR1731" t="s">
        <v>63</v>
      </c>
      <c r="BT1731">
        <v>25.51</v>
      </c>
      <c r="BU1731">
        <v>25.51</v>
      </c>
      <c r="BV1731">
        <v>4.28</v>
      </c>
      <c r="BW1731">
        <f>BV1731*SQRT(AK1731)</f>
        <v>8.56</v>
      </c>
      <c r="BX1731">
        <v>37.549999999999997</v>
      </c>
      <c r="BY1731">
        <v>37.549999999999997</v>
      </c>
      <c r="BZ1731">
        <v>2.04</v>
      </c>
      <c r="CA1731">
        <f>BZ1731*SQRT(AL1731)</f>
        <v>4.08</v>
      </c>
      <c r="CB1731">
        <v>5</v>
      </c>
      <c r="CC1731">
        <v>4</v>
      </c>
      <c r="CD1731">
        <v>-0.38700000000000001</v>
      </c>
      <c r="CE1731">
        <v>3.1099999999999999E-2</v>
      </c>
    </row>
    <row r="1732" spans="2:83" hidden="1" x14ac:dyDescent="0.2">
      <c r="B1732" t="str">
        <f>ROW()-1&amp;"_AltersInvert"</f>
        <v>1731_AltersInvert</v>
      </c>
      <c r="C1732" t="str">
        <f>D1732&amp;"_"&amp;
SUBSTITUTE(TRIM(V1732)," ","_")&amp;"_"&amp;
TRIM(AC1732)&amp;"_"&amp;
"CO2"&amp;TEXT(AN1732,"0.00")&amp;"_"&amp;
"pH"&amp;TEXT(AR1732,"0.00")&amp;"_"&amp;
"T"&amp;TEXT(BC1732,"0.##")</f>
        <v>186_Pocillopora_damicornis_LARVA_CO2516.00_pH8.10_T28.7</v>
      </c>
      <c r="D1732">
        <v>186</v>
      </c>
      <c r="G1732" t="s">
        <v>43</v>
      </c>
      <c r="H1732" t="s">
        <v>880</v>
      </c>
      <c r="J1732">
        <v>2021</v>
      </c>
      <c r="M1732" t="s">
        <v>657</v>
      </c>
      <c r="P1732" t="s">
        <v>1135</v>
      </c>
      <c r="R1732" t="s">
        <v>1127</v>
      </c>
      <c r="S1732" t="s">
        <v>1128</v>
      </c>
      <c r="T1732" t="s">
        <v>103</v>
      </c>
      <c r="U1732" t="s">
        <v>201</v>
      </c>
      <c r="V1732" t="s">
        <v>214</v>
      </c>
      <c r="Z1732" t="s">
        <v>106</v>
      </c>
      <c r="AA1732" t="s">
        <v>107</v>
      </c>
      <c r="AB1732" t="s">
        <v>71</v>
      </c>
      <c r="AC1732" t="s">
        <v>72</v>
      </c>
      <c r="AD1732" t="s">
        <v>52</v>
      </c>
      <c r="AE1732" t="s">
        <v>53</v>
      </c>
      <c r="AF1732" t="s">
        <v>52</v>
      </c>
      <c r="AG1732" t="s">
        <v>52</v>
      </c>
      <c r="AH1732" t="s">
        <v>64</v>
      </c>
      <c r="AK1732">
        <v>4</v>
      </c>
      <c r="AL1732">
        <v>4</v>
      </c>
      <c r="AM1732" t="s">
        <v>342</v>
      </c>
      <c r="AN1732">
        <v>516</v>
      </c>
      <c r="AO1732" t="s">
        <v>56</v>
      </c>
      <c r="AP1732">
        <v>36</v>
      </c>
      <c r="AQ1732" t="s">
        <v>57</v>
      </c>
      <c r="AR1732">
        <v>8.1</v>
      </c>
      <c r="AS1732" t="s">
        <v>56</v>
      </c>
      <c r="AT1732">
        <v>0.05</v>
      </c>
      <c r="AU1732">
        <v>1010</v>
      </c>
      <c r="AV1732" t="s">
        <v>56</v>
      </c>
      <c r="AW1732">
        <v>23</v>
      </c>
      <c r="AX1732">
        <v>7.85</v>
      </c>
      <c r="AY1732" t="s">
        <v>56</v>
      </c>
      <c r="AZ1732">
        <v>0.06</v>
      </c>
      <c r="BB1732">
        <f>LOG(AU1732)</f>
        <v>3.0043213737826426</v>
      </c>
      <c r="BC1732">
        <v>28.7</v>
      </c>
      <c r="BD1732" t="s">
        <v>56</v>
      </c>
      <c r="BE1732">
        <v>0.3</v>
      </c>
      <c r="BF1732">
        <v>32.9</v>
      </c>
      <c r="BG1732" t="s">
        <v>56</v>
      </c>
      <c r="BH1732">
        <v>0.2</v>
      </c>
      <c r="BI1732">
        <v>494</v>
      </c>
      <c r="BJ1732">
        <v>4.2</v>
      </c>
      <c r="BK1732" t="s">
        <v>56</v>
      </c>
      <c r="BL1732" t="s">
        <v>881</v>
      </c>
      <c r="BM1732" t="s">
        <v>339</v>
      </c>
      <c r="BN1732" t="s">
        <v>340</v>
      </c>
      <c r="BO1732" t="s">
        <v>882</v>
      </c>
      <c r="BP1732" t="s">
        <v>194</v>
      </c>
      <c r="BQ1732" t="s">
        <v>194</v>
      </c>
      <c r="BR1732" t="s">
        <v>63</v>
      </c>
      <c r="BT1732">
        <v>25.51</v>
      </c>
      <c r="BU1732">
        <v>25.51</v>
      </c>
      <c r="BV1732">
        <v>4.28</v>
      </c>
      <c r="BW1732">
        <f>BV1732*SQRT(AK1732)</f>
        <v>8.56</v>
      </c>
      <c r="BX1732">
        <v>29.18</v>
      </c>
      <c r="BY1732">
        <v>29.18</v>
      </c>
      <c r="BZ1732">
        <v>2.4500000000000002</v>
      </c>
      <c r="CA1732">
        <f>BZ1732*SQRT(AL1732)</f>
        <v>4.9000000000000004</v>
      </c>
      <c r="CB1732">
        <v>5</v>
      </c>
      <c r="CC1732">
        <v>4</v>
      </c>
      <c r="CD1732">
        <v>-0.13400000000000001</v>
      </c>
      <c r="CE1732">
        <v>3.5200000000000002E-2</v>
      </c>
    </row>
    <row r="1733" spans="2:83" hidden="1" x14ac:dyDescent="0.2">
      <c r="B1733" t="str">
        <f>ROW()-1&amp;"_AltersInvert"</f>
        <v>1732_AltersInvert</v>
      </c>
      <c r="C1733" t="str">
        <f>D1733&amp;"_"&amp;
SUBSTITUTE(TRIM(V1733)," ","_")&amp;"_"&amp;
TRIM(AC1733)&amp;"_"&amp;
"CO2"&amp;TEXT(AN1733,"0.00")&amp;"_"&amp;
"pH"&amp;TEXT(AR1733,"0.00")&amp;"_"&amp;
"T"&amp;TEXT(BC1733,"0.##")</f>
        <v>186_Pocillopora_damicornis_LARVA_CO2516.00_pH8.10_T28.7</v>
      </c>
      <c r="D1733">
        <v>186</v>
      </c>
      <c r="G1733" t="s">
        <v>43</v>
      </c>
      <c r="H1733" t="s">
        <v>880</v>
      </c>
      <c r="J1733">
        <v>2021</v>
      </c>
      <c r="M1733" t="s">
        <v>657</v>
      </c>
      <c r="P1733" t="s">
        <v>1135</v>
      </c>
      <c r="R1733" t="s">
        <v>1127</v>
      </c>
      <c r="S1733" t="s">
        <v>1128</v>
      </c>
      <c r="T1733" t="s">
        <v>103</v>
      </c>
      <c r="U1733" t="s">
        <v>201</v>
      </c>
      <c r="V1733" t="s">
        <v>214</v>
      </c>
      <c r="Z1733" t="s">
        <v>106</v>
      </c>
      <c r="AA1733" t="s">
        <v>107</v>
      </c>
      <c r="AB1733" t="s">
        <v>71</v>
      </c>
      <c r="AC1733" t="s">
        <v>72</v>
      </c>
      <c r="AD1733" t="s">
        <v>52</v>
      </c>
      <c r="AE1733" t="s">
        <v>53</v>
      </c>
      <c r="AF1733" t="s">
        <v>52</v>
      </c>
      <c r="AG1733" t="s">
        <v>52</v>
      </c>
      <c r="AH1733" t="s">
        <v>64</v>
      </c>
      <c r="AK1733">
        <v>4</v>
      </c>
      <c r="AL1733">
        <v>4</v>
      </c>
      <c r="AM1733" t="s">
        <v>342</v>
      </c>
      <c r="AN1733">
        <v>516</v>
      </c>
      <c r="AO1733" t="s">
        <v>56</v>
      </c>
      <c r="AP1733">
        <v>36</v>
      </c>
      <c r="AQ1733" t="s">
        <v>57</v>
      </c>
      <c r="AR1733">
        <v>8.1</v>
      </c>
      <c r="AS1733" t="s">
        <v>56</v>
      </c>
      <c r="AT1733">
        <v>0.05</v>
      </c>
      <c r="AU1733">
        <v>1012</v>
      </c>
      <c r="AV1733" t="s">
        <v>56</v>
      </c>
      <c r="AW1733">
        <v>21</v>
      </c>
      <c r="AX1733">
        <v>7.85</v>
      </c>
      <c r="AY1733" t="s">
        <v>56</v>
      </c>
      <c r="AZ1733">
        <v>7.0000000000000007E-2</v>
      </c>
      <c r="BB1733">
        <f>LOG(AU1733)</f>
        <v>3.0051805125037805</v>
      </c>
      <c r="BC1733">
        <v>28.7</v>
      </c>
      <c r="BD1733" t="s">
        <v>56</v>
      </c>
      <c r="BE1733">
        <v>0.3</v>
      </c>
      <c r="BF1733">
        <v>31.1</v>
      </c>
      <c r="BG1733" t="s">
        <v>56</v>
      </c>
      <c r="BH1733">
        <v>0.2</v>
      </c>
      <c r="BI1733">
        <v>496</v>
      </c>
      <c r="BJ1733">
        <v>2.4</v>
      </c>
      <c r="BK1733" t="s">
        <v>56</v>
      </c>
      <c r="BL1733" t="s">
        <v>881</v>
      </c>
      <c r="BM1733" t="s">
        <v>339</v>
      </c>
      <c r="BN1733" t="s">
        <v>340</v>
      </c>
      <c r="BO1733" t="s">
        <v>882</v>
      </c>
      <c r="BP1733" t="s">
        <v>194</v>
      </c>
      <c r="BQ1733" t="s">
        <v>194</v>
      </c>
      <c r="BR1733" t="s">
        <v>63</v>
      </c>
      <c r="BT1733">
        <v>25.51</v>
      </c>
      <c r="BU1733">
        <v>25.51</v>
      </c>
      <c r="BV1733">
        <v>4.28</v>
      </c>
      <c r="BW1733">
        <f>BV1733*SQRT(AK1733)</f>
        <v>8.56</v>
      </c>
      <c r="BX1733">
        <v>28.57</v>
      </c>
      <c r="BY1733">
        <v>28.57</v>
      </c>
      <c r="BZ1733">
        <v>3.06</v>
      </c>
      <c r="CA1733">
        <f>BZ1733*SQRT(AL1733)</f>
        <v>6.12</v>
      </c>
      <c r="CB1733">
        <v>5</v>
      </c>
      <c r="CC1733">
        <v>4</v>
      </c>
      <c r="CD1733">
        <v>-0.113</v>
      </c>
      <c r="CE1733">
        <v>3.9600000000000003E-2</v>
      </c>
    </row>
    <row r="1734" spans="2:83" hidden="1" x14ac:dyDescent="0.2">
      <c r="B1734" t="str">
        <f>ROW()-1&amp;"_AltersInvert"</f>
        <v>1733_AltersInvert</v>
      </c>
      <c r="C1734" t="str">
        <f>D1734&amp;"_"&amp;
SUBSTITUTE(TRIM(V1734)," ","_")&amp;"_"&amp;
TRIM(AC1734)&amp;"_"&amp;
"CO2"&amp;TEXT(AN1734,"0.00")&amp;"_"&amp;
"pH"&amp;TEXT(AR1734,"0.00")&amp;"_"&amp;
"T"&amp;TEXT(BC1734,"0.##")</f>
        <v>36_Porites_panamensis_POSTLARVA_CO2546.00_pH8.08_T28.9</v>
      </c>
      <c r="D1734">
        <v>36</v>
      </c>
      <c r="G1734" t="s">
        <v>43</v>
      </c>
      <c r="H1734" t="s">
        <v>413</v>
      </c>
      <c r="J1734">
        <v>2011</v>
      </c>
      <c r="M1734" t="s">
        <v>45</v>
      </c>
      <c r="P1734" t="s">
        <v>1135</v>
      </c>
      <c r="R1734" t="s">
        <v>1127</v>
      </c>
      <c r="S1734" t="s">
        <v>1128</v>
      </c>
      <c r="T1734" t="s">
        <v>103</v>
      </c>
      <c r="U1734" t="s">
        <v>414</v>
      </c>
      <c r="V1734" t="s">
        <v>415</v>
      </c>
      <c r="Z1734" t="s">
        <v>106</v>
      </c>
      <c r="AA1734" t="s">
        <v>107</v>
      </c>
      <c r="AB1734" t="s">
        <v>50</v>
      </c>
      <c r="AC1734" t="s">
        <v>416</v>
      </c>
      <c r="AD1734" t="s">
        <v>52</v>
      </c>
      <c r="AE1734" t="s">
        <v>53</v>
      </c>
      <c r="AF1734" t="s">
        <v>52</v>
      </c>
      <c r="AG1734" t="s">
        <v>54</v>
      </c>
      <c r="AH1734" t="s">
        <v>55</v>
      </c>
      <c r="AK1734">
        <v>27</v>
      </c>
      <c r="AL1734">
        <v>5</v>
      </c>
      <c r="AN1734">
        <v>546</v>
      </c>
      <c r="AO1734" t="s">
        <v>56</v>
      </c>
      <c r="AP1734">
        <v>83</v>
      </c>
      <c r="AQ1734" t="s">
        <v>57</v>
      </c>
      <c r="AR1734">
        <v>8.08</v>
      </c>
      <c r="AS1734" t="s">
        <v>56</v>
      </c>
      <c r="AT1734" t="s">
        <v>56</v>
      </c>
      <c r="AU1734">
        <v>926</v>
      </c>
      <c r="AV1734" t="s">
        <v>56</v>
      </c>
      <c r="AW1734">
        <v>120</v>
      </c>
      <c r="AX1734">
        <v>7.83</v>
      </c>
      <c r="AY1734" t="s">
        <v>56</v>
      </c>
      <c r="AZ1734" t="s">
        <v>56</v>
      </c>
      <c r="BB1734">
        <f>LOG(AU1734)</f>
        <v>2.9666109866819341</v>
      </c>
      <c r="BC1734">
        <v>28.9</v>
      </c>
      <c r="BD1734" t="s">
        <v>56</v>
      </c>
      <c r="BE1734" t="s">
        <v>56</v>
      </c>
      <c r="BF1734">
        <v>28.9</v>
      </c>
      <c r="BG1734" t="s">
        <v>56</v>
      </c>
      <c r="BH1734" t="s">
        <v>56</v>
      </c>
      <c r="BI1734">
        <v>380</v>
      </c>
      <c r="BJ1734">
        <v>0</v>
      </c>
      <c r="BK1734" t="s">
        <v>56</v>
      </c>
      <c r="BL1734" t="s">
        <v>417</v>
      </c>
      <c r="BM1734" t="s">
        <v>253</v>
      </c>
      <c r="BN1734" t="s">
        <v>81</v>
      </c>
      <c r="BO1734" t="s">
        <v>418</v>
      </c>
      <c r="BP1734" t="s">
        <v>92</v>
      </c>
      <c r="BQ1734" t="s">
        <v>92</v>
      </c>
      <c r="BR1734" t="s">
        <v>63</v>
      </c>
      <c r="BT1734">
        <v>18.600000000000001</v>
      </c>
      <c r="BU1734">
        <v>18.600000000000001</v>
      </c>
      <c r="BV1734">
        <v>1.8</v>
      </c>
      <c r="BW1734">
        <f>BV1734*SQRT(AK1734)</f>
        <v>9.353074360871938</v>
      </c>
      <c r="BX1734">
        <v>14.6</v>
      </c>
      <c r="BY1734">
        <v>14.6</v>
      </c>
      <c r="BZ1734">
        <v>2.4</v>
      </c>
      <c r="CA1734">
        <f>BZ1734*SQRT(AL1734)</f>
        <v>5.3665631459994954</v>
      </c>
      <c r="CB1734">
        <v>13</v>
      </c>
      <c r="CC1734">
        <v>5</v>
      </c>
      <c r="CD1734">
        <v>-0.24199999999999999</v>
      </c>
      <c r="CE1734">
        <v>3.6400000000000002E-2</v>
      </c>
    </row>
    <row r="1735" spans="2:83" hidden="1" x14ac:dyDescent="0.2">
      <c r="D1735">
        <v>193</v>
      </c>
      <c r="G1735" t="s">
        <v>43</v>
      </c>
      <c r="H1735" t="s">
        <v>918</v>
      </c>
      <c r="J1735">
        <v>2014</v>
      </c>
      <c r="M1735" t="s">
        <v>45</v>
      </c>
      <c r="T1735" t="s">
        <v>103</v>
      </c>
      <c r="U1735" t="s">
        <v>228</v>
      </c>
      <c r="V1735" t="s">
        <v>229</v>
      </c>
      <c r="Z1735" t="s">
        <v>106</v>
      </c>
      <c r="AA1735" t="s">
        <v>107</v>
      </c>
      <c r="AB1735" t="s">
        <v>50</v>
      </c>
      <c r="AC1735" t="s">
        <v>51</v>
      </c>
      <c r="AD1735" t="s">
        <v>52</v>
      </c>
      <c r="AE1735" t="s">
        <v>53</v>
      </c>
      <c r="AF1735" t="s">
        <v>52</v>
      </c>
      <c r="AG1735" t="s">
        <v>54</v>
      </c>
      <c r="AH1735" t="s">
        <v>55</v>
      </c>
      <c r="AK1735">
        <v>10</v>
      </c>
      <c r="AL1735">
        <v>10</v>
      </c>
      <c r="AN1735">
        <v>379</v>
      </c>
      <c r="AO1735">
        <v>3</v>
      </c>
      <c r="AP1735" t="s">
        <v>56</v>
      </c>
      <c r="AQ1735" t="s">
        <v>109</v>
      </c>
      <c r="AR1735">
        <v>8.06</v>
      </c>
      <c r="AS1735" t="s">
        <v>56</v>
      </c>
      <c r="AT1735" t="s">
        <v>56</v>
      </c>
      <c r="AU1735">
        <v>1108</v>
      </c>
      <c r="AV1735">
        <v>15</v>
      </c>
      <c r="AW1735" t="s">
        <v>56</v>
      </c>
      <c r="AX1735">
        <v>7.67</v>
      </c>
      <c r="AY1735" t="s">
        <v>56</v>
      </c>
      <c r="AZ1735" t="s">
        <v>56</v>
      </c>
      <c r="BB1735">
        <f>LOG(AU1735)</f>
        <v>3.0445397603924111</v>
      </c>
      <c r="BC1735">
        <v>27.2</v>
      </c>
      <c r="BD1735">
        <v>0.1</v>
      </c>
      <c r="BE1735" t="s">
        <v>56</v>
      </c>
      <c r="BF1735">
        <v>27.2</v>
      </c>
      <c r="BG1735">
        <v>0.1</v>
      </c>
      <c r="BH1735" t="s">
        <v>56</v>
      </c>
      <c r="BI1735">
        <v>729</v>
      </c>
      <c r="BJ1735">
        <v>0</v>
      </c>
      <c r="BK1735" t="s">
        <v>919</v>
      </c>
      <c r="BL1735" t="s">
        <v>268</v>
      </c>
      <c r="BM1735" t="s">
        <v>232</v>
      </c>
      <c r="BN1735" t="s">
        <v>81</v>
      </c>
      <c r="BO1735" t="s">
        <v>920</v>
      </c>
      <c r="BP1735" t="s">
        <v>234</v>
      </c>
      <c r="BQ1735" s="8" t="s">
        <v>190</v>
      </c>
      <c r="BR1735" t="s">
        <v>63</v>
      </c>
      <c r="BT1735">
        <v>1.02</v>
      </c>
      <c r="BU1735">
        <v>1.0169999999999999</v>
      </c>
      <c r="BV1735">
        <v>0.05</v>
      </c>
      <c r="BW1735">
        <f>BV1735*SQRT(AK1735)</f>
        <v>0.158113883008419</v>
      </c>
      <c r="BX1735">
        <v>0.74</v>
      </c>
      <c r="BY1735">
        <v>0.73619999999999997</v>
      </c>
      <c r="BZ1735">
        <v>0.04</v>
      </c>
      <c r="CA1735">
        <f>BZ1735*SQRT(AL1735)</f>
        <v>0.12649110640673519</v>
      </c>
      <c r="CB1735">
        <v>20</v>
      </c>
      <c r="CC1735">
        <v>2</v>
      </c>
      <c r="CD1735">
        <v>-0.32300000000000001</v>
      </c>
      <c r="CE1735">
        <v>5.0000000000000001E-3</v>
      </c>
    </row>
    <row r="1736" spans="2:83" hidden="1" x14ac:dyDescent="0.2">
      <c r="D1736">
        <v>193</v>
      </c>
      <c r="G1736" t="s">
        <v>43</v>
      </c>
      <c r="H1736" t="s">
        <v>918</v>
      </c>
      <c r="J1736">
        <v>2014</v>
      </c>
      <c r="M1736" t="s">
        <v>45</v>
      </c>
      <c r="T1736" t="s">
        <v>103</v>
      </c>
      <c r="U1736" t="s">
        <v>228</v>
      </c>
      <c r="V1736" t="s">
        <v>229</v>
      </c>
      <c r="Z1736" t="s">
        <v>106</v>
      </c>
      <c r="AA1736" t="s">
        <v>107</v>
      </c>
      <c r="AB1736" t="s">
        <v>50</v>
      </c>
      <c r="AC1736" t="s">
        <v>51</v>
      </c>
      <c r="AD1736" t="s">
        <v>52</v>
      </c>
      <c r="AE1736" t="s">
        <v>53</v>
      </c>
      <c r="AF1736" t="s">
        <v>52</v>
      </c>
      <c r="AG1736" t="s">
        <v>52</v>
      </c>
      <c r="AH1736" t="s">
        <v>64</v>
      </c>
      <c r="AK1736">
        <v>10</v>
      </c>
      <c r="AL1736">
        <v>10</v>
      </c>
      <c r="AN1736">
        <v>379</v>
      </c>
      <c r="AO1736">
        <v>3</v>
      </c>
      <c r="AP1736" t="s">
        <v>56</v>
      </c>
      <c r="AQ1736" t="s">
        <v>109</v>
      </c>
      <c r="AR1736">
        <v>8.06</v>
      </c>
      <c r="AS1736" t="s">
        <v>56</v>
      </c>
      <c r="AT1736" t="s">
        <v>56</v>
      </c>
      <c r="AU1736">
        <v>1107</v>
      </c>
      <c r="AV1736">
        <v>16</v>
      </c>
      <c r="AW1736" t="s">
        <v>56</v>
      </c>
      <c r="AX1736">
        <v>7.67</v>
      </c>
      <c r="AY1736" t="s">
        <v>56</v>
      </c>
      <c r="AZ1736" t="s">
        <v>56</v>
      </c>
      <c r="BB1736">
        <f>LOG(AU1736)</f>
        <v>3.0441476208787228</v>
      </c>
      <c r="BC1736">
        <v>27.2</v>
      </c>
      <c r="BD1736">
        <v>0.1</v>
      </c>
      <c r="BE1736" t="s">
        <v>56</v>
      </c>
      <c r="BF1736">
        <v>29.8</v>
      </c>
      <c r="BG1736">
        <v>0.1</v>
      </c>
      <c r="BH1736" t="s">
        <v>56</v>
      </c>
      <c r="BI1736">
        <v>728</v>
      </c>
      <c r="BJ1736">
        <v>2.6</v>
      </c>
      <c r="BK1736" t="s">
        <v>919</v>
      </c>
      <c r="BL1736" t="s">
        <v>268</v>
      </c>
      <c r="BM1736" t="s">
        <v>232</v>
      </c>
      <c r="BN1736" t="s">
        <v>81</v>
      </c>
      <c r="BO1736" t="s">
        <v>920</v>
      </c>
      <c r="BP1736" t="s">
        <v>234</v>
      </c>
      <c r="BR1736" t="s">
        <v>63</v>
      </c>
      <c r="BT1736">
        <v>1.02</v>
      </c>
      <c r="BU1736">
        <v>1.0169999999999999</v>
      </c>
      <c r="BV1736">
        <v>0.05</v>
      </c>
      <c r="BW1736">
        <f>BV1736*SQRT(AK1736)</f>
        <v>0.158113883008419</v>
      </c>
      <c r="BX1736">
        <v>0.75</v>
      </c>
      <c r="BY1736">
        <v>0.74513700000000005</v>
      </c>
      <c r="BZ1736">
        <v>0.05</v>
      </c>
      <c r="CA1736">
        <f>BZ1736*SQRT(AL1736)</f>
        <v>0.158113883008419</v>
      </c>
      <c r="CB1736">
        <v>20</v>
      </c>
      <c r="CC1736">
        <v>2</v>
      </c>
      <c r="CD1736">
        <v>-0.311</v>
      </c>
      <c r="CE1736">
        <v>7.4999999999999997E-3</v>
      </c>
    </row>
    <row r="1737" spans="2:83" hidden="1" x14ac:dyDescent="0.2">
      <c r="D1737">
        <v>193</v>
      </c>
      <c r="G1737" t="s">
        <v>43</v>
      </c>
      <c r="H1737" t="s">
        <v>918</v>
      </c>
      <c r="J1737">
        <v>2014</v>
      </c>
      <c r="M1737" t="s">
        <v>45</v>
      </c>
      <c r="T1737" t="s">
        <v>103</v>
      </c>
      <c r="U1737" t="s">
        <v>228</v>
      </c>
      <c r="V1737" t="s">
        <v>229</v>
      </c>
      <c r="Z1737" t="s">
        <v>106</v>
      </c>
      <c r="AA1737" t="s">
        <v>107</v>
      </c>
      <c r="AB1737" t="s">
        <v>50</v>
      </c>
      <c r="AC1737" t="s">
        <v>51</v>
      </c>
      <c r="AD1737" t="s">
        <v>52</v>
      </c>
      <c r="AE1737" t="s">
        <v>53</v>
      </c>
      <c r="AF1737" t="s">
        <v>54</v>
      </c>
      <c r="AG1737" t="s">
        <v>52</v>
      </c>
      <c r="AH1737" t="s">
        <v>65</v>
      </c>
      <c r="AK1737">
        <v>10</v>
      </c>
      <c r="AL1737">
        <v>10</v>
      </c>
      <c r="AN1737">
        <v>379</v>
      </c>
      <c r="AO1737">
        <v>3</v>
      </c>
      <c r="AP1737" t="s">
        <v>56</v>
      </c>
      <c r="AQ1737" t="s">
        <v>109</v>
      </c>
      <c r="AR1737">
        <v>8.06</v>
      </c>
      <c r="AS1737" t="s">
        <v>56</v>
      </c>
      <c r="AT1737" t="s">
        <v>56</v>
      </c>
      <c r="AU1737">
        <v>405</v>
      </c>
      <c r="AV1737">
        <v>3</v>
      </c>
      <c r="AW1737" t="s">
        <v>56</v>
      </c>
      <c r="AX1737">
        <v>8.0299999999999994</v>
      </c>
      <c r="AY1737" t="s">
        <v>56</v>
      </c>
      <c r="AZ1737" t="s">
        <v>56</v>
      </c>
      <c r="BB1737">
        <f>LOG(AU1737)</f>
        <v>2.6074550232146687</v>
      </c>
      <c r="BC1737">
        <v>27.2</v>
      </c>
      <c r="BD1737">
        <v>0.1</v>
      </c>
      <c r="BE1737" t="s">
        <v>56</v>
      </c>
      <c r="BF1737">
        <v>29.8</v>
      </c>
      <c r="BG1737">
        <v>0.1</v>
      </c>
      <c r="BH1737" t="s">
        <v>56</v>
      </c>
      <c r="BI1737">
        <v>26</v>
      </c>
      <c r="BJ1737">
        <v>2.6</v>
      </c>
      <c r="BK1737" t="s">
        <v>919</v>
      </c>
      <c r="BL1737" t="s">
        <v>268</v>
      </c>
      <c r="BM1737" t="s">
        <v>232</v>
      </c>
      <c r="BN1737" t="s">
        <v>81</v>
      </c>
      <c r="BO1737" t="s">
        <v>920</v>
      </c>
      <c r="BP1737" t="s">
        <v>234</v>
      </c>
      <c r="BR1737" t="s">
        <v>63</v>
      </c>
      <c r="BT1737">
        <v>1.02</v>
      </c>
      <c r="BU1737">
        <v>1.0169999999999999</v>
      </c>
      <c r="BV1737">
        <v>0.05</v>
      </c>
      <c r="BW1737">
        <f>BV1737*SQRT(AK1737)</f>
        <v>0.158113883008419</v>
      </c>
      <c r="BX1737">
        <v>0.84</v>
      </c>
      <c r="BY1737">
        <v>0.83789999999999998</v>
      </c>
      <c r="BZ1737">
        <v>7.0000000000000007E-2</v>
      </c>
      <c r="CA1737">
        <f>BZ1737*SQRT(AL1737)</f>
        <v>0.22135943621178658</v>
      </c>
      <c r="CB1737">
        <v>20</v>
      </c>
      <c r="CC1737">
        <v>2</v>
      </c>
      <c r="CD1737">
        <v>-0.19400000000000001</v>
      </c>
      <c r="CE1737">
        <v>8.9999999999999993E-3</v>
      </c>
    </row>
    <row r="1738" spans="2:83" hidden="1" x14ac:dyDescent="0.2">
      <c r="D1738">
        <v>193</v>
      </c>
      <c r="G1738" t="s">
        <v>43</v>
      </c>
      <c r="H1738" t="s">
        <v>918</v>
      </c>
      <c r="J1738">
        <v>2014</v>
      </c>
      <c r="M1738" t="s">
        <v>45</v>
      </c>
      <c r="T1738" t="s">
        <v>103</v>
      </c>
      <c r="U1738" t="s">
        <v>228</v>
      </c>
      <c r="V1738" t="s">
        <v>229</v>
      </c>
      <c r="Z1738" t="s">
        <v>106</v>
      </c>
      <c r="AA1738" t="s">
        <v>107</v>
      </c>
      <c r="AB1738" t="s">
        <v>50</v>
      </c>
      <c r="AC1738" t="s">
        <v>51</v>
      </c>
      <c r="AD1738" t="s">
        <v>52</v>
      </c>
      <c r="AE1738" t="s">
        <v>53</v>
      </c>
      <c r="AF1738" t="s">
        <v>52</v>
      </c>
      <c r="AG1738" t="s">
        <v>52</v>
      </c>
      <c r="AH1738" t="s">
        <v>64</v>
      </c>
      <c r="AK1738">
        <v>10</v>
      </c>
      <c r="AL1738">
        <v>10</v>
      </c>
      <c r="AN1738">
        <v>379</v>
      </c>
      <c r="AO1738">
        <v>3</v>
      </c>
      <c r="AP1738" t="s">
        <v>56</v>
      </c>
      <c r="AQ1738" t="s">
        <v>109</v>
      </c>
      <c r="AR1738">
        <v>8.06</v>
      </c>
      <c r="AS1738" t="s">
        <v>56</v>
      </c>
      <c r="AT1738" t="s">
        <v>56</v>
      </c>
      <c r="AU1738">
        <v>726</v>
      </c>
      <c r="AV1738">
        <v>8</v>
      </c>
      <c r="AW1738" t="s">
        <v>56</v>
      </c>
      <c r="AX1738">
        <v>7.83</v>
      </c>
      <c r="AY1738" t="s">
        <v>56</v>
      </c>
      <c r="AZ1738" t="s">
        <v>56</v>
      </c>
      <c r="BB1738">
        <f>LOG(AU1738)</f>
        <v>2.8609366207000937</v>
      </c>
      <c r="BC1738">
        <v>27.2</v>
      </c>
      <c r="BD1738">
        <v>0.1</v>
      </c>
      <c r="BE1738" t="s">
        <v>56</v>
      </c>
      <c r="BF1738">
        <v>29.8</v>
      </c>
      <c r="BG1738">
        <v>0.1</v>
      </c>
      <c r="BH1738" t="s">
        <v>56</v>
      </c>
      <c r="BI1738">
        <v>347</v>
      </c>
      <c r="BJ1738">
        <v>2.6</v>
      </c>
      <c r="BK1738" t="s">
        <v>919</v>
      </c>
      <c r="BL1738" t="s">
        <v>268</v>
      </c>
      <c r="BM1738" t="s">
        <v>232</v>
      </c>
      <c r="BN1738" t="s">
        <v>81</v>
      </c>
      <c r="BO1738" t="s">
        <v>920</v>
      </c>
      <c r="BP1738" t="s">
        <v>234</v>
      </c>
      <c r="BR1738" t="s">
        <v>63</v>
      </c>
      <c r="BT1738">
        <v>1.02</v>
      </c>
      <c r="BU1738">
        <v>1.0169999999999999</v>
      </c>
      <c r="BV1738">
        <v>0.05</v>
      </c>
      <c r="BW1738">
        <f>BV1738*SQRT(AK1738)</f>
        <v>0.158113883008419</v>
      </c>
      <c r="BX1738">
        <v>0.84</v>
      </c>
      <c r="BY1738">
        <v>0.83790500000000001</v>
      </c>
      <c r="BZ1738">
        <v>0.05</v>
      </c>
      <c r="CA1738">
        <f>BZ1738*SQRT(AL1738)</f>
        <v>0.158113883008419</v>
      </c>
      <c r="CB1738">
        <v>20</v>
      </c>
      <c r="CC1738">
        <v>2</v>
      </c>
      <c r="CD1738">
        <v>-0.19400000000000001</v>
      </c>
      <c r="CE1738">
        <v>5.8999999999999999E-3</v>
      </c>
    </row>
    <row r="1739" spans="2:83" hidden="1" x14ac:dyDescent="0.2">
      <c r="D1739">
        <v>193</v>
      </c>
      <c r="G1739" t="s">
        <v>43</v>
      </c>
      <c r="H1739" t="s">
        <v>918</v>
      </c>
      <c r="J1739">
        <v>2014</v>
      </c>
      <c r="M1739" t="s">
        <v>45</v>
      </c>
      <c r="T1739" t="s">
        <v>103</v>
      </c>
      <c r="U1739" t="s">
        <v>228</v>
      </c>
      <c r="V1739" t="s">
        <v>229</v>
      </c>
      <c r="Z1739" t="s">
        <v>106</v>
      </c>
      <c r="AA1739" t="s">
        <v>107</v>
      </c>
      <c r="AB1739" t="s">
        <v>50</v>
      </c>
      <c r="AC1739" t="s">
        <v>51</v>
      </c>
      <c r="AD1739" t="s">
        <v>52</v>
      </c>
      <c r="AE1739" t="s">
        <v>53</v>
      </c>
      <c r="AF1739" t="s">
        <v>52</v>
      </c>
      <c r="AG1739" t="s">
        <v>54</v>
      </c>
      <c r="AH1739" t="s">
        <v>55</v>
      </c>
      <c r="AK1739">
        <v>10</v>
      </c>
      <c r="AL1739">
        <v>10</v>
      </c>
      <c r="AN1739">
        <v>379</v>
      </c>
      <c r="AO1739">
        <v>3</v>
      </c>
      <c r="AP1739" t="s">
        <v>56</v>
      </c>
      <c r="AQ1739" t="s">
        <v>109</v>
      </c>
      <c r="AR1739">
        <v>8.06</v>
      </c>
      <c r="AS1739" t="s">
        <v>56</v>
      </c>
      <c r="AT1739" t="s">
        <v>56</v>
      </c>
      <c r="AU1739">
        <v>711</v>
      </c>
      <c r="AV1739">
        <v>9</v>
      </c>
      <c r="AW1739" t="s">
        <v>56</v>
      </c>
      <c r="AX1739">
        <v>7.84</v>
      </c>
      <c r="AY1739" t="s">
        <v>56</v>
      </c>
      <c r="AZ1739" t="s">
        <v>56</v>
      </c>
      <c r="BB1739">
        <f>LOG(AU1739)</f>
        <v>2.8518696007297661</v>
      </c>
      <c r="BC1739">
        <v>27.2</v>
      </c>
      <c r="BD1739">
        <v>0.1</v>
      </c>
      <c r="BE1739" t="s">
        <v>56</v>
      </c>
      <c r="BF1739">
        <v>27.2</v>
      </c>
      <c r="BG1739">
        <v>0.1</v>
      </c>
      <c r="BH1739" t="s">
        <v>56</v>
      </c>
      <c r="BI1739">
        <v>332</v>
      </c>
      <c r="BJ1739">
        <v>0</v>
      </c>
      <c r="BK1739" t="s">
        <v>919</v>
      </c>
      <c r="BL1739" t="s">
        <v>268</v>
      </c>
      <c r="BM1739" t="s">
        <v>232</v>
      </c>
      <c r="BN1739" t="s">
        <v>81</v>
      </c>
      <c r="BO1739" t="s">
        <v>920</v>
      </c>
      <c r="BP1739" t="s">
        <v>234</v>
      </c>
      <c r="BR1739" t="s">
        <v>63</v>
      </c>
      <c r="BT1739">
        <v>1.02</v>
      </c>
      <c r="BU1739">
        <v>1.0169999999999999</v>
      </c>
      <c r="BV1739">
        <v>0.05</v>
      </c>
      <c r="BW1739">
        <f>BV1739*SQRT(AK1739)</f>
        <v>0.158113883008419</v>
      </c>
      <c r="BX1739">
        <v>0.92</v>
      </c>
      <c r="BY1739">
        <v>0.92469999999999997</v>
      </c>
      <c r="BZ1739">
        <v>7.0000000000000007E-2</v>
      </c>
      <c r="CA1739">
        <f>BZ1739*SQRT(AL1739)</f>
        <v>0.22135943621178658</v>
      </c>
      <c r="CB1739">
        <v>20</v>
      </c>
      <c r="CC1739">
        <v>2</v>
      </c>
      <c r="CD1739">
        <v>-9.5000000000000001E-2</v>
      </c>
      <c r="CE1739">
        <v>8.3000000000000001E-3</v>
      </c>
    </row>
    <row r="1740" spans="2:83" hidden="1" x14ac:dyDescent="0.2">
      <c r="D1740">
        <v>193</v>
      </c>
      <c r="G1740" t="s">
        <v>43</v>
      </c>
      <c r="H1740" t="s">
        <v>918</v>
      </c>
      <c r="J1740">
        <v>2014</v>
      </c>
      <c r="M1740" t="s">
        <v>45</v>
      </c>
      <c r="T1740" t="s">
        <v>103</v>
      </c>
      <c r="U1740" t="s">
        <v>228</v>
      </c>
      <c r="V1740" t="s">
        <v>229</v>
      </c>
      <c r="Z1740" t="s">
        <v>106</v>
      </c>
      <c r="AA1740" t="s">
        <v>107</v>
      </c>
      <c r="AB1740" t="s">
        <v>50</v>
      </c>
      <c r="AC1740" t="s">
        <v>51</v>
      </c>
      <c r="AD1740" t="s">
        <v>52</v>
      </c>
      <c r="AE1740" t="s">
        <v>53</v>
      </c>
      <c r="AF1740" t="s">
        <v>54</v>
      </c>
      <c r="AG1740" t="s">
        <v>52</v>
      </c>
      <c r="AH1740" t="s">
        <v>65</v>
      </c>
      <c r="AK1740">
        <v>10</v>
      </c>
      <c r="AL1740">
        <v>10</v>
      </c>
      <c r="AN1740">
        <v>379</v>
      </c>
      <c r="AO1740">
        <v>3</v>
      </c>
      <c r="AP1740" t="s">
        <v>56</v>
      </c>
      <c r="AQ1740" t="s">
        <v>109</v>
      </c>
      <c r="AR1740">
        <v>8.06</v>
      </c>
      <c r="AS1740" t="s">
        <v>56</v>
      </c>
      <c r="AT1740" t="s">
        <v>56</v>
      </c>
      <c r="AU1740">
        <v>405</v>
      </c>
      <c r="AV1740">
        <v>3</v>
      </c>
      <c r="AW1740" t="s">
        <v>56</v>
      </c>
      <c r="AX1740">
        <v>8.0299999999999994</v>
      </c>
      <c r="AY1740" t="s">
        <v>56</v>
      </c>
      <c r="AZ1740" t="s">
        <v>56</v>
      </c>
      <c r="BB1740">
        <f>LOG(AU1740)</f>
        <v>2.6074550232146687</v>
      </c>
      <c r="BC1740">
        <v>27.2</v>
      </c>
      <c r="BD1740">
        <v>0.1</v>
      </c>
      <c r="BE1740" t="s">
        <v>56</v>
      </c>
      <c r="BF1740">
        <v>29.8</v>
      </c>
      <c r="BG1740">
        <v>0.1</v>
      </c>
      <c r="BH1740" t="s">
        <v>56</v>
      </c>
      <c r="BI1740">
        <v>26</v>
      </c>
      <c r="BJ1740">
        <v>2.6</v>
      </c>
      <c r="BK1740" t="s">
        <v>919</v>
      </c>
      <c r="BL1740" t="s">
        <v>921</v>
      </c>
      <c r="BM1740" t="s">
        <v>253</v>
      </c>
      <c r="BN1740" t="s">
        <v>81</v>
      </c>
      <c r="BO1740" t="s">
        <v>900</v>
      </c>
      <c r="BP1740" t="s">
        <v>92</v>
      </c>
      <c r="BR1740" t="s">
        <v>63</v>
      </c>
      <c r="BT1740">
        <v>1.97</v>
      </c>
      <c r="BU1740">
        <v>1.96509</v>
      </c>
      <c r="BV1740">
        <v>0.18</v>
      </c>
      <c r="BW1740">
        <f>BV1740*SQRT(AK1740)</f>
        <v>0.56920997883030833</v>
      </c>
      <c r="BX1740">
        <v>1.86</v>
      </c>
      <c r="BY1740">
        <v>1.855</v>
      </c>
      <c r="BZ1740">
        <v>0.19</v>
      </c>
      <c r="CA1740">
        <f>BZ1740*SQRT(AL1740)</f>
        <v>0.6008327554319921</v>
      </c>
      <c r="CB1740">
        <v>20</v>
      </c>
      <c r="CC1740">
        <v>2</v>
      </c>
      <c r="CD1740">
        <v>-5.8000000000000003E-2</v>
      </c>
      <c r="CE1740">
        <v>1.8700000000000001E-2</v>
      </c>
    </row>
    <row r="1741" spans="2:83" hidden="1" x14ac:dyDescent="0.2">
      <c r="D1741">
        <v>193</v>
      </c>
      <c r="G1741" t="s">
        <v>43</v>
      </c>
      <c r="H1741" t="s">
        <v>918</v>
      </c>
      <c r="J1741">
        <v>2014</v>
      </c>
      <c r="M1741" t="s">
        <v>45</v>
      </c>
      <c r="T1741" t="s">
        <v>103</v>
      </c>
      <c r="U1741" t="s">
        <v>228</v>
      </c>
      <c r="V1741" t="s">
        <v>229</v>
      </c>
      <c r="Z1741" t="s">
        <v>106</v>
      </c>
      <c r="AA1741" t="s">
        <v>107</v>
      </c>
      <c r="AB1741" t="s">
        <v>50</v>
      </c>
      <c r="AC1741" t="s">
        <v>51</v>
      </c>
      <c r="AD1741" t="s">
        <v>52</v>
      </c>
      <c r="AE1741" t="s">
        <v>53</v>
      </c>
      <c r="AF1741" t="s">
        <v>52</v>
      </c>
      <c r="AG1741" t="s">
        <v>52</v>
      </c>
      <c r="AH1741" t="s">
        <v>64</v>
      </c>
      <c r="AK1741">
        <v>10</v>
      </c>
      <c r="AL1741">
        <v>10</v>
      </c>
      <c r="AN1741">
        <v>379</v>
      </c>
      <c r="AO1741">
        <v>3</v>
      </c>
      <c r="AP1741" t="s">
        <v>56</v>
      </c>
      <c r="AQ1741" t="s">
        <v>109</v>
      </c>
      <c r="AR1741">
        <v>8.06</v>
      </c>
      <c r="AS1741" t="s">
        <v>56</v>
      </c>
      <c r="AT1741" t="s">
        <v>56</v>
      </c>
      <c r="AU1741">
        <v>1107</v>
      </c>
      <c r="AV1741">
        <v>16</v>
      </c>
      <c r="AW1741" t="s">
        <v>56</v>
      </c>
      <c r="AX1741">
        <v>7.67</v>
      </c>
      <c r="AY1741" t="s">
        <v>56</v>
      </c>
      <c r="AZ1741" t="s">
        <v>56</v>
      </c>
      <c r="BB1741">
        <f>LOG(AU1741)</f>
        <v>3.0441476208787228</v>
      </c>
      <c r="BC1741">
        <v>27.2</v>
      </c>
      <c r="BD1741">
        <v>0.1</v>
      </c>
      <c r="BE1741" t="s">
        <v>56</v>
      </c>
      <c r="BF1741">
        <v>29.8</v>
      </c>
      <c r="BG1741">
        <v>0.1</v>
      </c>
      <c r="BH1741" t="s">
        <v>56</v>
      </c>
      <c r="BI1741">
        <v>728</v>
      </c>
      <c r="BJ1741">
        <v>2.6</v>
      </c>
      <c r="BK1741" t="s">
        <v>919</v>
      </c>
      <c r="BL1741" t="s">
        <v>921</v>
      </c>
      <c r="BM1741" t="s">
        <v>253</v>
      </c>
      <c r="BN1741" t="s">
        <v>81</v>
      </c>
      <c r="BO1741" t="s">
        <v>900</v>
      </c>
      <c r="BP1741" t="s">
        <v>92</v>
      </c>
      <c r="BR1741" t="s">
        <v>63</v>
      </c>
      <c r="BT1741">
        <v>1.97</v>
      </c>
      <c r="BU1741">
        <v>1.96509</v>
      </c>
      <c r="BV1741">
        <v>0.18</v>
      </c>
      <c r="BW1741">
        <f>BV1741*SQRT(AK1741)</f>
        <v>0.56920997883030833</v>
      </c>
      <c r="BX1741">
        <v>2.4</v>
      </c>
      <c r="BY1741">
        <v>2.4039899999999998</v>
      </c>
      <c r="BZ1741">
        <v>0.28999999999999998</v>
      </c>
      <c r="CA1741">
        <f>BZ1741*SQRT(AL1741)</f>
        <v>0.91706052144882999</v>
      </c>
      <c r="CB1741">
        <v>20</v>
      </c>
      <c r="CC1741">
        <v>2</v>
      </c>
      <c r="CD1741">
        <v>0.20200000000000001</v>
      </c>
      <c r="CE1741">
        <v>2.2800000000000001E-2</v>
      </c>
    </row>
    <row r="1742" spans="2:83" hidden="1" x14ac:dyDescent="0.2">
      <c r="D1742">
        <v>193</v>
      </c>
      <c r="G1742" t="s">
        <v>43</v>
      </c>
      <c r="H1742" t="s">
        <v>918</v>
      </c>
      <c r="J1742">
        <v>2014</v>
      </c>
      <c r="M1742" t="s">
        <v>45</v>
      </c>
      <c r="T1742" t="s">
        <v>103</v>
      </c>
      <c r="U1742" t="s">
        <v>228</v>
      </c>
      <c r="V1742" t="s">
        <v>229</v>
      </c>
      <c r="Z1742" t="s">
        <v>106</v>
      </c>
      <c r="AA1742" t="s">
        <v>107</v>
      </c>
      <c r="AB1742" t="s">
        <v>50</v>
      </c>
      <c r="AC1742" t="s">
        <v>51</v>
      </c>
      <c r="AD1742" t="s">
        <v>52</v>
      </c>
      <c r="AE1742" t="s">
        <v>53</v>
      </c>
      <c r="AF1742" t="s">
        <v>52</v>
      </c>
      <c r="AG1742" t="s">
        <v>54</v>
      </c>
      <c r="AH1742" t="s">
        <v>55</v>
      </c>
      <c r="AK1742">
        <v>10</v>
      </c>
      <c r="AL1742">
        <v>10</v>
      </c>
      <c r="AN1742">
        <v>379</v>
      </c>
      <c r="AO1742">
        <v>3</v>
      </c>
      <c r="AP1742" t="s">
        <v>56</v>
      </c>
      <c r="AQ1742" t="s">
        <v>109</v>
      </c>
      <c r="AR1742">
        <v>8.06</v>
      </c>
      <c r="AS1742" t="s">
        <v>56</v>
      </c>
      <c r="AT1742" t="s">
        <v>56</v>
      </c>
      <c r="AU1742">
        <v>1108</v>
      </c>
      <c r="AV1742">
        <v>15</v>
      </c>
      <c r="AW1742" t="s">
        <v>56</v>
      </c>
      <c r="AX1742">
        <v>7.67</v>
      </c>
      <c r="AY1742" t="s">
        <v>56</v>
      </c>
      <c r="AZ1742" t="s">
        <v>56</v>
      </c>
      <c r="BB1742">
        <f>LOG(AU1742)</f>
        <v>3.0445397603924111</v>
      </c>
      <c r="BC1742">
        <v>27.2</v>
      </c>
      <c r="BD1742">
        <v>0.1</v>
      </c>
      <c r="BE1742" t="s">
        <v>56</v>
      </c>
      <c r="BF1742">
        <v>27.2</v>
      </c>
      <c r="BG1742">
        <v>0.1</v>
      </c>
      <c r="BH1742" t="s">
        <v>56</v>
      </c>
      <c r="BI1742">
        <v>729</v>
      </c>
      <c r="BJ1742">
        <v>0</v>
      </c>
      <c r="BK1742" t="s">
        <v>919</v>
      </c>
      <c r="BL1742" t="s">
        <v>921</v>
      </c>
      <c r="BM1742" t="s">
        <v>253</v>
      </c>
      <c r="BN1742" t="s">
        <v>81</v>
      </c>
      <c r="BO1742" t="s">
        <v>900</v>
      </c>
      <c r="BP1742" t="s">
        <v>92</v>
      </c>
      <c r="BR1742" t="s">
        <v>63</v>
      </c>
      <c r="BT1742">
        <v>1.97</v>
      </c>
      <c r="BU1742">
        <v>1.96509</v>
      </c>
      <c r="BV1742">
        <v>0.18</v>
      </c>
      <c r="BW1742">
        <f>BV1742*SQRT(AK1742)</f>
        <v>0.56920997883030833</v>
      </c>
      <c r="BX1742">
        <v>2.66</v>
      </c>
      <c r="BY1742">
        <v>2.6633399999999998</v>
      </c>
      <c r="BZ1742">
        <v>0.21</v>
      </c>
      <c r="CA1742">
        <f>BZ1742*SQRT(AL1742)</f>
        <v>0.66407830863535966</v>
      </c>
      <c r="CB1742">
        <v>20</v>
      </c>
      <c r="CC1742">
        <v>2</v>
      </c>
      <c r="CD1742">
        <v>0.30399999999999999</v>
      </c>
      <c r="CE1742">
        <v>1.4500000000000001E-2</v>
      </c>
    </row>
    <row r="1743" spans="2:83" hidden="1" x14ac:dyDescent="0.2">
      <c r="D1743">
        <v>193</v>
      </c>
      <c r="G1743" t="s">
        <v>43</v>
      </c>
      <c r="H1743" t="s">
        <v>918</v>
      </c>
      <c r="J1743">
        <v>2014</v>
      </c>
      <c r="M1743" t="s">
        <v>45</v>
      </c>
      <c r="T1743" t="s">
        <v>103</v>
      </c>
      <c r="U1743" t="s">
        <v>228</v>
      </c>
      <c r="V1743" t="s">
        <v>229</v>
      </c>
      <c r="Z1743" t="s">
        <v>106</v>
      </c>
      <c r="AA1743" t="s">
        <v>107</v>
      </c>
      <c r="AB1743" t="s">
        <v>50</v>
      </c>
      <c r="AC1743" t="s">
        <v>51</v>
      </c>
      <c r="AD1743" t="s">
        <v>52</v>
      </c>
      <c r="AE1743" t="s">
        <v>53</v>
      </c>
      <c r="AF1743" t="s">
        <v>52</v>
      </c>
      <c r="AG1743" t="s">
        <v>52</v>
      </c>
      <c r="AH1743" t="s">
        <v>64</v>
      </c>
      <c r="AK1743">
        <v>10</v>
      </c>
      <c r="AL1743">
        <v>10</v>
      </c>
      <c r="AN1743">
        <v>379</v>
      </c>
      <c r="AO1743">
        <v>3</v>
      </c>
      <c r="AP1743" t="s">
        <v>56</v>
      </c>
      <c r="AQ1743" t="s">
        <v>109</v>
      </c>
      <c r="AR1743">
        <v>8.06</v>
      </c>
      <c r="AS1743" t="s">
        <v>56</v>
      </c>
      <c r="AT1743" t="s">
        <v>56</v>
      </c>
      <c r="AU1743">
        <v>726</v>
      </c>
      <c r="AV1743">
        <v>8</v>
      </c>
      <c r="AW1743" t="s">
        <v>56</v>
      </c>
      <c r="AX1743">
        <v>7.83</v>
      </c>
      <c r="AY1743" t="s">
        <v>56</v>
      </c>
      <c r="AZ1743" t="s">
        <v>56</v>
      </c>
      <c r="BB1743">
        <f>LOG(AU1743)</f>
        <v>2.8609366207000937</v>
      </c>
      <c r="BC1743">
        <v>27.2</v>
      </c>
      <c r="BD1743">
        <v>0.1</v>
      </c>
      <c r="BE1743" t="s">
        <v>56</v>
      </c>
      <c r="BF1743">
        <v>29.8</v>
      </c>
      <c r="BG1743">
        <v>0.1</v>
      </c>
      <c r="BH1743" t="s">
        <v>56</v>
      </c>
      <c r="BI1743">
        <v>347</v>
      </c>
      <c r="BJ1743">
        <v>2.6</v>
      </c>
      <c r="BK1743" t="s">
        <v>919</v>
      </c>
      <c r="BL1743" t="s">
        <v>921</v>
      </c>
      <c r="BM1743" t="s">
        <v>253</v>
      </c>
      <c r="BN1743" t="s">
        <v>81</v>
      </c>
      <c r="BO1743" t="s">
        <v>900</v>
      </c>
      <c r="BP1743" t="s">
        <v>92</v>
      </c>
      <c r="BR1743" t="s">
        <v>63</v>
      </c>
      <c r="BT1743">
        <v>1.97</v>
      </c>
      <c r="BU1743">
        <v>1.96509</v>
      </c>
      <c r="BV1743">
        <v>0.18</v>
      </c>
      <c r="BW1743">
        <f>BV1743*SQRT(AK1743)</f>
        <v>0.56920997883030833</v>
      </c>
      <c r="BX1743">
        <v>2.71</v>
      </c>
      <c r="BY1743">
        <v>2.7132000000000001</v>
      </c>
      <c r="BZ1743">
        <v>0.28999999999999998</v>
      </c>
      <c r="CA1743">
        <f>BZ1743*SQRT(AL1743)</f>
        <v>0.91706052144882999</v>
      </c>
      <c r="CB1743">
        <v>20</v>
      </c>
      <c r="CC1743">
        <v>2</v>
      </c>
      <c r="CD1743">
        <v>0.32300000000000001</v>
      </c>
      <c r="CE1743">
        <v>1.9699999999999999E-2</v>
      </c>
    </row>
    <row r="1744" spans="2:83" hidden="1" x14ac:dyDescent="0.2">
      <c r="D1744">
        <v>193</v>
      </c>
      <c r="G1744" t="s">
        <v>43</v>
      </c>
      <c r="H1744" t="s">
        <v>918</v>
      </c>
      <c r="J1744">
        <v>2014</v>
      </c>
      <c r="M1744" t="s">
        <v>45</v>
      </c>
      <c r="T1744" t="s">
        <v>103</v>
      </c>
      <c r="U1744" t="s">
        <v>228</v>
      </c>
      <c r="V1744" t="s">
        <v>229</v>
      </c>
      <c r="Z1744" t="s">
        <v>106</v>
      </c>
      <c r="AA1744" t="s">
        <v>107</v>
      </c>
      <c r="AB1744" t="s">
        <v>50</v>
      </c>
      <c r="AC1744" t="s">
        <v>51</v>
      </c>
      <c r="AD1744" t="s">
        <v>52</v>
      </c>
      <c r="AE1744" t="s">
        <v>53</v>
      </c>
      <c r="AF1744" t="s">
        <v>52</v>
      </c>
      <c r="AG1744" t="s">
        <v>54</v>
      </c>
      <c r="AH1744" t="s">
        <v>55</v>
      </c>
      <c r="AK1744">
        <v>10</v>
      </c>
      <c r="AL1744">
        <v>10</v>
      </c>
      <c r="AN1744">
        <v>379</v>
      </c>
      <c r="AO1744">
        <v>3</v>
      </c>
      <c r="AP1744" t="s">
        <v>56</v>
      </c>
      <c r="AQ1744" t="s">
        <v>109</v>
      </c>
      <c r="AR1744">
        <v>8.06</v>
      </c>
      <c r="AS1744" t="s">
        <v>56</v>
      </c>
      <c r="AT1744" t="s">
        <v>56</v>
      </c>
      <c r="AU1744">
        <v>711</v>
      </c>
      <c r="AV1744">
        <v>9</v>
      </c>
      <c r="AW1744" t="s">
        <v>56</v>
      </c>
      <c r="AX1744">
        <v>7.84</v>
      </c>
      <c r="AY1744" t="s">
        <v>56</v>
      </c>
      <c r="AZ1744" t="s">
        <v>56</v>
      </c>
      <c r="BB1744">
        <f>LOG(AU1744)</f>
        <v>2.8518696007297661</v>
      </c>
      <c r="BC1744">
        <v>27.2</v>
      </c>
      <c r="BD1744">
        <v>0.1</v>
      </c>
      <c r="BE1744" t="s">
        <v>56</v>
      </c>
      <c r="BF1744">
        <v>27.2</v>
      </c>
      <c r="BG1744">
        <v>0.1</v>
      </c>
      <c r="BH1744" t="s">
        <v>56</v>
      </c>
      <c r="BI1744">
        <v>332</v>
      </c>
      <c r="BJ1744">
        <v>0</v>
      </c>
      <c r="BK1744" t="s">
        <v>919</v>
      </c>
      <c r="BL1744" t="s">
        <v>921</v>
      </c>
      <c r="BM1744" t="s">
        <v>253</v>
      </c>
      <c r="BN1744" t="s">
        <v>81</v>
      </c>
      <c r="BO1744" t="s">
        <v>900</v>
      </c>
      <c r="BP1744" t="s">
        <v>92</v>
      </c>
      <c r="BR1744" t="s">
        <v>63</v>
      </c>
      <c r="BT1744">
        <v>1.97</v>
      </c>
      <c r="BU1744">
        <v>1.96509</v>
      </c>
      <c r="BV1744">
        <v>0.18</v>
      </c>
      <c r="BW1744">
        <f>BV1744*SQRT(AK1744)</f>
        <v>0.56920997883030833</v>
      </c>
      <c r="BX1744">
        <v>3.16</v>
      </c>
      <c r="BY1744">
        <v>3.1620900000000001</v>
      </c>
      <c r="BZ1744">
        <v>0.28999999999999998</v>
      </c>
      <c r="CA1744">
        <f>BZ1744*SQRT(AL1744)</f>
        <v>0.91706052144882999</v>
      </c>
      <c r="CB1744">
        <v>20</v>
      </c>
      <c r="CC1744">
        <v>2</v>
      </c>
      <c r="CD1744">
        <v>0.47599999999999998</v>
      </c>
      <c r="CE1744">
        <v>1.67E-2</v>
      </c>
    </row>
    <row r="1745" spans="4:83" hidden="1" x14ac:dyDescent="0.2">
      <c r="D1745">
        <v>195</v>
      </c>
      <c r="G1745" t="s">
        <v>43</v>
      </c>
      <c r="H1745" t="s">
        <v>922</v>
      </c>
      <c r="J1745">
        <v>2015</v>
      </c>
      <c r="M1745" t="s">
        <v>308</v>
      </c>
      <c r="T1745" t="s">
        <v>103</v>
      </c>
      <c r="U1745" t="s">
        <v>228</v>
      </c>
      <c r="V1745" t="s">
        <v>923</v>
      </c>
      <c r="Z1745" t="s">
        <v>106</v>
      </c>
      <c r="AA1745" t="s">
        <v>107</v>
      </c>
      <c r="AB1745" t="s">
        <v>50</v>
      </c>
      <c r="AC1745" t="s">
        <v>51</v>
      </c>
      <c r="AD1745" t="s">
        <v>52</v>
      </c>
      <c r="AE1745" t="s">
        <v>53</v>
      </c>
      <c r="AF1745" t="s">
        <v>52</v>
      </c>
      <c r="AG1745" t="s">
        <v>52</v>
      </c>
      <c r="AH1745" t="s">
        <v>64</v>
      </c>
      <c r="AK1745">
        <v>6</v>
      </c>
      <c r="AL1745">
        <v>6</v>
      </c>
      <c r="AN1745">
        <v>442</v>
      </c>
      <c r="AO1745" t="s">
        <v>56</v>
      </c>
      <c r="AP1745">
        <v>14</v>
      </c>
      <c r="AQ1745" t="s">
        <v>57</v>
      </c>
      <c r="AR1745">
        <v>8.15</v>
      </c>
      <c r="AS1745" t="s">
        <v>56</v>
      </c>
      <c r="AT1745">
        <v>0.01</v>
      </c>
      <c r="AU1745">
        <v>1021</v>
      </c>
      <c r="AV1745" t="s">
        <v>56</v>
      </c>
      <c r="AW1745" t="s">
        <v>56</v>
      </c>
      <c r="AX1745">
        <v>7.84</v>
      </c>
      <c r="AY1745" t="s">
        <v>56</v>
      </c>
      <c r="AZ1745" t="s">
        <v>56</v>
      </c>
      <c r="BB1745">
        <f>LOG(AU1745)</f>
        <v>3.0090257420869104</v>
      </c>
      <c r="BC1745">
        <v>28</v>
      </c>
      <c r="BD1745" t="s">
        <v>56</v>
      </c>
      <c r="BE1745">
        <v>0.1</v>
      </c>
      <c r="BF1745">
        <v>31</v>
      </c>
      <c r="BG1745" t="s">
        <v>56</v>
      </c>
      <c r="BH1745" t="s">
        <v>56</v>
      </c>
      <c r="BI1745">
        <v>579</v>
      </c>
      <c r="BJ1745">
        <v>3</v>
      </c>
      <c r="BK1745" t="s">
        <v>924</v>
      </c>
      <c r="BL1745" t="s">
        <v>232</v>
      </c>
      <c r="BM1745" t="s">
        <v>232</v>
      </c>
      <c r="BN1745" t="s">
        <v>81</v>
      </c>
      <c r="BO1745" t="s">
        <v>82</v>
      </c>
      <c r="BP1745" t="s">
        <v>234</v>
      </c>
      <c r="BR1745" t="s">
        <v>63</v>
      </c>
      <c r="BT1745">
        <v>19.61</v>
      </c>
      <c r="BU1745">
        <v>19.61</v>
      </c>
      <c r="BV1745">
        <v>0.99</v>
      </c>
      <c r="BW1745">
        <f>BV1745*SQRT(AK1745)</f>
        <v>2.424994845355346</v>
      </c>
      <c r="BX1745">
        <v>13.19</v>
      </c>
      <c r="BY1745">
        <v>13.19</v>
      </c>
      <c r="BZ1745">
        <v>1.63</v>
      </c>
      <c r="CA1745">
        <f>BZ1745*SQRT(AL1745)</f>
        <v>3.9926682807365799</v>
      </c>
      <c r="CB1745">
        <v>26</v>
      </c>
      <c r="CC1745">
        <v>2</v>
      </c>
      <c r="CD1745">
        <v>-0.39700000000000002</v>
      </c>
      <c r="CE1745">
        <v>1.78E-2</v>
      </c>
    </row>
    <row r="1746" spans="4:83" hidden="1" x14ac:dyDescent="0.2">
      <c r="D1746">
        <v>195</v>
      </c>
      <c r="G1746" t="s">
        <v>43</v>
      </c>
      <c r="H1746" t="s">
        <v>922</v>
      </c>
      <c r="J1746">
        <v>2015</v>
      </c>
      <c r="M1746" t="s">
        <v>308</v>
      </c>
      <c r="T1746" t="s">
        <v>103</v>
      </c>
      <c r="U1746" t="s">
        <v>228</v>
      </c>
      <c r="V1746" t="s">
        <v>925</v>
      </c>
      <c r="Z1746" t="s">
        <v>106</v>
      </c>
      <c r="AA1746" t="s">
        <v>107</v>
      </c>
      <c r="AB1746" t="s">
        <v>50</v>
      </c>
      <c r="AC1746" t="s">
        <v>51</v>
      </c>
      <c r="AD1746" t="s">
        <v>52</v>
      </c>
      <c r="AE1746" t="s">
        <v>53</v>
      </c>
      <c r="AF1746" t="s">
        <v>52</v>
      </c>
      <c r="AG1746" t="s">
        <v>54</v>
      </c>
      <c r="AH1746" t="s">
        <v>55</v>
      </c>
      <c r="AK1746">
        <v>6</v>
      </c>
      <c r="AL1746">
        <v>6</v>
      </c>
      <c r="AN1746">
        <v>442</v>
      </c>
      <c r="AO1746" t="s">
        <v>56</v>
      </c>
      <c r="AP1746">
        <v>14</v>
      </c>
      <c r="AQ1746" t="s">
        <v>57</v>
      </c>
      <c r="AR1746">
        <v>8.15</v>
      </c>
      <c r="AS1746" t="s">
        <v>56</v>
      </c>
      <c r="AT1746">
        <v>0.01</v>
      </c>
      <c r="AU1746">
        <v>1025</v>
      </c>
      <c r="AV1746" t="s">
        <v>56</v>
      </c>
      <c r="AW1746" t="s">
        <v>56</v>
      </c>
      <c r="AX1746">
        <v>7.84</v>
      </c>
      <c r="AY1746" t="s">
        <v>56</v>
      </c>
      <c r="AZ1746" t="s">
        <v>56</v>
      </c>
      <c r="BB1746">
        <f>LOG(AU1746)</f>
        <v>3.0107238653917729</v>
      </c>
      <c r="BC1746">
        <v>28</v>
      </c>
      <c r="BD1746" t="s">
        <v>56</v>
      </c>
      <c r="BE1746">
        <v>0.1</v>
      </c>
      <c r="BF1746">
        <v>28</v>
      </c>
      <c r="BG1746" t="s">
        <v>56</v>
      </c>
      <c r="BH1746" t="s">
        <v>56</v>
      </c>
      <c r="BI1746">
        <v>583</v>
      </c>
      <c r="BJ1746">
        <v>0</v>
      </c>
      <c r="BK1746" t="s">
        <v>924</v>
      </c>
      <c r="BL1746" t="s">
        <v>232</v>
      </c>
      <c r="BM1746" t="s">
        <v>232</v>
      </c>
      <c r="BN1746" t="s">
        <v>81</v>
      </c>
      <c r="BO1746" t="s">
        <v>82</v>
      </c>
      <c r="BP1746" t="s">
        <v>234</v>
      </c>
      <c r="BR1746" t="s">
        <v>63</v>
      </c>
      <c r="BT1746">
        <v>28.37</v>
      </c>
      <c r="BU1746">
        <v>28.37</v>
      </c>
      <c r="BV1746">
        <v>1.66</v>
      </c>
      <c r="BW1746">
        <f>BV1746*SQRT(AK1746)</f>
        <v>4.0661529730200749</v>
      </c>
      <c r="BX1746">
        <v>21.35</v>
      </c>
      <c r="BY1746">
        <v>21.35</v>
      </c>
      <c r="BZ1746">
        <v>2.09</v>
      </c>
      <c r="CA1746">
        <f>BZ1746*SQRT(AL1746)</f>
        <v>5.119433562416841</v>
      </c>
      <c r="CB1746">
        <v>26</v>
      </c>
      <c r="CC1746">
        <v>2</v>
      </c>
      <c r="CD1746">
        <v>-0.28399999999999997</v>
      </c>
      <c r="CE1746">
        <v>1.2999999999999999E-2</v>
      </c>
    </row>
    <row r="1747" spans="4:83" hidden="1" x14ac:dyDescent="0.2">
      <c r="D1747">
        <v>195</v>
      </c>
      <c r="G1747" t="s">
        <v>43</v>
      </c>
      <c r="H1747" t="s">
        <v>922</v>
      </c>
      <c r="J1747">
        <v>2015</v>
      </c>
      <c r="M1747" t="s">
        <v>308</v>
      </c>
      <c r="T1747" t="s">
        <v>103</v>
      </c>
      <c r="U1747" t="s">
        <v>228</v>
      </c>
      <c r="V1747" t="s">
        <v>925</v>
      </c>
      <c r="Z1747" t="s">
        <v>106</v>
      </c>
      <c r="AA1747" t="s">
        <v>107</v>
      </c>
      <c r="AB1747" t="s">
        <v>50</v>
      </c>
      <c r="AC1747" t="s">
        <v>51</v>
      </c>
      <c r="AD1747" t="s">
        <v>52</v>
      </c>
      <c r="AE1747" t="s">
        <v>53</v>
      </c>
      <c r="AF1747" t="s">
        <v>52</v>
      </c>
      <c r="AG1747" t="s">
        <v>52</v>
      </c>
      <c r="AH1747" t="s">
        <v>64</v>
      </c>
      <c r="AK1747">
        <v>6</v>
      </c>
      <c r="AL1747">
        <v>6</v>
      </c>
      <c r="AN1747">
        <v>442</v>
      </c>
      <c r="AO1747" t="s">
        <v>56</v>
      </c>
      <c r="AP1747">
        <v>14</v>
      </c>
      <c r="AQ1747" t="s">
        <v>57</v>
      </c>
      <c r="AR1747">
        <v>8.15</v>
      </c>
      <c r="AS1747" t="s">
        <v>56</v>
      </c>
      <c r="AT1747">
        <v>0.01</v>
      </c>
      <c r="AU1747">
        <v>1021</v>
      </c>
      <c r="AV1747" t="s">
        <v>56</v>
      </c>
      <c r="AW1747" t="s">
        <v>56</v>
      </c>
      <c r="AX1747">
        <v>7.84</v>
      </c>
      <c r="AY1747" t="s">
        <v>56</v>
      </c>
      <c r="AZ1747" t="s">
        <v>56</v>
      </c>
      <c r="BB1747">
        <f>LOG(AU1747)</f>
        <v>3.0090257420869104</v>
      </c>
      <c r="BC1747">
        <v>28</v>
      </c>
      <c r="BD1747" t="s">
        <v>56</v>
      </c>
      <c r="BE1747">
        <v>0.1</v>
      </c>
      <c r="BF1747">
        <v>31</v>
      </c>
      <c r="BG1747" t="s">
        <v>56</v>
      </c>
      <c r="BH1747" t="s">
        <v>56</v>
      </c>
      <c r="BI1747">
        <v>579</v>
      </c>
      <c r="BJ1747">
        <v>3</v>
      </c>
      <c r="BK1747" t="s">
        <v>924</v>
      </c>
      <c r="BL1747" t="s">
        <v>232</v>
      </c>
      <c r="BM1747" t="s">
        <v>232</v>
      </c>
      <c r="BN1747" t="s">
        <v>81</v>
      </c>
      <c r="BO1747" t="s">
        <v>82</v>
      </c>
      <c r="BP1747" t="s">
        <v>234</v>
      </c>
      <c r="BR1747" t="s">
        <v>63</v>
      </c>
      <c r="BT1747">
        <v>28.37</v>
      </c>
      <c r="BU1747">
        <v>28.37</v>
      </c>
      <c r="BV1747">
        <v>1.66</v>
      </c>
      <c r="BW1747">
        <f>BV1747*SQRT(AK1747)</f>
        <v>4.0661529730200749</v>
      </c>
      <c r="BX1747">
        <v>21.62</v>
      </c>
      <c r="BY1747">
        <v>21.62</v>
      </c>
      <c r="BZ1747">
        <v>3.42</v>
      </c>
      <c r="CA1747">
        <f>BZ1747*SQRT(AL1747)</f>
        <v>8.3772549203184674</v>
      </c>
      <c r="CB1747">
        <v>26</v>
      </c>
      <c r="CC1747">
        <v>2</v>
      </c>
      <c r="CD1747">
        <v>-0.27200000000000002</v>
      </c>
      <c r="CE1747">
        <v>2.8500000000000001E-2</v>
      </c>
    </row>
    <row r="1748" spans="4:83" hidden="1" x14ac:dyDescent="0.2">
      <c r="D1748">
        <v>195</v>
      </c>
      <c r="G1748" t="s">
        <v>43</v>
      </c>
      <c r="H1748" t="s">
        <v>922</v>
      </c>
      <c r="J1748">
        <v>2015</v>
      </c>
      <c r="M1748" t="s">
        <v>308</v>
      </c>
      <c r="T1748" t="s">
        <v>103</v>
      </c>
      <c r="U1748" t="s">
        <v>414</v>
      </c>
      <c r="V1748" t="s">
        <v>926</v>
      </c>
      <c r="Z1748" t="s">
        <v>106</v>
      </c>
      <c r="AA1748" t="s">
        <v>107</v>
      </c>
      <c r="AB1748" t="s">
        <v>50</v>
      </c>
      <c r="AC1748" t="s">
        <v>51</v>
      </c>
      <c r="AD1748" t="s">
        <v>52</v>
      </c>
      <c r="AE1748" t="s">
        <v>53</v>
      </c>
      <c r="AF1748" t="s">
        <v>52</v>
      </c>
      <c r="AG1748" t="s">
        <v>52</v>
      </c>
      <c r="AH1748" t="s">
        <v>64</v>
      </c>
      <c r="AK1748">
        <v>6</v>
      </c>
      <c r="AL1748">
        <v>6</v>
      </c>
      <c r="AN1748">
        <v>442</v>
      </c>
      <c r="AO1748" t="s">
        <v>56</v>
      </c>
      <c r="AP1748">
        <v>14</v>
      </c>
      <c r="AQ1748" t="s">
        <v>57</v>
      </c>
      <c r="AR1748">
        <v>8.15</v>
      </c>
      <c r="AS1748" t="s">
        <v>56</v>
      </c>
      <c r="AT1748">
        <v>0.01</v>
      </c>
      <c r="AU1748">
        <v>1021</v>
      </c>
      <c r="AV1748" t="s">
        <v>56</v>
      </c>
      <c r="AW1748" t="s">
        <v>56</v>
      </c>
      <c r="AX1748">
        <v>7.84</v>
      </c>
      <c r="AY1748" t="s">
        <v>56</v>
      </c>
      <c r="AZ1748" t="s">
        <v>56</v>
      </c>
      <c r="BB1748">
        <f>LOG(AU1748)</f>
        <v>3.0090257420869104</v>
      </c>
      <c r="BC1748">
        <v>28</v>
      </c>
      <c r="BD1748" t="s">
        <v>56</v>
      </c>
      <c r="BE1748">
        <v>0.1</v>
      </c>
      <c r="BF1748">
        <v>31</v>
      </c>
      <c r="BG1748" t="s">
        <v>56</v>
      </c>
      <c r="BH1748" t="s">
        <v>56</v>
      </c>
      <c r="BI1748">
        <v>579</v>
      </c>
      <c r="BJ1748">
        <v>3</v>
      </c>
      <c r="BK1748" t="s">
        <v>924</v>
      </c>
      <c r="BL1748" t="s">
        <v>232</v>
      </c>
      <c r="BM1748" t="s">
        <v>232</v>
      </c>
      <c r="BN1748" t="s">
        <v>81</v>
      </c>
      <c r="BO1748" t="s">
        <v>82</v>
      </c>
      <c r="BP1748" t="s">
        <v>234</v>
      </c>
      <c r="BR1748" t="s">
        <v>63</v>
      </c>
      <c r="BT1748">
        <v>17.95</v>
      </c>
      <c r="BU1748">
        <v>17.95</v>
      </c>
      <c r="BV1748">
        <v>1.08</v>
      </c>
      <c r="BW1748">
        <f>BV1748*SQRT(AK1748)</f>
        <v>2.6454489222058322</v>
      </c>
      <c r="BX1748">
        <v>14.43</v>
      </c>
      <c r="BY1748">
        <v>14.43</v>
      </c>
      <c r="BZ1748">
        <v>1.08</v>
      </c>
      <c r="CA1748">
        <f>BZ1748*SQRT(AL1748)</f>
        <v>2.6454489222058322</v>
      </c>
      <c r="CB1748">
        <v>26</v>
      </c>
      <c r="CC1748">
        <v>2</v>
      </c>
      <c r="CD1748">
        <v>-0.218</v>
      </c>
      <c r="CE1748">
        <v>9.1999999999999998E-3</v>
      </c>
    </row>
    <row r="1749" spans="4:83" hidden="1" x14ac:dyDescent="0.2">
      <c r="D1749">
        <v>195</v>
      </c>
      <c r="G1749" t="s">
        <v>43</v>
      </c>
      <c r="H1749" t="s">
        <v>922</v>
      </c>
      <c r="J1749">
        <v>2015</v>
      </c>
      <c r="M1749" t="s">
        <v>308</v>
      </c>
      <c r="T1749" t="s">
        <v>103</v>
      </c>
      <c r="U1749" t="s">
        <v>228</v>
      </c>
      <c r="V1749" t="s">
        <v>923</v>
      </c>
      <c r="Z1749" t="s">
        <v>106</v>
      </c>
      <c r="AA1749" t="s">
        <v>107</v>
      </c>
      <c r="AB1749" t="s">
        <v>50</v>
      </c>
      <c r="AC1749" t="s">
        <v>51</v>
      </c>
      <c r="AD1749" t="s">
        <v>52</v>
      </c>
      <c r="AE1749" t="s">
        <v>53</v>
      </c>
      <c r="AF1749" t="s">
        <v>54</v>
      </c>
      <c r="AG1749" t="s">
        <v>52</v>
      </c>
      <c r="AH1749" t="s">
        <v>65</v>
      </c>
      <c r="AK1749">
        <v>6</v>
      </c>
      <c r="AL1749">
        <v>6</v>
      </c>
      <c r="AN1749">
        <v>442</v>
      </c>
      <c r="AO1749" t="s">
        <v>56</v>
      </c>
      <c r="AP1749">
        <v>14</v>
      </c>
      <c r="AQ1749" t="s">
        <v>57</v>
      </c>
      <c r="AR1749">
        <v>8.15</v>
      </c>
      <c r="AS1749" t="s">
        <v>56</v>
      </c>
      <c r="AT1749">
        <v>0.01</v>
      </c>
      <c r="AU1749">
        <v>442</v>
      </c>
      <c r="AV1749" t="s">
        <v>56</v>
      </c>
      <c r="AW1749" t="s">
        <v>56</v>
      </c>
      <c r="AX1749">
        <v>8.15</v>
      </c>
      <c r="AY1749" t="s">
        <v>56</v>
      </c>
      <c r="AZ1749" t="s">
        <v>56</v>
      </c>
      <c r="BB1749">
        <f>LOG(AU1749)</f>
        <v>2.6454222693490919</v>
      </c>
      <c r="BC1749">
        <v>28</v>
      </c>
      <c r="BD1749" t="s">
        <v>56</v>
      </c>
      <c r="BE1749">
        <v>0.1</v>
      </c>
      <c r="BF1749">
        <v>31</v>
      </c>
      <c r="BG1749" t="s">
        <v>56</v>
      </c>
      <c r="BH1749" t="s">
        <v>56</v>
      </c>
      <c r="BI1749">
        <v>0</v>
      </c>
      <c r="BJ1749">
        <v>3</v>
      </c>
      <c r="BK1749" t="s">
        <v>924</v>
      </c>
      <c r="BL1749" t="s">
        <v>232</v>
      </c>
      <c r="BM1749" t="s">
        <v>232</v>
      </c>
      <c r="BN1749" t="s">
        <v>81</v>
      </c>
      <c r="BO1749" t="s">
        <v>82</v>
      </c>
      <c r="BP1749" t="s">
        <v>234</v>
      </c>
      <c r="BR1749" t="s">
        <v>63</v>
      </c>
      <c r="BT1749">
        <v>19.61</v>
      </c>
      <c r="BU1749">
        <v>19.61</v>
      </c>
      <c r="BV1749">
        <v>0.99</v>
      </c>
      <c r="BW1749">
        <f>BV1749*SQRT(AK1749)</f>
        <v>2.424994845355346</v>
      </c>
      <c r="BX1749">
        <v>15.97</v>
      </c>
      <c r="BY1749">
        <v>15.97</v>
      </c>
      <c r="BZ1749">
        <v>2.2000000000000002</v>
      </c>
      <c r="CA1749">
        <f>BZ1749*SQRT(AL1749)</f>
        <v>5.3888774341229917</v>
      </c>
      <c r="CB1749">
        <v>26</v>
      </c>
      <c r="CC1749">
        <v>2</v>
      </c>
      <c r="CD1749">
        <v>-0.20499999999999999</v>
      </c>
      <c r="CE1749">
        <v>2.1499999999999998E-2</v>
      </c>
    </row>
    <row r="1750" spans="4:83" hidden="1" x14ac:dyDescent="0.2">
      <c r="D1750">
        <v>195</v>
      </c>
      <c r="G1750" t="s">
        <v>43</v>
      </c>
      <c r="H1750" t="s">
        <v>922</v>
      </c>
      <c r="J1750">
        <v>2015</v>
      </c>
      <c r="M1750" t="s">
        <v>308</v>
      </c>
      <c r="T1750" t="s">
        <v>103</v>
      </c>
      <c r="U1750" t="s">
        <v>414</v>
      </c>
      <c r="V1750" t="s">
        <v>926</v>
      </c>
      <c r="Z1750" t="s">
        <v>106</v>
      </c>
      <c r="AA1750" t="s">
        <v>107</v>
      </c>
      <c r="AB1750" t="s">
        <v>50</v>
      </c>
      <c r="AC1750" t="s">
        <v>51</v>
      </c>
      <c r="AD1750" t="s">
        <v>52</v>
      </c>
      <c r="AE1750" t="s">
        <v>53</v>
      </c>
      <c r="AF1750" t="s">
        <v>52</v>
      </c>
      <c r="AG1750" t="s">
        <v>54</v>
      </c>
      <c r="AH1750" t="s">
        <v>55</v>
      </c>
      <c r="AK1750">
        <v>6</v>
      </c>
      <c r="AL1750">
        <v>6</v>
      </c>
      <c r="AN1750">
        <v>442</v>
      </c>
      <c r="AO1750" t="s">
        <v>56</v>
      </c>
      <c r="AP1750">
        <v>14</v>
      </c>
      <c r="AQ1750" t="s">
        <v>57</v>
      </c>
      <c r="AR1750">
        <v>8.15</v>
      </c>
      <c r="AS1750" t="s">
        <v>56</v>
      </c>
      <c r="AT1750">
        <v>0.01</v>
      </c>
      <c r="AU1750">
        <v>1025</v>
      </c>
      <c r="AV1750" t="s">
        <v>56</v>
      </c>
      <c r="AW1750" t="s">
        <v>56</v>
      </c>
      <c r="AX1750">
        <v>7.84</v>
      </c>
      <c r="AY1750" t="s">
        <v>56</v>
      </c>
      <c r="AZ1750" t="s">
        <v>56</v>
      </c>
      <c r="BB1750">
        <f>LOG(AU1750)</f>
        <v>3.0107238653917729</v>
      </c>
      <c r="BC1750">
        <v>28</v>
      </c>
      <c r="BD1750" t="s">
        <v>56</v>
      </c>
      <c r="BE1750">
        <v>0.1</v>
      </c>
      <c r="BF1750">
        <v>28</v>
      </c>
      <c r="BG1750" t="s">
        <v>56</v>
      </c>
      <c r="BH1750" t="s">
        <v>56</v>
      </c>
      <c r="BI1750">
        <v>583</v>
      </c>
      <c r="BJ1750">
        <v>0</v>
      </c>
      <c r="BK1750" t="s">
        <v>924</v>
      </c>
      <c r="BL1750" t="s">
        <v>232</v>
      </c>
      <c r="BM1750" t="s">
        <v>232</v>
      </c>
      <c r="BN1750" t="s">
        <v>81</v>
      </c>
      <c r="BO1750" t="s">
        <v>82</v>
      </c>
      <c r="BP1750" t="s">
        <v>234</v>
      </c>
      <c r="BR1750" t="s">
        <v>63</v>
      </c>
      <c r="BT1750">
        <v>17.95</v>
      </c>
      <c r="BU1750">
        <v>17.95</v>
      </c>
      <c r="BV1750">
        <v>1.08</v>
      </c>
      <c r="BW1750">
        <f>BV1750*SQRT(AK1750)</f>
        <v>2.6454489222058322</v>
      </c>
      <c r="BX1750">
        <v>15.14</v>
      </c>
      <c r="BY1750">
        <v>15.14</v>
      </c>
      <c r="BZ1750">
        <v>0.93</v>
      </c>
      <c r="CA1750">
        <f>BZ1750*SQRT(AL1750)</f>
        <v>2.2780254607883554</v>
      </c>
      <c r="CB1750">
        <v>26</v>
      </c>
      <c r="CC1750">
        <v>2</v>
      </c>
      <c r="CD1750">
        <v>-0.17</v>
      </c>
      <c r="CE1750">
        <v>7.4000000000000003E-3</v>
      </c>
    </row>
    <row r="1751" spans="4:83" hidden="1" x14ac:dyDescent="0.2">
      <c r="D1751">
        <v>195</v>
      </c>
      <c r="G1751" t="s">
        <v>43</v>
      </c>
      <c r="H1751" t="s">
        <v>922</v>
      </c>
      <c r="J1751">
        <v>2015</v>
      </c>
      <c r="M1751" t="s">
        <v>308</v>
      </c>
      <c r="T1751" t="s">
        <v>103</v>
      </c>
      <c r="U1751" t="s">
        <v>228</v>
      </c>
      <c r="V1751" t="s">
        <v>923</v>
      </c>
      <c r="Z1751" t="s">
        <v>106</v>
      </c>
      <c r="AA1751" t="s">
        <v>107</v>
      </c>
      <c r="AB1751" t="s">
        <v>50</v>
      </c>
      <c r="AC1751" t="s">
        <v>51</v>
      </c>
      <c r="AD1751" t="s">
        <v>52</v>
      </c>
      <c r="AE1751" t="s">
        <v>53</v>
      </c>
      <c r="AF1751" t="s">
        <v>52</v>
      </c>
      <c r="AG1751" t="s">
        <v>54</v>
      </c>
      <c r="AH1751" t="s">
        <v>55</v>
      </c>
      <c r="AK1751">
        <v>6</v>
      </c>
      <c r="AL1751">
        <v>6</v>
      </c>
      <c r="AN1751">
        <v>442</v>
      </c>
      <c r="AO1751" t="s">
        <v>56</v>
      </c>
      <c r="AP1751">
        <v>14</v>
      </c>
      <c r="AQ1751" t="s">
        <v>57</v>
      </c>
      <c r="AR1751">
        <v>8.15</v>
      </c>
      <c r="AS1751" t="s">
        <v>56</v>
      </c>
      <c r="AT1751">
        <v>0.01</v>
      </c>
      <c r="AU1751">
        <v>1025</v>
      </c>
      <c r="AV1751" t="s">
        <v>56</v>
      </c>
      <c r="AW1751" t="s">
        <v>56</v>
      </c>
      <c r="AX1751">
        <v>7.84</v>
      </c>
      <c r="AY1751" t="s">
        <v>56</v>
      </c>
      <c r="AZ1751" t="s">
        <v>56</v>
      </c>
      <c r="BB1751">
        <f>LOG(AU1751)</f>
        <v>3.0107238653917729</v>
      </c>
      <c r="BC1751">
        <v>28</v>
      </c>
      <c r="BD1751" t="s">
        <v>56</v>
      </c>
      <c r="BE1751">
        <v>0.1</v>
      </c>
      <c r="BF1751">
        <v>28</v>
      </c>
      <c r="BG1751" t="s">
        <v>56</v>
      </c>
      <c r="BH1751" t="s">
        <v>56</v>
      </c>
      <c r="BI1751">
        <v>583</v>
      </c>
      <c r="BJ1751">
        <v>0</v>
      </c>
      <c r="BK1751" t="s">
        <v>924</v>
      </c>
      <c r="BL1751" t="s">
        <v>232</v>
      </c>
      <c r="BM1751" t="s">
        <v>232</v>
      </c>
      <c r="BN1751" t="s">
        <v>81</v>
      </c>
      <c r="BO1751" t="s">
        <v>82</v>
      </c>
      <c r="BP1751" t="s">
        <v>234</v>
      </c>
      <c r="BR1751" t="s">
        <v>63</v>
      </c>
      <c r="BT1751">
        <v>19.61</v>
      </c>
      <c r="BU1751">
        <v>19.61</v>
      </c>
      <c r="BV1751">
        <v>0.99</v>
      </c>
      <c r="BW1751">
        <f>BV1751*SQRT(AK1751)</f>
        <v>2.424994845355346</v>
      </c>
      <c r="BX1751">
        <v>16.84</v>
      </c>
      <c r="BY1751">
        <v>16.84</v>
      </c>
      <c r="BZ1751">
        <v>1.2</v>
      </c>
      <c r="CA1751">
        <f>BZ1751*SQRT(AL1751)</f>
        <v>2.9393876913398134</v>
      </c>
      <c r="CB1751">
        <v>26</v>
      </c>
      <c r="CC1751">
        <v>2</v>
      </c>
      <c r="CD1751">
        <v>-0.152</v>
      </c>
      <c r="CE1751">
        <v>7.7000000000000002E-3</v>
      </c>
    </row>
    <row r="1752" spans="4:83" hidden="1" x14ac:dyDescent="0.2">
      <c r="D1752">
        <v>195</v>
      </c>
      <c r="G1752" t="s">
        <v>43</v>
      </c>
      <c r="H1752" t="s">
        <v>922</v>
      </c>
      <c r="J1752">
        <v>2015</v>
      </c>
      <c r="M1752" t="s">
        <v>308</v>
      </c>
      <c r="T1752" t="s">
        <v>103</v>
      </c>
      <c r="U1752" t="s">
        <v>228</v>
      </c>
      <c r="V1752" t="s">
        <v>925</v>
      </c>
      <c r="Z1752" t="s">
        <v>106</v>
      </c>
      <c r="AA1752" t="s">
        <v>107</v>
      </c>
      <c r="AB1752" t="s">
        <v>50</v>
      </c>
      <c r="AC1752" t="s">
        <v>51</v>
      </c>
      <c r="AD1752" t="s">
        <v>52</v>
      </c>
      <c r="AE1752" t="s">
        <v>53</v>
      </c>
      <c r="AF1752" t="s">
        <v>54</v>
      </c>
      <c r="AG1752" t="s">
        <v>52</v>
      </c>
      <c r="AH1752" t="s">
        <v>65</v>
      </c>
      <c r="AK1752">
        <v>6</v>
      </c>
      <c r="AL1752">
        <v>6</v>
      </c>
      <c r="AN1752">
        <v>442</v>
      </c>
      <c r="AO1752" t="s">
        <v>56</v>
      </c>
      <c r="AP1752">
        <v>14</v>
      </c>
      <c r="AQ1752" t="s">
        <v>57</v>
      </c>
      <c r="AR1752">
        <v>8.15</v>
      </c>
      <c r="AS1752" t="s">
        <v>56</v>
      </c>
      <c r="AT1752">
        <v>0.01</v>
      </c>
      <c r="AU1752">
        <v>442</v>
      </c>
      <c r="AV1752" t="s">
        <v>56</v>
      </c>
      <c r="AW1752" t="s">
        <v>56</v>
      </c>
      <c r="AX1752">
        <v>8.15</v>
      </c>
      <c r="AY1752" t="s">
        <v>56</v>
      </c>
      <c r="AZ1752" t="s">
        <v>56</v>
      </c>
      <c r="BB1752">
        <f>LOG(AU1752)</f>
        <v>2.6454222693490919</v>
      </c>
      <c r="BC1752">
        <v>28</v>
      </c>
      <c r="BD1752" t="s">
        <v>56</v>
      </c>
      <c r="BE1752">
        <v>0.1</v>
      </c>
      <c r="BF1752">
        <v>31</v>
      </c>
      <c r="BG1752" t="s">
        <v>56</v>
      </c>
      <c r="BH1752" t="s">
        <v>56</v>
      </c>
      <c r="BI1752">
        <v>0</v>
      </c>
      <c r="BJ1752">
        <v>3</v>
      </c>
      <c r="BK1752" t="s">
        <v>924</v>
      </c>
      <c r="BL1752" t="s">
        <v>232</v>
      </c>
      <c r="BM1752" t="s">
        <v>232</v>
      </c>
      <c r="BN1752" t="s">
        <v>81</v>
      </c>
      <c r="BO1752" t="s">
        <v>82</v>
      </c>
      <c r="BP1752" t="s">
        <v>234</v>
      </c>
      <c r="BR1752" t="s">
        <v>63</v>
      </c>
      <c r="BT1752">
        <v>28.37</v>
      </c>
      <c r="BU1752">
        <v>28.37</v>
      </c>
      <c r="BV1752">
        <v>1.66</v>
      </c>
      <c r="BW1752">
        <f>BV1752*SQRT(AK1752)</f>
        <v>4.0661529730200749</v>
      </c>
      <c r="BX1752">
        <v>25.13</v>
      </c>
      <c r="BY1752">
        <v>25.13</v>
      </c>
      <c r="BZ1752">
        <v>3.86</v>
      </c>
      <c r="CA1752">
        <f>BZ1752*SQRT(AL1752)</f>
        <v>9.4550304071430666</v>
      </c>
      <c r="CB1752">
        <v>26</v>
      </c>
      <c r="CC1752">
        <v>2</v>
      </c>
      <c r="CD1752">
        <v>-0.121</v>
      </c>
      <c r="CE1752">
        <v>2.7E-2</v>
      </c>
    </row>
    <row r="1753" spans="4:83" hidden="1" x14ac:dyDescent="0.2">
      <c r="D1753">
        <v>195</v>
      </c>
      <c r="G1753" t="s">
        <v>43</v>
      </c>
      <c r="H1753" t="s">
        <v>922</v>
      </c>
      <c r="J1753">
        <v>2015</v>
      </c>
      <c r="M1753" t="s">
        <v>308</v>
      </c>
      <c r="T1753" t="s">
        <v>103</v>
      </c>
      <c r="U1753" t="s">
        <v>228</v>
      </c>
      <c r="V1753" t="s">
        <v>923</v>
      </c>
      <c r="Z1753" t="s">
        <v>106</v>
      </c>
      <c r="AA1753" t="s">
        <v>107</v>
      </c>
      <c r="AB1753" t="s">
        <v>50</v>
      </c>
      <c r="AC1753" t="s">
        <v>51</v>
      </c>
      <c r="AD1753" t="s">
        <v>52</v>
      </c>
      <c r="AE1753" t="s">
        <v>53</v>
      </c>
      <c r="AF1753" t="s">
        <v>54</v>
      </c>
      <c r="AG1753" t="s">
        <v>52</v>
      </c>
      <c r="AH1753" t="s">
        <v>65</v>
      </c>
      <c r="AK1753">
        <v>6</v>
      </c>
      <c r="AL1753">
        <v>6</v>
      </c>
      <c r="AN1753">
        <v>442</v>
      </c>
      <c r="AO1753" t="s">
        <v>56</v>
      </c>
      <c r="AP1753">
        <v>14</v>
      </c>
      <c r="AQ1753" t="s">
        <v>57</v>
      </c>
      <c r="AR1753">
        <v>8.15</v>
      </c>
      <c r="AS1753" t="s">
        <v>56</v>
      </c>
      <c r="AT1753">
        <v>0.01</v>
      </c>
      <c r="AU1753">
        <v>442</v>
      </c>
      <c r="AV1753" t="s">
        <v>56</v>
      </c>
      <c r="AW1753" t="s">
        <v>56</v>
      </c>
      <c r="AX1753">
        <v>8.15</v>
      </c>
      <c r="AY1753" t="s">
        <v>56</v>
      </c>
      <c r="AZ1753" t="s">
        <v>56</v>
      </c>
      <c r="BB1753">
        <f>LOG(AU1753)</f>
        <v>2.6454222693490919</v>
      </c>
      <c r="BC1753">
        <v>28</v>
      </c>
      <c r="BD1753" t="s">
        <v>56</v>
      </c>
      <c r="BE1753">
        <v>0.1</v>
      </c>
      <c r="BF1753">
        <v>31</v>
      </c>
      <c r="BG1753" t="s">
        <v>56</v>
      </c>
      <c r="BH1753" t="s">
        <v>56</v>
      </c>
      <c r="BI1753">
        <v>0</v>
      </c>
      <c r="BJ1753">
        <v>3</v>
      </c>
      <c r="BK1753" t="s">
        <v>924</v>
      </c>
      <c r="BL1753" t="s">
        <v>354</v>
      </c>
      <c r="BM1753" t="s">
        <v>354</v>
      </c>
      <c r="BN1753" t="s">
        <v>60</v>
      </c>
      <c r="BO1753" t="s">
        <v>900</v>
      </c>
      <c r="BP1753" t="s">
        <v>194</v>
      </c>
      <c r="BR1753" t="s">
        <v>63</v>
      </c>
      <c r="BT1753">
        <v>90.73</v>
      </c>
      <c r="BU1753">
        <v>90.73</v>
      </c>
      <c r="BV1753">
        <v>4.78</v>
      </c>
      <c r="BW1753">
        <f>BV1753*SQRT(AK1753)</f>
        <v>11.708560970503591</v>
      </c>
      <c r="BX1753">
        <v>84.87</v>
      </c>
      <c r="BY1753">
        <v>84.87</v>
      </c>
      <c r="BZ1753">
        <v>5.08</v>
      </c>
      <c r="CA1753">
        <f>BZ1753*SQRT(AL1753)</f>
        <v>12.443407893338543</v>
      </c>
      <c r="CB1753">
        <v>26</v>
      </c>
      <c r="CC1753">
        <v>2</v>
      </c>
      <c r="CD1753">
        <v>-6.7000000000000004E-2</v>
      </c>
      <c r="CE1753">
        <v>6.4000000000000003E-3</v>
      </c>
    </row>
    <row r="1754" spans="4:83" hidden="1" x14ac:dyDescent="0.2">
      <c r="D1754">
        <v>195</v>
      </c>
      <c r="G1754" t="s">
        <v>43</v>
      </c>
      <c r="H1754" t="s">
        <v>922</v>
      </c>
      <c r="J1754">
        <v>2015</v>
      </c>
      <c r="M1754" t="s">
        <v>308</v>
      </c>
      <c r="T1754" t="s">
        <v>103</v>
      </c>
      <c r="U1754" t="s">
        <v>228</v>
      </c>
      <c r="V1754" t="s">
        <v>925</v>
      </c>
      <c r="Z1754" t="s">
        <v>106</v>
      </c>
      <c r="AA1754" t="s">
        <v>107</v>
      </c>
      <c r="AB1754" t="s">
        <v>50</v>
      </c>
      <c r="AC1754" t="s">
        <v>51</v>
      </c>
      <c r="AD1754" t="s">
        <v>52</v>
      </c>
      <c r="AE1754" t="s">
        <v>53</v>
      </c>
      <c r="AF1754" t="s">
        <v>52</v>
      </c>
      <c r="AG1754" t="s">
        <v>52</v>
      </c>
      <c r="AH1754" t="s">
        <v>64</v>
      </c>
      <c r="AK1754">
        <v>6</v>
      </c>
      <c r="AL1754">
        <v>6</v>
      </c>
      <c r="AN1754">
        <v>442</v>
      </c>
      <c r="AO1754" t="s">
        <v>56</v>
      </c>
      <c r="AP1754">
        <v>14</v>
      </c>
      <c r="AQ1754" t="s">
        <v>57</v>
      </c>
      <c r="AR1754">
        <v>8.15</v>
      </c>
      <c r="AS1754" t="s">
        <v>56</v>
      </c>
      <c r="AT1754">
        <v>0.01</v>
      </c>
      <c r="AU1754">
        <v>1021</v>
      </c>
      <c r="AV1754" t="s">
        <v>56</v>
      </c>
      <c r="AW1754" t="s">
        <v>56</v>
      </c>
      <c r="AX1754">
        <v>7.84</v>
      </c>
      <c r="AY1754" t="s">
        <v>56</v>
      </c>
      <c r="AZ1754" t="s">
        <v>56</v>
      </c>
      <c r="BB1754">
        <f>LOG(AU1754)</f>
        <v>3.0090257420869104</v>
      </c>
      <c r="BC1754">
        <v>28</v>
      </c>
      <c r="BD1754" t="s">
        <v>56</v>
      </c>
      <c r="BE1754">
        <v>0.1</v>
      </c>
      <c r="BF1754">
        <v>31</v>
      </c>
      <c r="BG1754" t="s">
        <v>56</v>
      </c>
      <c r="BH1754" t="s">
        <v>56</v>
      </c>
      <c r="BI1754">
        <v>579</v>
      </c>
      <c r="BJ1754">
        <v>3</v>
      </c>
      <c r="BK1754" t="s">
        <v>924</v>
      </c>
      <c r="BL1754" t="s">
        <v>543</v>
      </c>
      <c r="BM1754" t="s">
        <v>543</v>
      </c>
      <c r="BN1754" t="s">
        <v>60</v>
      </c>
      <c r="BO1754" t="s">
        <v>927</v>
      </c>
      <c r="BP1754" t="s">
        <v>194</v>
      </c>
      <c r="BR1754" t="s">
        <v>63</v>
      </c>
      <c r="BT1754">
        <v>5.88</v>
      </c>
      <c r="BU1754">
        <v>5.88</v>
      </c>
      <c r="BV1754">
        <v>0.1</v>
      </c>
      <c r="BW1754">
        <f>BV1754*SQRT(AK1754)</f>
        <v>0.2449489742783178</v>
      </c>
      <c r="BX1754">
        <v>5.67</v>
      </c>
      <c r="BY1754">
        <v>5.67</v>
      </c>
      <c r="BZ1754">
        <v>0.1</v>
      </c>
      <c r="CA1754">
        <f>BZ1754*SQRT(AL1754)</f>
        <v>0.2449489742783178</v>
      </c>
      <c r="CB1754">
        <v>26</v>
      </c>
      <c r="CC1754">
        <v>2</v>
      </c>
      <c r="CD1754">
        <v>-3.5999999999999997E-2</v>
      </c>
      <c r="CE1754">
        <v>5.9999999999999995E-4</v>
      </c>
    </row>
    <row r="1755" spans="4:83" hidden="1" x14ac:dyDescent="0.2">
      <c r="D1755">
        <v>195</v>
      </c>
      <c r="G1755" t="s">
        <v>43</v>
      </c>
      <c r="H1755" t="s">
        <v>922</v>
      </c>
      <c r="J1755">
        <v>2015</v>
      </c>
      <c r="M1755" t="s">
        <v>308</v>
      </c>
      <c r="T1755" t="s">
        <v>103</v>
      </c>
      <c r="U1755" t="s">
        <v>228</v>
      </c>
      <c r="V1755" t="s">
        <v>925</v>
      </c>
      <c r="Z1755" t="s">
        <v>106</v>
      </c>
      <c r="AA1755" t="s">
        <v>107</v>
      </c>
      <c r="AB1755" t="s">
        <v>50</v>
      </c>
      <c r="AC1755" t="s">
        <v>51</v>
      </c>
      <c r="AD1755" t="s">
        <v>52</v>
      </c>
      <c r="AE1755" t="s">
        <v>53</v>
      </c>
      <c r="AF1755" t="s">
        <v>54</v>
      </c>
      <c r="AG1755" t="s">
        <v>52</v>
      </c>
      <c r="AH1755" t="s">
        <v>65</v>
      </c>
      <c r="AK1755">
        <v>6</v>
      </c>
      <c r="AL1755">
        <v>6</v>
      </c>
      <c r="AN1755">
        <v>442</v>
      </c>
      <c r="AO1755" t="s">
        <v>56</v>
      </c>
      <c r="AP1755">
        <v>14</v>
      </c>
      <c r="AQ1755" t="s">
        <v>57</v>
      </c>
      <c r="AR1755">
        <v>8.15</v>
      </c>
      <c r="AS1755" t="s">
        <v>56</v>
      </c>
      <c r="AT1755">
        <v>0.01</v>
      </c>
      <c r="AU1755">
        <v>442</v>
      </c>
      <c r="AV1755" t="s">
        <v>56</v>
      </c>
      <c r="AW1755" t="s">
        <v>56</v>
      </c>
      <c r="AX1755">
        <v>8.15</v>
      </c>
      <c r="AY1755" t="s">
        <v>56</v>
      </c>
      <c r="AZ1755" t="s">
        <v>56</v>
      </c>
      <c r="BB1755">
        <f>LOG(AU1755)</f>
        <v>2.6454222693490919</v>
      </c>
      <c r="BC1755">
        <v>28</v>
      </c>
      <c r="BD1755" t="s">
        <v>56</v>
      </c>
      <c r="BE1755">
        <v>0.1</v>
      </c>
      <c r="BF1755">
        <v>31</v>
      </c>
      <c r="BG1755" t="s">
        <v>56</v>
      </c>
      <c r="BH1755" t="s">
        <v>56</v>
      </c>
      <c r="BI1755">
        <v>0</v>
      </c>
      <c r="BJ1755">
        <v>3</v>
      </c>
      <c r="BK1755" t="s">
        <v>924</v>
      </c>
      <c r="BL1755" t="s">
        <v>543</v>
      </c>
      <c r="BM1755" t="s">
        <v>543</v>
      </c>
      <c r="BN1755" t="s">
        <v>60</v>
      </c>
      <c r="BO1755" t="s">
        <v>927</v>
      </c>
      <c r="BP1755" t="s">
        <v>194</v>
      </c>
      <c r="BR1755" t="s">
        <v>63</v>
      </c>
      <c r="BT1755">
        <v>5.88</v>
      </c>
      <c r="BU1755">
        <v>5.88</v>
      </c>
      <c r="BV1755">
        <v>0.1</v>
      </c>
      <c r="BW1755">
        <f>BV1755*SQRT(AK1755)</f>
        <v>0.2449489742783178</v>
      </c>
      <c r="BX1755">
        <v>5.73</v>
      </c>
      <c r="BY1755">
        <v>5.73</v>
      </c>
      <c r="BZ1755">
        <v>0.12</v>
      </c>
      <c r="CA1755">
        <f>BZ1755*SQRT(AL1755)</f>
        <v>0.29393876913398131</v>
      </c>
      <c r="CB1755">
        <v>26</v>
      </c>
      <c r="CC1755">
        <v>2</v>
      </c>
      <c r="CD1755">
        <v>-2.5999999999999999E-2</v>
      </c>
      <c r="CE1755">
        <v>6.9999999999999999E-4</v>
      </c>
    </row>
    <row r="1756" spans="4:83" hidden="1" x14ac:dyDescent="0.2">
      <c r="D1756">
        <v>195</v>
      </c>
      <c r="G1756" t="s">
        <v>43</v>
      </c>
      <c r="H1756" t="s">
        <v>922</v>
      </c>
      <c r="J1756">
        <v>2015</v>
      </c>
      <c r="M1756" t="s">
        <v>308</v>
      </c>
      <c r="T1756" t="s">
        <v>103</v>
      </c>
      <c r="U1756" t="s">
        <v>228</v>
      </c>
      <c r="V1756" t="s">
        <v>923</v>
      </c>
      <c r="Z1756" t="s">
        <v>106</v>
      </c>
      <c r="AA1756" t="s">
        <v>107</v>
      </c>
      <c r="AB1756" t="s">
        <v>50</v>
      </c>
      <c r="AC1756" t="s">
        <v>51</v>
      </c>
      <c r="AD1756" t="s">
        <v>52</v>
      </c>
      <c r="AE1756" t="s">
        <v>53</v>
      </c>
      <c r="AF1756" t="s">
        <v>52</v>
      </c>
      <c r="AG1756" t="s">
        <v>52</v>
      </c>
      <c r="AH1756" t="s">
        <v>64</v>
      </c>
      <c r="AK1756">
        <v>6</v>
      </c>
      <c r="AL1756">
        <v>6</v>
      </c>
      <c r="AN1756">
        <v>442</v>
      </c>
      <c r="AO1756" t="s">
        <v>56</v>
      </c>
      <c r="AP1756">
        <v>14</v>
      </c>
      <c r="AQ1756" t="s">
        <v>57</v>
      </c>
      <c r="AR1756">
        <v>8.15</v>
      </c>
      <c r="AS1756" t="s">
        <v>56</v>
      </c>
      <c r="AT1756">
        <v>0.01</v>
      </c>
      <c r="AU1756">
        <v>1021</v>
      </c>
      <c r="AV1756" t="s">
        <v>56</v>
      </c>
      <c r="AW1756" t="s">
        <v>56</v>
      </c>
      <c r="AX1756">
        <v>7.84</v>
      </c>
      <c r="AY1756" t="s">
        <v>56</v>
      </c>
      <c r="AZ1756" t="s">
        <v>56</v>
      </c>
      <c r="BB1756">
        <f>LOG(AU1756)</f>
        <v>3.0090257420869104</v>
      </c>
      <c r="BC1756">
        <v>28</v>
      </c>
      <c r="BD1756" t="s">
        <v>56</v>
      </c>
      <c r="BE1756">
        <v>0.1</v>
      </c>
      <c r="BF1756">
        <v>31</v>
      </c>
      <c r="BG1756" t="s">
        <v>56</v>
      </c>
      <c r="BH1756" t="s">
        <v>56</v>
      </c>
      <c r="BI1756">
        <v>579</v>
      </c>
      <c r="BJ1756">
        <v>3</v>
      </c>
      <c r="BK1756" t="s">
        <v>924</v>
      </c>
      <c r="BL1756" t="s">
        <v>354</v>
      </c>
      <c r="BM1756" t="s">
        <v>354</v>
      </c>
      <c r="BN1756" t="s">
        <v>60</v>
      </c>
      <c r="BO1756" t="s">
        <v>900</v>
      </c>
      <c r="BP1756" t="s">
        <v>194</v>
      </c>
      <c r="BR1756" t="s">
        <v>63</v>
      </c>
      <c r="BT1756">
        <v>90.73</v>
      </c>
      <c r="BU1756">
        <v>90.73</v>
      </c>
      <c r="BV1756">
        <v>4.78</v>
      </c>
      <c r="BW1756">
        <f>BV1756*SQRT(AK1756)</f>
        <v>11.708560970503591</v>
      </c>
      <c r="BX1756">
        <v>88.53</v>
      </c>
      <c r="BY1756">
        <v>88.53</v>
      </c>
      <c r="BZ1756">
        <v>4.78</v>
      </c>
      <c r="CA1756">
        <f>BZ1756*SQRT(AL1756)</f>
        <v>11.708560970503591</v>
      </c>
      <c r="CB1756">
        <v>26</v>
      </c>
      <c r="CC1756">
        <v>2</v>
      </c>
      <c r="CD1756">
        <v>-2.5000000000000001E-2</v>
      </c>
      <c r="CE1756">
        <v>5.7000000000000002E-3</v>
      </c>
    </row>
    <row r="1757" spans="4:83" hidden="1" x14ac:dyDescent="0.2">
      <c r="D1757">
        <v>195</v>
      </c>
      <c r="G1757" t="s">
        <v>43</v>
      </c>
      <c r="H1757" t="s">
        <v>922</v>
      </c>
      <c r="J1757">
        <v>2015</v>
      </c>
      <c r="M1757" t="s">
        <v>308</v>
      </c>
      <c r="T1757" t="s">
        <v>103</v>
      </c>
      <c r="U1757" t="s">
        <v>228</v>
      </c>
      <c r="V1757" t="s">
        <v>923</v>
      </c>
      <c r="Z1757" t="s">
        <v>106</v>
      </c>
      <c r="AA1757" t="s">
        <v>107</v>
      </c>
      <c r="AB1757" t="s">
        <v>50</v>
      </c>
      <c r="AC1757" t="s">
        <v>51</v>
      </c>
      <c r="AD1757" t="s">
        <v>52</v>
      </c>
      <c r="AE1757" t="s">
        <v>53</v>
      </c>
      <c r="AF1757" t="s">
        <v>52</v>
      </c>
      <c r="AG1757" t="s">
        <v>52</v>
      </c>
      <c r="AH1757" t="s">
        <v>64</v>
      </c>
      <c r="AK1757">
        <v>6</v>
      </c>
      <c r="AL1757">
        <v>6</v>
      </c>
      <c r="AN1757">
        <v>442</v>
      </c>
      <c r="AO1757" t="s">
        <v>56</v>
      </c>
      <c r="AP1757">
        <v>14</v>
      </c>
      <c r="AQ1757" t="s">
        <v>57</v>
      </c>
      <c r="AR1757">
        <v>8.15</v>
      </c>
      <c r="AS1757" t="s">
        <v>56</v>
      </c>
      <c r="AT1757">
        <v>0.01</v>
      </c>
      <c r="AU1757">
        <v>1021</v>
      </c>
      <c r="AV1757" t="s">
        <v>56</v>
      </c>
      <c r="AW1757" t="s">
        <v>56</v>
      </c>
      <c r="AX1757">
        <v>7.84</v>
      </c>
      <c r="AY1757" t="s">
        <v>56</v>
      </c>
      <c r="AZ1757" t="s">
        <v>56</v>
      </c>
      <c r="BB1757">
        <f>LOG(AU1757)</f>
        <v>3.0090257420869104</v>
      </c>
      <c r="BC1757">
        <v>28</v>
      </c>
      <c r="BD1757" t="s">
        <v>56</v>
      </c>
      <c r="BE1757">
        <v>0.1</v>
      </c>
      <c r="BF1757">
        <v>31</v>
      </c>
      <c r="BG1757" t="s">
        <v>56</v>
      </c>
      <c r="BH1757" t="s">
        <v>56</v>
      </c>
      <c r="BI1757">
        <v>579</v>
      </c>
      <c r="BJ1757">
        <v>3</v>
      </c>
      <c r="BK1757" t="s">
        <v>924</v>
      </c>
      <c r="BL1757" t="s">
        <v>543</v>
      </c>
      <c r="BM1757" t="s">
        <v>543</v>
      </c>
      <c r="BN1757" t="s">
        <v>60</v>
      </c>
      <c r="BO1757" t="s">
        <v>927</v>
      </c>
      <c r="BP1757" t="s">
        <v>194</v>
      </c>
      <c r="BR1757" t="s">
        <v>63</v>
      </c>
      <c r="BT1757">
        <v>5.85</v>
      </c>
      <c r="BU1757">
        <v>5.85</v>
      </c>
      <c r="BV1757">
        <v>0.04</v>
      </c>
      <c r="BW1757">
        <f>BV1757*SQRT(AK1757)</f>
        <v>9.7979589711327114E-2</v>
      </c>
      <c r="BX1757">
        <v>5.74</v>
      </c>
      <c r="BY1757">
        <v>5.74</v>
      </c>
      <c r="BZ1757">
        <v>0.08</v>
      </c>
      <c r="CA1757">
        <f>BZ1757*SQRT(AL1757)</f>
        <v>0.19595917942265423</v>
      </c>
      <c r="CB1757">
        <v>26</v>
      </c>
      <c r="CC1757">
        <v>2</v>
      </c>
      <c r="CD1757">
        <v>-1.9E-2</v>
      </c>
      <c r="CE1757">
        <v>2.0000000000000001E-4</v>
      </c>
    </row>
    <row r="1758" spans="4:83" hidden="1" x14ac:dyDescent="0.2">
      <c r="D1758">
        <v>195</v>
      </c>
      <c r="G1758" t="s">
        <v>43</v>
      </c>
      <c r="H1758" t="s">
        <v>922</v>
      </c>
      <c r="J1758">
        <v>2015</v>
      </c>
      <c r="M1758" t="s">
        <v>308</v>
      </c>
      <c r="T1758" t="s">
        <v>103</v>
      </c>
      <c r="U1758" t="s">
        <v>228</v>
      </c>
      <c r="V1758" t="s">
        <v>925</v>
      </c>
      <c r="Z1758" t="s">
        <v>106</v>
      </c>
      <c r="AA1758" t="s">
        <v>107</v>
      </c>
      <c r="AB1758" t="s">
        <v>50</v>
      </c>
      <c r="AC1758" t="s">
        <v>51</v>
      </c>
      <c r="AD1758" t="s">
        <v>52</v>
      </c>
      <c r="AE1758" t="s">
        <v>53</v>
      </c>
      <c r="AF1758" t="s">
        <v>52</v>
      </c>
      <c r="AG1758" t="s">
        <v>54</v>
      </c>
      <c r="AH1758" t="s">
        <v>55</v>
      </c>
      <c r="AK1758">
        <v>6</v>
      </c>
      <c r="AL1758">
        <v>6</v>
      </c>
      <c r="AN1758">
        <v>442</v>
      </c>
      <c r="AO1758" t="s">
        <v>56</v>
      </c>
      <c r="AP1758">
        <v>14</v>
      </c>
      <c r="AQ1758" t="s">
        <v>57</v>
      </c>
      <c r="AR1758">
        <v>8.15</v>
      </c>
      <c r="AS1758" t="s">
        <v>56</v>
      </c>
      <c r="AT1758">
        <v>0.01</v>
      </c>
      <c r="AU1758">
        <v>1025</v>
      </c>
      <c r="AV1758" t="s">
        <v>56</v>
      </c>
      <c r="AW1758" t="s">
        <v>56</v>
      </c>
      <c r="AX1758">
        <v>7.84</v>
      </c>
      <c r="AY1758" t="s">
        <v>56</v>
      </c>
      <c r="AZ1758" t="s">
        <v>56</v>
      </c>
      <c r="BB1758">
        <f>LOG(AU1758)</f>
        <v>3.0107238653917729</v>
      </c>
      <c r="BC1758">
        <v>28</v>
      </c>
      <c r="BD1758" t="s">
        <v>56</v>
      </c>
      <c r="BE1758">
        <v>0.1</v>
      </c>
      <c r="BF1758">
        <v>28</v>
      </c>
      <c r="BG1758" t="s">
        <v>56</v>
      </c>
      <c r="BH1758" t="s">
        <v>56</v>
      </c>
      <c r="BI1758">
        <v>583</v>
      </c>
      <c r="BJ1758">
        <v>0</v>
      </c>
      <c r="BK1758" t="s">
        <v>924</v>
      </c>
      <c r="BL1758" t="s">
        <v>543</v>
      </c>
      <c r="BM1758" t="s">
        <v>543</v>
      </c>
      <c r="BN1758" t="s">
        <v>60</v>
      </c>
      <c r="BO1758" t="s">
        <v>927</v>
      </c>
      <c r="BP1758" t="s">
        <v>194</v>
      </c>
      <c r="BR1758" t="s">
        <v>63</v>
      </c>
      <c r="BT1758">
        <v>5.88</v>
      </c>
      <c r="BU1758">
        <v>5.88</v>
      </c>
      <c r="BV1758">
        <v>0.1</v>
      </c>
      <c r="BW1758">
        <f>BV1758*SQRT(AK1758)</f>
        <v>0.2449489742783178</v>
      </c>
      <c r="BX1758">
        <v>5.78</v>
      </c>
      <c r="BY1758">
        <v>5.78</v>
      </c>
      <c r="BZ1758">
        <v>0.11</v>
      </c>
      <c r="CA1758">
        <f>BZ1758*SQRT(AL1758)</f>
        <v>0.26944387170614958</v>
      </c>
      <c r="CB1758">
        <v>26</v>
      </c>
      <c r="CC1758">
        <v>2</v>
      </c>
      <c r="CD1758">
        <v>-1.7000000000000001E-2</v>
      </c>
      <c r="CE1758">
        <v>5.9999999999999995E-4</v>
      </c>
    </row>
    <row r="1759" spans="4:83" hidden="1" x14ac:dyDescent="0.2">
      <c r="D1759">
        <v>195</v>
      </c>
      <c r="G1759" t="s">
        <v>43</v>
      </c>
      <c r="H1759" t="s">
        <v>922</v>
      </c>
      <c r="J1759">
        <v>2015</v>
      </c>
      <c r="M1759" t="s">
        <v>308</v>
      </c>
      <c r="T1759" t="s">
        <v>103</v>
      </c>
      <c r="U1759" t="s">
        <v>228</v>
      </c>
      <c r="V1759" t="s">
        <v>923</v>
      </c>
      <c r="Z1759" t="s">
        <v>106</v>
      </c>
      <c r="AA1759" t="s">
        <v>107</v>
      </c>
      <c r="AB1759" t="s">
        <v>50</v>
      </c>
      <c r="AC1759" t="s">
        <v>51</v>
      </c>
      <c r="AD1759" t="s">
        <v>52</v>
      </c>
      <c r="AE1759" t="s">
        <v>53</v>
      </c>
      <c r="AF1759" t="s">
        <v>54</v>
      </c>
      <c r="AG1759" t="s">
        <v>52</v>
      </c>
      <c r="AH1759" t="s">
        <v>65</v>
      </c>
      <c r="AK1759">
        <v>6</v>
      </c>
      <c r="AL1759">
        <v>6</v>
      </c>
      <c r="AN1759">
        <v>442</v>
      </c>
      <c r="AO1759" t="s">
        <v>56</v>
      </c>
      <c r="AP1759">
        <v>14</v>
      </c>
      <c r="AQ1759" t="s">
        <v>57</v>
      </c>
      <c r="AR1759">
        <v>8.15</v>
      </c>
      <c r="AS1759" t="s">
        <v>56</v>
      </c>
      <c r="AT1759">
        <v>0.01</v>
      </c>
      <c r="AU1759">
        <v>442</v>
      </c>
      <c r="AV1759" t="s">
        <v>56</v>
      </c>
      <c r="AW1759" t="s">
        <v>56</v>
      </c>
      <c r="AX1759">
        <v>8.15</v>
      </c>
      <c r="AY1759" t="s">
        <v>56</v>
      </c>
      <c r="AZ1759" t="s">
        <v>56</v>
      </c>
      <c r="BB1759">
        <f>LOG(AU1759)</f>
        <v>2.6454222693490919</v>
      </c>
      <c r="BC1759">
        <v>28</v>
      </c>
      <c r="BD1759" t="s">
        <v>56</v>
      </c>
      <c r="BE1759">
        <v>0.1</v>
      </c>
      <c r="BF1759">
        <v>31</v>
      </c>
      <c r="BG1759" t="s">
        <v>56</v>
      </c>
      <c r="BH1759" t="s">
        <v>56</v>
      </c>
      <c r="BI1759">
        <v>0</v>
      </c>
      <c r="BJ1759">
        <v>3</v>
      </c>
      <c r="BK1759" t="s">
        <v>924</v>
      </c>
      <c r="BL1759" t="s">
        <v>543</v>
      </c>
      <c r="BM1759" t="s">
        <v>543</v>
      </c>
      <c r="BN1759" t="s">
        <v>60</v>
      </c>
      <c r="BO1759" t="s">
        <v>927</v>
      </c>
      <c r="BP1759" t="s">
        <v>194</v>
      </c>
      <c r="BR1759" t="s">
        <v>63</v>
      </c>
      <c r="BT1759">
        <v>5.85</v>
      </c>
      <c r="BU1759">
        <v>5.85</v>
      </c>
      <c r="BV1759">
        <v>0.04</v>
      </c>
      <c r="BW1759">
        <f>BV1759*SQRT(AK1759)</f>
        <v>9.7979589711327114E-2</v>
      </c>
      <c r="BX1759">
        <v>5.76</v>
      </c>
      <c r="BY1759">
        <v>5.76</v>
      </c>
      <c r="BZ1759">
        <v>0.04</v>
      </c>
      <c r="CA1759">
        <f>BZ1759*SQRT(AL1759)</f>
        <v>9.7979589711327114E-2</v>
      </c>
      <c r="CB1759">
        <v>26</v>
      </c>
      <c r="CC1759">
        <v>2</v>
      </c>
      <c r="CD1759">
        <v>-1.6E-2</v>
      </c>
      <c r="CE1759">
        <v>1E-4</v>
      </c>
    </row>
    <row r="1760" spans="4:83" hidden="1" x14ac:dyDescent="0.2">
      <c r="D1760">
        <v>195</v>
      </c>
      <c r="G1760" t="s">
        <v>43</v>
      </c>
      <c r="H1760" t="s">
        <v>922</v>
      </c>
      <c r="J1760">
        <v>2015</v>
      </c>
      <c r="M1760" t="s">
        <v>308</v>
      </c>
      <c r="T1760" t="s">
        <v>103</v>
      </c>
      <c r="U1760" t="s">
        <v>414</v>
      </c>
      <c r="V1760" t="s">
        <v>926</v>
      </c>
      <c r="Z1760" t="s">
        <v>106</v>
      </c>
      <c r="AA1760" t="s">
        <v>107</v>
      </c>
      <c r="AB1760" t="s">
        <v>50</v>
      </c>
      <c r="AC1760" t="s">
        <v>51</v>
      </c>
      <c r="AD1760" t="s">
        <v>52</v>
      </c>
      <c r="AE1760" t="s">
        <v>53</v>
      </c>
      <c r="AF1760" t="s">
        <v>52</v>
      </c>
      <c r="AG1760" t="s">
        <v>52</v>
      </c>
      <c r="AH1760" t="s">
        <v>64</v>
      </c>
      <c r="AK1760">
        <v>6</v>
      </c>
      <c r="AL1760">
        <v>6</v>
      </c>
      <c r="AN1760">
        <v>442</v>
      </c>
      <c r="AO1760" t="s">
        <v>56</v>
      </c>
      <c r="AP1760">
        <v>14</v>
      </c>
      <c r="AQ1760" t="s">
        <v>57</v>
      </c>
      <c r="AR1760">
        <v>8.15</v>
      </c>
      <c r="AS1760" t="s">
        <v>56</v>
      </c>
      <c r="AT1760">
        <v>0.01</v>
      </c>
      <c r="AU1760">
        <v>1021</v>
      </c>
      <c r="AV1760" t="s">
        <v>56</v>
      </c>
      <c r="AW1760" t="s">
        <v>56</v>
      </c>
      <c r="AX1760">
        <v>7.84</v>
      </c>
      <c r="AY1760" t="s">
        <v>56</v>
      </c>
      <c r="AZ1760" t="s">
        <v>56</v>
      </c>
      <c r="BB1760">
        <f>LOG(AU1760)</f>
        <v>3.0090257420869104</v>
      </c>
      <c r="BC1760">
        <v>28</v>
      </c>
      <c r="BD1760" t="s">
        <v>56</v>
      </c>
      <c r="BE1760">
        <v>0.1</v>
      </c>
      <c r="BF1760">
        <v>31</v>
      </c>
      <c r="BG1760" t="s">
        <v>56</v>
      </c>
      <c r="BH1760" t="s">
        <v>56</v>
      </c>
      <c r="BI1760">
        <v>579</v>
      </c>
      <c r="BJ1760">
        <v>3</v>
      </c>
      <c r="BK1760" t="s">
        <v>924</v>
      </c>
      <c r="BL1760" t="s">
        <v>543</v>
      </c>
      <c r="BM1760" t="s">
        <v>543</v>
      </c>
      <c r="BN1760" t="s">
        <v>60</v>
      </c>
      <c r="BO1760" t="s">
        <v>927</v>
      </c>
      <c r="BP1760" t="s">
        <v>194</v>
      </c>
      <c r="BR1760" t="s">
        <v>63</v>
      </c>
      <c r="BT1760">
        <v>5.63</v>
      </c>
      <c r="BU1760">
        <v>5.63</v>
      </c>
      <c r="BV1760">
        <v>0.1</v>
      </c>
      <c r="BW1760">
        <f>BV1760*SQRT(AK1760)</f>
        <v>0.2449489742783178</v>
      </c>
      <c r="BX1760">
        <v>5.56</v>
      </c>
      <c r="BY1760">
        <v>5.56</v>
      </c>
      <c r="BZ1760">
        <v>0.09</v>
      </c>
      <c r="CA1760">
        <f>BZ1760*SQRT(AL1760)</f>
        <v>0.22045407685048601</v>
      </c>
      <c r="CB1760">
        <v>26</v>
      </c>
      <c r="CC1760">
        <v>2</v>
      </c>
      <c r="CD1760">
        <v>-1.2999999999999999E-2</v>
      </c>
      <c r="CE1760">
        <v>5.9999999999999995E-4</v>
      </c>
    </row>
    <row r="1761" spans="1:84" hidden="1" x14ac:dyDescent="0.2">
      <c r="D1761">
        <v>195</v>
      </c>
      <c r="G1761" t="s">
        <v>43</v>
      </c>
      <c r="H1761" t="s">
        <v>922</v>
      </c>
      <c r="J1761">
        <v>2015</v>
      </c>
      <c r="M1761" t="s">
        <v>308</v>
      </c>
      <c r="T1761" t="s">
        <v>103</v>
      </c>
      <c r="U1761" t="s">
        <v>228</v>
      </c>
      <c r="V1761" t="s">
        <v>923</v>
      </c>
      <c r="Z1761" t="s">
        <v>106</v>
      </c>
      <c r="AA1761" t="s">
        <v>107</v>
      </c>
      <c r="AB1761" t="s">
        <v>50</v>
      </c>
      <c r="AC1761" t="s">
        <v>51</v>
      </c>
      <c r="AD1761" t="s">
        <v>52</v>
      </c>
      <c r="AE1761" t="s">
        <v>53</v>
      </c>
      <c r="AF1761" t="s">
        <v>52</v>
      </c>
      <c r="AG1761" t="s">
        <v>54</v>
      </c>
      <c r="AH1761" t="s">
        <v>55</v>
      </c>
      <c r="AK1761">
        <v>6</v>
      </c>
      <c r="AL1761">
        <v>6</v>
      </c>
      <c r="AN1761">
        <v>442</v>
      </c>
      <c r="AO1761" t="s">
        <v>56</v>
      </c>
      <c r="AP1761">
        <v>14</v>
      </c>
      <c r="AQ1761" t="s">
        <v>57</v>
      </c>
      <c r="AR1761">
        <v>8.15</v>
      </c>
      <c r="AS1761" t="s">
        <v>56</v>
      </c>
      <c r="AT1761">
        <v>0.01</v>
      </c>
      <c r="AU1761">
        <v>1025</v>
      </c>
      <c r="AV1761" t="s">
        <v>56</v>
      </c>
      <c r="AW1761" t="s">
        <v>56</v>
      </c>
      <c r="AX1761">
        <v>7.84</v>
      </c>
      <c r="AY1761" t="s">
        <v>56</v>
      </c>
      <c r="AZ1761" t="s">
        <v>56</v>
      </c>
      <c r="BB1761">
        <f>LOG(AU1761)</f>
        <v>3.0107238653917729</v>
      </c>
      <c r="BC1761">
        <v>28</v>
      </c>
      <c r="BD1761" t="s">
        <v>56</v>
      </c>
      <c r="BE1761">
        <v>0.1</v>
      </c>
      <c r="BF1761">
        <v>28</v>
      </c>
      <c r="BG1761" t="s">
        <v>56</v>
      </c>
      <c r="BH1761" t="s">
        <v>56</v>
      </c>
      <c r="BI1761">
        <v>583</v>
      </c>
      <c r="BJ1761">
        <v>0</v>
      </c>
      <c r="BK1761" t="s">
        <v>924</v>
      </c>
      <c r="BL1761" t="s">
        <v>354</v>
      </c>
      <c r="BM1761" t="s">
        <v>354</v>
      </c>
      <c r="BN1761" t="s">
        <v>60</v>
      </c>
      <c r="BO1761" t="s">
        <v>900</v>
      </c>
      <c r="BP1761" t="s">
        <v>194</v>
      </c>
      <c r="BR1761" t="s">
        <v>63</v>
      </c>
      <c r="BT1761">
        <v>90.73</v>
      </c>
      <c r="BU1761">
        <v>90.73</v>
      </c>
      <c r="BV1761">
        <v>4.78</v>
      </c>
      <c r="BW1761">
        <f>BV1761*SQRT(AK1761)</f>
        <v>11.708560970503591</v>
      </c>
      <c r="BX1761">
        <v>90</v>
      </c>
      <c r="BY1761">
        <v>90</v>
      </c>
      <c r="BZ1761">
        <v>6.27</v>
      </c>
      <c r="CA1761">
        <f>BZ1761*SQRT(AL1761)</f>
        <v>15.358300687250525</v>
      </c>
      <c r="CB1761">
        <v>26</v>
      </c>
      <c r="CC1761">
        <v>2</v>
      </c>
      <c r="CD1761">
        <v>-8.0000000000000002E-3</v>
      </c>
      <c r="CE1761">
        <v>7.6E-3</v>
      </c>
    </row>
    <row r="1762" spans="1:84" hidden="1" x14ac:dyDescent="0.2">
      <c r="D1762">
        <v>195</v>
      </c>
      <c r="G1762" t="s">
        <v>43</v>
      </c>
      <c r="H1762" t="s">
        <v>922</v>
      </c>
      <c r="J1762">
        <v>2015</v>
      </c>
      <c r="M1762" t="s">
        <v>308</v>
      </c>
      <c r="T1762" t="s">
        <v>103</v>
      </c>
      <c r="U1762" t="s">
        <v>228</v>
      </c>
      <c r="V1762" t="s">
        <v>923</v>
      </c>
      <c r="Z1762" t="s">
        <v>106</v>
      </c>
      <c r="AA1762" t="s">
        <v>107</v>
      </c>
      <c r="AB1762" t="s">
        <v>50</v>
      </c>
      <c r="AC1762" t="s">
        <v>51</v>
      </c>
      <c r="AD1762" t="s">
        <v>52</v>
      </c>
      <c r="AE1762" t="s">
        <v>53</v>
      </c>
      <c r="AF1762" t="s">
        <v>52</v>
      </c>
      <c r="AG1762" t="s">
        <v>54</v>
      </c>
      <c r="AH1762" t="s">
        <v>55</v>
      </c>
      <c r="AK1762">
        <v>6</v>
      </c>
      <c r="AL1762">
        <v>6</v>
      </c>
      <c r="AN1762">
        <v>442</v>
      </c>
      <c r="AO1762" t="s">
        <v>56</v>
      </c>
      <c r="AP1762">
        <v>14</v>
      </c>
      <c r="AQ1762" t="s">
        <v>57</v>
      </c>
      <c r="AR1762">
        <v>8.15</v>
      </c>
      <c r="AS1762" t="s">
        <v>56</v>
      </c>
      <c r="AT1762">
        <v>0.01</v>
      </c>
      <c r="AU1762">
        <v>1025</v>
      </c>
      <c r="AV1762" t="s">
        <v>56</v>
      </c>
      <c r="AW1762" t="s">
        <v>56</v>
      </c>
      <c r="AX1762">
        <v>7.84</v>
      </c>
      <c r="AY1762" t="s">
        <v>56</v>
      </c>
      <c r="AZ1762" t="s">
        <v>56</v>
      </c>
      <c r="BB1762">
        <f>LOG(AU1762)</f>
        <v>3.0107238653917729</v>
      </c>
      <c r="BC1762">
        <v>28</v>
      </c>
      <c r="BD1762" t="s">
        <v>56</v>
      </c>
      <c r="BE1762">
        <v>0.1</v>
      </c>
      <c r="BF1762">
        <v>28</v>
      </c>
      <c r="BG1762" t="s">
        <v>56</v>
      </c>
      <c r="BH1762" t="s">
        <v>56</v>
      </c>
      <c r="BI1762">
        <v>583</v>
      </c>
      <c r="BJ1762">
        <v>0</v>
      </c>
      <c r="BK1762" t="s">
        <v>924</v>
      </c>
      <c r="BL1762" t="s">
        <v>543</v>
      </c>
      <c r="BM1762" t="s">
        <v>543</v>
      </c>
      <c r="BN1762" t="s">
        <v>60</v>
      </c>
      <c r="BO1762" t="s">
        <v>927</v>
      </c>
      <c r="BP1762" t="s">
        <v>194</v>
      </c>
      <c r="BR1762" t="s">
        <v>63</v>
      </c>
      <c r="BT1762">
        <v>5.85</v>
      </c>
      <c r="BU1762">
        <v>5.85</v>
      </c>
      <c r="BV1762">
        <v>0.04</v>
      </c>
      <c r="BW1762">
        <f>BV1762*SQRT(AK1762)</f>
        <v>9.7979589711327114E-2</v>
      </c>
      <c r="BX1762">
        <v>5.83</v>
      </c>
      <c r="BY1762">
        <v>5.83</v>
      </c>
      <c r="BZ1762">
        <v>0.09</v>
      </c>
      <c r="CA1762">
        <f>BZ1762*SQRT(AL1762)</f>
        <v>0.22045407685048601</v>
      </c>
      <c r="CB1762">
        <v>26</v>
      </c>
      <c r="CC1762">
        <v>2</v>
      </c>
      <c r="CD1762">
        <v>-3.0000000000000001E-3</v>
      </c>
      <c r="CE1762">
        <v>2.9999999999999997E-4</v>
      </c>
    </row>
    <row r="1763" spans="1:84" hidden="1" x14ac:dyDescent="0.2">
      <c r="D1763">
        <v>195</v>
      </c>
      <c r="G1763" t="s">
        <v>43</v>
      </c>
      <c r="H1763" t="s">
        <v>922</v>
      </c>
      <c r="J1763">
        <v>2015</v>
      </c>
      <c r="M1763" t="s">
        <v>308</v>
      </c>
      <c r="T1763" t="s">
        <v>103</v>
      </c>
      <c r="U1763" t="s">
        <v>414</v>
      </c>
      <c r="V1763" t="s">
        <v>926</v>
      </c>
      <c r="Z1763" t="s">
        <v>106</v>
      </c>
      <c r="AA1763" t="s">
        <v>107</v>
      </c>
      <c r="AB1763" t="s">
        <v>50</v>
      </c>
      <c r="AC1763" t="s">
        <v>51</v>
      </c>
      <c r="AD1763" t="s">
        <v>52</v>
      </c>
      <c r="AE1763" t="s">
        <v>53</v>
      </c>
      <c r="AF1763" t="s">
        <v>52</v>
      </c>
      <c r="AG1763" t="s">
        <v>54</v>
      </c>
      <c r="AH1763" t="s">
        <v>55</v>
      </c>
      <c r="AK1763">
        <v>6</v>
      </c>
      <c r="AL1763">
        <v>6</v>
      </c>
      <c r="AN1763">
        <v>442</v>
      </c>
      <c r="AO1763" t="s">
        <v>56</v>
      </c>
      <c r="AP1763">
        <v>14</v>
      </c>
      <c r="AQ1763" t="s">
        <v>57</v>
      </c>
      <c r="AR1763">
        <v>8.15</v>
      </c>
      <c r="AS1763" t="s">
        <v>56</v>
      </c>
      <c r="AT1763">
        <v>0.01</v>
      </c>
      <c r="AU1763">
        <v>1025</v>
      </c>
      <c r="AV1763" t="s">
        <v>56</v>
      </c>
      <c r="AW1763" t="s">
        <v>56</v>
      </c>
      <c r="AX1763">
        <v>7.84</v>
      </c>
      <c r="AY1763" t="s">
        <v>56</v>
      </c>
      <c r="AZ1763" t="s">
        <v>56</v>
      </c>
      <c r="BB1763">
        <f>LOG(AU1763)</f>
        <v>3.0107238653917729</v>
      </c>
      <c r="BC1763">
        <v>28</v>
      </c>
      <c r="BD1763" t="s">
        <v>56</v>
      </c>
      <c r="BE1763">
        <v>0.1</v>
      </c>
      <c r="BF1763">
        <v>28</v>
      </c>
      <c r="BG1763" t="s">
        <v>56</v>
      </c>
      <c r="BH1763" t="s">
        <v>56</v>
      </c>
      <c r="BI1763">
        <v>583</v>
      </c>
      <c r="BJ1763">
        <v>0</v>
      </c>
      <c r="BK1763" t="s">
        <v>924</v>
      </c>
      <c r="BL1763" t="s">
        <v>543</v>
      </c>
      <c r="BM1763" t="s">
        <v>543</v>
      </c>
      <c r="BN1763" t="s">
        <v>60</v>
      </c>
      <c r="BO1763" t="s">
        <v>927</v>
      </c>
      <c r="BP1763" t="s">
        <v>194</v>
      </c>
      <c r="BR1763" t="s">
        <v>63</v>
      </c>
      <c r="BT1763">
        <v>5.63</v>
      </c>
      <c r="BU1763">
        <v>5.63</v>
      </c>
      <c r="BV1763">
        <v>0.1</v>
      </c>
      <c r="BW1763">
        <f>BV1763*SQRT(AK1763)</f>
        <v>0.2449489742783178</v>
      </c>
      <c r="BX1763">
        <v>5.62</v>
      </c>
      <c r="BY1763">
        <v>5.62</v>
      </c>
      <c r="BZ1763">
        <v>7.0000000000000007E-2</v>
      </c>
      <c r="CA1763">
        <f>BZ1763*SQRT(AL1763)</f>
        <v>0.17146428199482247</v>
      </c>
      <c r="CB1763">
        <v>26</v>
      </c>
      <c r="CC1763">
        <v>2</v>
      </c>
      <c r="CD1763">
        <v>-2E-3</v>
      </c>
      <c r="CE1763">
        <v>5.0000000000000001E-4</v>
      </c>
    </row>
    <row r="1764" spans="1:84" hidden="1" x14ac:dyDescent="0.2">
      <c r="D1764">
        <v>195</v>
      </c>
      <c r="G1764" t="s">
        <v>43</v>
      </c>
      <c r="H1764" t="s">
        <v>922</v>
      </c>
      <c r="J1764">
        <v>2015</v>
      </c>
      <c r="M1764" t="s">
        <v>308</v>
      </c>
      <c r="T1764" t="s">
        <v>103</v>
      </c>
      <c r="U1764" t="s">
        <v>414</v>
      </c>
      <c r="V1764" t="s">
        <v>926</v>
      </c>
      <c r="Z1764" t="s">
        <v>106</v>
      </c>
      <c r="AA1764" t="s">
        <v>107</v>
      </c>
      <c r="AB1764" t="s">
        <v>50</v>
      </c>
      <c r="AC1764" t="s">
        <v>51</v>
      </c>
      <c r="AD1764" t="s">
        <v>52</v>
      </c>
      <c r="AE1764" t="s">
        <v>53</v>
      </c>
      <c r="AF1764" t="s">
        <v>54</v>
      </c>
      <c r="AG1764" t="s">
        <v>52</v>
      </c>
      <c r="AH1764" t="s">
        <v>65</v>
      </c>
      <c r="AK1764">
        <v>6</v>
      </c>
      <c r="AL1764">
        <v>6</v>
      </c>
      <c r="AN1764">
        <v>442</v>
      </c>
      <c r="AO1764" t="s">
        <v>56</v>
      </c>
      <c r="AP1764">
        <v>14</v>
      </c>
      <c r="AQ1764" t="s">
        <v>57</v>
      </c>
      <c r="AR1764">
        <v>8.15</v>
      </c>
      <c r="AS1764" t="s">
        <v>56</v>
      </c>
      <c r="AT1764">
        <v>0.01</v>
      </c>
      <c r="AU1764">
        <v>442</v>
      </c>
      <c r="AV1764" t="s">
        <v>56</v>
      </c>
      <c r="AW1764" t="s">
        <v>56</v>
      </c>
      <c r="AX1764">
        <v>8.15</v>
      </c>
      <c r="AY1764" t="s">
        <v>56</v>
      </c>
      <c r="AZ1764" t="s">
        <v>56</v>
      </c>
      <c r="BB1764">
        <f>LOG(AU1764)</f>
        <v>2.6454222693490919</v>
      </c>
      <c r="BC1764">
        <v>28</v>
      </c>
      <c r="BD1764" t="s">
        <v>56</v>
      </c>
      <c r="BE1764">
        <v>0.1</v>
      </c>
      <c r="BF1764">
        <v>31</v>
      </c>
      <c r="BG1764" t="s">
        <v>56</v>
      </c>
      <c r="BH1764" t="s">
        <v>56</v>
      </c>
      <c r="BI1764">
        <v>0</v>
      </c>
      <c r="BJ1764">
        <v>3</v>
      </c>
      <c r="BK1764" t="s">
        <v>924</v>
      </c>
      <c r="BL1764" t="s">
        <v>232</v>
      </c>
      <c r="BM1764" t="s">
        <v>232</v>
      </c>
      <c r="BN1764" t="s">
        <v>81</v>
      </c>
      <c r="BO1764" t="s">
        <v>82</v>
      </c>
      <c r="BP1764" t="s">
        <v>234</v>
      </c>
      <c r="BR1764" t="s">
        <v>63</v>
      </c>
      <c r="BT1764">
        <v>17.95</v>
      </c>
      <c r="BU1764">
        <v>17.95</v>
      </c>
      <c r="BV1764">
        <v>1.08</v>
      </c>
      <c r="BW1764">
        <f>BV1764*SQRT(AK1764)</f>
        <v>2.6454489222058322</v>
      </c>
      <c r="BX1764">
        <v>18.13</v>
      </c>
      <c r="BY1764">
        <v>18.13</v>
      </c>
      <c r="BZ1764">
        <v>1</v>
      </c>
      <c r="CA1764">
        <f>BZ1764*SQRT(AL1764)</f>
        <v>2.4494897427831779</v>
      </c>
      <c r="CB1764">
        <v>26</v>
      </c>
      <c r="CC1764">
        <v>2</v>
      </c>
      <c r="CD1764">
        <v>0.01</v>
      </c>
      <c r="CE1764">
        <v>6.7000000000000002E-3</v>
      </c>
    </row>
    <row r="1765" spans="1:84" hidden="1" x14ac:dyDescent="0.2">
      <c r="D1765">
        <v>195</v>
      </c>
      <c r="G1765" t="s">
        <v>43</v>
      </c>
      <c r="H1765" t="s">
        <v>922</v>
      </c>
      <c r="J1765">
        <v>2015</v>
      </c>
      <c r="M1765" t="s">
        <v>308</v>
      </c>
      <c r="T1765" t="s">
        <v>103</v>
      </c>
      <c r="U1765" t="s">
        <v>414</v>
      </c>
      <c r="V1765" t="s">
        <v>926</v>
      </c>
      <c r="Z1765" t="s">
        <v>106</v>
      </c>
      <c r="AA1765" t="s">
        <v>107</v>
      </c>
      <c r="AB1765" t="s">
        <v>50</v>
      </c>
      <c r="AC1765" t="s">
        <v>51</v>
      </c>
      <c r="AD1765" t="s">
        <v>52</v>
      </c>
      <c r="AE1765" t="s">
        <v>53</v>
      </c>
      <c r="AF1765" t="s">
        <v>54</v>
      </c>
      <c r="AG1765" t="s">
        <v>52</v>
      </c>
      <c r="AH1765" t="s">
        <v>65</v>
      </c>
      <c r="AK1765">
        <v>6</v>
      </c>
      <c r="AL1765">
        <v>6</v>
      </c>
      <c r="AN1765">
        <v>442</v>
      </c>
      <c r="AO1765" t="s">
        <v>56</v>
      </c>
      <c r="AP1765">
        <v>14</v>
      </c>
      <c r="AQ1765" t="s">
        <v>57</v>
      </c>
      <c r="AR1765">
        <v>8.15</v>
      </c>
      <c r="AS1765" t="s">
        <v>56</v>
      </c>
      <c r="AT1765">
        <v>0.01</v>
      </c>
      <c r="AU1765">
        <v>442</v>
      </c>
      <c r="AV1765" t="s">
        <v>56</v>
      </c>
      <c r="AW1765" t="s">
        <v>56</v>
      </c>
      <c r="AX1765">
        <v>8.15</v>
      </c>
      <c r="AY1765" t="s">
        <v>56</v>
      </c>
      <c r="AZ1765" t="s">
        <v>56</v>
      </c>
      <c r="BB1765">
        <f>LOG(AU1765)</f>
        <v>2.6454222693490919</v>
      </c>
      <c r="BC1765">
        <v>28</v>
      </c>
      <c r="BD1765" t="s">
        <v>56</v>
      </c>
      <c r="BE1765">
        <v>0.1</v>
      </c>
      <c r="BF1765">
        <v>31</v>
      </c>
      <c r="BG1765" t="s">
        <v>56</v>
      </c>
      <c r="BH1765" t="s">
        <v>56</v>
      </c>
      <c r="BI1765">
        <v>0</v>
      </c>
      <c r="BJ1765">
        <v>3</v>
      </c>
      <c r="BK1765" t="s">
        <v>924</v>
      </c>
      <c r="BL1765" t="s">
        <v>543</v>
      </c>
      <c r="BM1765" t="s">
        <v>543</v>
      </c>
      <c r="BN1765" t="s">
        <v>60</v>
      </c>
      <c r="BO1765" t="s">
        <v>927</v>
      </c>
      <c r="BP1765" t="s">
        <v>194</v>
      </c>
      <c r="BR1765" t="s">
        <v>63</v>
      </c>
      <c r="BT1765">
        <v>5.63</v>
      </c>
      <c r="BU1765">
        <v>5.63</v>
      </c>
      <c r="BV1765">
        <v>0.1</v>
      </c>
      <c r="BW1765">
        <f>BV1765*SQRT(AK1765)</f>
        <v>0.2449489742783178</v>
      </c>
      <c r="BX1765">
        <v>5.72</v>
      </c>
      <c r="BY1765">
        <v>5.72</v>
      </c>
      <c r="BZ1765">
        <v>0.08</v>
      </c>
      <c r="CA1765">
        <f>BZ1765*SQRT(AL1765)</f>
        <v>0.19595917942265423</v>
      </c>
      <c r="CB1765">
        <v>26</v>
      </c>
      <c r="CC1765">
        <v>2</v>
      </c>
      <c r="CD1765">
        <v>1.6E-2</v>
      </c>
      <c r="CE1765">
        <v>5.0000000000000001E-4</v>
      </c>
    </row>
    <row r="1766" spans="1:84" hidden="1" x14ac:dyDescent="0.2">
      <c r="D1766">
        <v>195</v>
      </c>
      <c r="G1766" t="s">
        <v>43</v>
      </c>
      <c r="H1766" t="s">
        <v>922</v>
      </c>
      <c r="J1766">
        <v>2015</v>
      </c>
      <c r="M1766" t="s">
        <v>308</v>
      </c>
      <c r="T1766" t="s">
        <v>103</v>
      </c>
      <c r="U1766" t="s">
        <v>228</v>
      </c>
      <c r="V1766" t="s">
        <v>925</v>
      </c>
      <c r="Z1766" t="s">
        <v>106</v>
      </c>
      <c r="AA1766" t="s">
        <v>107</v>
      </c>
      <c r="AB1766" t="s">
        <v>50</v>
      </c>
      <c r="AC1766" t="s">
        <v>51</v>
      </c>
      <c r="AD1766" t="s">
        <v>52</v>
      </c>
      <c r="AE1766" t="s">
        <v>53</v>
      </c>
      <c r="AF1766" t="s">
        <v>54</v>
      </c>
      <c r="AG1766" t="s">
        <v>52</v>
      </c>
      <c r="AH1766" t="s">
        <v>65</v>
      </c>
      <c r="AK1766">
        <v>6</v>
      </c>
      <c r="AL1766">
        <v>6</v>
      </c>
      <c r="AN1766">
        <v>442</v>
      </c>
      <c r="AO1766" t="s">
        <v>56</v>
      </c>
      <c r="AP1766">
        <v>14</v>
      </c>
      <c r="AQ1766" t="s">
        <v>57</v>
      </c>
      <c r="AR1766">
        <v>8.15</v>
      </c>
      <c r="AS1766" t="s">
        <v>56</v>
      </c>
      <c r="AT1766">
        <v>0.01</v>
      </c>
      <c r="AU1766">
        <v>442</v>
      </c>
      <c r="AV1766" t="s">
        <v>56</v>
      </c>
      <c r="AW1766" t="s">
        <v>56</v>
      </c>
      <c r="AX1766">
        <v>8.15</v>
      </c>
      <c r="AY1766" t="s">
        <v>56</v>
      </c>
      <c r="AZ1766" t="s">
        <v>56</v>
      </c>
      <c r="BB1766">
        <f>LOG(AU1766)</f>
        <v>2.6454222693490919</v>
      </c>
      <c r="BC1766">
        <v>28</v>
      </c>
      <c r="BD1766" t="s">
        <v>56</v>
      </c>
      <c r="BE1766">
        <v>0.1</v>
      </c>
      <c r="BF1766">
        <v>31</v>
      </c>
      <c r="BG1766" t="s">
        <v>56</v>
      </c>
      <c r="BH1766" t="s">
        <v>56</v>
      </c>
      <c r="BI1766">
        <v>0</v>
      </c>
      <c r="BJ1766">
        <v>3</v>
      </c>
      <c r="BK1766" t="s">
        <v>924</v>
      </c>
      <c r="BL1766" t="s">
        <v>354</v>
      </c>
      <c r="BM1766" t="s">
        <v>354</v>
      </c>
      <c r="BN1766" t="s">
        <v>60</v>
      </c>
      <c r="BO1766" t="s">
        <v>900</v>
      </c>
      <c r="BP1766" t="s">
        <v>194</v>
      </c>
      <c r="BR1766" t="s">
        <v>63</v>
      </c>
      <c r="BT1766">
        <v>111.57</v>
      </c>
      <c r="BU1766">
        <v>111.57</v>
      </c>
      <c r="BV1766">
        <v>7.74</v>
      </c>
      <c r="BW1766">
        <f>BV1766*SQRT(AK1766)</f>
        <v>18.959050609141798</v>
      </c>
      <c r="BX1766">
        <v>114.73</v>
      </c>
      <c r="BY1766">
        <v>114.73</v>
      </c>
      <c r="BZ1766">
        <v>7.74</v>
      </c>
      <c r="CA1766">
        <f>BZ1766*SQRT(AL1766)</f>
        <v>18.959050609141798</v>
      </c>
      <c r="CB1766">
        <v>26</v>
      </c>
      <c r="CC1766">
        <v>2</v>
      </c>
      <c r="CD1766">
        <v>2.8000000000000001E-2</v>
      </c>
      <c r="CE1766">
        <v>9.4000000000000004E-3</v>
      </c>
    </row>
    <row r="1767" spans="1:84" hidden="1" x14ac:dyDescent="0.2">
      <c r="D1767">
        <v>195</v>
      </c>
      <c r="G1767" t="s">
        <v>43</v>
      </c>
      <c r="H1767" t="s">
        <v>922</v>
      </c>
      <c r="J1767">
        <v>2015</v>
      </c>
      <c r="M1767" t="s">
        <v>308</v>
      </c>
      <c r="T1767" t="s">
        <v>103</v>
      </c>
      <c r="U1767" t="s">
        <v>228</v>
      </c>
      <c r="V1767" t="s">
        <v>925</v>
      </c>
      <c r="Z1767" t="s">
        <v>106</v>
      </c>
      <c r="AA1767" t="s">
        <v>107</v>
      </c>
      <c r="AB1767" t="s">
        <v>50</v>
      </c>
      <c r="AC1767" t="s">
        <v>51</v>
      </c>
      <c r="AD1767" t="s">
        <v>52</v>
      </c>
      <c r="AE1767" t="s">
        <v>53</v>
      </c>
      <c r="AF1767" t="s">
        <v>52</v>
      </c>
      <c r="AG1767" t="s">
        <v>52</v>
      </c>
      <c r="AH1767" t="s">
        <v>64</v>
      </c>
      <c r="AK1767">
        <v>6</v>
      </c>
      <c r="AL1767">
        <v>6</v>
      </c>
      <c r="AN1767">
        <v>442</v>
      </c>
      <c r="AO1767" t="s">
        <v>56</v>
      </c>
      <c r="AP1767">
        <v>14</v>
      </c>
      <c r="AQ1767" t="s">
        <v>57</v>
      </c>
      <c r="AR1767">
        <v>8.15</v>
      </c>
      <c r="AS1767" t="s">
        <v>56</v>
      </c>
      <c r="AT1767">
        <v>0.01</v>
      </c>
      <c r="AU1767">
        <v>1021</v>
      </c>
      <c r="AV1767" t="s">
        <v>56</v>
      </c>
      <c r="AW1767" t="s">
        <v>56</v>
      </c>
      <c r="AX1767">
        <v>7.84</v>
      </c>
      <c r="AY1767" t="s">
        <v>56</v>
      </c>
      <c r="AZ1767" t="s">
        <v>56</v>
      </c>
      <c r="BB1767">
        <f>LOG(AU1767)</f>
        <v>3.0090257420869104</v>
      </c>
      <c r="BC1767">
        <v>28</v>
      </c>
      <c r="BD1767" t="s">
        <v>56</v>
      </c>
      <c r="BE1767">
        <v>0.1</v>
      </c>
      <c r="BF1767">
        <v>31</v>
      </c>
      <c r="BG1767" t="s">
        <v>56</v>
      </c>
      <c r="BH1767" t="s">
        <v>56</v>
      </c>
      <c r="BI1767">
        <v>579</v>
      </c>
      <c r="BJ1767">
        <v>3</v>
      </c>
      <c r="BK1767" t="s">
        <v>924</v>
      </c>
      <c r="BL1767" t="s">
        <v>354</v>
      </c>
      <c r="BM1767" t="s">
        <v>354</v>
      </c>
      <c r="BN1767" t="s">
        <v>60</v>
      </c>
      <c r="BO1767" t="s">
        <v>900</v>
      </c>
      <c r="BP1767" t="s">
        <v>194</v>
      </c>
      <c r="BR1767" t="s">
        <v>63</v>
      </c>
      <c r="BT1767">
        <v>111.57</v>
      </c>
      <c r="BU1767">
        <v>111.57</v>
      </c>
      <c r="BV1767">
        <v>7.74</v>
      </c>
      <c r="BW1767">
        <f>BV1767*SQRT(AK1767)</f>
        <v>18.959050609141798</v>
      </c>
      <c r="BX1767">
        <v>118.95</v>
      </c>
      <c r="BY1767">
        <v>118.95</v>
      </c>
      <c r="BZ1767">
        <v>6.44</v>
      </c>
      <c r="CA1767">
        <f>BZ1767*SQRT(AL1767)</f>
        <v>15.774713943523667</v>
      </c>
      <c r="CB1767">
        <v>26</v>
      </c>
      <c r="CC1767">
        <v>2</v>
      </c>
      <c r="CD1767">
        <v>6.4000000000000001E-2</v>
      </c>
      <c r="CE1767">
        <v>7.7000000000000002E-3</v>
      </c>
    </row>
    <row r="1768" spans="1:84" hidden="1" x14ac:dyDescent="0.2">
      <c r="D1768">
        <v>195</v>
      </c>
      <c r="G1768" t="s">
        <v>43</v>
      </c>
      <c r="H1768" t="s">
        <v>922</v>
      </c>
      <c r="J1768">
        <v>2015</v>
      </c>
      <c r="M1768" t="s">
        <v>308</v>
      </c>
      <c r="T1768" t="s">
        <v>103</v>
      </c>
      <c r="U1768" t="s">
        <v>414</v>
      </c>
      <c r="V1768" t="s">
        <v>926</v>
      </c>
      <c r="Z1768" t="s">
        <v>106</v>
      </c>
      <c r="AA1768" t="s">
        <v>107</v>
      </c>
      <c r="AB1768" t="s">
        <v>50</v>
      </c>
      <c r="AC1768" t="s">
        <v>51</v>
      </c>
      <c r="AD1768" t="s">
        <v>52</v>
      </c>
      <c r="AE1768" t="s">
        <v>53</v>
      </c>
      <c r="AF1768" t="s">
        <v>52</v>
      </c>
      <c r="AG1768" t="s">
        <v>54</v>
      </c>
      <c r="AH1768" t="s">
        <v>55</v>
      </c>
      <c r="AK1768">
        <v>6</v>
      </c>
      <c r="AL1768">
        <v>6</v>
      </c>
      <c r="AN1768">
        <v>442</v>
      </c>
      <c r="AO1768" t="s">
        <v>56</v>
      </c>
      <c r="AP1768">
        <v>14</v>
      </c>
      <c r="AQ1768" t="s">
        <v>57</v>
      </c>
      <c r="AR1768">
        <v>8.15</v>
      </c>
      <c r="AS1768" t="s">
        <v>56</v>
      </c>
      <c r="AT1768">
        <v>0.01</v>
      </c>
      <c r="AU1768">
        <v>1025</v>
      </c>
      <c r="AV1768" t="s">
        <v>56</v>
      </c>
      <c r="AW1768" t="s">
        <v>56</v>
      </c>
      <c r="AX1768">
        <v>7.84</v>
      </c>
      <c r="AY1768" t="s">
        <v>56</v>
      </c>
      <c r="AZ1768" t="s">
        <v>56</v>
      </c>
      <c r="BB1768">
        <f>LOG(AU1768)</f>
        <v>3.0107238653917729</v>
      </c>
      <c r="BC1768">
        <v>28</v>
      </c>
      <c r="BD1768" t="s">
        <v>56</v>
      </c>
      <c r="BE1768">
        <v>0.1</v>
      </c>
      <c r="BF1768">
        <v>28</v>
      </c>
      <c r="BG1768" t="s">
        <v>56</v>
      </c>
      <c r="BH1768" t="s">
        <v>56</v>
      </c>
      <c r="BI1768">
        <v>583</v>
      </c>
      <c r="BJ1768">
        <v>0</v>
      </c>
      <c r="BK1768" t="s">
        <v>924</v>
      </c>
      <c r="BL1768" t="s">
        <v>354</v>
      </c>
      <c r="BM1768" t="s">
        <v>354</v>
      </c>
      <c r="BN1768" t="s">
        <v>60</v>
      </c>
      <c r="BO1768" t="s">
        <v>900</v>
      </c>
      <c r="BP1768" t="s">
        <v>194</v>
      </c>
      <c r="BR1768" t="s">
        <v>63</v>
      </c>
      <c r="BT1768">
        <v>64.97</v>
      </c>
      <c r="BU1768">
        <v>64.97</v>
      </c>
      <c r="BV1768">
        <v>5.35</v>
      </c>
      <c r="BW1768">
        <f>BV1768*SQRT(AK1768)</f>
        <v>13.104770123890001</v>
      </c>
      <c r="BX1768">
        <v>71.08</v>
      </c>
      <c r="BY1768">
        <v>71.08</v>
      </c>
      <c r="BZ1768">
        <v>6.24</v>
      </c>
      <c r="CA1768">
        <f>BZ1768*SQRT(AL1768)</f>
        <v>15.28481599496703</v>
      </c>
      <c r="CB1768">
        <v>26</v>
      </c>
      <c r="CC1768">
        <v>2</v>
      </c>
      <c r="CD1768">
        <v>0.09</v>
      </c>
      <c r="CE1768">
        <v>1.4500000000000001E-2</v>
      </c>
    </row>
    <row r="1769" spans="1:84" hidden="1" x14ac:dyDescent="0.2">
      <c r="D1769">
        <v>195</v>
      </c>
      <c r="G1769" t="s">
        <v>43</v>
      </c>
      <c r="H1769" t="s">
        <v>922</v>
      </c>
      <c r="J1769">
        <v>2015</v>
      </c>
      <c r="M1769" t="s">
        <v>308</v>
      </c>
      <c r="T1769" t="s">
        <v>103</v>
      </c>
      <c r="U1769" t="s">
        <v>414</v>
      </c>
      <c r="V1769" t="s">
        <v>926</v>
      </c>
      <c r="Z1769" t="s">
        <v>106</v>
      </c>
      <c r="AA1769" t="s">
        <v>107</v>
      </c>
      <c r="AB1769" t="s">
        <v>50</v>
      </c>
      <c r="AC1769" t="s">
        <v>51</v>
      </c>
      <c r="AD1769" t="s">
        <v>52</v>
      </c>
      <c r="AE1769" t="s">
        <v>53</v>
      </c>
      <c r="AF1769" t="s">
        <v>52</v>
      </c>
      <c r="AG1769" t="s">
        <v>52</v>
      </c>
      <c r="AH1769" t="s">
        <v>64</v>
      </c>
      <c r="AK1769">
        <v>6</v>
      </c>
      <c r="AL1769">
        <v>6</v>
      </c>
      <c r="AN1769">
        <v>442</v>
      </c>
      <c r="AO1769" t="s">
        <v>56</v>
      </c>
      <c r="AP1769">
        <v>14</v>
      </c>
      <c r="AQ1769" t="s">
        <v>57</v>
      </c>
      <c r="AR1769">
        <v>8.15</v>
      </c>
      <c r="AS1769" t="s">
        <v>56</v>
      </c>
      <c r="AT1769">
        <v>0.01</v>
      </c>
      <c r="AU1769">
        <v>1021</v>
      </c>
      <c r="AV1769" t="s">
        <v>56</v>
      </c>
      <c r="AW1769" t="s">
        <v>56</v>
      </c>
      <c r="AX1769">
        <v>7.84</v>
      </c>
      <c r="AY1769" t="s">
        <v>56</v>
      </c>
      <c r="AZ1769" t="s">
        <v>56</v>
      </c>
      <c r="BB1769">
        <f>LOG(AU1769)</f>
        <v>3.0090257420869104</v>
      </c>
      <c r="BC1769">
        <v>28</v>
      </c>
      <c r="BD1769" t="s">
        <v>56</v>
      </c>
      <c r="BE1769">
        <v>0.1</v>
      </c>
      <c r="BF1769">
        <v>31</v>
      </c>
      <c r="BG1769" t="s">
        <v>56</v>
      </c>
      <c r="BH1769" t="s">
        <v>56</v>
      </c>
      <c r="BI1769">
        <v>579</v>
      </c>
      <c r="BJ1769">
        <v>3</v>
      </c>
      <c r="BK1769" t="s">
        <v>924</v>
      </c>
      <c r="BL1769" t="s">
        <v>354</v>
      </c>
      <c r="BM1769" t="s">
        <v>354</v>
      </c>
      <c r="BN1769" t="s">
        <v>60</v>
      </c>
      <c r="BO1769" t="s">
        <v>900</v>
      </c>
      <c r="BP1769" t="s">
        <v>194</v>
      </c>
      <c r="BR1769" t="s">
        <v>63</v>
      </c>
      <c r="BT1769">
        <v>64.97</v>
      </c>
      <c r="BU1769">
        <v>64.97</v>
      </c>
      <c r="BV1769">
        <v>5.35</v>
      </c>
      <c r="BW1769">
        <f>BV1769*SQRT(AK1769)</f>
        <v>13.104770123890001</v>
      </c>
      <c r="BX1769">
        <v>74.91</v>
      </c>
      <c r="BY1769">
        <v>74.91</v>
      </c>
      <c r="BZ1769">
        <v>5.61</v>
      </c>
      <c r="CA1769">
        <f>BZ1769*SQRT(AL1769)</f>
        <v>13.741637457013629</v>
      </c>
      <c r="CB1769">
        <v>26</v>
      </c>
      <c r="CC1769">
        <v>2</v>
      </c>
      <c r="CD1769">
        <v>0.14199999999999999</v>
      </c>
      <c r="CE1769">
        <v>1.24E-2</v>
      </c>
    </row>
    <row r="1770" spans="1:84" hidden="1" x14ac:dyDescent="0.2">
      <c r="D1770">
        <v>195</v>
      </c>
      <c r="G1770" t="s">
        <v>43</v>
      </c>
      <c r="H1770" t="s">
        <v>922</v>
      </c>
      <c r="J1770">
        <v>2015</v>
      </c>
      <c r="M1770" t="s">
        <v>308</v>
      </c>
      <c r="T1770" t="s">
        <v>103</v>
      </c>
      <c r="U1770" t="s">
        <v>228</v>
      </c>
      <c r="V1770" t="s">
        <v>925</v>
      </c>
      <c r="Z1770" t="s">
        <v>106</v>
      </c>
      <c r="AA1770" t="s">
        <v>107</v>
      </c>
      <c r="AB1770" t="s">
        <v>50</v>
      </c>
      <c r="AC1770" t="s">
        <v>51</v>
      </c>
      <c r="AD1770" t="s">
        <v>52</v>
      </c>
      <c r="AE1770" t="s">
        <v>53</v>
      </c>
      <c r="AF1770" t="s">
        <v>52</v>
      </c>
      <c r="AG1770" t="s">
        <v>54</v>
      </c>
      <c r="AH1770" t="s">
        <v>55</v>
      </c>
      <c r="AK1770">
        <v>6</v>
      </c>
      <c r="AL1770">
        <v>6</v>
      </c>
      <c r="AN1770">
        <v>442</v>
      </c>
      <c r="AO1770" t="s">
        <v>56</v>
      </c>
      <c r="AP1770">
        <v>14</v>
      </c>
      <c r="AQ1770" t="s">
        <v>57</v>
      </c>
      <c r="AR1770">
        <v>8.15</v>
      </c>
      <c r="AS1770" t="s">
        <v>56</v>
      </c>
      <c r="AT1770">
        <v>0.01</v>
      </c>
      <c r="AU1770">
        <v>1025</v>
      </c>
      <c r="AV1770" t="s">
        <v>56</v>
      </c>
      <c r="AW1770" t="s">
        <v>56</v>
      </c>
      <c r="AX1770">
        <v>7.84</v>
      </c>
      <c r="AY1770" t="s">
        <v>56</v>
      </c>
      <c r="AZ1770" t="s">
        <v>56</v>
      </c>
      <c r="BB1770">
        <f>LOG(AU1770)</f>
        <v>3.0107238653917729</v>
      </c>
      <c r="BC1770">
        <v>28</v>
      </c>
      <c r="BD1770" t="s">
        <v>56</v>
      </c>
      <c r="BE1770">
        <v>0.1</v>
      </c>
      <c r="BF1770">
        <v>28</v>
      </c>
      <c r="BG1770" t="s">
        <v>56</v>
      </c>
      <c r="BH1770" t="s">
        <v>56</v>
      </c>
      <c r="BI1770">
        <v>583</v>
      </c>
      <c r="BJ1770">
        <v>0</v>
      </c>
      <c r="BK1770" t="s">
        <v>924</v>
      </c>
      <c r="BL1770" t="s">
        <v>354</v>
      </c>
      <c r="BM1770" t="s">
        <v>354</v>
      </c>
      <c r="BN1770" t="s">
        <v>60</v>
      </c>
      <c r="BO1770" t="s">
        <v>900</v>
      </c>
      <c r="BP1770" t="s">
        <v>194</v>
      </c>
      <c r="BR1770" t="s">
        <v>63</v>
      </c>
      <c r="BT1770">
        <v>111.57</v>
      </c>
      <c r="BU1770">
        <v>111.57</v>
      </c>
      <c r="BV1770">
        <v>7.74</v>
      </c>
      <c r="BW1770">
        <f>BV1770*SQRT(AK1770)</f>
        <v>18.959050609141798</v>
      </c>
      <c r="BX1770">
        <v>129.47</v>
      </c>
      <c r="BY1770">
        <v>129.47</v>
      </c>
      <c r="BZ1770">
        <v>8.6</v>
      </c>
      <c r="CA1770">
        <f>BZ1770*SQRT(AL1770)</f>
        <v>21.065611787935328</v>
      </c>
      <c r="CB1770">
        <v>26</v>
      </c>
      <c r="CC1770">
        <v>2</v>
      </c>
      <c r="CD1770">
        <v>0.14899999999999999</v>
      </c>
      <c r="CE1770">
        <v>9.1999999999999998E-3</v>
      </c>
    </row>
    <row r="1771" spans="1:84" hidden="1" x14ac:dyDescent="0.2">
      <c r="D1771">
        <v>195</v>
      </c>
      <c r="G1771" t="s">
        <v>43</v>
      </c>
      <c r="H1771" t="s">
        <v>922</v>
      </c>
      <c r="J1771">
        <v>2015</v>
      </c>
      <c r="M1771" t="s">
        <v>308</v>
      </c>
      <c r="T1771" t="s">
        <v>103</v>
      </c>
      <c r="U1771" t="s">
        <v>414</v>
      </c>
      <c r="V1771" t="s">
        <v>926</v>
      </c>
      <c r="Z1771" t="s">
        <v>106</v>
      </c>
      <c r="AA1771" t="s">
        <v>107</v>
      </c>
      <c r="AB1771" t="s">
        <v>50</v>
      </c>
      <c r="AC1771" t="s">
        <v>51</v>
      </c>
      <c r="AD1771" t="s">
        <v>52</v>
      </c>
      <c r="AE1771" t="s">
        <v>53</v>
      </c>
      <c r="AF1771" t="s">
        <v>54</v>
      </c>
      <c r="AG1771" t="s">
        <v>52</v>
      </c>
      <c r="AH1771" t="s">
        <v>65</v>
      </c>
      <c r="AK1771">
        <v>6</v>
      </c>
      <c r="AL1771">
        <v>6</v>
      </c>
      <c r="AN1771">
        <v>442</v>
      </c>
      <c r="AO1771" t="s">
        <v>56</v>
      </c>
      <c r="AP1771">
        <v>14</v>
      </c>
      <c r="AQ1771" t="s">
        <v>57</v>
      </c>
      <c r="AR1771">
        <v>8.15</v>
      </c>
      <c r="AS1771" t="s">
        <v>56</v>
      </c>
      <c r="AT1771">
        <v>0.01</v>
      </c>
      <c r="AU1771">
        <v>442</v>
      </c>
      <c r="AV1771" t="s">
        <v>56</v>
      </c>
      <c r="AW1771" t="s">
        <v>56</v>
      </c>
      <c r="AX1771">
        <v>8.15</v>
      </c>
      <c r="AY1771" t="s">
        <v>56</v>
      </c>
      <c r="AZ1771" t="s">
        <v>56</v>
      </c>
      <c r="BB1771">
        <f>LOG(AU1771)</f>
        <v>2.6454222693490919</v>
      </c>
      <c r="BC1771">
        <v>28</v>
      </c>
      <c r="BD1771" t="s">
        <v>56</v>
      </c>
      <c r="BE1771">
        <v>0.1</v>
      </c>
      <c r="BF1771">
        <v>31</v>
      </c>
      <c r="BG1771" t="s">
        <v>56</v>
      </c>
      <c r="BH1771" t="s">
        <v>56</v>
      </c>
      <c r="BI1771">
        <v>0</v>
      </c>
      <c r="BJ1771">
        <v>3</v>
      </c>
      <c r="BK1771" t="s">
        <v>924</v>
      </c>
      <c r="BL1771" t="s">
        <v>354</v>
      </c>
      <c r="BM1771" t="s">
        <v>354</v>
      </c>
      <c r="BN1771" t="s">
        <v>60</v>
      </c>
      <c r="BO1771" t="s">
        <v>900</v>
      </c>
      <c r="BP1771" t="s">
        <v>194</v>
      </c>
      <c r="BR1771" t="s">
        <v>63</v>
      </c>
      <c r="BT1771">
        <v>64.97</v>
      </c>
      <c r="BU1771">
        <v>64.97</v>
      </c>
      <c r="BV1771">
        <v>5.35</v>
      </c>
      <c r="BW1771">
        <f>BV1771*SQRT(AK1771)</f>
        <v>13.104770123890001</v>
      </c>
      <c r="BX1771">
        <v>76.430000000000007</v>
      </c>
      <c r="BY1771">
        <v>76.430000000000007</v>
      </c>
      <c r="BZ1771">
        <v>7.18</v>
      </c>
      <c r="CA1771">
        <f>BZ1771*SQRT(AL1771)</f>
        <v>17.587336353183215</v>
      </c>
      <c r="CB1771">
        <v>26</v>
      </c>
      <c r="CC1771">
        <v>2</v>
      </c>
      <c r="CD1771">
        <v>0.16200000000000001</v>
      </c>
      <c r="CE1771">
        <v>1.5599999999999999E-2</v>
      </c>
    </row>
    <row r="1772" spans="1:84" hidden="1" x14ac:dyDescent="0.2">
      <c r="D1772">
        <v>196</v>
      </c>
      <c r="G1772" t="s">
        <v>43</v>
      </c>
      <c r="H1772" t="s">
        <v>928</v>
      </c>
      <c r="J1772">
        <v>2014</v>
      </c>
      <c r="M1772" t="s">
        <v>67</v>
      </c>
      <c r="T1772" t="s">
        <v>103</v>
      </c>
      <c r="U1772" t="s">
        <v>777</v>
      </c>
      <c r="V1772" t="s">
        <v>778</v>
      </c>
      <c r="Z1772" t="s">
        <v>49</v>
      </c>
      <c r="AA1772" t="s">
        <v>49</v>
      </c>
      <c r="AB1772" t="s">
        <v>50</v>
      </c>
      <c r="AC1772" t="s">
        <v>51</v>
      </c>
      <c r="AD1772" t="s">
        <v>52</v>
      </c>
      <c r="AE1772" t="s">
        <v>53</v>
      </c>
      <c r="AF1772" t="s">
        <v>52</v>
      </c>
      <c r="AG1772" t="s">
        <v>52</v>
      </c>
      <c r="AH1772" t="s">
        <v>64</v>
      </c>
      <c r="AK1772">
        <v>5</v>
      </c>
      <c r="AL1772">
        <v>4</v>
      </c>
      <c r="AN1772">
        <v>396</v>
      </c>
      <c r="AO1772">
        <v>2</v>
      </c>
      <c r="AP1772" t="s">
        <v>56</v>
      </c>
      <c r="AQ1772" t="s">
        <v>109</v>
      </c>
      <c r="AR1772">
        <v>8.0299999999999994</v>
      </c>
      <c r="AS1772">
        <v>0.01</v>
      </c>
      <c r="AT1772" t="s">
        <v>56</v>
      </c>
      <c r="AU1772">
        <v>817</v>
      </c>
      <c r="AV1772">
        <v>2</v>
      </c>
      <c r="AW1772" t="s">
        <v>56</v>
      </c>
      <c r="AX1772">
        <v>7.76</v>
      </c>
      <c r="AY1772">
        <v>0</v>
      </c>
      <c r="AZ1772" t="s">
        <v>56</v>
      </c>
      <c r="BB1772">
        <f>LOG(AU1772)</f>
        <v>2.9122220565324155</v>
      </c>
      <c r="BC1772">
        <v>9.1</v>
      </c>
      <c r="BD1772">
        <v>0</v>
      </c>
      <c r="BE1772" t="s">
        <v>56</v>
      </c>
      <c r="BF1772">
        <v>12.3</v>
      </c>
      <c r="BG1772">
        <v>0</v>
      </c>
      <c r="BH1772" t="s">
        <v>56</v>
      </c>
      <c r="BI1772">
        <v>421</v>
      </c>
      <c r="BJ1772">
        <v>3.2</v>
      </c>
      <c r="BK1772" t="s">
        <v>56</v>
      </c>
      <c r="BL1772" t="s">
        <v>929</v>
      </c>
      <c r="BM1772" t="s">
        <v>930</v>
      </c>
      <c r="BN1772" t="s">
        <v>60</v>
      </c>
      <c r="BO1772" t="s">
        <v>931</v>
      </c>
      <c r="BP1772" t="s">
        <v>194</v>
      </c>
      <c r="BR1772" t="s">
        <v>63</v>
      </c>
      <c r="BT1772">
        <v>16.059999999999999</v>
      </c>
      <c r="BU1772">
        <v>16.059999999999999</v>
      </c>
      <c r="BV1772">
        <v>3.21</v>
      </c>
      <c r="BW1772">
        <f>BV1772*SQRT(AK1772)</f>
        <v>7.1777782077743248</v>
      </c>
      <c r="BX1772">
        <v>20.329999999999998</v>
      </c>
      <c r="BY1772">
        <v>20.329999999999998</v>
      </c>
      <c r="BZ1772">
        <v>7.33</v>
      </c>
      <c r="CA1772">
        <f>BZ1772*SQRT(AL1772)</f>
        <v>14.66</v>
      </c>
      <c r="CB1772">
        <v>10</v>
      </c>
      <c r="CC1772">
        <v>1</v>
      </c>
      <c r="CD1772">
        <v>0.23599999999999999</v>
      </c>
      <c r="CE1772">
        <v>0.1699</v>
      </c>
    </row>
    <row r="1773" spans="1:84" hidden="1" x14ac:dyDescent="0.2">
      <c r="D1773">
        <v>196</v>
      </c>
      <c r="G1773" t="s">
        <v>43</v>
      </c>
      <c r="H1773" t="s">
        <v>928</v>
      </c>
      <c r="J1773">
        <v>2014</v>
      </c>
      <c r="M1773" t="s">
        <v>67</v>
      </c>
      <c r="T1773" t="s">
        <v>103</v>
      </c>
      <c r="U1773" t="s">
        <v>777</v>
      </c>
      <c r="V1773" t="s">
        <v>778</v>
      </c>
      <c r="Z1773" t="s">
        <v>49</v>
      </c>
      <c r="AA1773" t="s">
        <v>49</v>
      </c>
      <c r="AB1773" t="s">
        <v>50</v>
      </c>
      <c r="AC1773" t="s">
        <v>51</v>
      </c>
      <c r="AD1773" t="s">
        <v>52</v>
      </c>
      <c r="AE1773" t="s">
        <v>53</v>
      </c>
      <c r="AF1773" t="s">
        <v>54</v>
      </c>
      <c r="AG1773" t="s">
        <v>52</v>
      </c>
      <c r="AH1773" t="s">
        <v>65</v>
      </c>
      <c r="AK1773">
        <v>5</v>
      </c>
      <c r="AL1773">
        <v>5</v>
      </c>
      <c r="AN1773">
        <v>396</v>
      </c>
      <c r="AO1773">
        <v>2</v>
      </c>
      <c r="AP1773" t="s">
        <v>56</v>
      </c>
      <c r="AQ1773" t="s">
        <v>109</v>
      </c>
      <c r="AR1773">
        <v>8.0299999999999994</v>
      </c>
      <c r="AS1773">
        <v>0.01</v>
      </c>
      <c r="AT1773" t="s">
        <v>56</v>
      </c>
      <c r="AU1773">
        <v>396</v>
      </c>
      <c r="AV1773">
        <v>2</v>
      </c>
      <c r="AW1773" t="s">
        <v>56</v>
      </c>
      <c r="AX1773">
        <v>8.02</v>
      </c>
      <c r="AY1773">
        <v>0.01</v>
      </c>
      <c r="AZ1773" t="s">
        <v>56</v>
      </c>
      <c r="BB1773">
        <f>LOG(AU1773)</f>
        <v>2.5976951859255122</v>
      </c>
      <c r="BC1773">
        <v>9.1</v>
      </c>
      <c r="BD1773">
        <v>0</v>
      </c>
      <c r="BE1773" t="s">
        <v>56</v>
      </c>
      <c r="BF1773">
        <v>12.3</v>
      </c>
      <c r="BG1773">
        <v>0.1</v>
      </c>
      <c r="BH1773" t="s">
        <v>56</v>
      </c>
      <c r="BI1773">
        <v>0</v>
      </c>
      <c r="BJ1773">
        <v>3.2</v>
      </c>
      <c r="BK1773" t="s">
        <v>56</v>
      </c>
      <c r="BL1773" t="s">
        <v>929</v>
      </c>
      <c r="BM1773" t="s">
        <v>930</v>
      </c>
      <c r="BN1773" t="s">
        <v>60</v>
      </c>
      <c r="BO1773" t="s">
        <v>931</v>
      </c>
      <c r="BP1773" t="s">
        <v>194</v>
      </c>
      <c r="BR1773" t="s">
        <v>63</v>
      </c>
      <c r="BT1773">
        <v>16.059999999999999</v>
      </c>
      <c r="BU1773">
        <v>16.059999999999999</v>
      </c>
      <c r="BV1773">
        <v>3.21</v>
      </c>
      <c r="BW1773">
        <f>BV1773*SQRT(AK1773)</f>
        <v>7.1777782077743248</v>
      </c>
      <c r="BX1773">
        <v>22.58</v>
      </c>
      <c r="BY1773">
        <v>22.58</v>
      </c>
      <c r="BZ1773">
        <v>2.96</v>
      </c>
      <c r="CA1773">
        <f>BZ1773*SQRT(AL1773)</f>
        <v>6.6187612133993774</v>
      </c>
      <c r="CB1773">
        <v>10</v>
      </c>
      <c r="CC1773">
        <v>1</v>
      </c>
      <c r="CD1773">
        <v>0.34100000000000003</v>
      </c>
      <c r="CE1773">
        <v>5.7099999999999998E-2</v>
      </c>
    </row>
    <row r="1774" spans="1:84" hidden="1" x14ac:dyDescent="0.2">
      <c r="D1774">
        <v>196</v>
      </c>
      <c r="G1774" t="s">
        <v>43</v>
      </c>
      <c r="H1774" t="s">
        <v>928</v>
      </c>
      <c r="J1774">
        <v>2014</v>
      </c>
      <c r="M1774" t="s">
        <v>67</v>
      </c>
      <c r="T1774" t="s">
        <v>103</v>
      </c>
      <c r="U1774" t="s">
        <v>777</v>
      </c>
      <c r="V1774" t="s">
        <v>778</v>
      </c>
      <c r="Z1774" t="s">
        <v>49</v>
      </c>
      <c r="AA1774" t="s">
        <v>49</v>
      </c>
      <c r="AB1774" t="s">
        <v>50</v>
      </c>
      <c r="AC1774" t="s">
        <v>51</v>
      </c>
      <c r="AD1774" t="s">
        <v>52</v>
      </c>
      <c r="AE1774" t="s">
        <v>53</v>
      </c>
      <c r="AF1774" t="s">
        <v>52</v>
      </c>
      <c r="AG1774" t="s">
        <v>54</v>
      </c>
      <c r="AH1774" t="s">
        <v>55</v>
      </c>
      <c r="AK1774">
        <v>5</v>
      </c>
      <c r="AL1774">
        <v>5</v>
      </c>
      <c r="AN1774">
        <v>396</v>
      </c>
      <c r="AO1774">
        <v>2</v>
      </c>
      <c r="AP1774" t="s">
        <v>56</v>
      </c>
      <c r="AQ1774" t="s">
        <v>109</v>
      </c>
      <c r="AR1774">
        <v>8.0299999999999994</v>
      </c>
      <c r="AS1774">
        <v>0.01</v>
      </c>
      <c r="AT1774" t="s">
        <v>56</v>
      </c>
      <c r="AU1774">
        <v>817</v>
      </c>
      <c r="AV1774">
        <v>2</v>
      </c>
      <c r="AW1774" t="s">
        <v>56</v>
      </c>
      <c r="AX1774">
        <v>7.76</v>
      </c>
      <c r="AY1774">
        <v>0</v>
      </c>
      <c r="AZ1774" t="s">
        <v>56</v>
      </c>
      <c r="BB1774">
        <f>LOG(AU1774)</f>
        <v>2.9122220565324155</v>
      </c>
      <c r="BC1774">
        <v>9.1</v>
      </c>
      <c r="BD1774">
        <v>0</v>
      </c>
      <c r="BE1774" t="s">
        <v>56</v>
      </c>
      <c r="BF1774">
        <v>8.9</v>
      </c>
      <c r="BG1774">
        <v>0.1</v>
      </c>
      <c r="BH1774" t="s">
        <v>56</v>
      </c>
      <c r="BI1774">
        <v>421</v>
      </c>
      <c r="BJ1774">
        <v>-0.2</v>
      </c>
      <c r="BK1774" t="s">
        <v>56</v>
      </c>
      <c r="BL1774" t="s">
        <v>929</v>
      </c>
      <c r="BM1774" t="s">
        <v>930</v>
      </c>
      <c r="BN1774" t="s">
        <v>60</v>
      </c>
      <c r="BO1774" t="s">
        <v>931</v>
      </c>
      <c r="BP1774" t="s">
        <v>194</v>
      </c>
      <c r="BR1774" t="s">
        <v>63</v>
      </c>
      <c r="BT1774">
        <v>16.059999999999999</v>
      </c>
      <c r="BU1774">
        <v>16.059999999999999</v>
      </c>
      <c r="BV1774">
        <v>3.21</v>
      </c>
      <c r="BW1774">
        <f>BV1774*SQRT(AK1774)</f>
        <v>7.1777782077743248</v>
      </c>
      <c r="BX1774">
        <v>35.409999999999997</v>
      </c>
      <c r="BY1774">
        <v>35.409999999999997</v>
      </c>
      <c r="BZ1774">
        <v>6.94</v>
      </c>
      <c r="CA1774">
        <f>BZ1774*SQRT(AL1774)</f>
        <v>15.518311763848542</v>
      </c>
      <c r="CB1774">
        <v>10</v>
      </c>
      <c r="CC1774">
        <v>1</v>
      </c>
      <c r="CD1774">
        <v>0.79100000000000004</v>
      </c>
      <c r="CE1774">
        <v>7.8399999999999997E-2</v>
      </c>
    </row>
    <row r="1775" spans="1:84" s="8" customFormat="1" hidden="1" x14ac:dyDescent="0.2">
      <c r="A1775"/>
      <c r="B1775" t="str">
        <f>ROW()-1&amp;"_AltersInvert"</f>
        <v>1774_AltersInvert</v>
      </c>
      <c r="C1775" t="str">
        <f>D1775&amp;"_"&amp;
SUBSTITUTE(TRIM(V1775)," ","_")&amp;"_"&amp;
TRIM(AC1775)&amp;"_"&amp;
"CO2"&amp;TEXT(AN1775,"0.00")&amp;"_"&amp;
"pH"&amp;TEXT(AR1775,"0.00")&amp;"_"&amp;
"T"&amp;TEXT(BC1775,"0.##")</f>
        <v>36_Porites_panamensis_POSTLARVA_CO2546.00_pH8.08_T28.9</v>
      </c>
      <c r="D1775">
        <v>36</v>
      </c>
      <c r="E1775"/>
      <c r="F1775"/>
      <c r="G1775" t="s">
        <v>43</v>
      </c>
      <c r="H1775" t="s">
        <v>413</v>
      </c>
      <c r="I1775"/>
      <c r="J1775">
        <v>2011</v>
      </c>
      <c r="K1775"/>
      <c r="L1775"/>
      <c r="M1775" t="s">
        <v>45</v>
      </c>
      <c r="N1775"/>
      <c r="O1775"/>
      <c r="P1775" t="s">
        <v>1135</v>
      </c>
      <c r="Q1775"/>
      <c r="R1775" t="s">
        <v>1127</v>
      </c>
      <c r="S1775" t="s">
        <v>1128</v>
      </c>
      <c r="T1775" t="s">
        <v>103</v>
      </c>
      <c r="U1775" t="s">
        <v>414</v>
      </c>
      <c r="V1775" t="s">
        <v>415</v>
      </c>
      <c r="W1775"/>
      <c r="X1775"/>
      <c r="Y1775"/>
      <c r="Z1775" t="s">
        <v>106</v>
      </c>
      <c r="AA1775" t="s">
        <v>107</v>
      </c>
      <c r="AB1775" t="s">
        <v>50</v>
      </c>
      <c r="AC1775" t="s">
        <v>416</v>
      </c>
      <c r="AD1775" t="s">
        <v>52</v>
      </c>
      <c r="AE1775" t="s">
        <v>53</v>
      </c>
      <c r="AF1775" t="s">
        <v>54</v>
      </c>
      <c r="AG1775" t="s">
        <v>52</v>
      </c>
      <c r="AH1775" t="s">
        <v>65</v>
      </c>
      <c r="AI1775"/>
      <c r="AJ1775"/>
      <c r="AK1775">
        <v>27</v>
      </c>
      <c r="AL1775">
        <v>5</v>
      </c>
      <c r="AM1775"/>
      <c r="AN1775">
        <v>546</v>
      </c>
      <c r="AO1775" t="s">
        <v>56</v>
      </c>
      <c r="AP1775">
        <v>83</v>
      </c>
      <c r="AQ1775" t="s">
        <v>57</v>
      </c>
      <c r="AR1775">
        <v>8.08</v>
      </c>
      <c r="AS1775" t="s">
        <v>56</v>
      </c>
      <c r="AT1775" t="s">
        <v>56</v>
      </c>
      <c r="AU1775">
        <v>540</v>
      </c>
      <c r="AV1775" t="s">
        <v>56</v>
      </c>
      <c r="AW1775">
        <v>85</v>
      </c>
      <c r="AX1775">
        <v>8.0399999999999991</v>
      </c>
      <c r="AY1775" t="s">
        <v>56</v>
      </c>
      <c r="AZ1775" t="s">
        <v>56</v>
      </c>
      <c r="BA1775"/>
      <c r="BB1775">
        <f>LOG(AU1775)</f>
        <v>2.7323937598229686</v>
      </c>
      <c r="BC1775">
        <v>28.9</v>
      </c>
      <c r="BD1775" t="s">
        <v>56</v>
      </c>
      <c r="BE1775" t="s">
        <v>56</v>
      </c>
      <c r="BF1775">
        <v>29.9</v>
      </c>
      <c r="BG1775" t="s">
        <v>56</v>
      </c>
      <c r="BH1775" t="s">
        <v>56</v>
      </c>
      <c r="BI1775">
        <v>-6</v>
      </c>
      <c r="BJ1775">
        <v>1</v>
      </c>
      <c r="BK1775" t="s">
        <v>56</v>
      </c>
      <c r="BL1775" t="s">
        <v>417</v>
      </c>
      <c r="BM1775" t="s">
        <v>253</v>
      </c>
      <c r="BN1775" t="s">
        <v>81</v>
      </c>
      <c r="BO1775" t="s">
        <v>418</v>
      </c>
      <c r="BP1775" t="s">
        <v>92</v>
      </c>
      <c r="BQ1775" t="s">
        <v>92</v>
      </c>
      <c r="BR1775" t="s">
        <v>63</v>
      </c>
      <c r="BS1775"/>
      <c r="BT1775">
        <v>18.600000000000001</v>
      </c>
      <c r="BU1775">
        <v>18.600000000000001</v>
      </c>
      <c r="BV1775">
        <v>1.8</v>
      </c>
      <c r="BW1775">
        <f>BV1775*SQRT(AK1775)</f>
        <v>9.353074360871938</v>
      </c>
      <c r="BX1775">
        <v>14</v>
      </c>
      <c r="BY1775">
        <v>14</v>
      </c>
      <c r="BZ1775">
        <v>1</v>
      </c>
      <c r="CA1775">
        <f>BZ1775*SQRT(AL1775)</f>
        <v>2.2360679774997898</v>
      </c>
      <c r="CB1775">
        <v>5</v>
      </c>
      <c r="CC1775">
        <v>5</v>
      </c>
      <c r="CD1775">
        <v>-0.28399999999999997</v>
      </c>
      <c r="CE1775">
        <v>1.4500000000000001E-2</v>
      </c>
      <c r="CF1775"/>
    </row>
    <row r="1776" spans="1:84" s="8" customFormat="1" hidden="1" x14ac:dyDescent="0.2">
      <c r="A1776"/>
      <c r="B1776" t="str">
        <f>ROW()-1&amp;"_AltersInvert"</f>
        <v>1775_AltersInvert</v>
      </c>
      <c r="C1776" t="str">
        <f>D1776&amp;"_"&amp;
SUBSTITUTE(TRIM(V1776)," ","_")&amp;"_"&amp;
TRIM(AC1776)&amp;"_"&amp;
"CO2"&amp;TEXT(AN1776,"0.00")&amp;"_"&amp;
"pH"&amp;TEXT(AR1776,"0.00")&amp;"_"&amp;
"T"&amp;TEXT(BC1776,"0.##")</f>
        <v>36_Porites_panamensis_POSTLARVA_CO2546.00_pH8.08_T28.9</v>
      </c>
      <c r="D1776">
        <v>36</v>
      </c>
      <c r="E1776"/>
      <c r="F1776"/>
      <c r="G1776" t="s">
        <v>43</v>
      </c>
      <c r="H1776" t="s">
        <v>413</v>
      </c>
      <c r="I1776"/>
      <c r="J1776">
        <v>2011</v>
      </c>
      <c r="K1776"/>
      <c r="L1776"/>
      <c r="M1776" t="s">
        <v>45</v>
      </c>
      <c r="N1776"/>
      <c r="O1776"/>
      <c r="P1776" t="s">
        <v>1135</v>
      </c>
      <c r="Q1776"/>
      <c r="R1776" t="s">
        <v>1127</v>
      </c>
      <c r="S1776" t="s">
        <v>1128</v>
      </c>
      <c r="T1776" t="s">
        <v>103</v>
      </c>
      <c r="U1776" t="s">
        <v>414</v>
      </c>
      <c r="V1776" t="s">
        <v>415</v>
      </c>
      <c r="W1776"/>
      <c r="X1776"/>
      <c r="Y1776"/>
      <c r="Z1776" t="s">
        <v>106</v>
      </c>
      <c r="AA1776" t="s">
        <v>107</v>
      </c>
      <c r="AB1776" t="s">
        <v>50</v>
      </c>
      <c r="AC1776" t="s">
        <v>416</v>
      </c>
      <c r="AD1776" t="s">
        <v>52</v>
      </c>
      <c r="AE1776" t="s">
        <v>53</v>
      </c>
      <c r="AF1776" t="s">
        <v>52</v>
      </c>
      <c r="AG1776" t="s">
        <v>52</v>
      </c>
      <c r="AH1776" t="s">
        <v>64</v>
      </c>
      <c r="AI1776"/>
      <c r="AJ1776"/>
      <c r="AK1776">
        <v>27</v>
      </c>
      <c r="AL1776">
        <v>5</v>
      </c>
      <c r="AM1776"/>
      <c r="AN1776">
        <v>546</v>
      </c>
      <c r="AO1776" t="s">
        <v>56</v>
      </c>
      <c r="AP1776">
        <v>83</v>
      </c>
      <c r="AQ1776" t="s">
        <v>57</v>
      </c>
      <c r="AR1776">
        <v>8.08</v>
      </c>
      <c r="AS1776" t="s">
        <v>56</v>
      </c>
      <c r="AT1776" t="s">
        <v>56</v>
      </c>
      <c r="AU1776">
        <v>1006</v>
      </c>
      <c r="AV1776" t="s">
        <v>56</v>
      </c>
      <c r="AW1776">
        <v>140</v>
      </c>
      <c r="AX1776">
        <v>7.81</v>
      </c>
      <c r="AY1776" t="s">
        <v>56</v>
      </c>
      <c r="AZ1776" t="s">
        <v>56</v>
      </c>
      <c r="BA1776"/>
      <c r="BB1776">
        <f>LOG(AU1776)</f>
        <v>3.0025979807199086</v>
      </c>
      <c r="BC1776">
        <v>28.9</v>
      </c>
      <c r="BD1776" t="s">
        <v>56</v>
      </c>
      <c r="BE1776" t="s">
        <v>56</v>
      </c>
      <c r="BF1776">
        <v>29.9</v>
      </c>
      <c r="BG1776" t="s">
        <v>56</v>
      </c>
      <c r="BH1776" t="s">
        <v>56</v>
      </c>
      <c r="BI1776">
        <v>460</v>
      </c>
      <c r="BJ1776">
        <v>1</v>
      </c>
      <c r="BK1776" t="s">
        <v>56</v>
      </c>
      <c r="BL1776" t="s">
        <v>417</v>
      </c>
      <c r="BM1776" t="s">
        <v>253</v>
      </c>
      <c r="BN1776" t="s">
        <v>81</v>
      </c>
      <c r="BO1776" t="s">
        <v>418</v>
      </c>
      <c r="BP1776" t="s">
        <v>92</v>
      </c>
      <c r="BQ1776" t="s">
        <v>92</v>
      </c>
      <c r="BR1776" t="s">
        <v>63</v>
      </c>
      <c r="BS1776"/>
      <c r="BT1776">
        <v>18.600000000000001</v>
      </c>
      <c r="BU1776">
        <v>18.600000000000001</v>
      </c>
      <c r="BV1776">
        <v>1.8</v>
      </c>
      <c r="BW1776">
        <f>BV1776*SQRT(AK1776)</f>
        <v>9.353074360871938</v>
      </c>
      <c r="BX1776">
        <v>10.199999999999999</v>
      </c>
      <c r="BY1776">
        <v>10.199999999999999</v>
      </c>
      <c r="BZ1776">
        <v>1.4</v>
      </c>
      <c r="CA1776">
        <f>BZ1776*SQRT(AL1776)</f>
        <v>3.1304951684997055</v>
      </c>
      <c r="CB1776">
        <v>14</v>
      </c>
      <c r="CC1776">
        <v>5</v>
      </c>
      <c r="CD1776">
        <v>-0.60099999999999998</v>
      </c>
      <c r="CE1776">
        <v>2.8199999999999999E-2</v>
      </c>
      <c r="CF1776"/>
    </row>
    <row r="1777" spans="1:84" s="8" customFormat="1" hidden="1" x14ac:dyDescent="0.2">
      <c r="A1777"/>
      <c r="B1777" t="str">
        <f>ROW()-1&amp;"_AltersInvert"</f>
        <v>1776_AltersInvert</v>
      </c>
      <c r="C1777" t="str">
        <f>D1777&amp;"_"&amp;
SUBSTITUTE(TRIM(V1777)," ","_")&amp;"_"&amp;
TRIM(AC1777)&amp;"_"&amp;
"CO2"&amp;TEXT(AN1777,"0.00")&amp;"_"&amp;
"pH"&amp;TEXT(AR1777,"0.00")&amp;"_"&amp;
"T"&amp;TEXT(BC1777,"0.##")</f>
        <v>191_Pandalus_Borealis_LARVA_CO2406.00_pH8.11_T6.7</v>
      </c>
      <c r="D1777">
        <v>191</v>
      </c>
      <c r="E1777"/>
      <c r="F1777"/>
      <c r="G1777" t="s">
        <v>43</v>
      </c>
      <c r="H1777" t="s">
        <v>901</v>
      </c>
      <c r="I1777"/>
      <c r="J1777">
        <v>2013</v>
      </c>
      <c r="K1777"/>
      <c r="L1777"/>
      <c r="M1777" t="s">
        <v>67</v>
      </c>
      <c r="N1777"/>
      <c r="O1777"/>
      <c r="P1777" t="s">
        <v>1135</v>
      </c>
      <c r="Q1777"/>
      <c r="R1777" t="s">
        <v>1127</v>
      </c>
      <c r="S1777" t="s">
        <v>1128</v>
      </c>
      <c r="T1777" t="s">
        <v>131</v>
      </c>
      <c r="U1777" t="s">
        <v>902</v>
      </c>
      <c r="V1777" t="s">
        <v>903</v>
      </c>
      <c r="W1777"/>
      <c r="X1777"/>
      <c r="Y1777"/>
      <c r="Z1777" t="s">
        <v>475</v>
      </c>
      <c r="AA1777" t="s">
        <v>475</v>
      </c>
      <c r="AB1777" t="s">
        <v>71</v>
      </c>
      <c r="AC1777" t="s">
        <v>72</v>
      </c>
      <c r="AD1777" t="s">
        <v>52</v>
      </c>
      <c r="AE1777" t="s">
        <v>53</v>
      </c>
      <c r="AF1777" t="s">
        <v>52</v>
      </c>
      <c r="AG1777" t="s">
        <v>54</v>
      </c>
      <c r="AH1777" t="s">
        <v>55</v>
      </c>
      <c r="AI1777"/>
      <c r="AJ1777"/>
      <c r="AK1777">
        <v>74</v>
      </c>
      <c r="AL1777">
        <v>74</v>
      </c>
      <c r="AM1777"/>
      <c r="AN1777">
        <v>406</v>
      </c>
      <c r="AO1777" t="s">
        <v>56</v>
      </c>
      <c r="AP1777" t="s">
        <v>56</v>
      </c>
      <c r="AQ1777" t="s">
        <v>57</v>
      </c>
      <c r="AR1777">
        <v>8.11</v>
      </c>
      <c r="AS1777" t="s">
        <v>56</v>
      </c>
      <c r="AT1777" t="s">
        <v>56</v>
      </c>
      <c r="AU1777">
        <v>1238</v>
      </c>
      <c r="AV1777" t="s">
        <v>56</v>
      </c>
      <c r="AW1777" t="s">
        <v>56</v>
      </c>
      <c r="AX1777">
        <v>7.65</v>
      </c>
      <c r="AY1777" t="s">
        <v>56</v>
      </c>
      <c r="AZ1777" t="s">
        <v>56</v>
      </c>
      <c r="BA1777"/>
      <c r="BB1777">
        <f>LOG(AU1777)</f>
        <v>3.0927206446840994</v>
      </c>
      <c r="BC1777">
        <v>6.7</v>
      </c>
      <c r="BD1777">
        <v>0.2</v>
      </c>
      <c r="BE1777" t="s">
        <v>56</v>
      </c>
      <c r="BF1777">
        <v>6.7</v>
      </c>
      <c r="BG1777">
        <v>0.2</v>
      </c>
      <c r="BH1777" t="s">
        <v>56</v>
      </c>
      <c r="BI1777">
        <v>832</v>
      </c>
      <c r="BJ1777">
        <v>0</v>
      </c>
      <c r="BK1777" t="s">
        <v>56</v>
      </c>
      <c r="BL1777" t="s">
        <v>906</v>
      </c>
      <c r="BM1777" t="s">
        <v>249</v>
      </c>
      <c r="BN1777" t="s">
        <v>60</v>
      </c>
      <c r="BO1777" t="s">
        <v>250</v>
      </c>
      <c r="BP1777" t="s">
        <v>9</v>
      </c>
      <c r="BQ1777" t="s">
        <v>9</v>
      </c>
      <c r="BR1777" t="s">
        <v>63</v>
      </c>
      <c r="BS1777"/>
      <c r="BT1777">
        <v>17.82</v>
      </c>
      <c r="BU1777">
        <v>17.82</v>
      </c>
      <c r="BV1777">
        <v>1.1399999999999999</v>
      </c>
      <c r="BW1777">
        <f>BV1777*SQRT(AK1777)</f>
        <v>9.8066508044285943</v>
      </c>
      <c r="BX1777">
        <v>16.3</v>
      </c>
      <c r="BY1777">
        <v>16.3</v>
      </c>
      <c r="BZ1777">
        <v>1.42</v>
      </c>
      <c r="CA1777">
        <f>BZ1777*SQRT(AL1777)</f>
        <v>12.215301879200529</v>
      </c>
      <c r="CB1777">
        <v>16</v>
      </c>
      <c r="CC1777">
        <v>8</v>
      </c>
      <c r="CD1777">
        <v>-8.8999999999999996E-2</v>
      </c>
      <c r="CE1777">
        <v>1.17E-2</v>
      </c>
      <c r="CF1777"/>
    </row>
    <row r="1778" spans="1:84" s="8" customFormat="1" hidden="1" x14ac:dyDescent="0.2">
      <c r="A1778"/>
      <c r="B1778" t="str">
        <f>ROW()-1&amp;"_AltersInvert"</f>
        <v>1777_AltersInvert</v>
      </c>
      <c r="C1778" t="str">
        <f>D1778&amp;"_"&amp;
SUBSTITUTE(TRIM(V1778)," ","_")&amp;"_"&amp;
TRIM(AC1778)&amp;"_"&amp;
"CO2"&amp;TEXT(AN1778,"0.00")&amp;"_"&amp;
"pH"&amp;TEXT(AR1778,"0.00")&amp;"_"&amp;
"T"&amp;TEXT(BC1778,"0.##")</f>
        <v>191_Pandalus_Borealis_LARVA_CO2406.00_pH8.11_T6.7</v>
      </c>
      <c r="D1778">
        <v>191</v>
      </c>
      <c r="E1778"/>
      <c r="F1778"/>
      <c r="G1778" t="s">
        <v>43</v>
      </c>
      <c r="H1778" t="s">
        <v>901</v>
      </c>
      <c r="I1778"/>
      <c r="J1778">
        <v>2013</v>
      </c>
      <c r="K1778"/>
      <c r="L1778"/>
      <c r="M1778" t="s">
        <v>67</v>
      </c>
      <c r="N1778"/>
      <c r="O1778"/>
      <c r="P1778" t="s">
        <v>1135</v>
      </c>
      <c r="Q1778"/>
      <c r="R1778" t="s">
        <v>1127</v>
      </c>
      <c r="S1778" t="s">
        <v>1128</v>
      </c>
      <c r="T1778" t="s">
        <v>131</v>
      </c>
      <c r="U1778" t="s">
        <v>902</v>
      </c>
      <c r="V1778" t="s">
        <v>903</v>
      </c>
      <c r="W1778"/>
      <c r="X1778"/>
      <c r="Y1778"/>
      <c r="Z1778" t="s">
        <v>475</v>
      </c>
      <c r="AA1778" t="s">
        <v>475</v>
      </c>
      <c r="AB1778" t="s">
        <v>71</v>
      </c>
      <c r="AC1778" t="s">
        <v>72</v>
      </c>
      <c r="AD1778" t="s">
        <v>52</v>
      </c>
      <c r="AE1778" t="s">
        <v>53</v>
      </c>
      <c r="AF1778" t="s">
        <v>54</v>
      </c>
      <c r="AG1778" t="s">
        <v>52</v>
      </c>
      <c r="AH1778" t="s">
        <v>65</v>
      </c>
      <c r="AI1778"/>
      <c r="AJ1778"/>
      <c r="AK1778">
        <v>74</v>
      </c>
      <c r="AL1778">
        <v>74</v>
      </c>
      <c r="AM1778"/>
      <c r="AN1778">
        <v>406</v>
      </c>
      <c r="AO1778" t="s">
        <v>56</v>
      </c>
      <c r="AP1778" t="s">
        <v>56</v>
      </c>
      <c r="AQ1778" t="s">
        <v>57</v>
      </c>
      <c r="AR1778">
        <v>8.11</v>
      </c>
      <c r="AS1778" t="s">
        <v>56</v>
      </c>
      <c r="AT1778" t="s">
        <v>56</v>
      </c>
      <c r="AU1778">
        <v>443</v>
      </c>
      <c r="AV1778" t="s">
        <v>56</v>
      </c>
      <c r="AW1778" t="s">
        <v>56</v>
      </c>
      <c r="AX1778">
        <v>8.08</v>
      </c>
      <c r="AY1778" t="s">
        <v>56</v>
      </c>
      <c r="AZ1778" t="s">
        <v>56</v>
      </c>
      <c r="BA1778"/>
      <c r="BB1778">
        <f>LOG(AU1778)</f>
        <v>2.6464037262230695</v>
      </c>
      <c r="BC1778">
        <v>6.7</v>
      </c>
      <c r="BD1778">
        <v>0.2</v>
      </c>
      <c r="BE1778" t="s">
        <v>56</v>
      </c>
      <c r="BF1778">
        <v>9.5</v>
      </c>
      <c r="BG1778">
        <v>0.1</v>
      </c>
      <c r="BH1778" t="s">
        <v>56</v>
      </c>
      <c r="BI1778">
        <v>37</v>
      </c>
      <c r="BJ1778">
        <v>2.8</v>
      </c>
      <c r="BK1778" t="s">
        <v>56</v>
      </c>
      <c r="BL1778" t="s">
        <v>906</v>
      </c>
      <c r="BM1778" t="s">
        <v>249</v>
      </c>
      <c r="BN1778" t="s">
        <v>60</v>
      </c>
      <c r="BO1778" t="s">
        <v>250</v>
      </c>
      <c r="BP1778" t="s">
        <v>9</v>
      </c>
      <c r="BQ1778" t="s">
        <v>9</v>
      </c>
      <c r="BR1778" t="s">
        <v>63</v>
      </c>
      <c r="BS1778"/>
      <c r="BT1778">
        <v>17.82</v>
      </c>
      <c r="BU1778">
        <v>17.82</v>
      </c>
      <c r="BV1778">
        <v>1.1399999999999999</v>
      </c>
      <c r="BW1778">
        <f>BV1778*SQRT(AK1778)</f>
        <v>9.8066508044285943</v>
      </c>
      <c r="BX1778">
        <v>14.5</v>
      </c>
      <c r="BY1778">
        <v>14.5</v>
      </c>
      <c r="BZ1778">
        <v>0.95</v>
      </c>
      <c r="CA1778">
        <f>BZ1778*SQRT(AL1778)</f>
        <v>8.1722090036904955</v>
      </c>
      <c r="CB1778">
        <v>14</v>
      </c>
      <c r="CC1778">
        <v>8</v>
      </c>
      <c r="CD1778">
        <v>-0.20599999999999999</v>
      </c>
      <c r="CE1778">
        <v>8.3999999999999995E-3</v>
      </c>
      <c r="CF1778"/>
    </row>
    <row r="1779" spans="1:84" s="8" customFormat="1" hidden="1" x14ac:dyDescent="0.2">
      <c r="A1779"/>
      <c r="B1779" t="str">
        <f>ROW()-1&amp;"_AltersInvert"</f>
        <v>1778_AltersInvert</v>
      </c>
      <c r="C1779" t="str">
        <f>D1779&amp;"_"&amp;
SUBSTITUTE(TRIM(V1779)," ","_")&amp;"_"&amp;
TRIM(AC1779)&amp;"_"&amp;
"CO2"&amp;TEXT(AN1779,"0.00")&amp;"_"&amp;
"pH"&amp;TEXT(AR1779,"0.00")&amp;"_"&amp;
"T"&amp;TEXT(BC1779,"0.##")</f>
        <v>191_Pandalus_Borealis_LARVA_CO2406.00_pH8.11_T6.7</v>
      </c>
      <c r="D1779">
        <v>191</v>
      </c>
      <c r="E1779"/>
      <c r="F1779"/>
      <c r="G1779" t="s">
        <v>43</v>
      </c>
      <c r="H1779" t="s">
        <v>901</v>
      </c>
      <c r="I1779"/>
      <c r="J1779">
        <v>2013</v>
      </c>
      <c r="K1779"/>
      <c r="L1779"/>
      <c r="M1779" t="s">
        <v>67</v>
      </c>
      <c r="N1779"/>
      <c r="O1779"/>
      <c r="P1779" t="s">
        <v>1135</v>
      </c>
      <c r="Q1779"/>
      <c r="R1779" t="s">
        <v>1127</v>
      </c>
      <c r="S1779" t="s">
        <v>1128</v>
      </c>
      <c r="T1779" t="s">
        <v>131</v>
      </c>
      <c r="U1779" t="s">
        <v>902</v>
      </c>
      <c r="V1779" t="s">
        <v>903</v>
      </c>
      <c r="W1779"/>
      <c r="X1779"/>
      <c r="Y1779"/>
      <c r="Z1779" t="s">
        <v>475</v>
      </c>
      <c r="AA1779" t="s">
        <v>475</v>
      </c>
      <c r="AB1779" t="s">
        <v>71</v>
      </c>
      <c r="AC1779" t="s">
        <v>72</v>
      </c>
      <c r="AD1779" t="s">
        <v>52</v>
      </c>
      <c r="AE1779" t="s">
        <v>53</v>
      </c>
      <c r="AF1779" t="s">
        <v>52</v>
      </c>
      <c r="AG1779" t="s">
        <v>52</v>
      </c>
      <c r="AH1779" t="s">
        <v>64</v>
      </c>
      <c r="AI1779"/>
      <c r="AJ1779"/>
      <c r="AK1779">
        <v>74</v>
      </c>
      <c r="AL1779">
        <v>74</v>
      </c>
      <c r="AM1779"/>
      <c r="AN1779">
        <v>406</v>
      </c>
      <c r="AO1779" t="s">
        <v>56</v>
      </c>
      <c r="AP1779" t="s">
        <v>56</v>
      </c>
      <c r="AQ1779" t="s">
        <v>57</v>
      </c>
      <c r="AR1779">
        <v>8.11</v>
      </c>
      <c r="AS1779" t="s">
        <v>56</v>
      </c>
      <c r="AT1779" t="s">
        <v>56</v>
      </c>
      <c r="AU1779">
        <v>1449</v>
      </c>
      <c r="AV1779" t="s">
        <v>56</v>
      </c>
      <c r="AW1779" t="s">
        <v>56</v>
      </c>
      <c r="AX1779">
        <v>7.6</v>
      </c>
      <c r="AY1779" t="s">
        <v>56</v>
      </c>
      <c r="AZ1779" t="s">
        <v>56</v>
      </c>
      <c r="BA1779"/>
      <c r="BB1779">
        <f>LOG(AU1779)</f>
        <v>3.1610683854711747</v>
      </c>
      <c r="BC1779">
        <v>6.7</v>
      </c>
      <c r="BD1779">
        <v>0.2</v>
      </c>
      <c r="BE1779" t="s">
        <v>56</v>
      </c>
      <c r="BF1779">
        <v>9.5</v>
      </c>
      <c r="BG1779">
        <v>0.1</v>
      </c>
      <c r="BH1779" t="s">
        <v>56</v>
      </c>
      <c r="BI1779">
        <v>1043</v>
      </c>
      <c r="BJ1779">
        <v>2.8</v>
      </c>
      <c r="BK1779" t="s">
        <v>56</v>
      </c>
      <c r="BL1779" t="s">
        <v>906</v>
      </c>
      <c r="BM1779" t="s">
        <v>249</v>
      </c>
      <c r="BN1779" t="s">
        <v>60</v>
      </c>
      <c r="BO1779" t="s">
        <v>250</v>
      </c>
      <c r="BP1779" t="s">
        <v>9</v>
      </c>
      <c r="BQ1779" t="s">
        <v>9</v>
      </c>
      <c r="BR1779" t="s">
        <v>63</v>
      </c>
      <c r="BS1779"/>
      <c r="BT1779">
        <v>17.82</v>
      </c>
      <c r="BU1779">
        <v>17.82</v>
      </c>
      <c r="BV1779">
        <v>1.1399999999999999</v>
      </c>
      <c r="BW1779">
        <f>BV1779*SQRT(AK1779)</f>
        <v>9.8066508044285943</v>
      </c>
      <c r="BX1779">
        <v>14.5</v>
      </c>
      <c r="BY1779">
        <v>14.5</v>
      </c>
      <c r="BZ1779">
        <v>0.95</v>
      </c>
      <c r="CA1779">
        <f>BZ1779*SQRT(AL1779)</f>
        <v>8.1722090036904955</v>
      </c>
      <c r="CB1779">
        <v>14</v>
      </c>
      <c r="CC1779">
        <v>8</v>
      </c>
      <c r="CD1779">
        <v>-0.20599999999999999</v>
      </c>
      <c r="CE1779">
        <v>8.3999999999999995E-3</v>
      </c>
      <c r="CF1779"/>
    </row>
    <row r="1780" spans="1:84" s="8" customFormat="1" hidden="1" x14ac:dyDescent="0.2">
      <c r="B1780" t="str">
        <f>ROW()-1&amp;"_AltersInvert"</f>
        <v>1779_AltersInvert</v>
      </c>
      <c r="C1780" t="str">
        <f>D1780&amp;"_"&amp;
SUBSTITUTE(TRIM(V1780)," ","_")&amp;"_"&amp;
TRIM(AC1780)&amp;"_"&amp;
"CO2"&amp;TEXT(AN1780,"0.00")&amp;"_"&amp;
"pH"&amp;TEXT(AR1780,"0.00")&amp;"_"&amp;
"T"&amp;TEXT(BC1780,"0.##")</f>
        <v>104_Fellaster_zelandiae_EMBRYO_CO2441.00_pH8.12_T17.5</v>
      </c>
      <c r="D1780" s="8">
        <v>104</v>
      </c>
      <c r="G1780" s="8" t="s">
        <v>43</v>
      </c>
      <c r="H1780" s="8" t="s">
        <v>788</v>
      </c>
      <c r="I1780" s="8" t="s">
        <v>1130</v>
      </c>
      <c r="J1780" s="8">
        <v>2017</v>
      </c>
      <c r="M1780" s="8" t="s">
        <v>789</v>
      </c>
      <c r="P1780" t="s">
        <v>1135</v>
      </c>
      <c r="R1780" s="8" t="s">
        <v>1127</v>
      </c>
      <c r="S1780" t="s">
        <v>1128</v>
      </c>
      <c r="T1780" s="8" t="s">
        <v>46</v>
      </c>
      <c r="U1780" s="8" t="s">
        <v>794</v>
      </c>
      <c r="V1780" s="8" t="s">
        <v>796</v>
      </c>
      <c r="W1780" s="8" t="str">
        <f>IF(ISNUMBER(MATCH(V1174,{"Doryteuthis pealeii","Loligo vulgaris","Leptuca thayeri","Stylocheilus striatus","Ophryotrocha labronica"},0)),"N","Y")</f>
        <v>Y</v>
      </c>
      <c r="Z1780" s="8" t="s">
        <v>49</v>
      </c>
      <c r="AA1780" s="8" t="s">
        <v>49</v>
      </c>
      <c r="AB1780" s="8" t="s">
        <v>71</v>
      </c>
      <c r="AC1780" s="8" t="s">
        <v>195</v>
      </c>
      <c r="AD1780" s="8" t="s">
        <v>52</v>
      </c>
      <c r="AE1780" s="8" t="s">
        <v>53</v>
      </c>
      <c r="AF1780" s="8" t="s">
        <v>52</v>
      </c>
      <c r="AG1780" s="8" t="s">
        <v>54</v>
      </c>
      <c r="AH1780" s="8" t="s">
        <v>55</v>
      </c>
      <c r="AK1780" s="8">
        <v>4</v>
      </c>
      <c r="AL1780" s="8">
        <v>4</v>
      </c>
      <c r="AN1780" s="8">
        <v>441</v>
      </c>
      <c r="AO1780" s="8" t="s">
        <v>56</v>
      </c>
      <c r="AP1780" s="8" t="s">
        <v>56</v>
      </c>
      <c r="AQ1780" s="8" t="s">
        <v>118</v>
      </c>
      <c r="AR1780" s="8">
        <v>8.1199999999999992</v>
      </c>
      <c r="AS1780" s="8" t="s">
        <v>56</v>
      </c>
      <c r="AT1780" s="8" t="s">
        <v>56</v>
      </c>
      <c r="AU1780" s="8">
        <v>912</v>
      </c>
      <c r="AV1780" t="s">
        <v>56</v>
      </c>
      <c r="AW1780" t="s">
        <v>56</v>
      </c>
      <c r="AX1780">
        <v>7.84</v>
      </c>
      <c r="AY1780" t="s">
        <v>56</v>
      </c>
      <c r="AZ1780" t="s">
        <v>56</v>
      </c>
      <c r="BB1780" s="8">
        <f>LOG(AU1780)</f>
        <v>2.959994838328416</v>
      </c>
      <c r="BC1780" s="8">
        <v>17.5</v>
      </c>
      <c r="BD1780" s="8" t="s">
        <v>56</v>
      </c>
      <c r="BE1780" s="8" t="s">
        <v>56</v>
      </c>
      <c r="BF1780" s="8">
        <v>17.5</v>
      </c>
      <c r="BG1780" s="8" t="s">
        <v>56</v>
      </c>
      <c r="BH1780" s="8" t="s">
        <v>56</v>
      </c>
      <c r="BI1780" s="8">
        <v>471</v>
      </c>
      <c r="BJ1780" s="8">
        <v>0</v>
      </c>
      <c r="BK1780" s="8" t="s">
        <v>56</v>
      </c>
      <c r="BL1780" s="8" t="s">
        <v>800</v>
      </c>
      <c r="BM1780" s="8" t="s">
        <v>473</v>
      </c>
      <c r="BN1780" s="8" t="s">
        <v>81</v>
      </c>
      <c r="BO1780" s="8" t="s">
        <v>82</v>
      </c>
      <c r="BP1780" s="8" t="s">
        <v>190</v>
      </c>
      <c r="BQ1780" s="8" t="s">
        <v>190</v>
      </c>
      <c r="BR1780" s="8" t="s">
        <v>84</v>
      </c>
      <c r="BT1780" s="8">
        <v>82.84</v>
      </c>
      <c r="BU1780" s="8">
        <v>82.835820999999996</v>
      </c>
      <c r="BV1780" s="8">
        <v>5.22</v>
      </c>
      <c r="BW1780" s="8">
        <f>BV1780*SQRT(AK1780)</f>
        <v>10.44</v>
      </c>
      <c r="BX1780" s="8">
        <v>79.099999999999994</v>
      </c>
      <c r="BY1780" s="8">
        <v>79.104477599999996</v>
      </c>
      <c r="BZ1780" s="8">
        <v>2.2400000000000002</v>
      </c>
      <c r="CA1780" s="8">
        <f>BZ1780*SQRT(AL1780)</f>
        <v>4.4800000000000004</v>
      </c>
      <c r="CB1780" s="8">
        <v>1</v>
      </c>
      <c r="CC1780" s="8">
        <v>4</v>
      </c>
      <c r="CD1780" s="8">
        <v>-4.5999999999999999E-2</v>
      </c>
      <c r="CE1780" s="8">
        <v>4.7999999999999996E-3</v>
      </c>
      <c r="CF1780" s="8" t="s">
        <v>1134</v>
      </c>
    </row>
    <row r="1781" spans="1:84" s="8" customFormat="1" hidden="1" x14ac:dyDescent="0.2">
      <c r="B1781" t="str">
        <f>ROW()-1&amp;"_AltersInvert"</f>
        <v>1780_AltersInvert</v>
      </c>
      <c r="C1781" t="str">
        <f>D1781&amp;"_"&amp;
SUBSTITUTE(TRIM(V1781)," ","_")&amp;"_"&amp;
TRIM(AC1781)&amp;"_"&amp;
"CO2"&amp;TEXT(AN1781,"0.00")&amp;"_"&amp;
"pH"&amp;TEXT(AR1781,"0.00")&amp;"_"&amp;
"T"&amp;TEXT(BC1781,"0.##")</f>
        <v>104_Fellaster_zelandiae_EMBRYO_CO2441.00_pH8.12_T17.5</v>
      </c>
      <c r="D1781" s="8">
        <v>104</v>
      </c>
      <c r="G1781" s="8" t="s">
        <v>43</v>
      </c>
      <c r="H1781" s="8" t="s">
        <v>788</v>
      </c>
      <c r="I1781" s="8" t="s">
        <v>1130</v>
      </c>
      <c r="J1781" s="8">
        <v>2017</v>
      </c>
      <c r="M1781" s="8" t="s">
        <v>789</v>
      </c>
      <c r="P1781" t="s">
        <v>1135</v>
      </c>
      <c r="R1781" s="8" t="s">
        <v>1127</v>
      </c>
      <c r="S1781" t="s">
        <v>1128</v>
      </c>
      <c r="T1781" s="8" t="s">
        <v>46</v>
      </c>
      <c r="U1781" s="8" t="s">
        <v>794</v>
      </c>
      <c r="V1781" s="8" t="s">
        <v>796</v>
      </c>
      <c r="W1781" s="8" t="str">
        <f>IF(ISNUMBER(MATCH(V1175,{"Doryteuthis pealeii","Loligo vulgaris","Leptuca thayeri","Stylocheilus striatus","Ophryotrocha labronica"},0)),"N","Y")</f>
        <v>Y</v>
      </c>
      <c r="Z1781" s="8" t="s">
        <v>49</v>
      </c>
      <c r="AA1781" s="8" t="s">
        <v>49</v>
      </c>
      <c r="AB1781" s="8" t="s">
        <v>71</v>
      </c>
      <c r="AC1781" s="8" t="s">
        <v>195</v>
      </c>
      <c r="AD1781" s="8" t="s">
        <v>52</v>
      </c>
      <c r="AE1781" s="8" t="s">
        <v>53</v>
      </c>
      <c r="AF1781" s="8" t="s">
        <v>54</v>
      </c>
      <c r="AG1781" s="8" t="s">
        <v>52</v>
      </c>
      <c r="AH1781" s="8" t="s">
        <v>65</v>
      </c>
      <c r="AK1781" s="8">
        <v>4</v>
      </c>
      <c r="AL1781" s="8">
        <v>4</v>
      </c>
      <c r="AN1781" s="8">
        <v>441</v>
      </c>
      <c r="AO1781" s="8" t="s">
        <v>56</v>
      </c>
      <c r="AP1781" s="8" t="s">
        <v>56</v>
      </c>
      <c r="AQ1781" s="8" t="s">
        <v>118</v>
      </c>
      <c r="AR1781" s="8">
        <v>8.1199999999999992</v>
      </c>
      <c r="AS1781" s="8" t="s">
        <v>56</v>
      </c>
      <c r="AT1781" s="8" t="s">
        <v>56</v>
      </c>
      <c r="AU1781" s="8">
        <v>441</v>
      </c>
      <c r="AV1781" t="s">
        <v>56</v>
      </c>
      <c r="AW1781" t="s">
        <v>56</v>
      </c>
      <c r="AX1781">
        <v>8.14</v>
      </c>
      <c r="AY1781" t="s">
        <v>56</v>
      </c>
      <c r="AZ1781" t="s">
        <v>56</v>
      </c>
      <c r="BB1781" s="8">
        <f>LOG(AU1781)</f>
        <v>2.6444385894678386</v>
      </c>
      <c r="BC1781" s="8">
        <v>17.5</v>
      </c>
      <c r="BD1781" s="8" t="s">
        <v>56</v>
      </c>
      <c r="BE1781" s="8" t="s">
        <v>56</v>
      </c>
      <c r="BF1781" s="8">
        <v>27</v>
      </c>
      <c r="BG1781" s="8" t="s">
        <v>56</v>
      </c>
      <c r="BH1781" s="8" t="s">
        <v>56</v>
      </c>
      <c r="BI1781" s="8">
        <v>0</v>
      </c>
      <c r="BJ1781" s="8">
        <v>9.5</v>
      </c>
      <c r="BK1781" s="8" t="s">
        <v>56</v>
      </c>
      <c r="BL1781" s="8" t="s">
        <v>800</v>
      </c>
      <c r="BM1781" s="8" t="s">
        <v>473</v>
      </c>
      <c r="BN1781" s="8" t="s">
        <v>81</v>
      </c>
      <c r="BO1781" s="8" t="s">
        <v>82</v>
      </c>
      <c r="BP1781" s="8" t="s">
        <v>190</v>
      </c>
      <c r="BQ1781" s="8" t="s">
        <v>9</v>
      </c>
      <c r="BR1781" s="8" t="s">
        <v>84</v>
      </c>
      <c r="BT1781" s="8">
        <v>82.84</v>
      </c>
      <c r="BU1781" s="8">
        <v>82.835820999999996</v>
      </c>
      <c r="BV1781" s="8">
        <v>5.22</v>
      </c>
      <c r="BW1781" s="8">
        <f>BV1781*SQRT(AK1781)</f>
        <v>10.44</v>
      </c>
      <c r="BX1781" s="8">
        <v>66.42</v>
      </c>
      <c r="BY1781" s="8">
        <v>66.417910399999997</v>
      </c>
      <c r="BZ1781" s="8">
        <v>4.4800000000000004</v>
      </c>
      <c r="CA1781" s="8">
        <f>BZ1781*SQRT(AL1781)</f>
        <v>8.9600000000000009</v>
      </c>
      <c r="CB1781" s="8">
        <v>1</v>
      </c>
      <c r="CC1781" s="8">
        <v>4</v>
      </c>
      <c r="CD1781" s="8">
        <v>-0.221</v>
      </c>
      <c r="CE1781" s="8">
        <v>8.5000000000000006E-3</v>
      </c>
      <c r="CF1781" s="8" t="s">
        <v>1134</v>
      </c>
    </row>
    <row r="1782" spans="1:84" s="8" customFormat="1" hidden="1" x14ac:dyDescent="0.2">
      <c r="B1782" t="str">
        <f>ROW()-1&amp;"_AltersInvert"</f>
        <v>1781_AltersInvert</v>
      </c>
      <c r="C1782" t="str">
        <f>D1782&amp;"_"&amp;
SUBSTITUTE(TRIM(V1782)," ","_")&amp;"_"&amp;
TRIM(AC1782)&amp;"_"&amp;
"CO2"&amp;TEXT(AN1782,"0.00")&amp;"_"&amp;
"pH"&amp;TEXT(AR1782,"0.00")&amp;"_"&amp;
"T"&amp;TEXT(BC1782,"0.##")</f>
        <v>104_Fellaster_zelandiae_EMBRYO_CO2441.00_pH8.12_T17.5</v>
      </c>
      <c r="D1782" s="8">
        <v>104</v>
      </c>
      <c r="G1782" s="8" t="s">
        <v>43</v>
      </c>
      <c r="H1782" s="8" t="s">
        <v>788</v>
      </c>
      <c r="I1782" s="8" t="s">
        <v>1130</v>
      </c>
      <c r="J1782" s="8">
        <v>2017</v>
      </c>
      <c r="M1782" s="8" t="s">
        <v>789</v>
      </c>
      <c r="P1782" t="s">
        <v>1135</v>
      </c>
      <c r="R1782" s="8" t="s">
        <v>1127</v>
      </c>
      <c r="S1782" t="s">
        <v>1128</v>
      </c>
      <c r="T1782" s="8" t="s">
        <v>46</v>
      </c>
      <c r="U1782" s="8" t="s">
        <v>794</v>
      </c>
      <c r="V1782" s="8" t="s">
        <v>796</v>
      </c>
      <c r="W1782" s="8" t="str">
        <f>IF(ISNUMBER(MATCH(V1176,{"Doryteuthis pealeii","Loligo vulgaris","Leptuca thayeri","Stylocheilus striatus","Ophryotrocha labronica"},0)),"N","Y")</f>
        <v>Y</v>
      </c>
      <c r="Z1782" s="8" t="s">
        <v>49</v>
      </c>
      <c r="AA1782" s="8" t="s">
        <v>49</v>
      </c>
      <c r="AB1782" s="8" t="s">
        <v>71</v>
      </c>
      <c r="AC1782" s="8" t="s">
        <v>195</v>
      </c>
      <c r="AD1782" s="8" t="s">
        <v>52</v>
      </c>
      <c r="AE1782" s="8" t="s">
        <v>53</v>
      </c>
      <c r="AF1782" s="8" t="s">
        <v>52</v>
      </c>
      <c r="AG1782" s="8" t="s">
        <v>52</v>
      </c>
      <c r="AH1782" s="8" t="s">
        <v>64</v>
      </c>
      <c r="AK1782" s="8">
        <v>4</v>
      </c>
      <c r="AL1782" s="8">
        <v>4</v>
      </c>
      <c r="AN1782" s="8">
        <v>441</v>
      </c>
      <c r="AO1782" s="8" t="s">
        <v>56</v>
      </c>
      <c r="AP1782" s="8" t="s">
        <v>56</v>
      </c>
      <c r="AQ1782" s="8" t="s">
        <v>118</v>
      </c>
      <c r="AR1782" s="8">
        <v>8.1199999999999992</v>
      </c>
      <c r="AS1782" s="8" t="s">
        <v>56</v>
      </c>
      <c r="AT1782" s="8" t="s">
        <v>56</v>
      </c>
      <c r="AU1782" s="8">
        <v>912</v>
      </c>
      <c r="AV1782" t="s">
        <v>56</v>
      </c>
      <c r="AW1782" t="s">
        <v>56</v>
      </c>
      <c r="AX1782">
        <v>7.87</v>
      </c>
      <c r="AY1782" t="s">
        <v>56</v>
      </c>
      <c r="AZ1782" t="s">
        <v>56</v>
      </c>
      <c r="BB1782" s="8">
        <f>LOG(AU1782)</f>
        <v>2.959994838328416</v>
      </c>
      <c r="BC1782" s="8">
        <v>17.5</v>
      </c>
      <c r="BD1782" s="8" t="s">
        <v>56</v>
      </c>
      <c r="BE1782" s="8" t="s">
        <v>56</v>
      </c>
      <c r="BF1782" s="8">
        <v>27</v>
      </c>
      <c r="BG1782" s="8" t="s">
        <v>56</v>
      </c>
      <c r="BH1782" s="8" t="s">
        <v>56</v>
      </c>
      <c r="BI1782" s="8">
        <v>471</v>
      </c>
      <c r="BJ1782" s="8">
        <v>9.5</v>
      </c>
      <c r="BK1782" s="8" t="s">
        <v>56</v>
      </c>
      <c r="BL1782" s="8" t="s">
        <v>800</v>
      </c>
      <c r="BM1782" s="8" t="s">
        <v>473</v>
      </c>
      <c r="BN1782" s="8" t="s">
        <v>81</v>
      </c>
      <c r="BO1782" s="8" t="s">
        <v>82</v>
      </c>
      <c r="BP1782" s="8" t="s">
        <v>190</v>
      </c>
      <c r="BQ1782" s="8" t="s">
        <v>9</v>
      </c>
      <c r="BR1782" s="8" t="s">
        <v>84</v>
      </c>
      <c r="BT1782" s="8">
        <v>82.84</v>
      </c>
      <c r="BU1782" s="8">
        <v>82.835820999999996</v>
      </c>
      <c r="BV1782" s="8">
        <v>5.22</v>
      </c>
      <c r="BW1782" s="8">
        <f>BV1782*SQRT(AK1782)</f>
        <v>10.44</v>
      </c>
      <c r="BX1782" s="8">
        <v>65.67</v>
      </c>
      <c r="BY1782" s="8">
        <v>65.671641800000003</v>
      </c>
      <c r="BZ1782" s="8">
        <v>3.73</v>
      </c>
      <c r="CA1782" s="8">
        <f>BZ1782*SQRT(AL1782)</f>
        <v>7.46</v>
      </c>
      <c r="CB1782" s="8">
        <v>1</v>
      </c>
      <c r="CC1782" s="8">
        <v>4</v>
      </c>
      <c r="CD1782" s="8">
        <v>-0.23200000000000001</v>
      </c>
      <c r="CE1782" s="8">
        <v>7.1999999999999998E-3</v>
      </c>
      <c r="CF1782" s="8" t="s">
        <v>1134</v>
      </c>
    </row>
    <row r="1783" spans="1:84" s="8" customFormat="1" hidden="1" x14ac:dyDescent="0.2">
      <c r="B1783" t="str">
        <f>ROW()-1&amp;"_AltersInvert"</f>
        <v>1782_AltersInvert</v>
      </c>
      <c r="C1783" t="str">
        <f>D1783&amp;"_"&amp;
SUBSTITUTE(TRIM(V1783)," ","_")&amp;"_"&amp;
TRIM(AC1783)&amp;"_"&amp;
"CO2"&amp;TEXT(AN1783,"0.00")&amp;"_"&amp;
"pH"&amp;TEXT(AR1783,"0.00")&amp;"_"&amp;
"T"&amp;TEXT(BC1783,"0.##")</f>
        <v>104_Patiriella_regularis_EMBRYO_CO2487.00_pH8.08_T16.</v>
      </c>
      <c r="D1783" s="8">
        <v>104</v>
      </c>
      <c r="G1783" s="8" t="s">
        <v>43</v>
      </c>
      <c r="H1783" s="8" t="s">
        <v>788</v>
      </c>
      <c r="I1783" s="8" t="s">
        <v>1130</v>
      </c>
      <c r="J1783" s="8">
        <v>2017</v>
      </c>
      <c r="M1783" s="8" t="s">
        <v>789</v>
      </c>
      <c r="P1783" t="s">
        <v>1135</v>
      </c>
      <c r="R1783" s="8" t="s">
        <v>1127</v>
      </c>
      <c r="S1783" t="s">
        <v>1128</v>
      </c>
      <c r="T1783" s="8" t="s">
        <v>46</v>
      </c>
      <c r="U1783" s="8" t="s">
        <v>799</v>
      </c>
      <c r="V1783" s="8" t="s">
        <v>603</v>
      </c>
      <c r="W1783" s="8" t="str">
        <f>IF(ISNUMBER(MATCH(V1177,{"Doryteuthis pealeii","Loligo vulgaris","Leptuca thayeri","Stylocheilus striatus","Ophryotrocha labronica"},0)),"N","Y")</f>
        <v>Y</v>
      </c>
      <c r="Z1783" s="8" t="s">
        <v>49</v>
      </c>
      <c r="AA1783" s="8" t="s">
        <v>49</v>
      </c>
      <c r="AB1783" s="8" t="s">
        <v>71</v>
      </c>
      <c r="AC1783" s="8" t="s">
        <v>195</v>
      </c>
      <c r="AD1783" s="8" t="s">
        <v>52</v>
      </c>
      <c r="AE1783" s="8" t="s">
        <v>53</v>
      </c>
      <c r="AF1783" s="8" t="s">
        <v>52</v>
      </c>
      <c r="AG1783" s="8" t="s">
        <v>54</v>
      </c>
      <c r="AH1783" s="8" t="s">
        <v>55</v>
      </c>
      <c r="AK1783" s="8">
        <v>4</v>
      </c>
      <c r="AL1783" s="8">
        <v>4</v>
      </c>
      <c r="AN1783" s="8">
        <v>487</v>
      </c>
      <c r="AO1783" s="8" t="s">
        <v>56</v>
      </c>
      <c r="AP1783" s="8" t="s">
        <v>56</v>
      </c>
      <c r="AQ1783" s="8" t="s">
        <v>118</v>
      </c>
      <c r="AR1783" s="8">
        <v>8.08</v>
      </c>
      <c r="AS1783" s="8" t="s">
        <v>56</v>
      </c>
      <c r="AT1783" s="8" t="s">
        <v>56</v>
      </c>
      <c r="AU1783" s="8">
        <v>950</v>
      </c>
      <c r="AV1783" t="s">
        <v>56</v>
      </c>
      <c r="AW1783" t="s">
        <v>56</v>
      </c>
      <c r="AX1783">
        <v>7.82</v>
      </c>
      <c r="AY1783" t="s">
        <v>56</v>
      </c>
      <c r="AZ1783" t="s">
        <v>56</v>
      </c>
      <c r="BB1783" s="8">
        <f>LOG(AU1783)</f>
        <v>2.9777236052888476</v>
      </c>
      <c r="BC1783" s="8">
        <v>16</v>
      </c>
      <c r="BD1783" s="8" t="s">
        <v>56</v>
      </c>
      <c r="BE1783" s="8" t="s">
        <v>56</v>
      </c>
      <c r="BF1783" s="8">
        <v>16</v>
      </c>
      <c r="BG1783" s="8" t="s">
        <v>56</v>
      </c>
      <c r="BH1783" s="8" t="s">
        <v>56</v>
      </c>
      <c r="BI1783" s="8">
        <v>463</v>
      </c>
      <c r="BJ1783" s="8">
        <v>0</v>
      </c>
      <c r="BK1783" s="8" t="s">
        <v>56</v>
      </c>
      <c r="BL1783" s="8" t="s">
        <v>792</v>
      </c>
      <c r="BM1783" s="8" t="s">
        <v>86</v>
      </c>
      <c r="BN1783" s="8" t="s">
        <v>81</v>
      </c>
      <c r="BO1783" s="8" t="s">
        <v>82</v>
      </c>
      <c r="BP1783" s="8" t="s">
        <v>9</v>
      </c>
      <c r="BQ1783" s="8" t="s">
        <v>190</v>
      </c>
      <c r="BR1783" s="8" t="s">
        <v>84</v>
      </c>
      <c r="BT1783" s="8">
        <v>80.67</v>
      </c>
      <c r="BU1783" s="8">
        <v>80.666667000000004</v>
      </c>
      <c r="BV1783" s="8">
        <v>5.33</v>
      </c>
      <c r="BW1783" s="8">
        <f>BV1783*SQRT(AK1783)</f>
        <v>10.66</v>
      </c>
      <c r="BX1783" s="8">
        <v>81.33</v>
      </c>
      <c r="BY1783" s="8">
        <v>81.333333300000007</v>
      </c>
      <c r="BZ1783" s="8">
        <v>2.67</v>
      </c>
      <c r="CA1783" s="8">
        <f>BZ1783*SQRT(AL1783)</f>
        <v>5.34</v>
      </c>
      <c r="CB1783" s="8">
        <v>1</v>
      </c>
      <c r="CC1783" s="8">
        <v>4</v>
      </c>
      <c r="CD1783" s="8">
        <v>8.0000000000000002E-3</v>
      </c>
      <c r="CE1783" s="8">
        <v>5.4000000000000003E-3</v>
      </c>
      <c r="CF1783" s="8" t="s">
        <v>1134</v>
      </c>
    </row>
    <row r="1784" spans="1:84" s="8" customFormat="1" hidden="1" x14ac:dyDescent="0.2">
      <c r="D1784" s="8">
        <v>104</v>
      </c>
      <c r="G1784" t="s">
        <v>43</v>
      </c>
      <c r="H1784" s="8" t="s">
        <v>788</v>
      </c>
      <c r="I1784" s="8" t="s">
        <v>1130</v>
      </c>
      <c r="J1784" s="8">
        <v>2017</v>
      </c>
      <c r="M1784" s="8" t="s">
        <v>789</v>
      </c>
      <c r="P1784" t="s">
        <v>1135</v>
      </c>
      <c r="R1784" s="8" t="s">
        <v>1127</v>
      </c>
      <c r="S1784" t="s">
        <v>1128</v>
      </c>
      <c r="T1784" s="8" t="s">
        <v>46</v>
      </c>
      <c r="U1784" s="8" t="s">
        <v>799</v>
      </c>
      <c r="V1784" s="8" t="s">
        <v>603</v>
      </c>
      <c r="W1784" s="8" t="str">
        <f>IF(ISNUMBER(MATCH(#REF!,{"Doryteuthis pealeii","Loligo vulgaris","Leptuca thayeri","Stylocheilus striatus","Ophryotrocha labronica"},0)),"N","Y")</f>
        <v>Y</v>
      </c>
      <c r="Z1784" s="8" t="s">
        <v>49</v>
      </c>
      <c r="AA1784" s="8" t="s">
        <v>49</v>
      </c>
      <c r="AB1784" s="8" t="s">
        <v>71</v>
      </c>
      <c r="AC1784" s="8" t="s">
        <v>195</v>
      </c>
      <c r="AD1784" s="8" t="s">
        <v>52</v>
      </c>
      <c r="AE1784" s="8" t="s">
        <v>53</v>
      </c>
      <c r="AF1784" s="8" t="s">
        <v>54</v>
      </c>
      <c r="AG1784" s="8" t="s">
        <v>52</v>
      </c>
      <c r="AH1784" s="8" t="s">
        <v>65</v>
      </c>
      <c r="AK1784" s="8">
        <v>4</v>
      </c>
      <c r="AL1784" s="8">
        <v>4</v>
      </c>
      <c r="AM1784" s="8" t="s">
        <v>793</v>
      </c>
      <c r="AN1784" s="8">
        <v>487</v>
      </c>
      <c r="AO1784" s="8" t="s">
        <v>56</v>
      </c>
      <c r="AP1784" s="8" t="s">
        <v>56</v>
      </c>
      <c r="AQ1784" s="8" t="s">
        <v>118</v>
      </c>
      <c r="AR1784" s="8">
        <v>8.08</v>
      </c>
      <c r="AS1784" s="8" t="s">
        <v>56</v>
      </c>
      <c r="AT1784" s="8" t="s">
        <v>56</v>
      </c>
      <c r="AU1784" s="8">
        <v>487</v>
      </c>
      <c r="AV1784" t="s">
        <v>56</v>
      </c>
      <c r="AW1784" t="s">
        <v>56</v>
      </c>
      <c r="AX1784">
        <v>8.1</v>
      </c>
      <c r="AY1784" t="s">
        <v>56</v>
      </c>
      <c r="AZ1784" t="s">
        <v>56</v>
      </c>
      <c r="BB1784" s="8">
        <f>LOG(AU1784)</f>
        <v>2.6875289612146345</v>
      </c>
      <c r="BC1784" s="8">
        <v>16</v>
      </c>
      <c r="BD1784" s="8" t="s">
        <v>56</v>
      </c>
      <c r="BE1784" s="8" t="s">
        <v>56</v>
      </c>
      <c r="BF1784" s="8">
        <v>27.1</v>
      </c>
      <c r="BG1784" s="8" t="s">
        <v>56</v>
      </c>
      <c r="BH1784" s="8" t="s">
        <v>56</v>
      </c>
      <c r="BI1784" s="8">
        <v>0</v>
      </c>
      <c r="BJ1784" s="8">
        <v>11</v>
      </c>
      <c r="BK1784" s="8" t="s">
        <v>56</v>
      </c>
      <c r="BL1784" s="8" t="s">
        <v>792</v>
      </c>
      <c r="BM1784" s="8" t="s">
        <v>86</v>
      </c>
      <c r="BN1784" s="8" t="s">
        <v>81</v>
      </c>
      <c r="BO1784" s="8" t="s">
        <v>82</v>
      </c>
      <c r="BP1784" s="8" t="s">
        <v>9</v>
      </c>
      <c r="BQ1784" s="8" t="s">
        <v>9</v>
      </c>
      <c r="BR1784" s="8" t="s">
        <v>84</v>
      </c>
      <c r="BT1784" s="8">
        <v>80.67</v>
      </c>
      <c r="BU1784" s="8">
        <v>80.666667000000004</v>
      </c>
      <c r="BV1784" s="8">
        <v>5.3333329999999997</v>
      </c>
      <c r="BW1784" s="8">
        <f>BV1784*SQRT(AK1784)</f>
        <v>10.666665999999999</v>
      </c>
      <c r="BX1784" s="8">
        <v>0</v>
      </c>
      <c r="BY1784" s="8">
        <v>0.80666669999999996</v>
      </c>
      <c r="BZ1784" s="8">
        <v>0</v>
      </c>
      <c r="CA1784" s="8">
        <f>BZ1784*SQRT(AL1784)</f>
        <v>0</v>
      </c>
      <c r="CB1784" s="8">
        <v>1</v>
      </c>
      <c r="CC1784" s="8">
        <v>4</v>
      </c>
      <c r="CD1784" s="8">
        <v>-4.6050000000000004</v>
      </c>
      <c r="CE1784" s="8">
        <v>4.4000000000000003E-3</v>
      </c>
      <c r="CF1784" s="8" t="s">
        <v>1134</v>
      </c>
    </row>
    <row r="1785" spans="1:84" s="8" customFormat="1" hidden="1" x14ac:dyDescent="0.2">
      <c r="D1785" s="8">
        <v>104</v>
      </c>
      <c r="G1785" t="s">
        <v>43</v>
      </c>
      <c r="H1785" s="8" t="s">
        <v>788</v>
      </c>
      <c r="I1785" s="8" t="s">
        <v>1130</v>
      </c>
      <c r="J1785" s="8">
        <v>2017</v>
      </c>
      <c r="M1785" s="8" t="s">
        <v>789</v>
      </c>
      <c r="P1785" t="s">
        <v>1135</v>
      </c>
      <c r="R1785" s="8" t="s">
        <v>1127</v>
      </c>
      <c r="S1785" t="s">
        <v>1128</v>
      </c>
      <c r="T1785" s="8" t="s">
        <v>46</v>
      </c>
      <c r="U1785" s="8" t="s">
        <v>799</v>
      </c>
      <c r="V1785" s="8" t="s">
        <v>603</v>
      </c>
      <c r="W1785" s="8" t="str">
        <f>IF(ISNUMBER(MATCH(#REF!,{"Doryteuthis pealeii","Loligo vulgaris","Leptuca thayeri","Stylocheilus striatus","Ophryotrocha labronica"},0)),"N","Y")</f>
        <v>Y</v>
      </c>
      <c r="Z1785" s="8" t="s">
        <v>49</v>
      </c>
      <c r="AA1785" s="8" t="s">
        <v>49</v>
      </c>
      <c r="AB1785" s="8" t="s">
        <v>71</v>
      </c>
      <c r="AC1785" s="8" t="s">
        <v>195</v>
      </c>
      <c r="AD1785" s="8" t="s">
        <v>52</v>
      </c>
      <c r="AE1785" s="8" t="s">
        <v>53</v>
      </c>
      <c r="AF1785" s="8" t="s">
        <v>52</v>
      </c>
      <c r="AG1785" s="8" t="s">
        <v>54</v>
      </c>
      <c r="AH1785" s="8" t="s">
        <v>55</v>
      </c>
      <c r="AK1785" s="8">
        <v>4</v>
      </c>
      <c r="AL1785" s="8">
        <v>4</v>
      </c>
      <c r="AM1785" s="8" t="s">
        <v>793</v>
      </c>
      <c r="AN1785" s="8">
        <v>487</v>
      </c>
      <c r="AO1785" s="8" t="s">
        <v>56</v>
      </c>
      <c r="AP1785" s="8" t="s">
        <v>56</v>
      </c>
      <c r="AQ1785" s="8" t="s">
        <v>118</v>
      </c>
      <c r="AR1785" s="8">
        <v>8.08</v>
      </c>
      <c r="AS1785" s="8" t="s">
        <v>56</v>
      </c>
      <c r="AT1785" s="8" t="s">
        <v>56</v>
      </c>
      <c r="AU1785" s="8">
        <v>950</v>
      </c>
      <c r="AV1785" t="s">
        <v>56</v>
      </c>
      <c r="AW1785" t="s">
        <v>56</v>
      </c>
      <c r="AX1785">
        <v>7.86</v>
      </c>
      <c r="AY1785" t="s">
        <v>56</v>
      </c>
      <c r="AZ1785" t="s">
        <v>56</v>
      </c>
      <c r="BB1785" s="8">
        <f>LOG(AU1785)</f>
        <v>2.9777236052888476</v>
      </c>
      <c r="BC1785" s="8">
        <v>16</v>
      </c>
      <c r="BD1785" s="8" t="s">
        <v>56</v>
      </c>
      <c r="BE1785" s="8" t="s">
        <v>56</v>
      </c>
      <c r="BF1785" s="8">
        <v>27.1</v>
      </c>
      <c r="BG1785" s="8" t="s">
        <v>56</v>
      </c>
      <c r="BH1785" s="8" t="s">
        <v>56</v>
      </c>
      <c r="BI1785" s="8">
        <v>463</v>
      </c>
      <c r="BJ1785" s="8">
        <v>11</v>
      </c>
      <c r="BK1785" s="8" t="s">
        <v>56</v>
      </c>
      <c r="BL1785" s="8" t="s">
        <v>792</v>
      </c>
      <c r="BM1785" s="8" t="s">
        <v>86</v>
      </c>
      <c r="BN1785" s="8" t="s">
        <v>81</v>
      </c>
      <c r="BO1785" s="8" t="s">
        <v>82</v>
      </c>
      <c r="BP1785" s="8" t="s">
        <v>9</v>
      </c>
      <c r="BQ1785" s="8" t="s">
        <v>83</v>
      </c>
      <c r="BR1785" s="8" t="s">
        <v>84</v>
      </c>
      <c r="BT1785" s="8">
        <v>80.67</v>
      </c>
      <c r="BU1785" s="8">
        <v>80.666667000000004</v>
      </c>
      <c r="BV1785" s="8">
        <v>5.3333329999999997</v>
      </c>
      <c r="BW1785" s="8">
        <f>BV1785*SQRT(AK1785)</f>
        <v>10.666665999999999</v>
      </c>
      <c r="BX1785" s="8">
        <v>0</v>
      </c>
      <c r="BY1785" s="8">
        <v>0.80666669999999996</v>
      </c>
      <c r="BZ1785" s="8">
        <v>0</v>
      </c>
      <c r="CA1785" s="8">
        <f>BZ1785*SQRT(AL1785)</f>
        <v>0</v>
      </c>
      <c r="CB1785" s="8">
        <v>1</v>
      </c>
      <c r="CC1785" s="8">
        <v>4</v>
      </c>
      <c r="CD1785" s="8">
        <v>-4.6050000000000004</v>
      </c>
      <c r="CE1785" s="8">
        <v>4.4000000000000003E-3</v>
      </c>
      <c r="CF1785" s="8" t="s">
        <v>1134</v>
      </c>
    </row>
    <row r="1786" spans="1:84" s="8" customFormat="1" hidden="1" x14ac:dyDescent="0.2">
      <c r="A1786"/>
      <c r="B1786" t="str">
        <f>ROW()-1&amp;"_AltersInvert"</f>
        <v>1785_AltersInvert</v>
      </c>
      <c r="C1786" t="str">
        <f>D1786&amp;"_"&amp;
SUBSTITUTE(TRIM(V1786)," ","_")&amp;"_"&amp;
TRIM(AC1786)&amp;"_"&amp;
"CO2"&amp;TEXT(AN1786,"0.00")&amp;"_"&amp;
"pH"&amp;TEXT(AR1786,"0.00")&amp;"_"&amp;
"T"&amp;TEXT(BC1786,"0.##")</f>
        <v>36_Porites_panamensis_LARVA_CO2487.00_pH8.08_T28.4</v>
      </c>
      <c r="D1786">
        <v>36</v>
      </c>
      <c r="E1786"/>
      <c r="F1786"/>
      <c r="G1786" t="s">
        <v>43</v>
      </c>
      <c r="H1786" t="s">
        <v>413</v>
      </c>
      <c r="I1786"/>
      <c r="J1786">
        <v>2011</v>
      </c>
      <c r="K1786"/>
      <c r="L1786"/>
      <c r="M1786" t="s">
        <v>45</v>
      </c>
      <c r="N1786"/>
      <c r="O1786"/>
      <c r="P1786" t="s">
        <v>1135</v>
      </c>
      <c r="Q1786"/>
      <c r="R1786" t="s">
        <v>1127</v>
      </c>
      <c r="S1786" t="s">
        <v>1128</v>
      </c>
      <c r="T1786" t="s">
        <v>103</v>
      </c>
      <c r="U1786" t="s">
        <v>414</v>
      </c>
      <c r="V1786" t="s">
        <v>415</v>
      </c>
      <c r="W1786"/>
      <c r="X1786"/>
      <c r="Y1786"/>
      <c r="Z1786" t="s">
        <v>106</v>
      </c>
      <c r="AA1786" t="s">
        <v>107</v>
      </c>
      <c r="AB1786" t="s">
        <v>71</v>
      </c>
      <c r="AC1786" t="s">
        <v>72</v>
      </c>
      <c r="AD1786" t="s">
        <v>52</v>
      </c>
      <c r="AE1786" t="s">
        <v>53</v>
      </c>
      <c r="AF1786" t="s">
        <v>52</v>
      </c>
      <c r="AG1786" t="s">
        <v>54</v>
      </c>
      <c r="AH1786" t="s">
        <v>55</v>
      </c>
      <c r="AI1786"/>
      <c r="AJ1786"/>
      <c r="AK1786">
        <v>5</v>
      </c>
      <c r="AL1786">
        <v>5</v>
      </c>
      <c r="AM1786"/>
      <c r="AN1786">
        <v>487</v>
      </c>
      <c r="AO1786" t="s">
        <v>56</v>
      </c>
      <c r="AP1786">
        <v>42</v>
      </c>
      <c r="AQ1786" t="s">
        <v>57</v>
      </c>
      <c r="AR1786">
        <v>8.08</v>
      </c>
      <c r="AS1786" t="s">
        <v>56</v>
      </c>
      <c r="AT1786" t="s">
        <v>56</v>
      </c>
      <c r="AU1786">
        <v>861</v>
      </c>
      <c r="AV1786" t="s">
        <v>56</v>
      </c>
      <c r="AW1786">
        <v>93</v>
      </c>
      <c r="AX1786">
        <v>7.85</v>
      </c>
      <c r="AY1786" t="s">
        <v>56</v>
      </c>
      <c r="AZ1786" t="s">
        <v>56</v>
      </c>
      <c r="BA1786"/>
      <c r="BB1786">
        <f>LOG(AU1786)</f>
        <v>2.935003151453655</v>
      </c>
      <c r="BC1786">
        <v>28.4</v>
      </c>
      <c r="BD1786" t="s">
        <v>56</v>
      </c>
      <c r="BE1786" t="s">
        <v>56</v>
      </c>
      <c r="BF1786">
        <v>28.4</v>
      </c>
      <c r="BG1786" t="s">
        <v>56</v>
      </c>
      <c r="BH1786" t="s">
        <v>56</v>
      </c>
      <c r="BI1786">
        <v>374</v>
      </c>
      <c r="BJ1786">
        <v>0</v>
      </c>
      <c r="BK1786" t="s">
        <v>56</v>
      </c>
      <c r="BL1786" t="s">
        <v>88</v>
      </c>
      <c r="BM1786" t="s">
        <v>83</v>
      </c>
      <c r="BN1786" t="s">
        <v>81</v>
      </c>
      <c r="BO1786" t="s">
        <v>420</v>
      </c>
      <c r="BP1786" t="s">
        <v>83</v>
      </c>
      <c r="BQ1786" t="s">
        <v>83</v>
      </c>
      <c r="BR1786" t="s">
        <v>84</v>
      </c>
      <c r="BS1786"/>
      <c r="BT1786">
        <v>45.9</v>
      </c>
      <c r="BU1786">
        <v>54.1</v>
      </c>
      <c r="BV1786">
        <v>4.9000000000000004</v>
      </c>
      <c r="BW1786">
        <f>BV1786*SQRT(AK1786)</f>
        <v>10.956733089748971</v>
      </c>
      <c r="BX1786">
        <v>56</v>
      </c>
      <c r="BY1786">
        <v>44</v>
      </c>
      <c r="BZ1786">
        <v>18.7</v>
      </c>
      <c r="CA1786">
        <f>BZ1786*SQRT(AL1786)</f>
        <v>41.81447117924607</v>
      </c>
      <c r="CB1786">
        <v>10</v>
      </c>
      <c r="CC1786">
        <v>5</v>
      </c>
      <c r="CD1786">
        <v>-0.20699999999999999</v>
      </c>
      <c r="CE1786">
        <v>0.1888</v>
      </c>
      <c r="CF1786"/>
    </row>
    <row r="1787" spans="1:84" s="8" customFormat="1" hidden="1" x14ac:dyDescent="0.2">
      <c r="A1787"/>
      <c r="B1787" t="str">
        <f>ROW()-1&amp;"_AltersInvert"</f>
        <v>1786_AltersInvert</v>
      </c>
      <c r="C1787" t="str">
        <f>D1787&amp;"_"&amp;
SUBSTITUTE(TRIM(V1787)," ","_")&amp;"_"&amp;
TRIM(AC1787)&amp;"_"&amp;
"CO2"&amp;TEXT(AN1787,"0.00")&amp;"_"&amp;
"pH"&amp;TEXT(AR1787,"0.00")&amp;"_"&amp;
"T"&amp;TEXT(BC1787,"0.##")</f>
        <v>36_Porites_panamensis_LARVA_CO2487.00_pH8.08_T28.4</v>
      </c>
      <c r="D1787">
        <v>36</v>
      </c>
      <c r="E1787"/>
      <c r="F1787"/>
      <c r="G1787" t="s">
        <v>43</v>
      </c>
      <c r="H1787" t="s">
        <v>413</v>
      </c>
      <c r="I1787"/>
      <c r="J1787">
        <v>2011</v>
      </c>
      <c r="K1787"/>
      <c r="L1787"/>
      <c r="M1787" t="s">
        <v>45</v>
      </c>
      <c r="N1787"/>
      <c r="O1787"/>
      <c r="P1787" t="s">
        <v>1135</v>
      </c>
      <c r="Q1787"/>
      <c r="R1787" t="s">
        <v>1127</v>
      </c>
      <c r="S1787" t="s">
        <v>1128</v>
      </c>
      <c r="T1787" t="s">
        <v>103</v>
      </c>
      <c r="U1787" t="s">
        <v>414</v>
      </c>
      <c r="V1787" t="s">
        <v>415</v>
      </c>
      <c r="W1787"/>
      <c r="X1787"/>
      <c r="Y1787"/>
      <c r="Z1787" t="s">
        <v>106</v>
      </c>
      <c r="AA1787" t="s">
        <v>107</v>
      </c>
      <c r="AB1787" t="s">
        <v>71</v>
      </c>
      <c r="AC1787" t="s">
        <v>72</v>
      </c>
      <c r="AD1787" t="s">
        <v>52</v>
      </c>
      <c r="AE1787" t="s">
        <v>53</v>
      </c>
      <c r="AF1787" t="s">
        <v>54</v>
      </c>
      <c r="AG1787" t="s">
        <v>52</v>
      </c>
      <c r="AH1787" t="s">
        <v>65</v>
      </c>
      <c r="AI1787"/>
      <c r="AJ1787"/>
      <c r="AK1787">
        <v>5</v>
      </c>
      <c r="AL1787">
        <v>5</v>
      </c>
      <c r="AM1787"/>
      <c r="AN1787">
        <v>487</v>
      </c>
      <c r="AO1787" t="s">
        <v>56</v>
      </c>
      <c r="AP1787">
        <v>42</v>
      </c>
      <c r="AQ1787" t="s">
        <v>57</v>
      </c>
      <c r="AR1787">
        <v>8.08</v>
      </c>
      <c r="AS1787" t="s">
        <v>56</v>
      </c>
      <c r="AT1787" t="s">
        <v>56</v>
      </c>
      <c r="AU1787">
        <v>493</v>
      </c>
      <c r="AV1787" t="s">
        <v>56</v>
      </c>
      <c r="AW1787">
        <v>47</v>
      </c>
      <c r="AX1787">
        <v>8.07</v>
      </c>
      <c r="AY1787" t="s">
        <v>56</v>
      </c>
      <c r="AZ1787" t="s">
        <v>56</v>
      </c>
      <c r="BA1787"/>
      <c r="BB1787">
        <f>LOG(AU1787)</f>
        <v>2.6928469192772302</v>
      </c>
      <c r="BC1787">
        <v>28.4</v>
      </c>
      <c r="BD1787" t="s">
        <v>56</v>
      </c>
      <c r="BE1787" t="s">
        <v>56</v>
      </c>
      <c r="BF1787">
        <v>29.6</v>
      </c>
      <c r="BG1787" t="s">
        <v>56</v>
      </c>
      <c r="BH1787" t="s">
        <v>56</v>
      </c>
      <c r="BI1787">
        <v>6</v>
      </c>
      <c r="BJ1787">
        <v>1.2</v>
      </c>
      <c r="BK1787" t="s">
        <v>56</v>
      </c>
      <c r="BL1787" t="s">
        <v>88</v>
      </c>
      <c r="BM1787" t="s">
        <v>83</v>
      </c>
      <c r="BN1787" t="s">
        <v>81</v>
      </c>
      <c r="BO1787" t="s">
        <v>420</v>
      </c>
      <c r="BP1787" t="s">
        <v>83</v>
      </c>
      <c r="BQ1787" t="s">
        <v>83</v>
      </c>
      <c r="BR1787" t="s">
        <v>84</v>
      </c>
      <c r="BS1787"/>
      <c r="BT1787">
        <v>45.9</v>
      </c>
      <c r="BU1787">
        <v>54.1</v>
      </c>
      <c r="BV1787">
        <v>4.9000000000000004</v>
      </c>
      <c r="BW1787">
        <f>BV1787*SQRT(AK1787)</f>
        <v>10.956733089748971</v>
      </c>
      <c r="BX1787">
        <v>61.3</v>
      </c>
      <c r="BY1787">
        <v>38.700000000000003</v>
      </c>
      <c r="BZ1787">
        <v>13.4</v>
      </c>
      <c r="CA1787">
        <f>BZ1787*SQRT(AL1787)</f>
        <v>29.963310898497184</v>
      </c>
      <c r="CB1787">
        <v>10</v>
      </c>
      <c r="CC1787">
        <v>5</v>
      </c>
      <c r="CD1787">
        <v>-0.33500000000000002</v>
      </c>
      <c r="CE1787">
        <v>0.12809999999999999</v>
      </c>
      <c r="CF1787"/>
    </row>
    <row r="1788" spans="1:84" s="8" customFormat="1" hidden="1" x14ac:dyDescent="0.2">
      <c r="A1788"/>
      <c r="B1788" t="str">
        <f>ROW()-1&amp;"_AltersInvert"</f>
        <v>1787_AltersInvert</v>
      </c>
      <c r="C1788" t="str">
        <f>D1788&amp;"_"&amp;
SUBSTITUTE(TRIM(V1788)," ","_")&amp;"_"&amp;
TRIM(AC1788)&amp;"_"&amp;
"CO2"&amp;TEXT(AN1788,"0.00")&amp;"_"&amp;
"pH"&amp;TEXT(AR1788,"0.00")&amp;"_"&amp;
"T"&amp;TEXT(BC1788,"0.##")</f>
        <v>36_Porites_panamensis_LARVA_CO2487.00_pH8.08_T28.4</v>
      </c>
      <c r="D1788">
        <v>36</v>
      </c>
      <c r="E1788"/>
      <c r="F1788"/>
      <c r="G1788" t="s">
        <v>43</v>
      </c>
      <c r="H1788" t="s">
        <v>413</v>
      </c>
      <c r="I1788"/>
      <c r="J1788">
        <v>2011</v>
      </c>
      <c r="K1788"/>
      <c r="L1788"/>
      <c r="M1788" t="s">
        <v>45</v>
      </c>
      <c r="N1788"/>
      <c r="O1788"/>
      <c r="P1788" t="s">
        <v>1135</v>
      </c>
      <c r="Q1788"/>
      <c r="R1788" t="s">
        <v>1127</v>
      </c>
      <c r="S1788" t="s">
        <v>1128</v>
      </c>
      <c r="T1788" t="s">
        <v>103</v>
      </c>
      <c r="U1788" t="s">
        <v>414</v>
      </c>
      <c r="V1788" t="s">
        <v>415</v>
      </c>
      <c r="W1788"/>
      <c r="X1788"/>
      <c r="Y1788"/>
      <c r="Z1788" t="s">
        <v>106</v>
      </c>
      <c r="AA1788" t="s">
        <v>107</v>
      </c>
      <c r="AB1788" t="s">
        <v>71</v>
      </c>
      <c r="AC1788" t="s">
        <v>72</v>
      </c>
      <c r="AD1788" t="s">
        <v>52</v>
      </c>
      <c r="AE1788" t="s">
        <v>53</v>
      </c>
      <c r="AF1788" t="s">
        <v>52</v>
      </c>
      <c r="AG1788" t="s">
        <v>52</v>
      </c>
      <c r="AH1788" t="s">
        <v>64</v>
      </c>
      <c r="AI1788"/>
      <c r="AJ1788"/>
      <c r="AK1788">
        <v>5</v>
      </c>
      <c r="AL1788">
        <v>4</v>
      </c>
      <c r="AM1788"/>
      <c r="AN1788">
        <v>487</v>
      </c>
      <c r="AO1788" t="s">
        <v>56</v>
      </c>
      <c r="AP1788">
        <v>42</v>
      </c>
      <c r="AQ1788" t="s">
        <v>57</v>
      </c>
      <c r="AR1788">
        <v>8.08</v>
      </c>
      <c r="AS1788" t="s">
        <v>56</v>
      </c>
      <c r="AT1788" t="s">
        <v>56</v>
      </c>
      <c r="AU1788">
        <v>950</v>
      </c>
      <c r="AV1788" t="s">
        <v>56</v>
      </c>
      <c r="AW1788">
        <v>94</v>
      </c>
      <c r="AX1788">
        <v>7.83</v>
      </c>
      <c r="AY1788" t="s">
        <v>56</v>
      </c>
      <c r="AZ1788" t="s">
        <v>56</v>
      </c>
      <c r="BA1788"/>
      <c r="BB1788">
        <f>LOG(AU1788)</f>
        <v>2.9777236052888476</v>
      </c>
      <c r="BC1788">
        <v>28.4</v>
      </c>
      <c r="BD1788" t="s">
        <v>56</v>
      </c>
      <c r="BE1788" t="s">
        <v>56</v>
      </c>
      <c r="BF1788">
        <v>29.5</v>
      </c>
      <c r="BG1788" t="s">
        <v>56</v>
      </c>
      <c r="BH1788" t="s">
        <v>56</v>
      </c>
      <c r="BI1788">
        <v>463</v>
      </c>
      <c r="BJ1788">
        <v>1.1000000000000001</v>
      </c>
      <c r="BK1788" t="s">
        <v>56</v>
      </c>
      <c r="BL1788" t="s">
        <v>88</v>
      </c>
      <c r="BM1788" t="s">
        <v>83</v>
      </c>
      <c r="BN1788" t="s">
        <v>81</v>
      </c>
      <c r="BO1788" t="s">
        <v>420</v>
      </c>
      <c r="BP1788" t="s">
        <v>83</v>
      </c>
      <c r="BQ1788" t="s">
        <v>83</v>
      </c>
      <c r="BR1788" t="s">
        <v>84</v>
      </c>
      <c r="BS1788"/>
      <c r="BT1788">
        <v>45.9</v>
      </c>
      <c r="BU1788">
        <v>54.1</v>
      </c>
      <c r="BV1788">
        <v>4.9000000000000004</v>
      </c>
      <c r="BW1788">
        <f>BV1788*SQRT(AK1788)</f>
        <v>10.956733089748971</v>
      </c>
      <c r="BX1788">
        <v>39</v>
      </c>
      <c r="BY1788">
        <v>61</v>
      </c>
      <c r="BZ1788">
        <v>12.2</v>
      </c>
      <c r="CA1788">
        <f>BZ1788*SQRT(AL1788)</f>
        <v>24.4</v>
      </c>
      <c r="CB1788">
        <v>10</v>
      </c>
      <c r="CC1788">
        <v>5</v>
      </c>
      <c r="CD1788">
        <v>0.12</v>
      </c>
      <c r="CE1788">
        <v>4.82E-2</v>
      </c>
      <c r="CF1788"/>
    </row>
    <row r="1789" spans="1:84" hidden="1" x14ac:dyDescent="0.2">
      <c r="B1789" t="str">
        <f>ROW()-1&amp;"_AltersInvert"</f>
        <v>1788_AltersInvert</v>
      </c>
      <c r="C1789" t="str">
        <f>D1789&amp;"_"&amp;
SUBSTITUTE(TRIM(V1789)," ","_")&amp;"_"&amp;
TRIM(AC1789)&amp;"_"&amp;
"CO2"&amp;TEXT(AN1789,"0.00")&amp;"_"&amp;
"pH"&amp;TEXT(AR1789,"0.00")&amp;"_"&amp;
"T"&amp;TEXT(BC1789,"0.##")</f>
        <v>99_Tripneustes_gratilla_LARVA_CO2491.00_pH8.12_T24.4</v>
      </c>
      <c r="D1789">
        <v>99</v>
      </c>
      <c r="G1789" t="s">
        <v>43</v>
      </c>
      <c r="H1789" t="s">
        <v>765</v>
      </c>
      <c r="J1789">
        <v>2019</v>
      </c>
      <c r="M1789" t="s">
        <v>766</v>
      </c>
      <c r="P1789" t="s">
        <v>1135</v>
      </c>
      <c r="R1789" t="s">
        <v>1127</v>
      </c>
      <c r="S1789" t="s">
        <v>1128</v>
      </c>
      <c r="T1789" t="s">
        <v>46</v>
      </c>
      <c r="U1789" t="s">
        <v>422</v>
      </c>
      <c r="V1789" t="s">
        <v>423</v>
      </c>
      <c r="Z1789" t="s">
        <v>106</v>
      </c>
      <c r="AA1789" t="s">
        <v>107</v>
      </c>
      <c r="AB1789" t="s">
        <v>71</v>
      </c>
      <c r="AC1789" t="s">
        <v>72</v>
      </c>
      <c r="AD1789" t="s">
        <v>54</v>
      </c>
      <c r="AE1789" t="s">
        <v>53</v>
      </c>
      <c r="AF1789" t="s">
        <v>52</v>
      </c>
      <c r="AG1789" t="s">
        <v>54</v>
      </c>
      <c r="AH1789" t="s">
        <v>55</v>
      </c>
      <c r="AK1789">
        <v>7</v>
      </c>
      <c r="AL1789">
        <v>7</v>
      </c>
      <c r="AN1789">
        <v>491</v>
      </c>
      <c r="AO1789">
        <v>12</v>
      </c>
      <c r="AP1789" t="s">
        <v>56</v>
      </c>
      <c r="AQ1789" t="s">
        <v>118</v>
      </c>
      <c r="AR1789">
        <v>8.1199999999999992</v>
      </c>
      <c r="AS1789">
        <v>0.01</v>
      </c>
      <c r="AT1789" t="s">
        <v>56</v>
      </c>
      <c r="AU1789">
        <v>1583</v>
      </c>
      <c r="AV1789">
        <v>36</v>
      </c>
      <c r="AW1789" t="s">
        <v>56</v>
      </c>
      <c r="AX1789">
        <v>7.67</v>
      </c>
      <c r="AY1789">
        <v>0.01</v>
      </c>
      <c r="AZ1789" t="s">
        <v>56</v>
      </c>
      <c r="BB1789">
        <f>LOG(AU1789)</f>
        <v>3.199480914862356</v>
      </c>
      <c r="BC1789">
        <v>24.4</v>
      </c>
      <c r="BD1789">
        <v>0.1</v>
      </c>
      <c r="BE1789" t="s">
        <v>56</v>
      </c>
      <c r="BF1789">
        <v>24.5</v>
      </c>
      <c r="BG1789">
        <v>0.1</v>
      </c>
      <c r="BH1789" t="s">
        <v>56</v>
      </c>
      <c r="BI1789">
        <v>1092</v>
      </c>
      <c r="BJ1789">
        <v>0.1</v>
      </c>
      <c r="BK1789" t="s">
        <v>767</v>
      </c>
      <c r="BL1789" t="s">
        <v>83</v>
      </c>
      <c r="BM1789" t="s">
        <v>83</v>
      </c>
      <c r="BN1789" t="s">
        <v>81</v>
      </c>
      <c r="BO1789" t="s">
        <v>82</v>
      </c>
      <c r="BP1789" t="s">
        <v>83</v>
      </c>
      <c r="BQ1789" t="s">
        <v>83</v>
      </c>
      <c r="BR1789" t="s">
        <v>84</v>
      </c>
      <c r="BT1789">
        <v>20.73</v>
      </c>
      <c r="BU1789">
        <v>20.726073</v>
      </c>
      <c r="BV1789">
        <v>4.62</v>
      </c>
      <c r="BW1789">
        <f>BV1789*SQRT(AK1789)</f>
        <v>12.22337105711841</v>
      </c>
      <c r="BX1789">
        <v>19.93</v>
      </c>
      <c r="BY1789">
        <v>19.933993399999999</v>
      </c>
      <c r="BZ1789">
        <v>6.73</v>
      </c>
      <c r="CA1789">
        <f>BZ1789*SQRT(AL1789)</f>
        <v>17.805906323464697</v>
      </c>
      <c r="CB1789">
        <v>28</v>
      </c>
      <c r="CC1789">
        <v>7</v>
      </c>
      <c r="CD1789">
        <v>-3.9E-2</v>
      </c>
      <c r="CE1789">
        <v>0.1638</v>
      </c>
      <c r="CF1789" s="8"/>
    </row>
    <row r="1790" spans="1:84" hidden="1" x14ac:dyDescent="0.2">
      <c r="B1790" t="str">
        <f>ROW()-1&amp;"_AltersInvert"</f>
        <v>1789_AltersInvert</v>
      </c>
      <c r="C1790" t="str">
        <f>D1790&amp;"_"&amp;
SUBSTITUTE(TRIM(V1790)," ","_")&amp;"_"&amp;
TRIM(AC1790)&amp;"_"&amp;
"CO2"&amp;TEXT(AN1790,"0.00")&amp;"_"&amp;
"pH"&amp;TEXT(AR1790,"0.00")&amp;"_"&amp;
"T"&amp;TEXT(BC1790,"0.##")</f>
        <v>99_Tripneustes_gratilla_LARVA_CO2491.00_pH8.12_T24.4</v>
      </c>
      <c r="D1790">
        <v>99</v>
      </c>
      <c r="G1790" t="s">
        <v>43</v>
      </c>
      <c r="H1790" t="s">
        <v>765</v>
      </c>
      <c r="J1790">
        <v>2019</v>
      </c>
      <c r="M1790" t="s">
        <v>766</v>
      </c>
      <c r="P1790" t="s">
        <v>1135</v>
      </c>
      <c r="R1790" t="s">
        <v>1127</v>
      </c>
      <c r="S1790" t="s">
        <v>1128</v>
      </c>
      <c r="T1790" t="s">
        <v>46</v>
      </c>
      <c r="U1790" t="s">
        <v>422</v>
      </c>
      <c r="V1790" t="s">
        <v>423</v>
      </c>
      <c r="Z1790" t="s">
        <v>106</v>
      </c>
      <c r="AA1790" t="s">
        <v>107</v>
      </c>
      <c r="AB1790" t="s">
        <v>71</v>
      </c>
      <c r="AC1790" t="s">
        <v>72</v>
      </c>
      <c r="AD1790" t="s">
        <v>54</v>
      </c>
      <c r="AE1790" t="s">
        <v>53</v>
      </c>
      <c r="AF1790" t="s">
        <v>52</v>
      </c>
      <c r="AG1790" t="s">
        <v>54</v>
      </c>
      <c r="AH1790" t="s">
        <v>55</v>
      </c>
      <c r="AK1790">
        <v>7</v>
      </c>
      <c r="AL1790">
        <v>7</v>
      </c>
      <c r="AN1790">
        <v>491</v>
      </c>
      <c r="AO1790">
        <v>12</v>
      </c>
      <c r="AP1790" t="s">
        <v>56</v>
      </c>
      <c r="AQ1790" t="s">
        <v>118</v>
      </c>
      <c r="AR1790">
        <v>8.1199999999999992</v>
      </c>
      <c r="AS1790">
        <v>0.01</v>
      </c>
      <c r="AT1790" t="s">
        <v>56</v>
      </c>
      <c r="AU1790">
        <v>930</v>
      </c>
      <c r="AV1790">
        <v>18</v>
      </c>
      <c r="AW1790" t="s">
        <v>56</v>
      </c>
      <c r="AX1790">
        <v>7.87</v>
      </c>
      <c r="AY1790">
        <v>0.01</v>
      </c>
      <c r="AZ1790" t="s">
        <v>56</v>
      </c>
      <c r="BB1790">
        <f>LOG(AU1790)</f>
        <v>2.9684829485539352</v>
      </c>
      <c r="BC1790">
        <v>24.4</v>
      </c>
      <c r="BD1790">
        <v>0.1</v>
      </c>
      <c r="BE1790" t="s">
        <v>56</v>
      </c>
      <c r="BF1790">
        <v>24.3</v>
      </c>
      <c r="BG1790">
        <v>0.1</v>
      </c>
      <c r="BH1790" t="s">
        <v>56</v>
      </c>
      <c r="BI1790">
        <v>440</v>
      </c>
      <c r="BJ1790">
        <v>-0.1</v>
      </c>
      <c r="BK1790" t="s">
        <v>767</v>
      </c>
      <c r="BL1790" t="s">
        <v>83</v>
      </c>
      <c r="BM1790" t="s">
        <v>83</v>
      </c>
      <c r="BN1790" t="s">
        <v>81</v>
      </c>
      <c r="BO1790" t="s">
        <v>82</v>
      </c>
      <c r="BP1790" t="s">
        <v>83</v>
      </c>
      <c r="BQ1790" t="s">
        <v>83</v>
      </c>
      <c r="BR1790" t="s">
        <v>84</v>
      </c>
      <c r="BT1790">
        <v>20.73</v>
      </c>
      <c r="BU1790">
        <v>20.726073</v>
      </c>
      <c r="BV1790">
        <v>4.62</v>
      </c>
      <c r="BW1790">
        <f>BV1790*SQRT(AK1790)</f>
        <v>12.22337105711841</v>
      </c>
      <c r="BX1790">
        <v>24.95</v>
      </c>
      <c r="BY1790">
        <v>24.950495</v>
      </c>
      <c r="BZ1790">
        <v>5.68</v>
      </c>
      <c r="CA1790">
        <f>BZ1790*SQRT(AL1790)</f>
        <v>15.027867446846875</v>
      </c>
      <c r="CB1790">
        <v>28</v>
      </c>
      <c r="CC1790">
        <v>7</v>
      </c>
      <c r="CD1790">
        <v>0.186</v>
      </c>
      <c r="CE1790">
        <v>0.10150000000000001</v>
      </c>
      <c r="CF1790" s="8"/>
    </row>
    <row r="1791" spans="1:84" hidden="1" x14ac:dyDescent="0.2">
      <c r="B1791" t="str">
        <f>ROW()-1&amp;"_AltersInvert"</f>
        <v>1790_AltersInvert</v>
      </c>
      <c r="C1791" t="str">
        <f>D1791&amp;"_"&amp;
SUBSTITUTE(TRIM(V1791)," ","_")&amp;"_"&amp;
TRIM(AC1791)&amp;"_"&amp;
"CO2"&amp;TEXT(AN1791,"0.00")&amp;"_"&amp;
"pH"&amp;TEXT(AR1791,"0.00")&amp;"_"&amp;
"T"&amp;TEXT(BC1791,"0.##")</f>
        <v>99_Tripneustes_gratilla_LARVA_CO2491.00_pH8.12_T24.4</v>
      </c>
      <c r="D1791">
        <v>99</v>
      </c>
      <c r="G1791" t="s">
        <v>43</v>
      </c>
      <c r="H1791" t="s">
        <v>765</v>
      </c>
      <c r="J1791">
        <v>2019</v>
      </c>
      <c r="M1791" t="s">
        <v>766</v>
      </c>
      <c r="P1791" t="s">
        <v>1135</v>
      </c>
      <c r="R1791" t="s">
        <v>1127</v>
      </c>
      <c r="S1791" t="s">
        <v>1128</v>
      </c>
      <c r="T1791" t="s">
        <v>46</v>
      </c>
      <c r="U1791" t="s">
        <v>422</v>
      </c>
      <c r="V1791" t="s">
        <v>423</v>
      </c>
      <c r="Z1791" t="s">
        <v>106</v>
      </c>
      <c r="AA1791" t="s">
        <v>107</v>
      </c>
      <c r="AB1791" t="s">
        <v>71</v>
      </c>
      <c r="AC1791" t="s">
        <v>72</v>
      </c>
      <c r="AD1791" t="s">
        <v>54</v>
      </c>
      <c r="AE1791" t="s">
        <v>53</v>
      </c>
      <c r="AF1791" t="s">
        <v>54</v>
      </c>
      <c r="AG1791" t="s">
        <v>52</v>
      </c>
      <c r="AH1791" t="s">
        <v>65</v>
      </c>
      <c r="AK1791">
        <v>7</v>
      </c>
      <c r="AL1791">
        <v>7</v>
      </c>
      <c r="AN1791">
        <v>491</v>
      </c>
      <c r="AO1791">
        <v>12</v>
      </c>
      <c r="AP1791" t="s">
        <v>56</v>
      </c>
      <c r="AQ1791" t="s">
        <v>118</v>
      </c>
      <c r="AR1791">
        <v>8.1199999999999992</v>
      </c>
      <c r="AS1791">
        <v>0.01</v>
      </c>
      <c r="AT1791" t="s">
        <v>56</v>
      </c>
      <c r="AU1791">
        <v>513</v>
      </c>
      <c r="AV1791">
        <v>12</v>
      </c>
      <c r="AW1791" t="s">
        <v>56</v>
      </c>
      <c r="AX1791">
        <v>8.1</v>
      </c>
      <c r="AY1791">
        <v>0.01</v>
      </c>
      <c r="AZ1791" t="s">
        <v>56</v>
      </c>
      <c r="BB1791">
        <f>LOG(AU1791)</f>
        <v>2.7101173651118162</v>
      </c>
      <c r="BC1791">
        <v>24.4</v>
      </c>
      <c r="BD1791">
        <v>0.1</v>
      </c>
      <c r="BE1791" t="s">
        <v>56</v>
      </c>
      <c r="BF1791">
        <v>26.8</v>
      </c>
      <c r="BG1791">
        <v>0.1</v>
      </c>
      <c r="BH1791" t="s">
        <v>56</v>
      </c>
      <c r="BI1791">
        <v>22</v>
      </c>
      <c r="BJ1791">
        <v>2.4</v>
      </c>
      <c r="BK1791" t="s">
        <v>767</v>
      </c>
      <c r="BL1791" t="s">
        <v>83</v>
      </c>
      <c r="BM1791" t="s">
        <v>83</v>
      </c>
      <c r="BN1791" t="s">
        <v>81</v>
      </c>
      <c r="BO1791" t="s">
        <v>82</v>
      </c>
      <c r="BP1791" t="s">
        <v>83</v>
      </c>
      <c r="BQ1791" t="s">
        <v>83</v>
      </c>
      <c r="BR1791" t="s">
        <v>84</v>
      </c>
      <c r="BT1791">
        <v>20.73</v>
      </c>
      <c r="BU1791">
        <v>20.726073</v>
      </c>
      <c r="BV1791">
        <v>4.62</v>
      </c>
      <c r="BW1791">
        <f>BV1791*SQRT(AK1791)</f>
        <v>12.22337105711841</v>
      </c>
      <c r="BX1791">
        <v>20.46</v>
      </c>
      <c r="BY1791">
        <v>20.4620462</v>
      </c>
      <c r="BZ1791">
        <v>5.94</v>
      </c>
      <c r="CA1791">
        <f>BZ1791*SQRT(AL1791)</f>
        <v>15.715762787723669</v>
      </c>
      <c r="CB1791">
        <v>28</v>
      </c>
      <c r="CC1791">
        <v>7</v>
      </c>
      <c r="CD1791">
        <v>-1.2999999999999999E-2</v>
      </c>
      <c r="CE1791">
        <v>0.13400000000000001</v>
      </c>
      <c r="CF1791" s="8"/>
    </row>
    <row r="1792" spans="1:84" hidden="1" x14ac:dyDescent="0.2">
      <c r="B1792" t="str">
        <f>ROW()-1&amp;"_AltersInvert"</f>
        <v>1791_AltersInvert</v>
      </c>
      <c r="C1792" t="str">
        <f>D1792&amp;"_"&amp;
SUBSTITUTE(TRIM(V1792)," ","_")&amp;"_"&amp;
TRIM(AC1792)&amp;"_"&amp;
"CO2"&amp;TEXT(AN1792,"0.00")&amp;"_"&amp;
"pH"&amp;TEXT(AR1792,"0.00")&amp;"_"&amp;
"T"&amp;TEXT(BC1792,"0.##")</f>
        <v>99_Tripneustes_gratilla_LARVA_CO2491.00_pH8.12_T24.4</v>
      </c>
      <c r="D1792">
        <v>99</v>
      </c>
      <c r="G1792" t="s">
        <v>43</v>
      </c>
      <c r="H1792" t="s">
        <v>765</v>
      </c>
      <c r="J1792">
        <v>2019</v>
      </c>
      <c r="M1792" t="s">
        <v>766</v>
      </c>
      <c r="P1792" t="s">
        <v>1135</v>
      </c>
      <c r="R1792" t="s">
        <v>1127</v>
      </c>
      <c r="S1792" t="s">
        <v>1128</v>
      </c>
      <c r="T1792" t="s">
        <v>46</v>
      </c>
      <c r="U1792" t="s">
        <v>422</v>
      </c>
      <c r="V1792" t="s">
        <v>423</v>
      </c>
      <c r="Z1792" t="s">
        <v>106</v>
      </c>
      <c r="AA1792" t="s">
        <v>107</v>
      </c>
      <c r="AB1792" t="s">
        <v>71</v>
      </c>
      <c r="AC1792" t="s">
        <v>72</v>
      </c>
      <c r="AD1792" t="s">
        <v>54</v>
      </c>
      <c r="AE1792" t="s">
        <v>53</v>
      </c>
      <c r="AF1792" t="s">
        <v>52</v>
      </c>
      <c r="AG1792" t="s">
        <v>52</v>
      </c>
      <c r="AH1792" t="s">
        <v>64</v>
      </c>
      <c r="AK1792">
        <v>7</v>
      </c>
      <c r="AL1792">
        <v>7</v>
      </c>
      <c r="AN1792">
        <v>491</v>
      </c>
      <c r="AO1792">
        <v>12</v>
      </c>
      <c r="AP1792" t="s">
        <v>56</v>
      </c>
      <c r="AQ1792" t="s">
        <v>118</v>
      </c>
      <c r="AR1792">
        <v>8.1199999999999992</v>
      </c>
      <c r="AS1792">
        <v>0.01</v>
      </c>
      <c r="AT1792" t="s">
        <v>56</v>
      </c>
      <c r="AU1792">
        <v>1704</v>
      </c>
      <c r="AV1792">
        <v>32</v>
      </c>
      <c r="AW1792" t="s">
        <v>56</v>
      </c>
      <c r="AX1792">
        <v>7.65</v>
      </c>
      <c r="AY1792">
        <v>0.01</v>
      </c>
      <c r="AZ1792" t="s">
        <v>56</v>
      </c>
      <c r="BB1792">
        <f>LOG(AU1792)</f>
        <v>3.2314695904306814</v>
      </c>
      <c r="BC1792">
        <v>24.4</v>
      </c>
      <c r="BD1792">
        <v>0.1</v>
      </c>
      <c r="BE1792" t="s">
        <v>56</v>
      </c>
      <c r="BF1792">
        <v>27</v>
      </c>
      <c r="BG1792">
        <v>0.1</v>
      </c>
      <c r="BH1792" t="s">
        <v>56</v>
      </c>
      <c r="BI1792">
        <v>1213</v>
      </c>
      <c r="BJ1792">
        <v>2.6</v>
      </c>
      <c r="BK1792" t="s">
        <v>767</v>
      </c>
      <c r="BL1792" t="s">
        <v>83</v>
      </c>
      <c r="BM1792" t="s">
        <v>83</v>
      </c>
      <c r="BN1792" t="s">
        <v>81</v>
      </c>
      <c r="BO1792" t="s">
        <v>82</v>
      </c>
      <c r="BP1792" t="s">
        <v>83</v>
      </c>
      <c r="BQ1792" t="s">
        <v>83</v>
      </c>
      <c r="BR1792" t="s">
        <v>84</v>
      </c>
      <c r="BT1792">
        <v>20.73</v>
      </c>
      <c r="BU1792">
        <v>20.726073</v>
      </c>
      <c r="BV1792">
        <v>4.62</v>
      </c>
      <c r="BW1792">
        <f>BV1792*SQRT(AK1792)</f>
        <v>12.22337105711841</v>
      </c>
      <c r="BX1792">
        <v>9.11</v>
      </c>
      <c r="BY1792">
        <v>9.1089108999999997</v>
      </c>
      <c r="BZ1792">
        <v>4.09</v>
      </c>
      <c r="CA1792">
        <f>BZ1792*SQRT(AL1792)</f>
        <v>10.821122862254176</v>
      </c>
      <c r="CB1792">
        <v>28</v>
      </c>
      <c r="CC1792">
        <v>7</v>
      </c>
      <c r="CD1792">
        <v>-0.82199999999999995</v>
      </c>
      <c r="CE1792">
        <v>0.2515</v>
      </c>
      <c r="CF1792" s="8"/>
    </row>
    <row r="1793" spans="2:84" hidden="1" x14ac:dyDescent="0.2">
      <c r="B1793" t="str">
        <f>ROW()-1&amp;"_AltersInvert"</f>
        <v>1792_AltersInvert</v>
      </c>
      <c r="C1793" t="str">
        <f>D1793&amp;"_"&amp;
SUBSTITUTE(TRIM(V1793)," ","_")&amp;"_"&amp;
TRIM(AC1793)&amp;"_"&amp;
"CO2"&amp;TEXT(AN1793,"0.00")&amp;"_"&amp;
"pH"&amp;TEXT(AR1793,"0.00")&amp;"_"&amp;
"T"&amp;TEXT(BC1793,"0.##")</f>
        <v>99_Tripneustes_gratilla_LARVA_CO2491.00_pH8.12_T24.4</v>
      </c>
      <c r="D1793">
        <v>99</v>
      </c>
      <c r="G1793" t="s">
        <v>43</v>
      </c>
      <c r="H1793" t="s">
        <v>765</v>
      </c>
      <c r="J1793">
        <v>2019</v>
      </c>
      <c r="M1793" t="s">
        <v>766</v>
      </c>
      <c r="P1793" t="s">
        <v>1135</v>
      </c>
      <c r="R1793" t="s">
        <v>1127</v>
      </c>
      <c r="S1793" t="s">
        <v>1128</v>
      </c>
      <c r="T1793" t="s">
        <v>46</v>
      </c>
      <c r="U1793" t="s">
        <v>422</v>
      </c>
      <c r="V1793" t="s">
        <v>423</v>
      </c>
      <c r="Z1793" t="s">
        <v>106</v>
      </c>
      <c r="AA1793" t="s">
        <v>107</v>
      </c>
      <c r="AB1793" t="s">
        <v>71</v>
      </c>
      <c r="AC1793" t="s">
        <v>72</v>
      </c>
      <c r="AD1793" t="s">
        <v>54</v>
      </c>
      <c r="AE1793" t="s">
        <v>53</v>
      </c>
      <c r="AF1793" t="s">
        <v>52</v>
      </c>
      <c r="AG1793" t="s">
        <v>52</v>
      </c>
      <c r="AH1793" t="s">
        <v>64</v>
      </c>
      <c r="AK1793">
        <v>7</v>
      </c>
      <c r="AL1793">
        <v>7</v>
      </c>
      <c r="AN1793">
        <v>491</v>
      </c>
      <c r="AO1793">
        <v>12</v>
      </c>
      <c r="AP1793" t="s">
        <v>56</v>
      </c>
      <c r="AQ1793" t="s">
        <v>118</v>
      </c>
      <c r="AR1793">
        <v>8.1199999999999992</v>
      </c>
      <c r="AS1793">
        <v>0.01</v>
      </c>
      <c r="AT1793" t="s">
        <v>56</v>
      </c>
      <c r="AU1793">
        <v>1006</v>
      </c>
      <c r="AV1793">
        <v>18</v>
      </c>
      <c r="AW1793" t="s">
        <v>56</v>
      </c>
      <c r="AX1793">
        <v>7.85</v>
      </c>
      <c r="AY1793">
        <v>0.01</v>
      </c>
      <c r="AZ1793" t="s">
        <v>56</v>
      </c>
      <c r="BB1793">
        <f>LOG(AU1793)</f>
        <v>3.0025979807199086</v>
      </c>
      <c r="BC1793">
        <v>24.4</v>
      </c>
      <c r="BD1793">
        <v>0.1</v>
      </c>
      <c r="BE1793" t="s">
        <v>56</v>
      </c>
      <c r="BF1793">
        <v>26.7</v>
      </c>
      <c r="BG1793">
        <v>0.1</v>
      </c>
      <c r="BH1793" t="s">
        <v>56</v>
      </c>
      <c r="BI1793">
        <v>515</v>
      </c>
      <c r="BJ1793">
        <v>2.2999999999999998</v>
      </c>
      <c r="BK1793" t="s">
        <v>767</v>
      </c>
      <c r="BL1793" t="s">
        <v>83</v>
      </c>
      <c r="BM1793" t="s">
        <v>83</v>
      </c>
      <c r="BN1793" t="s">
        <v>81</v>
      </c>
      <c r="BO1793" t="s">
        <v>82</v>
      </c>
      <c r="BP1793" t="s">
        <v>83</v>
      </c>
      <c r="BQ1793" t="s">
        <v>83</v>
      </c>
      <c r="BR1793" t="s">
        <v>84</v>
      </c>
      <c r="BT1793">
        <v>20.73</v>
      </c>
      <c r="BU1793">
        <v>20.726073</v>
      </c>
      <c r="BV1793">
        <v>4.62</v>
      </c>
      <c r="BW1793">
        <f>BV1793*SQRT(AK1793)</f>
        <v>12.22337105711841</v>
      </c>
      <c r="BX1793">
        <v>16.239999999999998</v>
      </c>
      <c r="BY1793">
        <v>16.237623800000001</v>
      </c>
      <c r="BZ1793">
        <v>4.3600000000000003</v>
      </c>
      <c r="CA1793">
        <f>BZ1793*SQRT(AL1793)</f>
        <v>11.535475716241617</v>
      </c>
      <c r="CB1793">
        <v>28</v>
      </c>
      <c r="CC1793">
        <v>7</v>
      </c>
      <c r="CD1793">
        <v>-0.24399999999999999</v>
      </c>
      <c r="CE1793">
        <v>0.1217</v>
      </c>
      <c r="CF1793" s="8"/>
    </row>
    <row r="1794" spans="2:84" hidden="1" x14ac:dyDescent="0.2">
      <c r="B1794" t="str">
        <f>ROW()-1&amp;"_AltersInvert"</f>
        <v>1793_AltersInvert</v>
      </c>
      <c r="C1794" t="str">
        <f>D1794&amp;"_"&amp;
SUBSTITUTE(TRIM(V1794)," ","_")&amp;"_"&amp;
TRIM(AC1794)&amp;"_"&amp;
"CO2"&amp;TEXT(AN1794,"0.00")&amp;"_"&amp;
"pH"&amp;TEXT(AR1794,"0.00")&amp;"_"&amp;
"T"&amp;TEXT(BC1794,"0.##")</f>
        <v>48_Arbacia_lixula_LARVA_CO2418.00_pH8.17_T20.3</v>
      </c>
      <c r="D1794">
        <v>48</v>
      </c>
      <c r="G1794" t="s">
        <v>43</v>
      </c>
      <c r="H1794" t="s">
        <v>506</v>
      </c>
      <c r="J1794">
        <v>2017</v>
      </c>
      <c r="M1794" t="s">
        <v>94</v>
      </c>
      <c r="P1794" t="s">
        <v>1135</v>
      </c>
      <c r="R1794" t="s">
        <v>1127</v>
      </c>
      <c r="S1794" t="s">
        <v>1128</v>
      </c>
      <c r="T1794" t="s">
        <v>46</v>
      </c>
      <c r="U1794" t="s">
        <v>507</v>
      </c>
      <c r="V1794" t="s">
        <v>508</v>
      </c>
      <c r="Z1794" t="s">
        <v>509</v>
      </c>
      <c r="AA1794" t="s">
        <v>49</v>
      </c>
      <c r="AB1794" t="s">
        <v>71</v>
      </c>
      <c r="AC1794" t="s">
        <v>72</v>
      </c>
      <c r="AD1794" t="s">
        <v>52</v>
      </c>
      <c r="AE1794" t="s">
        <v>53</v>
      </c>
      <c r="AF1794" t="s">
        <v>52</v>
      </c>
      <c r="AG1794" t="s">
        <v>54</v>
      </c>
      <c r="AH1794" t="s">
        <v>55</v>
      </c>
      <c r="AK1794">
        <v>25</v>
      </c>
      <c r="AL1794">
        <v>25</v>
      </c>
      <c r="AN1794">
        <v>418</v>
      </c>
      <c r="AO1794">
        <v>3</v>
      </c>
      <c r="AP1794" t="s">
        <v>56</v>
      </c>
      <c r="AQ1794" t="s">
        <v>57</v>
      </c>
      <c r="AR1794">
        <v>8.17</v>
      </c>
      <c r="AS1794">
        <v>0.02</v>
      </c>
      <c r="AT1794" t="s">
        <v>56</v>
      </c>
      <c r="AU1794">
        <v>921</v>
      </c>
      <c r="AV1794">
        <v>5</v>
      </c>
      <c r="AW1794" t="s">
        <v>56</v>
      </c>
      <c r="AX1794">
        <v>7.88</v>
      </c>
      <c r="AY1794">
        <v>0.02</v>
      </c>
      <c r="AZ1794" t="s">
        <v>56</v>
      </c>
      <c r="BB1794">
        <f>LOG(AU1794)</f>
        <v>2.9642596301968491</v>
      </c>
      <c r="BC1794">
        <v>20.3</v>
      </c>
      <c r="BD1794">
        <v>0.1</v>
      </c>
      <c r="BE1794" t="s">
        <v>56</v>
      </c>
      <c r="BF1794">
        <v>20.2</v>
      </c>
      <c r="BG1794">
        <v>0.1</v>
      </c>
      <c r="BH1794" t="s">
        <v>56</v>
      </c>
      <c r="BI1794">
        <v>503</v>
      </c>
      <c r="BJ1794">
        <v>-0.1</v>
      </c>
      <c r="BK1794" t="s">
        <v>56</v>
      </c>
      <c r="BL1794" t="s">
        <v>511</v>
      </c>
      <c r="BM1794" t="s">
        <v>90</v>
      </c>
      <c r="BN1794" t="s">
        <v>81</v>
      </c>
      <c r="BO1794" t="s">
        <v>91</v>
      </c>
      <c r="BP1794" t="s">
        <v>92</v>
      </c>
      <c r="BQ1794" t="s">
        <v>92</v>
      </c>
      <c r="BR1794" t="s">
        <v>63</v>
      </c>
      <c r="BT1794">
        <v>97.86</v>
      </c>
      <c r="BU1794">
        <v>97.864078000000006</v>
      </c>
      <c r="BV1794">
        <v>2.4900000000000002</v>
      </c>
      <c r="BW1794">
        <f>BV1794*SQRT(AK1794)</f>
        <v>12.450000000000001</v>
      </c>
      <c r="BX1794">
        <v>119.3</v>
      </c>
      <c r="BY1794">
        <v>119.3009709</v>
      </c>
      <c r="BZ1794">
        <v>1.86</v>
      </c>
      <c r="CA1794">
        <f>BZ1794*SQRT(AL1794)</f>
        <v>9.3000000000000007</v>
      </c>
      <c r="CB1794">
        <v>2</v>
      </c>
      <c r="CC1794">
        <v>6</v>
      </c>
      <c r="CD1794">
        <v>0.19800000000000001</v>
      </c>
      <c r="CE1794">
        <v>8.9999999999999998E-4</v>
      </c>
      <c r="CF1794" s="8"/>
    </row>
    <row r="1795" spans="2:84" hidden="1" x14ac:dyDescent="0.2">
      <c r="B1795" t="str">
        <f>ROW()-1&amp;"_AltersInvert"</f>
        <v>1794_AltersInvert</v>
      </c>
      <c r="C1795" t="str">
        <f>D1795&amp;"_"&amp;
SUBSTITUTE(TRIM(V1795)," ","_")&amp;"_"&amp;
TRIM(AC1795)&amp;"_"&amp;
"CO2"&amp;TEXT(AN1795,"0.00")&amp;"_"&amp;
"pH"&amp;TEXT(AR1795,"0.00")&amp;"_"&amp;
"T"&amp;TEXT(BC1795,"0.##")</f>
        <v>48_Arbacia_lixula_LARVA_CO2418.00_pH8.17_T20.3</v>
      </c>
      <c r="D1795">
        <v>48</v>
      </c>
      <c r="G1795" t="s">
        <v>43</v>
      </c>
      <c r="H1795" t="s">
        <v>506</v>
      </c>
      <c r="J1795">
        <v>2017</v>
      </c>
      <c r="M1795" t="s">
        <v>94</v>
      </c>
      <c r="P1795" t="s">
        <v>1135</v>
      </c>
      <c r="R1795" t="s">
        <v>1127</v>
      </c>
      <c r="S1795" t="s">
        <v>1128</v>
      </c>
      <c r="T1795" t="s">
        <v>46</v>
      </c>
      <c r="U1795" t="s">
        <v>507</v>
      </c>
      <c r="V1795" t="s">
        <v>508</v>
      </c>
      <c r="Z1795" t="s">
        <v>509</v>
      </c>
      <c r="AA1795" t="s">
        <v>49</v>
      </c>
      <c r="AB1795" t="s">
        <v>71</v>
      </c>
      <c r="AC1795" t="s">
        <v>72</v>
      </c>
      <c r="AD1795" t="s">
        <v>52</v>
      </c>
      <c r="AE1795" t="s">
        <v>53</v>
      </c>
      <c r="AF1795" t="s">
        <v>54</v>
      </c>
      <c r="AG1795" t="s">
        <v>52</v>
      </c>
      <c r="AH1795" t="s">
        <v>65</v>
      </c>
      <c r="AK1795">
        <v>25</v>
      </c>
      <c r="AL1795">
        <v>25</v>
      </c>
      <c r="AN1795">
        <v>418</v>
      </c>
      <c r="AO1795">
        <v>3</v>
      </c>
      <c r="AP1795" t="s">
        <v>56</v>
      </c>
      <c r="AQ1795" t="s">
        <v>57</v>
      </c>
      <c r="AR1795">
        <v>8.17</v>
      </c>
      <c r="AS1795">
        <v>0.02</v>
      </c>
      <c r="AT1795" t="s">
        <v>56</v>
      </c>
      <c r="AU1795">
        <v>427</v>
      </c>
      <c r="AV1795">
        <v>1</v>
      </c>
      <c r="AW1795" t="s">
        <v>56</v>
      </c>
      <c r="AX1795">
        <v>8.17</v>
      </c>
      <c r="AY1795">
        <v>0.01</v>
      </c>
      <c r="AZ1795" t="s">
        <v>56</v>
      </c>
      <c r="BB1795">
        <f>LOG(AU1795)</f>
        <v>2.6304278750250241</v>
      </c>
      <c r="BC1795">
        <v>20.3</v>
      </c>
      <c r="BD1795">
        <v>0.1</v>
      </c>
      <c r="BE1795" t="s">
        <v>56</v>
      </c>
      <c r="BF1795">
        <v>24.3</v>
      </c>
      <c r="BG1795">
        <v>0.1</v>
      </c>
      <c r="BH1795" t="s">
        <v>56</v>
      </c>
      <c r="BI1795">
        <v>10</v>
      </c>
      <c r="BJ1795">
        <v>4</v>
      </c>
      <c r="BK1795" t="s">
        <v>56</v>
      </c>
      <c r="BL1795" t="s">
        <v>511</v>
      </c>
      <c r="BM1795" t="s">
        <v>90</v>
      </c>
      <c r="BN1795" t="s">
        <v>81</v>
      </c>
      <c r="BO1795" t="s">
        <v>91</v>
      </c>
      <c r="BP1795" t="s">
        <v>92</v>
      </c>
      <c r="BQ1795" t="s">
        <v>92</v>
      </c>
      <c r="BR1795" t="s">
        <v>63</v>
      </c>
      <c r="BT1795">
        <v>97.86</v>
      </c>
      <c r="BU1795">
        <v>97.864078000000006</v>
      </c>
      <c r="BV1795">
        <v>2.4900000000000002</v>
      </c>
      <c r="BW1795">
        <f>BV1795*SQRT(AK1795)</f>
        <v>12.450000000000001</v>
      </c>
      <c r="BX1795">
        <v>111.84</v>
      </c>
      <c r="BY1795">
        <v>111.84466020000001</v>
      </c>
      <c r="BZ1795">
        <v>2.4900000000000002</v>
      </c>
      <c r="CA1795">
        <f>BZ1795*SQRT(AL1795)</f>
        <v>12.450000000000001</v>
      </c>
      <c r="CB1795">
        <v>2</v>
      </c>
      <c r="CC1795">
        <v>6</v>
      </c>
      <c r="CD1795">
        <v>0.13400000000000001</v>
      </c>
      <c r="CE1795">
        <v>1.1000000000000001E-3</v>
      </c>
      <c r="CF1795" s="8"/>
    </row>
    <row r="1796" spans="2:84" hidden="1" x14ac:dyDescent="0.2">
      <c r="B1796" t="str">
        <f>ROW()-1&amp;"_AltersInvert"</f>
        <v>1795_AltersInvert</v>
      </c>
      <c r="C1796" t="str">
        <f>D1796&amp;"_"&amp;
SUBSTITUTE(TRIM(V1796)," ","_")&amp;"_"&amp;
TRIM(AC1796)&amp;"_"&amp;
"CO2"&amp;TEXT(AN1796,"0.00")&amp;"_"&amp;
"pH"&amp;TEXT(AR1796,"0.00")&amp;"_"&amp;
"T"&amp;TEXT(BC1796,"0.##")</f>
        <v>48_Arbacia_lixula_LARVA_CO2418.00_pH8.17_T20.3</v>
      </c>
      <c r="D1796">
        <v>48</v>
      </c>
      <c r="G1796" t="s">
        <v>43</v>
      </c>
      <c r="H1796" t="s">
        <v>506</v>
      </c>
      <c r="J1796">
        <v>2017</v>
      </c>
      <c r="M1796" t="s">
        <v>94</v>
      </c>
      <c r="P1796" t="s">
        <v>1135</v>
      </c>
      <c r="R1796" t="s">
        <v>1127</v>
      </c>
      <c r="S1796" t="s">
        <v>1128</v>
      </c>
      <c r="T1796" t="s">
        <v>46</v>
      </c>
      <c r="U1796" t="s">
        <v>507</v>
      </c>
      <c r="V1796" t="s">
        <v>508</v>
      </c>
      <c r="Z1796" t="s">
        <v>509</v>
      </c>
      <c r="AA1796" t="s">
        <v>49</v>
      </c>
      <c r="AB1796" t="s">
        <v>71</v>
      </c>
      <c r="AC1796" t="s">
        <v>72</v>
      </c>
      <c r="AD1796" t="s">
        <v>52</v>
      </c>
      <c r="AE1796" t="s">
        <v>53</v>
      </c>
      <c r="AF1796" t="s">
        <v>54</v>
      </c>
      <c r="AG1796" t="s">
        <v>52</v>
      </c>
      <c r="AH1796" t="s">
        <v>65</v>
      </c>
      <c r="AK1796">
        <v>25</v>
      </c>
      <c r="AL1796">
        <v>25</v>
      </c>
      <c r="AN1796">
        <v>418</v>
      </c>
      <c r="AO1796">
        <v>3</v>
      </c>
      <c r="AP1796" t="s">
        <v>56</v>
      </c>
      <c r="AQ1796" t="s">
        <v>57</v>
      </c>
      <c r="AR1796">
        <v>8.17</v>
      </c>
      <c r="AS1796">
        <v>0.02</v>
      </c>
      <c r="AT1796" t="s">
        <v>56</v>
      </c>
      <c r="AU1796">
        <v>395</v>
      </c>
      <c r="AV1796">
        <v>3</v>
      </c>
      <c r="AW1796" t="s">
        <v>56</v>
      </c>
      <c r="AX1796">
        <v>8.1999999999999993</v>
      </c>
      <c r="AY1796">
        <v>0.02</v>
      </c>
      <c r="AZ1796" t="s">
        <v>56</v>
      </c>
      <c r="BB1796">
        <f>LOG(AU1796)</f>
        <v>2.5965970956264601</v>
      </c>
      <c r="BC1796">
        <v>20.3</v>
      </c>
      <c r="BD1796">
        <v>0.1</v>
      </c>
      <c r="BE1796" t="s">
        <v>56</v>
      </c>
      <c r="BF1796">
        <v>26.3</v>
      </c>
      <c r="BG1796">
        <v>0.1</v>
      </c>
      <c r="BH1796" t="s">
        <v>56</v>
      </c>
      <c r="BI1796">
        <v>-22</v>
      </c>
      <c r="BJ1796">
        <v>6</v>
      </c>
      <c r="BK1796" t="s">
        <v>56</v>
      </c>
      <c r="BL1796" t="s">
        <v>511</v>
      </c>
      <c r="BM1796" t="s">
        <v>90</v>
      </c>
      <c r="BN1796" t="s">
        <v>81</v>
      </c>
      <c r="BO1796" t="s">
        <v>91</v>
      </c>
      <c r="BP1796" t="s">
        <v>92</v>
      </c>
      <c r="BQ1796" t="s">
        <v>92</v>
      </c>
      <c r="BR1796" t="s">
        <v>63</v>
      </c>
      <c r="BT1796">
        <v>97.86</v>
      </c>
      <c r="BU1796">
        <v>97.864078000000006</v>
      </c>
      <c r="BV1796">
        <v>2.4900000000000002</v>
      </c>
      <c r="BW1796">
        <f>BV1796*SQRT(AK1796)</f>
        <v>12.450000000000001</v>
      </c>
      <c r="BX1796">
        <v>117.44</v>
      </c>
      <c r="BY1796">
        <v>117.4368932</v>
      </c>
      <c r="BZ1796">
        <v>1.86</v>
      </c>
      <c r="CA1796">
        <f>BZ1796*SQRT(AL1796)</f>
        <v>9.3000000000000007</v>
      </c>
      <c r="CB1796">
        <v>2</v>
      </c>
      <c r="CC1796">
        <v>6</v>
      </c>
      <c r="CD1796">
        <v>0.182</v>
      </c>
      <c r="CE1796">
        <v>8.9999999999999998E-4</v>
      </c>
      <c r="CF1796" s="8"/>
    </row>
    <row r="1797" spans="2:84" hidden="1" x14ac:dyDescent="0.2">
      <c r="B1797" t="str">
        <f>ROW()-1&amp;"_AltersInvert"</f>
        <v>1796_AltersInvert</v>
      </c>
      <c r="C1797" t="str">
        <f>D1797&amp;"_"&amp;
SUBSTITUTE(TRIM(V1797)," ","_")&amp;"_"&amp;
TRIM(AC1797)&amp;"_"&amp;
"CO2"&amp;TEXT(AN1797,"0.00")&amp;"_"&amp;
"pH"&amp;TEXT(AR1797,"0.00")&amp;"_"&amp;
"T"&amp;TEXT(BC1797,"0.##")</f>
        <v>48_Arbacia_lixula_LARVA_CO2418.00_pH8.17_T20.3</v>
      </c>
      <c r="D1797">
        <v>48</v>
      </c>
      <c r="G1797" t="s">
        <v>43</v>
      </c>
      <c r="H1797" t="s">
        <v>506</v>
      </c>
      <c r="J1797">
        <v>2017</v>
      </c>
      <c r="M1797" t="s">
        <v>94</v>
      </c>
      <c r="P1797" t="s">
        <v>1135</v>
      </c>
      <c r="R1797" t="s">
        <v>1127</v>
      </c>
      <c r="S1797" t="s">
        <v>1128</v>
      </c>
      <c r="T1797" t="s">
        <v>46</v>
      </c>
      <c r="U1797" t="s">
        <v>507</v>
      </c>
      <c r="V1797" t="s">
        <v>508</v>
      </c>
      <c r="Z1797" t="s">
        <v>509</v>
      </c>
      <c r="AA1797" t="s">
        <v>49</v>
      </c>
      <c r="AB1797" t="s">
        <v>71</v>
      </c>
      <c r="AC1797" t="s">
        <v>72</v>
      </c>
      <c r="AD1797" t="s">
        <v>52</v>
      </c>
      <c r="AE1797" t="s">
        <v>53</v>
      </c>
      <c r="AF1797" t="s">
        <v>52</v>
      </c>
      <c r="AG1797" t="s">
        <v>52</v>
      </c>
      <c r="AH1797" t="s">
        <v>64</v>
      </c>
      <c r="AK1797">
        <v>25</v>
      </c>
      <c r="AL1797">
        <v>25</v>
      </c>
      <c r="AN1797">
        <v>418</v>
      </c>
      <c r="AO1797">
        <v>3</v>
      </c>
      <c r="AP1797" t="s">
        <v>56</v>
      </c>
      <c r="AQ1797" t="s">
        <v>57</v>
      </c>
      <c r="AR1797">
        <v>8.17</v>
      </c>
      <c r="AS1797">
        <v>0.02</v>
      </c>
      <c r="AT1797" t="s">
        <v>56</v>
      </c>
      <c r="AU1797">
        <v>916</v>
      </c>
      <c r="AV1797">
        <v>15</v>
      </c>
      <c r="AW1797" t="s">
        <v>56</v>
      </c>
      <c r="AX1797">
        <v>7.95</v>
      </c>
      <c r="AY1797">
        <v>0.06</v>
      </c>
      <c r="AZ1797" t="s">
        <v>56</v>
      </c>
      <c r="BB1797">
        <f>LOG(AU1797)</f>
        <v>2.9618954736678504</v>
      </c>
      <c r="BC1797">
        <v>20.3</v>
      </c>
      <c r="BD1797">
        <v>0.1</v>
      </c>
      <c r="BE1797" t="s">
        <v>56</v>
      </c>
      <c r="BF1797">
        <v>26.1</v>
      </c>
      <c r="BG1797">
        <v>0.1</v>
      </c>
      <c r="BH1797" t="s">
        <v>56</v>
      </c>
      <c r="BI1797">
        <v>499</v>
      </c>
      <c r="BJ1797">
        <v>5.8</v>
      </c>
      <c r="BK1797" t="s">
        <v>56</v>
      </c>
      <c r="BL1797" t="s">
        <v>511</v>
      </c>
      <c r="BM1797" t="s">
        <v>90</v>
      </c>
      <c r="BN1797" t="s">
        <v>81</v>
      </c>
      <c r="BO1797" t="s">
        <v>91</v>
      </c>
      <c r="BP1797" t="s">
        <v>92</v>
      </c>
      <c r="BQ1797" t="s">
        <v>92</v>
      </c>
      <c r="BR1797" t="s">
        <v>63</v>
      </c>
      <c r="BT1797">
        <v>97.86</v>
      </c>
      <c r="BU1797">
        <v>97.864078000000006</v>
      </c>
      <c r="BV1797">
        <v>2.4900000000000002</v>
      </c>
      <c r="BW1797">
        <f>BV1797*SQRT(AK1797)</f>
        <v>12.450000000000001</v>
      </c>
      <c r="BX1797">
        <v>130.80000000000001</v>
      </c>
      <c r="BY1797">
        <v>130.79611650000001</v>
      </c>
      <c r="BZ1797">
        <v>2.17</v>
      </c>
      <c r="CA1797">
        <f>BZ1797*SQRT(AL1797)</f>
        <v>10.85</v>
      </c>
      <c r="CB1797">
        <v>2</v>
      </c>
      <c r="CC1797">
        <v>6</v>
      </c>
      <c r="CD1797">
        <v>0.28999999999999998</v>
      </c>
      <c r="CE1797">
        <v>8.9999999999999998E-4</v>
      </c>
      <c r="CF1797" s="8"/>
    </row>
    <row r="1798" spans="2:84" hidden="1" x14ac:dyDescent="0.2">
      <c r="B1798" t="str">
        <f>ROW()-1&amp;"_AltersInvert"</f>
        <v>1797_AltersInvert</v>
      </c>
      <c r="C1798" t="str">
        <f>D1798&amp;"_"&amp;
SUBSTITUTE(TRIM(V1798)," ","_")&amp;"_"&amp;
TRIM(AC1798)&amp;"_"&amp;
"CO2"&amp;TEXT(AN1798,"0.00")&amp;"_"&amp;
"pH"&amp;TEXT(AR1798,"0.00")&amp;"_"&amp;
"T"&amp;TEXT(BC1798,"0.##")</f>
        <v>48_Arbacia_lixula_LARVA_CO2418.00_pH8.17_T20.3</v>
      </c>
      <c r="D1798">
        <v>48</v>
      </c>
      <c r="G1798" t="s">
        <v>43</v>
      </c>
      <c r="H1798" t="s">
        <v>506</v>
      </c>
      <c r="J1798">
        <v>2017</v>
      </c>
      <c r="M1798" t="s">
        <v>94</v>
      </c>
      <c r="P1798" t="s">
        <v>1135</v>
      </c>
      <c r="R1798" t="s">
        <v>1127</v>
      </c>
      <c r="S1798" t="s">
        <v>1128</v>
      </c>
      <c r="T1798" t="s">
        <v>46</v>
      </c>
      <c r="U1798" t="s">
        <v>507</v>
      </c>
      <c r="V1798" t="s">
        <v>508</v>
      </c>
      <c r="Z1798" t="s">
        <v>509</v>
      </c>
      <c r="AA1798" t="s">
        <v>49</v>
      </c>
      <c r="AB1798" t="s">
        <v>71</v>
      </c>
      <c r="AC1798" t="s">
        <v>72</v>
      </c>
      <c r="AD1798" t="s">
        <v>52</v>
      </c>
      <c r="AE1798" t="s">
        <v>53</v>
      </c>
      <c r="AF1798" t="s">
        <v>52</v>
      </c>
      <c r="AG1798" t="s">
        <v>52</v>
      </c>
      <c r="AH1798" t="s">
        <v>64</v>
      </c>
      <c r="AK1798">
        <v>25</v>
      </c>
      <c r="AL1798">
        <v>25</v>
      </c>
      <c r="AN1798">
        <v>418</v>
      </c>
      <c r="AO1798">
        <v>3</v>
      </c>
      <c r="AP1798" t="s">
        <v>56</v>
      </c>
      <c r="AQ1798" t="s">
        <v>57</v>
      </c>
      <c r="AR1798">
        <v>8.17</v>
      </c>
      <c r="AS1798">
        <v>0.02</v>
      </c>
      <c r="AT1798" t="s">
        <v>56</v>
      </c>
      <c r="AU1798">
        <v>1084</v>
      </c>
      <c r="AV1798">
        <v>16</v>
      </c>
      <c r="AW1798" t="s">
        <v>56</v>
      </c>
      <c r="AX1798">
        <v>7.86</v>
      </c>
      <c r="AY1798">
        <v>0.06</v>
      </c>
      <c r="AZ1798" t="s">
        <v>56</v>
      </c>
      <c r="BB1798">
        <f>LOG(AU1798)</f>
        <v>3.0350292822023683</v>
      </c>
      <c r="BC1798">
        <v>20.3</v>
      </c>
      <c r="BD1798">
        <v>0.1</v>
      </c>
      <c r="BE1798" t="s">
        <v>56</v>
      </c>
      <c r="BF1798">
        <v>24.5</v>
      </c>
      <c r="BG1798">
        <v>0.1</v>
      </c>
      <c r="BH1798" t="s">
        <v>56</v>
      </c>
      <c r="BI1798">
        <v>667</v>
      </c>
      <c r="BJ1798">
        <v>4.2</v>
      </c>
      <c r="BK1798" t="s">
        <v>56</v>
      </c>
      <c r="BL1798" t="s">
        <v>511</v>
      </c>
      <c r="BM1798" t="s">
        <v>90</v>
      </c>
      <c r="BN1798" t="s">
        <v>81</v>
      </c>
      <c r="BO1798" t="s">
        <v>91</v>
      </c>
      <c r="BP1798" t="s">
        <v>92</v>
      </c>
      <c r="BQ1798" t="s">
        <v>92</v>
      </c>
      <c r="BR1798" t="s">
        <v>63</v>
      </c>
      <c r="BT1798">
        <v>97.86</v>
      </c>
      <c r="BU1798">
        <v>97.864078000000006</v>
      </c>
      <c r="BV1798">
        <v>2.4900000000000002</v>
      </c>
      <c r="BW1798">
        <f>BV1798*SQRT(AK1798)</f>
        <v>12.450000000000001</v>
      </c>
      <c r="BX1798">
        <v>144.16</v>
      </c>
      <c r="BY1798">
        <v>144.15533980000001</v>
      </c>
      <c r="BZ1798">
        <v>2.4900000000000002</v>
      </c>
      <c r="CA1798">
        <f>BZ1798*SQRT(AL1798)</f>
        <v>12.450000000000001</v>
      </c>
      <c r="CB1798">
        <v>2</v>
      </c>
      <c r="CC1798">
        <v>6</v>
      </c>
      <c r="CD1798">
        <v>0.38700000000000001</v>
      </c>
      <c r="CE1798">
        <v>8.9999999999999998E-4</v>
      </c>
      <c r="CF1798" s="8"/>
    </row>
    <row r="1799" spans="2:84" hidden="1" x14ac:dyDescent="0.2">
      <c r="D1799">
        <v>199</v>
      </c>
      <c r="G1799" t="s">
        <v>43</v>
      </c>
      <c r="H1799" t="s">
        <v>942</v>
      </c>
      <c r="J1799">
        <v>2008</v>
      </c>
      <c r="M1799" t="s">
        <v>630</v>
      </c>
      <c r="T1799" t="s">
        <v>103</v>
      </c>
      <c r="U1799" t="s">
        <v>414</v>
      </c>
      <c r="V1799" t="s">
        <v>943</v>
      </c>
      <c r="Z1799" t="s">
        <v>106</v>
      </c>
      <c r="AA1799" t="s">
        <v>107</v>
      </c>
      <c r="AB1799" t="s">
        <v>50</v>
      </c>
      <c r="AC1799" t="s">
        <v>51</v>
      </c>
      <c r="AD1799" t="s">
        <v>52</v>
      </c>
      <c r="AE1799" t="s">
        <v>53</v>
      </c>
      <c r="AF1799" t="s">
        <v>52</v>
      </c>
      <c r="AG1799" t="s">
        <v>52</v>
      </c>
      <c r="AH1799" t="s">
        <v>64</v>
      </c>
      <c r="AK1799">
        <v>20</v>
      </c>
      <c r="AL1799">
        <v>20</v>
      </c>
      <c r="AN1799">
        <v>460</v>
      </c>
      <c r="AO1799" t="s">
        <v>56</v>
      </c>
      <c r="AP1799" t="s">
        <v>56</v>
      </c>
      <c r="AQ1799" t="s">
        <v>56</v>
      </c>
      <c r="AR1799">
        <v>8.1999999999999993</v>
      </c>
      <c r="AS1799" t="s">
        <v>56</v>
      </c>
      <c r="AT1799" t="s">
        <v>56</v>
      </c>
      <c r="AU1799">
        <v>1360</v>
      </c>
      <c r="AV1799" t="s">
        <v>56</v>
      </c>
      <c r="AW1799" t="s">
        <v>56</v>
      </c>
      <c r="AX1799">
        <v>7.65</v>
      </c>
      <c r="AY1799" t="s">
        <v>56</v>
      </c>
      <c r="AZ1799" t="s">
        <v>56</v>
      </c>
      <c r="BB1799">
        <f>LOG(AU1799)</f>
        <v>3.1335389083702174</v>
      </c>
      <c r="BC1799">
        <v>25.5</v>
      </c>
      <c r="BD1799" t="s">
        <v>56</v>
      </c>
      <c r="BE1799" t="s">
        <v>56</v>
      </c>
      <c r="BF1799">
        <v>28.5</v>
      </c>
      <c r="BG1799" t="s">
        <v>56</v>
      </c>
      <c r="BH1799" t="s">
        <v>56</v>
      </c>
      <c r="BI1799">
        <v>900</v>
      </c>
      <c r="BJ1799">
        <v>3</v>
      </c>
      <c r="BK1799" t="s">
        <v>56</v>
      </c>
      <c r="BL1799" t="s">
        <v>944</v>
      </c>
      <c r="BM1799" t="s">
        <v>59</v>
      </c>
      <c r="BN1799" t="s">
        <v>60</v>
      </c>
      <c r="BO1799" t="s">
        <v>945</v>
      </c>
      <c r="BP1799" t="s">
        <v>62</v>
      </c>
      <c r="BQ1799" s="8" t="s">
        <v>190</v>
      </c>
      <c r="BR1799" t="s">
        <v>63</v>
      </c>
      <c r="BT1799">
        <v>11.23</v>
      </c>
      <c r="BU1799">
        <v>11.231</v>
      </c>
      <c r="BV1799">
        <v>1.63</v>
      </c>
      <c r="BW1799">
        <f>BV1799*SQRT(AK1799)</f>
        <v>7.289581606649314</v>
      </c>
      <c r="BX1799">
        <v>0.91</v>
      </c>
      <c r="BY1799">
        <v>0.90569999999999995</v>
      </c>
      <c r="BZ1799">
        <v>1.99</v>
      </c>
      <c r="CA1799">
        <f>BZ1799*SQRT(AL1799)</f>
        <v>8.8995505504491632</v>
      </c>
      <c r="CB1799">
        <v>56</v>
      </c>
      <c r="CC1799">
        <v>5</v>
      </c>
      <c r="CD1799">
        <v>-2.5179999999999998</v>
      </c>
      <c r="CE1799">
        <v>4.8598999999999997</v>
      </c>
    </row>
    <row r="1800" spans="2:84" hidden="1" x14ac:dyDescent="0.2">
      <c r="D1800">
        <v>199</v>
      </c>
      <c r="G1800" t="s">
        <v>43</v>
      </c>
      <c r="H1800" t="s">
        <v>942</v>
      </c>
      <c r="J1800">
        <v>2008</v>
      </c>
      <c r="M1800" t="s">
        <v>630</v>
      </c>
      <c r="T1800" t="s">
        <v>103</v>
      </c>
      <c r="U1800" t="s">
        <v>228</v>
      </c>
      <c r="V1800" t="s">
        <v>946</v>
      </c>
      <c r="Z1800" t="s">
        <v>106</v>
      </c>
      <c r="AA1800" t="s">
        <v>107</v>
      </c>
      <c r="AB1800" t="s">
        <v>50</v>
      </c>
      <c r="AC1800" t="s">
        <v>51</v>
      </c>
      <c r="AD1800" t="s">
        <v>52</v>
      </c>
      <c r="AE1800" t="s">
        <v>53</v>
      </c>
      <c r="AF1800" t="s">
        <v>52</v>
      </c>
      <c r="AG1800" t="s">
        <v>54</v>
      </c>
      <c r="AH1800" t="s">
        <v>55</v>
      </c>
      <c r="AK1800">
        <v>20</v>
      </c>
      <c r="AL1800">
        <v>20</v>
      </c>
      <c r="AN1800">
        <v>460</v>
      </c>
      <c r="AO1800" t="s">
        <v>56</v>
      </c>
      <c r="AP1800" t="s">
        <v>56</v>
      </c>
      <c r="AQ1800" t="s">
        <v>56</v>
      </c>
      <c r="AR1800">
        <v>8.1999999999999993</v>
      </c>
      <c r="AS1800" t="s">
        <v>56</v>
      </c>
      <c r="AT1800" t="s">
        <v>56</v>
      </c>
      <c r="AU1800">
        <v>1350</v>
      </c>
      <c r="AV1800" t="s">
        <v>56</v>
      </c>
      <c r="AW1800" t="s">
        <v>56</v>
      </c>
      <c r="AX1800">
        <v>7.65</v>
      </c>
      <c r="AY1800" t="s">
        <v>56</v>
      </c>
      <c r="AZ1800" t="s">
        <v>56</v>
      </c>
      <c r="BB1800">
        <f>LOG(AU1800)</f>
        <v>3.1303337684950061</v>
      </c>
      <c r="BC1800">
        <v>25.5</v>
      </c>
      <c r="BD1800" t="s">
        <v>56</v>
      </c>
      <c r="BE1800" t="s">
        <v>56</v>
      </c>
      <c r="BF1800">
        <v>25.5</v>
      </c>
      <c r="BG1800" t="s">
        <v>56</v>
      </c>
      <c r="BH1800" t="s">
        <v>56</v>
      </c>
      <c r="BI1800">
        <v>890</v>
      </c>
      <c r="BJ1800">
        <v>0</v>
      </c>
      <c r="BK1800" t="s">
        <v>56</v>
      </c>
      <c r="BL1800" t="s">
        <v>944</v>
      </c>
      <c r="BM1800" t="s">
        <v>59</v>
      </c>
      <c r="BN1800" t="s">
        <v>60</v>
      </c>
      <c r="BO1800" t="s">
        <v>945</v>
      </c>
      <c r="BP1800" t="s">
        <v>62</v>
      </c>
      <c r="BQ1800" s="8" t="s">
        <v>190</v>
      </c>
      <c r="BR1800" t="s">
        <v>63</v>
      </c>
      <c r="BT1800">
        <v>4.8899999999999997</v>
      </c>
      <c r="BU1800">
        <v>4.891</v>
      </c>
      <c r="BV1800">
        <v>1.0900000000000001</v>
      </c>
      <c r="BW1800">
        <f>BV1800*SQRT(AK1800)</f>
        <v>4.8746281909495419</v>
      </c>
      <c r="BX1800">
        <v>0.72</v>
      </c>
      <c r="BY1800">
        <v>0.72460000000000002</v>
      </c>
      <c r="BZ1800">
        <v>0.91</v>
      </c>
      <c r="CA1800">
        <f>BZ1800*SQRT(AL1800)</f>
        <v>4.0696437190496173</v>
      </c>
      <c r="CB1800">
        <v>56</v>
      </c>
      <c r="CC1800">
        <v>5</v>
      </c>
      <c r="CD1800">
        <v>-1.91</v>
      </c>
      <c r="CE1800">
        <v>1.6121000000000001</v>
      </c>
    </row>
    <row r="1801" spans="2:84" hidden="1" x14ac:dyDescent="0.2">
      <c r="D1801">
        <v>199</v>
      </c>
      <c r="G1801" t="s">
        <v>43</v>
      </c>
      <c r="H1801" t="s">
        <v>942</v>
      </c>
      <c r="J1801">
        <v>2008</v>
      </c>
      <c r="M1801" t="s">
        <v>630</v>
      </c>
      <c r="T1801" t="s">
        <v>103</v>
      </c>
      <c r="U1801" t="s">
        <v>414</v>
      </c>
      <c r="V1801" t="s">
        <v>943</v>
      </c>
      <c r="Z1801" t="s">
        <v>106</v>
      </c>
      <c r="AA1801" t="s">
        <v>107</v>
      </c>
      <c r="AB1801" t="s">
        <v>50</v>
      </c>
      <c r="AC1801" t="s">
        <v>51</v>
      </c>
      <c r="AD1801" t="s">
        <v>52</v>
      </c>
      <c r="AE1801" t="s">
        <v>53</v>
      </c>
      <c r="AF1801" t="s">
        <v>52</v>
      </c>
      <c r="AG1801" t="s">
        <v>52</v>
      </c>
      <c r="AH1801" t="s">
        <v>64</v>
      </c>
      <c r="AK1801">
        <v>20</v>
      </c>
      <c r="AL1801">
        <v>20</v>
      </c>
      <c r="AN1801">
        <v>460</v>
      </c>
      <c r="AO1801" t="s">
        <v>56</v>
      </c>
      <c r="AP1801" t="s">
        <v>56</v>
      </c>
      <c r="AQ1801" t="s">
        <v>56</v>
      </c>
      <c r="AR1801">
        <v>8.1999999999999993</v>
      </c>
      <c r="AS1801" t="s">
        <v>56</v>
      </c>
      <c r="AT1801" t="s">
        <v>56</v>
      </c>
      <c r="AU1801">
        <v>705</v>
      </c>
      <c r="AV1801" t="s">
        <v>56</v>
      </c>
      <c r="AW1801" t="s">
        <v>56</v>
      </c>
      <c r="AX1801">
        <v>7.9</v>
      </c>
      <c r="AY1801" t="s">
        <v>56</v>
      </c>
      <c r="AZ1801" t="s">
        <v>56</v>
      </c>
      <c r="BB1801">
        <f>LOG(AU1801)</f>
        <v>2.8481891169913989</v>
      </c>
      <c r="BC1801">
        <v>25.5</v>
      </c>
      <c r="BD1801" t="s">
        <v>56</v>
      </c>
      <c r="BE1801" t="s">
        <v>56</v>
      </c>
      <c r="BF1801">
        <v>28.5</v>
      </c>
      <c r="BG1801" t="s">
        <v>56</v>
      </c>
      <c r="BH1801" t="s">
        <v>56</v>
      </c>
      <c r="BI1801">
        <v>245</v>
      </c>
      <c r="BJ1801">
        <v>3</v>
      </c>
      <c r="BK1801" t="s">
        <v>56</v>
      </c>
      <c r="BL1801" t="s">
        <v>944</v>
      </c>
      <c r="BM1801" t="s">
        <v>59</v>
      </c>
      <c r="BN1801" t="s">
        <v>60</v>
      </c>
      <c r="BO1801" t="s">
        <v>945</v>
      </c>
      <c r="BP1801" t="s">
        <v>62</v>
      </c>
      <c r="BQ1801" s="8" t="s">
        <v>190</v>
      </c>
      <c r="BR1801" t="s">
        <v>63</v>
      </c>
      <c r="BT1801">
        <v>11.23</v>
      </c>
      <c r="BU1801">
        <v>11.231</v>
      </c>
      <c r="BV1801">
        <v>1.63</v>
      </c>
      <c r="BW1801">
        <f>BV1801*SQRT(AK1801)</f>
        <v>7.289581606649314</v>
      </c>
      <c r="BX1801">
        <v>2.17</v>
      </c>
      <c r="BY1801">
        <v>2.173</v>
      </c>
      <c r="BZ1801">
        <v>1.99</v>
      </c>
      <c r="CA1801">
        <f>BZ1801*SQRT(AL1801)</f>
        <v>8.8995505504491632</v>
      </c>
      <c r="CB1801">
        <v>56</v>
      </c>
      <c r="CC1801">
        <v>5</v>
      </c>
      <c r="CD1801">
        <v>-1.643</v>
      </c>
      <c r="CE1801">
        <v>0.86229999999999996</v>
      </c>
    </row>
    <row r="1802" spans="2:84" hidden="1" x14ac:dyDescent="0.2">
      <c r="D1802">
        <v>199</v>
      </c>
      <c r="G1802" t="s">
        <v>43</v>
      </c>
      <c r="H1802" t="s">
        <v>942</v>
      </c>
      <c r="J1802">
        <v>2008</v>
      </c>
      <c r="M1802" t="s">
        <v>630</v>
      </c>
      <c r="T1802" t="s">
        <v>103</v>
      </c>
      <c r="U1802" t="s">
        <v>228</v>
      </c>
      <c r="V1802" t="s">
        <v>946</v>
      </c>
      <c r="Z1802" t="s">
        <v>106</v>
      </c>
      <c r="AA1802" t="s">
        <v>107</v>
      </c>
      <c r="AB1802" t="s">
        <v>50</v>
      </c>
      <c r="AC1802" t="s">
        <v>51</v>
      </c>
      <c r="AD1802" t="s">
        <v>52</v>
      </c>
      <c r="AE1802" t="s">
        <v>53</v>
      </c>
      <c r="AF1802" t="s">
        <v>52</v>
      </c>
      <c r="AG1802" t="s">
        <v>52</v>
      </c>
      <c r="AH1802" t="s">
        <v>64</v>
      </c>
      <c r="AK1802">
        <v>20</v>
      </c>
      <c r="AL1802">
        <v>20</v>
      </c>
      <c r="AN1802">
        <v>460</v>
      </c>
      <c r="AO1802" t="s">
        <v>56</v>
      </c>
      <c r="AP1802" t="s">
        <v>56</v>
      </c>
      <c r="AQ1802" t="s">
        <v>56</v>
      </c>
      <c r="AR1802">
        <v>8.1999999999999993</v>
      </c>
      <c r="AS1802" t="s">
        <v>56</v>
      </c>
      <c r="AT1802" t="s">
        <v>56</v>
      </c>
      <c r="AU1802">
        <v>1360</v>
      </c>
      <c r="AV1802" t="s">
        <v>56</v>
      </c>
      <c r="AW1802" t="s">
        <v>56</v>
      </c>
      <c r="AX1802">
        <v>7.65</v>
      </c>
      <c r="AY1802" t="s">
        <v>56</v>
      </c>
      <c r="AZ1802" t="s">
        <v>56</v>
      </c>
      <c r="BB1802">
        <f>LOG(AU1802)</f>
        <v>3.1335389083702174</v>
      </c>
      <c r="BC1802">
        <v>25.5</v>
      </c>
      <c r="BD1802" t="s">
        <v>56</v>
      </c>
      <c r="BE1802" t="s">
        <v>56</v>
      </c>
      <c r="BF1802">
        <v>28.5</v>
      </c>
      <c r="BG1802" t="s">
        <v>56</v>
      </c>
      <c r="BH1802" t="s">
        <v>56</v>
      </c>
      <c r="BI1802">
        <v>900</v>
      </c>
      <c r="BJ1802">
        <v>3</v>
      </c>
      <c r="BK1802" t="s">
        <v>56</v>
      </c>
      <c r="BL1802" t="s">
        <v>944</v>
      </c>
      <c r="BM1802" t="s">
        <v>59</v>
      </c>
      <c r="BN1802" t="s">
        <v>60</v>
      </c>
      <c r="BO1802" t="s">
        <v>945</v>
      </c>
      <c r="BP1802" t="s">
        <v>62</v>
      </c>
      <c r="BQ1802" s="8" t="s">
        <v>9</v>
      </c>
      <c r="BR1802" t="s">
        <v>63</v>
      </c>
      <c r="BT1802">
        <v>4.8899999999999997</v>
      </c>
      <c r="BU1802">
        <v>4.891</v>
      </c>
      <c r="BV1802">
        <v>1.0900000000000001</v>
      </c>
      <c r="BW1802">
        <f>BV1802*SQRT(AK1802)</f>
        <v>4.8746281909495419</v>
      </c>
      <c r="BX1802">
        <v>1.27</v>
      </c>
      <c r="BY1802">
        <v>1.2681</v>
      </c>
      <c r="BZ1802">
        <v>1.45</v>
      </c>
      <c r="CA1802">
        <f>BZ1802*SQRT(AL1802)</f>
        <v>6.4845971347493903</v>
      </c>
      <c r="CB1802">
        <v>56</v>
      </c>
      <c r="CC1802">
        <v>5</v>
      </c>
      <c r="CD1802">
        <v>-1.35</v>
      </c>
      <c r="CE1802">
        <v>1.3553999999999999</v>
      </c>
    </row>
    <row r="1803" spans="2:84" hidden="1" x14ac:dyDescent="0.2">
      <c r="D1803">
        <v>199</v>
      </c>
      <c r="G1803" t="s">
        <v>43</v>
      </c>
      <c r="H1803" t="s">
        <v>942</v>
      </c>
      <c r="J1803">
        <v>2008</v>
      </c>
      <c r="M1803" t="s">
        <v>630</v>
      </c>
      <c r="T1803" t="s">
        <v>103</v>
      </c>
      <c r="U1803" t="s">
        <v>228</v>
      </c>
      <c r="V1803" t="s">
        <v>946</v>
      </c>
      <c r="Z1803" t="s">
        <v>106</v>
      </c>
      <c r="AA1803" t="s">
        <v>107</v>
      </c>
      <c r="AB1803" t="s">
        <v>50</v>
      </c>
      <c r="AC1803" t="s">
        <v>51</v>
      </c>
      <c r="AD1803" t="s">
        <v>52</v>
      </c>
      <c r="AE1803" t="s">
        <v>53</v>
      </c>
      <c r="AF1803" t="s">
        <v>52</v>
      </c>
      <c r="AG1803" t="s">
        <v>52</v>
      </c>
      <c r="AH1803" t="s">
        <v>64</v>
      </c>
      <c r="AK1803">
        <v>20</v>
      </c>
      <c r="AL1803">
        <v>20</v>
      </c>
      <c r="AN1803">
        <v>460</v>
      </c>
      <c r="AO1803" t="s">
        <v>56</v>
      </c>
      <c r="AP1803" t="s">
        <v>56</v>
      </c>
      <c r="AQ1803" t="s">
        <v>56</v>
      </c>
      <c r="AR1803">
        <v>8.1999999999999993</v>
      </c>
      <c r="AS1803" t="s">
        <v>56</v>
      </c>
      <c r="AT1803" t="s">
        <v>56</v>
      </c>
      <c r="AU1803">
        <v>1360</v>
      </c>
      <c r="AV1803" t="s">
        <v>56</v>
      </c>
      <c r="AW1803" t="s">
        <v>56</v>
      </c>
      <c r="AX1803">
        <v>7.65</v>
      </c>
      <c r="AY1803" t="s">
        <v>56</v>
      </c>
      <c r="AZ1803" t="s">
        <v>56</v>
      </c>
      <c r="BB1803">
        <f>LOG(AU1803)</f>
        <v>3.1335389083702174</v>
      </c>
      <c r="BC1803">
        <v>25.5</v>
      </c>
      <c r="BD1803" t="s">
        <v>56</v>
      </c>
      <c r="BE1803" t="s">
        <v>56</v>
      </c>
      <c r="BF1803">
        <v>28.5</v>
      </c>
      <c r="BG1803" t="s">
        <v>56</v>
      </c>
      <c r="BH1803" t="s">
        <v>56</v>
      </c>
      <c r="BI1803">
        <v>900</v>
      </c>
      <c r="BJ1803">
        <v>3</v>
      </c>
      <c r="BK1803" t="s">
        <v>56</v>
      </c>
      <c r="BL1803" t="s">
        <v>232</v>
      </c>
      <c r="BM1803" t="s">
        <v>232</v>
      </c>
      <c r="BN1803" t="s">
        <v>81</v>
      </c>
      <c r="BO1803" t="s">
        <v>947</v>
      </c>
      <c r="BP1803" t="s">
        <v>234</v>
      </c>
      <c r="BQ1803" s="8" t="s">
        <v>9</v>
      </c>
      <c r="BR1803" t="s">
        <v>63</v>
      </c>
      <c r="BT1803">
        <v>11.9</v>
      </c>
      <c r="BU1803">
        <v>11.898999999999999</v>
      </c>
      <c r="BV1803">
        <v>0.61</v>
      </c>
      <c r="BW1803">
        <f>BV1803*SQRT(AK1803)</f>
        <v>2.7280029325497437</v>
      </c>
      <c r="BX1803">
        <v>6.05</v>
      </c>
      <c r="BY1803">
        <v>6.0503999999999998</v>
      </c>
      <c r="BZ1803">
        <v>0.4</v>
      </c>
      <c r="CA1803">
        <f>BZ1803*SQRT(AL1803)</f>
        <v>1.7888543819998319</v>
      </c>
      <c r="CB1803">
        <v>56</v>
      </c>
      <c r="CC1803">
        <v>5</v>
      </c>
      <c r="CD1803">
        <v>-0.67600000000000005</v>
      </c>
      <c r="CE1803">
        <v>7.0000000000000001E-3</v>
      </c>
    </row>
    <row r="1804" spans="2:84" hidden="1" x14ac:dyDescent="0.2">
      <c r="D1804">
        <v>199</v>
      </c>
      <c r="G1804" t="s">
        <v>43</v>
      </c>
      <c r="H1804" t="s">
        <v>942</v>
      </c>
      <c r="J1804">
        <v>2008</v>
      </c>
      <c r="M1804" t="s">
        <v>630</v>
      </c>
      <c r="T1804" t="s">
        <v>103</v>
      </c>
      <c r="U1804" t="s">
        <v>414</v>
      </c>
      <c r="V1804" t="s">
        <v>943</v>
      </c>
      <c r="Z1804" t="s">
        <v>106</v>
      </c>
      <c r="AA1804" t="s">
        <v>107</v>
      </c>
      <c r="AB1804" t="s">
        <v>50</v>
      </c>
      <c r="AC1804" t="s">
        <v>51</v>
      </c>
      <c r="AD1804" t="s">
        <v>52</v>
      </c>
      <c r="AE1804" t="s">
        <v>53</v>
      </c>
      <c r="AF1804" t="s">
        <v>52</v>
      </c>
      <c r="AG1804" t="s">
        <v>54</v>
      </c>
      <c r="AH1804" t="s">
        <v>55</v>
      </c>
      <c r="AK1804">
        <v>20</v>
      </c>
      <c r="AL1804">
        <v>20</v>
      </c>
      <c r="AN1804">
        <v>460</v>
      </c>
      <c r="AO1804" t="s">
        <v>56</v>
      </c>
      <c r="AP1804" t="s">
        <v>56</v>
      </c>
      <c r="AQ1804" t="s">
        <v>56</v>
      </c>
      <c r="AR1804">
        <v>8.1999999999999993</v>
      </c>
      <c r="AS1804" t="s">
        <v>56</v>
      </c>
      <c r="AT1804" t="s">
        <v>56</v>
      </c>
      <c r="AU1804">
        <v>1350</v>
      </c>
      <c r="AV1804" t="s">
        <v>56</v>
      </c>
      <c r="AW1804" t="s">
        <v>56</v>
      </c>
      <c r="AX1804">
        <v>7.65</v>
      </c>
      <c r="AY1804" t="s">
        <v>56</v>
      </c>
      <c r="AZ1804" t="s">
        <v>56</v>
      </c>
      <c r="BB1804">
        <f>LOG(AU1804)</f>
        <v>3.1303337684950061</v>
      </c>
      <c r="BC1804">
        <v>25.5</v>
      </c>
      <c r="BD1804" t="s">
        <v>56</v>
      </c>
      <c r="BE1804" t="s">
        <v>56</v>
      </c>
      <c r="BF1804">
        <v>25.5</v>
      </c>
      <c r="BG1804" t="s">
        <v>56</v>
      </c>
      <c r="BH1804" t="s">
        <v>56</v>
      </c>
      <c r="BI1804">
        <v>890</v>
      </c>
      <c r="BJ1804">
        <v>0</v>
      </c>
      <c r="BK1804" t="s">
        <v>56</v>
      </c>
      <c r="BL1804" t="s">
        <v>944</v>
      </c>
      <c r="BM1804" t="s">
        <v>59</v>
      </c>
      <c r="BN1804" t="s">
        <v>60</v>
      </c>
      <c r="BO1804" t="s">
        <v>945</v>
      </c>
      <c r="BP1804" t="s">
        <v>62</v>
      </c>
      <c r="BQ1804" s="8" t="s">
        <v>190</v>
      </c>
      <c r="BR1804" t="s">
        <v>63</v>
      </c>
      <c r="BT1804">
        <v>11.23</v>
      </c>
      <c r="BU1804">
        <v>11.231</v>
      </c>
      <c r="BV1804">
        <v>1.63</v>
      </c>
      <c r="BW1804">
        <f>BV1804*SQRT(AK1804)</f>
        <v>7.289581606649314</v>
      </c>
      <c r="BX1804">
        <v>6.52</v>
      </c>
      <c r="BY1804">
        <v>6.5209999999999999</v>
      </c>
      <c r="BZ1804">
        <v>2.17</v>
      </c>
      <c r="CA1804">
        <f>BZ1804*SQRT(AL1804)</f>
        <v>9.7045350223490878</v>
      </c>
      <c r="CB1804">
        <v>56</v>
      </c>
      <c r="CC1804">
        <v>5</v>
      </c>
      <c r="CD1804">
        <v>-0.54400000000000004</v>
      </c>
      <c r="CE1804">
        <v>0.13220000000000001</v>
      </c>
    </row>
    <row r="1805" spans="2:84" hidden="1" x14ac:dyDescent="0.2">
      <c r="D1805">
        <v>199</v>
      </c>
      <c r="G1805" t="s">
        <v>43</v>
      </c>
      <c r="H1805" t="s">
        <v>942</v>
      </c>
      <c r="J1805">
        <v>2008</v>
      </c>
      <c r="M1805" t="s">
        <v>630</v>
      </c>
      <c r="T1805" t="s">
        <v>103</v>
      </c>
      <c r="U1805" t="s">
        <v>414</v>
      </c>
      <c r="V1805" t="s">
        <v>943</v>
      </c>
      <c r="Z1805" t="s">
        <v>106</v>
      </c>
      <c r="AA1805" t="s">
        <v>107</v>
      </c>
      <c r="AB1805" t="s">
        <v>50</v>
      </c>
      <c r="AC1805" t="s">
        <v>51</v>
      </c>
      <c r="AD1805" t="s">
        <v>52</v>
      </c>
      <c r="AE1805" t="s">
        <v>53</v>
      </c>
      <c r="AF1805" t="s">
        <v>52</v>
      </c>
      <c r="AG1805" t="s">
        <v>54</v>
      </c>
      <c r="AH1805" t="s">
        <v>55</v>
      </c>
      <c r="AK1805">
        <v>20</v>
      </c>
      <c r="AL1805">
        <v>20</v>
      </c>
      <c r="AN1805">
        <v>460</v>
      </c>
      <c r="AO1805" t="s">
        <v>56</v>
      </c>
      <c r="AP1805" t="s">
        <v>56</v>
      </c>
      <c r="AQ1805" t="s">
        <v>56</v>
      </c>
      <c r="AR1805">
        <v>8.1999999999999993</v>
      </c>
      <c r="AS1805" t="s">
        <v>56</v>
      </c>
      <c r="AT1805" t="s">
        <v>56</v>
      </c>
      <c r="AU1805">
        <v>1350</v>
      </c>
      <c r="AV1805" t="s">
        <v>56</v>
      </c>
      <c r="AW1805" t="s">
        <v>56</v>
      </c>
      <c r="AX1805">
        <v>7.65</v>
      </c>
      <c r="AY1805" t="s">
        <v>56</v>
      </c>
      <c r="AZ1805" t="s">
        <v>56</v>
      </c>
      <c r="BB1805">
        <f>LOG(AU1805)</f>
        <v>3.1303337684950061</v>
      </c>
      <c r="BC1805">
        <v>25.5</v>
      </c>
      <c r="BD1805" t="s">
        <v>56</v>
      </c>
      <c r="BE1805" t="s">
        <v>56</v>
      </c>
      <c r="BF1805">
        <v>25.5</v>
      </c>
      <c r="BG1805" t="s">
        <v>56</v>
      </c>
      <c r="BH1805" t="s">
        <v>56</v>
      </c>
      <c r="BI1805">
        <v>890</v>
      </c>
      <c r="BJ1805">
        <v>0</v>
      </c>
      <c r="BK1805" t="s">
        <v>56</v>
      </c>
      <c r="BL1805" t="s">
        <v>232</v>
      </c>
      <c r="BM1805" t="s">
        <v>232</v>
      </c>
      <c r="BN1805" t="s">
        <v>81</v>
      </c>
      <c r="BO1805" t="s">
        <v>947</v>
      </c>
      <c r="BP1805" t="s">
        <v>234</v>
      </c>
      <c r="BQ1805" s="8" t="s">
        <v>9</v>
      </c>
      <c r="BR1805" t="s">
        <v>63</v>
      </c>
      <c r="BT1805">
        <v>12</v>
      </c>
      <c r="BU1805">
        <v>12</v>
      </c>
      <c r="BV1805">
        <v>1.21</v>
      </c>
      <c r="BW1805">
        <f>BV1805*SQRT(AK1805)</f>
        <v>5.4112845055494914</v>
      </c>
      <c r="BX1805">
        <v>7.15</v>
      </c>
      <c r="BY1805">
        <v>7.15</v>
      </c>
      <c r="BZ1805">
        <v>0.71</v>
      </c>
      <c r="CA1805">
        <f>BZ1805*SQRT(AL1805)</f>
        <v>3.1752165280497016</v>
      </c>
      <c r="CB1805">
        <v>56</v>
      </c>
      <c r="CC1805">
        <v>5</v>
      </c>
      <c r="CD1805">
        <v>-0.51800000000000002</v>
      </c>
      <c r="CE1805">
        <v>0.02</v>
      </c>
    </row>
    <row r="1806" spans="2:84" hidden="1" x14ac:dyDescent="0.2">
      <c r="D1806">
        <v>199</v>
      </c>
      <c r="G1806" t="s">
        <v>43</v>
      </c>
      <c r="H1806" t="s">
        <v>942</v>
      </c>
      <c r="J1806">
        <v>2008</v>
      </c>
      <c r="M1806" t="s">
        <v>630</v>
      </c>
      <c r="T1806" t="s">
        <v>103</v>
      </c>
      <c r="U1806" t="s">
        <v>414</v>
      </c>
      <c r="V1806" t="s">
        <v>943</v>
      </c>
      <c r="Z1806" t="s">
        <v>106</v>
      </c>
      <c r="AA1806" t="s">
        <v>107</v>
      </c>
      <c r="AB1806" t="s">
        <v>50</v>
      </c>
      <c r="AC1806" t="s">
        <v>51</v>
      </c>
      <c r="AD1806" t="s">
        <v>52</v>
      </c>
      <c r="AE1806" t="s">
        <v>53</v>
      </c>
      <c r="AF1806" t="s">
        <v>52</v>
      </c>
      <c r="AG1806" t="s">
        <v>52</v>
      </c>
      <c r="AH1806" t="s">
        <v>64</v>
      </c>
      <c r="AK1806">
        <v>20</v>
      </c>
      <c r="AL1806">
        <v>20</v>
      </c>
      <c r="AN1806">
        <v>460</v>
      </c>
      <c r="AO1806" t="s">
        <v>56</v>
      </c>
      <c r="AP1806" t="s">
        <v>56</v>
      </c>
      <c r="AQ1806" t="s">
        <v>56</v>
      </c>
      <c r="AR1806">
        <v>8.1999999999999993</v>
      </c>
      <c r="AS1806" t="s">
        <v>56</v>
      </c>
      <c r="AT1806" t="s">
        <v>56</v>
      </c>
      <c r="AU1806">
        <v>1360</v>
      </c>
      <c r="AV1806" t="s">
        <v>56</v>
      </c>
      <c r="AW1806" t="s">
        <v>56</v>
      </c>
      <c r="AX1806">
        <v>7.65</v>
      </c>
      <c r="AY1806" t="s">
        <v>56</v>
      </c>
      <c r="AZ1806" t="s">
        <v>56</v>
      </c>
      <c r="BB1806">
        <f>LOG(AU1806)</f>
        <v>3.1335389083702174</v>
      </c>
      <c r="BC1806">
        <v>25.5</v>
      </c>
      <c r="BD1806" t="s">
        <v>56</v>
      </c>
      <c r="BE1806" t="s">
        <v>56</v>
      </c>
      <c r="BF1806">
        <v>28.5</v>
      </c>
      <c r="BG1806" t="s">
        <v>56</v>
      </c>
      <c r="BH1806" t="s">
        <v>56</v>
      </c>
      <c r="BI1806">
        <v>900</v>
      </c>
      <c r="BJ1806">
        <v>3</v>
      </c>
      <c r="BK1806" t="s">
        <v>56</v>
      </c>
      <c r="BL1806" t="s">
        <v>232</v>
      </c>
      <c r="BM1806" t="s">
        <v>232</v>
      </c>
      <c r="BN1806" t="s">
        <v>81</v>
      </c>
      <c r="BO1806" t="s">
        <v>947</v>
      </c>
      <c r="BP1806" t="s">
        <v>234</v>
      </c>
      <c r="BQ1806" s="8" t="s">
        <v>9</v>
      </c>
      <c r="BR1806" t="s">
        <v>63</v>
      </c>
      <c r="BT1806">
        <v>12</v>
      </c>
      <c r="BU1806">
        <v>12</v>
      </c>
      <c r="BV1806">
        <v>1.21</v>
      </c>
      <c r="BW1806">
        <f>BV1806*SQRT(AK1806)</f>
        <v>5.4112845055494914</v>
      </c>
      <c r="BX1806">
        <v>8.07</v>
      </c>
      <c r="BY1806">
        <v>8.0670000000000002</v>
      </c>
      <c r="BZ1806">
        <v>1.01</v>
      </c>
      <c r="CA1806">
        <f>BZ1806*SQRT(AL1806)</f>
        <v>4.5168573145495756</v>
      </c>
      <c r="CB1806">
        <v>56</v>
      </c>
      <c r="CC1806">
        <v>5</v>
      </c>
      <c r="CD1806">
        <v>-0.39700000000000002</v>
      </c>
      <c r="CE1806">
        <v>2.58E-2</v>
      </c>
    </row>
    <row r="1807" spans="2:84" hidden="1" x14ac:dyDescent="0.2">
      <c r="D1807">
        <v>199</v>
      </c>
      <c r="G1807" t="s">
        <v>43</v>
      </c>
      <c r="H1807" t="s">
        <v>942</v>
      </c>
      <c r="J1807">
        <v>2008</v>
      </c>
      <c r="M1807" t="s">
        <v>630</v>
      </c>
      <c r="T1807" t="s">
        <v>103</v>
      </c>
      <c r="U1807" t="s">
        <v>228</v>
      </c>
      <c r="V1807" t="s">
        <v>946</v>
      </c>
      <c r="Z1807" t="s">
        <v>106</v>
      </c>
      <c r="AA1807" t="s">
        <v>107</v>
      </c>
      <c r="AB1807" t="s">
        <v>50</v>
      </c>
      <c r="AC1807" t="s">
        <v>51</v>
      </c>
      <c r="AD1807" t="s">
        <v>52</v>
      </c>
      <c r="AE1807" t="s">
        <v>53</v>
      </c>
      <c r="AF1807" t="s">
        <v>52</v>
      </c>
      <c r="AG1807" t="s">
        <v>54</v>
      </c>
      <c r="AH1807" t="s">
        <v>55</v>
      </c>
      <c r="AK1807">
        <v>20</v>
      </c>
      <c r="AL1807">
        <v>20</v>
      </c>
      <c r="AN1807">
        <v>460</v>
      </c>
      <c r="AO1807" t="s">
        <v>56</v>
      </c>
      <c r="AP1807" t="s">
        <v>56</v>
      </c>
      <c r="AQ1807" t="s">
        <v>56</v>
      </c>
      <c r="AR1807">
        <v>8.1999999999999993</v>
      </c>
      <c r="AS1807" t="s">
        <v>56</v>
      </c>
      <c r="AT1807" t="s">
        <v>56</v>
      </c>
      <c r="AU1807">
        <v>1350</v>
      </c>
      <c r="AV1807" t="s">
        <v>56</v>
      </c>
      <c r="AW1807" t="s">
        <v>56</v>
      </c>
      <c r="AX1807">
        <v>7.65</v>
      </c>
      <c r="AY1807" t="s">
        <v>56</v>
      </c>
      <c r="AZ1807" t="s">
        <v>56</v>
      </c>
      <c r="BB1807">
        <f>LOG(AU1807)</f>
        <v>3.1303337684950061</v>
      </c>
      <c r="BC1807">
        <v>25.5</v>
      </c>
      <c r="BD1807" t="s">
        <v>56</v>
      </c>
      <c r="BE1807" t="s">
        <v>56</v>
      </c>
      <c r="BF1807">
        <v>25.5</v>
      </c>
      <c r="BG1807" t="s">
        <v>56</v>
      </c>
      <c r="BH1807" t="s">
        <v>56</v>
      </c>
      <c r="BI1807">
        <v>890</v>
      </c>
      <c r="BJ1807">
        <v>0</v>
      </c>
      <c r="BK1807" t="s">
        <v>56</v>
      </c>
      <c r="BL1807" t="s">
        <v>232</v>
      </c>
      <c r="BM1807" t="s">
        <v>232</v>
      </c>
      <c r="BN1807" t="s">
        <v>81</v>
      </c>
      <c r="BO1807" t="s">
        <v>947</v>
      </c>
      <c r="BP1807" t="s">
        <v>234</v>
      </c>
      <c r="BQ1807" s="8" t="s">
        <v>190</v>
      </c>
      <c r="BR1807" t="s">
        <v>63</v>
      </c>
      <c r="BT1807">
        <v>11.9</v>
      </c>
      <c r="BU1807">
        <v>11.898999999999999</v>
      </c>
      <c r="BV1807">
        <v>0.61</v>
      </c>
      <c r="BW1807">
        <f>BV1807*SQRT(AK1807)</f>
        <v>2.7280029325497437</v>
      </c>
      <c r="BX1807">
        <v>8.3699999999999992</v>
      </c>
      <c r="BY1807">
        <v>8.3689999999999998</v>
      </c>
      <c r="BZ1807">
        <v>0.61</v>
      </c>
      <c r="CA1807">
        <f>BZ1807*SQRT(AL1807)</f>
        <v>2.7280029325497437</v>
      </c>
      <c r="CB1807">
        <v>56</v>
      </c>
      <c r="CC1807">
        <v>5</v>
      </c>
      <c r="CD1807">
        <v>-0.35199999999999998</v>
      </c>
      <c r="CE1807">
        <v>7.7999999999999996E-3</v>
      </c>
    </row>
    <row r="1808" spans="2:84" hidden="1" x14ac:dyDescent="0.2">
      <c r="D1808">
        <v>199</v>
      </c>
      <c r="G1808" t="s">
        <v>43</v>
      </c>
      <c r="H1808" t="s">
        <v>942</v>
      </c>
      <c r="J1808">
        <v>2008</v>
      </c>
      <c r="M1808" t="s">
        <v>630</v>
      </c>
      <c r="T1808" t="s">
        <v>103</v>
      </c>
      <c r="U1808" t="s">
        <v>414</v>
      </c>
      <c r="V1808" t="s">
        <v>943</v>
      </c>
      <c r="Z1808" t="s">
        <v>106</v>
      </c>
      <c r="AA1808" t="s">
        <v>107</v>
      </c>
      <c r="AB1808" t="s">
        <v>50</v>
      </c>
      <c r="AC1808" t="s">
        <v>51</v>
      </c>
      <c r="AD1808" t="s">
        <v>52</v>
      </c>
      <c r="AE1808" t="s">
        <v>53</v>
      </c>
      <c r="AF1808" t="s">
        <v>54</v>
      </c>
      <c r="AG1808" t="s">
        <v>52</v>
      </c>
      <c r="AH1808" t="s">
        <v>65</v>
      </c>
      <c r="AK1808">
        <v>20</v>
      </c>
      <c r="AL1808">
        <v>20</v>
      </c>
      <c r="AN1808">
        <v>460</v>
      </c>
      <c r="AO1808" t="s">
        <v>56</v>
      </c>
      <c r="AP1808" t="s">
        <v>56</v>
      </c>
      <c r="AQ1808" t="s">
        <v>56</v>
      </c>
      <c r="AR1808">
        <v>8.1999999999999993</v>
      </c>
      <c r="AS1808" t="s">
        <v>56</v>
      </c>
      <c r="AT1808" t="s">
        <v>56</v>
      </c>
      <c r="AU1808">
        <v>465</v>
      </c>
      <c r="AV1808" t="s">
        <v>56</v>
      </c>
      <c r="AW1808" t="s">
        <v>56</v>
      </c>
      <c r="AX1808">
        <v>8.1999999999999993</v>
      </c>
      <c r="AY1808" t="s">
        <v>56</v>
      </c>
      <c r="AZ1808" t="s">
        <v>56</v>
      </c>
      <c r="BB1808">
        <f>LOG(AU1808)</f>
        <v>2.667452952889954</v>
      </c>
      <c r="BC1808">
        <v>25.5</v>
      </c>
      <c r="BD1808" t="s">
        <v>56</v>
      </c>
      <c r="BE1808" t="s">
        <v>56</v>
      </c>
      <c r="BF1808">
        <v>28.5</v>
      </c>
      <c r="BG1808" t="s">
        <v>56</v>
      </c>
      <c r="BH1808" t="s">
        <v>56</v>
      </c>
      <c r="BI1808">
        <v>5</v>
      </c>
      <c r="BJ1808">
        <v>3</v>
      </c>
      <c r="BK1808" t="s">
        <v>56</v>
      </c>
      <c r="BL1808" t="s">
        <v>232</v>
      </c>
      <c r="BM1808" t="s">
        <v>232</v>
      </c>
      <c r="BN1808" t="s">
        <v>81</v>
      </c>
      <c r="BO1808" t="s">
        <v>947</v>
      </c>
      <c r="BP1808" t="s">
        <v>234</v>
      </c>
      <c r="BQ1808" s="8" t="s">
        <v>190</v>
      </c>
      <c r="BR1808" t="s">
        <v>63</v>
      </c>
      <c r="BT1808">
        <v>12</v>
      </c>
      <c r="BU1808">
        <v>12</v>
      </c>
      <c r="BV1808">
        <v>1.21</v>
      </c>
      <c r="BW1808">
        <f>BV1808*SQRT(AK1808)</f>
        <v>5.4112845055494914</v>
      </c>
      <c r="BX1808">
        <v>9.27</v>
      </c>
      <c r="BY1808">
        <v>9.27</v>
      </c>
      <c r="BZ1808">
        <v>1.01</v>
      </c>
      <c r="CA1808">
        <f>BZ1808*SQRT(AL1808)</f>
        <v>4.5168573145495756</v>
      </c>
      <c r="CB1808">
        <v>56</v>
      </c>
      <c r="CC1808">
        <v>5</v>
      </c>
      <c r="CD1808">
        <v>-0.25800000000000001</v>
      </c>
      <c r="CE1808">
        <v>2.1999999999999999E-2</v>
      </c>
    </row>
    <row r="1809" spans="1:84" hidden="1" x14ac:dyDescent="0.2">
      <c r="D1809">
        <v>199</v>
      </c>
      <c r="G1809" t="s">
        <v>43</v>
      </c>
      <c r="H1809" t="s">
        <v>942</v>
      </c>
      <c r="J1809">
        <v>2008</v>
      </c>
      <c r="M1809" t="s">
        <v>630</v>
      </c>
      <c r="T1809" t="s">
        <v>103</v>
      </c>
      <c r="U1809" t="s">
        <v>228</v>
      </c>
      <c r="V1809" t="s">
        <v>946</v>
      </c>
      <c r="Z1809" t="s">
        <v>106</v>
      </c>
      <c r="AA1809" t="s">
        <v>107</v>
      </c>
      <c r="AB1809" t="s">
        <v>50</v>
      </c>
      <c r="AC1809" t="s">
        <v>51</v>
      </c>
      <c r="AD1809" t="s">
        <v>52</v>
      </c>
      <c r="AE1809" t="s">
        <v>53</v>
      </c>
      <c r="AF1809" t="s">
        <v>52</v>
      </c>
      <c r="AG1809" t="s">
        <v>52</v>
      </c>
      <c r="AH1809" t="s">
        <v>64</v>
      </c>
      <c r="AK1809">
        <v>20</v>
      </c>
      <c r="AL1809">
        <v>20</v>
      </c>
      <c r="AN1809">
        <v>460</v>
      </c>
      <c r="AO1809" t="s">
        <v>56</v>
      </c>
      <c r="AP1809" t="s">
        <v>56</v>
      </c>
      <c r="AQ1809" t="s">
        <v>56</v>
      </c>
      <c r="AR1809">
        <v>8.1999999999999993</v>
      </c>
      <c r="AS1809" t="s">
        <v>56</v>
      </c>
      <c r="AT1809" t="s">
        <v>56</v>
      </c>
      <c r="AU1809">
        <v>705</v>
      </c>
      <c r="AV1809" t="s">
        <v>56</v>
      </c>
      <c r="AW1809" t="s">
        <v>56</v>
      </c>
      <c r="AX1809">
        <v>7.9</v>
      </c>
      <c r="AY1809" t="s">
        <v>56</v>
      </c>
      <c r="AZ1809" t="s">
        <v>56</v>
      </c>
      <c r="BB1809">
        <f>LOG(AU1809)</f>
        <v>2.8481891169913989</v>
      </c>
      <c r="BC1809">
        <v>25.5</v>
      </c>
      <c r="BD1809" t="s">
        <v>56</v>
      </c>
      <c r="BE1809" t="s">
        <v>56</v>
      </c>
      <c r="BF1809">
        <v>28.5</v>
      </c>
      <c r="BG1809" t="s">
        <v>56</v>
      </c>
      <c r="BH1809" t="s">
        <v>56</v>
      </c>
      <c r="BI1809">
        <v>245</v>
      </c>
      <c r="BJ1809">
        <v>3</v>
      </c>
      <c r="BK1809" t="s">
        <v>56</v>
      </c>
      <c r="BL1809" t="s">
        <v>232</v>
      </c>
      <c r="BM1809" t="s">
        <v>232</v>
      </c>
      <c r="BN1809" t="s">
        <v>81</v>
      </c>
      <c r="BO1809" t="s">
        <v>947</v>
      </c>
      <c r="BP1809" t="s">
        <v>234</v>
      </c>
      <c r="BQ1809" s="8" t="s">
        <v>190</v>
      </c>
      <c r="BR1809" t="s">
        <v>63</v>
      </c>
      <c r="BT1809">
        <v>11.9</v>
      </c>
      <c r="BU1809">
        <v>11.898999999999999</v>
      </c>
      <c r="BV1809">
        <v>0.61</v>
      </c>
      <c r="BW1809">
        <f>BV1809*SQRT(AK1809)</f>
        <v>2.7280029325497437</v>
      </c>
      <c r="BX1809">
        <v>9.3800000000000008</v>
      </c>
      <c r="BY1809">
        <v>9.3780000000000001</v>
      </c>
      <c r="BZ1809">
        <v>1.01</v>
      </c>
      <c r="CA1809">
        <f>BZ1809*SQRT(AL1809)</f>
        <v>4.5168573145495756</v>
      </c>
      <c r="CB1809">
        <v>56</v>
      </c>
      <c r="CC1809">
        <v>5</v>
      </c>
      <c r="CD1809">
        <v>-0.23799999999999999</v>
      </c>
      <c r="CE1809">
        <v>1.41E-2</v>
      </c>
    </row>
    <row r="1810" spans="1:84" hidden="1" x14ac:dyDescent="0.2">
      <c r="D1810">
        <v>199</v>
      </c>
      <c r="G1810" t="s">
        <v>43</v>
      </c>
      <c r="H1810" t="s">
        <v>942</v>
      </c>
      <c r="J1810">
        <v>2008</v>
      </c>
      <c r="M1810" t="s">
        <v>630</v>
      </c>
      <c r="T1810" t="s">
        <v>103</v>
      </c>
      <c r="U1810" t="s">
        <v>228</v>
      </c>
      <c r="V1810" t="s">
        <v>946</v>
      </c>
      <c r="Z1810" t="s">
        <v>106</v>
      </c>
      <c r="AA1810" t="s">
        <v>107</v>
      </c>
      <c r="AB1810" t="s">
        <v>50</v>
      </c>
      <c r="AC1810" t="s">
        <v>51</v>
      </c>
      <c r="AD1810" t="s">
        <v>52</v>
      </c>
      <c r="AE1810" t="s">
        <v>53</v>
      </c>
      <c r="AF1810" t="s">
        <v>54</v>
      </c>
      <c r="AG1810" t="s">
        <v>52</v>
      </c>
      <c r="AH1810" t="s">
        <v>65</v>
      </c>
      <c r="AK1810">
        <v>20</v>
      </c>
      <c r="AL1810">
        <v>20</v>
      </c>
      <c r="AN1810">
        <v>460</v>
      </c>
      <c r="AO1810" t="s">
        <v>56</v>
      </c>
      <c r="AP1810" t="s">
        <v>56</v>
      </c>
      <c r="AQ1810" t="s">
        <v>56</v>
      </c>
      <c r="AR1810">
        <v>8.1999999999999993</v>
      </c>
      <c r="AS1810" t="s">
        <v>56</v>
      </c>
      <c r="AT1810" t="s">
        <v>56</v>
      </c>
      <c r="AU1810">
        <v>465</v>
      </c>
      <c r="AV1810" t="s">
        <v>56</v>
      </c>
      <c r="AW1810" t="s">
        <v>56</v>
      </c>
      <c r="AX1810">
        <v>8.1999999999999993</v>
      </c>
      <c r="AY1810" t="s">
        <v>56</v>
      </c>
      <c r="AZ1810" t="s">
        <v>56</v>
      </c>
      <c r="BB1810">
        <f>LOG(AU1810)</f>
        <v>2.667452952889954</v>
      </c>
      <c r="BC1810">
        <v>25.5</v>
      </c>
      <c r="BD1810" t="s">
        <v>56</v>
      </c>
      <c r="BE1810" t="s">
        <v>56</v>
      </c>
      <c r="BF1810">
        <v>28.5</v>
      </c>
      <c r="BG1810" t="s">
        <v>56</v>
      </c>
      <c r="BH1810" t="s">
        <v>56</v>
      </c>
      <c r="BI1810">
        <v>5</v>
      </c>
      <c r="BJ1810">
        <v>3</v>
      </c>
      <c r="BK1810" t="s">
        <v>56</v>
      </c>
      <c r="BL1810" t="s">
        <v>232</v>
      </c>
      <c r="BM1810" t="s">
        <v>232</v>
      </c>
      <c r="BN1810" t="s">
        <v>81</v>
      </c>
      <c r="BO1810" t="s">
        <v>947</v>
      </c>
      <c r="BP1810" t="s">
        <v>234</v>
      </c>
      <c r="BQ1810" s="8" t="s">
        <v>190</v>
      </c>
      <c r="BR1810" t="s">
        <v>63</v>
      </c>
      <c r="BT1810">
        <v>11.9</v>
      </c>
      <c r="BU1810">
        <v>11.898999999999999</v>
      </c>
      <c r="BV1810">
        <v>0.61</v>
      </c>
      <c r="BW1810">
        <f>BV1810*SQRT(AK1810)</f>
        <v>2.7280029325497437</v>
      </c>
      <c r="BX1810">
        <v>9.48</v>
      </c>
      <c r="BY1810">
        <v>9.4779999999999998</v>
      </c>
      <c r="BZ1810">
        <v>0.81</v>
      </c>
      <c r="CA1810">
        <f>BZ1810*SQRT(AL1810)</f>
        <v>3.6224301235496599</v>
      </c>
      <c r="CB1810">
        <v>56</v>
      </c>
      <c r="CC1810">
        <v>5</v>
      </c>
      <c r="CD1810">
        <v>-0.22700000000000001</v>
      </c>
      <c r="CE1810">
        <v>9.7999999999999997E-3</v>
      </c>
    </row>
    <row r="1811" spans="1:84" hidden="1" x14ac:dyDescent="0.2">
      <c r="D1811">
        <v>199</v>
      </c>
      <c r="G1811" t="s">
        <v>43</v>
      </c>
      <c r="H1811" t="s">
        <v>942</v>
      </c>
      <c r="J1811">
        <v>2008</v>
      </c>
      <c r="M1811" t="s">
        <v>630</v>
      </c>
      <c r="T1811" t="s">
        <v>103</v>
      </c>
      <c r="U1811" t="s">
        <v>228</v>
      </c>
      <c r="V1811" t="s">
        <v>946</v>
      </c>
      <c r="Z1811" t="s">
        <v>106</v>
      </c>
      <c r="AA1811" t="s">
        <v>107</v>
      </c>
      <c r="AB1811" t="s">
        <v>50</v>
      </c>
      <c r="AC1811" t="s">
        <v>51</v>
      </c>
      <c r="AD1811" t="s">
        <v>52</v>
      </c>
      <c r="AE1811" t="s">
        <v>53</v>
      </c>
      <c r="AF1811" t="s">
        <v>52</v>
      </c>
      <c r="AG1811" t="s">
        <v>54</v>
      </c>
      <c r="AH1811" t="s">
        <v>55</v>
      </c>
      <c r="AK1811">
        <v>20</v>
      </c>
      <c r="AL1811">
        <v>20</v>
      </c>
      <c r="AN1811">
        <v>460</v>
      </c>
      <c r="AO1811" t="s">
        <v>56</v>
      </c>
      <c r="AP1811" t="s">
        <v>56</v>
      </c>
      <c r="AQ1811" t="s">
        <v>56</v>
      </c>
      <c r="AR1811">
        <v>8.1999999999999993</v>
      </c>
      <c r="AS1811" t="s">
        <v>56</v>
      </c>
      <c r="AT1811" t="s">
        <v>56</v>
      </c>
      <c r="AU1811">
        <v>705</v>
      </c>
      <c r="AV1811" t="s">
        <v>56</v>
      </c>
      <c r="AW1811" t="s">
        <v>56</v>
      </c>
      <c r="AX1811">
        <v>7.9</v>
      </c>
      <c r="AY1811" t="s">
        <v>56</v>
      </c>
      <c r="AZ1811" t="s">
        <v>56</v>
      </c>
      <c r="BB1811">
        <f>LOG(AU1811)</f>
        <v>2.8481891169913989</v>
      </c>
      <c r="BC1811">
        <v>25.5</v>
      </c>
      <c r="BD1811" t="s">
        <v>56</v>
      </c>
      <c r="BE1811" t="s">
        <v>56</v>
      </c>
      <c r="BF1811">
        <v>25.5</v>
      </c>
      <c r="BG1811" t="s">
        <v>56</v>
      </c>
      <c r="BH1811" t="s">
        <v>56</v>
      </c>
      <c r="BI1811">
        <v>245</v>
      </c>
      <c r="BJ1811">
        <v>0</v>
      </c>
      <c r="BK1811" t="s">
        <v>56</v>
      </c>
      <c r="BL1811" t="s">
        <v>232</v>
      </c>
      <c r="BM1811" t="s">
        <v>232</v>
      </c>
      <c r="BN1811" t="s">
        <v>81</v>
      </c>
      <c r="BO1811" t="s">
        <v>947</v>
      </c>
      <c r="BP1811" t="s">
        <v>234</v>
      </c>
      <c r="BQ1811" s="8" t="s">
        <v>190</v>
      </c>
      <c r="BR1811" t="s">
        <v>63</v>
      </c>
      <c r="BT1811">
        <v>11.9</v>
      </c>
      <c r="BU1811">
        <v>11.898999999999999</v>
      </c>
      <c r="BV1811">
        <v>0.61</v>
      </c>
      <c r="BW1811">
        <f>BV1811*SQRT(AK1811)</f>
        <v>2.7280029325497437</v>
      </c>
      <c r="BX1811">
        <v>9.7799999999999994</v>
      </c>
      <c r="BY1811">
        <v>9.7810000000000006</v>
      </c>
      <c r="BZ1811">
        <v>0.6</v>
      </c>
      <c r="CA1811">
        <f>BZ1811*SQRT(AL1811)</f>
        <v>2.6832815729997477</v>
      </c>
      <c r="CB1811">
        <v>56</v>
      </c>
      <c r="CC1811">
        <v>5</v>
      </c>
      <c r="CD1811">
        <v>-0.19600000000000001</v>
      </c>
      <c r="CE1811">
        <v>6.4000000000000003E-3</v>
      </c>
    </row>
    <row r="1812" spans="1:84" hidden="1" x14ac:dyDescent="0.2">
      <c r="D1812">
        <v>199</v>
      </c>
      <c r="G1812" t="s">
        <v>43</v>
      </c>
      <c r="H1812" t="s">
        <v>942</v>
      </c>
      <c r="J1812">
        <v>2008</v>
      </c>
      <c r="M1812" t="s">
        <v>630</v>
      </c>
      <c r="T1812" t="s">
        <v>103</v>
      </c>
      <c r="U1812" t="s">
        <v>414</v>
      </c>
      <c r="V1812" t="s">
        <v>943</v>
      </c>
      <c r="Z1812" t="s">
        <v>106</v>
      </c>
      <c r="AA1812" t="s">
        <v>107</v>
      </c>
      <c r="AB1812" t="s">
        <v>50</v>
      </c>
      <c r="AC1812" t="s">
        <v>51</v>
      </c>
      <c r="AD1812" t="s">
        <v>52</v>
      </c>
      <c r="AE1812" t="s">
        <v>53</v>
      </c>
      <c r="AF1812" t="s">
        <v>52</v>
      </c>
      <c r="AG1812" t="s">
        <v>54</v>
      </c>
      <c r="AH1812" t="s">
        <v>55</v>
      </c>
      <c r="AK1812">
        <v>20</v>
      </c>
      <c r="AL1812">
        <v>20</v>
      </c>
      <c r="AN1812">
        <v>460</v>
      </c>
      <c r="AO1812" t="s">
        <v>56</v>
      </c>
      <c r="AP1812" t="s">
        <v>56</v>
      </c>
      <c r="AQ1812" t="s">
        <v>56</v>
      </c>
      <c r="AR1812">
        <v>8.1999999999999993</v>
      </c>
      <c r="AS1812" t="s">
        <v>56</v>
      </c>
      <c r="AT1812" t="s">
        <v>56</v>
      </c>
      <c r="AU1812">
        <v>705</v>
      </c>
      <c r="AV1812" t="s">
        <v>56</v>
      </c>
      <c r="AW1812" t="s">
        <v>56</v>
      </c>
      <c r="AX1812">
        <v>7.9</v>
      </c>
      <c r="AY1812" t="s">
        <v>56</v>
      </c>
      <c r="AZ1812" t="s">
        <v>56</v>
      </c>
      <c r="BB1812">
        <f>LOG(AU1812)</f>
        <v>2.8481891169913989</v>
      </c>
      <c r="BC1812">
        <v>25.5</v>
      </c>
      <c r="BD1812" t="s">
        <v>56</v>
      </c>
      <c r="BE1812" t="s">
        <v>56</v>
      </c>
      <c r="BF1812">
        <v>25.5</v>
      </c>
      <c r="BG1812" t="s">
        <v>56</v>
      </c>
      <c r="BH1812" t="s">
        <v>56</v>
      </c>
      <c r="BI1812">
        <v>245</v>
      </c>
      <c r="BJ1812">
        <v>0</v>
      </c>
      <c r="BK1812" t="s">
        <v>56</v>
      </c>
      <c r="BL1812" t="s">
        <v>944</v>
      </c>
      <c r="BM1812" t="s">
        <v>59</v>
      </c>
      <c r="BN1812" t="s">
        <v>60</v>
      </c>
      <c r="BO1812" t="s">
        <v>945</v>
      </c>
      <c r="BP1812" t="s">
        <v>62</v>
      </c>
      <c r="BQ1812" s="8" t="s">
        <v>190</v>
      </c>
      <c r="BR1812" t="s">
        <v>63</v>
      </c>
      <c r="BT1812">
        <v>11.23</v>
      </c>
      <c r="BU1812">
        <v>11.231</v>
      </c>
      <c r="BV1812">
        <v>1.63</v>
      </c>
      <c r="BW1812">
        <f>BV1812*SQRT(AK1812)</f>
        <v>7.289581606649314</v>
      </c>
      <c r="BX1812">
        <v>9.7799999999999994</v>
      </c>
      <c r="BY1812">
        <v>9.782</v>
      </c>
      <c r="BZ1812">
        <v>2.17</v>
      </c>
      <c r="CA1812">
        <f>BZ1812*SQRT(AL1812)</f>
        <v>9.7045350223490878</v>
      </c>
      <c r="CB1812">
        <v>56</v>
      </c>
      <c r="CC1812">
        <v>5</v>
      </c>
      <c r="CD1812">
        <v>-0.13800000000000001</v>
      </c>
      <c r="CE1812">
        <v>7.0499999999999993E-2</v>
      </c>
    </row>
    <row r="1813" spans="1:84" hidden="1" x14ac:dyDescent="0.2">
      <c r="D1813">
        <v>199</v>
      </c>
      <c r="G1813" t="s">
        <v>43</v>
      </c>
      <c r="H1813" t="s">
        <v>942</v>
      </c>
      <c r="J1813">
        <v>2008</v>
      </c>
      <c r="M1813" t="s">
        <v>630</v>
      </c>
      <c r="T1813" t="s">
        <v>103</v>
      </c>
      <c r="U1813" t="s">
        <v>414</v>
      </c>
      <c r="V1813" t="s">
        <v>943</v>
      </c>
      <c r="Z1813" t="s">
        <v>106</v>
      </c>
      <c r="AA1813" t="s">
        <v>107</v>
      </c>
      <c r="AB1813" t="s">
        <v>50</v>
      </c>
      <c r="AC1813" t="s">
        <v>51</v>
      </c>
      <c r="AD1813" t="s">
        <v>52</v>
      </c>
      <c r="AE1813" t="s">
        <v>53</v>
      </c>
      <c r="AF1813" t="s">
        <v>52</v>
      </c>
      <c r="AG1813" t="s">
        <v>54</v>
      </c>
      <c r="AH1813" t="s">
        <v>55</v>
      </c>
      <c r="AK1813">
        <v>20</v>
      </c>
      <c r="AL1813">
        <v>20</v>
      </c>
      <c r="AN1813">
        <v>460</v>
      </c>
      <c r="AO1813" t="s">
        <v>56</v>
      </c>
      <c r="AP1813" t="s">
        <v>56</v>
      </c>
      <c r="AQ1813" t="s">
        <v>56</v>
      </c>
      <c r="AR1813">
        <v>8.1999999999999993</v>
      </c>
      <c r="AS1813" t="s">
        <v>56</v>
      </c>
      <c r="AT1813" t="s">
        <v>56</v>
      </c>
      <c r="AU1813">
        <v>705</v>
      </c>
      <c r="AV1813" t="s">
        <v>56</v>
      </c>
      <c r="AW1813" t="s">
        <v>56</v>
      </c>
      <c r="AX1813">
        <v>7.9</v>
      </c>
      <c r="AY1813" t="s">
        <v>56</v>
      </c>
      <c r="AZ1813" t="s">
        <v>56</v>
      </c>
      <c r="BB1813">
        <f>LOG(AU1813)</f>
        <v>2.8481891169913989</v>
      </c>
      <c r="BC1813">
        <v>25.5</v>
      </c>
      <c r="BD1813" t="s">
        <v>56</v>
      </c>
      <c r="BE1813" t="s">
        <v>56</v>
      </c>
      <c r="BF1813">
        <v>25.5</v>
      </c>
      <c r="BG1813" t="s">
        <v>56</v>
      </c>
      <c r="BH1813" t="s">
        <v>56</v>
      </c>
      <c r="BI1813">
        <v>245</v>
      </c>
      <c r="BJ1813">
        <v>0</v>
      </c>
      <c r="BK1813" t="s">
        <v>56</v>
      </c>
      <c r="BL1813" t="s">
        <v>232</v>
      </c>
      <c r="BM1813" t="s">
        <v>232</v>
      </c>
      <c r="BN1813" t="s">
        <v>81</v>
      </c>
      <c r="BO1813" t="s">
        <v>947</v>
      </c>
      <c r="BP1813" t="s">
        <v>234</v>
      </c>
      <c r="BQ1813" s="8" t="s">
        <v>190</v>
      </c>
      <c r="BR1813" t="s">
        <v>63</v>
      </c>
      <c r="BT1813">
        <v>12</v>
      </c>
      <c r="BU1813">
        <v>12</v>
      </c>
      <c r="BV1813">
        <v>1.21</v>
      </c>
      <c r="BW1813">
        <f>BV1813*SQRT(AK1813)</f>
        <v>5.4112845055494914</v>
      </c>
      <c r="BX1813">
        <v>10.48</v>
      </c>
      <c r="BY1813">
        <v>10.48</v>
      </c>
      <c r="BZ1813">
        <v>1.31</v>
      </c>
      <c r="CA1813">
        <f>BZ1813*SQRT(AL1813)</f>
        <v>5.8584981010494497</v>
      </c>
      <c r="CB1813">
        <v>56</v>
      </c>
      <c r="CC1813">
        <v>5</v>
      </c>
      <c r="CD1813">
        <v>-0.13500000000000001</v>
      </c>
      <c r="CE1813">
        <v>2.58E-2</v>
      </c>
    </row>
    <row r="1814" spans="1:84" hidden="1" x14ac:dyDescent="0.2">
      <c r="D1814">
        <v>199</v>
      </c>
      <c r="G1814" t="s">
        <v>43</v>
      </c>
      <c r="H1814" t="s">
        <v>942</v>
      </c>
      <c r="J1814">
        <v>2008</v>
      </c>
      <c r="M1814" t="s">
        <v>630</v>
      </c>
      <c r="T1814" t="s">
        <v>103</v>
      </c>
      <c r="U1814" t="s">
        <v>414</v>
      </c>
      <c r="V1814" t="s">
        <v>943</v>
      </c>
      <c r="Z1814" t="s">
        <v>106</v>
      </c>
      <c r="AA1814" t="s">
        <v>107</v>
      </c>
      <c r="AB1814" t="s">
        <v>50</v>
      </c>
      <c r="AC1814" t="s">
        <v>51</v>
      </c>
      <c r="AD1814" t="s">
        <v>52</v>
      </c>
      <c r="AE1814" t="s">
        <v>53</v>
      </c>
      <c r="AF1814" t="s">
        <v>52</v>
      </c>
      <c r="AG1814" t="s">
        <v>52</v>
      </c>
      <c r="AH1814" t="s">
        <v>64</v>
      </c>
      <c r="AK1814">
        <v>20</v>
      </c>
      <c r="AL1814">
        <v>20</v>
      </c>
      <c r="AN1814">
        <v>460</v>
      </c>
      <c r="AO1814" t="s">
        <v>56</v>
      </c>
      <c r="AP1814" t="s">
        <v>56</v>
      </c>
      <c r="AQ1814" t="s">
        <v>56</v>
      </c>
      <c r="AR1814">
        <v>8.1999999999999993</v>
      </c>
      <c r="AS1814" t="s">
        <v>56</v>
      </c>
      <c r="AT1814" t="s">
        <v>56</v>
      </c>
      <c r="AU1814">
        <v>705</v>
      </c>
      <c r="AV1814" t="s">
        <v>56</v>
      </c>
      <c r="AW1814" t="s">
        <v>56</v>
      </c>
      <c r="AX1814">
        <v>7.9</v>
      </c>
      <c r="AY1814" t="s">
        <v>56</v>
      </c>
      <c r="AZ1814" t="s">
        <v>56</v>
      </c>
      <c r="BB1814">
        <f>LOG(AU1814)</f>
        <v>2.8481891169913989</v>
      </c>
      <c r="BC1814">
        <v>25.5</v>
      </c>
      <c r="BD1814" t="s">
        <v>56</v>
      </c>
      <c r="BE1814" t="s">
        <v>56</v>
      </c>
      <c r="BF1814">
        <v>28.5</v>
      </c>
      <c r="BG1814" t="s">
        <v>56</v>
      </c>
      <c r="BH1814" t="s">
        <v>56</v>
      </c>
      <c r="BI1814">
        <v>245</v>
      </c>
      <c r="BJ1814">
        <v>3</v>
      </c>
      <c r="BK1814" t="s">
        <v>56</v>
      </c>
      <c r="BL1814" t="s">
        <v>232</v>
      </c>
      <c r="BM1814" t="s">
        <v>232</v>
      </c>
      <c r="BN1814" t="s">
        <v>81</v>
      </c>
      <c r="BO1814" t="s">
        <v>947</v>
      </c>
      <c r="BP1814" t="s">
        <v>234</v>
      </c>
      <c r="BQ1814" s="8" t="s">
        <v>190</v>
      </c>
      <c r="BR1814" t="s">
        <v>63</v>
      </c>
      <c r="BT1814">
        <v>12</v>
      </c>
      <c r="BU1814">
        <v>12</v>
      </c>
      <c r="BV1814">
        <v>1.21</v>
      </c>
      <c r="BW1814">
        <f>BV1814*SQRT(AK1814)</f>
        <v>5.4112845055494914</v>
      </c>
      <c r="BX1814">
        <v>11.19</v>
      </c>
      <c r="BY1814">
        <v>11.19</v>
      </c>
      <c r="BZ1814">
        <v>1.21</v>
      </c>
      <c r="CA1814">
        <f>BZ1814*SQRT(AL1814)</f>
        <v>5.4112845055494914</v>
      </c>
      <c r="CB1814">
        <v>56</v>
      </c>
      <c r="CC1814">
        <v>5</v>
      </c>
      <c r="CD1814">
        <v>-7.0000000000000007E-2</v>
      </c>
      <c r="CE1814">
        <v>2.1899999999999999E-2</v>
      </c>
    </row>
    <row r="1815" spans="1:84" hidden="1" x14ac:dyDescent="0.2">
      <c r="D1815">
        <v>199</v>
      </c>
      <c r="G1815" t="s">
        <v>43</v>
      </c>
      <c r="H1815" t="s">
        <v>942</v>
      </c>
      <c r="J1815">
        <v>2008</v>
      </c>
      <c r="M1815" t="s">
        <v>630</v>
      </c>
      <c r="T1815" t="s">
        <v>103</v>
      </c>
      <c r="U1815" t="s">
        <v>228</v>
      </c>
      <c r="V1815" t="s">
        <v>946</v>
      </c>
      <c r="Z1815" t="s">
        <v>106</v>
      </c>
      <c r="AA1815" t="s">
        <v>107</v>
      </c>
      <c r="AB1815" t="s">
        <v>50</v>
      </c>
      <c r="AC1815" t="s">
        <v>51</v>
      </c>
      <c r="AD1815" t="s">
        <v>52</v>
      </c>
      <c r="AE1815" t="s">
        <v>53</v>
      </c>
      <c r="AF1815" t="s">
        <v>52</v>
      </c>
      <c r="AG1815" t="s">
        <v>54</v>
      </c>
      <c r="AH1815" t="s">
        <v>55</v>
      </c>
      <c r="AK1815">
        <v>20</v>
      </c>
      <c r="AL1815">
        <v>20</v>
      </c>
      <c r="AN1815">
        <v>460</v>
      </c>
      <c r="AO1815" t="s">
        <v>56</v>
      </c>
      <c r="AP1815" t="s">
        <v>56</v>
      </c>
      <c r="AQ1815" t="s">
        <v>56</v>
      </c>
      <c r="AR1815">
        <v>8.1999999999999993</v>
      </c>
      <c r="AS1815" t="s">
        <v>56</v>
      </c>
      <c r="AT1815" t="s">
        <v>56</v>
      </c>
      <c r="AU1815">
        <v>705</v>
      </c>
      <c r="AV1815" t="s">
        <v>56</v>
      </c>
      <c r="AW1815" t="s">
        <v>56</v>
      </c>
      <c r="AX1815">
        <v>7.9</v>
      </c>
      <c r="AY1815" t="s">
        <v>56</v>
      </c>
      <c r="AZ1815" t="s">
        <v>56</v>
      </c>
      <c r="BB1815">
        <f>LOG(AU1815)</f>
        <v>2.8481891169913989</v>
      </c>
      <c r="BC1815">
        <v>25.5</v>
      </c>
      <c r="BD1815" t="s">
        <v>56</v>
      </c>
      <c r="BE1815" t="s">
        <v>56</v>
      </c>
      <c r="BF1815">
        <v>25.5</v>
      </c>
      <c r="BG1815" t="s">
        <v>56</v>
      </c>
      <c r="BH1815" t="s">
        <v>56</v>
      </c>
      <c r="BI1815">
        <v>245</v>
      </c>
      <c r="BJ1815">
        <v>0</v>
      </c>
      <c r="BK1815" t="s">
        <v>56</v>
      </c>
      <c r="BL1815" t="s">
        <v>944</v>
      </c>
      <c r="BM1815" t="s">
        <v>59</v>
      </c>
      <c r="BN1815" t="s">
        <v>60</v>
      </c>
      <c r="BO1815" t="s">
        <v>945</v>
      </c>
      <c r="BP1815" t="s">
        <v>62</v>
      </c>
      <c r="BQ1815" s="8" t="s">
        <v>190</v>
      </c>
      <c r="BR1815" t="s">
        <v>63</v>
      </c>
      <c r="BT1815">
        <v>4.8899999999999997</v>
      </c>
      <c r="BU1815">
        <v>4.891</v>
      </c>
      <c r="BV1815">
        <v>1.0900000000000001</v>
      </c>
      <c r="BW1815">
        <f>BV1815*SQRT(AK1815)</f>
        <v>4.8746281909495419</v>
      </c>
      <c r="BX1815">
        <v>4.71</v>
      </c>
      <c r="BY1815">
        <v>4.7100999999999997</v>
      </c>
      <c r="BZ1815">
        <v>1.27</v>
      </c>
      <c r="CA1815">
        <f>BZ1815*SQRT(AL1815)</f>
        <v>5.6796126628494665</v>
      </c>
      <c r="CB1815">
        <v>56</v>
      </c>
      <c r="CC1815">
        <v>5</v>
      </c>
      <c r="CD1815">
        <v>-3.7999999999999999E-2</v>
      </c>
      <c r="CE1815">
        <v>0.12189999999999999</v>
      </c>
    </row>
    <row r="1816" spans="1:84" hidden="1" x14ac:dyDescent="0.2">
      <c r="D1816">
        <v>199</v>
      </c>
      <c r="G1816" t="s">
        <v>43</v>
      </c>
      <c r="H1816" t="s">
        <v>942</v>
      </c>
      <c r="J1816">
        <v>2008</v>
      </c>
      <c r="M1816" t="s">
        <v>630</v>
      </c>
      <c r="T1816" t="s">
        <v>103</v>
      </c>
      <c r="U1816" t="s">
        <v>414</v>
      </c>
      <c r="V1816" t="s">
        <v>943</v>
      </c>
      <c r="Z1816" t="s">
        <v>106</v>
      </c>
      <c r="AA1816" t="s">
        <v>107</v>
      </c>
      <c r="AB1816" t="s">
        <v>50</v>
      </c>
      <c r="AC1816" t="s">
        <v>51</v>
      </c>
      <c r="AD1816" t="s">
        <v>52</v>
      </c>
      <c r="AE1816" t="s">
        <v>53</v>
      </c>
      <c r="AF1816" t="s">
        <v>54</v>
      </c>
      <c r="AG1816" t="s">
        <v>52</v>
      </c>
      <c r="AH1816" t="s">
        <v>65</v>
      </c>
      <c r="AK1816">
        <v>20</v>
      </c>
      <c r="AL1816">
        <v>20</v>
      </c>
      <c r="AN1816">
        <v>460</v>
      </c>
      <c r="AO1816" t="s">
        <v>56</v>
      </c>
      <c r="AP1816" t="s">
        <v>56</v>
      </c>
      <c r="AQ1816" t="s">
        <v>56</v>
      </c>
      <c r="AR1816">
        <v>8.1999999999999993</v>
      </c>
      <c r="AS1816" t="s">
        <v>56</v>
      </c>
      <c r="AT1816" t="s">
        <v>56</v>
      </c>
      <c r="AU1816">
        <v>465</v>
      </c>
      <c r="AV1816" t="s">
        <v>56</v>
      </c>
      <c r="AW1816" t="s">
        <v>56</v>
      </c>
      <c r="AX1816">
        <v>8.1999999999999993</v>
      </c>
      <c r="AY1816" t="s">
        <v>56</v>
      </c>
      <c r="AZ1816" t="s">
        <v>56</v>
      </c>
      <c r="BB1816">
        <f>LOG(AU1816)</f>
        <v>2.667452952889954</v>
      </c>
      <c r="BC1816">
        <v>25.5</v>
      </c>
      <c r="BD1816" t="s">
        <v>56</v>
      </c>
      <c r="BE1816" t="s">
        <v>56</v>
      </c>
      <c r="BF1816">
        <v>28.5</v>
      </c>
      <c r="BG1816" t="s">
        <v>56</v>
      </c>
      <c r="BH1816" t="s">
        <v>56</v>
      </c>
      <c r="BI1816">
        <v>5</v>
      </c>
      <c r="BJ1816">
        <v>3</v>
      </c>
      <c r="BK1816" t="s">
        <v>56</v>
      </c>
      <c r="BL1816" t="s">
        <v>944</v>
      </c>
      <c r="BM1816" t="s">
        <v>59</v>
      </c>
      <c r="BN1816" t="s">
        <v>60</v>
      </c>
      <c r="BO1816" t="s">
        <v>945</v>
      </c>
      <c r="BP1816" t="s">
        <v>62</v>
      </c>
      <c r="BQ1816" s="8" t="s">
        <v>190</v>
      </c>
      <c r="BR1816" t="s">
        <v>63</v>
      </c>
      <c r="BT1816">
        <v>11.23</v>
      </c>
      <c r="BU1816">
        <v>11.231</v>
      </c>
      <c r="BV1816">
        <v>1.63</v>
      </c>
      <c r="BW1816">
        <f>BV1816*SQRT(AK1816)</f>
        <v>7.289581606649314</v>
      </c>
      <c r="BX1816">
        <v>14.86</v>
      </c>
      <c r="BY1816">
        <v>14.855</v>
      </c>
      <c r="BZ1816">
        <v>1.63</v>
      </c>
      <c r="CA1816">
        <f>BZ1816*SQRT(AL1816)</f>
        <v>7.289581606649314</v>
      </c>
      <c r="CB1816">
        <v>56</v>
      </c>
      <c r="CC1816">
        <v>5</v>
      </c>
      <c r="CD1816">
        <v>0.28000000000000003</v>
      </c>
      <c r="CE1816">
        <v>3.3099999999999997E-2</v>
      </c>
    </row>
    <row r="1817" spans="1:84" hidden="1" x14ac:dyDescent="0.2">
      <c r="D1817">
        <v>199</v>
      </c>
      <c r="G1817" t="s">
        <v>43</v>
      </c>
      <c r="H1817" t="s">
        <v>942</v>
      </c>
      <c r="J1817">
        <v>2008</v>
      </c>
      <c r="M1817" t="s">
        <v>630</v>
      </c>
      <c r="T1817" t="s">
        <v>103</v>
      </c>
      <c r="U1817" t="s">
        <v>228</v>
      </c>
      <c r="V1817" t="s">
        <v>946</v>
      </c>
      <c r="Z1817" t="s">
        <v>106</v>
      </c>
      <c r="AA1817" t="s">
        <v>107</v>
      </c>
      <c r="AB1817" t="s">
        <v>50</v>
      </c>
      <c r="AC1817" t="s">
        <v>51</v>
      </c>
      <c r="AD1817" t="s">
        <v>52</v>
      </c>
      <c r="AE1817" t="s">
        <v>53</v>
      </c>
      <c r="AF1817" t="s">
        <v>54</v>
      </c>
      <c r="AG1817" t="s">
        <v>52</v>
      </c>
      <c r="AH1817" t="s">
        <v>65</v>
      </c>
      <c r="AK1817">
        <v>20</v>
      </c>
      <c r="AL1817">
        <v>20</v>
      </c>
      <c r="AN1817">
        <v>460</v>
      </c>
      <c r="AO1817" t="s">
        <v>56</v>
      </c>
      <c r="AP1817" t="s">
        <v>56</v>
      </c>
      <c r="AQ1817" t="s">
        <v>56</v>
      </c>
      <c r="AR1817">
        <v>8.1999999999999993</v>
      </c>
      <c r="AS1817" t="s">
        <v>56</v>
      </c>
      <c r="AT1817" t="s">
        <v>56</v>
      </c>
      <c r="AU1817">
        <v>465</v>
      </c>
      <c r="AV1817" t="s">
        <v>56</v>
      </c>
      <c r="AW1817" t="s">
        <v>56</v>
      </c>
      <c r="AX1817">
        <v>8.1999999999999993</v>
      </c>
      <c r="AY1817" t="s">
        <v>56</v>
      </c>
      <c r="AZ1817" t="s">
        <v>56</v>
      </c>
      <c r="BB1817">
        <f>LOG(AU1817)</f>
        <v>2.667452952889954</v>
      </c>
      <c r="BC1817">
        <v>25.5</v>
      </c>
      <c r="BD1817" t="s">
        <v>56</v>
      </c>
      <c r="BE1817" t="s">
        <v>56</v>
      </c>
      <c r="BF1817">
        <v>28.5</v>
      </c>
      <c r="BG1817" t="s">
        <v>56</v>
      </c>
      <c r="BH1817" t="s">
        <v>56</v>
      </c>
      <c r="BI1817">
        <v>5</v>
      </c>
      <c r="BJ1817">
        <v>3</v>
      </c>
      <c r="BK1817" t="s">
        <v>56</v>
      </c>
      <c r="BL1817" t="s">
        <v>944</v>
      </c>
      <c r="BM1817" t="s">
        <v>59</v>
      </c>
      <c r="BN1817" t="s">
        <v>60</v>
      </c>
      <c r="BO1817" t="s">
        <v>945</v>
      </c>
      <c r="BP1817" t="s">
        <v>62</v>
      </c>
      <c r="BQ1817" s="8" t="s">
        <v>9</v>
      </c>
      <c r="BR1817" t="s">
        <v>63</v>
      </c>
      <c r="BT1817">
        <v>4.8899999999999997</v>
      </c>
      <c r="BU1817">
        <v>4.891</v>
      </c>
      <c r="BV1817">
        <v>1.0900000000000001</v>
      </c>
      <c r="BW1817">
        <f>BV1817*SQRT(AK1817)</f>
        <v>4.8746281909495419</v>
      </c>
      <c r="BX1817">
        <v>8.15</v>
      </c>
      <c r="BY1817">
        <v>8.1519999999999992</v>
      </c>
      <c r="BZ1817">
        <v>1.0900000000000001</v>
      </c>
      <c r="CA1817">
        <f>BZ1817*SQRT(AL1817)</f>
        <v>4.8746281909495419</v>
      </c>
      <c r="CB1817">
        <v>56</v>
      </c>
      <c r="CC1817">
        <v>5</v>
      </c>
      <c r="CD1817">
        <v>0.51100000000000001</v>
      </c>
      <c r="CE1817">
        <v>6.7199999999999996E-2</v>
      </c>
    </row>
    <row r="1818" spans="1:84" hidden="1" x14ac:dyDescent="0.2">
      <c r="D1818">
        <v>199</v>
      </c>
      <c r="G1818" t="s">
        <v>43</v>
      </c>
      <c r="H1818" t="s">
        <v>942</v>
      </c>
      <c r="J1818">
        <v>2008</v>
      </c>
      <c r="M1818" t="s">
        <v>630</v>
      </c>
      <c r="T1818" t="s">
        <v>103</v>
      </c>
      <c r="U1818" t="s">
        <v>228</v>
      </c>
      <c r="V1818" t="s">
        <v>946</v>
      </c>
      <c r="Z1818" t="s">
        <v>106</v>
      </c>
      <c r="AA1818" t="s">
        <v>107</v>
      </c>
      <c r="AB1818" t="s">
        <v>50</v>
      </c>
      <c r="AC1818" t="s">
        <v>51</v>
      </c>
      <c r="AD1818" t="s">
        <v>52</v>
      </c>
      <c r="AE1818" t="s">
        <v>53</v>
      </c>
      <c r="AF1818" t="s">
        <v>52</v>
      </c>
      <c r="AG1818" t="s">
        <v>52</v>
      </c>
      <c r="AH1818" t="s">
        <v>64</v>
      </c>
      <c r="AK1818">
        <v>20</v>
      </c>
      <c r="AL1818">
        <v>20</v>
      </c>
      <c r="AN1818">
        <v>460</v>
      </c>
      <c r="AO1818" t="s">
        <v>56</v>
      </c>
      <c r="AP1818" t="s">
        <v>56</v>
      </c>
      <c r="AQ1818" t="s">
        <v>56</v>
      </c>
      <c r="AR1818">
        <v>8.1999999999999993</v>
      </c>
      <c r="AS1818" t="s">
        <v>56</v>
      </c>
      <c r="AT1818" t="s">
        <v>56</v>
      </c>
      <c r="AU1818">
        <v>705</v>
      </c>
      <c r="AV1818" t="s">
        <v>56</v>
      </c>
      <c r="AW1818" t="s">
        <v>56</v>
      </c>
      <c r="AX1818">
        <v>7.9</v>
      </c>
      <c r="AY1818" t="s">
        <v>56</v>
      </c>
      <c r="AZ1818" t="s">
        <v>56</v>
      </c>
      <c r="BB1818">
        <f>LOG(AU1818)</f>
        <v>2.8481891169913989</v>
      </c>
      <c r="BC1818">
        <v>25.5</v>
      </c>
      <c r="BD1818" t="s">
        <v>56</v>
      </c>
      <c r="BE1818" t="s">
        <v>56</v>
      </c>
      <c r="BF1818">
        <v>28.5</v>
      </c>
      <c r="BG1818" t="s">
        <v>56</v>
      </c>
      <c r="BH1818" t="s">
        <v>56</v>
      </c>
      <c r="BI1818">
        <v>245</v>
      </c>
      <c r="BJ1818">
        <v>3</v>
      </c>
      <c r="BK1818" t="s">
        <v>56</v>
      </c>
      <c r="BL1818" t="s">
        <v>944</v>
      </c>
      <c r="BM1818" t="s">
        <v>59</v>
      </c>
      <c r="BN1818" t="s">
        <v>60</v>
      </c>
      <c r="BO1818" t="s">
        <v>945</v>
      </c>
      <c r="BP1818" t="s">
        <v>62</v>
      </c>
      <c r="BQ1818" s="8" t="s">
        <v>190</v>
      </c>
      <c r="BR1818" t="s">
        <v>63</v>
      </c>
      <c r="BT1818">
        <v>4.8899999999999997</v>
      </c>
      <c r="BU1818">
        <v>4.891</v>
      </c>
      <c r="BV1818">
        <v>1.0900000000000001</v>
      </c>
      <c r="BW1818">
        <f>BV1818*SQRT(AK1818)</f>
        <v>4.8746281909495419</v>
      </c>
      <c r="BX1818">
        <v>12.68</v>
      </c>
      <c r="BY1818">
        <v>12.680999999999999</v>
      </c>
      <c r="BZ1818">
        <v>1.0900000000000001</v>
      </c>
      <c r="CA1818">
        <f>BZ1818*SQRT(AL1818)</f>
        <v>4.8746281909495419</v>
      </c>
      <c r="CB1818">
        <v>56</v>
      </c>
      <c r="CC1818">
        <v>5</v>
      </c>
      <c r="CD1818">
        <v>0.95299999999999996</v>
      </c>
      <c r="CE1818">
        <v>5.67E-2</v>
      </c>
    </row>
    <row r="1819" spans="1:84" hidden="1" x14ac:dyDescent="0.2">
      <c r="A1819" s="8"/>
      <c r="B1819" t="str">
        <f>ROW()-1&amp;"_AltersInvert"</f>
        <v>1818_AltersInvert</v>
      </c>
      <c r="C1819" t="str">
        <f>D1819&amp;"_"&amp;
SUBSTITUTE(TRIM(V1819)," ","_")&amp;"_"&amp;
TRIM(AC1819)&amp;"_"&amp;
"CO2"&amp;TEXT(AN1819,"0.00")&amp;"_"&amp;
"pH"&amp;TEXT(AR1819,"0.00")&amp;"_"&amp;
"T"&amp;TEXT(BC1819,"0.##")</f>
        <v>201_Tripneustes_gratilla_EMBRYO_CO2327.00_pH8.25_T20.</v>
      </c>
      <c r="D1819" s="8">
        <v>201</v>
      </c>
      <c r="E1819" s="8"/>
      <c r="F1819" s="8"/>
      <c r="G1819" s="8" t="s">
        <v>43</v>
      </c>
      <c r="H1819" s="8" t="s">
        <v>950</v>
      </c>
      <c r="I1819" s="8"/>
      <c r="J1819" s="8">
        <v>2010</v>
      </c>
      <c r="K1819" s="8"/>
      <c r="L1819" s="8"/>
      <c r="M1819" s="8" t="s">
        <v>67</v>
      </c>
      <c r="N1819" s="8"/>
      <c r="O1819" s="8"/>
      <c r="P1819" t="s">
        <v>1135</v>
      </c>
      <c r="Q1819" s="8"/>
      <c r="R1819" s="8" t="s">
        <v>1127</v>
      </c>
      <c r="S1819" t="s">
        <v>1128</v>
      </c>
      <c r="T1819" s="8" t="s">
        <v>46</v>
      </c>
      <c r="U1819" s="8" t="s">
        <v>422</v>
      </c>
      <c r="V1819" s="8" t="s">
        <v>423</v>
      </c>
      <c r="W1819" s="8" t="str">
        <f>IF(ISNUMBER(MATCH(V1213,{"Doryteuthis pealeii","Loligo vulgaris","Leptuca thayeri","Stylocheilus striatus","Ophryotrocha labronica"},0)),"N","Y")</f>
        <v>Y</v>
      </c>
      <c r="X1819" s="8"/>
      <c r="Y1819" s="8"/>
      <c r="Z1819" s="8" t="s">
        <v>177</v>
      </c>
      <c r="AA1819" s="8" t="s">
        <v>177</v>
      </c>
      <c r="AB1819" s="8" t="s">
        <v>71</v>
      </c>
      <c r="AC1819" s="8" t="s">
        <v>195</v>
      </c>
      <c r="AD1819" s="8" t="s">
        <v>52</v>
      </c>
      <c r="AE1819" s="8" t="s">
        <v>53</v>
      </c>
      <c r="AF1819" s="8" t="s">
        <v>52</v>
      </c>
      <c r="AG1819" s="8" t="s">
        <v>54</v>
      </c>
      <c r="AH1819" s="8" t="s">
        <v>55</v>
      </c>
      <c r="AI1819" s="8"/>
      <c r="AJ1819" s="8"/>
      <c r="AK1819" s="8">
        <v>3</v>
      </c>
      <c r="AL1819" s="8">
        <v>3</v>
      </c>
      <c r="AM1819" s="8"/>
      <c r="AN1819" s="8">
        <v>327</v>
      </c>
      <c r="AO1819" s="8">
        <v>22</v>
      </c>
      <c r="AP1819" s="8" t="s">
        <v>56</v>
      </c>
      <c r="AQ1819" s="8" t="s">
        <v>57</v>
      </c>
      <c r="AR1819" s="8">
        <v>8.25</v>
      </c>
      <c r="AS1819" s="8" t="s">
        <v>56</v>
      </c>
      <c r="AT1819" s="8" t="s">
        <v>56</v>
      </c>
      <c r="AU1819" s="8">
        <v>1051</v>
      </c>
      <c r="AV1819">
        <v>15</v>
      </c>
      <c r="AW1819" t="s">
        <v>56</v>
      </c>
      <c r="AX1819">
        <v>7.8</v>
      </c>
      <c r="AY1819" t="s">
        <v>56</v>
      </c>
      <c r="AZ1819" t="s">
        <v>56</v>
      </c>
      <c r="BA1819" s="8"/>
      <c r="BB1819" s="8">
        <f>LOG(AU1819)</f>
        <v>3.0216027160282422</v>
      </c>
      <c r="BC1819" s="8">
        <v>20</v>
      </c>
      <c r="BD1819" s="8" t="s">
        <v>56</v>
      </c>
      <c r="BE1819" s="8" t="s">
        <v>56</v>
      </c>
      <c r="BF1819" s="8">
        <v>20</v>
      </c>
      <c r="BG1819" s="8" t="s">
        <v>56</v>
      </c>
      <c r="BH1819" s="8" t="s">
        <v>56</v>
      </c>
      <c r="BI1819" s="8">
        <v>724</v>
      </c>
      <c r="BJ1819" s="8">
        <v>0</v>
      </c>
      <c r="BK1819" s="8" t="s">
        <v>56</v>
      </c>
      <c r="BL1819" s="8" t="s">
        <v>933</v>
      </c>
      <c r="BM1819" s="8" t="s">
        <v>473</v>
      </c>
      <c r="BN1819" s="8" t="s">
        <v>81</v>
      </c>
      <c r="BO1819" s="8" t="s">
        <v>82</v>
      </c>
      <c r="BP1819" s="8" t="s">
        <v>190</v>
      </c>
      <c r="BQ1819" s="8" t="s">
        <v>190</v>
      </c>
      <c r="BR1819" s="8" t="s">
        <v>84</v>
      </c>
      <c r="BS1819" s="8"/>
      <c r="BT1819" s="8">
        <v>87.97</v>
      </c>
      <c r="BU1819" s="8">
        <v>87.97</v>
      </c>
      <c r="BV1819" s="8">
        <v>7.23</v>
      </c>
      <c r="BW1819" s="8">
        <f>BV1819*SQRT(AK1819)</f>
        <v>12.522727338722984</v>
      </c>
      <c r="BX1819" s="8">
        <v>83.29</v>
      </c>
      <c r="BY1819" s="8">
        <v>83.29</v>
      </c>
      <c r="BZ1819" s="8">
        <v>9.0399999999999991</v>
      </c>
      <c r="CA1819" s="8">
        <f>BZ1819*SQRT(AL1819)</f>
        <v>15.657739300422648</v>
      </c>
      <c r="CB1819" s="8">
        <v>1</v>
      </c>
      <c r="CC1819" s="8">
        <v>1</v>
      </c>
      <c r="CD1819" s="8">
        <v>-5.5E-2</v>
      </c>
      <c r="CE1819" s="8">
        <v>1.8499999999999999E-2</v>
      </c>
      <c r="CF1819" s="8" t="s">
        <v>1134</v>
      </c>
    </row>
    <row r="1820" spans="1:84" hidden="1" x14ac:dyDescent="0.2">
      <c r="A1820" s="8"/>
      <c r="B1820" t="str">
        <f>ROW()-1&amp;"_AltersInvert"</f>
        <v>1819_AltersInvert</v>
      </c>
      <c r="C1820" t="str">
        <f>D1820&amp;"_"&amp;
SUBSTITUTE(TRIM(V1820)," ","_")&amp;"_"&amp;
TRIM(AC1820)&amp;"_"&amp;
"CO2"&amp;TEXT(AN1820,"0.00")&amp;"_"&amp;
"pH"&amp;TEXT(AR1820,"0.00")&amp;"_"&amp;
"T"&amp;TEXT(BC1820,"0.##")</f>
        <v>201_Tripneustes_gratilla_EMBRYO_CO2327.00_pH8.25_T20.</v>
      </c>
      <c r="D1820" s="8">
        <v>201</v>
      </c>
      <c r="E1820" s="8"/>
      <c r="F1820" s="8"/>
      <c r="G1820" s="8" t="s">
        <v>43</v>
      </c>
      <c r="H1820" s="8" t="s">
        <v>950</v>
      </c>
      <c r="I1820" s="8"/>
      <c r="J1820" s="8">
        <v>2010</v>
      </c>
      <c r="K1820" s="8"/>
      <c r="L1820" s="8"/>
      <c r="M1820" s="8" t="s">
        <v>67</v>
      </c>
      <c r="N1820" s="8"/>
      <c r="O1820" s="8"/>
      <c r="P1820" t="s">
        <v>1135</v>
      </c>
      <c r="Q1820" s="8"/>
      <c r="R1820" s="8" t="s">
        <v>1127</v>
      </c>
      <c r="S1820" t="s">
        <v>1128</v>
      </c>
      <c r="T1820" s="8" t="s">
        <v>46</v>
      </c>
      <c r="U1820" s="8" t="s">
        <v>422</v>
      </c>
      <c r="V1820" s="8" t="s">
        <v>423</v>
      </c>
      <c r="W1820" s="8" t="str">
        <f>IF(ISNUMBER(MATCH(V1214,{"Doryteuthis pealeii","Loligo vulgaris","Leptuca thayeri","Stylocheilus striatus","Ophryotrocha labronica"},0)),"N","Y")</f>
        <v>Y</v>
      </c>
      <c r="X1820" s="8"/>
      <c r="Y1820" s="8"/>
      <c r="Z1820" s="8" t="s">
        <v>177</v>
      </c>
      <c r="AA1820" s="8" t="s">
        <v>177</v>
      </c>
      <c r="AB1820" s="8" t="s">
        <v>71</v>
      </c>
      <c r="AC1820" s="8" t="s">
        <v>195</v>
      </c>
      <c r="AD1820" s="8" t="s">
        <v>52</v>
      </c>
      <c r="AE1820" s="8" t="s">
        <v>53</v>
      </c>
      <c r="AF1820" s="8" t="s">
        <v>52</v>
      </c>
      <c r="AG1820" s="8" t="s">
        <v>54</v>
      </c>
      <c r="AH1820" s="8" t="s">
        <v>55</v>
      </c>
      <c r="AI1820" s="8"/>
      <c r="AJ1820" s="8"/>
      <c r="AK1820" s="8">
        <v>3</v>
      </c>
      <c r="AL1820" s="8">
        <v>3</v>
      </c>
      <c r="AM1820" s="8"/>
      <c r="AN1820" s="8">
        <v>327</v>
      </c>
      <c r="AO1820" s="8">
        <v>22</v>
      </c>
      <c r="AP1820" s="8" t="s">
        <v>56</v>
      </c>
      <c r="AQ1820" s="8" t="s">
        <v>57</v>
      </c>
      <c r="AR1820" s="8">
        <v>8.25</v>
      </c>
      <c r="AS1820" s="8" t="s">
        <v>56</v>
      </c>
      <c r="AT1820" s="8" t="s">
        <v>56</v>
      </c>
      <c r="AU1820" s="8">
        <v>814</v>
      </c>
      <c r="AV1820">
        <v>12</v>
      </c>
      <c r="AW1820" t="s">
        <v>56</v>
      </c>
      <c r="AX1820">
        <v>7.9</v>
      </c>
      <c r="AY1820" t="s">
        <v>56</v>
      </c>
      <c r="AZ1820" t="s">
        <v>56</v>
      </c>
      <c r="BA1820" s="8"/>
      <c r="BB1820" s="8">
        <f>LOG(AU1820)</f>
        <v>2.9106244048892012</v>
      </c>
      <c r="BC1820" s="8">
        <v>20</v>
      </c>
      <c r="BD1820" s="8" t="s">
        <v>56</v>
      </c>
      <c r="BE1820" s="8" t="s">
        <v>56</v>
      </c>
      <c r="BF1820" s="8">
        <v>20</v>
      </c>
      <c r="BG1820" s="8" t="s">
        <v>56</v>
      </c>
      <c r="BH1820" s="8" t="s">
        <v>56</v>
      </c>
      <c r="BI1820" s="8">
        <v>487</v>
      </c>
      <c r="BJ1820" s="8">
        <v>0</v>
      </c>
      <c r="BK1820" s="8" t="s">
        <v>56</v>
      </c>
      <c r="BL1820" s="8" t="s">
        <v>933</v>
      </c>
      <c r="BM1820" s="8" t="s">
        <v>473</v>
      </c>
      <c r="BN1820" s="8" t="s">
        <v>81</v>
      </c>
      <c r="BO1820" s="8" t="s">
        <v>82</v>
      </c>
      <c r="BP1820" s="8" t="s">
        <v>190</v>
      </c>
      <c r="BQ1820" s="8" t="s">
        <v>190</v>
      </c>
      <c r="BR1820" s="8" t="s">
        <v>84</v>
      </c>
      <c r="BS1820" s="8"/>
      <c r="BT1820" s="8">
        <v>87.97</v>
      </c>
      <c r="BU1820" s="8">
        <v>87.97</v>
      </c>
      <c r="BV1820" s="8">
        <v>7.23</v>
      </c>
      <c r="BW1820" s="8">
        <f>BV1820*SQRT(AK1820)</f>
        <v>12.522727338722984</v>
      </c>
      <c r="BX1820" s="8">
        <v>89.24</v>
      </c>
      <c r="BY1820" s="8">
        <v>89.24</v>
      </c>
      <c r="BZ1820" s="8">
        <v>7.83</v>
      </c>
      <c r="CA1820" s="8">
        <f>BZ1820*SQRT(AL1820)</f>
        <v>13.561957823264308</v>
      </c>
      <c r="CB1820" s="8">
        <v>1</v>
      </c>
      <c r="CC1820" s="8">
        <v>1</v>
      </c>
      <c r="CD1820" s="8">
        <v>1.4E-2</v>
      </c>
      <c r="CE1820" s="8">
        <v>1.4500000000000001E-2</v>
      </c>
      <c r="CF1820" s="8" t="s">
        <v>1134</v>
      </c>
    </row>
    <row r="1821" spans="1:84" s="8" customFormat="1" hidden="1" x14ac:dyDescent="0.2">
      <c r="B1821" t="str">
        <f>ROW()-1&amp;"_AltersInvert"</f>
        <v>1820_AltersInvert</v>
      </c>
      <c r="C1821" t="str">
        <f>D1821&amp;"_"&amp;
SUBSTITUTE(TRIM(V1821)," ","_")&amp;"_"&amp;
TRIM(AC1821)&amp;"_"&amp;
"CO2"&amp;TEXT(AN1821,"0.00")&amp;"_"&amp;
"pH"&amp;TEXT(AR1821,"0.00")&amp;"_"&amp;
"T"&amp;TEXT(BC1821,"0.##")</f>
        <v>201_Tripneustes_gratilla_EMBRYO_CO2327.00_pH8.25_T20.</v>
      </c>
      <c r="D1821" s="8">
        <v>201</v>
      </c>
      <c r="G1821" s="8" t="s">
        <v>43</v>
      </c>
      <c r="H1821" s="8" t="s">
        <v>950</v>
      </c>
      <c r="J1821" s="8">
        <v>2010</v>
      </c>
      <c r="M1821" s="8" t="s">
        <v>67</v>
      </c>
      <c r="P1821" t="s">
        <v>1135</v>
      </c>
      <c r="R1821" s="8" t="s">
        <v>1127</v>
      </c>
      <c r="S1821" t="s">
        <v>1128</v>
      </c>
      <c r="T1821" s="8" t="s">
        <v>46</v>
      </c>
      <c r="U1821" s="8" t="s">
        <v>422</v>
      </c>
      <c r="V1821" s="8" t="s">
        <v>423</v>
      </c>
      <c r="W1821" s="8" t="str">
        <f>IF(ISNUMBER(MATCH(V1215,{"Doryteuthis pealeii","Loligo vulgaris","Leptuca thayeri","Stylocheilus striatus","Ophryotrocha labronica"},0)),"N","Y")</f>
        <v>Y</v>
      </c>
      <c r="Z1821" s="8" t="s">
        <v>177</v>
      </c>
      <c r="AA1821" s="8" t="s">
        <v>177</v>
      </c>
      <c r="AB1821" s="8" t="s">
        <v>71</v>
      </c>
      <c r="AC1821" s="8" t="s">
        <v>195</v>
      </c>
      <c r="AD1821" s="8" t="s">
        <v>52</v>
      </c>
      <c r="AE1821" s="8" t="s">
        <v>53</v>
      </c>
      <c r="AF1821" s="8" t="s">
        <v>52</v>
      </c>
      <c r="AG1821" s="8" t="s">
        <v>54</v>
      </c>
      <c r="AH1821" s="8" t="s">
        <v>55</v>
      </c>
      <c r="AK1821" s="8">
        <v>3</v>
      </c>
      <c r="AL1821" s="8">
        <v>3</v>
      </c>
      <c r="AN1821" s="8">
        <v>327</v>
      </c>
      <c r="AO1821" s="8">
        <v>22</v>
      </c>
      <c r="AP1821" s="8" t="s">
        <v>56</v>
      </c>
      <c r="AQ1821" s="8" t="s">
        <v>57</v>
      </c>
      <c r="AR1821" s="8">
        <v>8.25</v>
      </c>
      <c r="AS1821" s="8" t="s">
        <v>56</v>
      </c>
      <c r="AT1821" s="8" t="s">
        <v>56</v>
      </c>
      <c r="AU1821" s="8">
        <v>1729</v>
      </c>
      <c r="AV1821">
        <v>25</v>
      </c>
      <c r="AW1821" t="s">
        <v>56</v>
      </c>
      <c r="AX1821">
        <v>7.6</v>
      </c>
      <c r="AY1821" t="s">
        <v>56</v>
      </c>
      <c r="AZ1821" t="s">
        <v>56</v>
      </c>
      <c r="BB1821" s="8">
        <f>LOG(AU1821)</f>
        <v>3.2377949932739227</v>
      </c>
      <c r="BC1821" s="8">
        <v>20</v>
      </c>
      <c r="BD1821" s="8" t="s">
        <v>56</v>
      </c>
      <c r="BE1821" s="8" t="s">
        <v>56</v>
      </c>
      <c r="BF1821" s="8">
        <v>20</v>
      </c>
      <c r="BG1821" s="8" t="s">
        <v>56</v>
      </c>
      <c r="BH1821" s="8" t="s">
        <v>56</v>
      </c>
      <c r="BI1821" s="8">
        <v>1402</v>
      </c>
      <c r="BJ1821" s="8">
        <v>0</v>
      </c>
      <c r="BK1821" s="8" t="s">
        <v>56</v>
      </c>
      <c r="BL1821" s="8" t="s">
        <v>933</v>
      </c>
      <c r="BM1821" s="8" t="s">
        <v>473</v>
      </c>
      <c r="BN1821" s="8" t="s">
        <v>81</v>
      </c>
      <c r="BO1821" s="8" t="s">
        <v>82</v>
      </c>
      <c r="BP1821" s="8" t="s">
        <v>190</v>
      </c>
      <c r="BQ1821" s="8" t="s">
        <v>190</v>
      </c>
      <c r="BR1821" s="8" t="s">
        <v>84</v>
      </c>
      <c r="BT1821" s="8">
        <v>87.97</v>
      </c>
      <c r="BU1821" s="8">
        <v>87.97</v>
      </c>
      <c r="BV1821" s="8">
        <v>7.23</v>
      </c>
      <c r="BW1821" s="8">
        <f>BV1821*SQRT(AK1821)</f>
        <v>12.522727338722984</v>
      </c>
      <c r="BX1821" s="8">
        <v>93.61</v>
      </c>
      <c r="BY1821" s="8">
        <v>93.608999999999995</v>
      </c>
      <c r="BZ1821" s="8">
        <v>5.42</v>
      </c>
      <c r="CA1821" s="8">
        <f>BZ1821*SQRT(AL1821)</f>
        <v>9.3877153770233139</v>
      </c>
      <c r="CB1821" s="8">
        <v>1</v>
      </c>
      <c r="CC1821" s="8">
        <v>1</v>
      </c>
      <c r="CD1821" s="8">
        <v>6.2E-2</v>
      </c>
      <c r="CE1821" s="8">
        <v>1.01E-2</v>
      </c>
      <c r="CF1821" s="8" t="s">
        <v>1134</v>
      </c>
    </row>
    <row r="1822" spans="1:84" s="8" customFormat="1" hidden="1" x14ac:dyDescent="0.2">
      <c r="B1822" t="str">
        <f>ROW()-1&amp;"_AltersInvert"</f>
        <v>1821_AltersInvert</v>
      </c>
      <c r="C1822" t="str">
        <f>D1822&amp;"_"&amp;
SUBSTITUTE(TRIM(V1822)," ","_")&amp;"_"&amp;
TRIM(AC1822)&amp;"_"&amp;
"CO2"&amp;TEXT(AN1822,"0.00")&amp;"_"&amp;
"pH"&amp;TEXT(AR1822,"0.00")&amp;"_"&amp;
"T"&amp;TEXT(BC1822,"0.##")</f>
        <v>201_Tripneustes_gratilla_EMBRYO_CO2327.00_pH8.25_T20.</v>
      </c>
      <c r="D1822" s="8">
        <v>201</v>
      </c>
      <c r="G1822" s="8" t="s">
        <v>43</v>
      </c>
      <c r="H1822" s="8" t="s">
        <v>950</v>
      </c>
      <c r="J1822" s="8">
        <v>2010</v>
      </c>
      <c r="M1822" s="8" t="s">
        <v>67</v>
      </c>
      <c r="P1822" t="s">
        <v>1135</v>
      </c>
      <c r="R1822" s="8" t="s">
        <v>1127</v>
      </c>
      <c r="S1822" t="s">
        <v>1128</v>
      </c>
      <c r="T1822" s="8" t="s">
        <v>46</v>
      </c>
      <c r="U1822" s="8" t="s">
        <v>422</v>
      </c>
      <c r="V1822" s="8" t="s">
        <v>423</v>
      </c>
      <c r="W1822" s="8" t="str">
        <f>IF(ISNUMBER(MATCH(V1216,{"Doryteuthis pealeii","Loligo vulgaris","Leptuca thayeri","Stylocheilus striatus","Ophryotrocha labronica"},0)),"N","Y")</f>
        <v>Y</v>
      </c>
      <c r="Z1822" s="8" t="s">
        <v>177</v>
      </c>
      <c r="AA1822" s="8" t="s">
        <v>177</v>
      </c>
      <c r="AB1822" s="8" t="s">
        <v>71</v>
      </c>
      <c r="AC1822" s="8" t="s">
        <v>195</v>
      </c>
      <c r="AD1822" s="8" t="s">
        <v>52</v>
      </c>
      <c r="AE1822" s="8" t="s">
        <v>53</v>
      </c>
      <c r="AF1822" s="8" t="s">
        <v>54</v>
      </c>
      <c r="AG1822" s="8" t="s">
        <v>52</v>
      </c>
      <c r="AH1822" s="8" t="s">
        <v>65</v>
      </c>
      <c r="AK1822" s="8">
        <v>3</v>
      </c>
      <c r="AL1822" s="8">
        <v>3</v>
      </c>
      <c r="AN1822" s="8">
        <v>327</v>
      </c>
      <c r="AO1822" s="8">
        <v>22</v>
      </c>
      <c r="AP1822" s="8" t="s">
        <v>56</v>
      </c>
      <c r="AQ1822" s="8" t="s">
        <v>57</v>
      </c>
      <c r="AR1822" s="8">
        <v>8.25</v>
      </c>
      <c r="AS1822" s="8" t="s">
        <v>56</v>
      </c>
      <c r="AT1822" s="8" t="s">
        <v>56</v>
      </c>
      <c r="AU1822" s="8">
        <v>335</v>
      </c>
      <c r="AV1822">
        <v>23</v>
      </c>
      <c r="AW1822" t="s">
        <v>56</v>
      </c>
      <c r="AX1822">
        <v>8.25</v>
      </c>
      <c r="AY1822" t="s">
        <v>56</v>
      </c>
      <c r="AZ1822" t="s">
        <v>56</v>
      </c>
      <c r="BB1822" s="8">
        <f>LOG(AU1822)</f>
        <v>2.5250448070368452</v>
      </c>
      <c r="BC1822" s="8">
        <v>20</v>
      </c>
      <c r="BD1822" s="8" t="s">
        <v>56</v>
      </c>
      <c r="BE1822" s="8" t="s">
        <v>56</v>
      </c>
      <c r="BF1822" s="8">
        <v>26</v>
      </c>
      <c r="BG1822" s="8" t="s">
        <v>56</v>
      </c>
      <c r="BH1822" s="8" t="s">
        <v>56</v>
      </c>
      <c r="BI1822" s="8">
        <v>8</v>
      </c>
      <c r="BJ1822" s="8">
        <v>6</v>
      </c>
      <c r="BK1822" s="8" t="s">
        <v>56</v>
      </c>
      <c r="BL1822" s="8" t="s">
        <v>933</v>
      </c>
      <c r="BM1822" s="8" t="s">
        <v>473</v>
      </c>
      <c r="BN1822" s="8" t="s">
        <v>81</v>
      </c>
      <c r="BO1822" s="8" t="s">
        <v>82</v>
      </c>
      <c r="BP1822" s="8" t="s">
        <v>190</v>
      </c>
      <c r="BQ1822" s="8" t="s">
        <v>190</v>
      </c>
      <c r="BR1822" s="8" t="s">
        <v>84</v>
      </c>
      <c r="BT1822" s="8">
        <v>87.97</v>
      </c>
      <c r="BU1822" s="8">
        <v>87.97</v>
      </c>
      <c r="BV1822" s="8">
        <v>7.23</v>
      </c>
      <c r="BW1822" s="8">
        <f>BV1822*SQRT(AK1822)</f>
        <v>12.522727338722984</v>
      </c>
      <c r="BX1822" s="8">
        <v>88</v>
      </c>
      <c r="BY1822" s="8">
        <v>88</v>
      </c>
      <c r="BZ1822" s="8">
        <v>9.0299999999999994</v>
      </c>
      <c r="CA1822" s="8">
        <f>BZ1822*SQRT(AL1822)</f>
        <v>15.64041879234696</v>
      </c>
      <c r="CB1822" s="8">
        <v>1</v>
      </c>
      <c r="CC1822" s="8">
        <v>1</v>
      </c>
      <c r="CD1822" s="8">
        <v>0</v>
      </c>
      <c r="CE1822" s="8">
        <v>1.7299999999999999E-2</v>
      </c>
      <c r="CF1822" s="8" t="s">
        <v>1134</v>
      </c>
    </row>
    <row r="1823" spans="1:84" s="8" customFormat="1" hidden="1" x14ac:dyDescent="0.2">
      <c r="B1823" t="str">
        <f>ROW()-1&amp;"_AltersInvert"</f>
        <v>1822_AltersInvert</v>
      </c>
      <c r="C1823" t="str">
        <f>D1823&amp;"_"&amp;
SUBSTITUTE(TRIM(V1823)," ","_")&amp;"_"&amp;
TRIM(AC1823)&amp;"_"&amp;
"CO2"&amp;TEXT(AN1823,"0.00")&amp;"_"&amp;
"pH"&amp;TEXT(AR1823,"0.00")&amp;"_"&amp;
"T"&amp;TEXT(BC1823,"0.##")</f>
        <v>201_Tripneustes_gratilla_EMBRYO_CO2327.00_pH8.25_T20.</v>
      </c>
      <c r="D1823" s="8">
        <v>201</v>
      </c>
      <c r="G1823" s="8" t="s">
        <v>43</v>
      </c>
      <c r="H1823" s="8" t="s">
        <v>950</v>
      </c>
      <c r="J1823" s="8">
        <v>2010</v>
      </c>
      <c r="M1823" s="8" t="s">
        <v>67</v>
      </c>
      <c r="P1823" t="s">
        <v>1135</v>
      </c>
      <c r="R1823" s="8" t="s">
        <v>1127</v>
      </c>
      <c r="S1823" t="s">
        <v>1128</v>
      </c>
      <c r="T1823" s="8" t="s">
        <v>46</v>
      </c>
      <c r="U1823" s="8" t="s">
        <v>422</v>
      </c>
      <c r="V1823" s="8" t="s">
        <v>423</v>
      </c>
      <c r="W1823" s="8" t="str">
        <f>IF(ISNUMBER(MATCH(V1217,{"Doryteuthis pealeii","Loligo vulgaris","Leptuca thayeri","Stylocheilus striatus","Ophryotrocha labronica"},0)),"N","Y")</f>
        <v>Y</v>
      </c>
      <c r="Z1823" s="8" t="s">
        <v>177</v>
      </c>
      <c r="AA1823" s="8" t="s">
        <v>177</v>
      </c>
      <c r="AB1823" s="8" t="s">
        <v>71</v>
      </c>
      <c r="AC1823" s="8" t="s">
        <v>195</v>
      </c>
      <c r="AD1823" s="8" t="s">
        <v>52</v>
      </c>
      <c r="AE1823" s="8" t="s">
        <v>53</v>
      </c>
      <c r="AF1823" s="8" t="s">
        <v>54</v>
      </c>
      <c r="AG1823" s="8" t="s">
        <v>52</v>
      </c>
      <c r="AH1823" s="8" t="s">
        <v>65</v>
      </c>
      <c r="AK1823" s="8">
        <v>3</v>
      </c>
      <c r="AL1823" s="8">
        <v>3</v>
      </c>
      <c r="AN1823" s="8">
        <v>327</v>
      </c>
      <c r="AO1823" s="8">
        <v>22</v>
      </c>
      <c r="AP1823" s="8" t="s">
        <v>56</v>
      </c>
      <c r="AQ1823" s="8" t="s">
        <v>57</v>
      </c>
      <c r="AR1823" s="8">
        <v>8.25</v>
      </c>
      <c r="AS1823" s="8" t="s">
        <v>56</v>
      </c>
      <c r="AT1823" s="8" t="s">
        <v>56</v>
      </c>
      <c r="AU1823" s="8">
        <v>332</v>
      </c>
      <c r="AV1823">
        <v>23</v>
      </c>
      <c r="AW1823" t="s">
        <v>56</v>
      </c>
      <c r="AX1823">
        <v>8.25</v>
      </c>
      <c r="AY1823" t="s">
        <v>56</v>
      </c>
      <c r="AZ1823" t="s">
        <v>56</v>
      </c>
      <c r="BB1823" s="8">
        <f>LOG(AU1823)</f>
        <v>2.5211380837040362</v>
      </c>
      <c r="BC1823" s="8">
        <v>20</v>
      </c>
      <c r="BD1823" s="8" t="s">
        <v>56</v>
      </c>
      <c r="BE1823" s="8" t="s">
        <v>56</v>
      </c>
      <c r="BF1823" s="8">
        <v>24</v>
      </c>
      <c r="BG1823" s="8" t="s">
        <v>56</v>
      </c>
      <c r="BH1823" s="8" t="s">
        <v>56</v>
      </c>
      <c r="BI1823" s="8">
        <v>5</v>
      </c>
      <c r="BJ1823" s="8">
        <v>4</v>
      </c>
      <c r="BK1823" s="8" t="s">
        <v>56</v>
      </c>
      <c r="BL1823" s="8" t="s">
        <v>933</v>
      </c>
      <c r="BM1823" s="8" t="s">
        <v>473</v>
      </c>
      <c r="BN1823" s="8" t="s">
        <v>81</v>
      </c>
      <c r="BO1823" s="8" t="s">
        <v>82</v>
      </c>
      <c r="BP1823" s="8" t="s">
        <v>190</v>
      </c>
      <c r="BQ1823" s="8" t="s">
        <v>190</v>
      </c>
      <c r="BR1823" s="8" t="s">
        <v>84</v>
      </c>
      <c r="BT1823" s="8">
        <v>87.97</v>
      </c>
      <c r="BU1823" s="8">
        <v>87.97</v>
      </c>
      <c r="BV1823" s="8">
        <v>7.23</v>
      </c>
      <c r="BW1823" s="8">
        <f>BV1823*SQRT(AK1823)</f>
        <v>12.522727338722984</v>
      </c>
      <c r="BX1823" s="8">
        <v>89.79</v>
      </c>
      <c r="BY1823" s="8">
        <v>89.79</v>
      </c>
      <c r="BZ1823" s="8">
        <v>7.83</v>
      </c>
      <c r="CA1823" s="8">
        <f>BZ1823*SQRT(AL1823)</f>
        <v>13.561957823264308</v>
      </c>
      <c r="CB1823" s="8">
        <v>1</v>
      </c>
      <c r="CC1823" s="8">
        <v>1</v>
      </c>
      <c r="CD1823" s="8">
        <v>0.02</v>
      </c>
      <c r="CE1823" s="8">
        <v>1.44E-2</v>
      </c>
      <c r="CF1823" s="8" t="s">
        <v>1134</v>
      </c>
    </row>
    <row r="1824" spans="1:84" s="8" customFormat="1" hidden="1" x14ac:dyDescent="0.2">
      <c r="B1824" t="str">
        <f>ROW()-1&amp;"_AltersInvert"</f>
        <v>1823_AltersInvert</v>
      </c>
      <c r="C1824" t="str">
        <f>D1824&amp;"_"&amp;
SUBSTITUTE(TRIM(V1824)," ","_")&amp;"_"&amp;
TRIM(AC1824)&amp;"_"&amp;
"CO2"&amp;TEXT(AN1824,"0.00")&amp;"_"&amp;
"pH"&amp;TEXT(AR1824,"0.00")&amp;"_"&amp;
"T"&amp;TEXT(BC1824,"0.##")</f>
        <v>201_Tripneustes_gratilla_EMBRYO_CO2327.00_pH8.25_T20.</v>
      </c>
      <c r="D1824" s="8">
        <v>201</v>
      </c>
      <c r="G1824" s="8" t="s">
        <v>43</v>
      </c>
      <c r="H1824" s="8" t="s">
        <v>950</v>
      </c>
      <c r="J1824" s="8">
        <v>2010</v>
      </c>
      <c r="M1824" s="8" t="s">
        <v>67</v>
      </c>
      <c r="P1824" t="s">
        <v>1135</v>
      </c>
      <c r="R1824" s="8" t="s">
        <v>1127</v>
      </c>
      <c r="S1824" t="s">
        <v>1128</v>
      </c>
      <c r="T1824" s="8" t="s">
        <v>46</v>
      </c>
      <c r="U1824" s="8" t="s">
        <v>422</v>
      </c>
      <c r="V1824" s="8" t="s">
        <v>423</v>
      </c>
      <c r="W1824" s="8" t="str">
        <f>IF(ISNUMBER(MATCH(V1218,{"Doryteuthis pealeii","Loligo vulgaris","Leptuca thayeri","Stylocheilus striatus","Ophryotrocha labronica"},0)),"N","Y")</f>
        <v>Y</v>
      </c>
      <c r="Z1824" s="8" t="s">
        <v>177</v>
      </c>
      <c r="AA1824" s="8" t="s">
        <v>177</v>
      </c>
      <c r="AB1824" s="8" t="s">
        <v>71</v>
      </c>
      <c r="AC1824" s="8" t="s">
        <v>195</v>
      </c>
      <c r="AD1824" s="8" t="s">
        <v>52</v>
      </c>
      <c r="AE1824" s="8" t="s">
        <v>53</v>
      </c>
      <c r="AF1824" s="8" t="s">
        <v>52</v>
      </c>
      <c r="AG1824" s="8" t="s">
        <v>52</v>
      </c>
      <c r="AH1824" s="8" t="s">
        <v>64</v>
      </c>
      <c r="AK1824" s="8">
        <v>3</v>
      </c>
      <c r="AL1824" s="8">
        <v>3</v>
      </c>
      <c r="AN1824" s="8">
        <v>327</v>
      </c>
      <c r="AO1824" s="8">
        <v>22</v>
      </c>
      <c r="AP1824" s="8" t="s">
        <v>56</v>
      </c>
      <c r="AQ1824" s="8" t="s">
        <v>57</v>
      </c>
      <c r="AR1824" s="8">
        <v>8.25</v>
      </c>
      <c r="AS1824" s="8" t="s">
        <v>56</v>
      </c>
      <c r="AT1824" s="8" t="s">
        <v>56</v>
      </c>
      <c r="AU1824" s="8">
        <v>1104</v>
      </c>
      <c r="AV1824">
        <v>16</v>
      </c>
      <c r="AW1824" t="s">
        <v>56</v>
      </c>
      <c r="AX1824">
        <v>7.8</v>
      </c>
      <c r="AY1824" t="s">
        <v>56</v>
      </c>
      <c r="AZ1824" t="s">
        <v>56</v>
      </c>
      <c r="BB1824" s="8">
        <f>LOG(AU1824)</f>
        <v>3.0429690733931802</v>
      </c>
      <c r="BC1824" s="8">
        <v>20</v>
      </c>
      <c r="BD1824" s="8" t="s">
        <v>56</v>
      </c>
      <c r="BE1824" s="8" t="s">
        <v>56</v>
      </c>
      <c r="BF1824" s="8">
        <v>26</v>
      </c>
      <c r="BG1824" s="8" t="s">
        <v>56</v>
      </c>
      <c r="BH1824" s="8" t="s">
        <v>56</v>
      </c>
      <c r="BI1824" s="8">
        <v>777</v>
      </c>
      <c r="BJ1824" s="8">
        <v>6</v>
      </c>
      <c r="BK1824" s="8" t="s">
        <v>56</v>
      </c>
      <c r="BL1824" s="8" t="s">
        <v>933</v>
      </c>
      <c r="BM1824" s="8" t="s">
        <v>473</v>
      </c>
      <c r="BN1824" s="8" t="s">
        <v>81</v>
      </c>
      <c r="BO1824" s="8" t="s">
        <v>82</v>
      </c>
      <c r="BP1824" s="8" t="s">
        <v>190</v>
      </c>
      <c r="BQ1824" s="8" t="s">
        <v>190</v>
      </c>
      <c r="BR1824" s="8" t="s">
        <v>84</v>
      </c>
      <c r="BT1824" s="8">
        <v>87.97</v>
      </c>
      <c r="BU1824" s="8">
        <v>87.97</v>
      </c>
      <c r="BV1824" s="8">
        <v>7.23</v>
      </c>
      <c r="BW1824" s="8">
        <f>BV1824*SQRT(AK1824)</f>
        <v>12.522727338722984</v>
      </c>
      <c r="BX1824" s="8">
        <v>89.95</v>
      </c>
      <c r="BY1824" s="8">
        <v>89.95</v>
      </c>
      <c r="BZ1824" s="8">
        <v>6.63</v>
      </c>
      <c r="CA1824" s="8">
        <f>BZ1824*SQRT(AL1824)</f>
        <v>11.483496854181656</v>
      </c>
      <c r="CB1824" s="8">
        <v>1</v>
      </c>
      <c r="CC1824" s="8">
        <v>1</v>
      </c>
      <c r="CD1824" s="8">
        <v>2.1999999999999999E-2</v>
      </c>
      <c r="CE1824" s="8">
        <v>1.2200000000000001E-2</v>
      </c>
      <c r="CF1824" s="8" t="s">
        <v>1134</v>
      </c>
    </row>
    <row r="1825" spans="1:84" hidden="1" x14ac:dyDescent="0.2">
      <c r="A1825" s="8"/>
      <c r="B1825" t="str">
        <f>ROW()-1&amp;"_AltersInvert"</f>
        <v>1824_AltersInvert</v>
      </c>
      <c r="C1825" t="str">
        <f>D1825&amp;"_"&amp;
SUBSTITUTE(TRIM(V1825)," ","_")&amp;"_"&amp;
TRIM(AC1825)&amp;"_"&amp;
"CO2"&amp;TEXT(AN1825,"0.00")&amp;"_"&amp;
"pH"&amp;TEXT(AR1825,"0.00")&amp;"_"&amp;
"T"&amp;TEXT(BC1825,"0.##")</f>
        <v>201_Tripneustes_gratilla_EMBRYO_CO2327.00_pH8.25_T20.</v>
      </c>
      <c r="D1825" s="8">
        <v>201</v>
      </c>
      <c r="E1825" s="8"/>
      <c r="F1825" s="8"/>
      <c r="G1825" s="8" t="s">
        <v>43</v>
      </c>
      <c r="H1825" s="8" t="s">
        <v>950</v>
      </c>
      <c r="I1825" s="8"/>
      <c r="J1825" s="8">
        <v>2010</v>
      </c>
      <c r="K1825" s="8"/>
      <c r="L1825" s="8"/>
      <c r="M1825" s="8" t="s">
        <v>67</v>
      </c>
      <c r="N1825" s="8"/>
      <c r="O1825" s="8"/>
      <c r="P1825" t="s">
        <v>1135</v>
      </c>
      <c r="Q1825" s="8"/>
      <c r="R1825" s="8" t="s">
        <v>1127</v>
      </c>
      <c r="S1825" t="s">
        <v>1128</v>
      </c>
      <c r="T1825" s="8" t="s">
        <v>46</v>
      </c>
      <c r="U1825" s="8" t="s">
        <v>422</v>
      </c>
      <c r="V1825" s="8" t="s">
        <v>423</v>
      </c>
      <c r="W1825" s="8" t="str">
        <f>IF(ISNUMBER(MATCH(V1219,{"Doryteuthis pealeii","Loligo vulgaris","Leptuca thayeri","Stylocheilus striatus","Ophryotrocha labronica"},0)),"N","Y")</f>
        <v>Y</v>
      </c>
      <c r="X1825" s="8"/>
      <c r="Y1825" s="8"/>
      <c r="Z1825" s="8" t="s">
        <v>177</v>
      </c>
      <c r="AA1825" s="8" t="s">
        <v>177</v>
      </c>
      <c r="AB1825" s="8" t="s">
        <v>71</v>
      </c>
      <c r="AC1825" s="8" t="s">
        <v>195</v>
      </c>
      <c r="AD1825" s="8" t="s">
        <v>52</v>
      </c>
      <c r="AE1825" s="8" t="s">
        <v>53</v>
      </c>
      <c r="AF1825" s="8" t="s">
        <v>52</v>
      </c>
      <c r="AG1825" s="8" t="s">
        <v>52</v>
      </c>
      <c r="AH1825" s="8" t="s">
        <v>64</v>
      </c>
      <c r="AI1825" s="8"/>
      <c r="AJ1825" s="8"/>
      <c r="AK1825" s="8">
        <v>3</v>
      </c>
      <c r="AL1825" s="8">
        <v>3</v>
      </c>
      <c r="AM1825" s="8"/>
      <c r="AN1825" s="8">
        <v>327</v>
      </c>
      <c r="AO1825" s="8">
        <v>22</v>
      </c>
      <c r="AP1825" s="8" t="s">
        <v>56</v>
      </c>
      <c r="AQ1825" s="8" t="s">
        <v>57</v>
      </c>
      <c r="AR1825" s="8">
        <v>8.25</v>
      </c>
      <c r="AS1825" s="8" t="s">
        <v>56</v>
      </c>
      <c r="AT1825" s="8" t="s">
        <v>56</v>
      </c>
      <c r="AU1825" s="8">
        <v>1087</v>
      </c>
      <c r="AV1825">
        <v>16</v>
      </c>
      <c r="AW1825" t="s">
        <v>56</v>
      </c>
      <c r="AX1825">
        <v>7.8</v>
      </c>
      <c r="AY1825" t="s">
        <v>56</v>
      </c>
      <c r="AZ1825" t="s">
        <v>56</v>
      </c>
      <c r="BA1825" s="8"/>
      <c r="BB1825" s="8">
        <f>LOG(AU1825)</f>
        <v>3.0362295440862948</v>
      </c>
      <c r="BC1825" s="8">
        <v>20</v>
      </c>
      <c r="BD1825" s="8" t="s">
        <v>56</v>
      </c>
      <c r="BE1825" s="8" t="s">
        <v>56</v>
      </c>
      <c r="BF1825" s="8">
        <v>24</v>
      </c>
      <c r="BG1825" s="8" t="s">
        <v>56</v>
      </c>
      <c r="BH1825" s="8" t="s">
        <v>56</v>
      </c>
      <c r="BI1825" s="8">
        <v>760</v>
      </c>
      <c r="BJ1825" s="8">
        <v>4</v>
      </c>
      <c r="BK1825" s="8" t="s">
        <v>56</v>
      </c>
      <c r="BL1825" s="8" t="s">
        <v>933</v>
      </c>
      <c r="BM1825" s="8" t="s">
        <v>473</v>
      </c>
      <c r="BN1825" s="8" t="s">
        <v>81</v>
      </c>
      <c r="BO1825" s="8" t="s">
        <v>82</v>
      </c>
      <c r="BP1825" s="8" t="s">
        <v>190</v>
      </c>
      <c r="BQ1825" s="8" t="s">
        <v>190</v>
      </c>
      <c r="BR1825" s="8" t="s">
        <v>84</v>
      </c>
      <c r="BS1825" s="8"/>
      <c r="BT1825" s="8">
        <v>87.97</v>
      </c>
      <c r="BU1825" s="8">
        <v>87.97</v>
      </c>
      <c r="BV1825" s="8">
        <v>7.23</v>
      </c>
      <c r="BW1825" s="8">
        <f>BV1825*SQRT(AK1825)</f>
        <v>12.522727338722984</v>
      </c>
      <c r="BX1825" s="8">
        <v>92.35</v>
      </c>
      <c r="BY1825" s="8">
        <v>92.35</v>
      </c>
      <c r="BZ1825" s="8">
        <v>6.02</v>
      </c>
      <c r="CA1825" s="8">
        <f>BZ1825*SQRT(AL1825)</f>
        <v>10.42694586156464</v>
      </c>
      <c r="CB1825" s="8">
        <v>1</v>
      </c>
      <c r="CC1825" s="8">
        <v>1</v>
      </c>
      <c r="CD1825" s="8">
        <v>4.9000000000000002E-2</v>
      </c>
      <c r="CE1825" s="8">
        <v>1.0999999999999999E-2</v>
      </c>
      <c r="CF1825" s="8" t="s">
        <v>1134</v>
      </c>
    </row>
    <row r="1826" spans="1:84" s="8" customFormat="1" hidden="1" x14ac:dyDescent="0.2">
      <c r="B1826" t="str">
        <f>ROW()-1&amp;"_AltersInvert"</f>
        <v>1825_AltersInvert</v>
      </c>
      <c r="C1826" t="str">
        <f>D1826&amp;"_"&amp;
SUBSTITUTE(TRIM(V1826)," ","_")&amp;"_"&amp;
TRIM(AC1826)&amp;"_"&amp;
"CO2"&amp;TEXT(AN1826,"0.00")&amp;"_"&amp;
"pH"&amp;TEXT(AR1826,"0.00")&amp;"_"&amp;
"T"&amp;TEXT(BC1826,"0.##")</f>
        <v>201_Tripneustes_gratilla_EMBRYO_CO2327.00_pH8.25_T20.</v>
      </c>
      <c r="D1826" s="8">
        <v>201</v>
      </c>
      <c r="G1826" s="8" t="s">
        <v>43</v>
      </c>
      <c r="H1826" s="8" t="s">
        <v>950</v>
      </c>
      <c r="J1826" s="8">
        <v>2010</v>
      </c>
      <c r="M1826" s="8" t="s">
        <v>67</v>
      </c>
      <c r="P1826" t="s">
        <v>1135</v>
      </c>
      <c r="R1826" s="8" t="s">
        <v>1127</v>
      </c>
      <c r="S1826" t="s">
        <v>1128</v>
      </c>
      <c r="T1826" s="8" t="s">
        <v>46</v>
      </c>
      <c r="U1826" s="8" t="s">
        <v>422</v>
      </c>
      <c r="V1826" s="8" t="s">
        <v>423</v>
      </c>
      <c r="W1826" s="8" t="str">
        <f>IF(ISNUMBER(MATCH(V1220,{"Doryteuthis pealeii","Loligo vulgaris","Leptuca thayeri","Stylocheilus striatus","Ophryotrocha labronica"},0)),"N","Y")</f>
        <v>Y</v>
      </c>
      <c r="Z1826" s="8" t="s">
        <v>177</v>
      </c>
      <c r="AA1826" s="8" t="s">
        <v>177</v>
      </c>
      <c r="AB1826" s="8" t="s">
        <v>71</v>
      </c>
      <c r="AC1826" s="8" t="s">
        <v>195</v>
      </c>
      <c r="AD1826" s="8" t="s">
        <v>52</v>
      </c>
      <c r="AE1826" s="8" t="s">
        <v>53</v>
      </c>
      <c r="AF1826" s="8" t="s">
        <v>52</v>
      </c>
      <c r="AG1826" s="8" t="s">
        <v>52</v>
      </c>
      <c r="AH1826" s="8" t="s">
        <v>64</v>
      </c>
      <c r="AK1826" s="8">
        <v>3</v>
      </c>
      <c r="AL1826" s="8">
        <v>3</v>
      </c>
      <c r="AN1826" s="8">
        <v>327</v>
      </c>
      <c r="AO1826" s="8">
        <v>22</v>
      </c>
      <c r="AP1826" s="8" t="s">
        <v>56</v>
      </c>
      <c r="AQ1826" s="8" t="s">
        <v>57</v>
      </c>
      <c r="AR1826" s="8">
        <v>8.25</v>
      </c>
      <c r="AS1826" s="8" t="s">
        <v>56</v>
      </c>
      <c r="AT1826" s="8" t="s">
        <v>56</v>
      </c>
      <c r="AU1826" s="8">
        <v>839</v>
      </c>
      <c r="AV1826">
        <v>12</v>
      </c>
      <c r="AW1826" t="s">
        <v>56</v>
      </c>
      <c r="AX1826">
        <v>7.9</v>
      </c>
      <c r="AY1826" t="s">
        <v>56</v>
      </c>
      <c r="AZ1826" t="s">
        <v>56</v>
      </c>
      <c r="BB1826" s="8">
        <f>LOG(AU1826)</f>
        <v>2.9237619608287004</v>
      </c>
      <c r="BC1826" s="8">
        <v>20</v>
      </c>
      <c r="BD1826" s="8" t="s">
        <v>56</v>
      </c>
      <c r="BE1826" s="8" t="s">
        <v>56</v>
      </c>
      <c r="BF1826" s="8">
        <v>24</v>
      </c>
      <c r="BG1826" s="8" t="s">
        <v>56</v>
      </c>
      <c r="BH1826" s="8" t="s">
        <v>56</v>
      </c>
      <c r="BI1826" s="8">
        <v>512</v>
      </c>
      <c r="BJ1826" s="8">
        <v>4</v>
      </c>
      <c r="BK1826" s="8" t="s">
        <v>56</v>
      </c>
      <c r="BL1826" s="8" t="s">
        <v>933</v>
      </c>
      <c r="BM1826" s="8" t="s">
        <v>473</v>
      </c>
      <c r="BN1826" s="8" t="s">
        <v>81</v>
      </c>
      <c r="BO1826" s="8" t="s">
        <v>82</v>
      </c>
      <c r="BP1826" s="8" t="s">
        <v>190</v>
      </c>
      <c r="BQ1826" s="8" t="s">
        <v>190</v>
      </c>
      <c r="BR1826" s="8" t="s">
        <v>84</v>
      </c>
      <c r="BT1826" s="8">
        <v>87.97</v>
      </c>
      <c r="BU1826" s="8">
        <v>87.97</v>
      </c>
      <c r="BV1826" s="8">
        <v>7.23</v>
      </c>
      <c r="BW1826" s="8">
        <f>BV1826*SQRT(AK1826)</f>
        <v>12.522727338722984</v>
      </c>
      <c r="BX1826" s="8">
        <v>92.88</v>
      </c>
      <c r="BY1826" s="8">
        <v>92.88</v>
      </c>
      <c r="BZ1826" s="8">
        <v>6.02</v>
      </c>
      <c r="CA1826" s="8">
        <f>BZ1826*SQRT(AL1826)</f>
        <v>10.42694586156464</v>
      </c>
      <c r="CB1826" s="8">
        <v>1</v>
      </c>
      <c r="CC1826" s="8">
        <v>1</v>
      </c>
      <c r="CD1826" s="8">
        <v>5.3999999999999999E-2</v>
      </c>
      <c r="CE1826" s="8">
        <v>1.0999999999999999E-2</v>
      </c>
      <c r="CF1826" s="8" t="s">
        <v>1134</v>
      </c>
    </row>
    <row r="1827" spans="1:84" s="8" customFormat="1" hidden="1" x14ac:dyDescent="0.2">
      <c r="B1827" t="str">
        <f>ROW()-1&amp;"_AltersInvert"</f>
        <v>1826_AltersInvert</v>
      </c>
      <c r="C1827" t="str">
        <f>D1827&amp;"_"&amp;
SUBSTITUTE(TRIM(V1827)," ","_")&amp;"_"&amp;
TRIM(AC1827)&amp;"_"&amp;
"CO2"&amp;TEXT(AN1827,"0.00")&amp;"_"&amp;
"pH"&amp;TEXT(AR1827,"0.00")&amp;"_"&amp;
"T"&amp;TEXT(BC1827,"0.##")</f>
        <v>201_Tripneustes_gratilla_EMBRYO_CO2327.00_pH8.25_T20.</v>
      </c>
      <c r="D1827" s="8">
        <v>201</v>
      </c>
      <c r="G1827" s="8" t="s">
        <v>43</v>
      </c>
      <c r="H1827" s="8" t="s">
        <v>950</v>
      </c>
      <c r="J1827" s="8">
        <v>2010</v>
      </c>
      <c r="M1827" s="8" t="s">
        <v>67</v>
      </c>
      <c r="P1827" t="s">
        <v>1135</v>
      </c>
      <c r="R1827" s="8" t="s">
        <v>1127</v>
      </c>
      <c r="S1827" t="s">
        <v>1128</v>
      </c>
      <c r="T1827" s="8" t="s">
        <v>46</v>
      </c>
      <c r="U1827" s="8" t="s">
        <v>422</v>
      </c>
      <c r="V1827" s="8" t="s">
        <v>423</v>
      </c>
      <c r="W1827" s="8" t="str">
        <f>IF(ISNUMBER(MATCH(V1221,{"Doryteuthis pealeii","Loligo vulgaris","Leptuca thayeri","Stylocheilus striatus","Ophryotrocha labronica"},0)),"N","Y")</f>
        <v>Y</v>
      </c>
      <c r="Z1827" s="8" t="s">
        <v>177</v>
      </c>
      <c r="AA1827" s="8" t="s">
        <v>177</v>
      </c>
      <c r="AB1827" s="8" t="s">
        <v>71</v>
      </c>
      <c r="AC1827" s="8" t="s">
        <v>195</v>
      </c>
      <c r="AD1827" s="8" t="s">
        <v>52</v>
      </c>
      <c r="AE1827" s="8" t="s">
        <v>53</v>
      </c>
      <c r="AF1827" s="8" t="s">
        <v>52</v>
      </c>
      <c r="AG1827" s="8" t="s">
        <v>52</v>
      </c>
      <c r="AH1827" s="8" t="s">
        <v>64</v>
      </c>
      <c r="AK1827" s="8">
        <v>3</v>
      </c>
      <c r="AL1827" s="8">
        <v>3</v>
      </c>
      <c r="AN1827" s="8">
        <v>327</v>
      </c>
      <c r="AO1827" s="8">
        <v>22</v>
      </c>
      <c r="AP1827" s="8" t="s">
        <v>56</v>
      </c>
      <c r="AQ1827" s="8" t="s">
        <v>57</v>
      </c>
      <c r="AR1827" s="8">
        <v>8.25</v>
      </c>
      <c r="AS1827" s="8" t="s">
        <v>56</v>
      </c>
      <c r="AT1827" s="8" t="s">
        <v>56</v>
      </c>
      <c r="AU1827" s="8">
        <v>851</v>
      </c>
      <c r="AV1827">
        <v>12</v>
      </c>
      <c r="AW1827" t="s">
        <v>56</v>
      </c>
      <c r="AX1827">
        <v>7.9</v>
      </c>
      <c r="AY1827" t="s">
        <v>56</v>
      </c>
      <c r="AZ1827" t="s">
        <v>56</v>
      </c>
      <c r="BB1827" s="8">
        <f>LOG(AU1827)</f>
        <v>2.929929560084588</v>
      </c>
      <c r="BC1827" s="8">
        <v>20</v>
      </c>
      <c r="BD1827" s="8" t="s">
        <v>56</v>
      </c>
      <c r="BE1827" s="8" t="s">
        <v>56</v>
      </c>
      <c r="BF1827" s="8">
        <v>26</v>
      </c>
      <c r="BG1827" s="8" t="s">
        <v>56</v>
      </c>
      <c r="BH1827" s="8" t="s">
        <v>56</v>
      </c>
      <c r="BI1827" s="8">
        <v>524</v>
      </c>
      <c r="BJ1827" s="8">
        <v>6</v>
      </c>
      <c r="BK1827" s="8" t="s">
        <v>56</v>
      </c>
      <c r="BL1827" s="8" t="s">
        <v>933</v>
      </c>
      <c r="BM1827" s="8" t="s">
        <v>473</v>
      </c>
      <c r="BN1827" s="8" t="s">
        <v>81</v>
      </c>
      <c r="BO1827" s="8" t="s">
        <v>82</v>
      </c>
      <c r="BP1827" s="8" t="s">
        <v>190</v>
      </c>
      <c r="BQ1827" s="8" t="s">
        <v>190</v>
      </c>
      <c r="BR1827" s="8" t="s">
        <v>84</v>
      </c>
      <c r="BT1827" s="8">
        <v>87.97</v>
      </c>
      <c r="BU1827" s="8">
        <v>87.97</v>
      </c>
      <c r="BV1827" s="8">
        <v>7.23</v>
      </c>
      <c r="BW1827" s="8">
        <f>BV1827*SQRT(AK1827)</f>
        <v>12.522727338722984</v>
      </c>
      <c r="BX1827" s="8">
        <v>92.89</v>
      </c>
      <c r="BY1827" s="8">
        <v>92.89</v>
      </c>
      <c r="BZ1827" s="8">
        <v>5.42</v>
      </c>
      <c r="CA1827" s="8">
        <f>BZ1827*SQRT(AL1827)</f>
        <v>9.3877153770233139</v>
      </c>
      <c r="CB1827" s="8">
        <v>1</v>
      </c>
      <c r="CC1827" s="8">
        <v>1</v>
      </c>
      <c r="CD1827" s="8">
        <v>5.3999999999999999E-2</v>
      </c>
      <c r="CE1827" s="8">
        <v>1.0200000000000001E-2</v>
      </c>
      <c r="CF1827" s="8" t="s">
        <v>1134</v>
      </c>
    </row>
    <row r="1828" spans="1:84" s="8" customFormat="1" hidden="1" x14ac:dyDescent="0.2">
      <c r="B1828" t="str">
        <f>ROW()-1&amp;"_AltersInvert"</f>
        <v>1827_AltersInvert</v>
      </c>
      <c r="C1828" t="str">
        <f>D1828&amp;"_"&amp;
SUBSTITUTE(TRIM(V1828)," ","_")&amp;"_"&amp;
TRIM(AC1828)&amp;"_"&amp;
"CO2"&amp;TEXT(AN1828,"0.00")&amp;"_"&amp;
"pH"&amp;TEXT(AR1828,"0.00")&amp;"_"&amp;
"T"&amp;TEXT(BC1828,"0.##")</f>
        <v>201_Tripneustes_gratilla_EMBRYO_CO2327.00_pH8.25_T20.</v>
      </c>
      <c r="D1828" s="8">
        <v>201</v>
      </c>
      <c r="G1828" s="8" t="s">
        <v>43</v>
      </c>
      <c r="H1828" s="8" t="s">
        <v>950</v>
      </c>
      <c r="J1828" s="8">
        <v>2010</v>
      </c>
      <c r="M1828" s="8" t="s">
        <v>67</v>
      </c>
      <c r="P1828" t="s">
        <v>1135</v>
      </c>
      <c r="R1828" s="8" t="s">
        <v>1127</v>
      </c>
      <c r="S1828" t="s">
        <v>1128</v>
      </c>
      <c r="T1828" s="8" t="s">
        <v>46</v>
      </c>
      <c r="U1828" s="8" t="s">
        <v>422</v>
      </c>
      <c r="V1828" s="8" t="s">
        <v>423</v>
      </c>
      <c r="W1828" s="8" t="str">
        <f>IF(ISNUMBER(MATCH(V1222,{"Doryteuthis pealeii","Loligo vulgaris","Leptuca thayeri","Stylocheilus striatus","Ophryotrocha labronica"},0)),"N","Y")</f>
        <v>Y</v>
      </c>
      <c r="Z1828" s="8" t="s">
        <v>177</v>
      </c>
      <c r="AA1828" s="8" t="s">
        <v>177</v>
      </c>
      <c r="AB1828" s="8" t="s">
        <v>71</v>
      </c>
      <c r="AC1828" s="8" t="s">
        <v>195</v>
      </c>
      <c r="AD1828" s="8" t="s">
        <v>52</v>
      </c>
      <c r="AE1828" s="8" t="s">
        <v>53</v>
      </c>
      <c r="AF1828" s="8" t="s">
        <v>52</v>
      </c>
      <c r="AG1828" s="8" t="s">
        <v>52</v>
      </c>
      <c r="AH1828" s="8" t="s">
        <v>64</v>
      </c>
      <c r="AK1828" s="8">
        <v>3</v>
      </c>
      <c r="AL1828" s="8">
        <v>3</v>
      </c>
      <c r="AN1828" s="8">
        <v>327</v>
      </c>
      <c r="AO1828" s="8">
        <v>22</v>
      </c>
      <c r="AP1828" s="8" t="s">
        <v>56</v>
      </c>
      <c r="AQ1828" s="8" t="s">
        <v>57</v>
      </c>
      <c r="AR1828" s="8">
        <v>8.25</v>
      </c>
      <c r="AS1828" s="8" t="s">
        <v>56</v>
      </c>
      <c r="AT1828" s="8" t="s">
        <v>56</v>
      </c>
      <c r="AU1828" s="8">
        <v>1828</v>
      </c>
      <c r="AV1828">
        <v>27</v>
      </c>
      <c r="AW1828" t="s">
        <v>56</v>
      </c>
      <c r="AX1828">
        <v>7.6</v>
      </c>
      <c r="AY1828" t="s">
        <v>56</v>
      </c>
      <c r="AZ1828" t="s">
        <v>56</v>
      </c>
      <c r="BB1828" s="8">
        <f>LOG(AU1828)</f>
        <v>3.2619761913978125</v>
      </c>
      <c r="BC1828" s="8">
        <v>20</v>
      </c>
      <c r="BD1828" s="8" t="s">
        <v>56</v>
      </c>
      <c r="BE1828" s="8" t="s">
        <v>56</v>
      </c>
      <c r="BF1828" s="8">
        <v>26</v>
      </c>
      <c r="BG1828" s="8" t="s">
        <v>56</v>
      </c>
      <c r="BH1828" s="8" t="s">
        <v>56</v>
      </c>
      <c r="BI1828" s="8">
        <v>1501</v>
      </c>
      <c r="BJ1828" s="8">
        <v>6</v>
      </c>
      <c r="BK1828" s="8" t="s">
        <v>56</v>
      </c>
      <c r="BL1828" s="8" t="s">
        <v>933</v>
      </c>
      <c r="BM1828" s="8" t="s">
        <v>473</v>
      </c>
      <c r="BN1828" s="8" t="s">
        <v>81</v>
      </c>
      <c r="BO1828" s="8" t="s">
        <v>82</v>
      </c>
      <c r="BP1828" s="8" t="s">
        <v>190</v>
      </c>
      <c r="BQ1828" s="8" t="s">
        <v>190</v>
      </c>
      <c r="BR1828" s="8" t="s">
        <v>84</v>
      </c>
      <c r="BT1828" s="8">
        <v>87.97</v>
      </c>
      <c r="BU1828" s="8">
        <v>87.97</v>
      </c>
      <c r="BV1828" s="8">
        <v>7.23</v>
      </c>
      <c r="BW1828" s="8">
        <f>BV1828*SQRT(AK1828)</f>
        <v>12.522727338722984</v>
      </c>
      <c r="BX1828" s="8">
        <v>93.04</v>
      </c>
      <c r="BY1828" s="8">
        <v>93.04</v>
      </c>
      <c r="BZ1828" s="8">
        <v>5.42</v>
      </c>
      <c r="CA1828" s="8">
        <f>BZ1828*SQRT(AL1828)</f>
        <v>9.3877153770233139</v>
      </c>
      <c r="CB1828" s="8">
        <v>1</v>
      </c>
      <c r="CC1828" s="8">
        <v>1</v>
      </c>
      <c r="CD1828" s="8">
        <v>5.6000000000000001E-2</v>
      </c>
      <c r="CE1828" s="8">
        <v>1.01E-2</v>
      </c>
      <c r="CF1828" s="8" t="s">
        <v>1134</v>
      </c>
    </row>
    <row r="1829" spans="1:84" hidden="1" x14ac:dyDescent="0.2">
      <c r="A1829" s="8"/>
      <c r="B1829" t="str">
        <f>ROW()-1&amp;"_AltersInvert"</f>
        <v>1828_AltersInvert</v>
      </c>
      <c r="C1829" t="str">
        <f>D1829&amp;"_"&amp;
SUBSTITUTE(TRIM(V1829)," ","_")&amp;"_"&amp;
TRIM(AC1829)&amp;"_"&amp;
"CO2"&amp;TEXT(AN1829,"0.00")&amp;"_"&amp;
"pH"&amp;TEXT(AR1829,"0.00")&amp;"_"&amp;
"T"&amp;TEXT(BC1829,"0.##")</f>
        <v>201_Tripneustes_gratilla_EMBRYO_CO2327.00_pH8.25_T20.</v>
      </c>
      <c r="D1829" s="8">
        <v>201</v>
      </c>
      <c r="E1829" s="8"/>
      <c r="F1829" s="8"/>
      <c r="G1829" s="8" t="s">
        <v>43</v>
      </c>
      <c r="H1829" s="8" t="s">
        <v>950</v>
      </c>
      <c r="I1829" s="8"/>
      <c r="J1829" s="8">
        <v>2010</v>
      </c>
      <c r="K1829" s="8"/>
      <c r="L1829" s="8"/>
      <c r="M1829" s="8" t="s">
        <v>67</v>
      </c>
      <c r="N1829" s="8"/>
      <c r="O1829" s="8"/>
      <c r="P1829" t="s">
        <v>1135</v>
      </c>
      <c r="Q1829" s="8"/>
      <c r="R1829" s="8" t="s">
        <v>1127</v>
      </c>
      <c r="S1829" t="s">
        <v>1128</v>
      </c>
      <c r="T1829" s="8" t="s">
        <v>46</v>
      </c>
      <c r="U1829" s="8" t="s">
        <v>422</v>
      </c>
      <c r="V1829" s="8" t="s">
        <v>423</v>
      </c>
      <c r="W1829" s="8" t="str">
        <f>IF(ISNUMBER(MATCH(V1223,{"Doryteuthis pealeii","Loligo vulgaris","Leptuca thayeri","Stylocheilus striatus","Ophryotrocha labronica"},0)),"N","Y")</f>
        <v>Y</v>
      </c>
      <c r="X1829" s="8"/>
      <c r="Y1829" s="8"/>
      <c r="Z1829" s="8" t="s">
        <v>177</v>
      </c>
      <c r="AA1829" s="8" t="s">
        <v>177</v>
      </c>
      <c r="AB1829" s="8" t="s">
        <v>71</v>
      </c>
      <c r="AC1829" s="8" t="s">
        <v>195</v>
      </c>
      <c r="AD1829" s="8" t="s">
        <v>52</v>
      </c>
      <c r="AE1829" s="8" t="s">
        <v>53</v>
      </c>
      <c r="AF1829" s="8" t="s">
        <v>52</v>
      </c>
      <c r="AG1829" s="8" t="s">
        <v>52</v>
      </c>
      <c r="AH1829" s="8" t="s">
        <v>64</v>
      </c>
      <c r="AI1829" s="8"/>
      <c r="AJ1829" s="8"/>
      <c r="AK1829" s="8">
        <v>3</v>
      </c>
      <c r="AL1829" s="8">
        <v>3</v>
      </c>
      <c r="AM1829" s="8"/>
      <c r="AN1829" s="8">
        <v>327</v>
      </c>
      <c r="AO1829" s="8">
        <v>22</v>
      </c>
      <c r="AP1829" s="8" t="s">
        <v>56</v>
      </c>
      <c r="AQ1829" s="8" t="s">
        <v>57</v>
      </c>
      <c r="AR1829" s="8">
        <v>8.25</v>
      </c>
      <c r="AS1829" s="8" t="s">
        <v>56</v>
      </c>
      <c r="AT1829" s="8" t="s">
        <v>56</v>
      </c>
      <c r="AU1829" s="8">
        <v>1795</v>
      </c>
      <c r="AV1829">
        <v>26</v>
      </c>
      <c r="AW1829" t="s">
        <v>56</v>
      </c>
      <c r="AX1829">
        <v>7.6</v>
      </c>
      <c r="AY1829" t="s">
        <v>56</v>
      </c>
      <c r="AZ1829" t="s">
        <v>56</v>
      </c>
      <c r="BA1829" s="8"/>
      <c r="BB1829" s="8">
        <f>LOG(AU1829)</f>
        <v>3.2540644529143381</v>
      </c>
      <c r="BC1829" s="8">
        <v>20</v>
      </c>
      <c r="BD1829" s="8" t="s">
        <v>56</v>
      </c>
      <c r="BE1829" s="8" t="s">
        <v>56</v>
      </c>
      <c r="BF1829" s="8">
        <v>24</v>
      </c>
      <c r="BG1829" s="8" t="s">
        <v>56</v>
      </c>
      <c r="BH1829" s="8" t="s">
        <v>56</v>
      </c>
      <c r="BI1829" s="8">
        <v>1468</v>
      </c>
      <c r="BJ1829" s="8">
        <v>4</v>
      </c>
      <c r="BK1829" s="8" t="s">
        <v>56</v>
      </c>
      <c r="BL1829" s="8" t="s">
        <v>933</v>
      </c>
      <c r="BM1829" s="8" t="s">
        <v>473</v>
      </c>
      <c r="BN1829" s="8" t="s">
        <v>81</v>
      </c>
      <c r="BO1829" s="8" t="s">
        <v>82</v>
      </c>
      <c r="BP1829" s="8" t="s">
        <v>190</v>
      </c>
      <c r="BQ1829" s="8" t="s">
        <v>190</v>
      </c>
      <c r="BR1829" s="8" t="s">
        <v>84</v>
      </c>
      <c r="BS1829" s="8"/>
      <c r="BT1829" s="8">
        <v>87.97</v>
      </c>
      <c r="BU1829" s="8">
        <v>87.97</v>
      </c>
      <c r="BV1829" s="8">
        <v>7.23</v>
      </c>
      <c r="BW1829" s="8">
        <f>BV1829*SQRT(AK1829)</f>
        <v>12.522727338722984</v>
      </c>
      <c r="BX1829" s="8">
        <v>93.62</v>
      </c>
      <c r="BY1829" s="8">
        <v>93.62</v>
      </c>
      <c r="BZ1829" s="8">
        <v>5.43</v>
      </c>
      <c r="CA1829" s="8">
        <f>BZ1829*SQRT(AL1829)</f>
        <v>9.4050358850990019</v>
      </c>
      <c r="CB1829" s="8">
        <v>1</v>
      </c>
      <c r="CC1829" s="8">
        <v>1</v>
      </c>
      <c r="CD1829" s="8">
        <v>6.2E-2</v>
      </c>
      <c r="CE1829" s="8">
        <v>1.01E-2</v>
      </c>
      <c r="CF1829" s="8" t="s">
        <v>1134</v>
      </c>
    </row>
    <row r="1830" spans="1:84" hidden="1" x14ac:dyDescent="0.2">
      <c r="A1830" s="11"/>
      <c r="B1830" t="str">
        <f>ROW()-1&amp;"_AltersInvert"</f>
        <v>1829_AltersInvert</v>
      </c>
      <c r="C1830" s="11" t="str">
        <f>D1830&amp;"_"&amp;
SUBSTITUTE(TRIM(V1830)," ","_")&amp;"_"&amp;
TRIM(AC1830)&amp;"_"&amp;
"CO2"&amp;TEXT(AN1830,"0.00")&amp;"_"&amp;
"pH"&amp;TEXT(AR1830,"0.00")&amp;"_"&amp;
"T"&amp;TEXT(BC1830,"0.##")</f>
        <v>197_Arbacia_lixula_EMBRYO_CO2498.00_pH8.16_T20.4</v>
      </c>
      <c r="D1830" s="11">
        <v>197</v>
      </c>
      <c r="E1830" s="11"/>
      <c r="F1830" s="11"/>
      <c r="G1830" t="s">
        <v>43</v>
      </c>
      <c r="H1830" s="11" t="s">
        <v>932</v>
      </c>
      <c r="I1830" s="11"/>
      <c r="J1830" s="11">
        <v>2014</v>
      </c>
      <c r="K1830" s="11"/>
      <c r="L1830" s="11"/>
      <c r="M1830" s="11" t="s">
        <v>308</v>
      </c>
      <c r="N1830" s="11"/>
      <c r="O1830" s="11"/>
      <c r="P1830" s="11"/>
      <c r="Q1830" s="11"/>
      <c r="R1830" s="11"/>
      <c r="S1830" s="11"/>
      <c r="T1830" s="11" t="s">
        <v>46</v>
      </c>
      <c r="U1830" s="11" t="s">
        <v>507</v>
      </c>
      <c r="V1830" s="11" t="s">
        <v>508</v>
      </c>
      <c r="W1830" s="11" t="str">
        <f>IF(ISNUMBER(MATCH(#REF!,{"Doryteuthis pealeii","Loligo vulgaris","Leptuca thayeri","Stylocheilus striatus","Ophryotrocha labronica"},0)),"N","Y")</f>
        <v>Y</v>
      </c>
      <c r="X1830" s="11"/>
      <c r="Y1830" s="11"/>
      <c r="Z1830" s="11" t="s">
        <v>509</v>
      </c>
      <c r="AA1830" s="11" t="s">
        <v>49</v>
      </c>
      <c r="AB1830" s="11" t="s">
        <v>71</v>
      </c>
      <c r="AC1830" s="11" t="s">
        <v>195</v>
      </c>
      <c r="AD1830" s="11" t="s">
        <v>52</v>
      </c>
      <c r="AE1830" s="11" t="s">
        <v>53</v>
      </c>
      <c r="AF1830" s="11" t="s">
        <v>52</v>
      </c>
      <c r="AG1830" s="11" t="s">
        <v>52</v>
      </c>
      <c r="AH1830" s="11" t="s">
        <v>64</v>
      </c>
      <c r="AI1830" s="11"/>
      <c r="AJ1830" s="11"/>
      <c r="AK1830" s="11">
        <v>6</v>
      </c>
      <c r="AL1830" s="11">
        <v>6</v>
      </c>
      <c r="AM1830" s="11" t="s">
        <v>934</v>
      </c>
      <c r="AN1830" s="11">
        <v>498</v>
      </c>
      <c r="AO1830" s="11" t="s">
        <v>56</v>
      </c>
      <c r="AP1830" s="11">
        <v>17</v>
      </c>
      <c r="AQ1830" s="11" t="s">
        <v>57</v>
      </c>
      <c r="AR1830" s="11">
        <v>8.16</v>
      </c>
      <c r="AS1830" s="11" t="s">
        <v>56</v>
      </c>
      <c r="AT1830" s="11">
        <v>0.01</v>
      </c>
      <c r="AU1830" s="11">
        <v>1264</v>
      </c>
      <c r="AV1830" s="11" t="s">
        <v>56</v>
      </c>
      <c r="AW1830" s="11">
        <v>87</v>
      </c>
      <c r="AX1830" s="11">
        <v>7.83</v>
      </c>
      <c r="AY1830" s="11" t="s">
        <v>56</v>
      </c>
      <c r="AZ1830" s="11">
        <v>0.03</v>
      </c>
      <c r="BA1830" s="11"/>
      <c r="BB1830" s="11">
        <f>LOG(AU1830)</f>
        <v>3.1017470739463664</v>
      </c>
      <c r="BC1830" s="11">
        <v>20.399999999999999</v>
      </c>
      <c r="BD1830" s="11" t="s">
        <v>56</v>
      </c>
      <c r="BE1830" s="11">
        <v>0.1</v>
      </c>
      <c r="BF1830" s="11">
        <v>27.2</v>
      </c>
      <c r="BG1830" s="11" t="s">
        <v>56</v>
      </c>
      <c r="BH1830" s="11">
        <v>0.1</v>
      </c>
      <c r="BI1830" s="11">
        <v>766</v>
      </c>
      <c r="BJ1830" s="11">
        <v>7</v>
      </c>
      <c r="BK1830" s="11" t="s">
        <v>56</v>
      </c>
      <c r="BL1830" s="11" t="s">
        <v>933</v>
      </c>
      <c r="BM1830" s="11" t="s">
        <v>473</v>
      </c>
      <c r="BN1830" s="11" t="s">
        <v>81</v>
      </c>
      <c r="BO1830" s="11" t="s">
        <v>82</v>
      </c>
      <c r="BP1830" s="11" t="s">
        <v>190</v>
      </c>
      <c r="BQ1830" s="11" t="s">
        <v>190</v>
      </c>
      <c r="BR1830" s="11" t="s">
        <v>84</v>
      </c>
      <c r="BS1830" s="11"/>
      <c r="BT1830" s="11">
        <v>85.86</v>
      </c>
      <c r="BU1830" s="11">
        <v>85.86</v>
      </c>
      <c r="BV1830" s="11">
        <v>5.5</v>
      </c>
      <c r="BW1830" s="11">
        <f>BV1830*SQRT(AK1830)</f>
        <v>13.472193585307478</v>
      </c>
      <c r="BX1830" s="11">
        <v>0</v>
      </c>
      <c r="BY1830" s="11">
        <v>0</v>
      </c>
      <c r="BZ1830" s="11">
        <v>0</v>
      </c>
      <c r="CA1830" s="11">
        <f>BZ1830*SQRT(AL1830)</f>
        <v>0</v>
      </c>
      <c r="CB1830" s="11">
        <v>1</v>
      </c>
      <c r="CC1830" s="11">
        <v>6</v>
      </c>
      <c r="CD1830" s="11" t="e">
        <v>#NUM!</v>
      </c>
      <c r="CE1830" s="11">
        <v>1E-4</v>
      </c>
      <c r="CF1830" s="11"/>
    </row>
    <row r="1831" spans="1:84" hidden="1" x14ac:dyDescent="0.2">
      <c r="A1831" s="11"/>
      <c r="B1831" t="str">
        <f>ROW()-1&amp;"_AltersInvert"</f>
        <v>1830_AltersInvert</v>
      </c>
      <c r="C1831" s="11" t="str">
        <f>D1831&amp;"_"&amp;
SUBSTITUTE(TRIM(V1831)," ","_")&amp;"_"&amp;
TRIM(AC1831)&amp;"_"&amp;
"CO2"&amp;TEXT(AN1831,"0.00")&amp;"_"&amp;
"pH"&amp;TEXT(AR1831,"0.00")&amp;"_"&amp;
"T"&amp;TEXT(BC1831,"0.##")</f>
        <v>197_Arbacia_lixula_EMBRYO_CO2498.00_pH8.16_T20.4</v>
      </c>
      <c r="D1831" s="11">
        <v>197</v>
      </c>
      <c r="E1831" s="11"/>
      <c r="F1831" s="11"/>
      <c r="G1831" s="11" t="s">
        <v>43</v>
      </c>
      <c r="H1831" s="11" t="s">
        <v>932</v>
      </c>
      <c r="I1831" s="11"/>
      <c r="J1831" s="11">
        <v>2014</v>
      </c>
      <c r="K1831" s="11"/>
      <c r="L1831" s="11"/>
      <c r="M1831" s="11" t="s">
        <v>308</v>
      </c>
      <c r="N1831" s="11"/>
      <c r="O1831" s="11"/>
      <c r="P1831" s="11"/>
      <c r="Q1831" s="11"/>
      <c r="R1831" s="11"/>
      <c r="S1831" s="11"/>
      <c r="T1831" s="11" t="s">
        <v>46</v>
      </c>
      <c r="U1831" s="11" t="s">
        <v>507</v>
      </c>
      <c r="V1831" s="11" t="s">
        <v>508</v>
      </c>
      <c r="W1831" s="11" t="str">
        <f>IF(ISNUMBER(MATCH(#REF!,{"Doryteuthis pealeii","Loligo vulgaris","Leptuca thayeri","Stylocheilus striatus","Ophryotrocha labronica"},0)),"N","Y")</f>
        <v>Y</v>
      </c>
      <c r="X1831" s="11"/>
      <c r="Y1831" s="11"/>
      <c r="Z1831" s="11" t="s">
        <v>509</v>
      </c>
      <c r="AA1831" s="11" t="s">
        <v>49</v>
      </c>
      <c r="AB1831" s="11" t="s">
        <v>71</v>
      </c>
      <c r="AC1831" s="11" t="s">
        <v>195</v>
      </c>
      <c r="AD1831" s="11" t="s">
        <v>52</v>
      </c>
      <c r="AE1831" s="11" t="s">
        <v>53</v>
      </c>
      <c r="AF1831" s="11" t="s">
        <v>52</v>
      </c>
      <c r="AG1831" s="11" t="s">
        <v>54</v>
      </c>
      <c r="AH1831" s="11" t="s">
        <v>55</v>
      </c>
      <c r="AI1831" s="11"/>
      <c r="AJ1831" s="11"/>
      <c r="AK1831" s="11">
        <v>6</v>
      </c>
      <c r="AL1831" s="11">
        <v>6</v>
      </c>
      <c r="AM1831" s="11"/>
      <c r="AN1831" s="11">
        <v>498</v>
      </c>
      <c r="AO1831" s="11" t="s">
        <v>56</v>
      </c>
      <c r="AP1831" s="11">
        <v>17</v>
      </c>
      <c r="AQ1831" s="11" t="s">
        <v>57</v>
      </c>
      <c r="AR1831" s="11">
        <v>8.16</v>
      </c>
      <c r="AS1831" s="11" t="s">
        <v>56</v>
      </c>
      <c r="AT1831" s="11">
        <v>0.01</v>
      </c>
      <c r="AU1831" s="11">
        <v>1001</v>
      </c>
      <c r="AV1831" s="11" t="s">
        <v>56</v>
      </c>
      <c r="AW1831" s="11">
        <v>27</v>
      </c>
      <c r="AX1831" s="11">
        <v>7.89</v>
      </c>
      <c r="AY1831" s="11" t="s">
        <v>56</v>
      </c>
      <c r="AZ1831" s="11">
        <v>0.01</v>
      </c>
      <c r="BA1831" s="11"/>
      <c r="BB1831" s="11">
        <f>LOG(AU1831)</f>
        <v>3.0004340774793188</v>
      </c>
      <c r="BC1831" s="11">
        <v>20.399999999999999</v>
      </c>
      <c r="BD1831" s="11" t="s">
        <v>56</v>
      </c>
      <c r="BE1831" s="11">
        <v>0.1</v>
      </c>
      <c r="BF1831" s="11">
        <v>20.3</v>
      </c>
      <c r="BG1831" s="11" t="s">
        <v>56</v>
      </c>
      <c r="BH1831" s="11">
        <v>0</v>
      </c>
      <c r="BI1831" s="11">
        <v>503</v>
      </c>
      <c r="BJ1831" s="11">
        <v>-0.1</v>
      </c>
      <c r="BK1831" s="11" t="s">
        <v>56</v>
      </c>
      <c r="BL1831" s="11" t="s">
        <v>933</v>
      </c>
      <c r="BM1831" s="11" t="s">
        <v>473</v>
      </c>
      <c r="BN1831" s="11" t="s">
        <v>81</v>
      </c>
      <c r="BO1831" s="11" t="s">
        <v>82</v>
      </c>
      <c r="BP1831" s="11" t="s">
        <v>190</v>
      </c>
      <c r="BQ1831" s="11" t="s">
        <v>190</v>
      </c>
      <c r="BR1831" s="11" t="s">
        <v>84</v>
      </c>
      <c r="BS1831" s="11"/>
      <c r="BT1831" s="11">
        <v>85.86</v>
      </c>
      <c r="BU1831" s="11">
        <v>85.86</v>
      </c>
      <c r="BV1831" s="11">
        <v>5.5</v>
      </c>
      <c r="BW1831" s="11">
        <f>BV1831*SQRT(AK1831)</f>
        <v>13.472193585307478</v>
      </c>
      <c r="BX1831" s="11">
        <v>86.38</v>
      </c>
      <c r="BY1831" s="11">
        <v>86.38</v>
      </c>
      <c r="BZ1831" s="11">
        <v>8.64</v>
      </c>
      <c r="CA1831" s="11">
        <f>BZ1831*SQRT(AL1831)</f>
        <v>21.163591377646657</v>
      </c>
      <c r="CB1831" s="11">
        <v>1</v>
      </c>
      <c r="CC1831" s="11">
        <v>6</v>
      </c>
      <c r="CD1831" s="11">
        <v>6.0000000000000001E-3</v>
      </c>
      <c r="CE1831" s="11">
        <v>1.41E-2</v>
      </c>
      <c r="CF1831" s="11"/>
    </row>
    <row r="1832" spans="1:84" hidden="1" x14ac:dyDescent="0.2">
      <c r="A1832" s="8"/>
      <c r="B1832" t="str">
        <f>ROW()-1&amp;"_AltersInvert"</f>
        <v>1831_AltersInvert</v>
      </c>
      <c r="C1832" t="str">
        <f>D1832&amp;"_"&amp;
SUBSTITUTE(TRIM(V1832)," ","_")&amp;"_"&amp;
TRIM(AC1832)&amp;"_"&amp;
"CO2"&amp;TEXT(AN1832,"0.00")&amp;"_"&amp;
"pH"&amp;TEXT(AR1832,"0.00")&amp;"_"&amp;
"T"&amp;TEXT(BC1832,"0.##")</f>
        <v>197_Arbacia_lixula_EMBRYO_CO2498.00_pH8.16_T20.4</v>
      </c>
      <c r="D1832" s="8">
        <v>197</v>
      </c>
      <c r="E1832" s="8"/>
      <c r="F1832" s="8"/>
      <c r="G1832" s="8" t="s">
        <v>43</v>
      </c>
      <c r="H1832" s="8" t="s">
        <v>932</v>
      </c>
      <c r="I1832" s="8"/>
      <c r="J1832" s="8">
        <v>2014</v>
      </c>
      <c r="K1832" s="8"/>
      <c r="L1832" s="8"/>
      <c r="M1832" s="8" t="s">
        <v>308</v>
      </c>
      <c r="N1832" s="8"/>
      <c r="O1832" s="8"/>
      <c r="P1832" t="s">
        <v>1135</v>
      </c>
      <c r="Q1832" s="8"/>
      <c r="R1832" s="8" t="s">
        <v>1127</v>
      </c>
      <c r="S1832" t="s">
        <v>1128</v>
      </c>
      <c r="T1832" s="8" t="s">
        <v>46</v>
      </c>
      <c r="U1832" s="8" t="s">
        <v>507</v>
      </c>
      <c r="V1832" s="8" t="s">
        <v>508</v>
      </c>
      <c r="W1832" s="8" t="str">
        <f>IF(ISNUMBER(MATCH(V1226,{"Doryteuthis pealeii","Loligo vulgaris","Leptuca thayeri","Stylocheilus striatus","Ophryotrocha labronica"},0)),"N","Y")</f>
        <v>Y</v>
      </c>
      <c r="X1832" s="8"/>
      <c r="Y1832" s="8"/>
      <c r="Z1832" s="8" t="s">
        <v>509</v>
      </c>
      <c r="AA1832" s="8" t="s">
        <v>49</v>
      </c>
      <c r="AB1832" s="8" t="s">
        <v>71</v>
      </c>
      <c r="AC1832" s="8" t="s">
        <v>195</v>
      </c>
      <c r="AD1832" s="8" t="s">
        <v>52</v>
      </c>
      <c r="AE1832" s="8" t="s">
        <v>53</v>
      </c>
      <c r="AF1832" s="8" t="s">
        <v>54</v>
      </c>
      <c r="AG1832" s="8" t="s">
        <v>52</v>
      </c>
      <c r="AH1832" s="8" t="s">
        <v>65</v>
      </c>
      <c r="AI1832" s="8"/>
      <c r="AJ1832" s="8"/>
      <c r="AK1832" s="8">
        <v>6</v>
      </c>
      <c r="AL1832" s="8">
        <v>6</v>
      </c>
      <c r="AM1832" s="8"/>
      <c r="AN1832" s="8">
        <v>498</v>
      </c>
      <c r="AO1832" s="8" t="s">
        <v>56</v>
      </c>
      <c r="AP1832" s="8">
        <v>17</v>
      </c>
      <c r="AQ1832" s="8" t="s">
        <v>57</v>
      </c>
      <c r="AR1832" s="8">
        <v>8.16</v>
      </c>
      <c r="AS1832" s="8" t="s">
        <v>56</v>
      </c>
      <c r="AT1832" s="8">
        <v>0.01</v>
      </c>
      <c r="AU1832" s="8">
        <v>544</v>
      </c>
      <c r="AV1832" t="s">
        <v>56</v>
      </c>
      <c r="AW1832">
        <v>15</v>
      </c>
      <c r="AX1832">
        <v>8.14</v>
      </c>
      <c r="AY1832" t="s">
        <v>56</v>
      </c>
      <c r="AZ1832">
        <v>0.01</v>
      </c>
      <c r="BA1832" s="8"/>
      <c r="BB1832" s="8">
        <f>LOG(AU1832)</f>
        <v>2.7355988996981799</v>
      </c>
      <c r="BC1832" s="8">
        <v>20.399999999999999</v>
      </c>
      <c r="BD1832" s="8" t="s">
        <v>56</v>
      </c>
      <c r="BE1832" s="8">
        <v>0.1</v>
      </c>
      <c r="BF1832" s="8">
        <v>26.9</v>
      </c>
      <c r="BG1832" s="8" t="s">
        <v>56</v>
      </c>
      <c r="BH1832" s="8">
        <v>0.1</v>
      </c>
      <c r="BI1832" s="8">
        <v>46</v>
      </c>
      <c r="BJ1832" s="8">
        <v>6.6</v>
      </c>
      <c r="BK1832" s="8" t="s">
        <v>56</v>
      </c>
      <c r="BL1832" s="8" t="s">
        <v>933</v>
      </c>
      <c r="BM1832" s="8" t="s">
        <v>473</v>
      </c>
      <c r="BN1832" s="8" t="s">
        <v>81</v>
      </c>
      <c r="BO1832" s="8" t="s">
        <v>82</v>
      </c>
      <c r="BP1832" s="8" t="s">
        <v>190</v>
      </c>
      <c r="BQ1832" s="8" t="s">
        <v>190</v>
      </c>
      <c r="BR1832" s="8" t="s">
        <v>84</v>
      </c>
      <c r="BS1832" s="8"/>
      <c r="BT1832" s="8">
        <v>85.86</v>
      </c>
      <c r="BU1832" s="8">
        <v>85.86</v>
      </c>
      <c r="BV1832" s="8">
        <v>5.5</v>
      </c>
      <c r="BW1832" s="8">
        <f>BV1832*SQRT(AK1832)</f>
        <v>13.472193585307478</v>
      </c>
      <c r="BX1832" s="8">
        <v>1.83</v>
      </c>
      <c r="BY1832" s="8">
        <v>1.83</v>
      </c>
      <c r="BZ1832" s="8">
        <v>1.6</v>
      </c>
      <c r="CA1832" s="8">
        <f>BZ1832*SQRT(AL1832)</f>
        <v>3.9191835884530848</v>
      </c>
      <c r="CB1832" s="8">
        <v>1</v>
      </c>
      <c r="CC1832" s="8">
        <v>6</v>
      </c>
      <c r="CD1832" s="8">
        <v>-3.8479999999999999</v>
      </c>
      <c r="CE1832" s="8">
        <v>0.76849999999999996</v>
      </c>
      <c r="CF1832" s="8" t="s">
        <v>1134</v>
      </c>
    </row>
    <row r="1833" spans="1:84" hidden="1" x14ac:dyDescent="0.2">
      <c r="A1833" s="8"/>
      <c r="B1833" t="str">
        <f>ROW()-1&amp;"_AltersInvert"</f>
        <v>1832_AltersInvert</v>
      </c>
      <c r="C1833" t="str">
        <f>D1833&amp;"_"&amp;
SUBSTITUTE(TRIM(V1833)," ","_")&amp;"_"&amp;
TRIM(AC1833)&amp;"_"&amp;
"CO2"&amp;TEXT(AN1833,"0.00")&amp;"_"&amp;
"pH"&amp;TEXT(AR1833,"0.00")&amp;"_"&amp;
"T"&amp;TEXT(BC1833,"0.##")</f>
        <v>197_Arbacia_lixula_EMBRYO_CO2498.00_pH8.16_T20.4</v>
      </c>
      <c r="D1833" s="8">
        <v>197</v>
      </c>
      <c r="E1833" s="8"/>
      <c r="F1833" s="8"/>
      <c r="G1833" s="8" t="s">
        <v>43</v>
      </c>
      <c r="H1833" s="8" t="s">
        <v>932</v>
      </c>
      <c r="I1833" s="8"/>
      <c r="J1833" s="8">
        <v>2014</v>
      </c>
      <c r="K1833" s="8"/>
      <c r="L1833" s="8"/>
      <c r="M1833" s="8" t="s">
        <v>308</v>
      </c>
      <c r="N1833" s="8"/>
      <c r="O1833" s="8"/>
      <c r="P1833" t="s">
        <v>1135</v>
      </c>
      <c r="Q1833" s="8"/>
      <c r="R1833" s="8" t="s">
        <v>1127</v>
      </c>
      <c r="S1833" t="s">
        <v>1128</v>
      </c>
      <c r="T1833" s="8" t="s">
        <v>46</v>
      </c>
      <c r="U1833" s="8" t="s">
        <v>507</v>
      </c>
      <c r="V1833" s="8" t="s">
        <v>508</v>
      </c>
      <c r="W1833" s="8" t="str">
        <f>IF(ISNUMBER(MATCH(V1227,{"Doryteuthis pealeii","Loligo vulgaris","Leptuca thayeri","Stylocheilus striatus","Ophryotrocha labronica"},0)),"N","Y")</f>
        <v>Y</v>
      </c>
      <c r="X1833" s="8"/>
      <c r="Y1833" s="8"/>
      <c r="Z1833" s="8" t="s">
        <v>509</v>
      </c>
      <c r="AA1833" s="8" t="s">
        <v>49</v>
      </c>
      <c r="AB1833" s="8" t="s">
        <v>71</v>
      </c>
      <c r="AC1833" s="8" t="s">
        <v>195</v>
      </c>
      <c r="AD1833" s="8" t="s">
        <v>52</v>
      </c>
      <c r="AE1833" s="8" t="s">
        <v>53</v>
      </c>
      <c r="AF1833" s="8" t="s">
        <v>54</v>
      </c>
      <c r="AG1833" s="8" t="s">
        <v>52</v>
      </c>
      <c r="AH1833" s="8" t="s">
        <v>65</v>
      </c>
      <c r="AI1833" s="8"/>
      <c r="AJ1833" s="8"/>
      <c r="AK1833" s="8">
        <v>6</v>
      </c>
      <c r="AL1833" s="8">
        <v>6</v>
      </c>
      <c r="AM1833" s="8"/>
      <c r="AN1833" s="8">
        <v>498</v>
      </c>
      <c r="AO1833" s="8" t="s">
        <v>56</v>
      </c>
      <c r="AP1833" s="8">
        <v>17</v>
      </c>
      <c r="AQ1833" s="8" t="s">
        <v>57</v>
      </c>
      <c r="AR1833" s="8">
        <v>8.16</v>
      </c>
      <c r="AS1833" s="8" t="s">
        <v>56</v>
      </c>
      <c r="AT1833" s="8">
        <v>0.01</v>
      </c>
      <c r="AU1833" s="8">
        <v>509</v>
      </c>
      <c r="AV1833" t="s">
        <v>56</v>
      </c>
      <c r="AW1833">
        <v>17</v>
      </c>
      <c r="AX1833">
        <v>8.16</v>
      </c>
      <c r="AY1833" t="s">
        <v>56</v>
      </c>
      <c r="AZ1833">
        <v>0.01</v>
      </c>
      <c r="BA1833" s="8"/>
      <c r="BB1833" s="8">
        <f>LOG(AU1833)</f>
        <v>2.7067177823367587</v>
      </c>
      <c r="BC1833" s="8">
        <v>20.399999999999999</v>
      </c>
      <c r="BD1833" s="8" t="s">
        <v>56</v>
      </c>
      <c r="BE1833" s="8">
        <v>0.1</v>
      </c>
      <c r="BF1833" s="8">
        <v>26.1</v>
      </c>
      <c r="BG1833" s="8" t="s">
        <v>56</v>
      </c>
      <c r="BH1833" s="8">
        <v>0.1</v>
      </c>
      <c r="BI1833" s="8">
        <v>11</v>
      </c>
      <c r="BJ1833" s="8">
        <v>5.8</v>
      </c>
      <c r="BK1833" s="8" t="s">
        <v>56</v>
      </c>
      <c r="BL1833" s="8" t="s">
        <v>933</v>
      </c>
      <c r="BM1833" s="8" t="s">
        <v>473</v>
      </c>
      <c r="BN1833" s="8" t="s">
        <v>81</v>
      </c>
      <c r="BO1833" s="8" t="s">
        <v>82</v>
      </c>
      <c r="BP1833" s="8" t="s">
        <v>190</v>
      </c>
      <c r="BQ1833" s="8" t="s">
        <v>190</v>
      </c>
      <c r="BR1833" s="8" t="s">
        <v>84</v>
      </c>
      <c r="BS1833" s="8"/>
      <c r="BT1833" s="8">
        <v>85.86</v>
      </c>
      <c r="BU1833" s="8">
        <v>85.86</v>
      </c>
      <c r="BV1833" s="8">
        <v>5.5</v>
      </c>
      <c r="BW1833" s="8">
        <f>BV1833*SQRT(AK1833)</f>
        <v>13.472193585307478</v>
      </c>
      <c r="BX1833" s="8">
        <v>52.87</v>
      </c>
      <c r="BY1833" s="8">
        <v>52.87</v>
      </c>
      <c r="BZ1833" s="8">
        <v>22.78</v>
      </c>
      <c r="CA1833" s="8">
        <f>BZ1833*SQRT(AL1833)</f>
        <v>55.799376340600794</v>
      </c>
      <c r="CB1833" s="8">
        <v>1</v>
      </c>
      <c r="CC1833" s="8">
        <v>6</v>
      </c>
      <c r="CD1833" s="8">
        <v>-0.48499999999999999</v>
      </c>
      <c r="CE1833" s="8">
        <v>0.1898</v>
      </c>
      <c r="CF1833" s="8" t="s">
        <v>1134</v>
      </c>
    </row>
    <row r="1834" spans="1:84" hidden="1" x14ac:dyDescent="0.2">
      <c r="A1834" s="11"/>
      <c r="B1834" t="str">
        <f>ROW()-1&amp;"_AltersInvert"</f>
        <v>1833_AltersInvert</v>
      </c>
      <c r="C1834" s="11" t="str">
        <f>D1834&amp;"_"&amp;
SUBSTITUTE(TRIM(V1834)," ","_")&amp;"_"&amp;
TRIM(AC1834)&amp;"_"&amp;
"CO2"&amp;TEXT(AN1834,"0.00")&amp;"_"&amp;
"pH"&amp;TEXT(AR1834,"0.00")&amp;"_"&amp;
"T"&amp;TEXT(BC1834,"0.##")</f>
        <v>197_Arbacia_lixula_EMBRYO_CO2498.00_pH8.16_T20.4</v>
      </c>
      <c r="D1834" s="11">
        <v>197</v>
      </c>
      <c r="E1834" s="11"/>
      <c r="F1834" s="11"/>
      <c r="G1834" s="11" t="s">
        <v>43</v>
      </c>
      <c r="H1834" s="11" t="s">
        <v>932</v>
      </c>
      <c r="I1834" s="11"/>
      <c r="J1834" s="11">
        <v>2014</v>
      </c>
      <c r="K1834" s="11"/>
      <c r="L1834" s="11"/>
      <c r="M1834" s="11" t="s">
        <v>308</v>
      </c>
      <c r="N1834" s="11"/>
      <c r="O1834" s="11"/>
      <c r="P1834" s="11"/>
      <c r="Q1834" s="11"/>
      <c r="R1834" s="11"/>
      <c r="S1834" s="11"/>
      <c r="T1834" s="11" t="s">
        <v>46</v>
      </c>
      <c r="U1834" s="11" t="s">
        <v>507</v>
      </c>
      <c r="V1834" s="11" t="s">
        <v>508</v>
      </c>
      <c r="W1834" s="11" t="str">
        <f>IF(ISNUMBER(MATCH(#REF!,{"Doryteuthis pealeii","Loligo vulgaris","Leptuca thayeri","Stylocheilus striatus","Ophryotrocha labronica"},0)),"N","Y")</f>
        <v>Y</v>
      </c>
      <c r="X1834" s="11"/>
      <c r="Y1834" s="11"/>
      <c r="Z1834" s="11" t="s">
        <v>509</v>
      </c>
      <c r="AA1834" s="11" t="s">
        <v>49</v>
      </c>
      <c r="AB1834" s="11" t="s">
        <v>71</v>
      </c>
      <c r="AC1834" s="11" t="s">
        <v>195</v>
      </c>
      <c r="AD1834" s="11" t="s">
        <v>52</v>
      </c>
      <c r="AE1834" s="11" t="s">
        <v>53</v>
      </c>
      <c r="AF1834" s="11" t="s">
        <v>54</v>
      </c>
      <c r="AG1834" s="11" t="s">
        <v>52</v>
      </c>
      <c r="AH1834" s="11" t="s">
        <v>65</v>
      </c>
      <c r="AI1834" s="11"/>
      <c r="AJ1834" s="11"/>
      <c r="AK1834" s="11">
        <v>6</v>
      </c>
      <c r="AL1834" s="11">
        <v>6</v>
      </c>
      <c r="AM1834" s="11"/>
      <c r="AN1834" s="11">
        <v>498</v>
      </c>
      <c r="AO1834" s="11" t="s">
        <v>56</v>
      </c>
      <c r="AP1834" s="11">
        <v>17</v>
      </c>
      <c r="AQ1834" s="11" t="s">
        <v>57</v>
      </c>
      <c r="AR1834" s="11">
        <v>8.16</v>
      </c>
      <c r="AS1834" s="11" t="s">
        <v>56</v>
      </c>
      <c r="AT1834" s="11">
        <v>0.01</v>
      </c>
      <c r="AU1834" s="11">
        <v>518</v>
      </c>
      <c r="AV1834" s="11" t="s">
        <v>56</v>
      </c>
      <c r="AW1834" s="11">
        <v>15</v>
      </c>
      <c r="AX1834" s="11">
        <v>8.15</v>
      </c>
      <c r="AY1834" s="11" t="s">
        <v>56</v>
      </c>
      <c r="AZ1834" s="11">
        <v>0.01</v>
      </c>
      <c r="BA1834" s="11"/>
      <c r="BB1834" s="11">
        <f>LOG(AU1834)</f>
        <v>2.7143297597452332</v>
      </c>
      <c r="BC1834" s="11">
        <v>20.399999999999999</v>
      </c>
      <c r="BD1834" s="11" t="s">
        <v>56</v>
      </c>
      <c r="BE1834" s="11">
        <v>0.1</v>
      </c>
      <c r="BF1834" s="11">
        <v>24.4</v>
      </c>
      <c r="BG1834" s="11" t="s">
        <v>56</v>
      </c>
      <c r="BH1834" s="11">
        <v>0</v>
      </c>
      <c r="BI1834" s="11">
        <v>20</v>
      </c>
      <c r="BJ1834" s="11">
        <v>4.0999999999999996</v>
      </c>
      <c r="BK1834" s="11" t="s">
        <v>56</v>
      </c>
      <c r="BL1834" s="11" t="s">
        <v>933</v>
      </c>
      <c r="BM1834" s="11" t="s">
        <v>473</v>
      </c>
      <c r="BN1834" s="11" t="s">
        <v>81</v>
      </c>
      <c r="BO1834" s="11" t="s">
        <v>82</v>
      </c>
      <c r="BP1834" s="11" t="s">
        <v>190</v>
      </c>
      <c r="BQ1834" s="11" t="s">
        <v>190</v>
      </c>
      <c r="BR1834" s="11" t="s">
        <v>84</v>
      </c>
      <c r="BS1834" s="11"/>
      <c r="BT1834" s="11">
        <v>85.86</v>
      </c>
      <c r="BU1834" s="11">
        <v>85.86</v>
      </c>
      <c r="BV1834" s="11">
        <v>5.5</v>
      </c>
      <c r="BW1834" s="11">
        <f>BV1834*SQRT(AK1834)</f>
        <v>13.472193585307478</v>
      </c>
      <c r="BX1834" s="11">
        <v>64.92</v>
      </c>
      <c r="BY1834" s="11">
        <v>64.92</v>
      </c>
      <c r="BZ1834" s="11">
        <v>21.2</v>
      </c>
      <c r="CA1834" s="11">
        <f>BZ1834*SQRT(AL1834)</f>
        <v>51.929182547003371</v>
      </c>
      <c r="CB1834" s="11">
        <v>1</v>
      </c>
      <c r="CC1834" s="11">
        <v>6</v>
      </c>
      <c r="CD1834" s="11">
        <v>-0.28000000000000003</v>
      </c>
      <c r="CE1834" s="11">
        <v>0.11070000000000001</v>
      </c>
      <c r="CF1834" s="11"/>
    </row>
    <row r="1835" spans="1:84" hidden="1" x14ac:dyDescent="0.2">
      <c r="A1835" s="8"/>
      <c r="B1835" t="str">
        <f>ROW()-1&amp;"_AltersInvert"</f>
        <v>1834_AltersInvert</v>
      </c>
      <c r="C1835" t="str">
        <f>D1835&amp;"_"&amp;
SUBSTITUTE(TRIM(V1835)," ","_")&amp;"_"&amp;
TRIM(AC1835)&amp;"_"&amp;
"CO2"&amp;TEXT(AN1835,"0.00")&amp;"_"&amp;
"pH"&amp;TEXT(AR1835,"0.00")&amp;"_"&amp;
"T"&amp;TEXT(BC1835,"0.##")</f>
        <v>197_Arbacia_lixula_EMBRYO_CO2498.00_pH8.16_T20.4</v>
      </c>
      <c r="D1835" s="8">
        <v>197</v>
      </c>
      <c r="E1835" s="8"/>
      <c r="F1835" s="8"/>
      <c r="G1835" s="8" t="s">
        <v>43</v>
      </c>
      <c r="H1835" s="8" t="s">
        <v>932</v>
      </c>
      <c r="I1835" s="8"/>
      <c r="J1835" s="8">
        <v>2014</v>
      </c>
      <c r="K1835" s="8"/>
      <c r="L1835" s="8"/>
      <c r="M1835" s="8" t="s">
        <v>308</v>
      </c>
      <c r="N1835" s="8"/>
      <c r="O1835" s="8"/>
      <c r="P1835" t="s">
        <v>1135</v>
      </c>
      <c r="Q1835" s="8"/>
      <c r="R1835" s="8" t="s">
        <v>1127</v>
      </c>
      <c r="S1835" t="s">
        <v>1128</v>
      </c>
      <c r="T1835" s="8" t="s">
        <v>46</v>
      </c>
      <c r="U1835" s="8" t="s">
        <v>507</v>
      </c>
      <c r="V1835" s="8" t="s">
        <v>508</v>
      </c>
      <c r="W1835" s="8" t="str">
        <f>IF(ISNUMBER(MATCH(V1229,{"Doryteuthis pealeii","Loligo vulgaris","Leptuca thayeri","Stylocheilus striatus","Ophryotrocha labronica"},0)),"N","Y")</f>
        <v>Y</v>
      </c>
      <c r="X1835" s="8"/>
      <c r="Y1835" s="8"/>
      <c r="Z1835" s="8" t="s">
        <v>509</v>
      </c>
      <c r="AA1835" s="8" t="s">
        <v>49</v>
      </c>
      <c r="AB1835" s="8" t="s">
        <v>71</v>
      </c>
      <c r="AC1835" s="8" t="s">
        <v>195</v>
      </c>
      <c r="AD1835" s="8" t="s">
        <v>52</v>
      </c>
      <c r="AE1835" s="8" t="s">
        <v>53</v>
      </c>
      <c r="AF1835" s="8" t="s">
        <v>52</v>
      </c>
      <c r="AG1835" s="8" t="s">
        <v>52</v>
      </c>
      <c r="AH1835" s="8" t="s">
        <v>64</v>
      </c>
      <c r="AI1835" s="8"/>
      <c r="AJ1835" s="8"/>
      <c r="AK1835" s="8">
        <v>6</v>
      </c>
      <c r="AL1835" s="8">
        <v>6</v>
      </c>
      <c r="AM1835" s="8"/>
      <c r="AN1835" s="8">
        <v>498</v>
      </c>
      <c r="AO1835" s="8" t="s">
        <v>56</v>
      </c>
      <c r="AP1835" s="8">
        <v>17</v>
      </c>
      <c r="AQ1835" s="8" t="s">
        <v>57</v>
      </c>
      <c r="AR1835" s="8">
        <v>8.16</v>
      </c>
      <c r="AS1835" s="8" t="s">
        <v>56</v>
      </c>
      <c r="AT1835" s="8">
        <v>0.01</v>
      </c>
      <c r="AU1835" s="8">
        <v>895</v>
      </c>
      <c r="AV1835" t="s">
        <v>56</v>
      </c>
      <c r="AW1835">
        <v>0</v>
      </c>
      <c r="AX1835">
        <v>7.97</v>
      </c>
      <c r="AY1835" t="s">
        <v>56</v>
      </c>
      <c r="AZ1835">
        <v>0.02</v>
      </c>
      <c r="BA1835" s="8"/>
      <c r="BB1835" s="8">
        <f>LOG(AU1835)</f>
        <v>2.9518230353159121</v>
      </c>
      <c r="BC1835" s="8">
        <v>20.399999999999999</v>
      </c>
      <c r="BD1835" s="8" t="s">
        <v>56</v>
      </c>
      <c r="BE1835" s="8">
        <v>0.1</v>
      </c>
      <c r="BF1835" s="8">
        <v>26</v>
      </c>
      <c r="BG1835" s="8" t="s">
        <v>56</v>
      </c>
      <c r="BH1835" s="8">
        <v>0</v>
      </c>
      <c r="BI1835" s="8">
        <v>397</v>
      </c>
      <c r="BJ1835" s="8">
        <v>5.7</v>
      </c>
      <c r="BK1835" s="8" t="s">
        <v>56</v>
      </c>
      <c r="BL1835" s="8" t="s">
        <v>933</v>
      </c>
      <c r="BM1835" s="8" t="s">
        <v>473</v>
      </c>
      <c r="BN1835" s="8" t="s">
        <v>81</v>
      </c>
      <c r="BO1835" s="8" t="s">
        <v>82</v>
      </c>
      <c r="BP1835" s="8" t="s">
        <v>190</v>
      </c>
      <c r="BQ1835" s="8" t="s">
        <v>190</v>
      </c>
      <c r="BR1835" s="8" t="s">
        <v>84</v>
      </c>
      <c r="BS1835" s="8"/>
      <c r="BT1835" s="8">
        <v>85.86</v>
      </c>
      <c r="BU1835" s="8">
        <v>85.86</v>
      </c>
      <c r="BV1835" s="8">
        <v>5.5</v>
      </c>
      <c r="BW1835" s="8">
        <f>BV1835*SQRT(AK1835)</f>
        <v>13.472193585307478</v>
      </c>
      <c r="BX1835" s="8">
        <v>55.75</v>
      </c>
      <c r="BY1835" s="8">
        <v>55.75</v>
      </c>
      <c r="BZ1835" s="8">
        <v>20.420000000000002</v>
      </c>
      <c r="CA1835" s="8">
        <f>BZ1835*SQRT(AL1835)</f>
        <v>50.018580547632496</v>
      </c>
      <c r="CB1835" s="8">
        <v>1</v>
      </c>
      <c r="CC1835" s="8">
        <v>6</v>
      </c>
      <c r="CD1835" s="8">
        <v>-0.432</v>
      </c>
      <c r="CE1835" s="8">
        <v>0.13830000000000001</v>
      </c>
      <c r="CF1835" s="8" t="s">
        <v>1134</v>
      </c>
    </row>
    <row r="1836" spans="1:84" hidden="1" x14ac:dyDescent="0.2">
      <c r="A1836" s="11"/>
      <c r="B1836" t="str">
        <f>ROW()-1&amp;"_AltersInvert"</f>
        <v>1835_AltersInvert</v>
      </c>
      <c r="C1836" s="11" t="str">
        <f>D1836&amp;"_"&amp;
SUBSTITUTE(TRIM(V1836)," ","_")&amp;"_"&amp;
TRIM(AC1836)&amp;"_"&amp;
"CO2"&amp;TEXT(AN1836,"0.00")&amp;"_"&amp;
"pH"&amp;TEXT(AR1836,"0.00")&amp;"_"&amp;
"T"&amp;TEXT(BC1836,"0.##")</f>
        <v>197_Arbacia_lixula_EMBRYO_CO2498.00_pH8.16_T20.4</v>
      </c>
      <c r="D1836" s="11">
        <v>197</v>
      </c>
      <c r="E1836" s="11"/>
      <c r="F1836" s="11"/>
      <c r="G1836" s="11" t="s">
        <v>43</v>
      </c>
      <c r="H1836" s="11" t="s">
        <v>932</v>
      </c>
      <c r="I1836" s="11"/>
      <c r="J1836" s="11">
        <v>2014</v>
      </c>
      <c r="K1836" s="11"/>
      <c r="L1836" s="11"/>
      <c r="M1836" s="11" t="s">
        <v>308</v>
      </c>
      <c r="N1836" s="11"/>
      <c r="O1836" s="11"/>
      <c r="P1836" s="11"/>
      <c r="Q1836" s="11"/>
      <c r="R1836" s="11"/>
      <c r="S1836" s="11"/>
      <c r="T1836" s="11" t="s">
        <v>46</v>
      </c>
      <c r="U1836" s="11" t="s">
        <v>507</v>
      </c>
      <c r="V1836" s="11" t="s">
        <v>508</v>
      </c>
      <c r="W1836" s="11" t="str">
        <f>IF(ISNUMBER(MATCH(#REF!,{"Doryteuthis pealeii","Loligo vulgaris","Leptuca thayeri","Stylocheilus striatus","Ophryotrocha labronica"},0)),"N","Y")</f>
        <v>Y</v>
      </c>
      <c r="X1836" s="11"/>
      <c r="Y1836" s="11"/>
      <c r="Z1836" s="11" t="s">
        <v>509</v>
      </c>
      <c r="AA1836" s="11" t="s">
        <v>49</v>
      </c>
      <c r="AB1836" s="11" t="s">
        <v>71</v>
      </c>
      <c r="AC1836" s="11" t="s">
        <v>195</v>
      </c>
      <c r="AD1836" s="11" t="s">
        <v>52</v>
      </c>
      <c r="AE1836" s="11" t="s">
        <v>53</v>
      </c>
      <c r="AF1836" s="11" t="s">
        <v>52</v>
      </c>
      <c r="AG1836" s="11" t="s">
        <v>52</v>
      </c>
      <c r="AH1836" s="11" t="s">
        <v>64</v>
      </c>
      <c r="AI1836" s="11"/>
      <c r="AJ1836" s="11"/>
      <c r="AK1836" s="11">
        <v>6</v>
      </c>
      <c r="AL1836" s="11">
        <v>6</v>
      </c>
      <c r="AM1836" s="11"/>
      <c r="AN1836" s="11">
        <v>498</v>
      </c>
      <c r="AO1836" s="11" t="s">
        <v>56</v>
      </c>
      <c r="AP1836" s="11">
        <v>17</v>
      </c>
      <c r="AQ1836" s="11" t="s">
        <v>57</v>
      </c>
      <c r="AR1836" s="11">
        <v>8.16</v>
      </c>
      <c r="AS1836" s="11" t="s">
        <v>56</v>
      </c>
      <c r="AT1836" s="11">
        <v>0.01</v>
      </c>
      <c r="AU1836" s="11">
        <v>1166</v>
      </c>
      <c r="AV1836" s="11" t="s">
        <v>56</v>
      </c>
      <c r="AW1836" s="11">
        <v>76</v>
      </c>
      <c r="AX1836" s="11">
        <v>7.86</v>
      </c>
      <c r="AY1836" s="11" t="s">
        <v>56</v>
      </c>
      <c r="AZ1836" s="11">
        <v>0.02</v>
      </c>
      <c r="BA1836" s="11"/>
      <c r="BB1836" s="11">
        <f>LOG(AU1836)</f>
        <v>3.0666985504229953</v>
      </c>
      <c r="BC1836" s="11">
        <v>20.399999999999999</v>
      </c>
      <c r="BD1836" s="11" t="s">
        <v>56</v>
      </c>
      <c r="BE1836" s="11">
        <v>0.1</v>
      </c>
      <c r="BF1836" s="11">
        <v>24.5</v>
      </c>
      <c r="BG1836" s="11" t="s">
        <v>56</v>
      </c>
      <c r="BH1836" s="11">
        <v>0.1</v>
      </c>
      <c r="BI1836" s="11">
        <v>668</v>
      </c>
      <c r="BJ1836" s="11">
        <v>4.2</v>
      </c>
      <c r="BK1836" s="11" t="s">
        <v>56</v>
      </c>
      <c r="BL1836" s="11" t="s">
        <v>933</v>
      </c>
      <c r="BM1836" s="11" t="s">
        <v>473</v>
      </c>
      <c r="BN1836" s="11" t="s">
        <v>81</v>
      </c>
      <c r="BO1836" s="11" t="s">
        <v>82</v>
      </c>
      <c r="BP1836" s="11" t="s">
        <v>190</v>
      </c>
      <c r="BQ1836" s="11" t="s">
        <v>190</v>
      </c>
      <c r="BR1836" s="11" t="s">
        <v>84</v>
      </c>
      <c r="BS1836" s="11"/>
      <c r="BT1836" s="11">
        <v>85.86</v>
      </c>
      <c r="BU1836" s="11">
        <v>85.86</v>
      </c>
      <c r="BV1836" s="11">
        <v>5.5</v>
      </c>
      <c r="BW1836" s="11">
        <f>BV1836*SQRT(AK1836)</f>
        <v>13.472193585307478</v>
      </c>
      <c r="BX1836" s="11">
        <v>70.94</v>
      </c>
      <c r="BY1836" s="11">
        <v>70.94</v>
      </c>
      <c r="BZ1836" s="11">
        <v>7.07</v>
      </c>
      <c r="CA1836" s="11">
        <f>BZ1836*SQRT(AL1836)</f>
        <v>17.317892481477067</v>
      </c>
      <c r="CB1836" s="11">
        <v>1</v>
      </c>
      <c r="CC1836" s="11">
        <v>6</v>
      </c>
      <c r="CD1836" s="11">
        <v>-0.191</v>
      </c>
      <c r="CE1836" s="11">
        <v>1.4E-2</v>
      </c>
      <c r="CF1836" s="11"/>
    </row>
    <row r="1837" spans="1:84" hidden="1" x14ac:dyDescent="0.2">
      <c r="B1837" t="str">
        <f>ROW()-1&amp;"_AltersInvert"</f>
        <v>1836_AltersInvert</v>
      </c>
      <c r="C1837" t="str">
        <f>D1837&amp;"_"&amp;
SUBSTITUTE(TRIM(V1837)," ","_")&amp;"_"&amp;
TRIM(AC1837)&amp;"_"&amp;
"CO2"&amp;TEXT(AN1837,"0.00")&amp;"_"&amp;
"pH"&amp;TEXT(AR1837,"0.00")&amp;"_"&amp;
"T"&amp;TEXT(BC1837,"0.##")</f>
        <v>36_Porites_panamensis_LARVA_CO2487.00_pH8.08_T28.4</v>
      </c>
      <c r="D1837">
        <v>36</v>
      </c>
      <c r="G1837" t="s">
        <v>43</v>
      </c>
      <c r="H1837" t="s">
        <v>413</v>
      </c>
      <c r="J1837">
        <v>2011</v>
      </c>
      <c r="M1837" t="s">
        <v>45</v>
      </c>
      <c r="P1837" t="s">
        <v>1135</v>
      </c>
      <c r="R1837" t="s">
        <v>1127</v>
      </c>
      <c r="S1837" t="s">
        <v>1128</v>
      </c>
      <c r="T1837" t="s">
        <v>103</v>
      </c>
      <c r="U1837" t="s">
        <v>414</v>
      </c>
      <c r="V1837" t="s">
        <v>415</v>
      </c>
      <c r="Z1837" t="s">
        <v>106</v>
      </c>
      <c r="AA1837" t="s">
        <v>107</v>
      </c>
      <c r="AB1837" t="s">
        <v>71</v>
      </c>
      <c r="AC1837" t="s">
        <v>72</v>
      </c>
      <c r="AD1837" t="s">
        <v>52</v>
      </c>
      <c r="AE1837" t="s">
        <v>53</v>
      </c>
      <c r="AF1837" t="s">
        <v>52</v>
      </c>
      <c r="AG1837" t="s">
        <v>54</v>
      </c>
      <c r="AH1837" t="s">
        <v>55</v>
      </c>
      <c r="AK1837">
        <v>5</v>
      </c>
      <c r="AL1837">
        <v>5</v>
      </c>
      <c r="AN1837">
        <v>487</v>
      </c>
      <c r="AO1837" t="s">
        <v>56</v>
      </c>
      <c r="AP1837">
        <v>42</v>
      </c>
      <c r="AQ1837" t="s">
        <v>57</v>
      </c>
      <c r="AR1837">
        <v>8.08</v>
      </c>
      <c r="AS1837" t="s">
        <v>56</v>
      </c>
      <c r="AT1837" t="s">
        <v>56</v>
      </c>
      <c r="AU1837">
        <v>861</v>
      </c>
      <c r="AV1837" t="s">
        <v>56</v>
      </c>
      <c r="AW1837">
        <v>93</v>
      </c>
      <c r="AX1837">
        <v>7.85</v>
      </c>
      <c r="AY1837" t="s">
        <v>56</v>
      </c>
      <c r="AZ1837" t="s">
        <v>56</v>
      </c>
      <c r="BB1837">
        <f>LOG(AU1837)</f>
        <v>2.935003151453655</v>
      </c>
      <c r="BC1837">
        <v>28.4</v>
      </c>
      <c r="BD1837" t="s">
        <v>56</v>
      </c>
      <c r="BE1837" t="s">
        <v>56</v>
      </c>
      <c r="BF1837">
        <v>28.4</v>
      </c>
      <c r="BG1837" t="s">
        <v>56</v>
      </c>
      <c r="BH1837" t="s">
        <v>56</v>
      </c>
      <c r="BI1837">
        <v>374</v>
      </c>
      <c r="BJ1837">
        <v>0</v>
      </c>
      <c r="BK1837" t="s">
        <v>56</v>
      </c>
      <c r="BL1837" t="s">
        <v>113</v>
      </c>
      <c r="BM1837" t="s">
        <v>113</v>
      </c>
      <c r="BN1837" t="s">
        <v>81</v>
      </c>
      <c r="BO1837" t="s">
        <v>420</v>
      </c>
      <c r="BP1837" t="s">
        <v>9</v>
      </c>
      <c r="BQ1837" t="s">
        <v>9</v>
      </c>
      <c r="BR1837" t="s">
        <v>84</v>
      </c>
      <c r="BT1837">
        <v>46.7</v>
      </c>
      <c r="BU1837">
        <v>46.7</v>
      </c>
      <c r="BV1837">
        <v>6.1</v>
      </c>
      <c r="BW1837">
        <f>BV1837*SQRT(AK1837)</f>
        <v>13.640014662748717</v>
      </c>
      <c r="BX1837">
        <v>32.9</v>
      </c>
      <c r="BY1837">
        <v>32.9</v>
      </c>
      <c r="BZ1837">
        <v>6.5</v>
      </c>
      <c r="CA1837">
        <f>BZ1837*SQRT(AL1837)</f>
        <v>14.534441853748634</v>
      </c>
      <c r="CB1837">
        <v>10</v>
      </c>
      <c r="CC1837">
        <v>5</v>
      </c>
      <c r="CD1837">
        <v>-0.35</v>
      </c>
      <c r="CE1837">
        <v>5.6099999999999997E-2</v>
      </c>
    </row>
    <row r="1838" spans="1:84" hidden="1" x14ac:dyDescent="0.2">
      <c r="B1838" t="str">
        <f>ROW()-1&amp;"_AltersInvert"</f>
        <v>1837_AltersInvert</v>
      </c>
      <c r="C1838" t="str">
        <f>D1838&amp;"_"&amp;
SUBSTITUTE(TRIM(V1838)," ","_")&amp;"_"&amp;
TRIM(AC1838)&amp;"_"&amp;
"CO2"&amp;TEXT(AN1838,"0.00")&amp;"_"&amp;
"pH"&amp;TEXT(AR1838,"0.00")&amp;"_"&amp;
"T"&amp;TEXT(BC1838,"0.##")</f>
        <v>36_Porites_panamensis_LARVA_CO2487.00_pH8.08_T28.4</v>
      </c>
      <c r="D1838">
        <v>36</v>
      </c>
      <c r="G1838" t="s">
        <v>43</v>
      </c>
      <c r="H1838" t="s">
        <v>413</v>
      </c>
      <c r="J1838">
        <v>2011</v>
      </c>
      <c r="M1838" t="s">
        <v>45</v>
      </c>
      <c r="P1838" t="s">
        <v>1135</v>
      </c>
      <c r="R1838" t="s">
        <v>1127</v>
      </c>
      <c r="S1838" t="s">
        <v>1128</v>
      </c>
      <c r="T1838" t="s">
        <v>103</v>
      </c>
      <c r="U1838" t="s">
        <v>414</v>
      </c>
      <c r="V1838" t="s">
        <v>415</v>
      </c>
      <c r="Z1838" t="s">
        <v>106</v>
      </c>
      <c r="AA1838" t="s">
        <v>107</v>
      </c>
      <c r="AB1838" t="s">
        <v>71</v>
      </c>
      <c r="AC1838" t="s">
        <v>72</v>
      </c>
      <c r="AD1838" t="s">
        <v>52</v>
      </c>
      <c r="AE1838" t="s">
        <v>53</v>
      </c>
      <c r="AF1838" t="s">
        <v>54</v>
      </c>
      <c r="AG1838" t="s">
        <v>52</v>
      </c>
      <c r="AH1838" t="s">
        <v>65</v>
      </c>
      <c r="AK1838">
        <v>5</v>
      </c>
      <c r="AL1838">
        <v>5</v>
      </c>
      <c r="AN1838">
        <v>487</v>
      </c>
      <c r="AO1838" t="s">
        <v>56</v>
      </c>
      <c r="AP1838">
        <v>42</v>
      </c>
      <c r="AQ1838" t="s">
        <v>57</v>
      </c>
      <c r="AR1838">
        <v>8.08</v>
      </c>
      <c r="AS1838" t="s">
        <v>56</v>
      </c>
      <c r="AT1838" t="s">
        <v>56</v>
      </c>
      <c r="AU1838">
        <v>493</v>
      </c>
      <c r="AV1838" t="s">
        <v>56</v>
      </c>
      <c r="AW1838">
        <v>47</v>
      </c>
      <c r="AX1838">
        <v>8.07</v>
      </c>
      <c r="AY1838" t="s">
        <v>56</v>
      </c>
      <c r="AZ1838" t="s">
        <v>56</v>
      </c>
      <c r="BB1838">
        <f>LOG(AU1838)</f>
        <v>2.6928469192772302</v>
      </c>
      <c r="BC1838">
        <v>28.4</v>
      </c>
      <c r="BD1838" t="s">
        <v>56</v>
      </c>
      <c r="BE1838" t="s">
        <v>56</v>
      </c>
      <c r="BF1838">
        <v>29.6</v>
      </c>
      <c r="BG1838" t="s">
        <v>56</v>
      </c>
      <c r="BH1838" t="s">
        <v>56</v>
      </c>
      <c r="BI1838">
        <v>6</v>
      </c>
      <c r="BJ1838">
        <v>1.2</v>
      </c>
      <c r="BK1838" t="s">
        <v>56</v>
      </c>
      <c r="BL1838" t="s">
        <v>113</v>
      </c>
      <c r="BM1838" t="s">
        <v>113</v>
      </c>
      <c r="BN1838" t="s">
        <v>81</v>
      </c>
      <c r="BO1838" t="s">
        <v>420</v>
      </c>
      <c r="BP1838" t="s">
        <v>9</v>
      </c>
      <c r="BQ1838" t="s">
        <v>9</v>
      </c>
      <c r="BR1838" t="s">
        <v>84</v>
      </c>
      <c r="BT1838">
        <v>46.7</v>
      </c>
      <c r="BU1838">
        <v>46.7</v>
      </c>
      <c r="BV1838">
        <v>6.1</v>
      </c>
      <c r="BW1838">
        <f>BV1838*SQRT(AK1838)</f>
        <v>13.640014662748717</v>
      </c>
      <c r="BX1838">
        <v>30.5</v>
      </c>
      <c r="BY1838">
        <v>30.5</v>
      </c>
      <c r="BZ1838">
        <v>11.3</v>
      </c>
      <c r="CA1838">
        <f>BZ1838*SQRT(AL1838)</f>
        <v>25.267568145747628</v>
      </c>
      <c r="CB1838">
        <v>10</v>
      </c>
      <c r="CC1838">
        <v>5</v>
      </c>
      <c r="CD1838">
        <v>-0.42599999999999999</v>
      </c>
      <c r="CE1838">
        <v>0.15429999999999999</v>
      </c>
    </row>
    <row r="1839" spans="1:84" hidden="1" x14ac:dyDescent="0.2">
      <c r="B1839" t="str">
        <f>ROW()-1&amp;"_AltersInvert"</f>
        <v>1838_AltersInvert</v>
      </c>
      <c r="C1839" t="str">
        <f>D1839&amp;"_"&amp;
SUBSTITUTE(TRIM(V1839)," ","_")&amp;"_"&amp;
TRIM(AC1839)&amp;"_"&amp;
"CO2"&amp;TEXT(AN1839,"0.00")&amp;"_"&amp;
"pH"&amp;TEXT(AR1839,"0.00")&amp;"_"&amp;
"T"&amp;TEXT(BC1839,"0.##")</f>
        <v>36_Porites_panamensis_LARVA_CO2487.00_pH8.08_T28.4</v>
      </c>
      <c r="D1839">
        <v>36</v>
      </c>
      <c r="G1839" t="s">
        <v>43</v>
      </c>
      <c r="H1839" t="s">
        <v>413</v>
      </c>
      <c r="J1839">
        <v>2011</v>
      </c>
      <c r="M1839" t="s">
        <v>45</v>
      </c>
      <c r="P1839" t="s">
        <v>1135</v>
      </c>
      <c r="R1839" t="s">
        <v>1127</v>
      </c>
      <c r="S1839" t="s">
        <v>1128</v>
      </c>
      <c r="T1839" t="s">
        <v>103</v>
      </c>
      <c r="U1839" t="s">
        <v>414</v>
      </c>
      <c r="V1839" t="s">
        <v>415</v>
      </c>
      <c r="Z1839" t="s">
        <v>106</v>
      </c>
      <c r="AA1839" t="s">
        <v>107</v>
      </c>
      <c r="AB1839" t="s">
        <v>71</v>
      </c>
      <c r="AC1839" t="s">
        <v>72</v>
      </c>
      <c r="AD1839" t="s">
        <v>52</v>
      </c>
      <c r="AE1839" t="s">
        <v>53</v>
      </c>
      <c r="AF1839" t="s">
        <v>52</v>
      </c>
      <c r="AG1839" t="s">
        <v>52</v>
      </c>
      <c r="AH1839" t="s">
        <v>64</v>
      </c>
      <c r="AK1839">
        <v>5</v>
      </c>
      <c r="AL1839">
        <v>4</v>
      </c>
      <c r="AN1839">
        <v>487</v>
      </c>
      <c r="AO1839" t="s">
        <v>56</v>
      </c>
      <c r="AP1839">
        <v>42</v>
      </c>
      <c r="AQ1839" t="s">
        <v>57</v>
      </c>
      <c r="AR1839">
        <v>8.08</v>
      </c>
      <c r="AS1839" t="s">
        <v>56</v>
      </c>
      <c r="AT1839" t="s">
        <v>56</v>
      </c>
      <c r="AU1839">
        <v>950</v>
      </c>
      <c r="AV1839" t="s">
        <v>56</v>
      </c>
      <c r="AW1839">
        <v>94</v>
      </c>
      <c r="AX1839">
        <v>7.83</v>
      </c>
      <c r="AY1839" t="s">
        <v>56</v>
      </c>
      <c r="AZ1839" t="s">
        <v>56</v>
      </c>
      <c r="BB1839">
        <f>LOG(AU1839)</f>
        <v>2.9777236052888476</v>
      </c>
      <c r="BC1839">
        <v>28.4</v>
      </c>
      <c r="BD1839" t="s">
        <v>56</v>
      </c>
      <c r="BE1839" t="s">
        <v>56</v>
      </c>
      <c r="BF1839">
        <v>29.5</v>
      </c>
      <c r="BG1839" t="s">
        <v>56</v>
      </c>
      <c r="BH1839" t="s">
        <v>56</v>
      </c>
      <c r="BI1839">
        <v>463</v>
      </c>
      <c r="BJ1839">
        <v>1.1000000000000001</v>
      </c>
      <c r="BK1839" t="s">
        <v>56</v>
      </c>
      <c r="BL1839" t="s">
        <v>113</v>
      </c>
      <c r="BM1839" t="s">
        <v>113</v>
      </c>
      <c r="BN1839" t="s">
        <v>81</v>
      </c>
      <c r="BO1839" t="s">
        <v>420</v>
      </c>
      <c r="BP1839" t="s">
        <v>9</v>
      </c>
      <c r="BQ1839" t="s">
        <v>9</v>
      </c>
      <c r="BR1839" t="s">
        <v>84</v>
      </c>
      <c r="BT1839">
        <v>46.7</v>
      </c>
      <c r="BU1839">
        <v>46.7</v>
      </c>
      <c r="BV1839">
        <v>6.1</v>
      </c>
      <c r="BW1839">
        <f>BV1839*SQRT(AK1839)</f>
        <v>13.640014662748717</v>
      </c>
      <c r="BX1839">
        <v>45.9</v>
      </c>
      <c r="BY1839">
        <v>45.9</v>
      </c>
      <c r="BZ1839">
        <v>12.6</v>
      </c>
      <c r="CA1839">
        <f>BZ1839*SQRT(AL1839)</f>
        <v>25.2</v>
      </c>
      <c r="CB1839">
        <v>10</v>
      </c>
      <c r="CC1839">
        <v>5</v>
      </c>
      <c r="CD1839">
        <v>-1.7000000000000001E-2</v>
      </c>
      <c r="CE1839">
        <v>9.2399999999999996E-2</v>
      </c>
    </row>
    <row r="1840" spans="1:84" s="8" customFormat="1" hidden="1" x14ac:dyDescent="0.2">
      <c r="A1840"/>
      <c r="B1840" t="str">
        <f>ROW()-1&amp;"_AltersInvert"</f>
        <v>1839_AltersInvert</v>
      </c>
      <c r="C1840" t="str">
        <f>D1840&amp;"_"&amp;
SUBSTITUTE(TRIM(V1840)," ","_")&amp;"_"&amp;
TRIM(AC1840)&amp;"_"&amp;
"CO2"&amp;TEXT(AN1840,"0.00")&amp;"_"&amp;
"pH"&amp;TEXT(AR1840,"0.00")&amp;"_"&amp;
"T"&amp;TEXT(BC1840,"0.##")</f>
        <v>119_Amphibalanus_improvisus_LARVA_CO2414.00_pH8.11_T19.6</v>
      </c>
      <c r="D1840">
        <v>119</v>
      </c>
      <c r="E1840"/>
      <c r="F1840"/>
      <c r="G1840" t="s">
        <v>43</v>
      </c>
      <c r="H1840" t="s">
        <v>859</v>
      </c>
      <c r="I1840"/>
      <c r="J1840">
        <v>2012</v>
      </c>
      <c r="K1840"/>
      <c r="L1840"/>
      <c r="M1840" t="s">
        <v>45</v>
      </c>
      <c r="N1840"/>
      <c r="O1840"/>
      <c r="P1840" t="s">
        <v>1135</v>
      </c>
      <c r="Q1840"/>
      <c r="R1840" t="s">
        <v>1127</v>
      </c>
      <c r="S1840" t="s">
        <v>1128</v>
      </c>
      <c r="T1840" t="s">
        <v>131</v>
      </c>
      <c r="U1840" t="s">
        <v>860</v>
      </c>
      <c r="V1840" t="s">
        <v>861</v>
      </c>
      <c r="W1840"/>
      <c r="X1840"/>
      <c r="Y1840"/>
      <c r="Z1840" t="s">
        <v>49</v>
      </c>
      <c r="AA1840" t="s">
        <v>49</v>
      </c>
      <c r="AB1840" t="s">
        <v>71</v>
      </c>
      <c r="AC1840" t="s">
        <v>72</v>
      </c>
      <c r="AD1840" t="s">
        <v>52</v>
      </c>
      <c r="AE1840" t="s">
        <v>53</v>
      </c>
      <c r="AF1840" t="s">
        <v>52</v>
      </c>
      <c r="AG1840" t="s">
        <v>54</v>
      </c>
      <c r="AH1840" t="s">
        <v>55</v>
      </c>
      <c r="AI1840"/>
      <c r="AJ1840"/>
      <c r="AK1840">
        <v>6</v>
      </c>
      <c r="AL1840">
        <v>6</v>
      </c>
      <c r="AM1840"/>
      <c r="AN1840">
        <v>414</v>
      </c>
      <c r="AO1840" t="s">
        <v>56</v>
      </c>
      <c r="AP1840">
        <v>37</v>
      </c>
      <c r="AQ1840" t="s">
        <v>57</v>
      </c>
      <c r="AR1840">
        <v>8.11</v>
      </c>
      <c r="AS1840" t="s">
        <v>56</v>
      </c>
      <c r="AT1840">
        <v>0.08</v>
      </c>
      <c r="AU1840">
        <v>1282</v>
      </c>
      <c r="AV1840" t="s">
        <v>56</v>
      </c>
      <c r="AW1840">
        <v>49</v>
      </c>
      <c r="AX1840">
        <v>7.22</v>
      </c>
      <c r="AY1840"/>
      <c r="AZ1840">
        <v>0.03</v>
      </c>
      <c r="BA1840"/>
      <c r="BB1840">
        <f>LOG(AU1840)</f>
        <v>3.1078880251827985</v>
      </c>
      <c r="BC1840">
        <v>19.600000000000001</v>
      </c>
      <c r="BD1840" t="s">
        <v>56</v>
      </c>
      <c r="BE1840">
        <v>0.4</v>
      </c>
      <c r="BF1840">
        <v>19.600000000000001</v>
      </c>
      <c r="BG1840" t="s">
        <v>56</v>
      </c>
      <c r="BH1840">
        <v>0.4</v>
      </c>
      <c r="BI1840">
        <v>869</v>
      </c>
      <c r="BJ1840">
        <v>0</v>
      </c>
      <c r="BK1840" t="s">
        <v>56</v>
      </c>
      <c r="BL1840" t="s">
        <v>83</v>
      </c>
      <c r="BM1840" t="s">
        <v>83</v>
      </c>
      <c r="BN1840" t="s">
        <v>81</v>
      </c>
      <c r="BO1840" t="s">
        <v>82</v>
      </c>
      <c r="BP1840" t="s">
        <v>83</v>
      </c>
      <c r="BQ1840" t="s">
        <v>83</v>
      </c>
      <c r="BR1840" t="s">
        <v>84</v>
      </c>
      <c r="BS1840"/>
      <c r="BT1840">
        <v>54.22</v>
      </c>
      <c r="BU1840">
        <v>54.216867499999999</v>
      </c>
      <c r="BV1840">
        <v>5.62</v>
      </c>
      <c r="BW1840">
        <f>BV1840*SQRT(AK1840)</f>
        <v>13.76613235444146</v>
      </c>
      <c r="BX1840">
        <v>50.8</v>
      </c>
      <c r="BY1840">
        <v>50.803212899999998</v>
      </c>
      <c r="BZ1840">
        <v>8.43</v>
      </c>
      <c r="CA1840">
        <f>BZ1840*SQRT(AL1840)</f>
        <v>20.64919853166219</v>
      </c>
      <c r="CB1840">
        <v>29</v>
      </c>
      <c r="CC1840">
        <v>6</v>
      </c>
      <c r="CD1840">
        <v>-6.5000000000000002E-2</v>
      </c>
      <c r="CE1840">
        <v>3.8300000000000001E-2</v>
      </c>
    </row>
    <row r="1841" spans="1:84" s="8" customFormat="1" hidden="1" x14ac:dyDescent="0.2">
      <c r="A1841"/>
      <c r="B1841" t="str">
        <f>ROW()-1&amp;"_AltersInvert"</f>
        <v>1840_AltersInvert</v>
      </c>
      <c r="C1841" t="str">
        <f>D1841&amp;"_"&amp;
SUBSTITUTE(TRIM(V1841)," ","_")&amp;"_"&amp;
TRIM(AC1841)&amp;"_"&amp;
"CO2"&amp;TEXT(AN1841,"0.00")&amp;"_"&amp;
"pH"&amp;TEXT(AR1841,"0.00")&amp;"_"&amp;
"T"&amp;TEXT(BC1841,"0.##")</f>
        <v>119_Amphibalanus_improvisus_LARVA_CO2414.00_pH8.11_T19.6</v>
      </c>
      <c r="D1841">
        <v>119</v>
      </c>
      <c r="E1841"/>
      <c r="F1841"/>
      <c r="G1841" t="s">
        <v>43</v>
      </c>
      <c r="H1841" t="s">
        <v>859</v>
      </c>
      <c r="I1841"/>
      <c r="J1841">
        <v>2012</v>
      </c>
      <c r="K1841"/>
      <c r="L1841"/>
      <c r="M1841" t="s">
        <v>45</v>
      </c>
      <c r="N1841"/>
      <c r="O1841"/>
      <c r="P1841" t="s">
        <v>1135</v>
      </c>
      <c r="Q1841"/>
      <c r="R1841" t="s">
        <v>1127</v>
      </c>
      <c r="S1841" t="s">
        <v>1128</v>
      </c>
      <c r="T1841" t="s">
        <v>131</v>
      </c>
      <c r="U1841" t="s">
        <v>860</v>
      </c>
      <c r="V1841" t="s">
        <v>861</v>
      </c>
      <c r="W1841"/>
      <c r="X1841"/>
      <c r="Y1841"/>
      <c r="Z1841" t="s">
        <v>49</v>
      </c>
      <c r="AA1841" t="s">
        <v>49</v>
      </c>
      <c r="AB1841" t="s">
        <v>71</v>
      </c>
      <c r="AC1841" t="s">
        <v>72</v>
      </c>
      <c r="AD1841" t="s">
        <v>52</v>
      </c>
      <c r="AE1841" t="s">
        <v>53</v>
      </c>
      <c r="AF1841" t="s">
        <v>52</v>
      </c>
      <c r="AG1841" t="s">
        <v>54</v>
      </c>
      <c r="AH1841" t="s">
        <v>55</v>
      </c>
      <c r="AI1841"/>
      <c r="AJ1841"/>
      <c r="AK1841">
        <v>6</v>
      </c>
      <c r="AL1841">
        <v>6</v>
      </c>
      <c r="AM1841"/>
      <c r="AN1841">
        <v>414</v>
      </c>
      <c r="AO1841" t="s">
        <v>56</v>
      </c>
      <c r="AP1841">
        <v>37</v>
      </c>
      <c r="AQ1841" t="s">
        <v>57</v>
      </c>
      <c r="AR1841">
        <v>8.11</v>
      </c>
      <c r="AS1841" t="s">
        <v>56</v>
      </c>
      <c r="AT1841">
        <v>0.08</v>
      </c>
      <c r="AU1841">
        <v>3278</v>
      </c>
      <c r="AV1841" t="s">
        <v>56</v>
      </c>
      <c r="AW1841">
        <v>261</v>
      </c>
      <c r="AX1841">
        <v>7.32</v>
      </c>
      <c r="AY1841" t="s">
        <v>56</v>
      </c>
      <c r="AZ1841">
        <v>0.04</v>
      </c>
      <c r="BA1841"/>
      <c r="BB1841">
        <f>LOG(AU1841)</f>
        <v>3.5156089492344802</v>
      </c>
      <c r="BC1841">
        <v>19.600000000000001</v>
      </c>
      <c r="BD1841" t="s">
        <v>56</v>
      </c>
      <c r="BE1841">
        <v>0.4</v>
      </c>
      <c r="BF1841">
        <v>19.600000000000001</v>
      </c>
      <c r="BG1841" t="s">
        <v>56</v>
      </c>
      <c r="BH1841">
        <v>0.4</v>
      </c>
      <c r="BI1841">
        <v>2865</v>
      </c>
      <c r="BJ1841">
        <v>0</v>
      </c>
      <c r="BK1841" t="s">
        <v>56</v>
      </c>
      <c r="BL1841" t="s">
        <v>83</v>
      </c>
      <c r="BM1841" t="s">
        <v>83</v>
      </c>
      <c r="BN1841" t="s">
        <v>81</v>
      </c>
      <c r="BO1841" t="s">
        <v>82</v>
      </c>
      <c r="BP1841" t="s">
        <v>83</v>
      </c>
      <c r="BQ1841" t="s">
        <v>83</v>
      </c>
      <c r="BR1841" t="s">
        <v>84</v>
      </c>
      <c r="BS1841"/>
      <c r="BT1841">
        <v>54.22</v>
      </c>
      <c r="BU1841">
        <v>54.216867499999999</v>
      </c>
      <c r="BV1841">
        <v>5.62</v>
      </c>
      <c r="BW1841">
        <f>BV1841*SQRT(AK1841)</f>
        <v>13.76613235444146</v>
      </c>
      <c r="BX1841">
        <v>74.099999999999994</v>
      </c>
      <c r="BY1841">
        <v>74.096385499999997</v>
      </c>
      <c r="BZ1841">
        <v>7.23</v>
      </c>
      <c r="CA1841">
        <f>BZ1841*SQRT(AL1841)</f>
        <v>17.709810840322376</v>
      </c>
      <c r="CB1841">
        <v>29</v>
      </c>
      <c r="CC1841">
        <v>6</v>
      </c>
      <c r="CD1841">
        <v>0.312</v>
      </c>
      <c r="CE1841">
        <v>2.0299999999999999E-2</v>
      </c>
      <c r="CF1841"/>
    </row>
    <row r="1842" spans="1:84" s="8" customFormat="1" hidden="1" x14ac:dyDescent="0.2">
      <c r="A1842"/>
      <c r="B1842" t="str">
        <f>ROW()-1&amp;"_AltersInvert"</f>
        <v>1841_AltersInvert</v>
      </c>
      <c r="C1842" t="str">
        <f>D1842&amp;"_"&amp;
SUBSTITUTE(TRIM(V1842)," ","_")&amp;"_"&amp;
TRIM(AC1842)&amp;"_"&amp;
"CO2"&amp;TEXT(AN1842,"0.00")&amp;"_"&amp;
"pH"&amp;TEXT(AR1842,"0.00")&amp;"_"&amp;
"T"&amp;TEXT(BC1842,"0.##")</f>
        <v>119_Amphibalanus_improvisus_LARVA_CO2414.00_pH8.11_T19.6</v>
      </c>
      <c r="D1842">
        <v>119</v>
      </c>
      <c r="E1842"/>
      <c r="F1842"/>
      <c r="G1842" t="s">
        <v>43</v>
      </c>
      <c r="H1842" t="s">
        <v>859</v>
      </c>
      <c r="I1842"/>
      <c r="J1842">
        <v>2012</v>
      </c>
      <c r="K1842"/>
      <c r="L1842"/>
      <c r="M1842" t="s">
        <v>45</v>
      </c>
      <c r="N1842"/>
      <c r="O1842"/>
      <c r="P1842" t="s">
        <v>1135</v>
      </c>
      <c r="Q1842"/>
      <c r="R1842" t="s">
        <v>1127</v>
      </c>
      <c r="S1842" t="s">
        <v>1128</v>
      </c>
      <c r="T1842" t="s">
        <v>131</v>
      </c>
      <c r="U1842" t="s">
        <v>860</v>
      </c>
      <c r="V1842" t="s">
        <v>861</v>
      </c>
      <c r="W1842"/>
      <c r="X1842"/>
      <c r="Y1842"/>
      <c r="Z1842" t="s">
        <v>49</v>
      </c>
      <c r="AA1842" t="s">
        <v>49</v>
      </c>
      <c r="AB1842" t="s">
        <v>71</v>
      </c>
      <c r="AC1842" t="s">
        <v>72</v>
      </c>
      <c r="AD1842" t="s">
        <v>52</v>
      </c>
      <c r="AE1842" t="s">
        <v>53</v>
      </c>
      <c r="AF1842" t="s">
        <v>54</v>
      </c>
      <c r="AG1842" t="s">
        <v>52</v>
      </c>
      <c r="AH1842" t="s">
        <v>65</v>
      </c>
      <c r="AI1842"/>
      <c r="AJ1842"/>
      <c r="AK1842">
        <v>6</v>
      </c>
      <c r="AL1842">
        <v>6</v>
      </c>
      <c r="AM1842"/>
      <c r="AN1842">
        <v>414</v>
      </c>
      <c r="AO1842" t="s">
        <v>56</v>
      </c>
      <c r="AP1842">
        <v>37</v>
      </c>
      <c r="AQ1842" t="s">
        <v>57</v>
      </c>
      <c r="AR1842">
        <v>8.11</v>
      </c>
      <c r="AS1842" t="s">
        <v>56</v>
      </c>
      <c r="AT1842">
        <v>0.08</v>
      </c>
      <c r="AU1842">
        <v>378</v>
      </c>
      <c r="AV1842" t="s">
        <v>56</v>
      </c>
      <c r="AW1842">
        <v>22</v>
      </c>
      <c r="AX1842">
        <v>8.18</v>
      </c>
      <c r="AY1842" t="s">
        <v>56</v>
      </c>
      <c r="AZ1842">
        <v>0.1</v>
      </c>
      <c r="BA1842"/>
      <c r="BB1842">
        <f>LOG(AU1842)</f>
        <v>2.5774917998372255</v>
      </c>
      <c r="BC1842">
        <v>19.600000000000001</v>
      </c>
      <c r="BD1842" t="s">
        <v>56</v>
      </c>
      <c r="BE1842">
        <v>0.4</v>
      </c>
      <c r="BF1842">
        <v>26.9</v>
      </c>
      <c r="BG1842" t="s">
        <v>56</v>
      </c>
      <c r="BH1842">
        <v>0.9</v>
      </c>
      <c r="BI1842">
        <v>-36</v>
      </c>
      <c r="BJ1842">
        <v>7.3</v>
      </c>
      <c r="BK1842" t="s">
        <v>56</v>
      </c>
      <c r="BL1842" t="s">
        <v>83</v>
      </c>
      <c r="BM1842" t="s">
        <v>83</v>
      </c>
      <c r="BN1842" t="s">
        <v>81</v>
      </c>
      <c r="BO1842" t="s">
        <v>82</v>
      </c>
      <c r="BP1842" t="s">
        <v>83</v>
      </c>
      <c r="BQ1842" t="s">
        <v>83</v>
      </c>
      <c r="BR1842" t="s">
        <v>84</v>
      </c>
      <c r="BS1842"/>
      <c r="BT1842">
        <v>54.22</v>
      </c>
      <c r="BU1842">
        <v>54.216867499999999</v>
      </c>
      <c r="BV1842">
        <v>5.62</v>
      </c>
      <c r="BW1842">
        <f>BV1842*SQRT(AK1842)</f>
        <v>13.76613235444146</v>
      </c>
      <c r="BX1842">
        <v>19.88</v>
      </c>
      <c r="BY1842">
        <v>19.879518099999999</v>
      </c>
      <c r="BZ1842">
        <v>5.22</v>
      </c>
      <c r="CA1842">
        <f>BZ1842*SQRT(AL1842)</f>
        <v>12.786336457328188</v>
      </c>
      <c r="CB1842">
        <v>29</v>
      </c>
      <c r="CC1842">
        <v>6</v>
      </c>
      <c r="CD1842">
        <v>-1.0029999999999999</v>
      </c>
      <c r="CE1842">
        <v>7.9699999999999993E-2</v>
      </c>
      <c r="CF1842"/>
    </row>
    <row r="1843" spans="1:84" s="8" customFormat="1" hidden="1" x14ac:dyDescent="0.2">
      <c r="A1843"/>
      <c r="B1843" t="str">
        <f>ROW()-1&amp;"_AltersInvert"</f>
        <v>1842_AltersInvert</v>
      </c>
      <c r="C1843" t="str">
        <f>D1843&amp;"_"&amp;
SUBSTITUTE(TRIM(V1843)," ","_")&amp;"_"&amp;
TRIM(AC1843)&amp;"_"&amp;
"CO2"&amp;TEXT(AN1843,"0.00")&amp;"_"&amp;
"pH"&amp;TEXT(AR1843,"0.00")&amp;"_"&amp;
"T"&amp;TEXT(BC1843,"0.##")</f>
        <v>119_Amphibalanus_improvisus_LARVA_CO2414.00_pH8.11_T19.6</v>
      </c>
      <c r="D1843">
        <v>119</v>
      </c>
      <c r="E1843"/>
      <c r="F1843"/>
      <c r="G1843" t="s">
        <v>43</v>
      </c>
      <c r="H1843" t="s">
        <v>859</v>
      </c>
      <c r="I1843"/>
      <c r="J1843">
        <v>2012</v>
      </c>
      <c r="K1843"/>
      <c r="L1843"/>
      <c r="M1843" t="s">
        <v>45</v>
      </c>
      <c r="N1843"/>
      <c r="O1843"/>
      <c r="P1843" t="s">
        <v>1135</v>
      </c>
      <c r="Q1843"/>
      <c r="R1843" t="s">
        <v>1127</v>
      </c>
      <c r="S1843" t="s">
        <v>1128</v>
      </c>
      <c r="T1843" t="s">
        <v>131</v>
      </c>
      <c r="U1843" t="s">
        <v>860</v>
      </c>
      <c r="V1843" t="s">
        <v>861</v>
      </c>
      <c r="W1843"/>
      <c r="X1843"/>
      <c r="Y1843"/>
      <c r="Z1843" t="s">
        <v>49</v>
      </c>
      <c r="AA1843" t="s">
        <v>49</v>
      </c>
      <c r="AB1843" t="s">
        <v>71</v>
      </c>
      <c r="AC1843" t="s">
        <v>72</v>
      </c>
      <c r="AD1843" t="s">
        <v>52</v>
      </c>
      <c r="AE1843" t="s">
        <v>53</v>
      </c>
      <c r="AF1843" t="s">
        <v>52</v>
      </c>
      <c r="AG1843" t="s">
        <v>52</v>
      </c>
      <c r="AH1843" t="s">
        <v>64</v>
      </c>
      <c r="AI1843"/>
      <c r="AJ1843"/>
      <c r="AK1843">
        <v>6</v>
      </c>
      <c r="AL1843">
        <v>6</v>
      </c>
      <c r="AM1843"/>
      <c r="AN1843">
        <v>414</v>
      </c>
      <c r="AO1843" t="s">
        <v>56</v>
      </c>
      <c r="AP1843">
        <v>37</v>
      </c>
      <c r="AQ1843" t="s">
        <v>57</v>
      </c>
      <c r="AR1843">
        <v>8.11</v>
      </c>
      <c r="AS1843" t="s">
        <v>56</v>
      </c>
      <c r="AT1843">
        <v>0.08</v>
      </c>
      <c r="AU1843">
        <v>3110</v>
      </c>
      <c r="AV1843" t="s">
        <v>56</v>
      </c>
      <c r="AW1843">
        <v>249</v>
      </c>
      <c r="AX1843">
        <v>7.44</v>
      </c>
      <c r="AY1843" t="s">
        <v>56</v>
      </c>
      <c r="AZ1843">
        <v>0.11</v>
      </c>
      <c r="BA1843"/>
      <c r="BB1843">
        <f>LOG(AU1843)</f>
        <v>3.4927603890268375</v>
      </c>
      <c r="BC1843">
        <v>19.600000000000001</v>
      </c>
      <c r="BD1843" t="s">
        <v>56</v>
      </c>
      <c r="BE1843">
        <v>0.4</v>
      </c>
      <c r="BF1843">
        <v>26.9</v>
      </c>
      <c r="BG1843" t="s">
        <v>56</v>
      </c>
      <c r="BH1843">
        <v>0.9</v>
      </c>
      <c r="BI1843">
        <v>2697</v>
      </c>
      <c r="BJ1843">
        <v>7.3</v>
      </c>
      <c r="BK1843" t="s">
        <v>56</v>
      </c>
      <c r="BL1843" t="s">
        <v>83</v>
      </c>
      <c r="BM1843" t="s">
        <v>83</v>
      </c>
      <c r="BN1843" t="s">
        <v>81</v>
      </c>
      <c r="BO1843" t="s">
        <v>82</v>
      </c>
      <c r="BP1843" t="s">
        <v>83</v>
      </c>
      <c r="BQ1843" t="s">
        <v>83</v>
      </c>
      <c r="BR1843" t="s">
        <v>84</v>
      </c>
      <c r="BS1843"/>
      <c r="BT1843">
        <v>54.22</v>
      </c>
      <c r="BU1843">
        <v>54.216867499999999</v>
      </c>
      <c r="BV1843">
        <v>5.62</v>
      </c>
      <c r="BW1843">
        <f>BV1843*SQRT(AK1843)</f>
        <v>13.76613235444146</v>
      </c>
      <c r="BX1843">
        <v>32.93</v>
      </c>
      <c r="BY1843">
        <v>32.931726900000001</v>
      </c>
      <c r="BZ1843">
        <v>5.22</v>
      </c>
      <c r="CA1843">
        <f>BZ1843*SQRT(AL1843)</f>
        <v>12.786336457328188</v>
      </c>
      <c r="CB1843">
        <v>29</v>
      </c>
      <c r="CC1843">
        <v>6</v>
      </c>
      <c r="CD1843">
        <v>-0.499</v>
      </c>
      <c r="CE1843">
        <v>3.5900000000000001E-2</v>
      </c>
      <c r="CF1843"/>
    </row>
    <row r="1844" spans="1:84" s="8" customFormat="1" hidden="1" x14ac:dyDescent="0.2">
      <c r="A1844"/>
      <c r="B1844" t="str">
        <f>ROW()-1&amp;"_AltersInvert"</f>
        <v>1843_AltersInvert</v>
      </c>
      <c r="C1844" t="str">
        <f>D1844&amp;"_"&amp;
SUBSTITUTE(TRIM(V1844)," ","_")&amp;"_"&amp;
TRIM(AC1844)&amp;"_"&amp;
"CO2"&amp;TEXT(AN1844,"0.00")&amp;"_"&amp;
"pH"&amp;TEXT(AR1844,"0.00")&amp;"_"&amp;
"T"&amp;TEXT(BC1844,"0.##")</f>
        <v>119_Amphibalanus_improvisus_LARVA_CO2414.00_pH8.11_T19.6</v>
      </c>
      <c r="D1844">
        <v>119</v>
      </c>
      <c r="E1844"/>
      <c r="F1844"/>
      <c r="G1844" t="s">
        <v>43</v>
      </c>
      <c r="H1844" t="s">
        <v>859</v>
      </c>
      <c r="I1844"/>
      <c r="J1844">
        <v>2012</v>
      </c>
      <c r="K1844"/>
      <c r="L1844"/>
      <c r="M1844" t="s">
        <v>45</v>
      </c>
      <c r="N1844"/>
      <c r="O1844"/>
      <c r="P1844" t="s">
        <v>1135</v>
      </c>
      <c r="Q1844"/>
      <c r="R1844" t="s">
        <v>1127</v>
      </c>
      <c r="S1844" t="s">
        <v>1128</v>
      </c>
      <c r="T1844" t="s">
        <v>131</v>
      </c>
      <c r="U1844" t="s">
        <v>860</v>
      </c>
      <c r="V1844" t="s">
        <v>861</v>
      </c>
      <c r="W1844"/>
      <c r="X1844"/>
      <c r="Y1844"/>
      <c r="Z1844" t="s">
        <v>49</v>
      </c>
      <c r="AA1844" t="s">
        <v>49</v>
      </c>
      <c r="AB1844" t="s">
        <v>71</v>
      </c>
      <c r="AC1844" t="s">
        <v>72</v>
      </c>
      <c r="AD1844" t="s">
        <v>52</v>
      </c>
      <c r="AE1844" t="s">
        <v>53</v>
      </c>
      <c r="AF1844" t="s">
        <v>52</v>
      </c>
      <c r="AG1844" t="s">
        <v>52</v>
      </c>
      <c r="AH1844" t="s">
        <v>64</v>
      </c>
      <c r="AI1844"/>
      <c r="AJ1844"/>
      <c r="AK1844">
        <v>6</v>
      </c>
      <c r="AL1844">
        <v>6</v>
      </c>
      <c r="AM1844"/>
      <c r="AN1844">
        <v>414</v>
      </c>
      <c r="AO1844" t="s">
        <v>56</v>
      </c>
      <c r="AP1844">
        <v>37</v>
      </c>
      <c r="AQ1844" t="s">
        <v>57</v>
      </c>
      <c r="AR1844">
        <v>8.11</v>
      </c>
      <c r="AS1844" t="s">
        <v>56</v>
      </c>
      <c r="AT1844">
        <v>0.08</v>
      </c>
      <c r="AU1844">
        <v>1186</v>
      </c>
      <c r="AV1844" t="s">
        <v>56</v>
      </c>
      <c r="AW1844">
        <v>66</v>
      </c>
      <c r="AX1844">
        <v>7.83</v>
      </c>
      <c r="AY1844" t="s">
        <v>56</v>
      </c>
      <c r="AZ1844">
        <v>7.0000000000000007E-2</v>
      </c>
      <c r="BA1844"/>
      <c r="BB1844">
        <f>LOG(AU1844)</f>
        <v>3.0740846890282438</v>
      </c>
      <c r="BC1844">
        <v>19.600000000000001</v>
      </c>
      <c r="BD1844" t="s">
        <v>56</v>
      </c>
      <c r="BE1844">
        <v>0.4</v>
      </c>
      <c r="BF1844">
        <v>26.9</v>
      </c>
      <c r="BG1844" t="s">
        <v>56</v>
      </c>
      <c r="BH1844">
        <v>0.9</v>
      </c>
      <c r="BI1844">
        <v>773</v>
      </c>
      <c r="BJ1844">
        <v>7.3</v>
      </c>
      <c r="BK1844" t="s">
        <v>56</v>
      </c>
      <c r="BL1844" t="s">
        <v>83</v>
      </c>
      <c r="BM1844" t="s">
        <v>83</v>
      </c>
      <c r="BN1844" t="s">
        <v>81</v>
      </c>
      <c r="BO1844" t="s">
        <v>82</v>
      </c>
      <c r="BP1844" t="s">
        <v>83</v>
      </c>
      <c r="BQ1844" t="s">
        <v>83</v>
      </c>
      <c r="BR1844" t="s">
        <v>84</v>
      </c>
      <c r="BS1844"/>
      <c r="BT1844">
        <v>54.22</v>
      </c>
      <c r="BU1844">
        <v>54.216867499999999</v>
      </c>
      <c r="BV1844">
        <v>5.62</v>
      </c>
      <c r="BW1844">
        <f>BV1844*SQRT(AK1844)</f>
        <v>13.76613235444146</v>
      </c>
      <c r="BX1844">
        <v>34.14</v>
      </c>
      <c r="BY1844">
        <v>34.136546199999998</v>
      </c>
      <c r="BZ1844">
        <v>4.0199999999999996</v>
      </c>
      <c r="CA1844">
        <f>BZ1844*SQRT(AL1844)</f>
        <v>9.8469487659883743</v>
      </c>
      <c r="CB1844">
        <v>29</v>
      </c>
      <c r="CC1844">
        <v>6</v>
      </c>
      <c r="CD1844">
        <v>-0.46300000000000002</v>
      </c>
      <c r="CE1844">
        <v>2.46E-2</v>
      </c>
      <c r="CF1844"/>
    </row>
    <row r="1845" spans="1:84" s="8" customFormat="1" hidden="1" x14ac:dyDescent="0.2">
      <c r="A1845"/>
      <c r="B1845" t="str">
        <f>ROW()-1&amp;"_AltersInvert"</f>
        <v>1844_AltersInvert</v>
      </c>
      <c r="C1845" t="str">
        <f>D1845&amp;"_"&amp;
SUBSTITUTE(TRIM(V1845)," ","_")&amp;"_"&amp;
TRIM(AC1845)&amp;"_"&amp;
"CO2"&amp;TEXT(AN1845,"0.00")&amp;"_"&amp;
"pH"&amp;TEXT(AR1845,"0.00")&amp;"_"&amp;
"T"&amp;TEXT(BC1845,"0.##")</f>
        <v>62_Patiriella_regularis_LARVA_CO2423.00_pH8.15_T19.</v>
      </c>
      <c r="D1845">
        <v>62</v>
      </c>
      <c r="E1845"/>
      <c r="F1845"/>
      <c r="G1845" t="s">
        <v>43</v>
      </c>
      <c r="H1845" t="s">
        <v>601</v>
      </c>
      <c r="I1845"/>
      <c r="J1845">
        <v>2013</v>
      </c>
      <c r="K1845"/>
      <c r="L1845"/>
      <c r="M1845" t="s">
        <v>257</v>
      </c>
      <c r="N1845"/>
      <c r="O1845"/>
      <c r="P1845" t="s">
        <v>1135</v>
      </c>
      <c r="Q1845"/>
      <c r="R1845" t="s">
        <v>1127</v>
      </c>
      <c r="S1845" t="s">
        <v>1128</v>
      </c>
      <c r="T1845" t="s">
        <v>46</v>
      </c>
      <c r="U1845" t="s">
        <v>602</v>
      </c>
      <c r="V1845" t="s">
        <v>603</v>
      </c>
      <c r="W1845"/>
      <c r="X1845"/>
      <c r="Y1845"/>
      <c r="Z1845" t="s">
        <v>49</v>
      </c>
      <c r="AA1845" t="s">
        <v>49</v>
      </c>
      <c r="AB1845" t="s">
        <v>71</v>
      </c>
      <c r="AC1845" t="s">
        <v>72</v>
      </c>
      <c r="AD1845" t="s">
        <v>52</v>
      </c>
      <c r="AE1845" t="s">
        <v>53</v>
      </c>
      <c r="AF1845" t="s">
        <v>52</v>
      </c>
      <c r="AG1845" t="s">
        <v>54</v>
      </c>
      <c r="AH1845" t="s">
        <v>55</v>
      </c>
      <c r="AI1845"/>
      <c r="AJ1845"/>
      <c r="AK1845">
        <v>7</v>
      </c>
      <c r="AL1845">
        <v>7</v>
      </c>
      <c r="AM1845"/>
      <c r="AN1845">
        <v>423</v>
      </c>
      <c r="AO1845">
        <v>2</v>
      </c>
      <c r="AP1845" t="s">
        <v>56</v>
      </c>
      <c r="AQ1845" t="s">
        <v>118</v>
      </c>
      <c r="AR1845">
        <v>8.15</v>
      </c>
      <c r="AS1845" t="s">
        <v>56</v>
      </c>
      <c r="AT1845" t="s">
        <v>56</v>
      </c>
      <c r="AU1845">
        <v>1738</v>
      </c>
      <c r="AV1845">
        <v>6</v>
      </c>
      <c r="AW1845" t="s">
        <v>56</v>
      </c>
      <c r="AX1845">
        <v>7.6</v>
      </c>
      <c r="AY1845" t="s">
        <v>56</v>
      </c>
      <c r="AZ1845" t="s">
        <v>56</v>
      </c>
      <c r="BA1845"/>
      <c r="BB1845">
        <f>LOG(AU1845)</f>
        <v>3.2400497721126476</v>
      </c>
      <c r="BC1845">
        <v>19</v>
      </c>
      <c r="BD1845" t="s">
        <v>56</v>
      </c>
      <c r="BE1845" t="s">
        <v>56</v>
      </c>
      <c r="BF1845">
        <v>19</v>
      </c>
      <c r="BG1845" t="s">
        <v>56</v>
      </c>
      <c r="BH1845" t="s">
        <v>56</v>
      </c>
      <c r="BI1845">
        <v>1315</v>
      </c>
      <c r="BJ1845">
        <v>0</v>
      </c>
      <c r="BK1845" t="s">
        <v>56</v>
      </c>
      <c r="BL1845" t="s">
        <v>179</v>
      </c>
      <c r="BM1845" t="s">
        <v>90</v>
      </c>
      <c r="BN1845" t="s">
        <v>81</v>
      </c>
      <c r="BO1845" t="s">
        <v>91</v>
      </c>
      <c r="BP1845" t="s">
        <v>92</v>
      </c>
      <c r="BQ1845" t="s">
        <v>92</v>
      </c>
      <c r="BR1845" t="s">
        <v>63</v>
      </c>
      <c r="BS1845"/>
      <c r="BT1845">
        <v>402.31</v>
      </c>
      <c r="BU1845">
        <v>402.31</v>
      </c>
      <c r="BV1845">
        <v>5.9</v>
      </c>
      <c r="BW1845">
        <f>BV1845*SQRT(AK1845)</f>
        <v>15.609932735281086</v>
      </c>
      <c r="BX1845">
        <v>384.63</v>
      </c>
      <c r="BY1845">
        <v>384.63</v>
      </c>
      <c r="BZ1845">
        <v>19.37</v>
      </c>
      <c r="CA1845">
        <f>BZ1845*SQRT(AL1845)</f>
        <v>51.248202895321121</v>
      </c>
      <c r="CB1845">
        <v>3</v>
      </c>
      <c r="CC1845">
        <v>7</v>
      </c>
      <c r="CD1845">
        <v>-4.4999999999999998E-2</v>
      </c>
      <c r="CE1845">
        <v>2.8E-3</v>
      </c>
    </row>
    <row r="1846" spans="1:84" s="8" customFormat="1" hidden="1" x14ac:dyDescent="0.2">
      <c r="A1846"/>
      <c r="B1846" t="str">
        <f>ROW()-1&amp;"_AltersInvert"</f>
        <v>1845_AltersInvert</v>
      </c>
      <c r="C1846" t="str">
        <f>D1846&amp;"_"&amp;
SUBSTITUTE(TRIM(V1846)," ","_")&amp;"_"&amp;
TRIM(AC1846)&amp;"_"&amp;
"CO2"&amp;TEXT(AN1846,"0.00")&amp;"_"&amp;
"pH"&amp;TEXT(AR1846,"0.00")&amp;"_"&amp;
"T"&amp;TEXT(BC1846,"0.##")</f>
        <v>62_Patiriella_regularis_LARVA_CO2423.00_pH8.15_T19.</v>
      </c>
      <c r="D1846">
        <v>62</v>
      </c>
      <c r="E1846"/>
      <c r="F1846"/>
      <c r="G1846" t="s">
        <v>43</v>
      </c>
      <c r="H1846" t="s">
        <v>601</v>
      </c>
      <c r="I1846"/>
      <c r="J1846">
        <v>2013</v>
      </c>
      <c r="K1846"/>
      <c r="L1846"/>
      <c r="M1846" t="s">
        <v>257</v>
      </c>
      <c r="N1846"/>
      <c r="O1846"/>
      <c r="P1846" t="s">
        <v>1135</v>
      </c>
      <c r="Q1846"/>
      <c r="R1846" t="s">
        <v>1127</v>
      </c>
      <c r="S1846" t="s">
        <v>1128</v>
      </c>
      <c r="T1846" t="s">
        <v>46</v>
      </c>
      <c r="U1846" t="s">
        <v>602</v>
      </c>
      <c r="V1846" t="s">
        <v>603</v>
      </c>
      <c r="W1846"/>
      <c r="X1846"/>
      <c r="Y1846"/>
      <c r="Z1846" t="s">
        <v>49</v>
      </c>
      <c r="AA1846" t="s">
        <v>49</v>
      </c>
      <c r="AB1846" t="s">
        <v>71</v>
      </c>
      <c r="AC1846" t="s">
        <v>72</v>
      </c>
      <c r="AD1846" t="s">
        <v>52</v>
      </c>
      <c r="AE1846" t="s">
        <v>53</v>
      </c>
      <c r="AF1846" t="s">
        <v>52</v>
      </c>
      <c r="AG1846" t="s">
        <v>54</v>
      </c>
      <c r="AH1846" t="s">
        <v>55</v>
      </c>
      <c r="AI1846"/>
      <c r="AJ1846"/>
      <c r="AK1846">
        <v>7</v>
      </c>
      <c r="AL1846">
        <v>7</v>
      </c>
      <c r="AM1846"/>
      <c r="AN1846">
        <v>423</v>
      </c>
      <c r="AO1846">
        <v>2</v>
      </c>
      <c r="AP1846" t="s">
        <v>56</v>
      </c>
      <c r="AQ1846" t="s">
        <v>118</v>
      </c>
      <c r="AR1846">
        <v>8.15</v>
      </c>
      <c r="AS1846" t="s">
        <v>56</v>
      </c>
      <c r="AT1846" t="s">
        <v>56</v>
      </c>
      <c r="AU1846">
        <v>1058</v>
      </c>
      <c r="AV1846">
        <v>4</v>
      </c>
      <c r="AW1846" t="s">
        <v>56</v>
      </c>
      <c r="AX1846">
        <v>7.8</v>
      </c>
      <c r="AY1846" t="s">
        <v>56</v>
      </c>
      <c r="AZ1846" t="s">
        <v>56</v>
      </c>
      <c r="BA1846"/>
      <c r="BB1846">
        <f>LOG(AU1846)</f>
        <v>3.0244856676991669</v>
      </c>
      <c r="BC1846">
        <v>19</v>
      </c>
      <c r="BD1846" t="s">
        <v>56</v>
      </c>
      <c r="BE1846" t="s">
        <v>56</v>
      </c>
      <c r="BF1846">
        <v>19</v>
      </c>
      <c r="BG1846" t="s">
        <v>56</v>
      </c>
      <c r="BH1846" t="s">
        <v>56</v>
      </c>
      <c r="BI1846">
        <v>635</v>
      </c>
      <c r="BJ1846">
        <v>0</v>
      </c>
      <c r="BK1846" t="s">
        <v>56</v>
      </c>
      <c r="BL1846" t="s">
        <v>179</v>
      </c>
      <c r="BM1846" t="s">
        <v>90</v>
      </c>
      <c r="BN1846" t="s">
        <v>81</v>
      </c>
      <c r="BO1846" t="s">
        <v>91</v>
      </c>
      <c r="BP1846" t="s">
        <v>92</v>
      </c>
      <c r="BQ1846" t="s">
        <v>92</v>
      </c>
      <c r="BR1846" t="s">
        <v>63</v>
      </c>
      <c r="BS1846"/>
      <c r="BT1846">
        <v>402.31</v>
      </c>
      <c r="BU1846">
        <v>402.31</v>
      </c>
      <c r="BV1846">
        <v>5.9</v>
      </c>
      <c r="BW1846">
        <f>BV1846*SQRT(AK1846)</f>
        <v>15.609932735281086</v>
      </c>
      <c r="BX1846">
        <v>399.78</v>
      </c>
      <c r="BY1846">
        <v>399.78</v>
      </c>
      <c r="BZ1846">
        <v>13.06</v>
      </c>
      <c r="CA1846">
        <f>BZ1846*SQRT(AL1846)</f>
        <v>34.553512122503555</v>
      </c>
      <c r="CB1846">
        <v>3</v>
      </c>
      <c r="CC1846">
        <v>7</v>
      </c>
      <c r="CD1846">
        <v>-6.0000000000000001E-3</v>
      </c>
      <c r="CE1846">
        <v>1.2999999999999999E-3</v>
      </c>
    </row>
    <row r="1847" spans="1:84" s="8" customFormat="1" hidden="1" x14ac:dyDescent="0.2">
      <c r="A1847"/>
      <c r="B1847" t="str">
        <f>ROW()-1&amp;"_AltersInvert"</f>
        <v>1846_AltersInvert</v>
      </c>
      <c r="C1847" t="str">
        <f>D1847&amp;"_"&amp;
SUBSTITUTE(TRIM(V1847)," ","_")&amp;"_"&amp;
TRIM(AC1847)&amp;"_"&amp;
"CO2"&amp;TEXT(AN1847,"0.00")&amp;"_"&amp;
"pH"&amp;TEXT(AR1847,"0.00")&amp;"_"&amp;
"T"&amp;TEXT(BC1847,"0.##")</f>
        <v>62_Patiriella_regularis_LARVA_CO2423.00_pH8.15_T19.</v>
      </c>
      <c r="D1847">
        <v>62</v>
      </c>
      <c r="E1847"/>
      <c r="F1847"/>
      <c r="G1847" t="s">
        <v>43</v>
      </c>
      <c r="H1847" t="s">
        <v>601</v>
      </c>
      <c r="I1847"/>
      <c r="J1847">
        <v>2013</v>
      </c>
      <c r="K1847"/>
      <c r="L1847"/>
      <c r="M1847" t="s">
        <v>257</v>
      </c>
      <c r="N1847"/>
      <c r="O1847"/>
      <c r="P1847" t="s">
        <v>1135</v>
      </c>
      <c r="Q1847"/>
      <c r="R1847" t="s">
        <v>1127</v>
      </c>
      <c r="S1847" t="s">
        <v>1128</v>
      </c>
      <c r="T1847" t="s">
        <v>46</v>
      </c>
      <c r="U1847" t="s">
        <v>602</v>
      </c>
      <c r="V1847" t="s">
        <v>603</v>
      </c>
      <c r="W1847"/>
      <c r="X1847"/>
      <c r="Y1847"/>
      <c r="Z1847" t="s">
        <v>49</v>
      </c>
      <c r="AA1847" t="s">
        <v>49</v>
      </c>
      <c r="AB1847" t="s">
        <v>71</v>
      </c>
      <c r="AC1847" t="s">
        <v>72</v>
      </c>
      <c r="AD1847" t="s">
        <v>52</v>
      </c>
      <c r="AE1847" t="s">
        <v>53</v>
      </c>
      <c r="AF1847" t="s">
        <v>54</v>
      </c>
      <c r="AG1847" t="s">
        <v>52</v>
      </c>
      <c r="AH1847" t="s">
        <v>65</v>
      </c>
      <c r="AI1847"/>
      <c r="AJ1847"/>
      <c r="AK1847">
        <v>7</v>
      </c>
      <c r="AL1847">
        <v>7</v>
      </c>
      <c r="AM1847"/>
      <c r="AN1847">
        <v>423</v>
      </c>
      <c r="AO1847">
        <v>2</v>
      </c>
      <c r="AP1847" t="s">
        <v>56</v>
      </c>
      <c r="AQ1847" t="s">
        <v>118</v>
      </c>
      <c r="AR1847">
        <v>8.15</v>
      </c>
      <c r="AS1847" t="s">
        <v>56</v>
      </c>
      <c r="AT1847" t="s">
        <v>56</v>
      </c>
      <c r="AU1847">
        <v>432</v>
      </c>
      <c r="AV1847">
        <v>2</v>
      </c>
      <c r="AW1847" t="s">
        <v>56</v>
      </c>
      <c r="AX1847">
        <v>8.15</v>
      </c>
      <c r="AY1847" t="s">
        <v>56</v>
      </c>
      <c r="AZ1847" t="s">
        <v>56</v>
      </c>
      <c r="BA1847"/>
      <c r="BB1847">
        <f>LOG(AU1847)</f>
        <v>2.6354837468149119</v>
      </c>
      <c r="BC1847">
        <v>19</v>
      </c>
      <c r="BD1847" t="s">
        <v>56</v>
      </c>
      <c r="BE1847" t="s">
        <v>56</v>
      </c>
      <c r="BF1847">
        <v>23</v>
      </c>
      <c r="BG1847" t="s">
        <v>56</v>
      </c>
      <c r="BH1847" t="s">
        <v>56</v>
      </c>
      <c r="BI1847">
        <v>9</v>
      </c>
      <c r="BJ1847">
        <v>4</v>
      </c>
      <c r="BK1847" t="s">
        <v>56</v>
      </c>
      <c r="BL1847" t="s">
        <v>179</v>
      </c>
      <c r="BM1847" t="s">
        <v>90</v>
      </c>
      <c r="BN1847" t="s">
        <v>81</v>
      </c>
      <c r="BO1847" t="s">
        <v>91</v>
      </c>
      <c r="BP1847" t="s">
        <v>92</v>
      </c>
      <c r="BQ1847" t="s">
        <v>92</v>
      </c>
      <c r="BR1847" t="s">
        <v>63</v>
      </c>
      <c r="BS1847"/>
      <c r="BT1847">
        <v>402.31</v>
      </c>
      <c r="BU1847">
        <v>402.31</v>
      </c>
      <c r="BV1847">
        <v>5.9</v>
      </c>
      <c r="BW1847">
        <f>BV1847*SQRT(AK1847)</f>
        <v>15.609932735281086</v>
      </c>
      <c r="BX1847">
        <v>353.47</v>
      </c>
      <c r="BY1847">
        <v>353.47</v>
      </c>
      <c r="BZ1847">
        <v>11.37</v>
      </c>
      <c r="CA1847">
        <f>BZ1847*SQRT(AL1847)</f>
        <v>30.082192406804396</v>
      </c>
      <c r="CB1847">
        <v>3</v>
      </c>
      <c r="CC1847">
        <v>7</v>
      </c>
      <c r="CD1847">
        <v>-0.129</v>
      </c>
      <c r="CE1847">
        <v>1.1999999999999999E-3</v>
      </c>
    </row>
    <row r="1848" spans="1:84" s="8" customFormat="1" hidden="1" x14ac:dyDescent="0.2">
      <c r="A1848"/>
      <c r="B1848" t="str">
        <f>ROW()-1&amp;"_AltersInvert"</f>
        <v>1847_AltersInvert</v>
      </c>
      <c r="C1848" t="str">
        <f>D1848&amp;"_"&amp;
SUBSTITUTE(TRIM(V1848)," ","_")&amp;"_"&amp;
TRIM(AC1848)&amp;"_"&amp;
"CO2"&amp;TEXT(AN1848,"0.00")&amp;"_"&amp;
"pH"&amp;TEXT(AR1848,"0.00")&amp;"_"&amp;
"T"&amp;TEXT(BC1848,"0.##")</f>
        <v>62_Patiriella_regularis_LARVA_CO2423.00_pH8.15_T19.</v>
      </c>
      <c r="D1848">
        <v>62</v>
      </c>
      <c r="E1848"/>
      <c r="F1848"/>
      <c r="G1848" t="s">
        <v>43</v>
      </c>
      <c r="H1848" t="s">
        <v>601</v>
      </c>
      <c r="I1848"/>
      <c r="J1848">
        <v>2013</v>
      </c>
      <c r="K1848"/>
      <c r="L1848"/>
      <c r="M1848" t="s">
        <v>257</v>
      </c>
      <c r="N1848"/>
      <c r="O1848"/>
      <c r="P1848" t="s">
        <v>1135</v>
      </c>
      <c r="Q1848"/>
      <c r="R1848" t="s">
        <v>1127</v>
      </c>
      <c r="S1848" t="s">
        <v>1128</v>
      </c>
      <c r="T1848" t="s">
        <v>46</v>
      </c>
      <c r="U1848" t="s">
        <v>602</v>
      </c>
      <c r="V1848" t="s">
        <v>603</v>
      </c>
      <c r="W1848"/>
      <c r="X1848"/>
      <c r="Y1848"/>
      <c r="Z1848" t="s">
        <v>49</v>
      </c>
      <c r="AA1848" t="s">
        <v>49</v>
      </c>
      <c r="AB1848" t="s">
        <v>71</v>
      </c>
      <c r="AC1848" t="s">
        <v>72</v>
      </c>
      <c r="AD1848" t="s">
        <v>52</v>
      </c>
      <c r="AE1848" t="s">
        <v>53</v>
      </c>
      <c r="AF1848" t="s">
        <v>54</v>
      </c>
      <c r="AG1848" t="s">
        <v>52</v>
      </c>
      <c r="AH1848" t="s">
        <v>65</v>
      </c>
      <c r="AI1848"/>
      <c r="AJ1848"/>
      <c r="AK1848">
        <v>7</v>
      </c>
      <c r="AL1848">
        <v>7</v>
      </c>
      <c r="AM1848"/>
      <c r="AN1848">
        <v>423</v>
      </c>
      <c r="AO1848">
        <v>2</v>
      </c>
      <c r="AP1848" t="s">
        <v>56</v>
      </c>
      <c r="AQ1848" t="s">
        <v>118</v>
      </c>
      <c r="AR1848">
        <v>8.15</v>
      </c>
      <c r="AS1848" t="s">
        <v>56</v>
      </c>
      <c r="AT1848" t="s">
        <v>56</v>
      </c>
      <c r="AU1848">
        <v>427</v>
      </c>
      <c r="AV1848">
        <v>2</v>
      </c>
      <c r="AW1848" t="s">
        <v>56</v>
      </c>
      <c r="AX1848">
        <v>8.15</v>
      </c>
      <c r="AY1848" t="s">
        <v>56</v>
      </c>
      <c r="AZ1848" t="s">
        <v>56</v>
      </c>
      <c r="BA1848"/>
      <c r="BB1848">
        <f>LOG(AU1848)</f>
        <v>2.6304278750250241</v>
      </c>
      <c r="BC1848">
        <v>19</v>
      </c>
      <c r="BD1848" t="s">
        <v>56</v>
      </c>
      <c r="BE1848" t="s">
        <v>56</v>
      </c>
      <c r="BF1848">
        <v>21</v>
      </c>
      <c r="BG1848" t="s">
        <v>56</v>
      </c>
      <c r="BH1848" t="s">
        <v>56</v>
      </c>
      <c r="BI1848">
        <v>4</v>
      </c>
      <c r="BJ1848">
        <v>2</v>
      </c>
      <c r="BK1848" t="s">
        <v>56</v>
      </c>
      <c r="BL1848" t="s">
        <v>179</v>
      </c>
      <c r="BM1848" t="s">
        <v>90</v>
      </c>
      <c r="BN1848" t="s">
        <v>81</v>
      </c>
      <c r="BO1848" t="s">
        <v>91</v>
      </c>
      <c r="BP1848" t="s">
        <v>92</v>
      </c>
      <c r="BQ1848" t="s">
        <v>92</v>
      </c>
      <c r="BR1848" t="s">
        <v>63</v>
      </c>
      <c r="BS1848"/>
      <c r="BT1848">
        <v>402.31</v>
      </c>
      <c r="BU1848">
        <v>402.31</v>
      </c>
      <c r="BV1848">
        <v>5.9</v>
      </c>
      <c r="BW1848">
        <f>BV1848*SQRT(AK1848)</f>
        <v>15.609932735281086</v>
      </c>
      <c r="BX1848">
        <v>376.21</v>
      </c>
      <c r="BY1848">
        <v>376.21</v>
      </c>
      <c r="BZ1848">
        <v>13.05</v>
      </c>
      <c r="CA1848">
        <f>BZ1848*SQRT(AL1848)</f>
        <v>34.527054609392913</v>
      </c>
      <c r="CB1848">
        <v>3</v>
      </c>
      <c r="CC1848">
        <v>7</v>
      </c>
      <c r="CD1848">
        <v>-6.7000000000000004E-2</v>
      </c>
      <c r="CE1848">
        <v>1.4E-3</v>
      </c>
    </row>
    <row r="1849" spans="1:84" s="8" customFormat="1" hidden="1" x14ac:dyDescent="0.2">
      <c r="A1849"/>
      <c r="B1849" t="str">
        <f>ROW()-1&amp;"_AltersInvert"</f>
        <v>1848_AltersInvert</v>
      </c>
      <c r="C1849" t="str">
        <f>D1849&amp;"_"&amp;
SUBSTITUTE(TRIM(V1849)," ","_")&amp;"_"&amp;
TRIM(AC1849)&amp;"_"&amp;
"CO2"&amp;TEXT(AN1849,"0.00")&amp;"_"&amp;
"pH"&amp;TEXT(AR1849,"0.00")&amp;"_"&amp;
"T"&amp;TEXT(BC1849,"0.##")</f>
        <v>62_Patiriella_regularis_LARVA_CO2423.00_pH8.15_T19.</v>
      </c>
      <c r="D1849">
        <v>62</v>
      </c>
      <c r="E1849"/>
      <c r="F1849"/>
      <c r="G1849" t="s">
        <v>43</v>
      </c>
      <c r="H1849" t="s">
        <v>601</v>
      </c>
      <c r="I1849"/>
      <c r="J1849">
        <v>2013</v>
      </c>
      <c r="K1849"/>
      <c r="L1849"/>
      <c r="M1849" t="s">
        <v>257</v>
      </c>
      <c r="N1849"/>
      <c r="O1849"/>
      <c r="P1849" t="s">
        <v>1135</v>
      </c>
      <c r="Q1849"/>
      <c r="R1849" t="s">
        <v>1127</v>
      </c>
      <c r="S1849" t="s">
        <v>1128</v>
      </c>
      <c r="T1849" t="s">
        <v>46</v>
      </c>
      <c r="U1849" t="s">
        <v>602</v>
      </c>
      <c r="V1849" t="s">
        <v>603</v>
      </c>
      <c r="W1849"/>
      <c r="X1849"/>
      <c r="Y1849"/>
      <c r="Z1849" t="s">
        <v>49</v>
      </c>
      <c r="AA1849" t="s">
        <v>49</v>
      </c>
      <c r="AB1849" t="s">
        <v>71</v>
      </c>
      <c r="AC1849" t="s">
        <v>72</v>
      </c>
      <c r="AD1849" t="s">
        <v>52</v>
      </c>
      <c r="AE1849" t="s">
        <v>53</v>
      </c>
      <c r="AF1849" t="s">
        <v>52</v>
      </c>
      <c r="AG1849" t="s">
        <v>52</v>
      </c>
      <c r="AH1849" t="s">
        <v>64</v>
      </c>
      <c r="AI1849"/>
      <c r="AJ1849"/>
      <c r="AK1849">
        <v>7</v>
      </c>
      <c r="AL1849">
        <v>7</v>
      </c>
      <c r="AM1849"/>
      <c r="AN1849">
        <v>423</v>
      </c>
      <c r="AO1849">
        <v>2</v>
      </c>
      <c r="AP1849" t="s">
        <v>56</v>
      </c>
      <c r="AQ1849" t="s">
        <v>118</v>
      </c>
      <c r="AR1849">
        <v>8.15</v>
      </c>
      <c r="AS1849" t="s">
        <v>56</v>
      </c>
      <c r="AT1849" t="s">
        <v>56</v>
      </c>
      <c r="AU1849">
        <v>1805</v>
      </c>
      <c r="AV1849">
        <v>6</v>
      </c>
      <c r="AW1849" t="s">
        <v>56</v>
      </c>
      <c r="AX1849">
        <v>7.6</v>
      </c>
      <c r="AY1849" t="s">
        <v>56</v>
      </c>
      <c r="AZ1849" t="s">
        <v>56</v>
      </c>
      <c r="BA1849"/>
      <c r="BB1849">
        <f>LOG(AU1849)</f>
        <v>3.2564772062416769</v>
      </c>
      <c r="BC1849">
        <v>19</v>
      </c>
      <c r="BD1849" t="s">
        <v>56</v>
      </c>
      <c r="BE1849" t="s">
        <v>56</v>
      </c>
      <c r="BF1849">
        <v>23</v>
      </c>
      <c r="BG1849" t="s">
        <v>56</v>
      </c>
      <c r="BH1849" t="s">
        <v>56</v>
      </c>
      <c r="BI1849">
        <v>1382</v>
      </c>
      <c r="BJ1849">
        <v>4</v>
      </c>
      <c r="BK1849" t="s">
        <v>56</v>
      </c>
      <c r="BL1849" t="s">
        <v>179</v>
      </c>
      <c r="BM1849" t="s">
        <v>90</v>
      </c>
      <c r="BN1849" t="s">
        <v>81</v>
      </c>
      <c r="BO1849" t="s">
        <v>91</v>
      </c>
      <c r="BP1849" t="s">
        <v>92</v>
      </c>
      <c r="BQ1849" t="s">
        <v>92</v>
      </c>
      <c r="BR1849" t="s">
        <v>63</v>
      </c>
      <c r="BS1849"/>
      <c r="BT1849">
        <v>402.31</v>
      </c>
      <c r="BU1849">
        <v>402.31</v>
      </c>
      <c r="BV1849">
        <v>5.9</v>
      </c>
      <c r="BW1849">
        <f>BV1849*SQRT(AK1849)</f>
        <v>15.609932735281086</v>
      </c>
      <c r="BX1849">
        <v>353.89</v>
      </c>
      <c r="BY1849">
        <v>353.89</v>
      </c>
      <c r="BZ1849">
        <v>17.68</v>
      </c>
      <c r="CA1849">
        <f>BZ1849*SQRT(AL1849)</f>
        <v>46.776883179621962</v>
      </c>
      <c r="CB1849">
        <v>3</v>
      </c>
      <c r="CC1849">
        <v>7</v>
      </c>
      <c r="CD1849">
        <v>-0.128</v>
      </c>
      <c r="CE1849">
        <v>2.7000000000000001E-3</v>
      </c>
    </row>
    <row r="1850" spans="1:84" s="8" customFormat="1" hidden="1" x14ac:dyDescent="0.2">
      <c r="A1850"/>
      <c r="B1850" t="str">
        <f>ROW()-1&amp;"_AltersInvert"</f>
        <v>1849_AltersInvert</v>
      </c>
      <c r="C1850" t="str">
        <f>D1850&amp;"_"&amp;
SUBSTITUTE(TRIM(V1850)," ","_")&amp;"_"&amp;
TRIM(AC1850)&amp;"_"&amp;
"CO2"&amp;TEXT(AN1850,"0.00")&amp;"_"&amp;
"pH"&amp;TEXT(AR1850,"0.00")&amp;"_"&amp;
"T"&amp;TEXT(BC1850,"0.##")</f>
        <v>62_Patiriella_regularis_LARVA_CO2423.00_pH8.15_T19.</v>
      </c>
      <c r="D1850">
        <v>62</v>
      </c>
      <c r="E1850"/>
      <c r="F1850"/>
      <c r="G1850" t="s">
        <v>43</v>
      </c>
      <c r="H1850" t="s">
        <v>601</v>
      </c>
      <c r="I1850"/>
      <c r="J1850">
        <v>2013</v>
      </c>
      <c r="K1850"/>
      <c r="L1850"/>
      <c r="M1850" t="s">
        <v>257</v>
      </c>
      <c r="N1850"/>
      <c r="O1850"/>
      <c r="P1850" t="s">
        <v>1135</v>
      </c>
      <c r="Q1850"/>
      <c r="R1850" t="s">
        <v>1127</v>
      </c>
      <c r="S1850" t="s">
        <v>1128</v>
      </c>
      <c r="T1850" t="s">
        <v>46</v>
      </c>
      <c r="U1850" t="s">
        <v>602</v>
      </c>
      <c r="V1850" t="s">
        <v>603</v>
      </c>
      <c r="W1850"/>
      <c r="X1850"/>
      <c r="Y1850"/>
      <c r="Z1850" t="s">
        <v>49</v>
      </c>
      <c r="AA1850" t="s">
        <v>49</v>
      </c>
      <c r="AB1850" t="s">
        <v>71</v>
      </c>
      <c r="AC1850" t="s">
        <v>72</v>
      </c>
      <c r="AD1850" t="s">
        <v>52</v>
      </c>
      <c r="AE1850" t="s">
        <v>53</v>
      </c>
      <c r="AF1850" t="s">
        <v>52</v>
      </c>
      <c r="AG1850" t="s">
        <v>52</v>
      </c>
      <c r="AH1850" t="s">
        <v>64</v>
      </c>
      <c r="AI1850"/>
      <c r="AJ1850"/>
      <c r="AK1850">
        <v>7</v>
      </c>
      <c r="AL1850">
        <v>7</v>
      </c>
      <c r="AM1850"/>
      <c r="AN1850">
        <v>423</v>
      </c>
      <c r="AO1850">
        <v>2</v>
      </c>
      <c r="AP1850" t="s">
        <v>56</v>
      </c>
      <c r="AQ1850" t="s">
        <v>118</v>
      </c>
      <c r="AR1850">
        <v>8.15</v>
      </c>
      <c r="AS1850" t="s">
        <v>56</v>
      </c>
      <c r="AT1850" t="s">
        <v>56</v>
      </c>
      <c r="AU1850">
        <v>1094</v>
      </c>
      <c r="AV1850">
        <v>4</v>
      </c>
      <c r="AW1850" t="s">
        <v>56</v>
      </c>
      <c r="AX1850">
        <v>7.8</v>
      </c>
      <c r="AY1850" t="s">
        <v>56</v>
      </c>
      <c r="AZ1850" t="s">
        <v>56</v>
      </c>
      <c r="BA1850"/>
      <c r="BB1850">
        <f>LOG(AU1850)</f>
        <v>3.0390173219974121</v>
      </c>
      <c r="BC1850">
        <v>19</v>
      </c>
      <c r="BD1850" t="s">
        <v>56</v>
      </c>
      <c r="BE1850" t="s">
        <v>56</v>
      </c>
      <c r="BF1850">
        <v>23</v>
      </c>
      <c r="BG1850" t="s">
        <v>56</v>
      </c>
      <c r="BH1850" t="s">
        <v>56</v>
      </c>
      <c r="BI1850">
        <v>671</v>
      </c>
      <c r="BJ1850">
        <v>4</v>
      </c>
      <c r="BK1850" t="s">
        <v>56</v>
      </c>
      <c r="BL1850" t="s">
        <v>179</v>
      </c>
      <c r="BM1850" t="s">
        <v>90</v>
      </c>
      <c r="BN1850" t="s">
        <v>81</v>
      </c>
      <c r="BO1850" t="s">
        <v>91</v>
      </c>
      <c r="BP1850" t="s">
        <v>92</v>
      </c>
      <c r="BQ1850" t="s">
        <v>92</v>
      </c>
      <c r="BR1850" t="s">
        <v>63</v>
      </c>
      <c r="BS1850"/>
      <c r="BT1850">
        <v>402.31</v>
      </c>
      <c r="BU1850">
        <v>402.31</v>
      </c>
      <c r="BV1850">
        <v>5.9</v>
      </c>
      <c r="BW1850">
        <f>BV1850*SQRT(AK1850)</f>
        <v>15.609932735281086</v>
      </c>
      <c r="BX1850">
        <v>358.1</v>
      </c>
      <c r="BY1850">
        <v>358.1</v>
      </c>
      <c r="BZ1850">
        <v>17.260000000000002</v>
      </c>
      <c r="CA1850">
        <f>BZ1850*SQRT(AL1850)</f>
        <v>45.665667628974838</v>
      </c>
      <c r="CB1850">
        <v>3</v>
      </c>
      <c r="CC1850">
        <v>7</v>
      </c>
      <c r="CD1850">
        <v>-0.11600000000000001</v>
      </c>
      <c r="CE1850">
        <v>2.5000000000000001E-3</v>
      </c>
    </row>
    <row r="1851" spans="1:84" s="8" customFormat="1" hidden="1" x14ac:dyDescent="0.2">
      <c r="A1851"/>
      <c r="B1851" t="str">
        <f>ROW()-1&amp;"_AltersInvert"</f>
        <v>1850_AltersInvert</v>
      </c>
      <c r="C1851" t="str">
        <f>D1851&amp;"_"&amp;
SUBSTITUTE(TRIM(V1851)," ","_")&amp;"_"&amp;
TRIM(AC1851)&amp;"_"&amp;
"CO2"&amp;TEXT(AN1851,"0.00")&amp;"_"&amp;
"pH"&amp;TEXT(AR1851,"0.00")&amp;"_"&amp;
"T"&amp;TEXT(BC1851,"0.##")</f>
        <v>62_Patiriella_regularis_LARVA_CO2423.00_pH8.15_T19.</v>
      </c>
      <c r="D1851">
        <v>62</v>
      </c>
      <c r="E1851"/>
      <c r="F1851"/>
      <c r="G1851" t="s">
        <v>43</v>
      </c>
      <c r="H1851" t="s">
        <v>601</v>
      </c>
      <c r="I1851"/>
      <c r="J1851">
        <v>2013</v>
      </c>
      <c r="K1851"/>
      <c r="L1851"/>
      <c r="M1851" t="s">
        <v>257</v>
      </c>
      <c r="N1851"/>
      <c r="O1851"/>
      <c r="P1851" t="s">
        <v>1135</v>
      </c>
      <c r="Q1851"/>
      <c r="R1851" t="s">
        <v>1127</v>
      </c>
      <c r="S1851" t="s">
        <v>1128</v>
      </c>
      <c r="T1851" t="s">
        <v>46</v>
      </c>
      <c r="U1851" t="s">
        <v>602</v>
      </c>
      <c r="V1851" t="s">
        <v>603</v>
      </c>
      <c r="W1851"/>
      <c r="X1851"/>
      <c r="Y1851"/>
      <c r="Z1851" t="s">
        <v>49</v>
      </c>
      <c r="AA1851" t="s">
        <v>49</v>
      </c>
      <c r="AB1851" t="s">
        <v>71</v>
      </c>
      <c r="AC1851" t="s">
        <v>72</v>
      </c>
      <c r="AD1851" t="s">
        <v>52</v>
      </c>
      <c r="AE1851" t="s">
        <v>53</v>
      </c>
      <c r="AF1851" t="s">
        <v>52</v>
      </c>
      <c r="AG1851" t="s">
        <v>52</v>
      </c>
      <c r="AH1851" t="s">
        <v>64</v>
      </c>
      <c r="AI1851"/>
      <c r="AJ1851"/>
      <c r="AK1851">
        <v>7</v>
      </c>
      <c r="AL1851">
        <v>7</v>
      </c>
      <c r="AM1851"/>
      <c r="AN1851">
        <v>423</v>
      </c>
      <c r="AO1851">
        <v>2</v>
      </c>
      <c r="AP1851" t="s">
        <v>56</v>
      </c>
      <c r="AQ1851" t="s">
        <v>118</v>
      </c>
      <c r="AR1851">
        <v>8.15</v>
      </c>
      <c r="AS1851" t="s">
        <v>56</v>
      </c>
      <c r="AT1851" t="s">
        <v>56</v>
      </c>
      <c r="AU1851">
        <v>1076</v>
      </c>
      <c r="AV1851">
        <v>4</v>
      </c>
      <c r="AW1851" t="s">
        <v>56</v>
      </c>
      <c r="AX1851">
        <v>7.8</v>
      </c>
      <c r="AY1851" t="s">
        <v>56</v>
      </c>
      <c r="AZ1851" t="s">
        <v>56</v>
      </c>
      <c r="BA1851"/>
      <c r="BB1851">
        <f>LOG(AU1851)</f>
        <v>3.0318122713303706</v>
      </c>
      <c r="BC1851">
        <v>19</v>
      </c>
      <c r="BD1851" t="s">
        <v>56</v>
      </c>
      <c r="BE1851" t="s">
        <v>56</v>
      </c>
      <c r="BF1851">
        <v>21</v>
      </c>
      <c r="BG1851" t="s">
        <v>56</v>
      </c>
      <c r="BH1851" t="s">
        <v>56</v>
      </c>
      <c r="BI1851">
        <v>653</v>
      </c>
      <c r="BJ1851">
        <v>2</v>
      </c>
      <c r="BK1851" t="s">
        <v>56</v>
      </c>
      <c r="BL1851" t="s">
        <v>179</v>
      </c>
      <c r="BM1851" t="s">
        <v>90</v>
      </c>
      <c r="BN1851" t="s">
        <v>81</v>
      </c>
      <c r="BO1851" t="s">
        <v>91</v>
      </c>
      <c r="BP1851" t="s">
        <v>92</v>
      </c>
      <c r="BQ1851" t="s">
        <v>92</v>
      </c>
      <c r="BR1851" t="s">
        <v>63</v>
      </c>
      <c r="BS1851"/>
      <c r="BT1851">
        <v>402.31</v>
      </c>
      <c r="BU1851">
        <v>402.31</v>
      </c>
      <c r="BV1851">
        <v>5.9</v>
      </c>
      <c r="BW1851">
        <f>BV1851*SQRT(AK1851)</f>
        <v>15.609932735281086</v>
      </c>
      <c r="BX1851">
        <v>367.78</v>
      </c>
      <c r="BY1851">
        <v>367.78</v>
      </c>
      <c r="BZ1851">
        <v>7.16</v>
      </c>
      <c r="CA1851">
        <f>BZ1851*SQRT(AL1851)</f>
        <v>18.943579387222471</v>
      </c>
      <c r="CB1851">
        <v>3</v>
      </c>
      <c r="CC1851">
        <v>7</v>
      </c>
      <c r="CD1851">
        <v>-0.09</v>
      </c>
      <c r="CE1851">
        <v>5.9999999999999995E-4</v>
      </c>
    </row>
    <row r="1852" spans="1:84" s="8" customFormat="1" hidden="1" x14ac:dyDescent="0.2">
      <c r="A1852"/>
      <c r="B1852" t="str">
        <f>ROW()-1&amp;"_AltersInvert"</f>
        <v>1851_AltersInvert</v>
      </c>
      <c r="C1852" t="str">
        <f>D1852&amp;"_"&amp;
SUBSTITUTE(TRIM(V1852)," ","_")&amp;"_"&amp;
TRIM(AC1852)&amp;"_"&amp;
"CO2"&amp;TEXT(AN1852,"0.00")&amp;"_"&amp;
"pH"&amp;TEXT(AR1852,"0.00")&amp;"_"&amp;
"T"&amp;TEXT(BC1852,"0.##")</f>
        <v>62_Patiriella_regularis_LARVA_CO2423.00_pH8.15_T19.</v>
      </c>
      <c r="D1852">
        <v>62</v>
      </c>
      <c r="E1852"/>
      <c r="F1852"/>
      <c r="G1852" t="s">
        <v>43</v>
      </c>
      <c r="H1852" t="s">
        <v>601</v>
      </c>
      <c r="I1852"/>
      <c r="J1852">
        <v>2013</v>
      </c>
      <c r="K1852"/>
      <c r="L1852"/>
      <c r="M1852" t="s">
        <v>257</v>
      </c>
      <c r="N1852"/>
      <c r="O1852"/>
      <c r="P1852" t="s">
        <v>1135</v>
      </c>
      <c r="Q1852"/>
      <c r="R1852" t="s">
        <v>1127</v>
      </c>
      <c r="S1852" t="s">
        <v>1128</v>
      </c>
      <c r="T1852" t="s">
        <v>46</v>
      </c>
      <c r="U1852" t="s">
        <v>602</v>
      </c>
      <c r="V1852" t="s">
        <v>603</v>
      </c>
      <c r="W1852"/>
      <c r="X1852"/>
      <c r="Y1852"/>
      <c r="Z1852" t="s">
        <v>49</v>
      </c>
      <c r="AA1852" t="s">
        <v>49</v>
      </c>
      <c r="AB1852" t="s">
        <v>71</v>
      </c>
      <c r="AC1852" t="s">
        <v>72</v>
      </c>
      <c r="AD1852" t="s">
        <v>52</v>
      </c>
      <c r="AE1852" t="s">
        <v>53</v>
      </c>
      <c r="AF1852" t="s">
        <v>52</v>
      </c>
      <c r="AG1852" t="s">
        <v>52</v>
      </c>
      <c r="AH1852" t="s">
        <v>64</v>
      </c>
      <c r="AI1852"/>
      <c r="AJ1852"/>
      <c r="AK1852">
        <v>7</v>
      </c>
      <c r="AL1852">
        <v>7</v>
      </c>
      <c r="AM1852"/>
      <c r="AN1852">
        <v>423</v>
      </c>
      <c r="AO1852">
        <v>2</v>
      </c>
      <c r="AP1852" t="s">
        <v>56</v>
      </c>
      <c r="AQ1852" t="s">
        <v>118</v>
      </c>
      <c r="AR1852">
        <v>8.15</v>
      </c>
      <c r="AS1852" t="s">
        <v>56</v>
      </c>
      <c r="AT1852" t="s">
        <v>56</v>
      </c>
      <c r="AU1852">
        <v>1772</v>
      </c>
      <c r="AV1852">
        <v>6</v>
      </c>
      <c r="AW1852" t="s">
        <v>56</v>
      </c>
      <c r="AX1852">
        <v>7.6</v>
      </c>
      <c r="AY1852" t="s">
        <v>56</v>
      </c>
      <c r="AZ1852" t="s">
        <v>56</v>
      </c>
      <c r="BA1852"/>
      <c r="BB1852">
        <f>LOG(AU1852)</f>
        <v>3.248463717551032</v>
      </c>
      <c r="BC1852">
        <v>19</v>
      </c>
      <c r="BD1852" t="s">
        <v>56</v>
      </c>
      <c r="BE1852" t="s">
        <v>56</v>
      </c>
      <c r="BF1852">
        <v>21</v>
      </c>
      <c r="BG1852" t="s">
        <v>56</v>
      </c>
      <c r="BH1852" t="s">
        <v>56</v>
      </c>
      <c r="BI1852">
        <v>1349</v>
      </c>
      <c r="BJ1852">
        <v>2</v>
      </c>
      <c r="BK1852" t="s">
        <v>56</v>
      </c>
      <c r="BL1852" t="s">
        <v>179</v>
      </c>
      <c r="BM1852" t="s">
        <v>90</v>
      </c>
      <c r="BN1852" t="s">
        <v>81</v>
      </c>
      <c r="BO1852" t="s">
        <v>91</v>
      </c>
      <c r="BP1852" t="s">
        <v>92</v>
      </c>
      <c r="BQ1852" t="s">
        <v>92</v>
      </c>
      <c r="BR1852" t="s">
        <v>63</v>
      </c>
      <c r="BS1852"/>
      <c r="BT1852">
        <v>402.31</v>
      </c>
      <c r="BU1852">
        <v>402.31</v>
      </c>
      <c r="BV1852">
        <v>5.9</v>
      </c>
      <c r="BW1852">
        <f>BV1852*SQRT(AK1852)</f>
        <v>15.609932735281086</v>
      </c>
      <c r="BX1852">
        <v>368.21</v>
      </c>
      <c r="BY1852">
        <v>368.21</v>
      </c>
      <c r="BZ1852">
        <v>18.52</v>
      </c>
      <c r="CA1852">
        <f>BZ1852*SQRT(AL1852)</f>
        <v>48.999314280916217</v>
      </c>
      <c r="CB1852">
        <v>3</v>
      </c>
      <c r="CC1852">
        <v>7</v>
      </c>
      <c r="CD1852">
        <v>-8.8999999999999996E-2</v>
      </c>
      <c r="CE1852">
        <v>2.7000000000000001E-3</v>
      </c>
    </row>
    <row r="1853" spans="1:84" s="8" customFormat="1" hidden="1" x14ac:dyDescent="0.2">
      <c r="A1853"/>
      <c r="B1853" t="str">
        <f>ROW()-1&amp;"_AltersInvert"</f>
        <v>1852_AltersInvert</v>
      </c>
      <c r="C1853" t="str">
        <f>D1853&amp;"_"&amp;
SUBSTITUTE(TRIM(V1853)," ","_")&amp;"_"&amp;
TRIM(AC1853)&amp;"_"&amp;
"CO2"&amp;TEXT(AN1853,"0.00")&amp;"_"&amp;
"pH"&amp;TEXT(AR1853,"0.00")&amp;"_"&amp;
"T"&amp;TEXT(BC1853,"0.##")</f>
        <v>119_Amphibalanus_improvisus_LARVA_CO2414.00_pH8.11_T19.6</v>
      </c>
      <c r="D1853">
        <v>119</v>
      </c>
      <c r="E1853"/>
      <c r="F1853"/>
      <c r="G1853" t="s">
        <v>43</v>
      </c>
      <c r="H1853" t="s">
        <v>859</v>
      </c>
      <c r="I1853"/>
      <c r="J1853">
        <v>2012</v>
      </c>
      <c r="K1853"/>
      <c r="L1853"/>
      <c r="M1853" t="s">
        <v>45</v>
      </c>
      <c r="N1853"/>
      <c r="O1853"/>
      <c r="P1853" t="s">
        <v>1135</v>
      </c>
      <c r="Q1853"/>
      <c r="R1853" t="s">
        <v>1127</v>
      </c>
      <c r="S1853" t="s">
        <v>1128</v>
      </c>
      <c r="T1853" t="s">
        <v>131</v>
      </c>
      <c r="U1853" t="s">
        <v>860</v>
      </c>
      <c r="V1853" t="s">
        <v>861</v>
      </c>
      <c r="W1853"/>
      <c r="X1853"/>
      <c r="Y1853"/>
      <c r="Z1853" t="s">
        <v>49</v>
      </c>
      <c r="AA1853" t="s">
        <v>49</v>
      </c>
      <c r="AB1853" t="s">
        <v>71</v>
      </c>
      <c r="AC1853" t="s">
        <v>72</v>
      </c>
      <c r="AD1853" t="s">
        <v>52</v>
      </c>
      <c r="AE1853" t="s">
        <v>53</v>
      </c>
      <c r="AF1853" t="s">
        <v>52</v>
      </c>
      <c r="AG1853" t="s">
        <v>54</v>
      </c>
      <c r="AH1853" t="s">
        <v>55</v>
      </c>
      <c r="AI1853"/>
      <c r="AJ1853"/>
      <c r="AK1853">
        <v>6</v>
      </c>
      <c r="AL1853">
        <v>6</v>
      </c>
      <c r="AM1853"/>
      <c r="AN1853">
        <v>414</v>
      </c>
      <c r="AO1853" t="s">
        <v>56</v>
      </c>
      <c r="AP1853">
        <v>37</v>
      </c>
      <c r="AQ1853" t="s">
        <v>57</v>
      </c>
      <c r="AR1853">
        <v>8.11</v>
      </c>
      <c r="AS1853" t="s">
        <v>56</v>
      </c>
      <c r="AT1853">
        <v>0.08</v>
      </c>
      <c r="AU1853">
        <v>1282</v>
      </c>
      <c r="AV1853" t="s">
        <v>56</v>
      </c>
      <c r="AW1853">
        <v>49</v>
      </c>
      <c r="AX1853">
        <v>7.22</v>
      </c>
      <c r="AY1853"/>
      <c r="AZ1853">
        <v>0.03</v>
      </c>
      <c r="BA1853"/>
      <c r="BB1853">
        <f>LOG(AU1853)</f>
        <v>3.1078880251827985</v>
      </c>
      <c r="BC1853">
        <v>19.600000000000001</v>
      </c>
      <c r="BD1853" t="s">
        <v>56</v>
      </c>
      <c r="BE1853">
        <v>0.4</v>
      </c>
      <c r="BF1853">
        <v>19.600000000000001</v>
      </c>
      <c r="BG1853" t="s">
        <v>56</v>
      </c>
      <c r="BH1853">
        <v>0.4</v>
      </c>
      <c r="BI1853">
        <v>869</v>
      </c>
      <c r="BJ1853">
        <v>0</v>
      </c>
      <c r="BK1853" t="s">
        <v>56</v>
      </c>
      <c r="BL1853" t="s">
        <v>659</v>
      </c>
      <c r="BM1853" t="s">
        <v>113</v>
      </c>
      <c r="BN1853" t="s">
        <v>81</v>
      </c>
      <c r="BO1853" t="s">
        <v>82</v>
      </c>
      <c r="BP1853" t="s">
        <v>9</v>
      </c>
      <c r="BQ1853" t="s">
        <v>9</v>
      </c>
      <c r="BR1853" t="s">
        <v>84</v>
      </c>
      <c r="BS1853"/>
      <c r="BT1853">
        <v>24.65</v>
      </c>
      <c r="BU1853">
        <v>24.649298600000002</v>
      </c>
      <c r="BV1853">
        <v>7.21</v>
      </c>
      <c r="BW1853">
        <f>BV1853*SQRT(AK1853)</f>
        <v>17.660821045466712</v>
      </c>
      <c r="BX1853">
        <v>20.84</v>
      </c>
      <c r="BY1853">
        <v>20.841683400000001</v>
      </c>
      <c r="BZ1853">
        <v>7.82</v>
      </c>
      <c r="CA1853">
        <f>BZ1853*SQRT(AL1853)</f>
        <v>19.155009788564453</v>
      </c>
      <c r="CB1853">
        <v>29</v>
      </c>
      <c r="CC1853">
        <v>6</v>
      </c>
      <c r="CD1853">
        <v>-0.16800000000000001</v>
      </c>
      <c r="CE1853">
        <v>0.2263</v>
      </c>
      <c r="CF1853"/>
    </row>
    <row r="1854" spans="1:84" s="8" customFormat="1" hidden="1" x14ac:dyDescent="0.2">
      <c r="A1854"/>
      <c r="B1854" t="str">
        <f>ROW()-1&amp;"_AltersInvert"</f>
        <v>1853_AltersInvert</v>
      </c>
      <c r="C1854" t="str">
        <f>D1854&amp;"_"&amp;
SUBSTITUTE(TRIM(V1854)," ","_")&amp;"_"&amp;
TRIM(AC1854)&amp;"_"&amp;
"CO2"&amp;TEXT(AN1854,"0.00")&amp;"_"&amp;
"pH"&amp;TEXT(AR1854,"0.00")&amp;"_"&amp;
"T"&amp;TEXT(BC1854,"0.##")</f>
        <v>119_Amphibalanus_improvisus_LARVA_CO2414.00_pH8.11_T19.6</v>
      </c>
      <c r="D1854">
        <v>119</v>
      </c>
      <c r="E1854"/>
      <c r="F1854"/>
      <c r="G1854" t="s">
        <v>43</v>
      </c>
      <c r="H1854" t="s">
        <v>859</v>
      </c>
      <c r="I1854"/>
      <c r="J1854">
        <v>2012</v>
      </c>
      <c r="K1854"/>
      <c r="L1854"/>
      <c r="M1854" t="s">
        <v>45</v>
      </c>
      <c r="N1854"/>
      <c r="O1854"/>
      <c r="P1854" t="s">
        <v>1135</v>
      </c>
      <c r="Q1854"/>
      <c r="R1854" t="s">
        <v>1127</v>
      </c>
      <c r="S1854" t="s">
        <v>1128</v>
      </c>
      <c r="T1854" t="s">
        <v>131</v>
      </c>
      <c r="U1854" t="s">
        <v>860</v>
      </c>
      <c r="V1854" t="s">
        <v>861</v>
      </c>
      <c r="W1854"/>
      <c r="X1854"/>
      <c r="Y1854"/>
      <c r="Z1854" t="s">
        <v>49</v>
      </c>
      <c r="AA1854" t="s">
        <v>49</v>
      </c>
      <c r="AB1854" t="s">
        <v>71</v>
      </c>
      <c r="AC1854" t="s">
        <v>72</v>
      </c>
      <c r="AD1854" t="s">
        <v>52</v>
      </c>
      <c r="AE1854" t="s">
        <v>53</v>
      </c>
      <c r="AF1854" t="s">
        <v>52</v>
      </c>
      <c r="AG1854" t="s">
        <v>54</v>
      </c>
      <c r="AH1854" t="s">
        <v>55</v>
      </c>
      <c r="AI1854"/>
      <c r="AJ1854"/>
      <c r="AK1854">
        <v>6</v>
      </c>
      <c r="AL1854">
        <v>6</v>
      </c>
      <c r="AM1854"/>
      <c r="AN1854">
        <v>414</v>
      </c>
      <c r="AO1854" t="s">
        <v>56</v>
      </c>
      <c r="AP1854">
        <v>37</v>
      </c>
      <c r="AQ1854" t="s">
        <v>57</v>
      </c>
      <c r="AR1854">
        <v>8.11</v>
      </c>
      <c r="AS1854" t="s">
        <v>56</v>
      </c>
      <c r="AT1854">
        <v>0.08</v>
      </c>
      <c r="AU1854">
        <v>3278</v>
      </c>
      <c r="AV1854" t="s">
        <v>56</v>
      </c>
      <c r="AW1854">
        <v>261</v>
      </c>
      <c r="AX1854">
        <v>7.32</v>
      </c>
      <c r="AY1854" t="s">
        <v>56</v>
      </c>
      <c r="AZ1854">
        <v>0.04</v>
      </c>
      <c r="BA1854"/>
      <c r="BB1854">
        <f>LOG(AU1854)</f>
        <v>3.5156089492344802</v>
      </c>
      <c r="BC1854">
        <v>19.600000000000001</v>
      </c>
      <c r="BD1854" t="s">
        <v>56</v>
      </c>
      <c r="BE1854">
        <v>0.4</v>
      </c>
      <c r="BF1854">
        <v>19.600000000000001</v>
      </c>
      <c r="BG1854" t="s">
        <v>56</v>
      </c>
      <c r="BH1854">
        <v>0.4</v>
      </c>
      <c r="BI1854">
        <v>2865</v>
      </c>
      <c r="BJ1854">
        <v>0</v>
      </c>
      <c r="BK1854" t="s">
        <v>56</v>
      </c>
      <c r="BL1854" t="s">
        <v>659</v>
      </c>
      <c r="BM1854" t="s">
        <v>113</v>
      </c>
      <c r="BN1854" t="s">
        <v>81</v>
      </c>
      <c r="BO1854" t="s">
        <v>82</v>
      </c>
      <c r="BP1854" t="s">
        <v>9</v>
      </c>
      <c r="BQ1854" t="s">
        <v>9</v>
      </c>
      <c r="BR1854" t="s">
        <v>84</v>
      </c>
      <c r="BS1854"/>
      <c r="BT1854">
        <v>24.65</v>
      </c>
      <c r="BU1854">
        <v>24.649298600000002</v>
      </c>
      <c r="BV1854">
        <v>7.21</v>
      </c>
      <c r="BW1854">
        <f>BV1854*SQRT(AK1854)</f>
        <v>17.660821045466712</v>
      </c>
      <c r="BX1854">
        <v>40.08</v>
      </c>
      <c r="BY1854">
        <v>40.080160300000003</v>
      </c>
      <c r="BZ1854">
        <v>10.02</v>
      </c>
      <c r="CA1854">
        <f>BZ1854*SQRT(AL1854)</f>
        <v>24.543887222687442</v>
      </c>
      <c r="CB1854">
        <v>29</v>
      </c>
      <c r="CC1854">
        <v>6</v>
      </c>
      <c r="CD1854">
        <v>0.48599999999999999</v>
      </c>
      <c r="CE1854">
        <v>0.1482</v>
      </c>
    </row>
    <row r="1855" spans="1:84" s="8" customFormat="1" hidden="1" x14ac:dyDescent="0.2">
      <c r="A1855"/>
      <c r="B1855" t="str">
        <f>ROW()-1&amp;"_AltersInvert"</f>
        <v>1854_AltersInvert</v>
      </c>
      <c r="C1855" t="str">
        <f>D1855&amp;"_"&amp;
SUBSTITUTE(TRIM(V1855)," ","_")&amp;"_"&amp;
TRIM(AC1855)&amp;"_"&amp;
"CO2"&amp;TEXT(AN1855,"0.00")&amp;"_"&amp;
"pH"&amp;TEXT(AR1855,"0.00")&amp;"_"&amp;
"T"&amp;TEXT(BC1855,"0.##")</f>
        <v>119_Amphibalanus_improvisus_LARVA_CO2414.00_pH8.11_T19.6</v>
      </c>
      <c r="D1855">
        <v>119</v>
      </c>
      <c r="E1855"/>
      <c r="F1855"/>
      <c r="G1855" t="s">
        <v>43</v>
      </c>
      <c r="H1855" t="s">
        <v>859</v>
      </c>
      <c r="I1855"/>
      <c r="J1855">
        <v>2012</v>
      </c>
      <c r="K1855"/>
      <c r="L1855"/>
      <c r="M1855" t="s">
        <v>45</v>
      </c>
      <c r="N1855"/>
      <c r="O1855"/>
      <c r="P1855" t="s">
        <v>1135</v>
      </c>
      <c r="Q1855"/>
      <c r="R1855" t="s">
        <v>1127</v>
      </c>
      <c r="S1855" t="s">
        <v>1128</v>
      </c>
      <c r="T1855" t="s">
        <v>131</v>
      </c>
      <c r="U1855" t="s">
        <v>860</v>
      </c>
      <c r="V1855" t="s">
        <v>861</v>
      </c>
      <c r="W1855"/>
      <c r="X1855"/>
      <c r="Y1855"/>
      <c r="Z1855" t="s">
        <v>49</v>
      </c>
      <c r="AA1855" t="s">
        <v>49</v>
      </c>
      <c r="AB1855" t="s">
        <v>71</v>
      </c>
      <c r="AC1855" t="s">
        <v>72</v>
      </c>
      <c r="AD1855" t="s">
        <v>52</v>
      </c>
      <c r="AE1855" t="s">
        <v>53</v>
      </c>
      <c r="AF1855" t="s">
        <v>54</v>
      </c>
      <c r="AG1855" t="s">
        <v>52</v>
      </c>
      <c r="AH1855" t="s">
        <v>65</v>
      </c>
      <c r="AI1855"/>
      <c r="AJ1855"/>
      <c r="AK1855">
        <v>6</v>
      </c>
      <c r="AL1855">
        <v>6</v>
      </c>
      <c r="AM1855"/>
      <c r="AN1855">
        <v>414</v>
      </c>
      <c r="AO1855" t="s">
        <v>56</v>
      </c>
      <c r="AP1855">
        <v>37</v>
      </c>
      <c r="AQ1855" t="s">
        <v>57</v>
      </c>
      <c r="AR1855">
        <v>8.11</v>
      </c>
      <c r="AS1855" t="s">
        <v>56</v>
      </c>
      <c r="AT1855">
        <v>0.08</v>
      </c>
      <c r="AU1855">
        <v>378</v>
      </c>
      <c r="AV1855" t="s">
        <v>56</v>
      </c>
      <c r="AW1855">
        <v>22</v>
      </c>
      <c r="AX1855">
        <v>8.18</v>
      </c>
      <c r="AY1855" t="s">
        <v>56</v>
      </c>
      <c r="AZ1855">
        <v>0.1</v>
      </c>
      <c r="BA1855"/>
      <c r="BB1855">
        <f>LOG(AU1855)</f>
        <v>2.5774917998372255</v>
      </c>
      <c r="BC1855">
        <v>19.600000000000001</v>
      </c>
      <c r="BD1855" t="s">
        <v>56</v>
      </c>
      <c r="BE1855">
        <v>0.4</v>
      </c>
      <c r="BF1855">
        <v>26.9</v>
      </c>
      <c r="BG1855" t="s">
        <v>56</v>
      </c>
      <c r="BH1855">
        <v>0.9</v>
      </c>
      <c r="BI1855">
        <v>-36</v>
      </c>
      <c r="BJ1855">
        <v>7.3</v>
      </c>
      <c r="BK1855" t="s">
        <v>56</v>
      </c>
      <c r="BL1855" t="s">
        <v>659</v>
      </c>
      <c r="BM1855" t="s">
        <v>113</v>
      </c>
      <c r="BN1855" t="s">
        <v>81</v>
      </c>
      <c r="BO1855" t="s">
        <v>82</v>
      </c>
      <c r="BP1855" t="s">
        <v>9</v>
      </c>
      <c r="BQ1855" t="s">
        <v>9</v>
      </c>
      <c r="BR1855" t="s">
        <v>84</v>
      </c>
      <c r="BS1855"/>
      <c r="BT1855">
        <v>24.65</v>
      </c>
      <c r="BU1855">
        <v>24.649298600000002</v>
      </c>
      <c r="BV1855">
        <v>7.21</v>
      </c>
      <c r="BW1855">
        <f>BV1855*SQRT(AK1855)</f>
        <v>17.660821045466712</v>
      </c>
      <c r="BX1855">
        <v>19.64</v>
      </c>
      <c r="BY1855">
        <v>19.639278600000001</v>
      </c>
      <c r="BZ1855">
        <v>5.21</v>
      </c>
      <c r="CA1855">
        <f>BZ1855*SQRT(AL1855)</f>
        <v>12.761841559900356</v>
      </c>
      <c r="CB1855">
        <v>29</v>
      </c>
      <c r="CC1855">
        <v>6</v>
      </c>
      <c r="CD1855">
        <v>-0.22700000000000001</v>
      </c>
      <c r="CE1855">
        <v>0.15609999999999999</v>
      </c>
      <c r="CF1855"/>
    </row>
    <row r="1856" spans="1:84" s="8" customFormat="1" hidden="1" x14ac:dyDescent="0.2">
      <c r="A1856"/>
      <c r="B1856" t="str">
        <f>ROW()-1&amp;"_AltersInvert"</f>
        <v>1855_AltersInvert</v>
      </c>
      <c r="C1856" t="str">
        <f>D1856&amp;"_"&amp;
SUBSTITUTE(TRIM(V1856)," ","_")&amp;"_"&amp;
TRIM(AC1856)&amp;"_"&amp;
"CO2"&amp;TEXT(AN1856,"0.00")&amp;"_"&amp;
"pH"&amp;TEXT(AR1856,"0.00")&amp;"_"&amp;
"T"&amp;TEXT(BC1856,"0.##")</f>
        <v>119_Amphibalanus_improvisus_LARVA_CO2414.00_pH8.11_T19.6</v>
      </c>
      <c r="D1856">
        <v>119</v>
      </c>
      <c r="E1856"/>
      <c r="F1856"/>
      <c r="G1856" t="s">
        <v>43</v>
      </c>
      <c r="H1856" t="s">
        <v>859</v>
      </c>
      <c r="I1856"/>
      <c r="J1856">
        <v>2012</v>
      </c>
      <c r="K1856"/>
      <c r="L1856"/>
      <c r="M1856" t="s">
        <v>45</v>
      </c>
      <c r="N1856"/>
      <c r="O1856"/>
      <c r="P1856" t="s">
        <v>1135</v>
      </c>
      <c r="Q1856"/>
      <c r="R1856" t="s">
        <v>1127</v>
      </c>
      <c r="S1856" t="s">
        <v>1128</v>
      </c>
      <c r="T1856" t="s">
        <v>131</v>
      </c>
      <c r="U1856" t="s">
        <v>860</v>
      </c>
      <c r="V1856" t="s">
        <v>861</v>
      </c>
      <c r="W1856"/>
      <c r="X1856"/>
      <c r="Y1856"/>
      <c r="Z1856" t="s">
        <v>49</v>
      </c>
      <c r="AA1856" t="s">
        <v>49</v>
      </c>
      <c r="AB1856" t="s">
        <v>71</v>
      </c>
      <c r="AC1856" t="s">
        <v>72</v>
      </c>
      <c r="AD1856" t="s">
        <v>52</v>
      </c>
      <c r="AE1856" t="s">
        <v>53</v>
      </c>
      <c r="AF1856" t="s">
        <v>52</v>
      </c>
      <c r="AG1856" t="s">
        <v>52</v>
      </c>
      <c r="AH1856" t="s">
        <v>64</v>
      </c>
      <c r="AI1856"/>
      <c r="AJ1856"/>
      <c r="AK1856">
        <v>6</v>
      </c>
      <c r="AL1856">
        <v>6</v>
      </c>
      <c r="AM1856"/>
      <c r="AN1856">
        <v>414</v>
      </c>
      <c r="AO1856" t="s">
        <v>56</v>
      </c>
      <c r="AP1856">
        <v>37</v>
      </c>
      <c r="AQ1856" t="s">
        <v>57</v>
      </c>
      <c r="AR1856">
        <v>8.11</v>
      </c>
      <c r="AS1856" t="s">
        <v>56</v>
      </c>
      <c r="AT1856">
        <v>0.08</v>
      </c>
      <c r="AU1856">
        <v>1186</v>
      </c>
      <c r="AV1856" t="s">
        <v>56</v>
      </c>
      <c r="AW1856">
        <v>66</v>
      </c>
      <c r="AX1856">
        <v>7.83</v>
      </c>
      <c r="AY1856" t="s">
        <v>56</v>
      </c>
      <c r="AZ1856">
        <v>7.0000000000000007E-2</v>
      </c>
      <c r="BA1856"/>
      <c r="BB1856">
        <f>LOG(AU1856)</f>
        <v>3.0740846890282438</v>
      </c>
      <c r="BC1856">
        <v>19.600000000000001</v>
      </c>
      <c r="BD1856" t="s">
        <v>56</v>
      </c>
      <c r="BE1856">
        <v>0.4</v>
      </c>
      <c r="BF1856">
        <v>26.9</v>
      </c>
      <c r="BG1856" t="s">
        <v>56</v>
      </c>
      <c r="BH1856">
        <v>0.9</v>
      </c>
      <c r="BI1856">
        <v>773</v>
      </c>
      <c r="BJ1856">
        <v>7.3</v>
      </c>
      <c r="BK1856" t="s">
        <v>56</v>
      </c>
      <c r="BL1856" t="s">
        <v>659</v>
      </c>
      <c r="BM1856" t="s">
        <v>113</v>
      </c>
      <c r="BN1856" t="s">
        <v>81</v>
      </c>
      <c r="BO1856" t="s">
        <v>82</v>
      </c>
      <c r="BP1856" t="s">
        <v>9</v>
      </c>
      <c r="BQ1856" t="s">
        <v>9</v>
      </c>
      <c r="BR1856" t="s">
        <v>84</v>
      </c>
      <c r="BS1856"/>
      <c r="BT1856">
        <v>24.65</v>
      </c>
      <c r="BU1856">
        <v>24.649298600000002</v>
      </c>
      <c r="BV1856">
        <v>7.21</v>
      </c>
      <c r="BW1856">
        <f>BV1856*SQRT(AK1856)</f>
        <v>17.660821045466712</v>
      </c>
      <c r="BX1856">
        <v>16.63</v>
      </c>
      <c r="BY1856">
        <v>16.633266500000001</v>
      </c>
      <c r="BZ1856">
        <v>2.61</v>
      </c>
      <c r="CA1856">
        <f>BZ1856*SQRT(AL1856)</f>
        <v>6.3931682286640941</v>
      </c>
      <c r="CB1856">
        <v>29</v>
      </c>
      <c r="CC1856">
        <v>6</v>
      </c>
      <c r="CD1856">
        <v>-0.39300000000000002</v>
      </c>
      <c r="CE1856">
        <v>0.11020000000000001</v>
      </c>
    </row>
    <row r="1857" spans="1:84" s="8" customFormat="1" hidden="1" x14ac:dyDescent="0.2">
      <c r="A1857"/>
      <c r="B1857" t="str">
        <f>ROW()-1&amp;"_AltersInvert"</f>
        <v>1856_AltersInvert</v>
      </c>
      <c r="C1857" t="str">
        <f>D1857&amp;"_"&amp;
SUBSTITUTE(TRIM(V1857)," ","_")&amp;"_"&amp;
TRIM(AC1857)&amp;"_"&amp;
"CO2"&amp;TEXT(AN1857,"0.00")&amp;"_"&amp;
"pH"&amp;TEXT(AR1857,"0.00")&amp;"_"&amp;
"T"&amp;TEXT(BC1857,"0.##")</f>
        <v>119_Amphibalanus_improvisus_LARVA_CO2414.00_pH8.11_T19.6</v>
      </c>
      <c r="D1857">
        <v>119</v>
      </c>
      <c r="E1857"/>
      <c r="F1857"/>
      <c r="G1857" t="s">
        <v>43</v>
      </c>
      <c r="H1857" t="s">
        <v>859</v>
      </c>
      <c r="I1857"/>
      <c r="J1857">
        <v>2012</v>
      </c>
      <c r="K1857"/>
      <c r="L1857"/>
      <c r="M1857" t="s">
        <v>45</v>
      </c>
      <c r="N1857"/>
      <c r="O1857"/>
      <c r="P1857" t="s">
        <v>1135</v>
      </c>
      <c r="Q1857"/>
      <c r="R1857" t="s">
        <v>1127</v>
      </c>
      <c r="S1857" t="s">
        <v>1128</v>
      </c>
      <c r="T1857" t="s">
        <v>131</v>
      </c>
      <c r="U1857" t="s">
        <v>860</v>
      </c>
      <c r="V1857" t="s">
        <v>861</v>
      </c>
      <c r="W1857"/>
      <c r="X1857"/>
      <c r="Y1857"/>
      <c r="Z1857" t="s">
        <v>49</v>
      </c>
      <c r="AA1857" t="s">
        <v>49</v>
      </c>
      <c r="AB1857" t="s">
        <v>71</v>
      </c>
      <c r="AC1857" t="s">
        <v>72</v>
      </c>
      <c r="AD1857" t="s">
        <v>52</v>
      </c>
      <c r="AE1857" t="s">
        <v>53</v>
      </c>
      <c r="AF1857" t="s">
        <v>52</v>
      </c>
      <c r="AG1857" t="s">
        <v>52</v>
      </c>
      <c r="AH1857" t="s">
        <v>64</v>
      </c>
      <c r="AI1857"/>
      <c r="AJ1857"/>
      <c r="AK1857">
        <v>6</v>
      </c>
      <c r="AL1857">
        <v>6</v>
      </c>
      <c r="AM1857"/>
      <c r="AN1857">
        <v>414</v>
      </c>
      <c r="AO1857" t="s">
        <v>56</v>
      </c>
      <c r="AP1857">
        <v>37</v>
      </c>
      <c r="AQ1857" t="s">
        <v>57</v>
      </c>
      <c r="AR1857">
        <v>8.11</v>
      </c>
      <c r="AS1857" t="s">
        <v>56</v>
      </c>
      <c r="AT1857">
        <v>0.08</v>
      </c>
      <c r="AU1857">
        <v>3110</v>
      </c>
      <c r="AV1857" t="s">
        <v>56</v>
      </c>
      <c r="AW1857">
        <v>249</v>
      </c>
      <c r="AX1857">
        <v>7.44</v>
      </c>
      <c r="AY1857" t="s">
        <v>56</v>
      </c>
      <c r="AZ1857">
        <v>0.11</v>
      </c>
      <c r="BA1857"/>
      <c r="BB1857">
        <f>LOG(AU1857)</f>
        <v>3.4927603890268375</v>
      </c>
      <c r="BC1857">
        <v>19.600000000000001</v>
      </c>
      <c r="BD1857" t="s">
        <v>56</v>
      </c>
      <c r="BE1857">
        <v>0.4</v>
      </c>
      <c r="BF1857">
        <v>26.9</v>
      </c>
      <c r="BG1857" t="s">
        <v>56</v>
      </c>
      <c r="BH1857">
        <v>0.9</v>
      </c>
      <c r="BI1857">
        <v>2697</v>
      </c>
      <c r="BJ1857">
        <v>7.3</v>
      </c>
      <c r="BK1857" t="s">
        <v>56</v>
      </c>
      <c r="BL1857" t="s">
        <v>659</v>
      </c>
      <c r="BM1857" t="s">
        <v>113</v>
      </c>
      <c r="BN1857" t="s">
        <v>81</v>
      </c>
      <c r="BO1857" t="s">
        <v>82</v>
      </c>
      <c r="BP1857" t="s">
        <v>9</v>
      </c>
      <c r="BQ1857" t="s">
        <v>9</v>
      </c>
      <c r="BR1857" t="s">
        <v>84</v>
      </c>
      <c r="BS1857"/>
      <c r="BT1857">
        <v>24.65</v>
      </c>
      <c r="BU1857">
        <v>24.649298600000002</v>
      </c>
      <c r="BV1857">
        <v>7.21</v>
      </c>
      <c r="BW1857">
        <f>BV1857*SQRT(AK1857)</f>
        <v>17.660821045466712</v>
      </c>
      <c r="BX1857">
        <v>19.64</v>
      </c>
      <c r="BY1857">
        <v>19.639278600000001</v>
      </c>
      <c r="BZ1857">
        <v>6.81</v>
      </c>
      <c r="CA1857">
        <f>BZ1857*SQRT(AL1857)</f>
        <v>16.681025148353442</v>
      </c>
      <c r="CB1857">
        <v>29</v>
      </c>
      <c r="CC1857">
        <v>6</v>
      </c>
      <c r="CD1857">
        <v>-0.22700000000000001</v>
      </c>
      <c r="CE1857">
        <v>0.20599999999999999</v>
      </c>
    </row>
    <row r="1858" spans="1:84" s="8" customFormat="1" hidden="1" x14ac:dyDescent="0.2">
      <c r="A1858"/>
      <c r="B1858" t="str">
        <f>ROW()-1&amp;"_AltersInvert"</f>
        <v>1857_AltersInvert</v>
      </c>
      <c r="C1858" t="str">
        <f>D1858&amp;"_"&amp;
SUBSTITUTE(TRIM(V1858)," ","_")&amp;"_"&amp;
TRIM(AC1858)&amp;"_"&amp;
"CO2"&amp;TEXT(AN1858,"0.00")&amp;"_"&amp;
"pH"&amp;TEXT(AR1858,"0.00")&amp;"_"&amp;
"T"&amp;TEXT(BC1858,"0.##")</f>
        <v>208_Fungia_fungites_LARVA_CO2420.00_pH8.17_T28.1</v>
      </c>
      <c r="D1858">
        <v>208</v>
      </c>
      <c r="E1858"/>
      <c r="F1858"/>
      <c r="G1858" t="s">
        <v>43</v>
      </c>
      <c r="H1858" t="s">
        <v>979</v>
      </c>
      <c r="I1858"/>
      <c r="J1858">
        <v>2015</v>
      </c>
      <c r="K1858"/>
      <c r="L1858"/>
      <c r="M1858" t="s">
        <v>980</v>
      </c>
      <c r="N1858"/>
      <c r="O1858"/>
      <c r="P1858" t="s">
        <v>1135</v>
      </c>
      <c r="Q1858"/>
      <c r="R1858" t="s">
        <v>1127</v>
      </c>
      <c r="S1858" t="s">
        <v>1128</v>
      </c>
      <c r="T1858" t="s">
        <v>103</v>
      </c>
      <c r="U1858" t="s">
        <v>981</v>
      </c>
      <c r="V1858" t="s">
        <v>982</v>
      </c>
      <c r="W1858"/>
      <c r="X1858"/>
      <c r="Y1858"/>
      <c r="Z1858" t="s">
        <v>106</v>
      </c>
      <c r="AA1858" t="s">
        <v>107</v>
      </c>
      <c r="AB1858" t="s">
        <v>71</v>
      </c>
      <c r="AC1858" t="s">
        <v>72</v>
      </c>
      <c r="AD1858" t="s">
        <v>54</v>
      </c>
      <c r="AE1858" t="s">
        <v>53</v>
      </c>
      <c r="AF1858" t="s">
        <v>52</v>
      </c>
      <c r="AG1858" t="s">
        <v>54</v>
      </c>
      <c r="AH1858" t="s">
        <v>55</v>
      </c>
      <c r="AI1858"/>
      <c r="AJ1858"/>
      <c r="AK1858">
        <v>3</v>
      </c>
      <c r="AL1858">
        <v>3</v>
      </c>
      <c r="AM1858"/>
      <c r="AN1858">
        <v>420</v>
      </c>
      <c r="AO1858" t="s">
        <v>56</v>
      </c>
      <c r="AP1858">
        <v>39</v>
      </c>
      <c r="AQ1858" t="s">
        <v>57</v>
      </c>
      <c r="AR1858">
        <v>8.17</v>
      </c>
      <c r="AS1858" t="s">
        <v>56</v>
      </c>
      <c r="AT1858">
        <v>0.04</v>
      </c>
      <c r="AU1858">
        <v>1746</v>
      </c>
      <c r="AV1858" t="s">
        <v>56</v>
      </c>
      <c r="AW1858">
        <v>44</v>
      </c>
      <c r="AX1858">
        <v>7.63</v>
      </c>
      <c r="AY1858" t="s">
        <v>56</v>
      </c>
      <c r="AZ1858">
        <v>0.01</v>
      </c>
      <c r="BA1858"/>
      <c r="BB1858">
        <f>LOG(AU1858)</f>
        <v>3.2420442393695508</v>
      </c>
      <c r="BC1858">
        <v>28.1</v>
      </c>
      <c r="BD1858" t="s">
        <v>56</v>
      </c>
      <c r="BE1858">
        <v>0.2</v>
      </c>
      <c r="BF1858">
        <v>28.1</v>
      </c>
      <c r="BG1858" t="s">
        <v>56</v>
      </c>
      <c r="BH1858">
        <v>0.2</v>
      </c>
      <c r="BI1858">
        <v>1326</v>
      </c>
      <c r="BJ1858">
        <v>0</v>
      </c>
      <c r="BK1858" t="s">
        <v>56</v>
      </c>
      <c r="BL1858" t="s">
        <v>83</v>
      </c>
      <c r="BM1858" t="s">
        <v>83</v>
      </c>
      <c r="BN1858" t="s">
        <v>81</v>
      </c>
      <c r="BO1858" t="s">
        <v>82</v>
      </c>
      <c r="BP1858" t="s">
        <v>83</v>
      </c>
      <c r="BQ1858" t="s">
        <v>83</v>
      </c>
      <c r="BR1858" t="s">
        <v>84</v>
      </c>
      <c r="BS1858"/>
      <c r="BT1858">
        <v>68.77</v>
      </c>
      <c r="BU1858">
        <v>68.77</v>
      </c>
      <c r="BV1858">
        <v>11.5</v>
      </c>
      <c r="BW1858">
        <f>BV1858*SQRT(AK1858)</f>
        <v>19.918584287042087</v>
      </c>
      <c r="BX1858">
        <v>57.46</v>
      </c>
      <c r="BY1858">
        <v>57.46</v>
      </c>
      <c r="BZ1858">
        <v>8.36</v>
      </c>
      <c r="CA1858">
        <f>BZ1858*SQRT(AL1858)</f>
        <v>14.479944751275813</v>
      </c>
      <c r="CB1858">
        <v>8</v>
      </c>
      <c r="CC1858">
        <v>3</v>
      </c>
      <c r="CD1858">
        <v>-0.18</v>
      </c>
      <c r="CE1858">
        <v>4.9099999999999998E-2</v>
      </c>
      <c r="CF1858"/>
    </row>
    <row r="1859" spans="1:84" s="8" customFormat="1" hidden="1" x14ac:dyDescent="0.2">
      <c r="A1859"/>
      <c r="B1859" t="str">
        <f>ROW()-1&amp;"_AltersInvert"</f>
        <v>1858_AltersInvert</v>
      </c>
      <c r="C1859" t="str">
        <f>D1859&amp;"_"&amp;
SUBSTITUTE(TRIM(V1859)," ","_")&amp;"_"&amp;
TRIM(AC1859)&amp;"_"&amp;
"CO2"&amp;TEXT(AN1859,"0.00")&amp;"_"&amp;
"pH"&amp;TEXT(AR1859,"0.00")&amp;"_"&amp;
"T"&amp;TEXT(BC1859,"0.##")</f>
        <v>208_Fungia_fungites_LARVA_CO2420.00_pH8.17_T28.1</v>
      </c>
      <c r="D1859">
        <v>208</v>
      </c>
      <c r="E1859"/>
      <c r="F1859"/>
      <c r="G1859" t="s">
        <v>43</v>
      </c>
      <c r="H1859" t="s">
        <v>979</v>
      </c>
      <c r="I1859"/>
      <c r="J1859">
        <v>2015</v>
      </c>
      <c r="K1859"/>
      <c r="L1859"/>
      <c r="M1859" t="s">
        <v>980</v>
      </c>
      <c r="N1859"/>
      <c r="O1859"/>
      <c r="P1859" t="s">
        <v>1135</v>
      </c>
      <c r="Q1859"/>
      <c r="R1859" t="s">
        <v>1127</v>
      </c>
      <c r="S1859" t="s">
        <v>1128</v>
      </c>
      <c r="T1859" t="s">
        <v>103</v>
      </c>
      <c r="U1859" t="s">
        <v>981</v>
      </c>
      <c r="V1859" t="s">
        <v>982</v>
      </c>
      <c r="W1859"/>
      <c r="X1859"/>
      <c r="Y1859"/>
      <c r="Z1859" t="s">
        <v>106</v>
      </c>
      <c r="AA1859" t="s">
        <v>107</v>
      </c>
      <c r="AB1859" t="s">
        <v>71</v>
      </c>
      <c r="AC1859" t="s">
        <v>72</v>
      </c>
      <c r="AD1859" t="s">
        <v>54</v>
      </c>
      <c r="AE1859" t="s">
        <v>53</v>
      </c>
      <c r="AF1859" t="s">
        <v>52</v>
      </c>
      <c r="AG1859" t="s">
        <v>54</v>
      </c>
      <c r="AH1859" t="s">
        <v>55</v>
      </c>
      <c r="AI1859"/>
      <c r="AJ1859"/>
      <c r="AK1859">
        <v>3</v>
      </c>
      <c r="AL1859">
        <v>3</v>
      </c>
      <c r="AM1859"/>
      <c r="AN1859">
        <v>420</v>
      </c>
      <c r="AO1859" t="s">
        <v>56</v>
      </c>
      <c r="AP1859">
        <v>39</v>
      </c>
      <c r="AQ1859" t="s">
        <v>57</v>
      </c>
      <c r="AR1859">
        <v>8.17</v>
      </c>
      <c r="AS1859" t="s">
        <v>56</v>
      </c>
      <c r="AT1859">
        <v>0.04</v>
      </c>
      <c r="AU1859">
        <v>1056</v>
      </c>
      <c r="AV1859" t="s">
        <v>56</v>
      </c>
      <c r="AW1859">
        <v>26</v>
      </c>
      <c r="AX1859">
        <v>7.82</v>
      </c>
      <c r="AY1859" t="s">
        <v>56</v>
      </c>
      <c r="AZ1859">
        <v>0.01</v>
      </c>
      <c r="BA1859"/>
      <c r="BB1859">
        <f>LOG(AU1859)</f>
        <v>3.0236639181977933</v>
      </c>
      <c r="BC1859">
        <v>28.1</v>
      </c>
      <c r="BD1859" t="s">
        <v>56</v>
      </c>
      <c r="BE1859">
        <v>0.2</v>
      </c>
      <c r="BF1859">
        <v>28.1</v>
      </c>
      <c r="BG1859" t="s">
        <v>56</v>
      </c>
      <c r="BH1859">
        <v>0.2</v>
      </c>
      <c r="BI1859">
        <v>636</v>
      </c>
      <c r="BJ1859">
        <v>0</v>
      </c>
      <c r="BK1859" t="s">
        <v>56</v>
      </c>
      <c r="BL1859" t="s">
        <v>83</v>
      </c>
      <c r="BM1859" t="s">
        <v>83</v>
      </c>
      <c r="BN1859" t="s">
        <v>81</v>
      </c>
      <c r="BO1859" t="s">
        <v>82</v>
      </c>
      <c r="BP1859" t="s">
        <v>83</v>
      </c>
      <c r="BQ1859" t="s">
        <v>83</v>
      </c>
      <c r="BR1859" t="s">
        <v>84</v>
      </c>
      <c r="BS1859"/>
      <c r="BT1859">
        <v>68.77</v>
      </c>
      <c r="BU1859">
        <v>68.77</v>
      </c>
      <c r="BV1859">
        <v>11.5</v>
      </c>
      <c r="BW1859">
        <f>BV1859*SQRT(AK1859)</f>
        <v>19.918584287042087</v>
      </c>
      <c r="BX1859">
        <v>61.53</v>
      </c>
      <c r="BY1859">
        <v>61.53</v>
      </c>
      <c r="BZ1859">
        <v>3.14</v>
      </c>
      <c r="CA1859">
        <f>BZ1859*SQRT(AL1859)</f>
        <v>5.4386395357662742</v>
      </c>
      <c r="CB1859">
        <v>8</v>
      </c>
      <c r="CC1859">
        <v>3</v>
      </c>
      <c r="CD1859">
        <v>-0.111</v>
      </c>
      <c r="CE1859">
        <v>3.0499999999999999E-2</v>
      </c>
      <c r="CF1859"/>
    </row>
    <row r="1860" spans="1:84" s="8" customFormat="1" hidden="1" x14ac:dyDescent="0.2">
      <c r="A1860"/>
      <c r="B1860" t="str">
        <f>ROW()-1&amp;"_AltersInvert"</f>
        <v>1859_AltersInvert</v>
      </c>
      <c r="C1860" t="str">
        <f>D1860&amp;"_"&amp;
SUBSTITUTE(TRIM(V1860)," ","_")&amp;"_"&amp;
TRIM(AC1860)&amp;"_"&amp;
"CO2"&amp;TEXT(AN1860,"0.00")&amp;"_"&amp;
"pH"&amp;TEXT(AR1860,"0.00")&amp;"_"&amp;
"T"&amp;TEXT(BC1860,"0.##")</f>
        <v>208_Fungia_fungites_LARVA_CO2420.00_pH8.17_T28.1</v>
      </c>
      <c r="D1860">
        <v>208</v>
      </c>
      <c r="E1860"/>
      <c r="F1860"/>
      <c r="G1860" t="s">
        <v>43</v>
      </c>
      <c r="H1860" t="s">
        <v>979</v>
      </c>
      <c r="I1860"/>
      <c r="J1860">
        <v>2015</v>
      </c>
      <c r="K1860"/>
      <c r="L1860"/>
      <c r="M1860" t="s">
        <v>980</v>
      </c>
      <c r="N1860"/>
      <c r="O1860"/>
      <c r="P1860" t="s">
        <v>1135</v>
      </c>
      <c r="Q1860"/>
      <c r="R1860" t="s">
        <v>1127</v>
      </c>
      <c r="S1860" t="s">
        <v>1128</v>
      </c>
      <c r="T1860" t="s">
        <v>103</v>
      </c>
      <c r="U1860" t="s">
        <v>981</v>
      </c>
      <c r="V1860" t="s">
        <v>982</v>
      </c>
      <c r="W1860"/>
      <c r="X1860"/>
      <c r="Y1860"/>
      <c r="Z1860" t="s">
        <v>106</v>
      </c>
      <c r="AA1860" t="s">
        <v>107</v>
      </c>
      <c r="AB1860" t="s">
        <v>71</v>
      </c>
      <c r="AC1860" t="s">
        <v>72</v>
      </c>
      <c r="AD1860" t="s">
        <v>54</v>
      </c>
      <c r="AE1860" t="s">
        <v>53</v>
      </c>
      <c r="AF1860" t="s">
        <v>54</v>
      </c>
      <c r="AG1860" t="s">
        <v>52</v>
      </c>
      <c r="AH1860" t="s">
        <v>65</v>
      </c>
      <c r="AI1860"/>
      <c r="AJ1860"/>
      <c r="AK1860">
        <v>3</v>
      </c>
      <c r="AL1860">
        <v>3</v>
      </c>
      <c r="AM1860"/>
      <c r="AN1860">
        <v>420</v>
      </c>
      <c r="AO1860" t="s">
        <v>56</v>
      </c>
      <c r="AP1860">
        <v>39</v>
      </c>
      <c r="AQ1860" t="s">
        <v>57</v>
      </c>
      <c r="AR1860">
        <v>8.17</v>
      </c>
      <c r="AS1860" t="s">
        <v>56</v>
      </c>
      <c r="AT1860">
        <v>0.04</v>
      </c>
      <c r="AU1860">
        <v>527</v>
      </c>
      <c r="AV1860" t="s">
        <v>56</v>
      </c>
      <c r="AW1860">
        <v>48</v>
      </c>
      <c r="AX1860">
        <v>8.08</v>
      </c>
      <c r="AY1860" t="s">
        <v>56</v>
      </c>
      <c r="AZ1860">
        <v>7.0000000000000007E-2</v>
      </c>
      <c r="BA1860"/>
      <c r="BB1860">
        <f>LOG(AU1860)</f>
        <v>2.7218106152125467</v>
      </c>
      <c r="BC1860">
        <v>28.1</v>
      </c>
      <c r="BD1860" t="s">
        <v>56</v>
      </c>
      <c r="BE1860">
        <v>0.2</v>
      </c>
      <c r="BF1860">
        <v>34.1</v>
      </c>
      <c r="BG1860" t="s">
        <v>56</v>
      </c>
      <c r="BH1860">
        <v>0.2</v>
      </c>
      <c r="BI1860">
        <v>107</v>
      </c>
      <c r="BJ1860">
        <v>6</v>
      </c>
      <c r="BK1860" t="s">
        <v>56</v>
      </c>
      <c r="BL1860" t="s">
        <v>83</v>
      </c>
      <c r="BM1860" t="s">
        <v>83</v>
      </c>
      <c r="BN1860" t="s">
        <v>81</v>
      </c>
      <c r="BO1860" t="s">
        <v>82</v>
      </c>
      <c r="BP1860" t="s">
        <v>83</v>
      </c>
      <c r="BQ1860" t="s">
        <v>83</v>
      </c>
      <c r="BR1860" t="s">
        <v>84</v>
      </c>
      <c r="BS1860"/>
      <c r="BT1860">
        <v>68.77</v>
      </c>
      <c r="BU1860">
        <v>68.77</v>
      </c>
      <c r="BV1860">
        <v>11.5</v>
      </c>
      <c r="BW1860">
        <f>BV1860*SQRT(AK1860)</f>
        <v>19.918584287042087</v>
      </c>
      <c r="BX1860">
        <v>61.08</v>
      </c>
      <c r="BY1860">
        <v>61.08</v>
      </c>
      <c r="BZ1860">
        <v>12.8</v>
      </c>
      <c r="CA1860">
        <f>BZ1860*SQRT(AL1860)</f>
        <v>22.170250336881629</v>
      </c>
      <c r="CB1860">
        <v>8</v>
      </c>
      <c r="CC1860">
        <v>3</v>
      </c>
      <c r="CD1860">
        <v>-0.11899999999999999</v>
      </c>
      <c r="CE1860">
        <v>7.1900000000000006E-2</v>
      </c>
      <c r="CF1860"/>
    </row>
    <row r="1861" spans="1:84" s="8" customFormat="1" hidden="1" x14ac:dyDescent="0.2">
      <c r="A1861"/>
      <c r="B1861" t="str">
        <f>ROW()-1&amp;"_AltersInvert"</f>
        <v>1860_AltersInvert</v>
      </c>
      <c r="C1861" t="str">
        <f>D1861&amp;"_"&amp;
SUBSTITUTE(TRIM(V1861)," ","_")&amp;"_"&amp;
TRIM(AC1861)&amp;"_"&amp;
"CO2"&amp;TEXT(AN1861,"0.00")&amp;"_"&amp;
"pH"&amp;TEXT(AR1861,"0.00")&amp;"_"&amp;
"T"&amp;TEXT(BC1861,"0.##")</f>
        <v>208_Fungia_fungites_LARVA_CO2420.00_pH8.17_T28.1</v>
      </c>
      <c r="D1861">
        <v>208</v>
      </c>
      <c r="E1861"/>
      <c r="F1861"/>
      <c r="G1861" t="s">
        <v>43</v>
      </c>
      <c r="H1861" t="s">
        <v>979</v>
      </c>
      <c r="I1861"/>
      <c r="J1861">
        <v>2015</v>
      </c>
      <c r="K1861"/>
      <c r="L1861"/>
      <c r="M1861" t="s">
        <v>980</v>
      </c>
      <c r="N1861"/>
      <c r="O1861"/>
      <c r="P1861" t="s">
        <v>1135</v>
      </c>
      <c r="Q1861"/>
      <c r="R1861" t="s">
        <v>1127</v>
      </c>
      <c r="S1861" t="s">
        <v>1128</v>
      </c>
      <c r="T1861" t="s">
        <v>103</v>
      </c>
      <c r="U1861" t="s">
        <v>981</v>
      </c>
      <c r="V1861" t="s">
        <v>982</v>
      </c>
      <c r="W1861"/>
      <c r="X1861"/>
      <c r="Y1861"/>
      <c r="Z1861" t="s">
        <v>106</v>
      </c>
      <c r="AA1861" t="s">
        <v>107</v>
      </c>
      <c r="AB1861" t="s">
        <v>71</v>
      </c>
      <c r="AC1861" t="s">
        <v>72</v>
      </c>
      <c r="AD1861" t="s">
        <v>54</v>
      </c>
      <c r="AE1861" t="s">
        <v>53</v>
      </c>
      <c r="AF1861" t="s">
        <v>54</v>
      </c>
      <c r="AG1861" t="s">
        <v>52</v>
      </c>
      <c r="AH1861" t="s">
        <v>65</v>
      </c>
      <c r="AI1861"/>
      <c r="AJ1861"/>
      <c r="AK1861">
        <v>3</v>
      </c>
      <c r="AL1861">
        <v>3</v>
      </c>
      <c r="AM1861"/>
      <c r="AN1861">
        <v>420</v>
      </c>
      <c r="AO1861" t="s">
        <v>56</v>
      </c>
      <c r="AP1861">
        <v>39</v>
      </c>
      <c r="AQ1861" t="s">
        <v>57</v>
      </c>
      <c r="AR1861">
        <v>8.17</v>
      </c>
      <c r="AS1861" t="s">
        <v>56</v>
      </c>
      <c r="AT1861">
        <v>0.04</v>
      </c>
      <c r="AU1861">
        <v>474</v>
      </c>
      <c r="AV1861" t="s">
        <v>56</v>
      </c>
      <c r="AW1861">
        <v>43</v>
      </c>
      <c r="AX1861">
        <v>8.1300000000000008</v>
      </c>
      <c r="AY1861" t="s">
        <v>56</v>
      </c>
      <c r="AZ1861">
        <v>0.04</v>
      </c>
      <c r="BA1861"/>
      <c r="BB1861">
        <f>LOG(AU1861)</f>
        <v>2.6757783416740852</v>
      </c>
      <c r="BC1861">
        <v>28.1</v>
      </c>
      <c r="BD1861" t="s">
        <v>56</v>
      </c>
      <c r="BE1861">
        <v>0.2</v>
      </c>
      <c r="BF1861">
        <v>31.2</v>
      </c>
      <c r="BG1861" t="s">
        <v>56</v>
      </c>
      <c r="BH1861">
        <v>0.2</v>
      </c>
      <c r="BI1861">
        <v>54</v>
      </c>
      <c r="BJ1861">
        <v>3.1</v>
      </c>
      <c r="BK1861" t="s">
        <v>56</v>
      </c>
      <c r="BL1861" t="s">
        <v>83</v>
      </c>
      <c r="BM1861" t="s">
        <v>83</v>
      </c>
      <c r="BN1861" t="s">
        <v>81</v>
      </c>
      <c r="BO1861" t="s">
        <v>82</v>
      </c>
      <c r="BP1861" t="s">
        <v>83</v>
      </c>
      <c r="BQ1861" t="s">
        <v>83</v>
      </c>
      <c r="BR1861" t="s">
        <v>84</v>
      </c>
      <c r="BS1861"/>
      <c r="BT1861">
        <v>68.77</v>
      </c>
      <c r="BU1861">
        <v>68.77</v>
      </c>
      <c r="BV1861">
        <v>11.5</v>
      </c>
      <c r="BW1861">
        <f>BV1861*SQRT(AK1861)</f>
        <v>19.918584287042087</v>
      </c>
      <c r="BX1861">
        <v>66.959999999999994</v>
      </c>
      <c r="BY1861">
        <v>66.959999999999994</v>
      </c>
      <c r="BZ1861">
        <v>4.97</v>
      </c>
      <c r="CA1861">
        <f>BZ1861*SQRT(AL1861)</f>
        <v>8.6082925136173198</v>
      </c>
      <c r="CB1861">
        <v>8</v>
      </c>
      <c r="CC1861">
        <v>3</v>
      </c>
      <c r="CD1861">
        <v>-2.7E-2</v>
      </c>
      <c r="CE1861">
        <v>3.3399999999999999E-2</v>
      </c>
      <c r="CF1861"/>
    </row>
    <row r="1862" spans="1:84" s="8" customFormat="1" hidden="1" x14ac:dyDescent="0.2">
      <c r="A1862"/>
      <c r="B1862" t="str">
        <f>ROW()-1&amp;"_AltersInvert"</f>
        <v>1861_AltersInvert</v>
      </c>
      <c r="C1862" t="str">
        <f>D1862&amp;"_"&amp;
SUBSTITUTE(TRIM(V1862)," ","_")&amp;"_"&amp;
TRIM(AC1862)&amp;"_"&amp;
"CO2"&amp;TEXT(AN1862,"0.00")&amp;"_"&amp;
"pH"&amp;TEXT(AR1862,"0.00")&amp;"_"&amp;
"T"&amp;TEXT(BC1862,"0.##")</f>
        <v>208_Fungia_fungites_LARVA_CO2420.00_pH8.17_T28.1</v>
      </c>
      <c r="D1862">
        <v>208</v>
      </c>
      <c r="E1862"/>
      <c r="F1862"/>
      <c r="G1862" t="s">
        <v>43</v>
      </c>
      <c r="H1862" t="s">
        <v>979</v>
      </c>
      <c r="I1862"/>
      <c r="J1862">
        <v>2015</v>
      </c>
      <c r="K1862"/>
      <c r="L1862"/>
      <c r="M1862" t="s">
        <v>980</v>
      </c>
      <c r="N1862"/>
      <c r="O1862"/>
      <c r="P1862" t="s">
        <v>1135</v>
      </c>
      <c r="Q1862"/>
      <c r="R1862" t="s">
        <v>1127</v>
      </c>
      <c r="S1862" t="s">
        <v>1128</v>
      </c>
      <c r="T1862" t="s">
        <v>103</v>
      </c>
      <c r="U1862" t="s">
        <v>981</v>
      </c>
      <c r="V1862" t="s">
        <v>982</v>
      </c>
      <c r="W1862"/>
      <c r="X1862"/>
      <c r="Y1862"/>
      <c r="Z1862" t="s">
        <v>106</v>
      </c>
      <c r="AA1862" t="s">
        <v>107</v>
      </c>
      <c r="AB1862" t="s">
        <v>71</v>
      </c>
      <c r="AC1862" t="s">
        <v>72</v>
      </c>
      <c r="AD1862" t="s">
        <v>54</v>
      </c>
      <c r="AE1862" t="s">
        <v>53</v>
      </c>
      <c r="AF1862" t="s">
        <v>52</v>
      </c>
      <c r="AG1862" t="s">
        <v>52</v>
      </c>
      <c r="AH1862" t="s">
        <v>64</v>
      </c>
      <c r="AI1862"/>
      <c r="AJ1862"/>
      <c r="AK1862">
        <v>3</v>
      </c>
      <c r="AL1862">
        <v>3</v>
      </c>
      <c r="AM1862"/>
      <c r="AN1862">
        <v>420</v>
      </c>
      <c r="AO1862" t="s">
        <v>56</v>
      </c>
      <c r="AP1862">
        <v>39</v>
      </c>
      <c r="AQ1862" t="s">
        <v>57</v>
      </c>
      <c r="AR1862">
        <v>8.17</v>
      </c>
      <c r="AS1862" t="s">
        <v>56</v>
      </c>
      <c r="AT1862">
        <v>0.04</v>
      </c>
      <c r="AU1862">
        <v>1968</v>
      </c>
      <c r="AV1862" t="s">
        <v>56</v>
      </c>
      <c r="AW1862">
        <v>49</v>
      </c>
      <c r="AX1862">
        <v>7.59</v>
      </c>
      <c r="AY1862" t="s">
        <v>56</v>
      </c>
      <c r="AZ1862">
        <v>0.01</v>
      </c>
      <c r="BA1862"/>
      <c r="BB1862">
        <f>LOG(AU1862)</f>
        <v>3.2940250940953226</v>
      </c>
      <c r="BC1862">
        <v>28.1</v>
      </c>
      <c r="BD1862" t="s">
        <v>56</v>
      </c>
      <c r="BE1862">
        <v>0.2</v>
      </c>
      <c r="BF1862">
        <v>31.2</v>
      </c>
      <c r="BG1862" t="s">
        <v>56</v>
      </c>
      <c r="BH1862">
        <v>0.2</v>
      </c>
      <c r="BI1862">
        <v>1548</v>
      </c>
      <c r="BJ1862">
        <v>3.1</v>
      </c>
      <c r="BK1862" t="s">
        <v>56</v>
      </c>
      <c r="BL1862" t="s">
        <v>83</v>
      </c>
      <c r="BM1862" t="s">
        <v>83</v>
      </c>
      <c r="BN1862" t="s">
        <v>81</v>
      </c>
      <c r="BO1862" t="s">
        <v>82</v>
      </c>
      <c r="BP1862" t="s">
        <v>83</v>
      </c>
      <c r="BQ1862" t="s">
        <v>83</v>
      </c>
      <c r="BR1862" t="s">
        <v>84</v>
      </c>
      <c r="BS1862"/>
      <c r="BT1862">
        <v>68.77</v>
      </c>
      <c r="BU1862">
        <v>68.77</v>
      </c>
      <c r="BV1862">
        <v>11.5</v>
      </c>
      <c r="BW1862">
        <f>BV1862*SQRT(AK1862)</f>
        <v>19.918584287042087</v>
      </c>
      <c r="BX1862">
        <v>51.58</v>
      </c>
      <c r="BY1862">
        <v>51.58</v>
      </c>
      <c r="BZ1862">
        <v>4.18</v>
      </c>
      <c r="CA1862">
        <f>BZ1862*SQRT(AL1862)</f>
        <v>7.2399723756379064</v>
      </c>
      <c r="CB1862">
        <v>8</v>
      </c>
      <c r="CC1862">
        <v>3</v>
      </c>
      <c r="CD1862">
        <v>-0.28799999999999998</v>
      </c>
      <c r="CE1862">
        <v>3.4500000000000003E-2</v>
      </c>
      <c r="CF1862"/>
    </row>
    <row r="1863" spans="1:84" s="8" customFormat="1" hidden="1" x14ac:dyDescent="0.2">
      <c r="A1863"/>
      <c r="B1863" t="str">
        <f>ROW()-1&amp;"_AltersInvert"</f>
        <v>1862_AltersInvert</v>
      </c>
      <c r="C1863" t="str">
        <f>D1863&amp;"_"&amp;
SUBSTITUTE(TRIM(V1863)," ","_")&amp;"_"&amp;
TRIM(AC1863)&amp;"_"&amp;
"CO2"&amp;TEXT(AN1863,"0.00")&amp;"_"&amp;
"pH"&amp;TEXT(AR1863,"0.00")&amp;"_"&amp;
"T"&amp;TEXT(BC1863,"0.##")</f>
        <v>208_Fungia_fungites_LARVA_CO2420.00_pH8.17_T28.1</v>
      </c>
      <c r="D1863">
        <v>208</v>
      </c>
      <c r="E1863"/>
      <c r="F1863"/>
      <c r="G1863" t="s">
        <v>43</v>
      </c>
      <c r="H1863" t="s">
        <v>979</v>
      </c>
      <c r="I1863"/>
      <c r="J1863">
        <v>2015</v>
      </c>
      <c r="K1863"/>
      <c r="L1863"/>
      <c r="M1863" t="s">
        <v>980</v>
      </c>
      <c r="N1863"/>
      <c r="O1863"/>
      <c r="P1863" t="s">
        <v>1135</v>
      </c>
      <c r="Q1863"/>
      <c r="R1863" t="s">
        <v>1127</v>
      </c>
      <c r="S1863" t="s">
        <v>1128</v>
      </c>
      <c r="T1863" t="s">
        <v>103</v>
      </c>
      <c r="U1863" t="s">
        <v>981</v>
      </c>
      <c r="V1863" t="s">
        <v>982</v>
      </c>
      <c r="W1863"/>
      <c r="X1863"/>
      <c r="Y1863"/>
      <c r="Z1863" t="s">
        <v>106</v>
      </c>
      <c r="AA1863" t="s">
        <v>107</v>
      </c>
      <c r="AB1863" t="s">
        <v>71</v>
      </c>
      <c r="AC1863" t="s">
        <v>72</v>
      </c>
      <c r="AD1863" t="s">
        <v>54</v>
      </c>
      <c r="AE1863" t="s">
        <v>53</v>
      </c>
      <c r="AF1863" t="s">
        <v>52</v>
      </c>
      <c r="AG1863" t="s">
        <v>52</v>
      </c>
      <c r="AH1863" t="s">
        <v>64</v>
      </c>
      <c r="AI1863"/>
      <c r="AJ1863"/>
      <c r="AK1863">
        <v>3</v>
      </c>
      <c r="AL1863">
        <v>3</v>
      </c>
      <c r="AM1863"/>
      <c r="AN1863">
        <v>420</v>
      </c>
      <c r="AO1863" t="s">
        <v>56</v>
      </c>
      <c r="AP1863">
        <v>39</v>
      </c>
      <c r="AQ1863" t="s">
        <v>57</v>
      </c>
      <c r="AR1863">
        <v>8.17</v>
      </c>
      <c r="AS1863" t="s">
        <v>56</v>
      </c>
      <c r="AT1863">
        <v>0.04</v>
      </c>
      <c r="AU1863">
        <v>1191</v>
      </c>
      <c r="AV1863" t="s">
        <v>56</v>
      </c>
      <c r="AW1863">
        <v>30</v>
      </c>
      <c r="AX1863">
        <v>7.79</v>
      </c>
      <c r="AY1863" t="s">
        <v>56</v>
      </c>
      <c r="AZ1863">
        <v>0.01</v>
      </c>
      <c r="BA1863"/>
      <c r="BB1863">
        <f>LOG(AU1863)</f>
        <v>3.0759117614827773</v>
      </c>
      <c r="BC1863">
        <v>28.1</v>
      </c>
      <c r="BD1863" t="s">
        <v>56</v>
      </c>
      <c r="BE1863">
        <v>0.2</v>
      </c>
      <c r="BF1863">
        <v>31.2</v>
      </c>
      <c r="BG1863" t="s">
        <v>56</v>
      </c>
      <c r="BH1863">
        <v>0.2</v>
      </c>
      <c r="BI1863">
        <v>771</v>
      </c>
      <c r="BJ1863">
        <v>3.1</v>
      </c>
      <c r="BK1863" t="s">
        <v>56</v>
      </c>
      <c r="BL1863" t="s">
        <v>83</v>
      </c>
      <c r="BM1863" t="s">
        <v>83</v>
      </c>
      <c r="BN1863" t="s">
        <v>81</v>
      </c>
      <c r="BO1863" t="s">
        <v>82</v>
      </c>
      <c r="BP1863" t="s">
        <v>83</v>
      </c>
      <c r="BQ1863" t="s">
        <v>83</v>
      </c>
      <c r="BR1863" t="s">
        <v>84</v>
      </c>
      <c r="BS1863"/>
      <c r="BT1863">
        <v>68.77</v>
      </c>
      <c r="BU1863">
        <v>68.77</v>
      </c>
      <c r="BV1863">
        <v>11.5</v>
      </c>
      <c r="BW1863">
        <f>BV1863*SQRT(AK1863)</f>
        <v>19.918584287042087</v>
      </c>
      <c r="BX1863">
        <v>56.11</v>
      </c>
      <c r="BY1863">
        <v>56.11</v>
      </c>
      <c r="BZ1863">
        <v>9.93</v>
      </c>
      <c r="CA1863">
        <f>BZ1863*SQRT(AL1863)</f>
        <v>17.199264519158952</v>
      </c>
      <c r="CB1863">
        <v>8</v>
      </c>
      <c r="CC1863">
        <v>3</v>
      </c>
      <c r="CD1863">
        <v>-0.20300000000000001</v>
      </c>
      <c r="CE1863">
        <v>5.9200000000000003E-2</v>
      </c>
      <c r="CF1863"/>
    </row>
    <row r="1864" spans="1:84" s="8" customFormat="1" hidden="1" x14ac:dyDescent="0.2">
      <c r="A1864"/>
      <c r="B1864" t="str">
        <f>ROW()-1&amp;"_AltersInvert"</f>
        <v>1863_AltersInvert</v>
      </c>
      <c r="C1864" t="str">
        <f>D1864&amp;"_"&amp;
SUBSTITUTE(TRIM(V1864)," ","_")&amp;"_"&amp;
TRIM(AC1864)&amp;"_"&amp;
"CO2"&amp;TEXT(AN1864,"0.00")&amp;"_"&amp;
"pH"&amp;TEXT(AR1864,"0.00")&amp;"_"&amp;
"T"&amp;TEXT(BC1864,"0.##")</f>
        <v>208_Fungia_fungites_LARVA_CO2420.00_pH8.17_T28.1</v>
      </c>
      <c r="D1864">
        <v>208</v>
      </c>
      <c r="E1864"/>
      <c r="F1864"/>
      <c r="G1864" t="s">
        <v>43</v>
      </c>
      <c r="H1864" t="s">
        <v>979</v>
      </c>
      <c r="I1864"/>
      <c r="J1864">
        <v>2015</v>
      </c>
      <c r="K1864"/>
      <c r="L1864"/>
      <c r="M1864" t="s">
        <v>980</v>
      </c>
      <c r="N1864"/>
      <c r="O1864"/>
      <c r="P1864" t="s">
        <v>1135</v>
      </c>
      <c r="Q1864"/>
      <c r="R1864" t="s">
        <v>1127</v>
      </c>
      <c r="S1864" t="s">
        <v>1128</v>
      </c>
      <c r="T1864" t="s">
        <v>103</v>
      </c>
      <c r="U1864" t="s">
        <v>981</v>
      </c>
      <c r="V1864" t="s">
        <v>982</v>
      </c>
      <c r="W1864"/>
      <c r="X1864"/>
      <c r="Y1864"/>
      <c r="Z1864" t="s">
        <v>106</v>
      </c>
      <c r="AA1864" t="s">
        <v>107</v>
      </c>
      <c r="AB1864" t="s">
        <v>71</v>
      </c>
      <c r="AC1864" t="s">
        <v>72</v>
      </c>
      <c r="AD1864" t="s">
        <v>54</v>
      </c>
      <c r="AE1864" t="s">
        <v>53</v>
      </c>
      <c r="AF1864" t="s">
        <v>52</v>
      </c>
      <c r="AG1864" t="s">
        <v>52</v>
      </c>
      <c r="AH1864" t="s">
        <v>64</v>
      </c>
      <c r="AI1864"/>
      <c r="AJ1864"/>
      <c r="AK1864">
        <v>3</v>
      </c>
      <c r="AL1864">
        <v>3</v>
      </c>
      <c r="AM1864"/>
      <c r="AN1864">
        <v>420</v>
      </c>
      <c r="AO1864" t="s">
        <v>56</v>
      </c>
      <c r="AP1864">
        <v>39</v>
      </c>
      <c r="AQ1864" t="s">
        <v>57</v>
      </c>
      <c r="AR1864">
        <v>8.17</v>
      </c>
      <c r="AS1864" t="s">
        <v>56</v>
      </c>
      <c r="AT1864">
        <v>0.04</v>
      </c>
      <c r="AU1864">
        <v>2189</v>
      </c>
      <c r="AV1864" t="s">
        <v>56</v>
      </c>
      <c r="AW1864">
        <v>55</v>
      </c>
      <c r="AX1864">
        <v>7.57</v>
      </c>
      <c r="AY1864" t="s">
        <v>56</v>
      </c>
      <c r="AZ1864">
        <v>0.1</v>
      </c>
      <c r="BA1864"/>
      <c r="BB1864">
        <f>LOG(AU1864)</f>
        <v>3.3402457615679317</v>
      </c>
      <c r="BC1864">
        <v>28.1</v>
      </c>
      <c r="BD1864" t="s">
        <v>56</v>
      </c>
      <c r="BE1864">
        <v>0.2</v>
      </c>
      <c r="BF1864">
        <v>34.1</v>
      </c>
      <c r="BG1864" t="s">
        <v>56</v>
      </c>
      <c r="BH1864">
        <v>0.2</v>
      </c>
      <c r="BI1864">
        <v>1769</v>
      </c>
      <c r="BJ1864">
        <v>6</v>
      </c>
      <c r="BK1864" t="s">
        <v>56</v>
      </c>
      <c r="BL1864" t="s">
        <v>83</v>
      </c>
      <c r="BM1864" t="s">
        <v>83</v>
      </c>
      <c r="BN1864" t="s">
        <v>81</v>
      </c>
      <c r="BO1864" t="s">
        <v>82</v>
      </c>
      <c r="BP1864" t="s">
        <v>83</v>
      </c>
      <c r="BQ1864" t="s">
        <v>83</v>
      </c>
      <c r="BR1864" t="s">
        <v>84</v>
      </c>
      <c r="BS1864"/>
      <c r="BT1864">
        <v>68.77</v>
      </c>
      <c r="BU1864">
        <v>68.77</v>
      </c>
      <c r="BV1864">
        <v>11.5</v>
      </c>
      <c r="BW1864">
        <f>BV1864*SQRT(AK1864)</f>
        <v>19.918584287042087</v>
      </c>
      <c r="BX1864">
        <v>60.63</v>
      </c>
      <c r="BY1864">
        <v>60.63</v>
      </c>
      <c r="BZ1864">
        <v>14.1</v>
      </c>
      <c r="CA1864">
        <f>BZ1864*SQRT(AL1864)</f>
        <v>24.421916386721168</v>
      </c>
      <c r="CB1864">
        <v>8</v>
      </c>
      <c r="CC1864">
        <v>3</v>
      </c>
      <c r="CD1864">
        <v>-0.126</v>
      </c>
      <c r="CE1864">
        <v>8.2100000000000006E-2</v>
      </c>
      <c r="CF1864"/>
    </row>
    <row r="1865" spans="1:84" s="8" customFormat="1" hidden="1" x14ac:dyDescent="0.2">
      <c r="A1865"/>
      <c r="B1865" t="str">
        <f>ROW()-1&amp;"_AltersInvert"</f>
        <v>1864_AltersInvert</v>
      </c>
      <c r="C1865" t="str">
        <f>D1865&amp;"_"&amp;
SUBSTITUTE(TRIM(V1865)," ","_")&amp;"_"&amp;
TRIM(AC1865)&amp;"_"&amp;
"CO2"&amp;TEXT(AN1865,"0.00")&amp;"_"&amp;
"pH"&amp;TEXT(AR1865,"0.00")&amp;"_"&amp;
"T"&amp;TEXT(BC1865,"0.##")</f>
        <v>208_Fungia_fungites_LARVA_CO2420.00_pH8.17_T28.1</v>
      </c>
      <c r="D1865">
        <v>208</v>
      </c>
      <c r="E1865"/>
      <c r="F1865"/>
      <c r="G1865" t="s">
        <v>43</v>
      </c>
      <c r="H1865" t="s">
        <v>979</v>
      </c>
      <c r="I1865"/>
      <c r="J1865">
        <v>2015</v>
      </c>
      <c r="K1865"/>
      <c r="L1865"/>
      <c r="M1865" t="s">
        <v>980</v>
      </c>
      <c r="N1865"/>
      <c r="O1865"/>
      <c r="P1865" t="s">
        <v>1135</v>
      </c>
      <c r="Q1865"/>
      <c r="R1865" t="s">
        <v>1127</v>
      </c>
      <c r="S1865" t="s">
        <v>1128</v>
      </c>
      <c r="T1865" t="s">
        <v>103</v>
      </c>
      <c r="U1865" t="s">
        <v>981</v>
      </c>
      <c r="V1865" t="s">
        <v>982</v>
      </c>
      <c r="W1865"/>
      <c r="X1865"/>
      <c r="Y1865"/>
      <c r="Z1865" t="s">
        <v>106</v>
      </c>
      <c r="AA1865" t="s">
        <v>107</v>
      </c>
      <c r="AB1865" t="s">
        <v>71</v>
      </c>
      <c r="AC1865" t="s">
        <v>72</v>
      </c>
      <c r="AD1865" t="s">
        <v>54</v>
      </c>
      <c r="AE1865" t="s">
        <v>53</v>
      </c>
      <c r="AF1865" t="s">
        <v>52</v>
      </c>
      <c r="AG1865" t="s">
        <v>52</v>
      </c>
      <c r="AH1865" t="s">
        <v>64</v>
      </c>
      <c r="AI1865"/>
      <c r="AJ1865"/>
      <c r="AK1865">
        <v>3</v>
      </c>
      <c r="AL1865">
        <v>3</v>
      </c>
      <c r="AM1865"/>
      <c r="AN1865">
        <v>420</v>
      </c>
      <c r="AO1865" t="s">
        <v>56</v>
      </c>
      <c r="AP1865">
        <v>39</v>
      </c>
      <c r="AQ1865" t="s">
        <v>57</v>
      </c>
      <c r="AR1865">
        <v>8.17</v>
      </c>
      <c r="AS1865" t="s">
        <v>56</v>
      </c>
      <c r="AT1865">
        <v>0.04</v>
      </c>
      <c r="AU1865">
        <v>1325</v>
      </c>
      <c r="AV1865" t="s">
        <v>56</v>
      </c>
      <c r="AW1865">
        <v>33</v>
      </c>
      <c r="AX1865">
        <v>7.74</v>
      </c>
      <c r="AY1865" t="s">
        <v>56</v>
      </c>
      <c r="AZ1865">
        <v>0.03</v>
      </c>
      <c r="BA1865"/>
      <c r="BB1865">
        <f>LOG(AU1865)</f>
        <v>3.1222158782728267</v>
      </c>
      <c r="BC1865">
        <v>28.1</v>
      </c>
      <c r="BD1865" t="s">
        <v>56</v>
      </c>
      <c r="BE1865">
        <v>0.2</v>
      </c>
      <c r="BF1865">
        <v>34.1</v>
      </c>
      <c r="BG1865" t="s">
        <v>56</v>
      </c>
      <c r="BH1865">
        <v>0.2</v>
      </c>
      <c r="BI1865">
        <v>905</v>
      </c>
      <c r="BJ1865">
        <v>6</v>
      </c>
      <c r="BK1865" t="s">
        <v>56</v>
      </c>
      <c r="BL1865" t="s">
        <v>83</v>
      </c>
      <c r="BM1865" t="s">
        <v>83</v>
      </c>
      <c r="BN1865" t="s">
        <v>81</v>
      </c>
      <c r="BO1865" t="s">
        <v>82</v>
      </c>
      <c r="BP1865" t="s">
        <v>83</v>
      </c>
      <c r="BQ1865" t="s">
        <v>83</v>
      </c>
      <c r="BR1865" t="s">
        <v>84</v>
      </c>
      <c r="BS1865"/>
      <c r="BT1865">
        <v>68.77</v>
      </c>
      <c r="BU1865">
        <v>68.77</v>
      </c>
      <c r="BV1865">
        <v>11.5</v>
      </c>
      <c r="BW1865">
        <f>BV1865*SQRT(AK1865)</f>
        <v>19.918584287042087</v>
      </c>
      <c r="BX1865">
        <v>61.99</v>
      </c>
      <c r="BY1865">
        <v>61.99</v>
      </c>
      <c r="BZ1865">
        <v>10.18</v>
      </c>
      <c r="CA1865">
        <f>BZ1865*SQRT(AL1865)</f>
        <v>17.632277221051169</v>
      </c>
      <c r="CB1865">
        <v>8</v>
      </c>
      <c r="CC1865">
        <v>3</v>
      </c>
      <c r="CD1865">
        <v>-0.104</v>
      </c>
      <c r="CE1865">
        <v>5.4899999999999997E-2</v>
      </c>
      <c r="CF1865"/>
    </row>
    <row r="1866" spans="1:84" s="8" customFormat="1" hidden="1" x14ac:dyDescent="0.2">
      <c r="A1866" s="11"/>
      <c r="B1866" t="str">
        <f>ROW()-1&amp;"_AltersInvert"</f>
        <v>1865_AltersInvert</v>
      </c>
      <c r="C1866" s="11" t="str">
        <f>D1866&amp;"_"&amp;
SUBSTITUTE(TRIM(V1866)," ","_")&amp;"_"&amp;
TRIM(AC1866)&amp;"_"&amp;
"CO2"&amp;TEXT(AN1866,"0.00")&amp;"_"&amp;
"pH"&amp;TEXT(AR1866,"0.00")&amp;"_"&amp;
"T"&amp;TEXT(BC1866,"0.##")</f>
        <v>197_Arbacia_lixula_EMBRYO_CO2498.00_pH8.16_T20.4</v>
      </c>
      <c r="D1866" s="11">
        <v>197</v>
      </c>
      <c r="E1866" s="11"/>
      <c r="F1866" s="11"/>
      <c r="G1866" t="s">
        <v>43</v>
      </c>
      <c r="H1866" s="11" t="s">
        <v>932</v>
      </c>
      <c r="I1866" s="11"/>
      <c r="J1866" s="11">
        <v>2014</v>
      </c>
      <c r="K1866" s="11"/>
      <c r="L1866" s="11"/>
      <c r="M1866" s="11" t="s">
        <v>308</v>
      </c>
      <c r="N1866" s="11"/>
      <c r="O1866" s="11"/>
      <c r="P1866" s="11"/>
      <c r="Q1866" s="11"/>
      <c r="R1866" s="11"/>
      <c r="S1866" s="11"/>
      <c r="T1866" s="11" t="s">
        <v>46</v>
      </c>
      <c r="U1866" s="11" t="s">
        <v>507</v>
      </c>
      <c r="V1866" s="11" t="s">
        <v>508</v>
      </c>
      <c r="W1866" s="11" t="str">
        <f>IF(ISNUMBER(MATCH(#REF!,{"Doryteuthis pealeii","Loligo vulgaris","Leptuca thayeri","Stylocheilus striatus","Ophryotrocha labronica"},0)),"N","Y")</f>
        <v>Y</v>
      </c>
      <c r="X1866" s="11"/>
      <c r="Y1866" s="11"/>
      <c r="Z1866" s="11" t="s">
        <v>509</v>
      </c>
      <c r="AA1866" s="11" t="s">
        <v>49</v>
      </c>
      <c r="AB1866" s="11" t="s">
        <v>71</v>
      </c>
      <c r="AC1866" s="11" t="s">
        <v>195</v>
      </c>
      <c r="AD1866" s="11" t="s">
        <v>52</v>
      </c>
      <c r="AE1866" s="11" t="s">
        <v>53</v>
      </c>
      <c r="AF1866" s="11" t="s">
        <v>54</v>
      </c>
      <c r="AG1866" s="11" t="s">
        <v>52</v>
      </c>
      <c r="AH1866" s="11" t="s">
        <v>65</v>
      </c>
      <c r="AI1866" s="11"/>
      <c r="AJ1866" s="11"/>
      <c r="AK1866" s="11">
        <v>6</v>
      </c>
      <c r="AL1866" s="11">
        <v>6</v>
      </c>
      <c r="AM1866" s="11" t="s">
        <v>935</v>
      </c>
      <c r="AN1866" s="11">
        <v>498</v>
      </c>
      <c r="AO1866" s="11" t="s">
        <v>56</v>
      </c>
      <c r="AP1866" s="11">
        <v>17</v>
      </c>
      <c r="AQ1866" s="11" t="s">
        <v>57</v>
      </c>
      <c r="AR1866" s="11">
        <v>8.16</v>
      </c>
      <c r="AS1866" s="11" t="s">
        <v>56</v>
      </c>
      <c r="AT1866" s="11">
        <v>0.01</v>
      </c>
      <c r="AU1866" s="11">
        <v>544</v>
      </c>
      <c r="AV1866" s="11" t="s">
        <v>56</v>
      </c>
      <c r="AW1866" s="11">
        <v>15</v>
      </c>
      <c r="AX1866" s="11">
        <v>8.14</v>
      </c>
      <c r="AY1866" s="11" t="s">
        <v>56</v>
      </c>
      <c r="AZ1866" s="11">
        <v>0.01</v>
      </c>
      <c r="BA1866" s="11"/>
      <c r="BB1866" s="11">
        <f>LOG(AU1866)</f>
        <v>2.7355988996981799</v>
      </c>
      <c r="BC1866" s="11">
        <v>20.399999999999999</v>
      </c>
      <c r="BD1866" s="11" t="s">
        <v>56</v>
      </c>
      <c r="BE1866" s="11">
        <v>0.1</v>
      </c>
      <c r="BF1866" s="11">
        <v>26.9</v>
      </c>
      <c r="BG1866" s="11" t="s">
        <v>56</v>
      </c>
      <c r="BH1866" s="11">
        <v>0.1</v>
      </c>
      <c r="BI1866" s="11">
        <v>46</v>
      </c>
      <c r="BJ1866" s="11">
        <v>7</v>
      </c>
      <c r="BK1866" s="11" t="s">
        <v>56</v>
      </c>
      <c r="BL1866" s="11" t="s">
        <v>88</v>
      </c>
      <c r="BM1866" s="11" t="s">
        <v>83</v>
      </c>
      <c r="BN1866" s="11" t="s">
        <v>81</v>
      </c>
      <c r="BO1866" s="11" t="s">
        <v>82</v>
      </c>
      <c r="BP1866" s="11" t="s">
        <v>83</v>
      </c>
      <c r="BQ1866" s="11" t="s">
        <v>190</v>
      </c>
      <c r="BR1866" s="11" t="s">
        <v>84</v>
      </c>
      <c r="BS1866" s="11"/>
      <c r="BT1866" s="11">
        <v>11.14</v>
      </c>
      <c r="BU1866" s="11">
        <v>88.86</v>
      </c>
      <c r="BV1866" s="11">
        <v>8.43</v>
      </c>
      <c r="BW1866" s="11">
        <f>BV1866*SQRT(AK1866)</f>
        <v>20.64919853166219</v>
      </c>
      <c r="BX1866" s="11">
        <v>100</v>
      </c>
      <c r="BY1866" s="11">
        <v>0</v>
      </c>
      <c r="BZ1866" s="11">
        <v>0</v>
      </c>
      <c r="CA1866" s="11">
        <f>BZ1866*SQRT(AL1866)</f>
        <v>0</v>
      </c>
      <c r="CB1866" s="11">
        <v>2</v>
      </c>
      <c r="CC1866" s="11">
        <v>6</v>
      </c>
      <c r="CD1866" s="11" t="e">
        <v>#NUM!</v>
      </c>
      <c r="CE1866" s="11" t="e">
        <v>#DIV/0!</v>
      </c>
      <c r="CF1866" s="11"/>
    </row>
    <row r="1867" spans="1:84" s="8" customFormat="1" hidden="1" x14ac:dyDescent="0.2">
      <c r="A1867" s="11"/>
      <c r="B1867" t="str">
        <f>ROW()-1&amp;"_AltersInvert"</f>
        <v>1866_AltersInvert</v>
      </c>
      <c r="C1867" s="11" t="str">
        <f>D1867&amp;"_"&amp;
SUBSTITUTE(TRIM(V1867)," ","_")&amp;"_"&amp;
TRIM(AC1867)&amp;"_"&amp;
"CO2"&amp;TEXT(AN1867,"0.00")&amp;"_"&amp;
"pH"&amp;TEXT(AR1867,"0.00")&amp;"_"&amp;
"T"&amp;TEXT(BC1867,"0.##")</f>
        <v>197_Arbacia_lixula_EMBRYO_CO2498.00_pH8.16_T20.4</v>
      </c>
      <c r="D1867" s="11">
        <v>197</v>
      </c>
      <c r="E1867" s="11"/>
      <c r="F1867" s="11"/>
      <c r="G1867" t="s">
        <v>43</v>
      </c>
      <c r="H1867" s="11" t="s">
        <v>932</v>
      </c>
      <c r="I1867" s="11"/>
      <c r="J1867" s="11">
        <v>2014</v>
      </c>
      <c r="K1867" s="11"/>
      <c r="L1867" s="11"/>
      <c r="M1867" s="11" t="s">
        <v>308</v>
      </c>
      <c r="N1867" s="11"/>
      <c r="O1867" s="11"/>
      <c r="P1867" s="11"/>
      <c r="Q1867" s="11"/>
      <c r="R1867" s="11"/>
      <c r="S1867" s="11"/>
      <c r="T1867" s="11" t="s">
        <v>46</v>
      </c>
      <c r="U1867" s="11" t="s">
        <v>507</v>
      </c>
      <c r="V1867" s="11" t="s">
        <v>508</v>
      </c>
      <c r="W1867" s="11" t="str">
        <f>IF(ISNUMBER(MATCH(#REF!,{"Doryteuthis pealeii","Loligo vulgaris","Leptuca thayeri","Stylocheilus striatus","Ophryotrocha labronica"},0)),"N","Y")</f>
        <v>Y</v>
      </c>
      <c r="X1867" s="11"/>
      <c r="Y1867" s="11"/>
      <c r="Z1867" s="11" t="s">
        <v>509</v>
      </c>
      <c r="AA1867" s="11" t="s">
        <v>49</v>
      </c>
      <c r="AB1867" s="11" t="s">
        <v>71</v>
      </c>
      <c r="AC1867" s="11" t="s">
        <v>195</v>
      </c>
      <c r="AD1867" s="11" t="s">
        <v>52</v>
      </c>
      <c r="AE1867" s="11" t="s">
        <v>53</v>
      </c>
      <c r="AF1867" s="11" t="s">
        <v>52</v>
      </c>
      <c r="AG1867" s="11" t="s">
        <v>52</v>
      </c>
      <c r="AH1867" s="11" t="s">
        <v>64</v>
      </c>
      <c r="AI1867" s="11"/>
      <c r="AJ1867" s="11"/>
      <c r="AK1867" s="11">
        <v>6</v>
      </c>
      <c r="AL1867" s="11">
        <v>6</v>
      </c>
      <c r="AM1867" s="11" t="s">
        <v>935</v>
      </c>
      <c r="AN1867" s="11">
        <v>498</v>
      </c>
      <c r="AO1867" s="11" t="s">
        <v>56</v>
      </c>
      <c r="AP1867" s="11">
        <v>17</v>
      </c>
      <c r="AQ1867" s="11" t="s">
        <v>57</v>
      </c>
      <c r="AR1867" s="11">
        <v>8.16</v>
      </c>
      <c r="AS1867" s="11" t="s">
        <v>56</v>
      </c>
      <c r="AT1867" s="11">
        <v>0.01</v>
      </c>
      <c r="AU1867" s="11">
        <v>1264</v>
      </c>
      <c r="AV1867" s="11" t="s">
        <v>56</v>
      </c>
      <c r="AW1867" s="11">
        <v>87</v>
      </c>
      <c r="AX1867" s="11">
        <v>7.83</v>
      </c>
      <c r="AY1867" s="11" t="s">
        <v>56</v>
      </c>
      <c r="AZ1867" s="11">
        <v>0.03</v>
      </c>
      <c r="BA1867" s="11"/>
      <c r="BB1867" s="11">
        <f>LOG(AU1867)</f>
        <v>3.1017470739463664</v>
      </c>
      <c r="BC1867" s="11">
        <v>20.399999999999999</v>
      </c>
      <c r="BD1867" s="11" t="s">
        <v>56</v>
      </c>
      <c r="BE1867" s="11">
        <v>0.1</v>
      </c>
      <c r="BF1867" s="11">
        <v>27.2</v>
      </c>
      <c r="BG1867" s="11" t="s">
        <v>56</v>
      </c>
      <c r="BH1867" s="11">
        <v>0.1</v>
      </c>
      <c r="BI1867" s="11">
        <v>766</v>
      </c>
      <c r="BJ1867" s="11">
        <v>7</v>
      </c>
      <c r="BK1867" s="11" t="s">
        <v>56</v>
      </c>
      <c r="BL1867" s="11" t="s">
        <v>88</v>
      </c>
      <c r="BM1867" s="11" t="s">
        <v>83</v>
      </c>
      <c r="BN1867" s="11" t="s">
        <v>81</v>
      </c>
      <c r="BO1867" s="11" t="s">
        <v>82</v>
      </c>
      <c r="BP1867" s="11" t="s">
        <v>83</v>
      </c>
      <c r="BQ1867" s="11" t="s">
        <v>190</v>
      </c>
      <c r="BR1867" s="11" t="s">
        <v>84</v>
      </c>
      <c r="BS1867" s="11"/>
      <c r="BT1867" s="11">
        <v>11.14</v>
      </c>
      <c r="BU1867" s="11">
        <v>88.86</v>
      </c>
      <c r="BV1867" s="11">
        <v>8.43</v>
      </c>
      <c r="BW1867" s="11">
        <f>BV1867*SQRT(AK1867)</f>
        <v>20.64919853166219</v>
      </c>
      <c r="BX1867" s="11">
        <v>100</v>
      </c>
      <c r="BY1867" s="11">
        <v>0</v>
      </c>
      <c r="BZ1867" s="11">
        <v>0</v>
      </c>
      <c r="CA1867" s="11">
        <f>BZ1867*SQRT(AL1867)</f>
        <v>0</v>
      </c>
      <c r="CB1867" s="11">
        <v>2</v>
      </c>
      <c r="CC1867" s="11">
        <v>6</v>
      </c>
      <c r="CD1867" s="11" t="e">
        <v>#NUM!</v>
      </c>
      <c r="CE1867" s="11">
        <v>1E-4</v>
      </c>
      <c r="CF1867" s="11"/>
    </row>
    <row r="1868" spans="1:84" s="8" customFormat="1" hidden="1" x14ac:dyDescent="0.2">
      <c r="B1868" t="str">
        <f>ROW()-1&amp;"_AltersInvert"</f>
        <v>1867_AltersInvert</v>
      </c>
      <c r="C1868" t="str">
        <f>D1868&amp;"_"&amp;
SUBSTITUTE(TRIM(V1868)," ","_")&amp;"_"&amp;
TRIM(AC1868)&amp;"_"&amp;
"CO2"&amp;TEXT(AN1868,"0.00")&amp;"_"&amp;
"pH"&amp;TEXT(AR1868,"0.00")&amp;"_"&amp;
"T"&amp;TEXT(BC1868,"0.##")</f>
        <v>197_Arbacia_lixula_EMBRYO_CO2498.00_pH8.16_T20.4</v>
      </c>
      <c r="D1868" s="8">
        <v>197</v>
      </c>
      <c r="G1868" s="8" t="s">
        <v>43</v>
      </c>
      <c r="H1868" s="8" t="s">
        <v>932</v>
      </c>
      <c r="J1868" s="8">
        <v>2014</v>
      </c>
      <c r="M1868" s="8" t="s">
        <v>308</v>
      </c>
      <c r="P1868" t="s">
        <v>1135</v>
      </c>
      <c r="R1868" s="8" t="s">
        <v>1127</v>
      </c>
      <c r="S1868" t="s">
        <v>1128</v>
      </c>
      <c r="T1868" s="8" t="s">
        <v>46</v>
      </c>
      <c r="U1868" s="8" t="s">
        <v>507</v>
      </c>
      <c r="V1868" s="8" t="s">
        <v>508</v>
      </c>
      <c r="W1868" s="8" t="str">
        <f>IF(ISNUMBER(MATCH(V1262,{"Doryteuthis pealeii","Loligo vulgaris","Leptuca thayeri","Stylocheilus striatus","Ophryotrocha labronica"},0)),"N","Y")</f>
        <v>Y</v>
      </c>
      <c r="Z1868" s="8" t="s">
        <v>509</v>
      </c>
      <c r="AA1868" s="8" t="s">
        <v>49</v>
      </c>
      <c r="AB1868" s="8" t="s">
        <v>71</v>
      </c>
      <c r="AC1868" s="8" t="s">
        <v>195</v>
      </c>
      <c r="AD1868" s="8" t="s">
        <v>52</v>
      </c>
      <c r="AE1868" s="8" t="s">
        <v>53</v>
      </c>
      <c r="AF1868" s="8" t="s">
        <v>52</v>
      </c>
      <c r="AG1868" s="8" t="s">
        <v>54</v>
      </c>
      <c r="AH1868" s="8" t="s">
        <v>55</v>
      </c>
      <c r="AK1868" s="8">
        <v>6</v>
      </c>
      <c r="AL1868" s="8">
        <v>6</v>
      </c>
      <c r="AN1868" s="8">
        <v>498</v>
      </c>
      <c r="AO1868" s="8" t="s">
        <v>56</v>
      </c>
      <c r="AP1868" s="8">
        <v>17</v>
      </c>
      <c r="AQ1868" s="8" t="s">
        <v>57</v>
      </c>
      <c r="AR1868" s="8">
        <v>8.16</v>
      </c>
      <c r="AS1868" s="8" t="s">
        <v>56</v>
      </c>
      <c r="AT1868" s="8">
        <v>0.01</v>
      </c>
      <c r="AU1868" s="8">
        <v>1001</v>
      </c>
      <c r="AV1868" t="s">
        <v>56</v>
      </c>
      <c r="AW1868">
        <v>27</v>
      </c>
      <c r="AX1868">
        <v>7.89</v>
      </c>
      <c r="AY1868" t="s">
        <v>56</v>
      </c>
      <c r="AZ1868">
        <v>0.01</v>
      </c>
      <c r="BB1868" s="8">
        <f>LOG(AU1868)</f>
        <v>3.0004340774793188</v>
      </c>
      <c r="BC1868" s="8">
        <v>20.399999999999999</v>
      </c>
      <c r="BD1868" s="8" t="s">
        <v>56</v>
      </c>
      <c r="BE1868" s="8">
        <v>0.1</v>
      </c>
      <c r="BF1868" s="8">
        <v>20.3</v>
      </c>
      <c r="BG1868" s="8" t="s">
        <v>56</v>
      </c>
      <c r="BH1868" s="8">
        <v>0</v>
      </c>
      <c r="BI1868" s="8">
        <v>503</v>
      </c>
      <c r="BJ1868" s="8">
        <v>-0.1</v>
      </c>
      <c r="BK1868" s="8" t="s">
        <v>56</v>
      </c>
      <c r="BL1868" s="8" t="s">
        <v>88</v>
      </c>
      <c r="BM1868" s="8" t="s">
        <v>83</v>
      </c>
      <c r="BN1868" s="8" t="s">
        <v>81</v>
      </c>
      <c r="BO1868" s="8" t="s">
        <v>82</v>
      </c>
      <c r="BP1868" s="8" t="s">
        <v>83</v>
      </c>
      <c r="BQ1868" s="8" t="s">
        <v>83</v>
      </c>
      <c r="BR1868" s="8" t="s">
        <v>84</v>
      </c>
      <c r="BT1868" s="8">
        <v>11.14</v>
      </c>
      <c r="BU1868" s="8">
        <v>88.86</v>
      </c>
      <c r="BV1868" s="8">
        <v>8.43</v>
      </c>
      <c r="BW1868" s="8">
        <f>BV1868*SQRT(AK1868)</f>
        <v>20.64919853166219</v>
      </c>
      <c r="BX1868" s="8">
        <v>58.73</v>
      </c>
      <c r="BY1868" s="8">
        <v>41.27</v>
      </c>
      <c r="BZ1868" s="8">
        <v>18.07</v>
      </c>
      <c r="CA1868" s="8">
        <f>BZ1868*SQRT(AL1868)</f>
        <v>44.262279652092026</v>
      </c>
      <c r="CB1868" s="8">
        <v>2</v>
      </c>
      <c r="CC1868" s="8">
        <v>6</v>
      </c>
      <c r="CD1868" s="8">
        <v>-0.76700000000000002</v>
      </c>
      <c r="CE1868" s="8">
        <v>0.20069999999999999</v>
      </c>
      <c r="CF1868" s="8" t="s">
        <v>1134</v>
      </c>
    </row>
    <row r="1869" spans="1:84" s="8" customFormat="1" hidden="1" x14ac:dyDescent="0.2">
      <c r="A1869" s="11"/>
      <c r="B1869" t="str">
        <f>ROW()-1&amp;"_AltersInvert"</f>
        <v>1868_AltersInvert</v>
      </c>
      <c r="C1869" s="11" t="str">
        <f>D1869&amp;"_"&amp;
SUBSTITUTE(TRIM(V1869)," ","_")&amp;"_"&amp;
TRIM(AC1869)&amp;"_"&amp;
"CO2"&amp;TEXT(AN1869,"0.00")&amp;"_"&amp;
"pH"&amp;TEXT(AR1869,"0.00")&amp;"_"&amp;
"T"&amp;TEXT(BC1869,"0.##")</f>
        <v>197_Arbacia_lixula_EMBRYO_CO2498.00_pH8.16_T20.4</v>
      </c>
      <c r="D1869" s="11">
        <v>197</v>
      </c>
      <c r="E1869" s="11"/>
      <c r="F1869" s="11"/>
      <c r="G1869" s="11" t="s">
        <v>43</v>
      </c>
      <c r="H1869" s="11" t="s">
        <v>932</v>
      </c>
      <c r="I1869" s="11"/>
      <c r="J1869" s="11">
        <v>2014</v>
      </c>
      <c r="K1869" s="11"/>
      <c r="L1869" s="11"/>
      <c r="M1869" s="11" t="s">
        <v>308</v>
      </c>
      <c r="N1869" s="11"/>
      <c r="O1869" s="11"/>
      <c r="P1869" s="11"/>
      <c r="Q1869" s="11"/>
      <c r="R1869" s="11"/>
      <c r="S1869" s="11"/>
      <c r="T1869" s="11" t="s">
        <v>46</v>
      </c>
      <c r="U1869" s="11" t="s">
        <v>507</v>
      </c>
      <c r="V1869" s="11" t="s">
        <v>508</v>
      </c>
      <c r="W1869" s="11" t="str">
        <f>IF(ISNUMBER(MATCH(#REF!,{"Doryteuthis pealeii","Loligo vulgaris","Leptuca thayeri","Stylocheilus striatus","Ophryotrocha labronica"},0)),"N","Y")</f>
        <v>Y</v>
      </c>
      <c r="X1869" s="11"/>
      <c r="Y1869" s="11"/>
      <c r="Z1869" s="11" t="s">
        <v>509</v>
      </c>
      <c r="AA1869" s="11" t="s">
        <v>49</v>
      </c>
      <c r="AB1869" s="11" t="s">
        <v>71</v>
      </c>
      <c r="AC1869" s="11" t="s">
        <v>195</v>
      </c>
      <c r="AD1869" s="11" t="s">
        <v>52</v>
      </c>
      <c r="AE1869" s="11" t="s">
        <v>53</v>
      </c>
      <c r="AF1869" s="11" t="s">
        <v>54</v>
      </c>
      <c r="AG1869" s="11" t="s">
        <v>52</v>
      </c>
      <c r="AH1869" s="11" t="s">
        <v>65</v>
      </c>
      <c r="AI1869" s="11"/>
      <c r="AJ1869" s="11"/>
      <c r="AK1869" s="11">
        <v>6</v>
      </c>
      <c r="AL1869" s="11">
        <v>6</v>
      </c>
      <c r="AM1869" s="11"/>
      <c r="AN1869" s="11">
        <v>498</v>
      </c>
      <c r="AO1869" s="11" t="s">
        <v>56</v>
      </c>
      <c r="AP1869" s="11">
        <v>17</v>
      </c>
      <c r="AQ1869" s="11" t="s">
        <v>57</v>
      </c>
      <c r="AR1869" s="11">
        <v>8.16</v>
      </c>
      <c r="AS1869" s="11" t="s">
        <v>56</v>
      </c>
      <c r="AT1869" s="11">
        <v>0.01</v>
      </c>
      <c r="AU1869" s="11">
        <v>518</v>
      </c>
      <c r="AV1869" s="11" t="s">
        <v>56</v>
      </c>
      <c r="AW1869" s="11">
        <v>15</v>
      </c>
      <c r="AX1869" s="11">
        <v>8.15</v>
      </c>
      <c r="AY1869" s="11" t="s">
        <v>56</v>
      </c>
      <c r="AZ1869" s="11">
        <v>0.01</v>
      </c>
      <c r="BA1869" s="11"/>
      <c r="BB1869" s="11">
        <f>LOG(AU1869)</f>
        <v>2.7143297597452332</v>
      </c>
      <c r="BC1869" s="11">
        <v>20.399999999999999</v>
      </c>
      <c r="BD1869" s="11" t="s">
        <v>56</v>
      </c>
      <c r="BE1869" s="11">
        <v>0.1</v>
      </c>
      <c r="BF1869" s="11">
        <v>24.4</v>
      </c>
      <c r="BG1869" s="11" t="s">
        <v>56</v>
      </c>
      <c r="BH1869" s="11">
        <v>0</v>
      </c>
      <c r="BI1869" s="11">
        <v>20</v>
      </c>
      <c r="BJ1869" s="11">
        <v>4.0999999999999996</v>
      </c>
      <c r="BK1869" s="11" t="s">
        <v>56</v>
      </c>
      <c r="BL1869" s="11" t="s">
        <v>88</v>
      </c>
      <c r="BM1869" s="11" t="s">
        <v>83</v>
      </c>
      <c r="BN1869" s="11" t="s">
        <v>81</v>
      </c>
      <c r="BO1869" s="11" t="s">
        <v>82</v>
      </c>
      <c r="BP1869" s="11" t="s">
        <v>83</v>
      </c>
      <c r="BQ1869" s="11" t="s">
        <v>190</v>
      </c>
      <c r="BR1869" s="11" t="s">
        <v>84</v>
      </c>
      <c r="BS1869" s="11"/>
      <c r="BT1869" s="11">
        <v>11.14</v>
      </c>
      <c r="BU1869" s="11">
        <v>88.86</v>
      </c>
      <c r="BV1869" s="11">
        <v>8.43</v>
      </c>
      <c r="BW1869" s="11">
        <f>BV1869*SQRT(AK1869)</f>
        <v>20.64919853166219</v>
      </c>
      <c r="BX1869" s="11">
        <v>37.65</v>
      </c>
      <c r="BY1869" s="11">
        <v>62.35</v>
      </c>
      <c r="BZ1869" s="11">
        <v>15.36</v>
      </c>
      <c r="CA1869" s="11">
        <f>BZ1869*SQRT(AL1869)</f>
        <v>37.624162449149608</v>
      </c>
      <c r="CB1869" s="11">
        <v>2</v>
      </c>
      <c r="CC1869" s="11">
        <v>6</v>
      </c>
      <c r="CD1869" s="11">
        <v>-0.35399999999999998</v>
      </c>
      <c r="CE1869" s="11">
        <v>6.9699999999999998E-2</v>
      </c>
      <c r="CF1869" s="11"/>
    </row>
    <row r="1870" spans="1:84" s="8" customFormat="1" hidden="1" x14ac:dyDescent="0.2">
      <c r="A1870" s="11"/>
      <c r="B1870" t="str">
        <f>ROW()-1&amp;"_AltersInvert"</f>
        <v>1869_AltersInvert</v>
      </c>
      <c r="C1870" s="11" t="str">
        <f>D1870&amp;"_"&amp;
SUBSTITUTE(TRIM(V1870)," ","_")&amp;"_"&amp;
TRIM(AC1870)&amp;"_"&amp;
"CO2"&amp;TEXT(AN1870,"0.00")&amp;"_"&amp;
"pH"&amp;TEXT(AR1870,"0.00")&amp;"_"&amp;
"T"&amp;TEXT(BC1870,"0.##")</f>
        <v>197_Arbacia_lixula_EMBRYO_CO2498.00_pH8.16_T20.4</v>
      </c>
      <c r="D1870" s="11">
        <v>197</v>
      </c>
      <c r="E1870" s="11"/>
      <c r="F1870" s="11"/>
      <c r="G1870" s="11" t="s">
        <v>43</v>
      </c>
      <c r="H1870" s="11" t="s">
        <v>932</v>
      </c>
      <c r="I1870" s="11"/>
      <c r="J1870" s="11">
        <v>2014</v>
      </c>
      <c r="K1870" s="11"/>
      <c r="L1870" s="11"/>
      <c r="M1870" s="11" t="s">
        <v>308</v>
      </c>
      <c r="N1870" s="11"/>
      <c r="O1870" s="11"/>
      <c r="P1870" s="11"/>
      <c r="Q1870" s="11"/>
      <c r="R1870" s="11"/>
      <c r="S1870" s="11"/>
      <c r="T1870" s="11" t="s">
        <v>46</v>
      </c>
      <c r="U1870" s="11" t="s">
        <v>507</v>
      </c>
      <c r="V1870" s="11" t="s">
        <v>508</v>
      </c>
      <c r="W1870" s="11" t="str">
        <f>IF(ISNUMBER(MATCH(#REF!,{"Doryteuthis pealeii","Loligo vulgaris","Leptuca thayeri","Stylocheilus striatus","Ophryotrocha labronica"},0)),"N","Y")</f>
        <v>Y</v>
      </c>
      <c r="X1870" s="11"/>
      <c r="Y1870" s="11"/>
      <c r="Z1870" s="11" t="s">
        <v>509</v>
      </c>
      <c r="AA1870" s="11" t="s">
        <v>49</v>
      </c>
      <c r="AB1870" s="11" t="s">
        <v>71</v>
      </c>
      <c r="AC1870" s="11" t="s">
        <v>195</v>
      </c>
      <c r="AD1870" s="11" t="s">
        <v>52</v>
      </c>
      <c r="AE1870" s="11" t="s">
        <v>53</v>
      </c>
      <c r="AF1870" s="11" t="s">
        <v>54</v>
      </c>
      <c r="AG1870" s="11" t="s">
        <v>52</v>
      </c>
      <c r="AH1870" s="11" t="s">
        <v>65</v>
      </c>
      <c r="AI1870" s="11"/>
      <c r="AJ1870" s="11"/>
      <c r="AK1870" s="11">
        <v>6</v>
      </c>
      <c r="AL1870" s="11">
        <v>6</v>
      </c>
      <c r="AM1870" s="11"/>
      <c r="AN1870" s="11">
        <v>498</v>
      </c>
      <c r="AO1870" s="11" t="s">
        <v>56</v>
      </c>
      <c r="AP1870" s="11">
        <v>17</v>
      </c>
      <c r="AQ1870" s="11" t="s">
        <v>57</v>
      </c>
      <c r="AR1870" s="11">
        <v>8.16</v>
      </c>
      <c r="AS1870" s="11" t="s">
        <v>56</v>
      </c>
      <c r="AT1870" s="11">
        <v>0.01</v>
      </c>
      <c r="AU1870" s="11">
        <v>509</v>
      </c>
      <c r="AV1870" s="11" t="s">
        <v>56</v>
      </c>
      <c r="AW1870" s="11">
        <v>17</v>
      </c>
      <c r="AX1870" s="11">
        <v>8.16</v>
      </c>
      <c r="AY1870" s="11" t="s">
        <v>56</v>
      </c>
      <c r="AZ1870" s="11">
        <v>0.01</v>
      </c>
      <c r="BA1870" s="11"/>
      <c r="BB1870" s="11">
        <f>LOG(AU1870)</f>
        <v>2.7067177823367587</v>
      </c>
      <c r="BC1870" s="11">
        <v>20.399999999999999</v>
      </c>
      <c r="BD1870" s="11" t="s">
        <v>56</v>
      </c>
      <c r="BE1870" s="11">
        <v>0.1</v>
      </c>
      <c r="BF1870" s="11">
        <v>26.1</v>
      </c>
      <c r="BG1870" s="11" t="s">
        <v>56</v>
      </c>
      <c r="BH1870" s="11">
        <v>0.1</v>
      </c>
      <c r="BI1870" s="11">
        <v>11</v>
      </c>
      <c r="BJ1870" s="11">
        <v>5.8</v>
      </c>
      <c r="BK1870" s="11" t="s">
        <v>56</v>
      </c>
      <c r="BL1870" s="11" t="s">
        <v>88</v>
      </c>
      <c r="BM1870" s="11" t="s">
        <v>83</v>
      </c>
      <c r="BN1870" s="11" t="s">
        <v>81</v>
      </c>
      <c r="BO1870" s="11" t="s">
        <v>82</v>
      </c>
      <c r="BP1870" s="11" t="s">
        <v>83</v>
      </c>
      <c r="BQ1870" s="11" t="s">
        <v>190</v>
      </c>
      <c r="BR1870" s="11" t="s">
        <v>84</v>
      </c>
      <c r="BS1870" s="11"/>
      <c r="BT1870" s="11">
        <v>11.14</v>
      </c>
      <c r="BU1870" s="11">
        <v>88.86</v>
      </c>
      <c r="BV1870" s="11">
        <v>8.43</v>
      </c>
      <c r="BW1870" s="11">
        <f>BV1870*SQRT(AK1870)</f>
        <v>20.64919853166219</v>
      </c>
      <c r="BX1870" s="11">
        <v>31.62</v>
      </c>
      <c r="BY1870" s="11">
        <v>68.38</v>
      </c>
      <c r="BZ1870" s="11">
        <v>16.27</v>
      </c>
      <c r="CA1870" s="11">
        <f>BZ1870*SQRT(AL1870)</f>
        <v>39.8531981150823</v>
      </c>
      <c r="CB1870" s="11">
        <v>2</v>
      </c>
      <c r="CC1870" s="11">
        <v>6</v>
      </c>
      <c r="CD1870" s="11">
        <v>-0.26200000000000001</v>
      </c>
      <c r="CE1870" s="11">
        <v>6.5600000000000006E-2</v>
      </c>
      <c r="CF1870" s="11"/>
    </row>
    <row r="1871" spans="1:84" s="8" customFormat="1" hidden="1" x14ac:dyDescent="0.2">
      <c r="B1871" t="str">
        <f>ROW()-1&amp;"_AltersInvert"</f>
        <v>1870_AltersInvert</v>
      </c>
      <c r="C1871" t="str">
        <f>D1871&amp;"_"&amp;
SUBSTITUTE(TRIM(V1871)," ","_")&amp;"_"&amp;
TRIM(AC1871)&amp;"_"&amp;
"CO2"&amp;TEXT(AN1871,"0.00")&amp;"_"&amp;
"pH"&amp;TEXT(AR1871,"0.00")&amp;"_"&amp;
"T"&amp;TEXT(BC1871,"0.##")</f>
        <v>197_Arbacia_lixula_EMBRYO_CO2498.00_pH8.16_T20.4</v>
      </c>
      <c r="D1871" s="8">
        <v>197</v>
      </c>
      <c r="G1871" s="8" t="s">
        <v>43</v>
      </c>
      <c r="H1871" s="8" t="s">
        <v>932</v>
      </c>
      <c r="J1871" s="8">
        <v>2014</v>
      </c>
      <c r="M1871" s="8" t="s">
        <v>308</v>
      </c>
      <c r="P1871" t="s">
        <v>1135</v>
      </c>
      <c r="R1871" s="8" t="s">
        <v>1127</v>
      </c>
      <c r="S1871" t="s">
        <v>1128</v>
      </c>
      <c r="T1871" s="8" t="s">
        <v>46</v>
      </c>
      <c r="U1871" s="8" t="s">
        <v>507</v>
      </c>
      <c r="V1871" s="8" t="s">
        <v>508</v>
      </c>
      <c r="W1871" s="8" t="str">
        <f>IF(ISNUMBER(MATCH(V1265,{"Doryteuthis pealeii","Loligo vulgaris","Leptuca thayeri","Stylocheilus striatus","Ophryotrocha labronica"},0)),"N","Y")</f>
        <v>Y</v>
      </c>
      <c r="Z1871" s="8" t="s">
        <v>509</v>
      </c>
      <c r="AA1871" s="8" t="s">
        <v>49</v>
      </c>
      <c r="AB1871" s="8" t="s">
        <v>71</v>
      </c>
      <c r="AC1871" s="8" t="s">
        <v>195</v>
      </c>
      <c r="AD1871" s="8" t="s">
        <v>52</v>
      </c>
      <c r="AE1871" s="8" t="s">
        <v>53</v>
      </c>
      <c r="AF1871" s="8" t="s">
        <v>52</v>
      </c>
      <c r="AG1871" s="8" t="s">
        <v>52</v>
      </c>
      <c r="AH1871" s="8" t="s">
        <v>64</v>
      </c>
      <c r="AK1871" s="8">
        <v>6</v>
      </c>
      <c r="AL1871" s="8">
        <v>6</v>
      </c>
      <c r="AN1871" s="8">
        <v>498</v>
      </c>
      <c r="AO1871" s="8" t="s">
        <v>56</v>
      </c>
      <c r="AP1871" s="8">
        <v>17</v>
      </c>
      <c r="AQ1871" s="8" t="s">
        <v>57</v>
      </c>
      <c r="AR1871" s="8">
        <v>8.16</v>
      </c>
      <c r="AS1871" s="8" t="s">
        <v>56</v>
      </c>
      <c r="AT1871" s="8">
        <v>0.01</v>
      </c>
      <c r="AU1871" s="8">
        <v>1166</v>
      </c>
      <c r="AV1871" t="s">
        <v>56</v>
      </c>
      <c r="AW1871">
        <v>76</v>
      </c>
      <c r="AX1871">
        <v>7.86</v>
      </c>
      <c r="AY1871" t="s">
        <v>56</v>
      </c>
      <c r="AZ1871">
        <v>0.02</v>
      </c>
      <c r="BB1871" s="8">
        <f>LOG(AU1871)</f>
        <v>3.0666985504229953</v>
      </c>
      <c r="BC1871" s="8">
        <v>20.399999999999999</v>
      </c>
      <c r="BD1871" s="8" t="s">
        <v>56</v>
      </c>
      <c r="BE1871" s="8">
        <v>0.1</v>
      </c>
      <c r="BF1871" s="8">
        <v>24.5</v>
      </c>
      <c r="BG1871" s="8" t="s">
        <v>56</v>
      </c>
      <c r="BH1871" s="8">
        <v>0.1</v>
      </c>
      <c r="BI1871" s="8">
        <v>668</v>
      </c>
      <c r="BJ1871" s="8">
        <v>4.2</v>
      </c>
      <c r="BK1871" s="8" t="s">
        <v>56</v>
      </c>
      <c r="BL1871" s="8" t="s">
        <v>88</v>
      </c>
      <c r="BM1871" s="8" t="s">
        <v>83</v>
      </c>
      <c r="BN1871" s="8" t="s">
        <v>81</v>
      </c>
      <c r="BO1871" s="8" t="s">
        <v>82</v>
      </c>
      <c r="BP1871" s="8" t="s">
        <v>83</v>
      </c>
      <c r="BQ1871" s="8" t="s">
        <v>83</v>
      </c>
      <c r="BR1871" s="8" t="s">
        <v>84</v>
      </c>
      <c r="BT1871" s="8">
        <v>11.14</v>
      </c>
      <c r="BU1871" s="8">
        <v>88.86</v>
      </c>
      <c r="BV1871" s="8">
        <v>8.43</v>
      </c>
      <c r="BW1871" s="8">
        <f>BV1871*SQRT(AK1871)</f>
        <v>20.64919853166219</v>
      </c>
      <c r="BX1871" s="8">
        <v>50.3</v>
      </c>
      <c r="BY1871" s="8">
        <v>49.7</v>
      </c>
      <c r="BZ1871" s="8">
        <v>15.96</v>
      </c>
      <c r="CA1871" s="8">
        <f>BZ1871*SQRT(AL1871)</f>
        <v>39.093856294819524</v>
      </c>
      <c r="CB1871" s="8">
        <v>2</v>
      </c>
      <c r="CC1871" s="8">
        <v>6</v>
      </c>
      <c r="CD1871" s="8">
        <v>-0.58099999999999996</v>
      </c>
      <c r="CE1871" s="8">
        <v>0.11210000000000001</v>
      </c>
      <c r="CF1871" s="8" t="s">
        <v>1134</v>
      </c>
    </row>
    <row r="1872" spans="1:84" s="8" customFormat="1" hidden="1" x14ac:dyDescent="0.2">
      <c r="B1872" t="str">
        <f>ROW()-1&amp;"_AltersInvert"</f>
        <v>1871_AltersInvert</v>
      </c>
      <c r="C1872" t="str">
        <f>D1872&amp;"_"&amp;
SUBSTITUTE(TRIM(V1872)," ","_")&amp;"_"&amp;
TRIM(AC1872)&amp;"_"&amp;
"CO2"&amp;TEXT(AN1872,"0.00")&amp;"_"&amp;
"pH"&amp;TEXT(AR1872,"0.00")&amp;"_"&amp;
"T"&amp;TEXT(BC1872,"0.##")</f>
        <v>197_Arbacia_lixula_EMBRYO_CO2498.00_pH8.16_T20.4</v>
      </c>
      <c r="D1872" s="8">
        <v>197</v>
      </c>
      <c r="G1872" s="8" t="s">
        <v>43</v>
      </c>
      <c r="H1872" s="8" t="s">
        <v>932</v>
      </c>
      <c r="J1872" s="8">
        <v>2014</v>
      </c>
      <c r="M1872" s="8" t="s">
        <v>308</v>
      </c>
      <c r="P1872" t="s">
        <v>1135</v>
      </c>
      <c r="R1872" s="8" t="s">
        <v>1127</v>
      </c>
      <c r="S1872" t="s">
        <v>1128</v>
      </c>
      <c r="T1872" s="8" t="s">
        <v>46</v>
      </c>
      <c r="U1872" s="8" t="s">
        <v>507</v>
      </c>
      <c r="V1872" s="8" t="s">
        <v>508</v>
      </c>
      <c r="W1872" s="8" t="str">
        <f>IF(ISNUMBER(MATCH(V1266,{"Doryteuthis pealeii","Loligo vulgaris","Leptuca thayeri","Stylocheilus striatus","Ophryotrocha labronica"},0)),"N","Y")</f>
        <v>Y</v>
      </c>
      <c r="Z1872" s="8" t="s">
        <v>509</v>
      </c>
      <c r="AA1872" s="8" t="s">
        <v>49</v>
      </c>
      <c r="AB1872" s="8" t="s">
        <v>71</v>
      </c>
      <c r="AC1872" s="8" t="s">
        <v>195</v>
      </c>
      <c r="AD1872" s="8" t="s">
        <v>52</v>
      </c>
      <c r="AE1872" s="8" t="s">
        <v>53</v>
      </c>
      <c r="AF1872" s="8" t="s">
        <v>52</v>
      </c>
      <c r="AG1872" s="8" t="s">
        <v>52</v>
      </c>
      <c r="AH1872" s="8" t="s">
        <v>64</v>
      </c>
      <c r="AK1872" s="8">
        <v>6</v>
      </c>
      <c r="AL1872" s="8">
        <v>6</v>
      </c>
      <c r="AN1872" s="8">
        <v>498</v>
      </c>
      <c r="AO1872" s="8" t="s">
        <v>56</v>
      </c>
      <c r="AP1872" s="8">
        <v>17</v>
      </c>
      <c r="AQ1872" s="8" t="s">
        <v>57</v>
      </c>
      <c r="AR1872" s="8">
        <v>8.16</v>
      </c>
      <c r="AS1872" s="8" t="s">
        <v>56</v>
      </c>
      <c r="AT1872" s="8">
        <v>0.01</v>
      </c>
      <c r="AU1872" s="8">
        <v>895</v>
      </c>
      <c r="AV1872" t="s">
        <v>56</v>
      </c>
      <c r="AW1872">
        <v>0</v>
      </c>
      <c r="AX1872">
        <v>7.97</v>
      </c>
      <c r="AY1872" t="s">
        <v>56</v>
      </c>
      <c r="AZ1872">
        <v>0.02</v>
      </c>
      <c r="BB1872" s="8">
        <f>LOG(AU1872)</f>
        <v>2.9518230353159121</v>
      </c>
      <c r="BC1872" s="8">
        <v>20.399999999999999</v>
      </c>
      <c r="BD1872" s="8" t="s">
        <v>56</v>
      </c>
      <c r="BE1872" s="8">
        <v>0.1</v>
      </c>
      <c r="BF1872" s="8">
        <v>26</v>
      </c>
      <c r="BG1872" s="8" t="s">
        <v>56</v>
      </c>
      <c r="BH1872" s="8">
        <v>0</v>
      </c>
      <c r="BI1872" s="8">
        <v>397</v>
      </c>
      <c r="BJ1872" s="8">
        <v>5.7</v>
      </c>
      <c r="BK1872" s="8" t="s">
        <v>56</v>
      </c>
      <c r="BL1872" s="8" t="s">
        <v>88</v>
      </c>
      <c r="BM1872" s="8" t="s">
        <v>83</v>
      </c>
      <c r="BN1872" s="8" t="s">
        <v>81</v>
      </c>
      <c r="BO1872" s="8" t="s">
        <v>82</v>
      </c>
      <c r="BP1872" s="8" t="s">
        <v>83</v>
      </c>
      <c r="BQ1872" s="8" t="s">
        <v>83</v>
      </c>
      <c r="BR1872" s="8" t="s">
        <v>84</v>
      </c>
      <c r="BT1872" s="8">
        <v>11.14</v>
      </c>
      <c r="BU1872" s="8">
        <v>88.86</v>
      </c>
      <c r="BV1872" s="8">
        <v>8.43</v>
      </c>
      <c r="BW1872" s="8">
        <f>BV1872*SQRT(AK1872)</f>
        <v>20.64919853166219</v>
      </c>
      <c r="BX1872" s="8">
        <v>41.56</v>
      </c>
      <c r="BY1872" s="8">
        <v>58.44</v>
      </c>
      <c r="BZ1872" s="8">
        <v>15.06</v>
      </c>
      <c r="CA1872" s="8">
        <f>BZ1872*SQRT(AL1872)</f>
        <v>36.889315526314661</v>
      </c>
      <c r="CB1872" s="8">
        <v>2</v>
      </c>
      <c r="CC1872" s="8">
        <v>6</v>
      </c>
      <c r="CD1872" s="8">
        <v>-0.41899999999999998</v>
      </c>
      <c r="CE1872" s="8">
        <v>7.5399999999999995E-2</v>
      </c>
      <c r="CF1872" s="8" t="s">
        <v>1134</v>
      </c>
    </row>
    <row r="1873" spans="1:84" s="8" customFormat="1" hidden="1" x14ac:dyDescent="0.2">
      <c r="A1873"/>
      <c r="B1873" t="str">
        <f>ROW()-1&amp;"_AltersInvert"</f>
        <v>1872_AltersInvert</v>
      </c>
      <c r="C1873" t="str">
        <f>D1873&amp;"_"&amp;
SUBSTITUTE(TRIM(V1873)," ","_")&amp;"_"&amp;
TRIM(AC1873)&amp;"_"&amp;
"CO2"&amp;TEXT(AN1873,"0.00")&amp;"_"&amp;
"pH"&amp;TEXT(AR1873,"0.00")&amp;"_"&amp;
"T"&amp;TEXT(BC1873,"0.##")</f>
        <v>232_Aurelia_coerulea_LARVA_CO2375.00_pH0.00_T24.</v>
      </c>
      <c r="D1873">
        <v>232</v>
      </c>
      <c r="E1873"/>
      <c r="F1873"/>
      <c r="G1873" t="s">
        <v>43</v>
      </c>
      <c r="H1873" t="s">
        <v>1046</v>
      </c>
      <c r="I1873"/>
      <c r="J1873">
        <v>2018</v>
      </c>
      <c r="K1873"/>
      <c r="L1873"/>
      <c r="M1873" t="s">
        <v>308</v>
      </c>
      <c r="N1873"/>
      <c r="O1873"/>
      <c r="P1873" t="s">
        <v>1135</v>
      </c>
      <c r="Q1873"/>
      <c r="R1873" t="s">
        <v>1127</v>
      </c>
      <c r="S1873" t="s">
        <v>1128</v>
      </c>
      <c r="T1873" t="s">
        <v>103</v>
      </c>
      <c r="U1873" t="s">
        <v>1047</v>
      </c>
      <c r="V1873" t="s">
        <v>1048</v>
      </c>
      <c r="W1873"/>
      <c r="X1873"/>
      <c r="Y1873"/>
      <c r="Z1873"/>
      <c r="AA1873"/>
      <c r="AB1873"/>
      <c r="AC1873" t="s">
        <v>72</v>
      </c>
      <c r="AD1873"/>
      <c r="AE1873"/>
      <c r="AF1873" t="s">
        <v>52</v>
      </c>
      <c r="AG1873" t="s">
        <v>54</v>
      </c>
      <c r="AH1873" t="s">
        <v>55</v>
      </c>
      <c r="AI1873"/>
      <c r="AJ1873"/>
      <c r="AK1873">
        <v>5</v>
      </c>
      <c r="AL1873">
        <v>5</v>
      </c>
      <c r="AM1873"/>
      <c r="AN1873">
        <v>375</v>
      </c>
      <c r="AO1873"/>
      <c r="AP1873"/>
      <c r="AQ1873"/>
      <c r="AR1873"/>
      <c r="AS1873"/>
      <c r="AT1873"/>
      <c r="AU1873">
        <v>2789</v>
      </c>
      <c r="AV1873"/>
      <c r="AW1873"/>
      <c r="AX1873"/>
      <c r="AY1873"/>
      <c r="AZ1873"/>
      <c r="BA1873"/>
      <c r="BB1873">
        <f>LOG(AU1873)</f>
        <v>3.44544851426605</v>
      </c>
      <c r="BC1873">
        <v>24</v>
      </c>
      <c r="BD1873"/>
      <c r="BE1873"/>
      <c r="BF1873">
        <v>24</v>
      </c>
      <c r="BG1873"/>
      <c r="BH1873"/>
      <c r="BI1873">
        <v>2414</v>
      </c>
      <c r="BJ1873">
        <v>0</v>
      </c>
      <c r="BK1873"/>
      <c r="BL1873" t="s">
        <v>1066</v>
      </c>
      <c r="BM1873" t="s">
        <v>296</v>
      </c>
      <c r="BN1873" t="s">
        <v>60</v>
      </c>
      <c r="BO1873" t="s">
        <v>297</v>
      </c>
      <c r="BP1873" t="s">
        <v>77</v>
      </c>
      <c r="BQ1873" t="s">
        <v>1125</v>
      </c>
      <c r="BR1873" t="s">
        <v>63</v>
      </c>
      <c r="BS1873"/>
      <c r="BT1873">
        <v>20.37934259</v>
      </c>
      <c r="BU1873">
        <v>20.379342999999999</v>
      </c>
      <c r="BV1873">
        <v>9.2422634079999995</v>
      </c>
      <c r="BW1873">
        <f>BV1873*SQRT(AK1873)</f>
        <v>20.666329246246875</v>
      </c>
      <c r="BX1873">
        <v>6.4039244210000001</v>
      </c>
      <c r="BY1873">
        <v>6.4039244000000002</v>
      </c>
      <c r="BZ1873">
        <v>4.9400000000000004</v>
      </c>
      <c r="CA1873">
        <f>BZ1873*SQRT(AL1873)</f>
        <v>11.046175808848963</v>
      </c>
      <c r="CB1873">
        <v>7</v>
      </c>
      <c r="CC1873"/>
      <c r="CD1873">
        <v>-1.1579999999999999</v>
      </c>
      <c r="CE1873">
        <v>0.80079999999999996</v>
      </c>
      <c r="CF1873"/>
    </row>
    <row r="1874" spans="1:84" s="8" customFormat="1" hidden="1" x14ac:dyDescent="0.2">
      <c r="A1874"/>
      <c r="B1874" t="str">
        <f>ROW()-1&amp;"_AltersInvert"</f>
        <v>1873_AltersInvert</v>
      </c>
      <c r="C1874" t="str">
        <f>D1874&amp;"_"&amp;
SUBSTITUTE(TRIM(V1874)," ","_")&amp;"_"&amp;
TRIM(AC1874)&amp;"_"&amp;
"CO2"&amp;TEXT(AN1874,"0.00")&amp;"_"&amp;
"pH"&amp;TEXT(AR1874,"0.00")&amp;"_"&amp;
"T"&amp;TEXT(BC1874,"0.##")</f>
        <v>232_Aurelia_coerulea_LARVA_CO2375.00_pH0.00_T24.</v>
      </c>
      <c r="D1874">
        <v>232</v>
      </c>
      <c r="E1874"/>
      <c r="F1874"/>
      <c r="G1874" t="s">
        <v>43</v>
      </c>
      <c r="H1874" t="s">
        <v>1046</v>
      </c>
      <c r="I1874"/>
      <c r="J1874">
        <v>2018</v>
      </c>
      <c r="K1874"/>
      <c r="L1874"/>
      <c r="M1874" t="s">
        <v>308</v>
      </c>
      <c r="N1874"/>
      <c r="O1874"/>
      <c r="P1874" t="s">
        <v>1135</v>
      </c>
      <c r="Q1874"/>
      <c r="R1874" t="s">
        <v>1127</v>
      </c>
      <c r="S1874" t="s">
        <v>1128</v>
      </c>
      <c r="T1874" t="s">
        <v>103</v>
      </c>
      <c r="U1874" t="s">
        <v>1047</v>
      </c>
      <c r="V1874" t="s">
        <v>1048</v>
      </c>
      <c r="W1874"/>
      <c r="X1874"/>
      <c r="Y1874"/>
      <c r="Z1874"/>
      <c r="AA1874"/>
      <c r="AB1874"/>
      <c r="AC1874" t="s">
        <v>72</v>
      </c>
      <c r="AD1874"/>
      <c r="AE1874"/>
      <c r="AF1874" t="s">
        <v>52</v>
      </c>
      <c r="AG1874" t="s">
        <v>54</v>
      </c>
      <c r="AH1874" t="s">
        <v>55</v>
      </c>
      <c r="AI1874"/>
      <c r="AJ1874"/>
      <c r="AK1874">
        <v>5</v>
      </c>
      <c r="AL1874">
        <v>5</v>
      </c>
      <c r="AM1874"/>
      <c r="AN1874">
        <v>375</v>
      </c>
      <c r="AO1874"/>
      <c r="AP1874"/>
      <c r="AQ1874"/>
      <c r="AR1874"/>
      <c r="AS1874"/>
      <c r="AT1874"/>
      <c r="AU1874">
        <v>1032</v>
      </c>
      <c r="AV1874"/>
      <c r="AW1874"/>
      <c r="AX1874"/>
      <c r="AY1874"/>
      <c r="AZ1874"/>
      <c r="BA1874"/>
      <c r="BB1874">
        <f>LOG(AU1874)</f>
        <v>3.0136796972911926</v>
      </c>
      <c r="BC1874">
        <v>24</v>
      </c>
      <c r="BD1874"/>
      <c r="BE1874"/>
      <c r="BF1874">
        <v>24</v>
      </c>
      <c r="BG1874"/>
      <c r="BH1874"/>
      <c r="BI1874">
        <v>657</v>
      </c>
      <c r="BJ1874">
        <v>0</v>
      </c>
      <c r="BK1874"/>
      <c r="BL1874" t="s">
        <v>1066</v>
      </c>
      <c r="BM1874" t="s">
        <v>296</v>
      </c>
      <c r="BN1874" t="s">
        <v>60</v>
      </c>
      <c r="BO1874" t="s">
        <v>297</v>
      </c>
      <c r="BP1874" t="s">
        <v>77</v>
      </c>
      <c r="BQ1874" t="s">
        <v>1125</v>
      </c>
      <c r="BR1874" t="s">
        <v>63</v>
      </c>
      <c r="BS1874"/>
      <c r="BT1874">
        <v>20.37934259</v>
      </c>
      <c r="BU1874">
        <v>20.379342999999999</v>
      </c>
      <c r="BV1874">
        <v>9.2422634079999995</v>
      </c>
      <c r="BW1874">
        <f>BV1874*SQRT(AK1874)</f>
        <v>20.666329246246875</v>
      </c>
      <c r="BX1874">
        <v>18.091181349999999</v>
      </c>
      <c r="BY1874">
        <v>18.091181299999999</v>
      </c>
      <c r="BZ1874">
        <v>9.24</v>
      </c>
      <c r="CA1874">
        <f>BZ1874*SQRT(AL1874)</f>
        <v>20.661268112098057</v>
      </c>
      <c r="CB1874">
        <v>7</v>
      </c>
      <c r="CC1874"/>
      <c r="CD1874">
        <v>-0.11899999999999999</v>
      </c>
      <c r="CE1874">
        <v>0.4667</v>
      </c>
      <c r="CF1874"/>
    </row>
    <row r="1875" spans="1:84" s="8" customFormat="1" hidden="1" x14ac:dyDescent="0.2">
      <c r="A1875"/>
      <c r="B1875" t="str">
        <f>ROW()-1&amp;"_AltersInvert"</f>
        <v>1874_AltersInvert</v>
      </c>
      <c r="C1875" t="str">
        <f>D1875&amp;"_"&amp;
SUBSTITUTE(TRIM(V1875)," ","_")&amp;"_"&amp;
TRIM(AC1875)&amp;"_"&amp;
"CO2"&amp;TEXT(AN1875,"0.00")&amp;"_"&amp;
"pH"&amp;TEXT(AR1875,"0.00")&amp;"_"&amp;
"T"&amp;TEXT(BC1875,"0.##")</f>
        <v>232_Aurelia_coerulea_LARVA_CO2375.00_pH0.00_T24.</v>
      </c>
      <c r="D1875">
        <v>232</v>
      </c>
      <c r="E1875"/>
      <c r="F1875"/>
      <c r="G1875" t="s">
        <v>43</v>
      </c>
      <c r="H1875" t="s">
        <v>1046</v>
      </c>
      <c r="I1875"/>
      <c r="J1875">
        <v>2018</v>
      </c>
      <c r="K1875"/>
      <c r="L1875"/>
      <c r="M1875" t="s">
        <v>308</v>
      </c>
      <c r="N1875"/>
      <c r="O1875"/>
      <c r="P1875" t="s">
        <v>1135</v>
      </c>
      <c r="Q1875"/>
      <c r="R1875" t="s">
        <v>1127</v>
      </c>
      <c r="S1875" t="s">
        <v>1128</v>
      </c>
      <c r="T1875" t="s">
        <v>103</v>
      </c>
      <c r="U1875" t="s">
        <v>1047</v>
      </c>
      <c r="V1875" t="s">
        <v>1048</v>
      </c>
      <c r="W1875"/>
      <c r="X1875"/>
      <c r="Y1875"/>
      <c r="Z1875"/>
      <c r="AA1875"/>
      <c r="AB1875"/>
      <c r="AC1875" t="s">
        <v>72</v>
      </c>
      <c r="AD1875"/>
      <c r="AE1875"/>
      <c r="AF1875" t="s">
        <v>54</v>
      </c>
      <c r="AG1875" t="s">
        <v>52</v>
      </c>
      <c r="AH1875" t="s">
        <v>65</v>
      </c>
      <c r="AI1875"/>
      <c r="AJ1875"/>
      <c r="AK1875">
        <v>5</v>
      </c>
      <c r="AL1875">
        <v>5</v>
      </c>
      <c r="AM1875"/>
      <c r="AN1875">
        <v>375</v>
      </c>
      <c r="AO1875"/>
      <c r="AP1875"/>
      <c r="AQ1875"/>
      <c r="AR1875"/>
      <c r="AS1875"/>
      <c r="AT1875"/>
      <c r="AU1875">
        <v>368</v>
      </c>
      <c r="AV1875"/>
      <c r="AW1875"/>
      <c r="AX1875"/>
      <c r="AY1875"/>
      <c r="AZ1875"/>
      <c r="BA1875"/>
      <c r="BB1875">
        <f>LOG(AU1875)</f>
        <v>2.5658478186735176</v>
      </c>
      <c r="BC1875">
        <v>24</v>
      </c>
      <c r="BD1875"/>
      <c r="BE1875"/>
      <c r="BF1875">
        <v>27</v>
      </c>
      <c r="BG1875"/>
      <c r="BH1875"/>
      <c r="BI1875">
        <v>-7</v>
      </c>
      <c r="BJ1875">
        <v>3</v>
      </c>
      <c r="BK1875"/>
      <c r="BL1875" t="s">
        <v>1066</v>
      </c>
      <c r="BM1875" t="s">
        <v>296</v>
      </c>
      <c r="BN1875" t="s">
        <v>60</v>
      </c>
      <c r="BO1875" t="s">
        <v>297</v>
      </c>
      <c r="BP1875" t="s">
        <v>77</v>
      </c>
      <c r="BQ1875" t="s">
        <v>1125</v>
      </c>
      <c r="BR1875" t="s">
        <v>63</v>
      </c>
      <c r="BS1875"/>
      <c r="BT1875">
        <v>20.37934259</v>
      </c>
      <c r="BU1875">
        <v>20.379342999999999</v>
      </c>
      <c r="BV1875">
        <v>9.2422634079999995</v>
      </c>
      <c r="BW1875">
        <f>BV1875*SQRT(AK1875)</f>
        <v>20.666329246246875</v>
      </c>
      <c r="BX1875">
        <v>25.61587836</v>
      </c>
      <c r="BY1875">
        <v>25.6158784</v>
      </c>
      <c r="BZ1875">
        <v>9.08</v>
      </c>
      <c r="CA1875">
        <f>BZ1875*SQRT(AL1875)</f>
        <v>20.303497235698092</v>
      </c>
      <c r="CB1875">
        <v>7</v>
      </c>
      <c r="CC1875"/>
      <c r="CD1875">
        <v>0.22900000000000001</v>
      </c>
      <c r="CE1875">
        <v>0.33139999999999997</v>
      </c>
      <c r="CF1875"/>
    </row>
    <row r="1876" spans="1:84" s="8" customFormat="1" hidden="1" x14ac:dyDescent="0.2">
      <c r="A1876"/>
      <c r="B1876" t="str">
        <f>ROW()-1&amp;"_AltersInvert"</f>
        <v>1875_AltersInvert</v>
      </c>
      <c r="C1876" t="str">
        <f>D1876&amp;"_"&amp;
SUBSTITUTE(TRIM(V1876)," ","_")&amp;"_"&amp;
TRIM(AC1876)&amp;"_"&amp;
"CO2"&amp;TEXT(AN1876,"0.00")&amp;"_"&amp;
"pH"&amp;TEXT(AR1876,"0.00")&amp;"_"&amp;
"T"&amp;TEXT(BC1876,"0.##")</f>
        <v>232_Aurelia_coerulea_LARVA_CO2375.00_pH0.00_T24.</v>
      </c>
      <c r="D1876">
        <v>232</v>
      </c>
      <c r="E1876"/>
      <c r="F1876"/>
      <c r="G1876" t="s">
        <v>43</v>
      </c>
      <c r="H1876" t="s">
        <v>1046</v>
      </c>
      <c r="I1876"/>
      <c r="J1876">
        <v>2018</v>
      </c>
      <c r="K1876"/>
      <c r="L1876"/>
      <c r="M1876" t="s">
        <v>308</v>
      </c>
      <c r="N1876"/>
      <c r="O1876"/>
      <c r="P1876" t="s">
        <v>1135</v>
      </c>
      <c r="Q1876"/>
      <c r="R1876" t="s">
        <v>1127</v>
      </c>
      <c r="S1876" t="s">
        <v>1128</v>
      </c>
      <c r="T1876" t="s">
        <v>103</v>
      </c>
      <c r="U1876" t="s">
        <v>1047</v>
      </c>
      <c r="V1876" t="s">
        <v>1048</v>
      </c>
      <c r="W1876"/>
      <c r="X1876"/>
      <c r="Y1876"/>
      <c r="Z1876"/>
      <c r="AA1876"/>
      <c r="AB1876"/>
      <c r="AC1876" t="s">
        <v>72</v>
      </c>
      <c r="AD1876"/>
      <c r="AE1876"/>
      <c r="AF1876" t="s">
        <v>52</v>
      </c>
      <c r="AG1876" t="s">
        <v>52</v>
      </c>
      <c r="AH1876" t="s">
        <v>64</v>
      </c>
      <c r="AI1876"/>
      <c r="AJ1876"/>
      <c r="AK1876">
        <v>5</v>
      </c>
      <c r="AL1876">
        <v>5</v>
      </c>
      <c r="AM1876"/>
      <c r="AN1876">
        <v>375</v>
      </c>
      <c r="AO1876"/>
      <c r="AP1876"/>
      <c r="AQ1876"/>
      <c r="AR1876"/>
      <c r="AS1876"/>
      <c r="AT1876"/>
      <c r="AU1876">
        <v>1077</v>
      </c>
      <c r="AV1876"/>
      <c r="AW1876"/>
      <c r="AX1876"/>
      <c r="AY1876"/>
      <c r="AZ1876"/>
      <c r="BA1876"/>
      <c r="BB1876">
        <f>LOG(AU1876)</f>
        <v>3.0322157032979815</v>
      </c>
      <c r="BC1876">
        <v>24</v>
      </c>
      <c r="BD1876"/>
      <c r="BE1876"/>
      <c r="BF1876">
        <v>27</v>
      </c>
      <c r="BG1876"/>
      <c r="BH1876"/>
      <c r="BI1876">
        <v>702</v>
      </c>
      <c r="BJ1876">
        <v>3</v>
      </c>
      <c r="BK1876"/>
      <c r="BL1876" t="s">
        <v>1066</v>
      </c>
      <c r="BM1876" t="s">
        <v>296</v>
      </c>
      <c r="BN1876" t="s">
        <v>60</v>
      </c>
      <c r="BO1876" t="s">
        <v>297</v>
      </c>
      <c r="BP1876" t="s">
        <v>77</v>
      </c>
      <c r="BQ1876" t="s">
        <v>1125</v>
      </c>
      <c r="BR1876" t="s">
        <v>63</v>
      </c>
      <c r="BS1876"/>
      <c r="BT1876">
        <v>20.37934259</v>
      </c>
      <c r="BU1876">
        <v>20.379342999999999</v>
      </c>
      <c r="BV1876">
        <v>9.2422634079999995</v>
      </c>
      <c r="BW1876">
        <f>BV1876*SQRT(AK1876)</f>
        <v>20.666329246246875</v>
      </c>
      <c r="BX1876">
        <v>18.70658542</v>
      </c>
      <c r="BY1876">
        <v>18.706585400000002</v>
      </c>
      <c r="BZ1876">
        <v>5.0999999999999996</v>
      </c>
      <c r="CA1876">
        <f>BZ1876*SQRT(AL1876)</f>
        <v>11.403946685248927</v>
      </c>
      <c r="CB1876">
        <v>7</v>
      </c>
      <c r="CC1876"/>
      <c r="CD1876">
        <v>-8.5999999999999993E-2</v>
      </c>
      <c r="CE1876">
        <v>0.28000000000000003</v>
      </c>
      <c r="CF1876"/>
    </row>
    <row r="1877" spans="1:84" s="8" customFormat="1" hidden="1" x14ac:dyDescent="0.2">
      <c r="A1877"/>
      <c r="B1877" t="str">
        <f>ROW()-1&amp;"_AltersInvert"</f>
        <v>1876_AltersInvert</v>
      </c>
      <c r="C1877" t="str">
        <f>D1877&amp;"_"&amp;
SUBSTITUTE(TRIM(V1877)," ","_")&amp;"_"&amp;
TRIM(AC1877)&amp;"_"&amp;
"CO2"&amp;TEXT(AN1877,"0.00")&amp;"_"&amp;
"pH"&amp;TEXT(AR1877,"0.00")&amp;"_"&amp;
"T"&amp;TEXT(BC1877,"0.##")</f>
        <v>232_Aurelia_coerulea_LARVA_CO2375.00_pH0.00_T24.</v>
      </c>
      <c r="D1877">
        <v>232</v>
      </c>
      <c r="E1877"/>
      <c r="F1877"/>
      <c r="G1877" t="s">
        <v>43</v>
      </c>
      <c r="H1877" t="s">
        <v>1046</v>
      </c>
      <c r="I1877"/>
      <c r="J1877">
        <v>2018</v>
      </c>
      <c r="K1877"/>
      <c r="L1877"/>
      <c r="M1877" t="s">
        <v>308</v>
      </c>
      <c r="N1877"/>
      <c r="O1877"/>
      <c r="P1877" t="s">
        <v>1135</v>
      </c>
      <c r="Q1877"/>
      <c r="R1877" t="s">
        <v>1127</v>
      </c>
      <c r="S1877" t="s">
        <v>1128</v>
      </c>
      <c r="T1877" t="s">
        <v>103</v>
      </c>
      <c r="U1877" t="s">
        <v>1047</v>
      </c>
      <c r="V1877" t="s">
        <v>1048</v>
      </c>
      <c r="W1877"/>
      <c r="X1877"/>
      <c r="Y1877"/>
      <c r="Z1877"/>
      <c r="AA1877"/>
      <c r="AB1877"/>
      <c r="AC1877" t="s">
        <v>72</v>
      </c>
      <c r="AD1877"/>
      <c r="AE1877"/>
      <c r="AF1877" t="s">
        <v>52</v>
      </c>
      <c r="AG1877" t="s">
        <v>52</v>
      </c>
      <c r="AH1877" t="s">
        <v>64</v>
      </c>
      <c r="AI1877"/>
      <c r="AJ1877"/>
      <c r="AK1877">
        <v>5</v>
      </c>
      <c r="AL1877">
        <v>5</v>
      </c>
      <c r="AM1877"/>
      <c r="AN1877">
        <v>375</v>
      </c>
      <c r="AO1877"/>
      <c r="AP1877"/>
      <c r="AQ1877"/>
      <c r="AR1877"/>
      <c r="AS1877"/>
      <c r="AT1877"/>
      <c r="AU1877">
        <v>2980</v>
      </c>
      <c r="AV1877"/>
      <c r="AW1877"/>
      <c r="AX1877"/>
      <c r="AY1877"/>
      <c r="AZ1877"/>
      <c r="BA1877"/>
      <c r="BB1877">
        <f>LOG(AU1877)</f>
        <v>3.4742162640762553</v>
      </c>
      <c r="BC1877">
        <v>24</v>
      </c>
      <c r="BD1877"/>
      <c r="BE1877"/>
      <c r="BF1877">
        <v>27</v>
      </c>
      <c r="BG1877"/>
      <c r="BH1877"/>
      <c r="BI1877">
        <v>2605</v>
      </c>
      <c r="BJ1877">
        <v>3</v>
      </c>
      <c r="BK1877"/>
      <c r="BL1877" t="s">
        <v>1066</v>
      </c>
      <c r="BM1877" t="s">
        <v>296</v>
      </c>
      <c r="BN1877" t="s">
        <v>60</v>
      </c>
      <c r="BO1877" t="s">
        <v>297</v>
      </c>
      <c r="BP1877" t="s">
        <v>77</v>
      </c>
      <c r="BQ1877" t="s">
        <v>1125</v>
      </c>
      <c r="BR1877" t="s">
        <v>63</v>
      </c>
      <c r="BS1877"/>
      <c r="BT1877">
        <v>20.37934259</v>
      </c>
      <c r="BU1877">
        <v>20.379342999999999</v>
      </c>
      <c r="BV1877">
        <v>9.2422634079999995</v>
      </c>
      <c r="BW1877">
        <f>BV1877*SQRT(AK1877)</f>
        <v>20.666329246246875</v>
      </c>
      <c r="BX1877">
        <v>23.274596509999999</v>
      </c>
      <c r="BY1877">
        <v>23.274596500000001</v>
      </c>
      <c r="BZ1877">
        <v>3.35</v>
      </c>
      <c r="CA1877">
        <f>BZ1877*SQRT(AL1877)</f>
        <v>7.490827724624296</v>
      </c>
      <c r="CB1877">
        <v>7</v>
      </c>
      <c r="CC1877"/>
      <c r="CD1877">
        <v>0.13300000000000001</v>
      </c>
      <c r="CE1877">
        <v>0.22639999999999999</v>
      </c>
      <c r="CF1877"/>
    </row>
    <row r="1878" spans="1:84" s="8" customFormat="1" hidden="1" x14ac:dyDescent="0.2">
      <c r="A1878"/>
      <c r="B1878" t="str">
        <f>ROW()-1&amp;"_AltersInvert"</f>
        <v>1877_AltersInvert</v>
      </c>
      <c r="C1878" t="str">
        <f>D1878&amp;"_"&amp;
SUBSTITUTE(TRIM(V1878)," ","_")&amp;"_"&amp;
TRIM(AC1878)&amp;"_"&amp;
"CO2"&amp;TEXT(AN1878,"0.00")&amp;"_"&amp;
"pH"&amp;TEXT(AR1878,"0.00")&amp;"_"&amp;
"T"&amp;TEXT(BC1878,"0.##")</f>
        <v>99_Tripneustes_gratilla_LARVA_CO2491.00_pH8.12_T24.4</v>
      </c>
      <c r="D1878">
        <v>99</v>
      </c>
      <c r="E1878"/>
      <c r="F1878"/>
      <c r="G1878" t="s">
        <v>43</v>
      </c>
      <c r="H1878" t="s">
        <v>765</v>
      </c>
      <c r="I1878"/>
      <c r="J1878">
        <v>2019</v>
      </c>
      <c r="K1878"/>
      <c r="L1878"/>
      <c r="M1878" t="s">
        <v>766</v>
      </c>
      <c r="N1878"/>
      <c r="O1878"/>
      <c r="P1878" t="s">
        <v>1135</v>
      </c>
      <c r="Q1878"/>
      <c r="R1878" t="s">
        <v>1127</v>
      </c>
      <c r="S1878" t="s">
        <v>1128</v>
      </c>
      <c r="T1878" t="s">
        <v>46</v>
      </c>
      <c r="U1878" t="s">
        <v>422</v>
      </c>
      <c r="V1878" t="s">
        <v>423</v>
      </c>
      <c r="W1878"/>
      <c r="X1878"/>
      <c r="Y1878"/>
      <c r="Z1878" t="s">
        <v>106</v>
      </c>
      <c r="AA1878" t="s">
        <v>107</v>
      </c>
      <c r="AB1878" t="s">
        <v>71</v>
      </c>
      <c r="AC1878" t="s">
        <v>72</v>
      </c>
      <c r="AD1878" t="s">
        <v>54</v>
      </c>
      <c r="AE1878" t="s">
        <v>53</v>
      </c>
      <c r="AF1878" t="s">
        <v>52</v>
      </c>
      <c r="AG1878" t="s">
        <v>54</v>
      </c>
      <c r="AH1878" t="s">
        <v>55</v>
      </c>
      <c r="AI1878"/>
      <c r="AJ1878"/>
      <c r="AK1878">
        <v>5</v>
      </c>
      <c r="AL1878">
        <v>5</v>
      </c>
      <c r="AM1878"/>
      <c r="AN1878">
        <v>491</v>
      </c>
      <c r="AO1878">
        <v>12</v>
      </c>
      <c r="AP1878" t="s">
        <v>56</v>
      </c>
      <c r="AQ1878" t="s">
        <v>118</v>
      </c>
      <c r="AR1878">
        <v>8.1199999999999992</v>
      </c>
      <c r="AS1878">
        <v>0.01</v>
      </c>
      <c r="AT1878" t="s">
        <v>56</v>
      </c>
      <c r="AU1878">
        <v>1583</v>
      </c>
      <c r="AV1878">
        <v>36</v>
      </c>
      <c r="AW1878" t="s">
        <v>56</v>
      </c>
      <c r="AX1878">
        <v>7.67</v>
      </c>
      <c r="AY1878">
        <v>0.01</v>
      </c>
      <c r="AZ1878" t="s">
        <v>56</v>
      </c>
      <c r="BA1878"/>
      <c r="BB1878">
        <f>LOG(AU1878)</f>
        <v>3.199480914862356</v>
      </c>
      <c r="BC1878">
        <v>24.4</v>
      </c>
      <c r="BD1878">
        <v>0.1</v>
      </c>
      <c r="BE1878" t="s">
        <v>56</v>
      </c>
      <c r="BF1878">
        <v>24.5</v>
      </c>
      <c r="BG1878">
        <v>0.1</v>
      </c>
      <c r="BH1878" t="s">
        <v>56</v>
      </c>
      <c r="BI1878">
        <v>1092</v>
      </c>
      <c r="BJ1878">
        <v>0.1</v>
      </c>
      <c r="BK1878" t="s">
        <v>767</v>
      </c>
      <c r="BL1878" t="s">
        <v>85</v>
      </c>
      <c r="BM1878" t="s">
        <v>86</v>
      </c>
      <c r="BN1878" t="s">
        <v>81</v>
      </c>
      <c r="BO1878" t="s">
        <v>82</v>
      </c>
      <c r="BP1878" t="s">
        <v>9</v>
      </c>
      <c r="BQ1878" t="s">
        <v>9</v>
      </c>
      <c r="BR1878" t="s">
        <v>84</v>
      </c>
      <c r="BS1878"/>
      <c r="BT1878">
        <v>55.27</v>
      </c>
      <c r="BU1878">
        <v>44.727272999999997</v>
      </c>
      <c r="BV1878">
        <v>9.31</v>
      </c>
      <c r="BW1878">
        <f>BV1878*SQRT(AK1878)</f>
        <v>20.817792870523043</v>
      </c>
      <c r="BX1878">
        <v>43.35</v>
      </c>
      <c r="BY1878">
        <v>56.654545499999998</v>
      </c>
      <c r="BZ1878">
        <v>43.35</v>
      </c>
      <c r="CA1878">
        <f>BZ1878*SQRT(AL1878)</f>
        <v>96.933546824615888</v>
      </c>
      <c r="CB1878">
        <v>2</v>
      </c>
      <c r="CC1878">
        <v>7</v>
      </c>
      <c r="CD1878">
        <v>0.23599999999999999</v>
      </c>
      <c r="CE1878">
        <v>0.62870000000000004</v>
      </c>
    </row>
    <row r="1879" spans="1:84" s="8" customFormat="1" hidden="1" x14ac:dyDescent="0.2">
      <c r="A1879"/>
      <c r="B1879" t="str">
        <f>ROW()-1&amp;"_AltersInvert"</f>
        <v>1878_AltersInvert</v>
      </c>
      <c r="C1879" t="str">
        <f>D1879&amp;"_"&amp;
SUBSTITUTE(TRIM(V1879)," ","_")&amp;"_"&amp;
TRIM(AC1879)&amp;"_"&amp;
"CO2"&amp;TEXT(AN1879,"0.00")&amp;"_"&amp;
"pH"&amp;TEXT(AR1879,"0.00")&amp;"_"&amp;
"T"&amp;TEXT(BC1879,"0.##")</f>
        <v>99_Tripneustes_gratilla_LARVA_CO2491.00_pH8.12_T24.4</v>
      </c>
      <c r="D1879">
        <v>99</v>
      </c>
      <c r="E1879"/>
      <c r="F1879"/>
      <c r="G1879" t="s">
        <v>43</v>
      </c>
      <c r="H1879" t="s">
        <v>765</v>
      </c>
      <c r="I1879"/>
      <c r="J1879">
        <v>2019</v>
      </c>
      <c r="K1879"/>
      <c r="L1879"/>
      <c r="M1879" t="s">
        <v>766</v>
      </c>
      <c r="N1879"/>
      <c r="O1879"/>
      <c r="P1879" t="s">
        <v>1135</v>
      </c>
      <c r="Q1879"/>
      <c r="R1879" t="s">
        <v>1127</v>
      </c>
      <c r="S1879" t="s">
        <v>1128</v>
      </c>
      <c r="T1879" t="s">
        <v>46</v>
      </c>
      <c r="U1879" t="s">
        <v>422</v>
      </c>
      <c r="V1879" t="s">
        <v>423</v>
      </c>
      <c r="W1879"/>
      <c r="X1879"/>
      <c r="Y1879"/>
      <c r="Z1879" t="s">
        <v>106</v>
      </c>
      <c r="AA1879" t="s">
        <v>107</v>
      </c>
      <c r="AB1879" t="s">
        <v>71</v>
      </c>
      <c r="AC1879" t="s">
        <v>72</v>
      </c>
      <c r="AD1879" t="s">
        <v>54</v>
      </c>
      <c r="AE1879" t="s">
        <v>53</v>
      </c>
      <c r="AF1879" t="s">
        <v>52</v>
      </c>
      <c r="AG1879" t="s">
        <v>54</v>
      </c>
      <c r="AH1879" t="s">
        <v>55</v>
      </c>
      <c r="AI1879"/>
      <c r="AJ1879"/>
      <c r="AK1879">
        <v>5</v>
      </c>
      <c r="AL1879">
        <v>5</v>
      </c>
      <c r="AM1879"/>
      <c r="AN1879">
        <v>491</v>
      </c>
      <c r="AO1879">
        <v>12</v>
      </c>
      <c r="AP1879" t="s">
        <v>56</v>
      </c>
      <c r="AQ1879" t="s">
        <v>118</v>
      </c>
      <c r="AR1879">
        <v>8.1199999999999992</v>
      </c>
      <c r="AS1879">
        <v>0.01</v>
      </c>
      <c r="AT1879" t="s">
        <v>56</v>
      </c>
      <c r="AU1879">
        <v>930</v>
      </c>
      <c r="AV1879">
        <v>18</v>
      </c>
      <c r="AW1879" t="s">
        <v>56</v>
      </c>
      <c r="AX1879">
        <v>7.87</v>
      </c>
      <c r="AY1879">
        <v>0.01</v>
      </c>
      <c r="AZ1879" t="s">
        <v>56</v>
      </c>
      <c r="BA1879"/>
      <c r="BB1879">
        <f>LOG(AU1879)</f>
        <v>2.9684829485539352</v>
      </c>
      <c r="BC1879">
        <v>24.4</v>
      </c>
      <c r="BD1879">
        <v>0.1</v>
      </c>
      <c r="BE1879" t="s">
        <v>56</v>
      </c>
      <c r="BF1879">
        <v>24.3</v>
      </c>
      <c r="BG1879">
        <v>0.1</v>
      </c>
      <c r="BH1879" t="s">
        <v>56</v>
      </c>
      <c r="BI1879">
        <v>440</v>
      </c>
      <c r="BJ1879">
        <v>-0.1</v>
      </c>
      <c r="BK1879" t="s">
        <v>767</v>
      </c>
      <c r="BL1879" t="s">
        <v>85</v>
      </c>
      <c r="BM1879" t="s">
        <v>86</v>
      </c>
      <c r="BN1879" t="s">
        <v>81</v>
      </c>
      <c r="BO1879" t="s">
        <v>82</v>
      </c>
      <c r="BP1879" t="s">
        <v>9</v>
      </c>
      <c r="BQ1879" t="s">
        <v>9</v>
      </c>
      <c r="BR1879" t="s">
        <v>84</v>
      </c>
      <c r="BS1879"/>
      <c r="BT1879">
        <v>55.27</v>
      </c>
      <c r="BU1879">
        <v>44.727272999999997</v>
      </c>
      <c r="BV1879">
        <v>9.31</v>
      </c>
      <c r="BW1879">
        <f>BV1879*SQRT(AK1879)</f>
        <v>20.817792870523043</v>
      </c>
      <c r="BX1879">
        <v>38.979999999999997</v>
      </c>
      <c r="BY1879">
        <v>61.018181800000001</v>
      </c>
      <c r="BZ1879">
        <v>38.979999999999997</v>
      </c>
      <c r="CA1879">
        <f>BZ1879*SQRT(AL1879)</f>
        <v>87.161929762941796</v>
      </c>
      <c r="CB1879">
        <v>2</v>
      </c>
      <c r="CC1879">
        <v>7</v>
      </c>
      <c r="CD1879">
        <v>0.311</v>
      </c>
      <c r="CE1879">
        <v>0.45150000000000001</v>
      </c>
    </row>
    <row r="1880" spans="1:84" s="8" customFormat="1" hidden="1" x14ac:dyDescent="0.2">
      <c r="A1880"/>
      <c r="B1880" t="str">
        <f>ROW()-1&amp;"_AltersInvert"</f>
        <v>1879_AltersInvert</v>
      </c>
      <c r="C1880" t="str">
        <f>D1880&amp;"_"&amp;
SUBSTITUTE(TRIM(V1880)," ","_")&amp;"_"&amp;
TRIM(AC1880)&amp;"_"&amp;
"CO2"&amp;TEXT(AN1880,"0.00")&amp;"_"&amp;
"pH"&amp;TEXT(AR1880,"0.00")&amp;"_"&amp;
"T"&amp;TEXT(BC1880,"0.##")</f>
        <v>99_Tripneustes_gratilla_LARVA_CO2491.00_pH8.12_T24.4</v>
      </c>
      <c r="D1880">
        <v>99</v>
      </c>
      <c r="E1880"/>
      <c r="F1880"/>
      <c r="G1880" t="s">
        <v>43</v>
      </c>
      <c r="H1880" t="s">
        <v>765</v>
      </c>
      <c r="I1880"/>
      <c r="J1880">
        <v>2019</v>
      </c>
      <c r="K1880"/>
      <c r="L1880"/>
      <c r="M1880" t="s">
        <v>766</v>
      </c>
      <c r="N1880"/>
      <c r="O1880"/>
      <c r="P1880" t="s">
        <v>1135</v>
      </c>
      <c r="Q1880"/>
      <c r="R1880" t="s">
        <v>1127</v>
      </c>
      <c r="S1880" t="s">
        <v>1128</v>
      </c>
      <c r="T1880" t="s">
        <v>46</v>
      </c>
      <c r="U1880" t="s">
        <v>422</v>
      </c>
      <c r="V1880" t="s">
        <v>423</v>
      </c>
      <c r="W1880"/>
      <c r="X1880"/>
      <c r="Y1880"/>
      <c r="Z1880" t="s">
        <v>106</v>
      </c>
      <c r="AA1880" t="s">
        <v>107</v>
      </c>
      <c r="AB1880" t="s">
        <v>71</v>
      </c>
      <c r="AC1880" t="s">
        <v>72</v>
      </c>
      <c r="AD1880" t="s">
        <v>54</v>
      </c>
      <c r="AE1880" t="s">
        <v>53</v>
      </c>
      <c r="AF1880" t="s">
        <v>54</v>
      </c>
      <c r="AG1880" t="s">
        <v>52</v>
      </c>
      <c r="AH1880" t="s">
        <v>65</v>
      </c>
      <c r="AI1880"/>
      <c r="AJ1880"/>
      <c r="AK1880">
        <v>5</v>
      </c>
      <c r="AL1880">
        <v>5</v>
      </c>
      <c r="AM1880"/>
      <c r="AN1880">
        <v>491</v>
      </c>
      <c r="AO1880">
        <v>12</v>
      </c>
      <c r="AP1880" t="s">
        <v>56</v>
      </c>
      <c r="AQ1880" t="s">
        <v>118</v>
      </c>
      <c r="AR1880">
        <v>8.1199999999999992</v>
      </c>
      <c r="AS1880">
        <v>0.01</v>
      </c>
      <c r="AT1880" t="s">
        <v>56</v>
      </c>
      <c r="AU1880">
        <v>513</v>
      </c>
      <c r="AV1880">
        <v>12</v>
      </c>
      <c r="AW1880" t="s">
        <v>56</v>
      </c>
      <c r="AX1880">
        <v>8.1</v>
      </c>
      <c r="AY1880">
        <v>0.01</v>
      </c>
      <c r="AZ1880" t="s">
        <v>56</v>
      </c>
      <c r="BA1880"/>
      <c r="BB1880">
        <f>LOG(AU1880)</f>
        <v>2.7101173651118162</v>
      </c>
      <c r="BC1880">
        <v>24.4</v>
      </c>
      <c r="BD1880">
        <v>0.1</v>
      </c>
      <c r="BE1880" t="s">
        <v>56</v>
      </c>
      <c r="BF1880">
        <v>26.8</v>
      </c>
      <c r="BG1880">
        <v>0.1</v>
      </c>
      <c r="BH1880" t="s">
        <v>56</v>
      </c>
      <c r="BI1880">
        <v>22</v>
      </c>
      <c r="BJ1880">
        <v>2.4</v>
      </c>
      <c r="BK1880" t="s">
        <v>767</v>
      </c>
      <c r="BL1880" t="s">
        <v>85</v>
      </c>
      <c r="BM1880" t="s">
        <v>86</v>
      </c>
      <c r="BN1880" t="s">
        <v>81</v>
      </c>
      <c r="BO1880" t="s">
        <v>82</v>
      </c>
      <c r="BP1880" t="s">
        <v>9</v>
      </c>
      <c r="BQ1880" t="s">
        <v>9</v>
      </c>
      <c r="BR1880" t="s">
        <v>84</v>
      </c>
      <c r="BS1880"/>
      <c r="BT1880">
        <v>55.27</v>
      </c>
      <c r="BU1880">
        <v>44.727272999999997</v>
      </c>
      <c r="BV1880">
        <v>9.31</v>
      </c>
      <c r="BW1880">
        <f>BV1880*SQRT(AK1880)</f>
        <v>20.817792870523043</v>
      </c>
      <c r="BX1880">
        <v>24.15</v>
      </c>
      <c r="BY1880">
        <v>75.8545455</v>
      </c>
      <c r="BZ1880">
        <v>24.15</v>
      </c>
      <c r="CA1880">
        <f>BZ1880*SQRT(AL1880)</f>
        <v>54.001041656619918</v>
      </c>
      <c r="CB1880">
        <v>2</v>
      </c>
      <c r="CC1880">
        <v>7</v>
      </c>
      <c r="CD1880">
        <v>0.52800000000000002</v>
      </c>
      <c r="CE1880">
        <v>0.14460000000000001</v>
      </c>
    </row>
    <row r="1881" spans="1:84" s="8" customFormat="1" hidden="1" x14ac:dyDescent="0.2">
      <c r="A1881"/>
      <c r="B1881" t="str">
        <f>ROW()-1&amp;"_AltersInvert"</f>
        <v>1880_AltersInvert</v>
      </c>
      <c r="C1881" t="str">
        <f>D1881&amp;"_"&amp;
SUBSTITUTE(TRIM(V1881)," ","_")&amp;"_"&amp;
TRIM(AC1881)&amp;"_"&amp;
"CO2"&amp;TEXT(AN1881,"0.00")&amp;"_"&amp;
"pH"&amp;TEXT(AR1881,"0.00")&amp;"_"&amp;
"T"&amp;TEXT(BC1881,"0.##")</f>
        <v>99_Tripneustes_gratilla_LARVA_CO2491.00_pH8.12_T24.4</v>
      </c>
      <c r="D1881">
        <v>99</v>
      </c>
      <c r="E1881"/>
      <c r="F1881"/>
      <c r="G1881" t="s">
        <v>43</v>
      </c>
      <c r="H1881" t="s">
        <v>765</v>
      </c>
      <c r="I1881"/>
      <c r="J1881">
        <v>2019</v>
      </c>
      <c r="K1881"/>
      <c r="L1881"/>
      <c r="M1881" t="s">
        <v>766</v>
      </c>
      <c r="N1881"/>
      <c r="O1881"/>
      <c r="P1881" t="s">
        <v>1135</v>
      </c>
      <c r="Q1881"/>
      <c r="R1881" t="s">
        <v>1127</v>
      </c>
      <c r="S1881" t="s">
        <v>1128</v>
      </c>
      <c r="T1881" t="s">
        <v>46</v>
      </c>
      <c r="U1881" t="s">
        <v>422</v>
      </c>
      <c r="V1881" t="s">
        <v>423</v>
      </c>
      <c r="W1881"/>
      <c r="X1881"/>
      <c r="Y1881"/>
      <c r="Z1881" t="s">
        <v>106</v>
      </c>
      <c r="AA1881" t="s">
        <v>107</v>
      </c>
      <c r="AB1881" t="s">
        <v>71</v>
      </c>
      <c r="AC1881" t="s">
        <v>72</v>
      </c>
      <c r="AD1881" t="s">
        <v>54</v>
      </c>
      <c r="AE1881" t="s">
        <v>53</v>
      </c>
      <c r="AF1881" t="s">
        <v>52</v>
      </c>
      <c r="AG1881" t="s">
        <v>52</v>
      </c>
      <c r="AH1881" t="s">
        <v>64</v>
      </c>
      <c r="AI1881"/>
      <c r="AJ1881"/>
      <c r="AK1881">
        <v>5</v>
      </c>
      <c r="AL1881">
        <v>5</v>
      </c>
      <c r="AM1881"/>
      <c r="AN1881">
        <v>491</v>
      </c>
      <c r="AO1881">
        <v>12</v>
      </c>
      <c r="AP1881" t="s">
        <v>56</v>
      </c>
      <c r="AQ1881" t="s">
        <v>118</v>
      </c>
      <c r="AR1881">
        <v>8.1199999999999992</v>
      </c>
      <c r="AS1881">
        <v>0.01</v>
      </c>
      <c r="AT1881" t="s">
        <v>56</v>
      </c>
      <c r="AU1881">
        <v>1006</v>
      </c>
      <c r="AV1881">
        <v>18</v>
      </c>
      <c r="AW1881" t="s">
        <v>56</v>
      </c>
      <c r="AX1881">
        <v>7.85</v>
      </c>
      <c r="AY1881">
        <v>0.01</v>
      </c>
      <c r="AZ1881" t="s">
        <v>56</v>
      </c>
      <c r="BA1881"/>
      <c r="BB1881">
        <f>LOG(AU1881)</f>
        <v>3.0025979807199086</v>
      </c>
      <c r="BC1881">
        <v>24.4</v>
      </c>
      <c r="BD1881">
        <v>0.1</v>
      </c>
      <c r="BE1881" t="s">
        <v>56</v>
      </c>
      <c r="BF1881">
        <v>26.7</v>
      </c>
      <c r="BG1881">
        <v>0.1</v>
      </c>
      <c r="BH1881" t="s">
        <v>56</v>
      </c>
      <c r="BI1881">
        <v>515</v>
      </c>
      <c r="BJ1881">
        <v>2.2999999999999998</v>
      </c>
      <c r="BK1881" t="s">
        <v>767</v>
      </c>
      <c r="BL1881" t="s">
        <v>85</v>
      </c>
      <c r="BM1881" t="s">
        <v>86</v>
      </c>
      <c r="BN1881" t="s">
        <v>81</v>
      </c>
      <c r="BO1881" t="s">
        <v>82</v>
      </c>
      <c r="BP1881" t="s">
        <v>9</v>
      </c>
      <c r="BQ1881" t="s">
        <v>9</v>
      </c>
      <c r="BR1881" t="s">
        <v>84</v>
      </c>
      <c r="BS1881"/>
      <c r="BT1881">
        <v>55.27</v>
      </c>
      <c r="BU1881">
        <v>44.727272999999997</v>
      </c>
      <c r="BV1881">
        <v>9.31</v>
      </c>
      <c r="BW1881">
        <f>BV1881*SQRT(AK1881)</f>
        <v>20.817792870523043</v>
      </c>
      <c r="BX1881">
        <v>20.95</v>
      </c>
      <c r="BY1881">
        <v>79.054545500000003</v>
      </c>
      <c r="BZ1881">
        <v>20.95</v>
      </c>
      <c r="CA1881">
        <f>BZ1881*SQRT(AL1881)</f>
        <v>46.845624128620592</v>
      </c>
      <c r="CB1881">
        <v>2</v>
      </c>
      <c r="CC1881">
        <v>7</v>
      </c>
      <c r="CD1881">
        <v>0.56999999999999995</v>
      </c>
      <c r="CE1881">
        <v>0.1135</v>
      </c>
    </row>
    <row r="1882" spans="1:84" s="8" customFormat="1" hidden="1" x14ac:dyDescent="0.2">
      <c r="A1882"/>
      <c r="B1882" t="str">
        <f>ROW()-1&amp;"_AltersInvert"</f>
        <v>1881_AltersInvert</v>
      </c>
      <c r="C1882" t="str">
        <f>D1882&amp;"_"&amp;
SUBSTITUTE(TRIM(V1882)," ","_")&amp;"_"&amp;
TRIM(AC1882)&amp;"_"&amp;
"CO2"&amp;TEXT(AN1882,"0.00")&amp;"_"&amp;
"pH"&amp;TEXT(AR1882,"0.00")&amp;"_"&amp;
"T"&amp;TEXT(BC1882,"0.##")</f>
        <v>99_Tripneustes_gratilla_LARVA_CO2491.00_pH8.12_T24.4</v>
      </c>
      <c r="D1882">
        <v>99</v>
      </c>
      <c r="E1882"/>
      <c r="F1882"/>
      <c r="G1882" t="s">
        <v>43</v>
      </c>
      <c r="H1882" t="s">
        <v>765</v>
      </c>
      <c r="I1882"/>
      <c r="J1882">
        <v>2019</v>
      </c>
      <c r="K1882"/>
      <c r="L1882"/>
      <c r="M1882" t="s">
        <v>766</v>
      </c>
      <c r="N1882"/>
      <c r="O1882"/>
      <c r="P1882" t="s">
        <v>1135</v>
      </c>
      <c r="Q1882"/>
      <c r="R1882" t="s">
        <v>1127</v>
      </c>
      <c r="S1882" t="s">
        <v>1128</v>
      </c>
      <c r="T1882" t="s">
        <v>46</v>
      </c>
      <c r="U1882" t="s">
        <v>422</v>
      </c>
      <c r="V1882" t="s">
        <v>423</v>
      </c>
      <c r="W1882"/>
      <c r="X1882"/>
      <c r="Y1882"/>
      <c r="Z1882" t="s">
        <v>106</v>
      </c>
      <c r="AA1882" t="s">
        <v>107</v>
      </c>
      <c r="AB1882" t="s">
        <v>71</v>
      </c>
      <c r="AC1882" t="s">
        <v>72</v>
      </c>
      <c r="AD1882" t="s">
        <v>54</v>
      </c>
      <c r="AE1882" t="s">
        <v>53</v>
      </c>
      <c r="AF1882" t="s">
        <v>52</v>
      </c>
      <c r="AG1882" t="s">
        <v>52</v>
      </c>
      <c r="AH1882" t="s">
        <v>64</v>
      </c>
      <c r="AI1882"/>
      <c r="AJ1882"/>
      <c r="AK1882">
        <v>5</v>
      </c>
      <c r="AL1882">
        <v>5</v>
      </c>
      <c r="AM1882"/>
      <c r="AN1882">
        <v>491</v>
      </c>
      <c r="AO1882">
        <v>12</v>
      </c>
      <c r="AP1882" t="s">
        <v>56</v>
      </c>
      <c r="AQ1882" t="s">
        <v>118</v>
      </c>
      <c r="AR1882">
        <v>8.1199999999999992</v>
      </c>
      <c r="AS1882">
        <v>0.01</v>
      </c>
      <c r="AT1882" t="s">
        <v>56</v>
      </c>
      <c r="AU1882">
        <v>1704</v>
      </c>
      <c r="AV1882">
        <v>32</v>
      </c>
      <c r="AW1882" t="s">
        <v>56</v>
      </c>
      <c r="AX1882">
        <v>7.65</v>
      </c>
      <c r="AY1882">
        <v>0.01</v>
      </c>
      <c r="AZ1882" t="s">
        <v>56</v>
      </c>
      <c r="BA1882"/>
      <c r="BB1882">
        <f>LOG(AU1882)</f>
        <v>3.2314695904306814</v>
      </c>
      <c r="BC1882">
        <v>24.4</v>
      </c>
      <c r="BD1882">
        <v>0.1</v>
      </c>
      <c r="BE1882" t="s">
        <v>56</v>
      </c>
      <c r="BF1882">
        <v>27</v>
      </c>
      <c r="BG1882">
        <v>0.1</v>
      </c>
      <c r="BH1882" t="s">
        <v>56</v>
      </c>
      <c r="BI1882">
        <v>1213</v>
      </c>
      <c r="BJ1882">
        <v>2.6</v>
      </c>
      <c r="BK1882" t="s">
        <v>767</v>
      </c>
      <c r="BL1882" t="s">
        <v>85</v>
      </c>
      <c r="BM1882" t="s">
        <v>86</v>
      </c>
      <c r="BN1882" t="s">
        <v>81</v>
      </c>
      <c r="BO1882" t="s">
        <v>82</v>
      </c>
      <c r="BP1882" t="s">
        <v>9</v>
      </c>
      <c r="BQ1882" t="s">
        <v>9</v>
      </c>
      <c r="BR1882" t="s">
        <v>84</v>
      </c>
      <c r="BS1882"/>
      <c r="BT1882">
        <v>55.27</v>
      </c>
      <c r="BU1882">
        <v>44.727272999999997</v>
      </c>
      <c r="BV1882">
        <v>9.31</v>
      </c>
      <c r="BW1882">
        <f>BV1882*SQRT(AK1882)</f>
        <v>20.817792870523043</v>
      </c>
      <c r="BX1882">
        <v>20.07</v>
      </c>
      <c r="BY1882">
        <v>79.927272700000003</v>
      </c>
      <c r="BZ1882">
        <v>20.07</v>
      </c>
      <c r="CA1882">
        <f>BZ1882*SQRT(AL1882)</f>
        <v>44.877884308420782</v>
      </c>
      <c r="CB1882">
        <v>2</v>
      </c>
      <c r="CC1882">
        <v>7</v>
      </c>
      <c r="CD1882">
        <v>0.58099999999999996</v>
      </c>
      <c r="CE1882">
        <v>0.10639999999999999</v>
      </c>
    </row>
    <row r="1883" spans="1:84" s="8" customFormat="1" hidden="1" x14ac:dyDescent="0.2">
      <c r="A1883"/>
      <c r="B1883" t="str">
        <f>ROW()-1&amp;"_AltersInvert"</f>
        <v>1882_AltersInvert</v>
      </c>
      <c r="C1883" t="str">
        <f>D1883&amp;"_"&amp;
SUBSTITUTE(TRIM(V1883)," ","_")&amp;"_"&amp;
TRIM(AC1883)&amp;"_"&amp;
"CO2"&amp;TEXT(AN1883,"0.00")&amp;"_"&amp;
"pH"&amp;TEXT(AR1883,"0.00")&amp;"_"&amp;
"T"&amp;TEXT(BC1883,"0.##")</f>
        <v>99_Tripneustes_gratilla_LARVA_CO2491.00_pH8.12_T24.4</v>
      </c>
      <c r="D1883">
        <v>99</v>
      </c>
      <c r="E1883"/>
      <c r="F1883"/>
      <c r="G1883" t="s">
        <v>43</v>
      </c>
      <c r="H1883" t="s">
        <v>765</v>
      </c>
      <c r="I1883"/>
      <c r="J1883">
        <v>2019</v>
      </c>
      <c r="K1883"/>
      <c r="L1883"/>
      <c r="M1883" t="s">
        <v>766</v>
      </c>
      <c r="N1883"/>
      <c r="O1883"/>
      <c r="P1883" t="s">
        <v>1135</v>
      </c>
      <c r="Q1883"/>
      <c r="R1883" t="s">
        <v>1127</v>
      </c>
      <c r="S1883" t="s">
        <v>1128</v>
      </c>
      <c r="T1883" t="s">
        <v>46</v>
      </c>
      <c r="U1883" t="s">
        <v>422</v>
      </c>
      <c r="V1883" t="s">
        <v>423</v>
      </c>
      <c r="W1883"/>
      <c r="X1883"/>
      <c r="Y1883"/>
      <c r="Z1883" t="s">
        <v>106</v>
      </c>
      <c r="AA1883" t="s">
        <v>107</v>
      </c>
      <c r="AB1883" t="s">
        <v>71</v>
      </c>
      <c r="AC1883" t="s">
        <v>72</v>
      </c>
      <c r="AD1883" t="s">
        <v>54</v>
      </c>
      <c r="AE1883" t="s">
        <v>53</v>
      </c>
      <c r="AF1883" t="s">
        <v>52</v>
      </c>
      <c r="AG1883" t="s">
        <v>54</v>
      </c>
      <c r="AH1883" t="s">
        <v>55</v>
      </c>
      <c r="AI1883"/>
      <c r="AJ1883"/>
      <c r="AK1883">
        <v>7</v>
      </c>
      <c r="AL1883">
        <v>7</v>
      </c>
      <c r="AM1883"/>
      <c r="AN1883">
        <v>491</v>
      </c>
      <c r="AO1883">
        <v>12</v>
      </c>
      <c r="AP1883" t="s">
        <v>56</v>
      </c>
      <c r="AQ1883" t="s">
        <v>118</v>
      </c>
      <c r="AR1883">
        <v>8.1199999999999992</v>
      </c>
      <c r="AS1883">
        <v>0.01</v>
      </c>
      <c r="AT1883" t="s">
        <v>56</v>
      </c>
      <c r="AU1883">
        <v>930</v>
      </c>
      <c r="AV1883">
        <v>18</v>
      </c>
      <c r="AW1883" t="s">
        <v>56</v>
      </c>
      <c r="AX1883">
        <v>7.87</v>
      </c>
      <c r="AY1883">
        <v>0.01</v>
      </c>
      <c r="AZ1883" t="s">
        <v>56</v>
      </c>
      <c r="BA1883"/>
      <c r="BB1883">
        <f>LOG(AU1883)</f>
        <v>2.9684829485539352</v>
      </c>
      <c r="BC1883">
        <v>24.4</v>
      </c>
      <c r="BD1883">
        <v>0.1</v>
      </c>
      <c r="BE1883" t="s">
        <v>56</v>
      </c>
      <c r="BF1883">
        <v>24.3</v>
      </c>
      <c r="BG1883">
        <v>0.1</v>
      </c>
      <c r="BH1883" t="s">
        <v>56</v>
      </c>
      <c r="BI1883">
        <v>440</v>
      </c>
      <c r="BJ1883">
        <v>-0.1</v>
      </c>
      <c r="BK1883" t="s">
        <v>767</v>
      </c>
      <c r="BL1883" t="s">
        <v>113</v>
      </c>
      <c r="BM1883" t="s">
        <v>113</v>
      </c>
      <c r="BN1883" t="s">
        <v>81</v>
      </c>
      <c r="BO1883" t="s">
        <v>82</v>
      </c>
      <c r="BP1883" t="s">
        <v>9</v>
      </c>
      <c r="BQ1883" t="s">
        <v>9</v>
      </c>
      <c r="BR1883" t="s">
        <v>84</v>
      </c>
      <c r="BS1883"/>
      <c r="BT1883">
        <v>38.18</v>
      </c>
      <c r="BU1883">
        <v>38.181818</v>
      </c>
      <c r="BV1883">
        <v>8.0500000000000007</v>
      </c>
      <c r="BW1883">
        <f>BV1883*SQRT(AK1883)</f>
        <v>21.298298054069956</v>
      </c>
      <c r="BX1883">
        <v>38.18</v>
      </c>
      <c r="BY1883">
        <v>38.181818200000002</v>
      </c>
      <c r="BZ1883">
        <v>3.38</v>
      </c>
      <c r="CA1883">
        <f>BZ1883*SQRT(AL1883)</f>
        <v>8.942639431398316</v>
      </c>
      <c r="CB1883">
        <v>2</v>
      </c>
      <c r="CC1883">
        <v>7</v>
      </c>
      <c r="CD1883">
        <v>0</v>
      </c>
      <c r="CE1883">
        <v>5.2299999999999999E-2</v>
      </c>
    </row>
    <row r="1884" spans="1:84" s="8" customFormat="1" hidden="1" x14ac:dyDescent="0.2">
      <c r="A1884"/>
      <c r="B1884" t="str">
        <f>ROW()-1&amp;"_AltersInvert"</f>
        <v>1883_AltersInvert</v>
      </c>
      <c r="C1884" t="str">
        <f>D1884&amp;"_"&amp;
SUBSTITUTE(TRIM(V1884)," ","_")&amp;"_"&amp;
TRIM(AC1884)&amp;"_"&amp;
"CO2"&amp;TEXT(AN1884,"0.00")&amp;"_"&amp;
"pH"&amp;TEXT(AR1884,"0.00")&amp;"_"&amp;
"T"&amp;TEXT(BC1884,"0.##")</f>
        <v>99_Tripneustes_gratilla_LARVA_CO2491.00_pH8.12_T24.4</v>
      </c>
      <c r="D1884">
        <v>99</v>
      </c>
      <c r="E1884"/>
      <c r="F1884"/>
      <c r="G1884" t="s">
        <v>43</v>
      </c>
      <c r="H1884" t="s">
        <v>765</v>
      </c>
      <c r="I1884"/>
      <c r="J1884">
        <v>2019</v>
      </c>
      <c r="K1884"/>
      <c r="L1884"/>
      <c r="M1884" t="s">
        <v>766</v>
      </c>
      <c r="N1884"/>
      <c r="O1884"/>
      <c r="P1884" t="s">
        <v>1135</v>
      </c>
      <c r="Q1884"/>
      <c r="R1884" t="s">
        <v>1127</v>
      </c>
      <c r="S1884" t="s">
        <v>1128</v>
      </c>
      <c r="T1884" t="s">
        <v>46</v>
      </c>
      <c r="U1884" t="s">
        <v>422</v>
      </c>
      <c r="V1884" t="s">
        <v>423</v>
      </c>
      <c r="W1884"/>
      <c r="X1884"/>
      <c r="Y1884"/>
      <c r="Z1884" t="s">
        <v>106</v>
      </c>
      <c r="AA1884" t="s">
        <v>107</v>
      </c>
      <c r="AB1884" t="s">
        <v>71</v>
      </c>
      <c r="AC1884" t="s">
        <v>72</v>
      </c>
      <c r="AD1884" t="s">
        <v>54</v>
      </c>
      <c r="AE1884" t="s">
        <v>53</v>
      </c>
      <c r="AF1884" t="s">
        <v>52</v>
      </c>
      <c r="AG1884" t="s">
        <v>54</v>
      </c>
      <c r="AH1884" t="s">
        <v>55</v>
      </c>
      <c r="AI1884"/>
      <c r="AJ1884"/>
      <c r="AK1884">
        <v>7</v>
      </c>
      <c r="AL1884">
        <v>7</v>
      </c>
      <c r="AM1884"/>
      <c r="AN1884">
        <v>491</v>
      </c>
      <c r="AO1884">
        <v>12</v>
      </c>
      <c r="AP1884" t="s">
        <v>56</v>
      </c>
      <c r="AQ1884" t="s">
        <v>118</v>
      </c>
      <c r="AR1884">
        <v>8.1199999999999992</v>
      </c>
      <c r="AS1884">
        <v>0.01</v>
      </c>
      <c r="AT1884" t="s">
        <v>56</v>
      </c>
      <c r="AU1884">
        <v>1583</v>
      </c>
      <c r="AV1884">
        <v>36</v>
      </c>
      <c r="AW1884" t="s">
        <v>56</v>
      </c>
      <c r="AX1884">
        <v>7.67</v>
      </c>
      <c r="AY1884">
        <v>0.01</v>
      </c>
      <c r="AZ1884" t="s">
        <v>56</v>
      </c>
      <c r="BA1884"/>
      <c r="BB1884">
        <f>LOG(AU1884)</f>
        <v>3.199480914862356</v>
      </c>
      <c r="BC1884">
        <v>24.4</v>
      </c>
      <c r="BD1884">
        <v>0.1</v>
      </c>
      <c r="BE1884" t="s">
        <v>56</v>
      </c>
      <c r="BF1884">
        <v>24.5</v>
      </c>
      <c r="BG1884">
        <v>0.1</v>
      </c>
      <c r="BH1884" t="s">
        <v>56</v>
      </c>
      <c r="BI1884">
        <v>1092</v>
      </c>
      <c r="BJ1884">
        <v>0.1</v>
      </c>
      <c r="BK1884" t="s">
        <v>767</v>
      </c>
      <c r="BL1884" t="s">
        <v>113</v>
      </c>
      <c r="BM1884" t="s">
        <v>113</v>
      </c>
      <c r="BN1884" t="s">
        <v>81</v>
      </c>
      <c r="BO1884" t="s">
        <v>82</v>
      </c>
      <c r="BP1884" t="s">
        <v>9</v>
      </c>
      <c r="BQ1884" t="s">
        <v>9</v>
      </c>
      <c r="BR1884" t="s">
        <v>84</v>
      </c>
      <c r="BS1884"/>
      <c r="BT1884">
        <v>38.18</v>
      </c>
      <c r="BU1884">
        <v>38.181818</v>
      </c>
      <c r="BV1884">
        <v>8.0500000000000007</v>
      </c>
      <c r="BW1884">
        <f>BV1884*SQRT(AK1884)</f>
        <v>21.298298054069956</v>
      </c>
      <c r="BX1884">
        <v>39.74</v>
      </c>
      <c r="BY1884">
        <v>39.740259700000003</v>
      </c>
      <c r="BZ1884">
        <v>5.45</v>
      </c>
      <c r="CA1884">
        <f>BZ1884*SQRT(AL1884)</f>
        <v>14.41934464530202</v>
      </c>
      <c r="CB1884">
        <v>2</v>
      </c>
      <c r="CC1884">
        <v>7</v>
      </c>
      <c r="CD1884">
        <v>0.04</v>
      </c>
      <c r="CE1884">
        <v>6.3299999999999995E-2</v>
      </c>
    </row>
    <row r="1885" spans="1:84" s="8" customFormat="1" hidden="1" x14ac:dyDescent="0.2">
      <c r="A1885"/>
      <c r="B1885" t="str">
        <f>ROW()-1&amp;"_AltersInvert"</f>
        <v>1884_AltersInvert</v>
      </c>
      <c r="C1885" t="str">
        <f>D1885&amp;"_"&amp;
SUBSTITUTE(TRIM(V1885)," ","_")&amp;"_"&amp;
TRIM(AC1885)&amp;"_"&amp;
"CO2"&amp;TEXT(AN1885,"0.00")&amp;"_"&amp;
"pH"&amp;TEXT(AR1885,"0.00")&amp;"_"&amp;
"T"&amp;TEXT(BC1885,"0.##")</f>
        <v>99_Tripneustes_gratilla_LARVA_CO2491.00_pH8.12_T24.4</v>
      </c>
      <c r="D1885">
        <v>99</v>
      </c>
      <c r="E1885"/>
      <c r="F1885"/>
      <c r="G1885" t="s">
        <v>43</v>
      </c>
      <c r="H1885" t="s">
        <v>765</v>
      </c>
      <c r="I1885"/>
      <c r="J1885">
        <v>2019</v>
      </c>
      <c r="K1885"/>
      <c r="L1885"/>
      <c r="M1885" t="s">
        <v>766</v>
      </c>
      <c r="N1885"/>
      <c r="O1885"/>
      <c r="P1885" t="s">
        <v>1135</v>
      </c>
      <c r="Q1885"/>
      <c r="R1885" t="s">
        <v>1127</v>
      </c>
      <c r="S1885" t="s">
        <v>1128</v>
      </c>
      <c r="T1885" t="s">
        <v>46</v>
      </c>
      <c r="U1885" t="s">
        <v>422</v>
      </c>
      <c r="V1885" t="s">
        <v>423</v>
      </c>
      <c r="W1885"/>
      <c r="X1885"/>
      <c r="Y1885"/>
      <c r="Z1885" t="s">
        <v>106</v>
      </c>
      <c r="AA1885" t="s">
        <v>107</v>
      </c>
      <c r="AB1885" t="s">
        <v>71</v>
      </c>
      <c r="AC1885" t="s">
        <v>72</v>
      </c>
      <c r="AD1885" t="s">
        <v>54</v>
      </c>
      <c r="AE1885" t="s">
        <v>53</v>
      </c>
      <c r="AF1885" t="s">
        <v>54</v>
      </c>
      <c r="AG1885" t="s">
        <v>52</v>
      </c>
      <c r="AH1885" t="s">
        <v>65</v>
      </c>
      <c r="AI1885"/>
      <c r="AJ1885"/>
      <c r="AK1885">
        <v>7</v>
      </c>
      <c r="AL1885">
        <v>7</v>
      </c>
      <c r="AM1885"/>
      <c r="AN1885">
        <v>491</v>
      </c>
      <c r="AO1885">
        <v>12</v>
      </c>
      <c r="AP1885" t="s">
        <v>56</v>
      </c>
      <c r="AQ1885" t="s">
        <v>118</v>
      </c>
      <c r="AR1885">
        <v>8.1199999999999992</v>
      </c>
      <c r="AS1885">
        <v>0.01</v>
      </c>
      <c r="AT1885" t="s">
        <v>56</v>
      </c>
      <c r="AU1885">
        <v>513</v>
      </c>
      <c r="AV1885">
        <v>12</v>
      </c>
      <c r="AW1885" t="s">
        <v>56</v>
      </c>
      <c r="AX1885">
        <v>8.1</v>
      </c>
      <c r="AY1885">
        <v>0.01</v>
      </c>
      <c r="AZ1885" t="s">
        <v>56</v>
      </c>
      <c r="BA1885"/>
      <c r="BB1885">
        <f>LOG(AU1885)</f>
        <v>2.7101173651118162</v>
      </c>
      <c r="BC1885">
        <v>24.4</v>
      </c>
      <c r="BD1885">
        <v>0.1</v>
      </c>
      <c r="BE1885" t="s">
        <v>56</v>
      </c>
      <c r="BF1885">
        <v>26.8</v>
      </c>
      <c r="BG1885">
        <v>0.1</v>
      </c>
      <c r="BH1885" t="s">
        <v>56</v>
      </c>
      <c r="BI1885">
        <v>22</v>
      </c>
      <c r="BJ1885">
        <v>2.4</v>
      </c>
      <c r="BK1885" t="s">
        <v>767</v>
      </c>
      <c r="BL1885" t="s">
        <v>113</v>
      </c>
      <c r="BM1885" t="s">
        <v>113</v>
      </c>
      <c r="BN1885" t="s">
        <v>81</v>
      </c>
      <c r="BO1885" t="s">
        <v>82</v>
      </c>
      <c r="BP1885" t="s">
        <v>9</v>
      </c>
      <c r="BQ1885" t="s">
        <v>9</v>
      </c>
      <c r="BR1885" t="s">
        <v>84</v>
      </c>
      <c r="BS1885"/>
      <c r="BT1885">
        <v>38.18</v>
      </c>
      <c r="BU1885">
        <v>38.181818</v>
      </c>
      <c r="BV1885">
        <v>8.0500000000000007</v>
      </c>
      <c r="BW1885">
        <f>BV1885*SQRT(AK1885)</f>
        <v>21.298298054069956</v>
      </c>
      <c r="BX1885">
        <v>48.31</v>
      </c>
      <c r="BY1885">
        <v>48.3116883</v>
      </c>
      <c r="BZ1885">
        <v>5.19</v>
      </c>
      <c r="CA1885">
        <f>BZ1885*SQRT(AL1885)</f>
        <v>13.731449304425228</v>
      </c>
      <c r="CB1885">
        <v>2</v>
      </c>
      <c r="CC1885">
        <v>7</v>
      </c>
      <c r="CD1885">
        <v>0.23499999999999999</v>
      </c>
      <c r="CE1885">
        <v>5.6000000000000001E-2</v>
      </c>
    </row>
    <row r="1886" spans="1:84" s="8" customFormat="1" hidden="1" x14ac:dyDescent="0.2">
      <c r="A1886"/>
      <c r="B1886" t="str">
        <f>ROW()-1&amp;"_AltersInvert"</f>
        <v>1885_AltersInvert</v>
      </c>
      <c r="C1886" t="str">
        <f>D1886&amp;"_"&amp;
SUBSTITUTE(TRIM(V1886)," ","_")&amp;"_"&amp;
TRIM(AC1886)&amp;"_"&amp;
"CO2"&amp;TEXT(AN1886,"0.00")&amp;"_"&amp;
"pH"&amp;TEXT(AR1886,"0.00")&amp;"_"&amp;
"T"&amp;TEXT(BC1886,"0.##")</f>
        <v>99_Tripneustes_gratilla_LARVA_CO2491.00_pH8.12_T24.4</v>
      </c>
      <c r="D1886">
        <v>99</v>
      </c>
      <c r="E1886"/>
      <c r="F1886"/>
      <c r="G1886" t="s">
        <v>43</v>
      </c>
      <c r="H1886" t="s">
        <v>765</v>
      </c>
      <c r="I1886"/>
      <c r="J1886">
        <v>2019</v>
      </c>
      <c r="K1886"/>
      <c r="L1886"/>
      <c r="M1886" t="s">
        <v>766</v>
      </c>
      <c r="N1886"/>
      <c r="O1886"/>
      <c r="P1886" t="s">
        <v>1135</v>
      </c>
      <c r="Q1886"/>
      <c r="R1886" t="s">
        <v>1127</v>
      </c>
      <c r="S1886" t="s">
        <v>1128</v>
      </c>
      <c r="T1886" t="s">
        <v>46</v>
      </c>
      <c r="U1886" t="s">
        <v>422</v>
      </c>
      <c r="V1886" t="s">
        <v>423</v>
      </c>
      <c r="W1886"/>
      <c r="X1886"/>
      <c r="Y1886"/>
      <c r="Z1886" t="s">
        <v>106</v>
      </c>
      <c r="AA1886" t="s">
        <v>107</v>
      </c>
      <c r="AB1886" t="s">
        <v>71</v>
      </c>
      <c r="AC1886" t="s">
        <v>72</v>
      </c>
      <c r="AD1886" t="s">
        <v>54</v>
      </c>
      <c r="AE1886" t="s">
        <v>53</v>
      </c>
      <c r="AF1886" t="s">
        <v>52</v>
      </c>
      <c r="AG1886" t="s">
        <v>52</v>
      </c>
      <c r="AH1886" t="s">
        <v>64</v>
      </c>
      <c r="AI1886"/>
      <c r="AJ1886"/>
      <c r="AK1886">
        <v>7</v>
      </c>
      <c r="AL1886">
        <v>7</v>
      </c>
      <c r="AM1886"/>
      <c r="AN1886">
        <v>491</v>
      </c>
      <c r="AO1886">
        <v>12</v>
      </c>
      <c r="AP1886" t="s">
        <v>56</v>
      </c>
      <c r="AQ1886" t="s">
        <v>118</v>
      </c>
      <c r="AR1886">
        <v>8.1199999999999992</v>
      </c>
      <c r="AS1886">
        <v>0.01</v>
      </c>
      <c r="AT1886" t="s">
        <v>56</v>
      </c>
      <c r="AU1886">
        <v>1006</v>
      </c>
      <c r="AV1886">
        <v>18</v>
      </c>
      <c r="AW1886" t="s">
        <v>56</v>
      </c>
      <c r="AX1886">
        <v>7.85</v>
      </c>
      <c r="AY1886">
        <v>0.01</v>
      </c>
      <c r="AZ1886" t="s">
        <v>56</v>
      </c>
      <c r="BA1886"/>
      <c r="BB1886">
        <f>LOG(AU1886)</f>
        <v>3.0025979807199086</v>
      </c>
      <c r="BC1886">
        <v>24.4</v>
      </c>
      <c r="BD1886">
        <v>0.1</v>
      </c>
      <c r="BE1886" t="s">
        <v>56</v>
      </c>
      <c r="BF1886">
        <v>26.7</v>
      </c>
      <c r="BG1886">
        <v>0.1</v>
      </c>
      <c r="BH1886" t="s">
        <v>56</v>
      </c>
      <c r="BI1886">
        <v>515</v>
      </c>
      <c r="BJ1886">
        <v>2.2999999999999998</v>
      </c>
      <c r="BK1886" t="s">
        <v>767</v>
      </c>
      <c r="BL1886" t="s">
        <v>113</v>
      </c>
      <c r="BM1886" t="s">
        <v>113</v>
      </c>
      <c r="BN1886" t="s">
        <v>81</v>
      </c>
      <c r="BO1886" t="s">
        <v>82</v>
      </c>
      <c r="BP1886" t="s">
        <v>9</v>
      </c>
      <c r="BQ1886" t="s">
        <v>9</v>
      </c>
      <c r="BR1886" t="s">
        <v>84</v>
      </c>
      <c r="BS1886"/>
      <c r="BT1886">
        <v>38.18</v>
      </c>
      <c r="BU1886">
        <v>38.181818</v>
      </c>
      <c r="BV1886">
        <v>8.0500000000000007</v>
      </c>
      <c r="BW1886">
        <f>BV1886*SQRT(AK1886)</f>
        <v>21.298298054069956</v>
      </c>
      <c r="BX1886">
        <v>49.61</v>
      </c>
      <c r="BY1886">
        <v>49.610389599999998</v>
      </c>
      <c r="BZ1886">
        <v>6.49</v>
      </c>
      <c r="CA1886">
        <f>BZ1886*SQRT(AL1886)</f>
        <v>17.170926008809193</v>
      </c>
      <c r="CB1886">
        <v>2</v>
      </c>
      <c r="CC1886">
        <v>7</v>
      </c>
      <c r="CD1886">
        <v>0.26200000000000001</v>
      </c>
      <c r="CE1886">
        <v>6.1600000000000002E-2</v>
      </c>
    </row>
    <row r="1887" spans="1:84" s="8" customFormat="1" hidden="1" x14ac:dyDescent="0.2">
      <c r="A1887"/>
      <c r="B1887" t="str">
        <f>ROW()-1&amp;"_AltersInvert"</f>
        <v>1886_AltersInvert</v>
      </c>
      <c r="C1887" t="str">
        <f>D1887&amp;"_"&amp;
SUBSTITUTE(TRIM(V1887)," ","_")&amp;"_"&amp;
TRIM(AC1887)&amp;"_"&amp;
"CO2"&amp;TEXT(AN1887,"0.00")&amp;"_"&amp;
"pH"&amp;TEXT(AR1887,"0.00")&amp;"_"&amp;
"T"&amp;TEXT(BC1887,"0.##")</f>
        <v>99_Tripneustes_gratilla_LARVA_CO2491.00_pH8.12_T24.4</v>
      </c>
      <c r="D1887">
        <v>99</v>
      </c>
      <c r="E1887"/>
      <c r="F1887"/>
      <c r="G1887" t="s">
        <v>43</v>
      </c>
      <c r="H1887" t="s">
        <v>765</v>
      </c>
      <c r="I1887"/>
      <c r="J1887">
        <v>2019</v>
      </c>
      <c r="K1887"/>
      <c r="L1887"/>
      <c r="M1887" t="s">
        <v>766</v>
      </c>
      <c r="N1887"/>
      <c r="O1887"/>
      <c r="P1887" t="s">
        <v>1135</v>
      </c>
      <c r="Q1887"/>
      <c r="R1887" t="s">
        <v>1127</v>
      </c>
      <c r="S1887" t="s">
        <v>1128</v>
      </c>
      <c r="T1887" t="s">
        <v>46</v>
      </c>
      <c r="U1887" t="s">
        <v>422</v>
      </c>
      <c r="V1887" t="s">
        <v>423</v>
      </c>
      <c r="W1887"/>
      <c r="X1887"/>
      <c r="Y1887"/>
      <c r="Z1887" t="s">
        <v>106</v>
      </c>
      <c r="AA1887" t="s">
        <v>107</v>
      </c>
      <c r="AB1887" t="s">
        <v>71</v>
      </c>
      <c r="AC1887" t="s">
        <v>72</v>
      </c>
      <c r="AD1887" t="s">
        <v>54</v>
      </c>
      <c r="AE1887" t="s">
        <v>53</v>
      </c>
      <c r="AF1887" t="s">
        <v>52</v>
      </c>
      <c r="AG1887" t="s">
        <v>52</v>
      </c>
      <c r="AH1887" t="s">
        <v>64</v>
      </c>
      <c r="AI1887"/>
      <c r="AJ1887"/>
      <c r="AK1887">
        <v>7</v>
      </c>
      <c r="AL1887">
        <v>7</v>
      </c>
      <c r="AM1887"/>
      <c r="AN1887">
        <v>491</v>
      </c>
      <c r="AO1887">
        <v>12</v>
      </c>
      <c r="AP1887" t="s">
        <v>56</v>
      </c>
      <c r="AQ1887" t="s">
        <v>118</v>
      </c>
      <c r="AR1887">
        <v>8.1199999999999992</v>
      </c>
      <c r="AS1887">
        <v>0.01</v>
      </c>
      <c r="AT1887" t="s">
        <v>56</v>
      </c>
      <c r="AU1887">
        <v>1704</v>
      </c>
      <c r="AV1887">
        <v>32</v>
      </c>
      <c r="AW1887" t="s">
        <v>56</v>
      </c>
      <c r="AX1887">
        <v>7.65</v>
      </c>
      <c r="AY1887">
        <v>0.01</v>
      </c>
      <c r="AZ1887" t="s">
        <v>56</v>
      </c>
      <c r="BA1887"/>
      <c r="BB1887">
        <f>LOG(AU1887)</f>
        <v>3.2314695904306814</v>
      </c>
      <c r="BC1887">
        <v>24.4</v>
      </c>
      <c r="BD1887">
        <v>0.1</v>
      </c>
      <c r="BE1887" t="s">
        <v>56</v>
      </c>
      <c r="BF1887">
        <v>27</v>
      </c>
      <c r="BG1887">
        <v>0.1</v>
      </c>
      <c r="BH1887" t="s">
        <v>56</v>
      </c>
      <c r="BI1887">
        <v>1213</v>
      </c>
      <c r="BJ1887">
        <v>2.6</v>
      </c>
      <c r="BK1887" t="s">
        <v>767</v>
      </c>
      <c r="BL1887" t="s">
        <v>113</v>
      </c>
      <c r="BM1887" t="s">
        <v>113</v>
      </c>
      <c r="BN1887" t="s">
        <v>81</v>
      </c>
      <c r="BO1887" t="s">
        <v>82</v>
      </c>
      <c r="BP1887" t="s">
        <v>9</v>
      </c>
      <c r="BQ1887" t="s">
        <v>9</v>
      </c>
      <c r="BR1887" t="s">
        <v>84</v>
      </c>
      <c r="BS1887"/>
      <c r="BT1887">
        <v>38.18</v>
      </c>
      <c r="BU1887">
        <v>38.181818</v>
      </c>
      <c r="BV1887">
        <v>8.0500000000000007</v>
      </c>
      <c r="BW1887">
        <f>BV1887*SQRT(AK1887)</f>
        <v>21.298298054069956</v>
      </c>
      <c r="BX1887">
        <v>61.3</v>
      </c>
      <c r="BY1887">
        <v>61.298701299999998</v>
      </c>
      <c r="BZ1887">
        <v>6.49</v>
      </c>
      <c r="CA1887">
        <f>BZ1887*SQRT(AL1887)</f>
        <v>17.170926008809193</v>
      </c>
      <c r="CB1887">
        <v>2</v>
      </c>
      <c r="CC1887">
        <v>7</v>
      </c>
      <c r="CD1887">
        <v>0.47299999999999998</v>
      </c>
      <c r="CE1887">
        <v>5.57E-2</v>
      </c>
    </row>
    <row r="1888" spans="1:84" s="8" customFormat="1" hidden="1" x14ac:dyDescent="0.2">
      <c r="B1888" t="str">
        <f>ROW()-1&amp;"_AltersInvert"</f>
        <v>1887_AltersInvert</v>
      </c>
      <c r="C1888" t="str">
        <f>D1888&amp;"_"&amp;
SUBSTITUTE(TRIM(V1888)," ","_")&amp;"_"&amp;
TRIM(AC1888)&amp;"_"&amp;
"CO2"&amp;TEXT(AN1888,"0.00")&amp;"_"&amp;
"pH"&amp;TEXT(AR1888,"0.00")&amp;"_"&amp;
"T"&amp;TEXT(BC1888,"0.##")</f>
        <v>224_Stylocheilus_striatus_EMBRYO_CO2420.00_pH0.00_T27.</v>
      </c>
      <c r="D1888" s="8">
        <v>224</v>
      </c>
      <c r="G1888" s="8" t="s">
        <v>43</v>
      </c>
      <c r="H1888" s="8" t="s">
        <v>1061</v>
      </c>
      <c r="J1888" s="8">
        <v>2017</v>
      </c>
      <c r="M1888" s="8" t="s">
        <v>67</v>
      </c>
      <c r="P1888" t="s">
        <v>1135</v>
      </c>
      <c r="R1888" s="8" t="s">
        <v>1127</v>
      </c>
      <c r="S1888" t="s">
        <v>1128</v>
      </c>
      <c r="T1888" s="8" t="s">
        <v>68</v>
      </c>
      <c r="U1888" s="8" t="s">
        <v>496</v>
      </c>
      <c r="V1888" s="8" t="s">
        <v>497</v>
      </c>
      <c r="W1888" s="8" t="str">
        <f>IF(ISNUMBER(MATCH(#REF!,{"Doryteuthis pealeii","Loligo vulgaris","Leptuca thayeri","Stylocheilus striatus","Ophryotrocha labronica"},0)),"N","Y")</f>
        <v>Y</v>
      </c>
      <c r="AC1888" s="8" t="s">
        <v>195</v>
      </c>
      <c r="AF1888" s="8" t="s">
        <v>52</v>
      </c>
      <c r="AG1888" s="8" t="s">
        <v>54</v>
      </c>
      <c r="AH1888" s="8" t="s">
        <v>55</v>
      </c>
      <c r="AK1888" s="8">
        <v>20</v>
      </c>
      <c r="AL1888" s="8">
        <v>20</v>
      </c>
      <c r="AN1888" s="8">
        <v>420</v>
      </c>
      <c r="AU1888" s="8">
        <v>1113</v>
      </c>
      <c r="AV1888"/>
      <c r="AW1888"/>
      <c r="AX1888"/>
      <c r="AY1888"/>
      <c r="AZ1888"/>
      <c r="BB1888" s="8">
        <f>LOG(AU1888)</f>
        <v>3.0464951643347082</v>
      </c>
      <c r="BC1888" s="8">
        <v>27</v>
      </c>
      <c r="BF1888" s="8">
        <v>27</v>
      </c>
      <c r="BI1888" s="8">
        <v>693</v>
      </c>
      <c r="BJ1888" s="8">
        <v>0</v>
      </c>
      <c r="BL1888" s="8" t="s">
        <v>1034</v>
      </c>
      <c r="BM1888" s="8" t="s">
        <v>262</v>
      </c>
      <c r="BN1888" s="8" t="s">
        <v>81</v>
      </c>
      <c r="BO1888" s="8" t="s">
        <v>965</v>
      </c>
      <c r="BP1888" s="8" t="s">
        <v>92</v>
      </c>
      <c r="BQ1888" s="8" t="s">
        <v>92</v>
      </c>
      <c r="BR1888" s="8" t="s">
        <v>63</v>
      </c>
      <c r="BT1888" s="8">
        <v>1.5349999999999999</v>
      </c>
      <c r="BU1888" s="8">
        <v>1.5349999999999999</v>
      </c>
      <c r="BV1888" s="8">
        <v>4.87</v>
      </c>
      <c r="BW1888" s="8">
        <f>BV1888*SQRT(AK1888)</f>
        <v>21.779302100847953</v>
      </c>
      <c r="BX1888" s="8">
        <v>3.661</v>
      </c>
      <c r="BY1888" s="8">
        <v>3.661</v>
      </c>
      <c r="BZ1888" s="8">
        <v>5.92</v>
      </c>
      <c r="CA1888" s="8">
        <f>BZ1888*SQRT(AL1888)</f>
        <v>26.47504485359751</v>
      </c>
      <c r="CB1888" s="8">
        <v>3</v>
      </c>
      <c r="CD1888" s="8">
        <v>0.86899999999999999</v>
      </c>
      <c r="CE1888" s="8">
        <v>12.6755</v>
      </c>
      <c r="CF1888" s="8" t="s">
        <v>1134</v>
      </c>
    </row>
    <row r="1889" spans="1:84" s="8" customFormat="1" hidden="1" x14ac:dyDescent="0.2">
      <c r="B1889" t="str">
        <f>ROW()-1&amp;"_AltersInvert"</f>
        <v>1888_AltersInvert</v>
      </c>
      <c r="C1889" t="str">
        <f>D1889&amp;"_"&amp;
SUBSTITUTE(TRIM(V1889)," ","_")&amp;"_"&amp;
TRIM(AC1889)&amp;"_"&amp;
"CO2"&amp;TEXT(AN1889,"0.00")&amp;"_"&amp;
"pH"&amp;TEXT(AR1889,"0.00")&amp;"_"&amp;
"T"&amp;TEXT(BC1889,"0.##")</f>
        <v>224_Stylocheilus_striatus_EMBRYO_CO2420.00_pH0.00_T27.</v>
      </c>
      <c r="D1889" s="8">
        <v>224</v>
      </c>
      <c r="G1889" s="8" t="s">
        <v>43</v>
      </c>
      <c r="H1889" s="8" t="s">
        <v>1061</v>
      </c>
      <c r="J1889" s="8">
        <v>2017</v>
      </c>
      <c r="M1889" s="8" t="s">
        <v>67</v>
      </c>
      <c r="P1889" t="s">
        <v>1135</v>
      </c>
      <c r="R1889" s="8" t="s">
        <v>1127</v>
      </c>
      <c r="S1889" t="s">
        <v>1128</v>
      </c>
      <c r="T1889" s="8" t="s">
        <v>68</v>
      </c>
      <c r="U1889" s="8" t="s">
        <v>496</v>
      </c>
      <c r="V1889" s="8" t="s">
        <v>497</v>
      </c>
      <c r="W1889" s="8" t="str">
        <f>IF(ISNUMBER(MATCH(#REF!,{"Doryteuthis pealeii","Loligo vulgaris","Leptuca thayeri","Stylocheilus striatus","Ophryotrocha labronica"},0)),"N","Y")</f>
        <v>Y</v>
      </c>
      <c r="AC1889" s="8" t="s">
        <v>195</v>
      </c>
      <c r="AF1889" s="8" t="s">
        <v>54</v>
      </c>
      <c r="AG1889" s="8" t="s">
        <v>52</v>
      </c>
      <c r="AH1889" s="8" t="s">
        <v>65</v>
      </c>
      <c r="AK1889" s="8">
        <v>20</v>
      </c>
      <c r="AL1889" s="8">
        <v>20</v>
      </c>
      <c r="AN1889" s="8">
        <v>420</v>
      </c>
      <c r="AU1889" s="8">
        <v>420</v>
      </c>
      <c r="AV1889"/>
      <c r="AW1889"/>
      <c r="AX1889"/>
      <c r="AY1889"/>
      <c r="AZ1889"/>
      <c r="BB1889" s="8">
        <f>LOG(AU1889)</f>
        <v>2.6232492903979003</v>
      </c>
      <c r="BC1889" s="8">
        <v>27</v>
      </c>
      <c r="BF1889" s="8">
        <v>31</v>
      </c>
      <c r="BI1889" s="8">
        <v>0</v>
      </c>
      <c r="BJ1889" s="8">
        <v>4</v>
      </c>
      <c r="BL1889" s="8" t="s">
        <v>1034</v>
      </c>
      <c r="BM1889" s="8" t="s">
        <v>262</v>
      </c>
      <c r="BN1889" s="8" t="s">
        <v>81</v>
      </c>
      <c r="BO1889" s="8" t="s">
        <v>965</v>
      </c>
      <c r="BP1889" s="8" t="s">
        <v>92</v>
      </c>
      <c r="BQ1889" s="8" t="s">
        <v>92</v>
      </c>
      <c r="BR1889" s="8" t="s">
        <v>63</v>
      </c>
      <c r="BT1889" s="8">
        <v>1.5349999999999999</v>
      </c>
      <c r="BU1889" s="8">
        <v>1.5349999999999999</v>
      </c>
      <c r="BV1889" s="8">
        <v>4.87</v>
      </c>
      <c r="BW1889" s="8">
        <f>BV1889*SQRT(AK1889)</f>
        <v>21.779302100847953</v>
      </c>
      <c r="BX1889" s="8">
        <v>11.843999999999999</v>
      </c>
      <c r="BY1889" s="8">
        <v>11.843999999999999</v>
      </c>
      <c r="BZ1889" s="8">
        <v>6.59</v>
      </c>
      <c r="CA1889" s="8">
        <f>BZ1889*SQRT(AL1889)</f>
        <v>29.471375943447228</v>
      </c>
      <c r="CB1889" s="8">
        <v>3</v>
      </c>
      <c r="CD1889" s="8">
        <v>2.0430000000000001</v>
      </c>
      <c r="CE1889" s="8">
        <v>10.370799999999999</v>
      </c>
      <c r="CF1889" s="8" t="s">
        <v>1134</v>
      </c>
    </row>
    <row r="1890" spans="1:84" s="8" customFormat="1" hidden="1" x14ac:dyDescent="0.2">
      <c r="B1890" t="str">
        <f>ROW()-1&amp;"_AltersInvert"</f>
        <v>1889_AltersInvert</v>
      </c>
      <c r="C1890" t="str">
        <f>D1890&amp;"_"&amp;
SUBSTITUTE(TRIM(V1890)," ","_")&amp;"_"&amp;
TRIM(AC1890)&amp;"_"&amp;
"CO2"&amp;TEXT(AN1890,"0.00")&amp;"_"&amp;
"pH"&amp;TEXT(AR1890,"0.00")&amp;"_"&amp;
"T"&amp;TEXT(BC1890,"0.##")</f>
        <v>224_Stylocheilus_striatus_EMBRYO_CO2420.00_pH0.00_T27.</v>
      </c>
      <c r="D1890" s="8">
        <v>224</v>
      </c>
      <c r="G1890" s="8" t="s">
        <v>43</v>
      </c>
      <c r="H1890" s="8" t="s">
        <v>1061</v>
      </c>
      <c r="J1890" s="8">
        <v>2017</v>
      </c>
      <c r="M1890" s="8" t="s">
        <v>67</v>
      </c>
      <c r="P1890" t="s">
        <v>1135</v>
      </c>
      <c r="R1890" s="8" t="s">
        <v>1127</v>
      </c>
      <c r="S1890" t="s">
        <v>1128</v>
      </c>
      <c r="T1890" s="8" t="s">
        <v>68</v>
      </c>
      <c r="U1890" s="8" t="s">
        <v>496</v>
      </c>
      <c r="V1890" s="8" t="s">
        <v>497</v>
      </c>
      <c r="W1890" s="8" t="str">
        <f>IF(ISNUMBER(MATCH(#REF!,{"Doryteuthis pealeii","Loligo vulgaris","Leptuca thayeri","Stylocheilus striatus","Ophryotrocha labronica"},0)),"N","Y")</f>
        <v>Y</v>
      </c>
      <c r="AC1890" s="8" t="s">
        <v>195</v>
      </c>
      <c r="AF1890" s="8" t="s">
        <v>52</v>
      </c>
      <c r="AG1890" s="8" t="s">
        <v>52</v>
      </c>
      <c r="AH1890" s="8" t="s">
        <v>64</v>
      </c>
      <c r="AK1890" s="8">
        <v>20</v>
      </c>
      <c r="AL1890" s="8">
        <v>20</v>
      </c>
      <c r="AN1890" s="8">
        <v>420</v>
      </c>
      <c r="AU1890" s="8">
        <v>1113</v>
      </c>
      <c r="AV1890"/>
      <c r="AW1890"/>
      <c r="AX1890"/>
      <c r="AY1890"/>
      <c r="AZ1890"/>
      <c r="BB1890" s="8">
        <f>LOG(AU1890)</f>
        <v>3.0464951643347082</v>
      </c>
      <c r="BC1890" s="8">
        <v>27</v>
      </c>
      <c r="BF1890" s="8">
        <v>31</v>
      </c>
      <c r="BI1890" s="8">
        <v>693</v>
      </c>
      <c r="BJ1890" s="8">
        <v>4</v>
      </c>
      <c r="BL1890" s="8" t="s">
        <v>1034</v>
      </c>
      <c r="BM1890" s="8" t="s">
        <v>262</v>
      </c>
      <c r="BN1890" s="8" t="s">
        <v>81</v>
      </c>
      <c r="BO1890" s="8" t="s">
        <v>965</v>
      </c>
      <c r="BP1890" s="8" t="s">
        <v>92</v>
      </c>
      <c r="BQ1890" s="8" t="s">
        <v>92</v>
      </c>
      <c r="BR1890" s="8" t="s">
        <v>63</v>
      </c>
      <c r="BT1890" s="8">
        <v>1.5349999999999999</v>
      </c>
      <c r="BU1890" s="8">
        <v>1.5349999999999999</v>
      </c>
      <c r="BV1890" s="8">
        <v>4.87</v>
      </c>
      <c r="BW1890" s="8">
        <f>BV1890*SQRT(AK1890)</f>
        <v>21.779302100847953</v>
      </c>
      <c r="BX1890" s="8">
        <v>8.5760000000000005</v>
      </c>
      <c r="BY1890" s="8">
        <v>8.5760000000000005</v>
      </c>
      <c r="BZ1890" s="8">
        <v>4.4400000000000004</v>
      </c>
      <c r="CA1890" s="8">
        <f>BZ1890*SQRT(AL1890)</f>
        <v>19.856283640198136</v>
      </c>
      <c r="CB1890" s="8">
        <v>3</v>
      </c>
      <c r="CD1890" s="8">
        <v>1.72</v>
      </c>
      <c r="CE1890" s="8">
        <v>10.3294</v>
      </c>
      <c r="CF1890" s="8" t="s">
        <v>1134</v>
      </c>
    </row>
    <row r="1891" spans="1:84" s="8" customFormat="1" hidden="1" x14ac:dyDescent="0.2">
      <c r="A1891"/>
      <c r="B1891" t="str">
        <f>ROW()-1&amp;"_AltersInvert"</f>
        <v>1890_AltersInvert</v>
      </c>
      <c r="C1891" t="str">
        <f>D1891&amp;"_"&amp;
SUBSTITUTE(TRIM(V1891)," ","_")&amp;"_"&amp;
TRIM(AC1891)&amp;"_"&amp;
"CO2"&amp;TEXT(AN1891,"0.00")&amp;"_"&amp;
"pH"&amp;TEXT(AR1891,"0.00")&amp;"_"&amp;
"T"&amp;TEXT(BC1891,"0.##")</f>
        <v>48_Arbacia_lixula_LARVA_CO2418.00_pH8.17_T20.3</v>
      </c>
      <c r="D1891">
        <v>48</v>
      </c>
      <c r="E1891"/>
      <c r="F1891"/>
      <c r="G1891" t="s">
        <v>43</v>
      </c>
      <c r="H1891" t="s">
        <v>506</v>
      </c>
      <c r="I1891"/>
      <c r="J1891">
        <v>2017</v>
      </c>
      <c r="K1891"/>
      <c r="L1891"/>
      <c r="M1891" t="s">
        <v>94</v>
      </c>
      <c r="N1891"/>
      <c r="O1891"/>
      <c r="P1891" t="s">
        <v>1135</v>
      </c>
      <c r="Q1891"/>
      <c r="R1891" t="s">
        <v>1127</v>
      </c>
      <c r="S1891" t="s">
        <v>1128</v>
      </c>
      <c r="T1891" t="s">
        <v>46</v>
      </c>
      <c r="U1891" t="s">
        <v>507</v>
      </c>
      <c r="V1891" t="s">
        <v>508</v>
      </c>
      <c r="W1891"/>
      <c r="X1891"/>
      <c r="Y1891"/>
      <c r="Z1891" t="s">
        <v>509</v>
      </c>
      <c r="AA1891" t="s">
        <v>49</v>
      </c>
      <c r="AB1891" t="s">
        <v>71</v>
      </c>
      <c r="AC1891" t="s">
        <v>72</v>
      </c>
      <c r="AD1891" t="s">
        <v>52</v>
      </c>
      <c r="AE1891" t="s">
        <v>53</v>
      </c>
      <c r="AF1891" t="s">
        <v>52</v>
      </c>
      <c r="AG1891" t="s">
        <v>54</v>
      </c>
      <c r="AH1891" t="s">
        <v>55</v>
      </c>
      <c r="AI1891"/>
      <c r="AJ1891"/>
      <c r="AK1891">
        <v>25</v>
      </c>
      <c r="AL1891">
        <v>25</v>
      </c>
      <c r="AM1891" t="s">
        <v>342</v>
      </c>
      <c r="AN1891">
        <v>418</v>
      </c>
      <c r="AO1891">
        <v>3</v>
      </c>
      <c r="AP1891" t="s">
        <v>56</v>
      </c>
      <c r="AQ1891" t="s">
        <v>57</v>
      </c>
      <c r="AR1891">
        <v>8.17</v>
      </c>
      <c r="AS1891">
        <v>0.02</v>
      </c>
      <c r="AT1891" t="s">
        <v>56</v>
      </c>
      <c r="AU1891">
        <v>921</v>
      </c>
      <c r="AV1891">
        <v>5</v>
      </c>
      <c r="AW1891" t="s">
        <v>56</v>
      </c>
      <c r="AX1891">
        <v>7.88</v>
      </c>
      <c r="AY1891">
        <v>0.02</v>
      </c>
      <c r="AZ1891" t="s">
        <v>56</v>
      </c>
      <c r="BA1891"/>
      <c r="BB1891">
        <f>LOG(AU1891)</f>
        <v>2.9642596301968491</v>
      </c>
      <c r="BC1891">
        <v>20.3</v>
      </c>
      <c r="BD1891">
        <v>0.1</v>
      </c>
      <c r="BE1891" t="s">
        <v>56</v>
      </c>
      <c r="BF1891">
        <v>20.2</v>
      </c>
      <c r="BG1891">
        <v>0.1</v>
      </c>
      <c r="BH1891" t="s">
        <v>56</v>
      </c>
      <c r="BI1891">
        <v>503</v>
      </c>
      <c r="BJ1891">
        <v>-0.1</v>
      </c>
      <c r="BK1891" t="s">
        <v>56</v>
      </c>
      <c r="BL1891" t="s">
        <v>510</v>
      </c>
      <c r="BM1891" t="s">
        <v>86</v>
      </c>
      <c r="BN1891" t="s">
        <v>340</v>
      </c>
      <c r="BO1891" t="s">
        <v>91</v>
      </c>
      <c r="BP1891" t="s">
        <v>9</v>
      </c>
      <c r="BQ1891" t="s">
        <v>9</v>
      </c>
      <c r="BR1891" t="s">
        <v>63</v>
      </c>
      <c r="BS1891"/>
      <c r="BT1891">
        <v>17.86</v>
      </c>
      <c r="BU1891">
        <v>17.85575</v>
      </c>
      <c r="BV1891">
        <v>4.83</v>
      </c>
      <c r="BW1891">
        <f>BV1891*SQRT(AK1891)</f>
        <v>24.15</v>
      </c>
      <c r="BX1891">
        <v>22.38</v>
      </c>
      <c r="BY1891">
        <v>22.378167600000001</v>
      </c>
      <c r="BZ1891">
        <v>2.96</v>
      </c>
      <c r="CA1891">
        <f>BZ1891*SQRT(AL1891)</f>
        <v>14.8</v>
      </c>
      <c r="CB1891">
        <v>2</v>
      </c>
      <c r="CC1891">
        <v>6</v>
      </c>
      <c r="CD1891">
        <v>-0.22600000000000001</v>
      </c>
      <c r="CE1891">
        <v>9.0800000000000006E-2</v>
      </c>
      <c r="CF1891"/>
    </row>
    <row r="1892" spans="1:84" s="8" customFormat="1" hidden="1" x14ac:dyDescent="0.2">
      <c r="A1892"/>
      <c r="B1892" t="str">
        <f>ROW()-1&amp;"_AltersInvert"</f>
        <v>1891_AltersInvert</v>
      </c>
      <c r="C1892" t="str">
        <f>D1892&amp;"_"&amp;
SUBSTITUTE(TRIM(V1892)," ","_")&amp;"_"&amp;
TRIM(AC1892)&amp;"_"&amp;
"CO2"&amp;TEXT(AN1892,"0.00")&amp;"_"&amp;
"pH"&amp;TEXT(AR1892,"0.00")&amp;"_"&amp;
"T"&amp;TEXT(BC1892,"0.##")</f>
        <v>48_Arbacia_lixula_LARVA_CO2418.00_pH8.17_T20.3</v>
      </c>
      <c r="D1892">
        <v>48</v>
      </c>
      <c r="E1892"/>
      <c r="F1892"/>
      <c r="G1892" t="s">
        <v>43</v>
      </c>
      <c r="H1892" t="s">
        <v>506</v>
      </c>
      <c r="I1892"/>
      <c r="J1892">
        <v>2017</v>
      </c>
      <c r="K1892"/>
      <c r="L1892"/>
      <c r="M1892" t="s">
        <v>94</v>
      </c>
      <c r="N1892"/>
      <c r="O1892"/>
      <c r="P1892" t="s">
        <v>1135</v>
      </c>
      <c r="Q1892"/>
      <c r="R1892" t="s">
        <v>1127</v>
      </c>
      <c r="S1892" t="s">
        <v>1128</v>
      </c>
      <c r="T1892" t="s">
        <v>46</v>
      </c>
      <c r="U1892" t="s">
        <v>507</v>
      </c>
      <c r="V1892" t="s">
        <v>508</v>
      </c>
      <c r="W1892"/>
      <c r="X1892"/>
      <c r="Y1892"/>
      <c r="Z1892" t="s">
        <v>509</v>
      </c>
      <c r="AA1892" t="s">
        <v>49</v>
      </c>
      <c r="AB1892" t="s">
        <v>71</v>
      </c>
      <c r="AC1892" t="s">
        <v>72</v>
      </c>
      <c r="AD1892" t="s">
        <v>52</v>
      </c>
      <c r="AE1892" t="s">
        <v>53</v>
      </c>
      <c r="AF1892" t="s">
        <v>54</v>
      </c>
      <c r="AG1892" t="s">
        <v>52</v>
      </c>
      <c r="AH1892" t="s">
        <v>65</v>
      </c>
      <c r="AI1892"/>
      <c r="AJ1892"/>
      <c r="AK1892">
        <v>25</v>
      </c>
      <c r="AL1892">
        <v>25</v>
      </c>
      <c r="AM1892" t="s">
        <v>342</v>
      </c>
      <c r="AN1892">
        <v>418</v>
      </c>
      <c r="AO1892">
        <v>3</v>
      </c>
      <c r="AP1892" t="s">
        <v>56</v>
      </c>
      <c r="AQ1892" t="s">
        <v>57</v>
      </c>
      <c r="AR1892">
        <v>8.17</v>
      </c>
      <c r="AS1892">
        <v>0.02</v>
      </c>
      <c r="AT1892" t="s">
        <v>56</v>
      </c>
      <c r="AU1892">
        <v>427</v>
      </c>
      <c r="AV1892">
        <v>1</v>
      </c>
      <c r="AW1892" t="s">
        <v>56</v>
      </c>
      <c r="AX1892">
        <v>8.17</v>
      </c>
      <c r="AY1892">
        <v>0.01</v>
      </c>
      <c r="AZ1892" t="s">
        <v>56</v>
      </c>
      <c r="BA1892"/>
      <c r="BB1892">
        <f>LOG(AU1892)</f>
        <v>2.6304278750250241</v>
      </c>
      <c r="BC1892">
        <v>20.3</v>
      </c>
      <c r="BD1892">
        <v>0.1</v>
      </c>
      <c r="BE1892" t="s">
        <v>56</v>
      </c>
      <c r="BF1892">
        <v>24.3</v>
      </c>
      <c r="BG1892">
        <v>0.1</v>
      </c>
      <c r="BH1892" t="s">
        <v>56</v>
      </c>
      <c r="BI1892">
        <v>10</v>
      </c>
      <c r="BJ1892">
        <v>4</v>
      </c>
      <c r="BK1892" t="s">
        <v>56</v>
      </c>
      <c r="BL1892" t="s">
        <v>510</v>
      </c>
      <c r="BM1892" t="s">
        <v>86</v>
      </c>
      <c r="BN1892" t="s">
        <v>340</v>
      </c>
      <c r="BO1892" t="s">
        <v>91</v>
      </c>
      <c r="BP1892" t="s">
        <v>9</v>
      </c>
      <c r="BQ1892" t="s">
        <v>9</v>
      </c>
      <c r="BR1892" t="s">
        <v>63</v>
      </c>
      <c r="BS1892"/>
      <c r="BT1892">
        <v>17.86</v>
      </c>
      <c r="BU1892">
        <v>17.85575</v>
      </c>
      <c r="BV1892">
        <v>4.83</v>
      </c>
      <c r="BW1892">
        <f>BV1892*SQRT(AK1892)</f>
        <v>24.15</v>
      </c>
      <c r="BX1892">
        <v>29.24</v>
      </c>
      <c r="BY1892">
        <v>29.239766100000001</v>
      </c>
      <c r="BZ1892">
        <v>5.46</v>
      </c>
      <c r="CA1892">
        <f>BZ1892*SQRT(AL1892)</f>
        <v>27.3</v>
      </c>
      <c r="CB1892">
        <v>2</v>
      </c>
      <c r="CC1892">
        <v>6</v>
      </c>
      <c r="CD1892">
        <v>-0.49299999999999999</v>
      </c>
      <c r="CE1892">
        <v>0.1081</v>
      </c>
      <c r="CF1892"/>
    </row>
    <row r="1893" spans="1:84" s="8" customFormat="1" hidden="1" x14ac:dyDescent="0.2">
      <c r="A1893"/>
      <c r="B1893" t="str">
        <f>ROW()-1&amp;"_AltersInvert"</f>
        <v>1892_AltersInvert</v>
      </c>
      <c r="C1893" t="str">
        <f>D1893&amp;"_"&amp;
SUBSTITUTE(TRIM(V1893)," ","_")&amp;"_"&amp;
TRIM(AC1893)&amp;"_"&amp;
"CO2"&amp;TEXT(AN1893,"0.00")&amp;"_"&amp;
"pH"&amp;TEXT(AR1893,"0.00")&amp;"_"&amp;
"T"&amp;TEXT(BC1893,"0.##")</f>
        <v>48_Arbacia_lixula_LARVA_CO2418.00_pH8.17_T20.3</v>
      </c>
      <c r="D1893">
        <v>48</v>
      </c>
      <c r="E1893"/>
      <c r="F1893"/>
      <c r="G1893" t="s">
        <v>43</v>
      </c>
      <c r="H1893" t="s">
        <v>506</v>
      </c>
      <c r="I1893"/>
      <c r="J1893">
        <v>2017</v>
      </c>
      <c r="K1893"/>
      <c r="L1893"/>
      <c r="M1893" t="s">
        <v>94</v>
      </c>
      <c r="N1893"/>
      <c r="O1893"/>
      <c r="P1893" t="s">
        <v>1135</v>
      </c>
      <c r="Q1893"/>
      <c r="R1893" t="s">
        <v>1127</v>
      </c>
      <c r="S1893" t="s">
        <v>1128</v>
      </c>
      <c r="T1893" t="s">
        <v>46</v>
      </c>
      <c r="U1893" t="s">
        <v>507</v>
      </c>
      <c r="V1893" t="s">
        <v>508</v>
      </c>
      <c r="W1893"/>
      <c r="X1893"/>
      <c r="Y1893"/>
      <c r="Z1893" t="s">
        <v>509</v>
      </c>
      <c r="AA1893" t="s">
        <v>49</v>
      </c>
      <c r="AB1893" t="s">
        <v>71</v>
      </c>
      <c r="AC1893" t="s">
        <v>72</v>
      </c>
      <c r="AD1893" t="s">
        <v>52</v>
      </c>
      <c r="AE1893" t="s">
        <v>53</v>
      </c>
      <c r="AF1893" t="s">
        <v>54</v>
      </c>
      <c r="AG1893" t="s">
        <v>52</v>
      </c>
      <c r="AH1893" t="s">
        <v>65</v>
      </c>
      <c r="AI1893"/>
      <c r="AJ1893"/>
      <c r="AK1893">
        <v>25</v>
      </c>
      <c r="AL1893">
        <v>25</v>
      </c>
      <c r="AM1893" t="s">
        <v>342</v>
      </c>
      <c r="AN1893">
        <v>418</v>
      </c>
      <c r="AO1893">
        <v>3</v>
      </c>
      <c r="AP1893" t="s">
        <v>56</v>
      </c>
      <c r="AQ1893" t="s">
        <v>57</v>
      </c>
      <c r="AR1893">
        <v>8.17</v>
      </c>
      <c r="AS1893">
        <v>0.02</v>
      </c>
      <c r="AT1893" t="s">
        <v>56</v>
      </c>
      <c r="AU1893">
        <v>395</v>
      </c>
      <c r="AV1893">
        <v>3</v>
      </c>
      <c r="AW1893" t="s">
        <v>56</v>
      </c>
      <c r="AX1893">
        <v>8.1999999999999993</v>
      </c>
      <c r="AY1893">
        <v>0.02</v>
      </c>
      <c r="AZ1893" t="s">
        <v>56</v>
      </c>
      <c r="BA1893"/>
      <c r="BB1893">
        <f>LOG(AU1893)</f>
        <v>2.5965970956264601</v>
      </c>
      <c r="BC1893">
        <v>20.3</v>
      </c>
      <c r="BD1893">
        <v>0.1</v>
      </c>
      <c r="BE1893" t="s">
        <v>56</v>
      </c>
      <c r="BF1893">
        <v>26.3</v>
      </c>
      <c r="BG1893">
        <v>0.1</v>
      </c>
      <c r="BH1893" t="s">
        <v>56</v>
      </c>
      <c r="BI1893">
        <v>-22</v>
      </c>
      <c r="BJ1893">
        <v>6</v>
      </c>
      <c r="BK1893" t="s">
        <v>56</v>
      </c>
      <c r="BL1893" t="s">
        <v>510</v>
      </c>
      <c r="BM1893" t="s">
        <v>86</v>
      </c>
      <c r="BN1893" t="s">
        <v>340</v>
      </c>
      <c r="BO1893" t="s">
        <v>91</v>
      </c>
      <c r="BP1893" t="s">
        <v>9</v>
      </c>
      <c r="BQ1893" t="s">
        <v>9</v>
      </c>
      <c r="BR1893" t="s">
        <v>63</v>
      </c>
      <c r="BS1893"/>
      <c r="BT1893">
        <v>17.86</v>
      </c>
      <c r="BU1893">
        <v>17.85575</v>
      </c>
      <c r="BV1893">
        <v>4.83</v>
      </c>
      <c r="BW1893">
        <f>BV1893*SQRT(AK1893)</f>
        <v>24.15</v>
      </c>
      <c r="BX1893">
        <v>14.11</v>
      </c>
      <c r="BY1893">
        <v>14.1130604</v>
      </c>
      <c r="BZ1893">
        <v>5.38</v>
      </c>
      <c r="CA1893">
        <f>BZ1893*SQRT(AL1893)</f>
        <v>26.9</v>
      </c>
      <c r="CB1893">
        <v>2</v>
      </c>
      <c r="CC1893">
        <v>6</v>
      </c>
      <c r="CD1893">
        <v>0.23499999999999999</v>
      </c>
      <c r="CE1893">
        <v>0.21859999999999999</v>
      </c>
    </row>
    <row r="1894" spans="1:84" s="8" customFormat="1" hidden="1" x14ac:dyDescent="0.2">
      <c r="A1894"/>
      <c r="B1894" t="str">
        <f>ROW()-1&amp;"_AltersInvert"</f>
        <v>1893_AltersInvert</v>
      </c>
      <c r="C1894" t="str">
        <f>D1894&amp;"_"&amp;
SUBSTITUTE(TRIM(V1894)," ","_")&amp;"_"&amp;
TRIM(AC1894)&amp;"_"&amp;
"CO2"&amp;TEXT(AN1894,"0.00")&amp;"_"&amp;
"pH"&amp;TEXT(AR1894,"0.00")&amp;"_"&amp;
"T"&amp;TEXT(BC1894,"0.##")</f>
        <v>48_Arbacia_lixula_LARVA_CO2418.00_pH8.17_T20.3</v>
      </c>
      <c r="D1894">
        <v>48</v>
      </c>
      <c r="E1894"/>
      <c r="F1894"/>
      <c r="G1894" t="s">
        <v>43</v>
      </c>
      <c r="H1894" t="s">
        <v>506</v>
      </c>
      <c r="I1894"/>
      <c r="J1894">
        <v>2017</v>
      </c>
      <c r="K1894"/>
      <c r="L1894"/>
      <c r="M1894" t="s">
        <v>94</v>
      </c>
      <c r="N1894"/>
      <c r="O1894"/>
      <c r="P1894" t="s">
        <v>1135</v>
      </c>
      <c r="Q1894"/>
      <c r="R1894" t="s">
        <v>1127</v>
      </c>
      <c r="S1894" t="s">
        <v>1128</v>
      </c>
      <c r="T1894" t="s">
        <v>46</v>
      </c>
      <c r="U1894" t="s">
        <v>507</v>
      </c>
      <c r="V1894" t="s">
        <v>508</v>
      </c>
      <c r="W1894"/>
      <c r="X1894"/>
      <c r="Y1894"/>
      <c r="Z1894" t="s">
        <v>509</v>
      </c>
      <c r="AA1894" t="s">
        <v>49</v>
      </c>
      <c r="AB1894" t="s">
        <v>71</v>
      </c>
      <c r="AC1894" t="s">
        <v>72</v>
      </c>
      <c r="AD1894" t="s">
        <v>52</v>
      </c>
      <c r="AE1894" t="s">
        <v>53</v>
      </c>
      <c r="AF1894" t="s">
        <v>52</v>
      </c>
      <c r="AG1894" t="s">
        <v>52</v>
      </c>
      <c r="AH1894" t="s">
        <v>64</v>
      </c>
      <c r="AI1894"/>
      <c r="AJ1894"/>
      <c r="AK1894">
        <v>25</v>
      </c>
      <c r="AL1894">
        <v>25</v>
      </c>
      <c r="AM1894" t="s">
        <v>342</v>
      </c>
      <c r="AN1894">
        <v>418</v>
      </c>
      <c r="AO1894">
        <v>3</v>
      </c>
      <c r="AP1894" t="s">
        <v>56</v>
      </c>
      <c r="AQ1894" t="s">
        <v>57</v>
      </c>
      <c r="AR1894">
        <v>8.17</v>
      </c>
      <c r="AS1894">
        <v>0.02</v>
      </c>
      <c r="AT1894" t="s">
        <v>56</v>
      </c>
      <c r="AU1894">
        <v>1084</v>
      </c>
      <c r="AV1894">
        <v>16</v>
      </c>
      <c r="AW1894" t="s">
        <v>56</v>
      </c>
      <c r="AX1894">
        <v>7.86</v>
      </c>
      <c r="AY1894">
        <v>0.06</v>
      </c>
      <c r="AZ1894" t="s">
        <v>56</v>
      </c>
      <c r="BA1894"/>
      <c r="BB1894">
        <f>LOG(AU1894)</f>
        <v>3.0350292822023683</v>
      </c>
      <c r="BC1894">
        <v>20.3</v>
      </c>
      <c r="BD1894">
        <v>0.1</v>
      </c>
      <c r="BE1894" t="s">
        <v>56</v>
      </c>
      <c r="BF1894">
        <v>24.5</v>
      </c>
      <c r="BG1894">
        <v>0.1</v>
      </c>
      <c r="BH1894" t="s">
        <v>56</v>
      </c>
      <c r="BI1894">
        <v>667</v>
      </c>
      <c r="BJ1894">
        <v>4.2</v>
      </c>
      <c r="BK1894" t="s">
        <v>56</v>
      </c>
      <c r="BL1894" t="s">
        <v>510</v>
      </c>
      <c r="BM1894" t="s">
        <v>86</v>
      </c>
      <c r="BN1894" t="s">
        <v>340</v>
      </c>
      <c r="BO1894" t="s">
        <v>91</v>
      </c>
      <c r="BP1894" t="s">
        <v>9</v>
      </c>
      <c r="BQ1894" t="s">
        <v>9</v>
      </c>
      <c r="BR1894" t="s">
        <v>63</v>
      </c>
      <c r="BS1894"/>
      <c r="BT1894">
        <v>17.86</v>
      </c>
      <c r="BU1894">
        <v>17.85575</v>
      </c>
      <c r="BV1894">
        <v>4.83</v>
      </c>
      <c r="BW1894">
        <f>BV1894*SQRT(AK1894)</f>
        <v>24.15</v>
      </c>
      <c r="BX1894">
        <v>13.26</v>
      </c>
      <c r="BY1894">
        <v>13.255360599999999</v>
      </c>
      <c r="BZ1894">
        <v>1.95</v>
      </c>
      <c r="CA1894">
        <f>BZ1894*SQRT(AL1894)</f>
        <v>9.75</v>
      </c>
      <c r="CB1894">
        <v>2</v>
      </c>
      <c r="CC1894">
        <v>6</v>
      </c>
      <c r="CD1894">
        <v>0.29799999999999999</v>
      </c>
      <c r="CE1894">
        <v>9.4899999999999998E-2</v>
      </c>
    </row>
    <row r="1895" spans="1:84" s="8" customFormat="1" hidden="1" x14ac:dyDescent="0.2">
      <c r="A1895"/>
      <c r="B1895" t="str">
        <f>ROW()-1&amp;"_AltersInvert"</f>
        <v>1894_AltersInvert</v>
      </c>
      <c r="C1895" t="str">
        <f>D1895&amp;"_"&amp;
SUBSTITUTE(TRIM(V1895)," ","_")&amp;"_"&amp;
TRIM(AC1895)&amp;"_"&amp;
"CO2"&amp;TEXT(AN1895,"0.00")&amp;"_"&amp;
"pH"&amp;TEXT(AR1895,"0.00")&amp;"_"&amp;
"T"&amp;TEXT(BC1895,"0.##")</f>
        <v>48_Arbacia_lixula_LARVA_CO2418.00_pH8.17_T20.3</v>
      </c>
      <c r="D1895">
        <v>48</v>
      </c>
      <c r="E1895"/>
      <c r="F1895"/>
      <c r="G1895" t="s">
        <v>43</v>
      </c>
      <c r="H1895" t="s">
        <v>506</v>
      </c>
      <c r="I1895"/>
      <c r="J1895">
        <v>2017</v>
      </c>
      <c r="K1895"/>
      <c r="L1895"/>
      <c r="M1895" t="s">
        <v>94</v>
      </c>
      <c r="N1895"/>
      <c r="O1895"/>
      <c r="P1895" t="s">
        <v>1135</v>
      </c>
      <c r="Q1895"/>
      <c r="R1895" t="s">
        <v>1127</v>
      </c>
      <c r="S1895" t="s">
        <v>1128</v>
      </c>
      <c r="T1895" t="s">
        <v>46</v>
      </c>
      <c r="U1895" t="s">
        <v>507</v>
      </c>
      <c r="V1895" t="s">
        <v>508</v>
      </c>
      <c r="W1895"/>
      <c r="X1895"/>
      <c r="Y1895"/>
      <c r="Z1895" t="s">
        <v>509</v>
      </c>
      <c r="AA1895" t="s">
        <v>49</v>
      </c>
      <c r="AB1895" t="s">
        <v>71</v>
      </c>
      <c r="AC1895" t="s">
        <v>72</v>
      </c>
      <c r="AD1895" t="s">
        <v>52</v>
      </c>
      <c r="AE1895" t="s">
        <v>53</v>
      </c>
      <c r="AF1895" t="s">
        <v>52</v>
      </c>
      <c r="AG1895" t="s">
        <v>52</v>
      </c>
      <c r="AH1895" t="s">
        <v>64</v>
      </c>
      <c r="AI1895"/>
      <c r="AJ1895"/>
      <c r="AK1895">
        <v>25</v>
      </c>
      <c r="AL1895">
        <v>25</v>
      </c>
      <c r="AM1895" t="s">
        <v>342</v>
      </c>
      <c r="AN1895">
        <v>418</v>
      </c>
      <c r="AO1895">
        <v>3</v>
      </c>
      <c r="AP1895" t="s">
        <v>56</v>
      </c>
      <c r="AQ1895" t="s">
        <v>57</v>
      </c>
      <c r="AR1895">
        <v>8.17</v>
      </c>
      <c r="AS1895">
        <v>0.02</v>
      </c>
      <c r="AT1895" t="s">
        <v>56</v>
      </c>
      <c r="AU1895">
        <v>916</v>
      </c>
      <c r="AV1895">
        <v>15</v>
      </c>
      <c r="AW1895" t="s">
        <v>56</v>
      </c>
      <c r="AX1895">
        <v>7.95</v>
      </c>
      <c r="AY1895">
        <v>0.06</v>
      </c>
      <c r="AZ1895" t="s">
        <v>56</v>
      </c>
      <c r="BA1895"/>
      <c r="BB1895">
        <f>LOG(AU1895)</f>
        <v>2.9618954736678504</v>
      </c>
      <c r="BC1895">
        <v>20.3</v>
      </c>
      <c r="BD1895">
        <v>0.1</v>
      </c>
      <c r="BE1895" t="s">
        <v>56</v>
      </c>
      <c r="BF1895">
        <v>26.1</v>
      </c>
      <c r="BG1895">
        <v>0.1</v>
      </c>
      <c r="BH1895" t="s">
        <v>56</v>
      </c>
      <c r="BI1895">
        <v>499</v>
      </c>
      <c r="BJ1895">
        <v>5.8</v>
      </c>
      <c r="BK1895" t="s">
        <v>56</v>
      </c>
      <c r="BL1895" t="s">
        <v>510</v>
      </c>
      <c r="BM1895" t="s">
        <v>86</v>
      </c>
      <c r="BN1895" t="s">
        <v>340</v>
      </c>
      <c r="BO1895" t="s">
        <v>91</v>
      </c>
      <c r="BP1895" t="s">
        <v>9</v>
      </c>
      <c r="BQ1895" t="s">
        <v>9</v>
      </c>
      <c r="BR1895" t="s">
        <v>63</v>
      </c>
      <c r="BS1895"/>
      <c r="BT1895">
        <v>17.86</v>
      </c>
      <c r="BU1895">
        <v>17.85575</v>
      </c>
      <c r="BV1895">
        <v>4.83</v>
      </c>
      <c r="BW1895">
        <f>BV1895*SQRT(AK1895)</f>
        <v>24.15</v>
      </c>
      <c r="BX1895">
        <v>10.99</v>
      </c>
      <c r="BY1895">
        <v>10.994152</v>
      </c>
      <c r="BZ1895">
        <v>2.88</v>
      </c>
      <c r="CA1895">
        <f>BZ1895*SQRT(AL1895)</f>
        <v>14.399999999999999</v>
      </c>
      <c r="CB1895">
        <v>2</v>
      </c>
      <c r="CC1895">
        <v>6</v>
      </c>
      <c r="CD1895">
        <v>0.48499999999999999</v>
      </c>
      <c r="CE1895">
        <v>0.14219999999999999</v>
      </c>
    </row>
    <row r="1896" spans="1:84" s="8" customFormat="1" hidden="1" x14ac:dyDescent="0.2">
      <c r="A1896"/>
      <c r="B1896" t="str">
        <f>ROW()-1&amp;"_AltersInvert"</f>
        <v>1895_AltersInvert</v>
      </c>
      <c r="C1896" t="str">
        <f>D1896&amp;"_"&amp;
SUBSTITUTE(TRIM(V1896)," ","_")&amp;"_"&amp;
TRIM(AC1896)&amp;"_"&amp;
"CO2"&amp;TEXT(AN1896,"0.00")&amp;"_"&amp;
"pH"&amp;TEXT(AR1896,"0.00")&amp;"_"&amp;
"T"&amp;TEXT(BC1896,"0.##")</f>
        <v>232_Aurelia_coerulea_LARVA_CO2375.00_pH0.00_T24.</v>
      </c>
      <c r="D1896">
        <v>232</v>
      </c>
      <c r="E1896"/>
      <c r="F1896"/>
      <c r="G1896" t="s">
        <v>43</v>
      </c>
      <c r="H1896" t="s">
        <v>1046</v>
      </c>
      <c r="I1896"/>
      <c r="J1896">
        <v>2018</v>
      </c>
      <c r="K1896"/>
      <c r="L1896"/>
      <c r="M1896" t="s">
        <v>308</v>
      </c>
      <c r="N1896"/>
      <c r="O1896"/>
      <c r="P1896" t="s">
        <v>1135</v>
      </c>
      <c r="Q1896"/>
      <c r="R1896" t="s">
        <v>1127</v>
      </c>
      <c r="S1896" t="s">
        <v>1128</v>
      </c>
      <c r="T1896" t="s">
        <v>103</v>
      </c>
      <c r="U1896" t="s">
        <v>1047</v>
      </c>
      <c r="V1896" t="s">
        <v>1048</v>
      </c>
      <c r="W1896"/>
      <c r="X1896"/>
      <c r="Y1896"/>
      <c r="Z1896"/>
      <c r="AA1896"/>
      <c r="AB1896"/>
      <c r="AC1896" t="s">
        <v>72</v>
      </c>
      <c r="AD1896"/>
      <c r="AE1896"/>
      <c r="AF1896" t="s">
        <v>52</v>
      </c>
      <c r="AG1896" t="s">
        <v>54</v>
      </c>
      <c r="AH1896" t="s">
        <v>55</v>
      </c>
      <c r="AI1896"/>
      <c r="AJ1896"/>
      <c r="AK1896">
        <v>4</v>
      </c>
      <c r="AL1896">
        <v>4</v>
      </c>
      <c r="AM1896" t="s">
        <v>1072</v>
      </c>
      <c r="AN1896">
        <v>375</v>
      </c>
      <c r="AO1896"/>
      <c r="AP1896"/>
      <c r="AQ1896"/>
      <c r="AR1896"/>
      <c r="AS1896"/>
      <c r="AT1896"/>
      <c r="AU1896">
        <v>2789</v>
      </c>
      <c r="AV1896"/>
      <c r="AW1896"/>
      <c r="AX1896"/>
      <c r="AY1896"/>
      <c r="AZ1896"/>
      <c r="BA1896"/>
      <c r="BB1896">
        <f>LOG(AU1896)</f>
        <v>3.44544851426605</v>
      </c>
      <c r="BC1896">
        <v>24</v>
      </c>
      <c r="BD1896"/>
      <c r="BE1896"/>
      <c r="BF1896">
        <v>24</v>
      </c>
      <c r="BG1896"/>
      <c r="BH1896"/>
      <c r="BI1896">
        <v>2414</v>
      </c>
      <c r="BJ1896">
        <v>0</v>
      </c>
      <c r="BK1896"/>
      <c r="BL1896" t="s">
        <v>88</v>
      </c>
      <c r="BM1896" t="s">
        <v>83</v>
      </c>
      <c r="BN1896" t="s">
        <v>81</v>
      </c>
      <c r="BO1896" t="s">
        <v>82</v>
      </c>
      <c r="BP1896" t="s">
        <v>83</v>
      </c>
      <c r="BQ1896" t="s">
        <v>83</v>
      </c>
      <c r="BR1896" t="s">
        <v>84</v>
      </c>
      <c r="BS1896"/>
      <c r="BT1896">
        <v>13.61698077</v>
      </c>
      <c r="BU1896">
        <v>13.616980999999999</v>
      </c>
      <c r="BV1896">
        <v>12.419624000000001</v>
      </c>
      <c r="BW1896">
        <f>BV1896*SQRT(AK1896)</f>
        <v>24.839248000000001</v>
      </c>
      <c r="BX1896">
        <v>13.7661297</v>
      </c>
      <c r="BY1896">
        <v>13.7661297</v>
      </c>
      <c r="BZ1896">
        <v>7.37</v>
      </c>
      <c r="CA1896">
        <f>BZ1896*SQRT(AL1896)</f>
        <v>14.74</v>
      </c>
      <c r="CB1896">
        <v>7</v>
      </c>
      <c r="CC1896"/>
      <c r="CD1896">
        <v>1.0999999999999999E-2</v>
      </c>
      <c r="CE1896">
        <v>1.1186</v>
      </c>
      <c r="CF1896"/>
    </row>
    <row r="1897" spans="1:84" s="8" customFormat="1" hidden="1" x14ac:dyDescent="0.2">
      <c r="A1897"/>
      <c r="B1897" t="str">
        <f>ROW()-1&amp;"_AltersInvert"</f>
        <v>1896_AltersInvert</v>
      </c>
      <c r="C1897" t="str">
        <f>D1897&amp;"_"&amp;
SUBSTITUTE(TRIM(V1897)," ","_")&amp;"_"&amp;
TRIM(AC1897)&amp;"_"&amp;
"CO2"&amp;TEXT(AN1897,"0.00")&amp;"_"&amp;
"pH"&amp;TEXT(AR1897,"0.00")&amp;"_"&amp;
"T"&amp;TEXT(BC1897,"0.##")</f>
        <v>232_Aurelia_coerulea_LARVA_CO2375.00_pH0.00_T24.</v>
      </c>
      <c r="D1897">
        <v>232</v>
      </c>
      <c r="E1897"/>
      <c r="F1897"/>
      <c r="G1897" t="s">
        <v>43</v>
      </c>
      <c r="H1897" t="s">
        <v>1046</v>
      </c>
      <c r="I1897"/>
      <c r="J1897">
        <v>2018</v>
      </c>
      <c r="K1897"/>
      <c r="L1897"/>
      <c r="M1897" t="s">
        <v>308</v>
      </c>
      <c r="N1897"/>
      <c r="O1897"/>
      <c r="P1897" t="s">
        <v>1135</v>
      </c>
      <c r="Q1897"/>
      <c r="R1897" t="s">
        <v>1127</v>
      </c>
      <c r="S1897" t="s">
        <v>1128</v>
      </c>
      <c r="T1897" t="s">
        <v>103</v>
      </c>
      <c r="U1897" t="s">
        <v>1047</v>
      </c>
      <c r="V1897" t="s">
        <v>1048</v>
      </c>
      <c r="W1897"/>
      <c r="X1897"/>
      <c r="Y1897"/>
      <c r="Z1897"/>
      <c r="AA1897"/>
      <c r="AB1897"/>
      <c r="AC1897" t="s">
        <v>72</v>
      </c>
      <c r="AD1897"/>
      <c r="AE1897"/>
      <c r="AF1897" t="s">
        <v>52</v>
      </c>
      <c r="AG1897" t="s">
        <v>54</v>
      </c>
      <c r="AH1897" t="s">
        <v>55</v>
      </c>
      <c r="AI1897"/>
      <c r="AJ1897"/>
      <c r="AK1897">
        <v>4</v>
      </c>
      <c r="AL1897">
        <v>4</v>
      </c>
      <c r="AM1897" t="s">
        <v>1072</v>
      </c>
      <c r="AN1897">
        <v>375</v>
      </c>
      <c r="AO1897"/>
      <c r="AP1897"/>
      <c r="AQ1897"/>
      <c r="AR1897"/>
      <c r="AS1897"/>
      <c r="AT1897"/>
      <c r="AU1897">
        <v>1032</v>
      </c>
      <c r="AV1897"/>
      <c r="AW1897"/>
      <c r="AX1897"/>
      <c r="AY1897"/>
      <c r="AZ1897"/>
      <c r="BA1897"/>
      <c r="BB1897">
        <f>LOG(AU1897)</f>
        <v>3.0136796972911926</v>
      </c>
      <c r="BC1897">
        <v>24</v>
      </c>
      <c r="BD1897"/>
      <c r="BE1897"/>
      <c r="BF1897">
        <v>24</v>
      </c>
      <c r="BG1897"/>
      <c r="BH1897"/>
      <c r="BI1897">
        <v>657</v>
      </c>
      <c r="BJ1897">
        <v>0</v>
      </c>
      <c r="BK1897"/>
      <c r="BL1897" t="s">
        <v>88</v>
      </c>
      <c r="BM1897" t="s">
        <v>83</v>
      </c>
      <c r="BN1897" t="s">
        <v>81</v>
      </c>
      <c r="BO1897" t="s">
        <v>82</v>
      </c>
      <c r="BP1897" t="s">
        <v>83</v>
      </c>
      <c r="BQ1897" t="s">
        <v>83</v>
      </c>
      <c r="BR1897" t="s">
        <v>84</v>
      </c>
      <c r="BS1897"/>
      <c r="BT1897">
        <v>13.61698077</v>
      </c>
      <c r="BU1897">
        <v>13.616980999999999</v>
      </c>
      <c r="BV1897">
        <v>12.419624000000001</v>
      </c>
      <c r="BW1897">
        <f>BV1897*SQRT(AK1897)</f>
        <v>24.839248000000001</v>
      </c>
      <c r="BX1897">
        <v>23.867995260000001</v>
      </c>
      <c r="BY1897">
        <v>23.8679953</v>
      </c>
      <c r="BZ1897">
        <v>7.69</v>
      </c>
      <c r="CA1897">
        <f>BZ1897*SQRT(AL1897)</f>
        <v>15.38</v>
      </c>
      <c r="CB1897">
        <v>7</v>
      </c>
      <c r="CC1897"/>
      <c r="CD1897">
        <v>0.56100000000000005</v>
      </c>
      <c r="CE1897">
        <v>0.93569999999999998</v>
      </c>
      <c r="CF1897"/>
    </row>
    <row r="1898" spans="1:84" s="8" customFormat="1" hidden="1" x14ac:dyDescent="0.2">
      <c r="A1898"/>
      <c r="B1898" t="str">
        <f>ROW()-1&amp;"_AltersInvert"</f>
        <v>1897_AltersInvert</v>
      </c>
      <c r="C1898" t="str">
        <f>D1898&amp;"_"&amp;
SUBSTITUTE(TRIM(V1898)," ","_")&amp;"_"&amp;
TRIM(AC1898)&amp;"_"&amp;
"CO2"&amp;TEXT(AN1898,"0.00")&amp;"_"&amp;
"pH"&amp;TEXT(AR1898,"0.00")&amp;"_"&amp;
"T"&amp;TEXT(BC1898,"0.##")</f>
        <v>232_Aurelia_coerulea_LARVA_CO2375.00_pH0.00_T24.</v>
      </c>
      <c r="D1898">
        <v>232</v>
      </c>
      <c r="E1898"/>
      <c r="F1898"/>
      <c r="G1898" t="s">
        <v>43</v>
      </c>
      <c r="H1898" t="s">
        <v>1046</v>
      </c>
      <c r="I1898"/>
      <c r="J1898">
        <v>2018</v>
      </c>
      <c r="K1898"/>
      <c r="L1898"/>
      <c r="M1898" t="s">
        <v>308</v>
      </c>
      <c r="N1898"/>
      <c r="O1898"/>
      <c r="P1898" t="s">
        <v>1135</v>
      </c>
      <c r="Q1898"/>
      <c r="R1898" t="s">
        <v>1127</v>
      </c>
      <c r="S1898" t="s">
        <v>1128</v>
      </c>
      <c r="T1898" t="s">
        <v>103</v>
      </c>
      <c r="U1898" t="s">
        <v>1047</v>
      </c>
      <c r="V1898" t="s">
        <v>1048</v>
      </c>
      <c r="W1898"/>
      <c r="X1898"/>
      <c r="Y1898"/>
      <c r="Z1898"/>
      <c r="AA1898"/>
      <c r="AB1898"/>
      <c r="AC1898" t="s">
        <v>72</v>
      </c>
      <c r="AD1898"/>
      <c r="AE1898"/>
      <c r="AF1898" t="s">
        <v>54</v>
      </c>
      <c r="AG1898" t="s">
        <v>52</v>
      </c>
      <c r="AH1898" t="s">
        <v>65</v>
      </c>
      <c r="AI1898"/>
      <c r="AJ1898"/>
      <c r="AK1898">
        <v>4</v>
      </c>
      <c r="AL1898">
        <v>4</v>
      </c>
      <c r="AM1898" t="s">
        <v>1072</v>
      </c>
      <c r="AN1898">
        <v>375</v>
      </c>
      <c r="AO1898"/>
      <c r="AP1898"/>
      <c r="AQ1898"/>
      <c r="AR1898"/>
      <c r="AS1898"/>
      <c r="AT1898"/>
      <c r="AU1898">
        <v>368</v>
      </c>
      <c r="AV1898"/>
      <c r="AW1898"/>
      <c r="AX1898"/>
      <c r="AY1898"/>
      <c r="AZ1898"/>
      <c r="BA1898"/>
      <c r="BB1898">
        <f>LOG(AU1898)</f>
        <v>2.5658478186735176</v>
      </c>
      <c r="BC1898">
        <v>24</v>
      </c>
      <c r="BD1898"/>
      <c r="BE1898"/>
      <c r="BF1898">
        <v>27</v>
      </c>
      <c r="BG1898"/>
      <c r="BH1898"/>
      <c r="BI1898">
        <v>-7</v>
      </c>
      <c r="BJ1898">
        <v>3</v>
      </c>
      <c r="BK1898"/>
      <c r="BL1898" t="s">
        <v>88</v>
      </c>
      <c r="BM1898" t="s">
        <v>83</v>
      </c>
      <c r="BN1898" t="s">
        <v>81</v>
      </c>
      <c r="BO1898" t="s">
        <v>82</v>
      </c>
      <c r="BP1898" t="s">
        <v>83</v>
      </c>
      <c r="BQ1898" t="s">
        <v>83</v>
      </c>
      <c r="BR1898" t="s">
        <v>84</v>
      </c>
      <c r="BS1898"/>
      <c r="BT1898">
        <v>13.61698077</v>
      </c>
      <c r="BU1898">
        <v>13.616980999999999</v>
      </c>
      <c r="BV1898">
        <v>12.419624000000001</v>
      </c>
      <c r="BW1898">
        <f>BV1898*SQRT(AK1898)</f>
        <v>24.839248000000001</v>
      </c>
      <c r="BX1898">
        <v>31.645557069999999</v>
      </c>
      <c r="BY1898">
        <v>31.645557100000001</v>
      </c>
      <c r="BZ1898">
        <v>6.65</v>
      </c>
      <c r="CA1898">
        <f>BZ1898*SQRT(AL1898)</f>
        <v>13.3</v>
      </c>
      <c r="CB1898">
        <v>7</v>
      </c>
      <c r="CC1898"/>
      <c r="CD1898">
        <v>0.84299999999999997</v>
      </c>
      <c r="CE1898">
        <v>0.876</v>
      </c>
    </row>
    <row r="1899" spans="1:84" s="8" customFormat="1" hidden="1" x14ac:dyDescent="0.2">
      <c r="A1899"/>
      <c r="B1899" t="str">
        <f>ROW()-1&amp;"_AltersInvert"</f>
        <v>1898_AltersInvert</v>
      </c>
      <c r="C1899" t="str">
        <f>D1899&amp;"_"&amp;
SUBSTITUTE(TRIM(V1899)," ","_")&amp;"_"&amp;
TRIM(AC1899)&amp;"_"&amp;
"CO2"&amp;TEXT(AN1899,"0.00")&amp;"_"&amp;
"pH"&amp;TEXT(AR1899,"0.00")&amp;"_"&amp;
"T"&amp;TEXT(BC1899,"0.##")</f>
        <v>232_Aurelia_coerulea_LARVA_CO2375.00_pH0.00_T24.</v>
      </c>
      <c r="D1899">
        <v>232</v>
      </c>
      <c r="E1899"/>
      <c r="F1899"/>
      <c r="G1899" t="s">
        <v>43</v>
      </c>
      <c r="H1899" t="s">
        <v>1046</v>
      </c>
      <c r="I1899"/>
      <c r="J1899">
        <v>2018</v>
      </c>
      <c r="K1899"/>
      <c r="L1899"/>
      <c r="M1899" t="s">
        <v>308</v>
      </c>
      <c r="N1899"/>
      <c r="O1899"/>
      <c r="P1899" t="s">
        <v>1135</v>
      </c>
      <c r="Q1899"/>
      <c r="R1899" t="s">
        <v>1127</v>
      </c>
      <c r="S1899" t="s">
        <v>1128</v>
      </c>
      <c r="T1899" t="s">
        <v>103</v>
      </c>
      <c r="U1899" t="s">
        <v>1047</v>
      </c>
      <c r="V1899" t="s">
        <v>1048</v>
      </c>
      <c r="W1899"/>
      <c r="X1899"/>
      <c r="Y1899"/>
      <c r="Z1899"/>
      <c r="AA1899"/>
      <c r="AB1899"/>
      <c r="AC1899" t="s">
        <v>72</v>
      </c>
      <c r="AD1899"/>
      <c r="AE1899"/>
      <c r="AF1899" t="s">
        <v>52</v>
      </c>
      <c r="AG1899" t="s">
        <v>52</v>
      </c>
      <c r="AH1899" t="s">
        <v>64</v>
      </c>
      <c r="AI1899"/>
      <c r="AJ1899"/>
      <c r="AK1899">
        <v>4</v>
      </c>
      <c r="AL1899">
        <v>4</v>
      </c>
      <c r="AM1899" t="s">
        <v>1072</v>
      </c>
      <c r="AN1899">
        <v>375</v>
      </c>
      <c r="AO1899"/>
      <c r="AP1899"/>
      <c r="AQ1899"/>
      <c r="AR1899"/>
      <c r="AS1899"/>
      <c r="AT1899"/>
      <c r="AU1899">
        <v>2980</v>
      </c>
      <c r="AV1899"/>
      <c r="AW1899"/>
      <c r="AX1899"/>
      <c r="AY1899"/>
      <c r="AZ1899"/>
      <c r="BA1899"/>
      <c r="BB1899">
        <f>LOG(AU1899)</f>
        <v>3.4742162640762553</v>
      </c>
      <c r="BC1899">
        <v>24</v>
      </c>
      <c r="BD1899"/>
      <c r="BE1899"/>
      <c r="BF1899">
        <v>27</v>
      </c>
      <c r="BG1899"/>
      <c r="BH1899"/>
      <c r="BI1899">
        <v>2605</v>
      </c>
      <c r="BJ1899">
        <v>3</v>
      </c>
      <c r="BK1899"/>
      <c r="BL1899" t="s">
        <v>88</v>
      </c>
      <c r="BM1899" t="s">
        <v>83</v>
      </c>
      <c r="BN1899" t="s">
        <v>81</v>
      </c>
      <c r="BO1899" t="s">
        <v>82</v>
      </c>
      <c r="BP1899" t="s">
        <v>83</v>
      </c>
      <c r="BQ1899" t="s">
        <v>83</v>
      </c>
      <c r="BR1899" t="s">
        <v>84</v>
      </c>
      <c r="BS1899"/>
      <c r="BT1899">
        <v>13.61698077</v>
      </c>
      <c r="BU1899">
        <v>13.616980999999999</v>
      </c>
      <c r="BV1899">
        <v>12.419624000000001</v>
      </c>
      <c r="BW1899">
        <f>BV1899*SQRT(AK1899)</f>
        <v>24.839248000000001</v>
      </c>
      <c r="BX1899">
        <v>22.740254740000001</v>
      </c>
      <c r="BY1899">
        <v>22.740254700000001</v>
      </c>
      <c r="BZ1899">
        <v>13.38</v>
      </c>
      <c r="CA1899">
        <f>BZ1899*SQRT(AL1899)</f>
        <v>26.76</v>
      </c>
      <c r="CB1899">
        <v>7</v>
      </c>
      <c r="CC1899"/>
      <c r="CD1899">
        <v>0.51300000000000001</v>
      </c>
      <c r="CE1899">
        <v>1.1781999999999999</v>
      </c>
      <c r="CF1899"/>
    </row>
    <row r="1900" spans="1:84" s="8" customFormat="1" hidden="1" x14ac:dyDescent="0.2">
      <c r="A1900"/>
      <c r="B1900" t="str">
        <f>ROW()-1&amp;"_AltersInvert"</f>
        <v>1899_AltersInvert</v>
      </c>
      <c r="C1900" t="str">
        <f>D1900&amp;"_"&amp;
SUBSTITUTE(TRIM(V1900)," ","_")&amp;"_"&amp;
TRIM(AC1900)&amp;"_"&amp;
"CO2"&amp;TEXT(AN1900,"0.00")&amp;"_"&amp;
"pH"&amp;TEXT(AR1900,"0.00")&amp;"_"&amp;
"T"&amp;TEXT(BC1900,"0.##")</f>
        <v>232_Aurelia_coerulea_LARVA_CO2375.00_pH0.00_T24.</v>
      </c>
      <c r="D1900">
        <v>232</v>
      </c>
      <c r="E1900"/>
      <c r="F1900"/>
      <c r="G1900" t="s">
        <v>43</v>
      </c>
      <c r="H1900" t="s">
        <v>1046</v>
      </c>
      <c r="I1900"/>
      <c r="J1900">
        <v>2018</v>
      </c>
      <c r="K1900"/>
      <c r="L1900"/>
      <c r="M1900" t="s">
        <v>308</v>
      </c>
      <c r="N1900"/>
      <c r="O1900"/>
      <c r="P1900" t="s">
        <v>1135</v>
      </c>
      <c r="Q1900"/>
      <c r="R1900" t="s">
        <v>1127</v>
      </c>
      <c r="S1900" t="s">
        <v>1128</v>
      </c>
      <c r="T1900" t="s">
        <v>103</v>
      </c>
      <c r="U1900" t="s">
        <v>1047</v>
      </c>
      <c r="V1900" t="s">
        <v>1048</v>
      </c>
      <c r="W1900"/>
      <c r="X1900"/>
      <c r="Y1900"/>
      <c r="Z1900"/>
      <c r="AA1900"/>
      <c r="AB1900"/>
      <c r="AC1900" t="s">
        <v>72</v>
      </c>
      <c r="AD1900"/>
      <c r="AE1900"/>
      <c r="AF1900" t="s">
        <v>52</v>
      </c>
      <c r="AG1900" t="s">
        <v>52</v>
      </c>
      <c r="AH1900" t="s">
        <v>64</v>
      </c>
      <c r="AI1900"/>
      <c r="AJ1900"/>
      <c r="AK1900">
        <v>4</v>
      </c>
      <c r="AL1900">
        <v>4</v>
      </c>
      <c r="AM1900" t="s">
        <v>1072</v>
      </c>
      <c r="AN1900">
        <v>375</v>
      </c>
      <c r="AO1900"/>
      <c r="AP1900"/>
      <c r="AQ1900"/>
      <c r="AR1900"/>
      <c r="AS1900"/>
      <c r="AT1900"/>
      <c r="AU1900">
        <v>1077</v>
      </c>
      <c r="AV1900"/>
      <c r="AW1900"/>
      <c r="AX1900"/>
      <c r="AY1900"/>
      <c r="AZ1900"/>
      <c r="BA1900"/>
      <c r="BB1900">
        <f>LOG(AU1900)</f>
        <v>3.0322157032979815</v>
      </c>
      <c r="BC1900">
        <v>24</v>
      </c>
      <c r="BD1900"/>
      <c r="BE1900"/>
      <c r="BF1900">
        <v>27</v>
      </c>
      <c r="BG1900"/>
      <c r="BH1900"/>
      <c r="BI1900">
        <v>702</v>
      </c>
      <c r="BJ1900">
        <v>3</v>
      </c>
      <c r="BK1900"/>
      <c r="BL1900" t="s">
        <v>88</v>
      </c>
      <c r="BM1900" t="s">
        <v>83</v>
      </c>
      <c r="BN1900" t="s">
        <v>81</v>
      </c>
      <c r="BO1900" t="s">
        <v>82</v>
      </c>
      <c r="BP1900" t="s">
        <v>83</v>
      </c>
      <c r="BQ1900" t="s">
        <v>83</v>
      </c>
      <c r="BR1900" t="s">
        <v>84</v>
      </c>
      <c r="BS1900"/>
      <c r="BT1900">
        <v>13.61698077</v>
      </c>
      <c r="BU1900">
        <v>13.616980999999999</v>
      </c>
      <c r="BV1900">
        <v>12.419624000000001</v>
      </c>
      <c r="BW1900">
        <f>BV1900*SQRT(AK1900)</f>
        <v>24.839248000000001</v>
      </c>
      <c r="BX1900">
        <v>32.842318630000001</v>
      </c>
      <c r="BY1900">
        <v>32.842318599999999</v>
      </c>
      <c r="BZ1900">
        <v>11.62</v>
      </c>
      <c r="CA1900">
        <f>BZ1900*SQRT(AL1900)</f>
        <v>23.24</v>
      </c>
      <c r="CB1900">
        <v>7</v>
      </c>
      <c r="CC1900"/>
      <c r="CD1900">
        <v>0.88</v>
      </c>
      <c r="CE1900">
        <v>0.95699999999999996</v>
      </c>
    </row>
    <row r="1901" spans="1:84" s="8" customFormat="1" hidden="1" x14ac:dyDescent="0.2">
      <c r="A1901"/>
      <c r="B1901" t="str">
        <f>ROW()-1&amp;"_AltersInvert"</f>
        <v>1900_AltersInvert</v>
      </c>
      <c r="C1901" t="str">
        <f>D1901&amp;"_"&amp;
SUBSTITUTE(TRIM(V1901)," ","_")&amp;"_"&amp;
TRIM(AC1901)&amp;"_"&amp;
"CO2"&amp;TEXT(AN1901,"0.00")&amp;"_"&amp;
"pH"&amp;TEXT(AR1901,"0.00")&amp;"_"&amp;
"T"&amp;TEXT(BC1901,"0.##")</f>
        <v>16_Hyas_araneus_LARVA_CO2354.00_pH8.11_T3.</v>
      </c>
      <c r="D1901">
        <v>16</v>
      </c>
      <c r="E1901"/>
      <c r="F1901"/>
      <c r="G1901" t="s">
        <v>43</v>
      </c>
      <c r="H1901" t="s">
        <v>243</v>
      </c>
      <c r="I1901"/>
      <c r="J1901">
        <v>2010</v>
      </c>
      <c r="K1901"/>
      <c r="L1901"/>
      <c r="M1901" t="s">
        <v>244</v>
      </c>
      <c r="N1901"/>
      <c r="O1901"/>
      <c r="P1901" t="s">
        <v>1135</v>
      </c>
      <c r="Q1901"/>
      <c r="R1901" t="s">
        <v>1127</v>
      </c>
      <c r="S1901" t="s">
        <v>1128</v>
      </c>
      <c r="T1901" t="s">
        <v>131</v>
      </c>
      <c r="U1901" t="s">
        <v>245</v>
      </c>
      <c r="V1901" t="s">
        <v>246</v>
      </c>
      <c r="W1901"/>
      <c r="X1901"/>
      <c r="Y1901"/>
      <c r="Z1901" t="s">
        <v>49</v>
      </c>
      <c r="AA1901" t="s">
        <v>49</v>
      </c>
      <c r="AB1901" t="s">
        <v>71</v>
      </c>
      <c r="AC1901" t="s">
        <v>72</v>
      </c>
      <c r="AD1901" t="s">
        <v>52</v>
      </c>
      <c r="AE1901" t="s">
        <v>53</v>
      </c>
      <c r="AF1901" t="s">
        <v>52</v>
      </c>
      <c r="AG1901" t="s">
        <v>54</v>
      </c>
      <c r="AH1901" t="s">
        <v>55</v>
      </c>
      <c r="AI1901"/>
      <c r="AJ1901"/>
      <c r="AK1901">
        <v>279</v>
      </c>
      <c r="AL1901">
        <v>279</v>
      </c>
      <c r="AM1901"/>
      <c r="AN1901">
        <v>354</v>
      </c>
      <c r="AO1901" t="s">
        <v>56</v>
      </c>
      <c r="AP1901">
        <v>65</v>
      </c>
      <c r="AQ1901" t="s">
        <v>56</v>
      </c>
      <c r="AR1901">
        <v>8.11</v>
      </c>
      <c r="AS1901" t="s">
        <v>56</v>
      </c>
      <c r="AT1901">
        <v>0.05</v>
      </c>
      <c r="AU1901">
        <v>754</v>
      </c>
      <c r="AV1901" t="s">
        <v>56</v>
      </c>
      <c r="AW1901">
        <v>37</v>
      </c>
      <c r="AX1901">
        <v>7.81</v>
      </c>
      <c r="AY1901" t="s">
        <v>56</v>
      </c>
      <c r="AZ1901" t="s">
        <v>56</v>
      </c>
      <c r="BA1901"/>
      <c r="BB1901">
        <f>LOG(AU1901)</f>
        <v>2.8773713458697738</v>
      </c>
      <c r="BC1901">
        <v>3</v>
      </c>
      <c r="BD1901" t="s">
        <v>56</v>
      </c>
      <c r="BE1901" t="s">
        <v>56</v>
      </c>
      <c r="BF1901">
        <v>3</v>
      </c>
      <c r="BG1901" t="s">
        <v>56</v>
      </c>
      <c r="BH1901" t="s">
        <v>56</v>
      </c>
      <c r="BI1901">
        <v>400</v>
      </c>
      <c r="BJ1901">
        <v>0</v>
      </c>
      <c r="BK1901" t="s">
        <v>251</v>
      </c>
      <c r="BL1901" t="s">
        <v>248</v>
      </c>
      <c r="BM1901" t="s">
        <v>249</v>
      </c>
      <c r="BN1901" t="s">
        <v>60</v>
      </c>
      <c r="BO1901" t="s">
        <v>250</v>
      </c>
      <c r="BP1901" t="s">
        <v>9</v>
      </c>
      <c r="BQ1901" t="s">
        <v>9</v>
      </c>
      <c r="BR1901" t="s">
        <v>63</v>
      </c>
      <c r="BS1901"/>
      <c r="BT1901">
        <v>59.17</v>
      </c>
      <c r="BU1901">
        <v>59.17</v>
      </c>
      <c r="BV1901">
        <v>1.5</v>
      </c>
      <c r="BW1901">
        <f>BV1901*SQRT(AK1901)</f>
        <v>25.054939632735099</v>
      </c>
      <c r="BX1901">
        <v>62.93</v>
      </c>
      <c r="BY1901">
        <v>62.93</v>
      </c>
      <c r="BZ1901">
        <v>1.5</v>
      </c>
      <c r="CA1901">
        <f>BZ1901*SQRT(AL1901)</f>
        <v>25.054939632735099</v>
      </c>
      <c r="CB1901">
        <v>120</v>
      </c>
      <c r="CC1901">
        <v>7</v>
      </c>
      <c r="CD1901">
        <v>6.2E-2</v>
      </c>
      <c r="CE1901">
        <v>1.1999999999999999E-3</v>
      </c>
      <c r="CF1901"/>
    </row>
    <row r="1902" spans="1:84" s="8" customFormat="1" hidden="1" x14ac:dyDescent="0.2">
      <c r="A1902"/>
      <c r="B1902" t="str">
        <f>ROW()-1&amp;"_AltersInvert"</f>
        <v>1901_AltersInvert</v>
      </c>
      <c r="C1902" t="str">
        <f>D1902&amp;"_"&amp;
SUBSTITUTE(TRIM(V1902)," ","_")&amp;"_"&amp;
TRIM(AC1902)&amp;"_"&amp;
"CO2"&amp;TEXT(AN1902,"0.00")&amp;"_"&amp;
"pH"&amp;TEXT(AR1902,"0.00")&amp;"_"&amp;
"T"&amp;TEXT(BC1902,"0.##")</f>
        <v>16_Hyas_araneus_LARVA_CO2354.00_pH8.11_T3.</v>
      </c>
      <c r="D1902">
        <v>16</v>
      </c>
      <c r="E1902"/>
      <c r="F1902"/>
      <c r="G1902" t="s">
        <v>43</v>
      </c>
      <c r="H1902" t="s">
        <v>243</v>
      </c>
      <c r="I1902"/>
      <c r="J1902">
        <v>2010</v>
      </c>
      <c r="K1902"/>
      <c r="L1902"/>
      <c r="M1902" t="s">
        <v>244</v>
      </c>
      <c r="N1902"/>
      <c r="O1902"/>
      <c r="P1902" t="s">
        <v>1135</v>
      </c>
      <c r="Q1902"/>
      <c r="R1902" t="s">
        <v>1127</v>
      </c>
      <c r="S1902" t="s">
        <v>1128</v>
      </c>
      <c r="T1902" t="s">
        <v>131</v>
      </c>
      <c r="U1902" t="s">
        <v>245</v>
      </c>
      <c r="V1902" t="s">
        <v>246</v>
      </c>
      <c r="W1902"/>
      <c r="X1902"/>
      <c r="Y1902"/>
      <c r="Z1902" t="s">
        <v>49</v>
      </c>
      <c r="AA1902" t="s">
        <v>49</v>
      </c>
      <c r="AB1902" t="s">
        <v>71</v>
      </c>
      <c r="AC1902" t="s">
        <v>72</v>
      </c>
      <c r="AD1902" t="s">
        <v>52</v>
      </c>
      <c r="AE1902" t="s">
        <v>53</v>
      </c>
      <c r="AF1902" t="s">
        <v>52</v>
      </c>
      <c r="AG1902" t="s">
        <v>54</v>
      </c>
      <c r="AH1902" t="s">
        <v>55</v>
      </c>
      <c r="AI1902"/>
      <c r="AJ1902"/>
      <c r="AK1902">
        <v>279</v>
      </c>
      <c r="AL1902">
        <v>279</v>
      </c>
      <c r="AM1902"/>
      <c r="AN1902">
        <v>354</v>
      </c>
      <c r="AO1902" t="s">
        <v>56</v>
      </c>
      <c r="AP1902">
        <v>65</v>
      </c>
      <c r="AQ1902" t="s">
        <v>56</v>
      </c>
      <c r="AR1902">
        <v>8.11</v>
      </c>
      <c r="AS1902" t="s">
        <v>56</v>
      </c>
      <c r="AT1902">
        <v>0.05</v>
      </c>
      <c r="AU1902">
        <v>2378</v>
      </c>
      <c r="AV1902" t="s">
        <v>56</v>
      </c>
      <c r="AW1902">
        <v>164</v>
      </c>
      <c r="AX1902">
        <v>7.33</v>
      </c>
      <c r="AY1902" t="s">
        <v>56</v>
      </c>
      <c r="AZ1902" t="s">
        <v>56</v>
      </c>
      <c r="BA1902"/>
      <c r="BB1902">
        <f>LOG(AU1902)</f>
        <v>3.3762118502826728</v>
      </c>
      <c r="BC1902">
        <v>3</v>
      </c>
      <c r="BD1902" t="s">
        <v>56</v>
      </c>
      <c r="BE1902" t="s">
        <v>56</v>
      </c>
      <c r="BF1902">
        <v>3</v>
      </c>
      <c r="BG1902" t="s">
        <v>56</v>
      </c>
      <c r="BH1902" t="s">
        <v>56</v>
      </c>
      <c r="BI1902">
        <v>2024</v>
      </c>
      <c r="BJ1902">
        <v>0</v>
      </c>
      <c r="BK1902" t="s">
        <v>251</v>
      </c>
      <c r="BL1902" t="s">
        <v>248</v>
      </c>
      <c r="BM1902" t="s">
        <v>249</v>
      </c>
      <c r="BN1902" t="s">
        <v>60</v>
      </c>
      <c r="BO1902" t="s">
        <v>250</v>
      </c>
      <c r="BP1902" t="s">
        <v>9</v>
      </c>
      <c r="BQ1902" t="s">
        <v>9</v>
      </c>
      <c r="BR1902" t="s">
        <v>63</v>
      </c>
      <c r="BS1902"/>
      <c r="BT1902">
        <v>59.17</v>
      </c>
      <c r="BU1902">
        <v>59.17</v>
      </c>
      <c r="BV1902">
        <v>1.5</v>
      </c>
      <c r="BW1902">
        <f>BV1902*SQRT(AK1902)</f>
        <v>25.054939632735099</v>
      </c>
      <c r="BX1902">
        <v>68.94</v>
      </c>
      <c r="BY1902">
        <v>68.94</v>
      </c>
      <c r="BZ1902">
        <v>1.51</v>
      </c>
      <c r="CA1902">
        <f>BZ1902*SQRT(AL1902)</f>
        <v>25.221972563620003</v>
      </c>
      <c r="CB1902">
        <v>120</v>
      </c>
      <c r="CC1902">
        <v>7</v>
      </c>
      <c r="CD1902">
        <v>0.153</v>
      </c>
      <c r="CE1902">
        <v>1.1000000000000001E-3</v>
      </c>
      <c r="CF1902"/>
    </row>
    <row r="1903" spans="1:84" hidden="1" x14ac:dyDescent="0.2">
      <c r="D1903">
        <v>203</v>
      </c>
      <c r="G1903" t="s">
        <v>43</v>
      </c>
      <c r="H1903" t="s">
        <v>953</v>
      </c>
      <c r="J1903">
        <v>2021</v>
      </c>
      <c r="M1903" t="s">
        <v>213</v>
      </c>
      <c r="T1903" t="s">
        <v>103</v>
      </c>
      <c r="U1903" t="s">
        <v>954</v>
      </c>
      <c r="V1903" t="s">
        <v>955</v>
      </c>
      <c r="Z1903" t="s">
        <v>509</v>
      </c>
      <c r="AA1903" t="s">
        <v>49</v>
      </c>
      <c r="AB1903" t="s">
        <v>71</v>
      </c>
      <c r="AC1903" t="s">
        <v>51</v>
      </c>
      <c r="AD1903" t="s">
        <v>54</v>
      </c>
      <c r="AE1903" t="s">
        <v>53</v>
      </c>
      <c r="AF1903" t="s">
        <v>52</v>
      </c>
      <c r="AG1903" t="s">
        <v>52</v>
      </c>
      <c r="AH1903" t="s">
        <v>64</v>
      </c>
      <c r="AK1903">
        <v>3</v>
      </c>
      <c r="AL1903">
        <v>3</v>
      </c>
      <c r="AN1903">
        <v>535</v>
      </c>
      <c r="AO1903">
        <v>42</v>
      </c>
      <c r="AP1903" t="s">
        <v>56</v>
      </c>
      <c r="AQ1903" t="s">
        <v>109</v>
      </c>
      <c r="AR1903">
        <v>7.96</v>
      </c>
      <c r="AS1903">
        <v>0.02</v>
      </c>
      <c r="AT1903" t="s">
        <v>56</v>
      </c>
      <c r="AU1903">
        <v>1021</v>
      </c>
      <c r="AV1903">
        <v>42</v>
      </c>
      <c r="AW1903" t="s">
        <v>56</v>
      </c>
      <c r="AX1903">
        <v>7.71</v>
      </c>
      <c r="AY1903">
        <v>0.01</v>
      </c>
      <c r="AZ1903" t="s">
        <v>56</v>
      </c>
      <c r="BB1903">
        <f>LOG(AU1903)</f>
        <v>3.0090257420869104</v>
      </c>
      <c r="BC1903">
        <v>18</v>
      </c>
      <c r="BD1903">
        <v>0</v>
      </c>
      <c r="BE1903" t="s">
        <v>56</v>
      </c>
      <c r="BF1903">
        <v>24.2</v>
      </c>
      <c r="BG1903">
        <v>0</v>
      </c>
      <c r="BH1903" t="s">
        <v>56</v>
      </c>
      <c r="BI1903">
        <v>486</v>
      </c>
      <c r="BJ1903">
        <v>6.2</v>
      </c>
      <c r="BK1903" t="s">
        <v>56</v>
      </c>
      <c r="BL1903" t="s">
        <v>956</v>
      </c>
      <c r="BM1903" t="s">
        <v>262</v>
      </c>
      <c r="BN1903" t="s">
        <v>81</v>
      </c>
      <c r="BO1903" t="s">
        <v>82</v>
      </c>
      <c r="BP1903" t="s">
        <v>92</v>
      </c>
      <c r="BQ1903" s="8" t="s">
        <v>190</v>
      </c>
      <c r="BR1903" t="s">
        <v>84</v>
      </c>
      <c r="BT1903">
        <v>516.27</v>
      </c>
      <c r="BU1903">
        <v>516.27</v>
      </c>
      <c r="BV1903">
        <v>25.78</v>
      </c>
      <c r="BW1903">
        <f>BV1903*SQRT(AK1903)</f>
        <v>44.652269819125657</v>
      </c>
      <c r="BX1903">
        <v>315</v>
      </c>
      <c r="BY1903">
        <v>315</v>
      </c>
      <c r="BZ1903">
        <v>27.71</v>
      </c>
      <c r="CA1903">
        <f>BZ1903*SQRT(AL1903)</f>
        <v>47.995127877733587</v>
      </c>
      <c r="CB1903">
        <v>36</v>
      </c>
      <c r="CC1903">
        <v>3</v>
      </c>
      <c r="CD1903">
        <v>-0.49399999999999999</v>
      </c>
      <c r="CE1903">
        <v>1.0200000000000001E-2</v>
      </c>
    </row>
    <row r="1904" spans="1:84" hidden="1" x14ac:dyDescent="0.2">
      <c r="D1904">
        <v>203</v>
      </c>
      <c r="G1904" t="s">
        <v>43</v>
      </c>
      <c r="H1904" t="s">
        <v>953</v>
      </c>
      <c r="J1904">
        <v>2021</v>
      </c>
      <c r="M1904" t="s">
        <v>213</v>
      </c>
      <c r="T1904" t="s">
        <v>103</v>
      </c>
      <c r="U1904" t="s">
        <v>954</v>
      </c>
      <c r="V1904" t="s">
        <v>955</v>
      </c>
      <c r="Z1904" t="s">
        <v>509</v>
      </c>
      <c r="AA1904" t="s">
        <v>49</v>
      </c>
      <c r="AB1904" t="s">
        <v>71</v>
      </c>
      <c r="AC1904" t="s">
        <v>51</v>
      </c>
      <c r="AD1904" t="s">
        <v>54</v>
      </c>
      <c r="AE1904" t="s">
        <v>53</v>
      </c>
      <c r="AF1904" t="s">
        <v>54</v>
      </c>
      <c r="AG1904" t="s">
        <v>52</v>
      </c>
      <c r="AH1904" t="s">
        <v>65</v>
      </c>
      <c r="AK1904">
        <v>3</v>
      </c>
      <c r="AL1904">
        <v>3</v>
      </c>
      <c r="AN1904">
        <v>535</v>
      </c>
      <c r="AO1904">
        <v>42</v>
      </c>
      <c r="AP1904" t="s">
        <v>56</v>
      </c>
      <c r="AQ1904" t="s">
        <v>109</v>
      </c>
      <c r="AR1904">
        <v>7.96</v>
      </c>
      <c r="AS1904">
        <v>0.02</v>
      </c>
      <c r="AT1904" t="s">
        <v>56</v>
      </c>
      <c r="AU1904">
        <v>495</v>
      </c>
      <c r="AV1904">
        <v>22</v>
      </c>
      <c r="AW1904" t="s">
        <v>56</v>
      </c>
      <c r="AX1904">
        <v>7.99</v>
      </c>
      <c r="AY1904">
        <v>0.02</v>
      </c>
      <c r="AZ1904" t="s">
        <v>56</v>
      </c>
      <c r="BB1904">
        <f>LOG(AU1904)</f>
        <v>2.6946051989335689</v>
      </c>
      <c r="BC1904">
        <v>18</v>
      </c>
      <c r="BD1904">
        <v>0</v>
      </c>
      <c r="BE1904" t="s">
        <v>56</v>
      </c>
      <c r="BF1904">
        <v>24.2</v>
      </c>
      <c r="BG1904">
        <v>0</v>
      </c>
      <c r="BH1904" t="s">
        <v>56</v>
      </c>
      <c r="BI1904">
        <v>-40</v>
      </c>
      <c r="BJ1904">
        <v>6.2</v>
      </c>
      <c r="BK1904" t="s">
        <v>56</v>
      </c>
      <c r="BL1904" t="s">
        <v>956</v>
      </c>
      <c r="BM1904" t="s">
        <v>262</v>
      </c>
      <c r="BN1904" t="s">
        <v>81</v>
      </c>
      <c r="BO1904" t="s">
        <v>82</v>
      </c>
      <c r="BP1904" t="s">
        <v>92</v>
      </c>
      <c r="BQ1904" s="8" t="s">
        <v>190</v>
      </c>
      <c r="BR1904" t="s">
        <v>84</v>
      </c>
      <c r="BT1904">
        <v>516.27</v>
      </c>
      <c r="BU1904">
        <v>516.27</v>
      </c>
      <c r="BV1904">
        <v>25.78</v>
      </c>
      <c r="BW1904">
        <f>BV1904*SQRT(AK1904)</f>
        <v>44.652269819125657</v>
      </c>
      <c r="BX1904">
        <v>346</v>
      </c>
      <c r="BY1904">
        <v>346</v>
      </c>
      <c r="BZ1904">
        <v>14.43</v>
      </c>
      <c r="CA1904">
        <f>BZ1904*SQRT(AL1904)</f>
        <v>24.993493153218896</v>
      </c>
      <c r="CB1904">
        <v>36</v>
      </c>
      <c r="CC1904">
        <v>3</v>
      </c>
      <c r="CD1904">
        <v>-0.4</v>
      </c>
      <c r="CE1904">
        <v>4.1999999999999997E-3</v>
      </c>
    </row>
    <row r="1905" spans="4:83" hidden="1" x14ac:dyDescent="0.2">
      <c r="D1905">
        <v>203</v>
      </c>
      <c r="G1905" t="s">
        <v>43</v>
      </c>
      <c r="H1905" t="s">
        <v>953</v>
      </c>
      <c r="J1905">
        <v>2021</v>
      </c>
      <c r="M1905" t="s">
        <v>213</v>
      </c>
      <c r="T1905" t="s">
        <v>103</v>
      </c>
      <c r="U1905" t="s">
        <v>954</v>
      </c>
      <c r="V1905" t="s">
        <v>955</v>
      </c>
      <c r="Z1905" t="s">
        <v>509</v>
      </c>
      <c r="AA1905" t="s">
        <v>49</v>
      </c>
      <c r="AB1905" t="s">
        <v>71</v>
      </c>
      <c r="AC1905" t="s">
        <v>51</v>
      </c>
      <c r="AD1905" t="s">
        <v>54</v>
      </c>
      <c r="AE1905" t="s">
        <v>53</v>
      </c>
      <c r="AF1905" t="s">
        <v>54</v>
      </c>
      <c r="AG1905" t="s">
        <v>52</v>
      </c>
      <c r="AH1905" t="s">
        <v>65</v>
      </c>
      <c r="AK1905">
        <v>3</v>
      </c>
      <c r="AL1905">
        <v>3</v>
      </c>
      <c r="AN1905">
        <v>535</v>
      </c>
      <c r="AO1905">
        <v>42</v>
      </c>
      <c r="AP1905" t="s">
        <v>56</v>
      </c>
      <c r="AQ1905" t="s">
        <v>109</v>
      </c>
      <c r="AR1905">
        <v>7.96</v>
      </c>
      <c r="AS1905">
        <v>0.02</v>
      </c>
      <c r="AT1905" t="s">
        <v>56</v>
      </c>
      <c r="AU1905">
        <v>499</v>
      </c>
      <c r="AV1905">
        <v>15</v>
      </c>
      <c r="AW1905" t="s">
        <v>56</v>
      </c>
      <c r="AX1905">
        <v>8.01</v>
      </c>
      <c r="AY1905">
        <v>0.02</v>
      </c>
      <c r="AZ1905" t="s">
        <v>56</v>
      </c>
      <c r="BB1905">
        <f>LOG(AU1905)</f>
        <v>2.6981005456233897</v>
      </c>
      <c r="BC1905">
        <v>18</v>
      </c>
      <c r="BD1905">
        <v>0</v>
      </c>
      <c r="BE1905" t="s">
        <v>56</v>
      </c>
      <c r="BF1905">
        <v>30.1</v>
      </c>
      <c r="BG1905">
        <v>0</v>
      </c>
      <c r="BH1905" t="s">
        <v>56</v>
      </c>
      <c r="BI1905">
        <v>-36</v>
      </c>
      <c r="BJ1905">
        <v>12.1</v>
      </c>
      <c r="BK1905" t="s">
        <v>56</v>
      </c>
      <c r="BL1905" t="s">
        <v>956</v>
      </c>
      <c r="BM1905" t="s">
        <v>262</v>
      </c>
      <c r="BN1905" t="s">
        <v>81</v>
      </c>
      <c r="BO1905" t="s">
        <v>82</v>
      </c>
      <c r="BP1905" t="s">
        <v>92</v>
      </c>
      <c r="BQ1905" s="8" t="s">
        <v>190</v>
      </c>
      <c r="BR1905" t="s">
        <v>84</v>
      </c>
      <c r="BT1905">
        <v>516.27</v>
      </c>
      <c r="BU1905">
        <v>516.27</v>
      </c>
      <c r="BV1905">
        <v>25.78</v>
      </c>
      <c r="BW1905">
        <f>BV1905*SQRT(AK1905)</f>
        <v>44.652269819125657</v>
      </c>
      <c r="BX1905">
        <v>360</v>
      </c>
      <c r="BY1905">
        <v>360</v>
      </c>
      <c r="BZ1905">
        <v>20.78</v>
      </c>
      <c r="CA1905">
        <f>BZ1905*SQRT(AL1905)</f>
        <v>35.992015781281268</v>
      </c>
      <c r="CB1905">
        <v>36</v>
      </c>
      <c r="CC1905">
        <v>3</v>
      </c>
      <c r="CD1905">
        <v>-0.36099999999999999</v>
      </c>
      <c r="CE1905">
        <v>5.7999999999999996E-3</v>
      </c>
    </row>
    <row r="1906" spans="4:83" hidden="1" x14ac:dyDescent="0.2">
      <c r="D1906">
        <v>203</v>
      </c>
      <c r="G1906" t="s">
        <v>43</v>
      </c>
      <c r="H1906" t="s">
        <v>953</v>
      </c>
      <c r="J1906">
        <v>2021</v>
      </c>
      <c r="M1906" t="s">
        <v>213</v>
      </c>
      <c r="T1906" t="s">
        <v>103</v>
      </c>
      <c r="U1906" t="s">
        <v>954</v>
      </c>
      <c r="V1906" t="s">
        <v>955</v>
      </c>
      <c r="Z1906" t="s">
        <v>509</v>
      </c>
      <c r="AA1906" t="s">
        <v>49</v>
      </c>
      <c r="AB1906" t="s">
        <v>71</v>
      </c>
      <c r="AC1906" t="s">
        <v>51</v>
      </c>
      <c r="AD1906" t="s">
        <v>54</v>
      </c>
      <c r="AE1906" t="s">
        <v>53</v>
      </c>
      <c r="AF1906" t="s">
        <v>52</v>
      </c>
      <c r="AG1906" t="s">
        <v>52</v>
      </c>
      <c r="AH1906" t="s">
        <v>64</v>
      </c>
      <c r="AK1906">
        <v>3</v>
      </c>
      <c r="AL1906">
        <v>3</v>
      </c>
      <c r="AN1906">
        <v>535</v>
      </c>
      <c r="AO1906">
        <v>42</v>
      </c>
      <c r="AP1906" t="s">
        <v>56</v>
      </c>
      <c r="AQ1906" t="s">
        <v>109</v>
      </c>
      <c r="AR1906">
        <v>7.96</v>
      </c>
      <c r="AS1906">
        <v>0.02</v>
      </c>
      <c r="AT1906" t="s">
        <v>56</v>
      </c>
      <c r="AU1906">
        <v>1003</v>
      </c>
      <c r="AV1906">
        <v>78</v>
      </c>
      <c r="AW1906" t="s">
        <v>56</v>
      </c>
      <c r="AX1906">
        <v>7.73</v>
      </c>
      <c r="AY1906">
        <v>0.03</v>
      </c>
      <c r="AZ1906" t="s">
        <v>56</v>
      </c>
      <c r="BB1906">
        <f>LOG(AU1906)</f>
        <v>3.0013009330204183</v>
      </c>
      <c r="BC1906">
        <v>18</v>
      </c>
      <c r="BD1906">
        <v>0</v>
      </c>
      <c r="BE1906" t="s">
        <v>56</v>
      </c>
      <c r="BF1906">
        <v>30.1</v>
      </c>
      <c r="BG1906">
        <v>0</v>
      </c>
      <c r="BH1906" t="s">
        <v>56</v>
      </c>
      <c r="BI1906">
        <v>468</v>
      </c>
      <c r="BJ1906">
        <v>12.1</v>
      </c>
      <c r="BK1906" t="s">
        <v>56</v>
      </c>
      <c r="BL1906" t="s">
        <v>956</v>
      </c>
      <c r="BM1906" t="s">
        <v>262</v>
      </c>
      <c r="BN1906" t="s">
        <v>81</v>
      </c>
      <c r="BO1906" t="s">
        <v>82</v>
      </c>
      <c r="BP1906" t="s">
        <v>92</v>
      </c>
      <c r="BQ1906" s="8" t="s">
        <v>190</v>
      </c>
      <c r="BR1906" t="s">
        <v>84</v>
      </c>
      <c r="BT1906">
        <v>516.27</v>
      </c>
      <c r="BU1906">
        <v>516.27</v>
      </c>
      <c r="BV1906">
        <v>25.78</v>
      </c>
      <c r="BW1906">
        <f>BV1906*SQRT(AK1906)</f>
        <v>44.652269819125657</v>
      </c>
      <c r="BX1906">
        <v>362</v>
      </c>
      <c r="BY1906">
        <v>362</v>
      </c>
      <c r="BZ1906">
        <v>25.4</v>
      </c>
      <c r="CA1906">
        <f>BZ1906*SQRT(AL1906)</f>
        <v>43.994090512249478</v>
      </c>
      <c r="CB1906">
        <v>36</v>
      </c>
      <c r="CC1906">
        <v>3</v>
      </c>
      <c r="CD1906">
        <v>-0.35499999999999998</v>
      </c>
      <c r="CE1906">
        <v>7.4000000000000003E-3</v>
      </c>
    </row>
    <row r="1907" spans="4:83" hidden="1" x14ac:dyDescent="0.2">
      <c r="D1907">
        <v>203</v>
      </c>
      <c r="G1907" t="s">
        <v>43</v>
      </c>
      <c r="H1907" t="s">
        <v>953</v>
      </c>
      <c r="J1907">
        <v>2021</v>
      </c>
      <c r="M1907" t="s">
        <v>213</v>
      </c>
      <c r="T1907" t="s">
        <v>103</v>
      </c>
      <c r="U1907" t="s">
        <v>954</v>
      </c>
      <c r="V1907" t="s">
        <v>955</v>
      </c>
      <c r="Z1907" t="s">
        <v>509</v>
      </c>
      <c r="AA1907" t="s">
        <v>49</v>
      </c>
      <c r="AB1907" t="s">
        <v>71</v>
      </c>
      <c r="AC1907" t="s">
        <v>51</v>
      </c>
      <c r="AD1907" t="s">
        <v>54</v>
      </c>
      <c r="AE1907" t="s">
        <v>53</v>
      </c>
      <c r="AF1907" t="s">
        <v>52</v>
      </c>
      <c r="AG1907" t="s">
        <v>52</v>
      </c>
      <c r="AH1907" t="s">
        <v>64</v>
      </c>
      <c r="AK1907">
        <v>3</v>
      </c>
      <c r="AL1907">
        <v>3</v>
      </c>
      <c r="AN1907">
        <v>535</v>
      </c>
      <c r="AO1907">
        <v>42</v>
      </c>
      <c r="AP1907" t="s">
        <v>56</v>
      </c>
      <c r="AQ1907" t="s">
        <v>109</v>
      </c>
      <c r="AR1907">
        <v>7.96</v>
      </c>
      <c r="AS1907">
        <v>0.02</v>
      </c>
      <c r="AT1907" t="s">
        <v>56</v>
      </c>
      <c r="AU1907">
        <v>1021</v>
      </c>
      <c r="AV1907">
        <v>42</v>
      </c>
      <c r="AW1907" t="s">
        <v>56</v>
      </c>
      <c r="AX1907">
        <v>7.71</v>
      </c>
      <c r="AY1907">
        <v>0.01</v>
      </c>
      <c r="AZ1907" t="s">
        <v>56</v>
      </c>
      <c r="BB1907">
        <f>LOG(AU1907)</f>
        <v>3.0090257420869104</v>
      </c>
      <c r="BC1907">
        <v>18</v>
      </c>
      <c r="BD1907">
        <v>0</v>
      </c>
      <c r="BE1907" t="s">
        <v>56</v>
      </c>
      <c r="BF1907">
        <v>24.2</v>
      </c>
      <c r="BG1907">
        <v>0</v>
      </c>
      <c r="BH1907" t="s">
        <v>56</v>
      </c>
      <c r="BI1907">
        <v>486</v>
      </c>
      <c r="BJ1907">
        <v>6.2</v>
      </c>
      <c r="BK1907" t="s">
        <v>56</v>
      </c>
      <c r="BL1907" t="s">
        <v>88</v>
      </c>
      <c r="BM1907" t="s">
        <v>83</v>
      </c>
      <c r="BN1907" t="s">
        <v>81</v>
      </c>
      <c r="BO1907" t="s">
        <v>82</v>
      </c>
      <c r="BP1907" t="s">
        <v>83</v>
      </c>
      <c r="BQ1907" s="8" t="s">
        <v>190</v>
      </c>
      <c r="BR1907" t="s">
        <v>84</v>
      </c>
      <c r="BT1907">
        <v>4.43</v>
      </c>
      <c r="BU1907">
        <v>95.57</v>
      </c>
      <c r="BV1907">
        <v>0.85</v>
      </c>
      <c r="BW1907">
        <f>BV1907*SQRT(AK1907)</f>
        <v>1.4722431864335457</v>
      </c>
      <c r="BX1907">
        <v>30.29</v>
      </c>
      <c r="BY1907">
        <v>69.709999999999994</v>
      </c>
      <c r="BZ1907">
        <v>6.4</v>
      </c>
      <c r="CA1907">
        <f>BZ1907*SQRT(AL1907)</f>
        <v>11.085125168440815</v>
      </c>
      <c r="CB1907">
        <v>36</v>
      </c>
      <c r="CC1907">
        <v>3</v>
      </c>
      <c r="CD1907">
        <v>-0.316</v>
      </c>
      <c r="CE1907">
        <v>8.5000000000000006E-3</v>
      </c>
    </row>
    <row r="1908" spans="4:83" hidden="1" x14ac:dyDescent="0.2">
      <c r="D1908">
        <v>203</v>
      </c>
      <c r="G1908" t="s">
        <v>43</v>
      </c>
      <c r="H1908" t="s">
        <v>953</v>
      </c>
      <c r="J1908">
        <v>2021</v>
      </c>
      <c r="M1908" t="s">
        <v>213</v>
      </c>
      <c r="T1908" t="s">
        <v>103</v>
      </c>
      <c r="U1908" t="s">
        <v>954</v>
      </c>
      <c r="V1908" t="s">
        <v>955</v>
      </c>
      <c r="Z1908" t="s">
        <v>509</v>
      </c>
      <c r="AA1908" t="s">
        <v>49</v>
      </c>
      <c r="AB1908" t="s">
        <v>71</v>
      </c>
      <c r="AC1908" t="s">
        <v>51</v>
      </c>
      <c r="AD1908" t="s">
        <v>54</v>
      </c>
      <c r="AE1908" t="s">
        <v>53</v>
      </c>
      <c r="AF1908" t="s">
        <v>52</v>
      </c>
      <c r="AG1908" t="s">
        <v>52</v>
      </c>
      <c r="AH1908" t="s">
        <v>64</v>
      </c>
      <c r="AK1908">
        <v>3</v>
      </c>
      <c r="AL1908">
        <v>3</v>
      </c>
      <c r="AN1908">
        <v>535</v>
      </c>
      <c r="AO1908">
        <v>42</v>
      </c>
      <c r="AP1908" t="s">
        <v>56</v>
      </c>
      <c r="AQ1908" t="s">
        <v>109</v>
      </c>
      <c r="AR1908">
        <v>7.96</v>
      </c>
      <c r="AS1908">
        <v>0.02</v>
      </c>
      <c r="AT1908" t="s">
        <v>56</v>
      </c>
      <c r="AU1908">
        <v>1003</v>
      </c>
      <c r="AV1908">
        <v>78</v>
      </c>
      <c r="AW1908" t="s">
        <v>56</v>
      </c>
      <c r="AX1908">
        <v>7.73</v>
      </c>
      <c r="AY1908">
        <v>0.03</v>
      </c>
      <c r="AZ1908" t="s">
        <v>56</v>
      </c>
      <c r="BB1908">
        <f>LOG(AU1908)</f>
        <v>3.0013009330204183</v>
      </c>
      <c r="BC1908">
        <v>18</v>
      </c>
      <c r="BD1908">
        <v>0</v>
      </c>
      <c r="BE1908" t="s">
        <v>56</v>
      </c>
      <c r="BF1908">
        <v>30.1</v>
      </c>
      <c r="BG1908">
        <v>0</v>
      </c>
      <c r="BH1908" t="s">
        <v>56</v>
      </c>
      <c r="BI1908">
        <v>468</v>
      </c>
      <c r="BJ1908">
        <v>12.1</v>
      </c>
      <c r="BK1908" t="s">
        <v>56</v>
      </c>
      <c r="BL1908" t="s">
        <v>88</v>
      </c>
      <c r="BM1908" t="s">
        <v>83</v>
      </c>
      <c r="BN1908" t="s">
        <v>81</v>
      </c>
      <c r="BO1908" t="s">
        <v>82</v>
      </c>
      <c r="BP1908" t="s">
        <v>83</v>
      </c>
      <c r="BQ1908" s="8" t="s">
        <v>190</v>
      </c>
      <c r="BR1908" t="s">
        <v>84</v>
      </c>
      <c r="BT1908">
        <v>4.43</v>
      </c>
      <c r="BU1908">
        <v>95.57</v>
      </c>
      <c r="BV1908">
        <v>0.85</v>
      </c>
      <c r="BW1908">
        <f>BV1908*SQRT(AK1908)</f>
        <v>1.4722431864335457</v>
      </c>
      <c r="BX1908">
        <v>29.31</v>
      </c>
      <c r="BY1908">
        <v>70.69</v>
      </c>
      <c r="BZ1908">
        <v>2.7</v>
      </c>
      <c r="CA1908">
        <f>BZ1908*SQRT(AL1908)</f>
        <v>4.676537180435969</v>
      </c>
      <c r="CB1908">
        <v>36</v>
      </c>
      <c r="CC1908">
        <v>3</v>
      </c>
      <c r="CD1908">
        <v>-0.30199999999999999</v>
      </c>
      <c r="CE1908">
        <v>1.5E-3</v>
      </c>
    </row>
    <row r="1909" spans="4:83" hidden="1" x14ac:dyDescent="0.2">
      <c r="D1909">
        <v>203</v>
      </c>
      <c r="G1909" t="s">
        <v>43</v>
      </c>
      <c r="H1909" t="s">
        <v>953</v>
      </c>
      <c r="J1909">
        <v>2021</v>
      </c>
      <c r="M1909" t="s">
        <v>213</v>
      </c>
      <c r="T1909" t="s">
        <v>103</v>
      </c>
      <c r="U1909" t="s">
        <v>954</v>
      </c>
      <c r="V1909" t="s">
        <v>955</v>
      </c>
      <c r="Z1909" t="s">
        <v>509</v>
      </c>
      <c r="AA1909" t="s">
        <v>49</v>
      </c>
      <c r="AB1909" t="s">
        <v>71</v>
      </c>
      <c r="AC1909" t="s">
        <v>51</v>
      </c>
      <c r="AD1909" t="s">
        <v>54</v>
      </c>
      <c r="AE1909" t="s">
        <v>53</v>
      </c>
      <c r="AF1909" t="s">
        <v>54</v>
      </c>
      <c r="AG1909" t="s">
        <v>52</v>
      </c>
      <c r="AH1909" t="s">
        <v>65</v>
      </c>
      <c r="AK1909">
        <v>3</v>
      </c>
      <c r="AL1909">
        <v>3</v>
      </c>
      <c r="AN1909">
        <v>535</v>
      </c>
      <c r="AO1909">
        <v>42</v>
      </c>
      <c r="AP1909" t="s">
        <v>56</v>
      </c>
      <c r="AQ1909" t="s">
        <v>109</v>
      </c>
      <c r="AR1909">
        <v>7.96</v>
      </c>
      <c r="AS1909">
        <v>0.02</v>
      </c>
      <c r="AT1909" t="s">
        <v>56</v>
      </c>
      <c r="AU1909">
        <v>499</v>
      </c>
      <c r="AV1909">
        <v>15</v>
      </c>
      <c r="AW1909" t="s">
        <v>56</v>
      </c>
      <c r="AX1909">
        <v>8.01</v>
      </c>
      <c r="AY1909">
        <v>0.02</v>
      </c>
      <c r="AZ1909" t="s">
        <v>56</v>
      </c>
      <c r="BB1909">
        <f>LOG(AU1909)</f>
        <v>2.6981005456233897</v>
      </c>
      <c r="BC1909">
        <v>18</v>
      </c>
      <c r="BD1909">
        <v>0</v>
      </c>
      <c r="BE1909" t="s">
        <v>56</v>
      </c>
      <c r="BF1909">
        <v>30.1</v>
      </c>
      <c r="BG1909">
        <v>0</v>
      </c>
      <c r="BH1909" t="s">
        <v>56</v>
      </c>
      <c r="BI1909">
        <v>-36</v>
      </c>
      <c r="BJ1909">
        <v>12.1</v>
      </c>
      <c r="BK1909" t="s">
        <v>56</v>
      </c>
      <c r="BL1909" t="s">
        <v>88</v>
      </c>
      <c r="BM1909" t="s">
        <v>83</v>
      </c>
      <c r="BN1909" t="s">
        <v>81</v>
      </c>
      <c r="BO1909" t="s">
        <v>82</v>
      </c>
      <c r="BP1909" t="s">
        <v>83</v>
      </c>
      <c r="BQ1909" s="8" t="s">
        <v>190</v>
      </c>
      <c r="BR1909" t="s">
        <v>84</v>
      </c>
      <c r="BT1909">
        <v>4.43</v>
      </c>
      <c r="BU1909">
        <v>95.57</v>
      </c>
      <c r="BV1909">
        <v>0.85</v>
      </c>
      <c r="BW1909">
        <f>BV1909*SQRT(AK1909)</f>
        <v>1.4722431864335457</v>
      </c>
      <c r="BX1909">
        <v>24.38</v>
      </c>
      <c r="BY1909">
        <v>75.62</v>
      </c>
      <c r="BZ1909">
        <v>2.13</v>
      </c>
      <c r="CA1909">
        <f>BZ1909*SQRT(AL1909)</f>
        <v>3.6892682201217082</v>
      </c>
      <c r="CB1909">
        <v>36</v>
      </c>
      <c r="CC1909">
        <v>3</v>
      </c>
      <c r="CD1909">
        <v>-0.23400000000000001</v>
      </c>
      <c r="CE1909">
        <v>8.9999999999999998E-4</v>
      </c>
    </row>
    <row r="1910" spans="4:83" hidden="1" x14ac:dyDescent="0.2">
      <c r="D1910">
        <v>203</v>
      </c>
      <c r="G1910" t="s">
        <v>43</v>
      </c>
      <c r="H1910" t="s">
        <v>953</v>
      </c>
      <c r="J1910">
        <v>2021</v>
      </c>
      <c r="M1910" t="s">
        <v>213</v>
      </c>
      <c r="T1910" t="s">
        <v>103</v>
      </c>
      <c r="U1910" t="s">
        <v>954</v>
      </c>
      <c r="V1910" t="s">
        <v>955</v>
      </c>
      <c r="Z1910" t="s">
        <v>509</v>
      </c>
      <c r="AA1910" t="s">
        <v>49</v>
      </c>
      <c r="AB1910" t="s">
        <v>71</v>
      </c>
      <c r="AC1910" t="s">
        <v>51</v>
      </c>
      <c r="AD1910" t="s">
        <v>54</v>
      </c>
      <c r="AE1910" t="s">
        <v>53</v>
      </c>
      <c r="AF1910" t="s">
        <v>54</v>
      </c>
      <c r="AG1910" t="s">
        <v>52</v>
      </c>
      <c r="AH1910" t="s">
        <v>65</v>
      </c>
      <c r="AK1910">
        <v>3</v>
      </c>
      <c r="AL1910">
        <v>3</v>
      </c>
      <c r="AN1910">
        <v>535</v>
      </c>
      <c r="AO1910">
        <v>42</v>
      </c>
      <c r="AP1910" t="s">
        <v>56</v>
      </c>
      <c r="AQ1910" t="s">
        <v>109</v>
      </c>
      <c r="AR1910">
        <v>7.96</v>
      </c>
      <c r="AS1910">
        <v>0.02</v>
      </c>
      <c r="AT1910" t="s">
        <v>56</v>
      </c>
      <c r="AU1910">
        <v>495</v>
      </c>
      <c r="AV1910">
        <v>22</v>
      </c>
      <c r="AW1910" t="s">
        <v>56</v>
      </c>
      <c r="AX1910">
        <v>7.99</v>
      </c>
      <c r="AY1910">
        <v>0.02</v>
      </c>
      <c r="AZ1910" t="s">
        <v>56</v>
      </c>
      <c r="BB1910">
        <f>LOG(AU1910)</f>
        <v>2.6946051989335689</v>
      </c>
      <c r="BC1910">
        <v>18</v>
      </c>
      <c r="BD1910">
        <v>0</v>
      </c>
      <c r="BE1910" t="s">
        <v>56</v>
      </c>
      <c r="BF1910">
        <v>24.2</v>
      </c>
      <c r="BG1910">
        <v>0</v>
      </c>
      <c r="BH1910" t="s">
        <v>56</v>
      </c>
      <c r="BI1910">
        <v>-40</v>
      </c>
      <c r="BJ1910">
        <v>6.2</v>
      </c>
      <c r="BK1910" t="s">
        <v>56</v>
      </c>
      <c r="BL1910" t="s">
        <v>88</v>
      </c>
      <c r="BM1910" t="s">
        <v>83</v>
      </c>
      <c r="BN1910" t="s">
        <v>81</v>
      </c>
      <c r="BO1910" t="s">
        <v>82</v>
      </c>
      <c r="BP1910" t="s">
        <v>83</v>
      </c>
      <c r="BQ1910" s="8" t="s">
        <v>190</v>
      </c>
      <c r="BR1910" t="s">
        <v>84</v>
      </c>
      <c r="BT1910">
        <v>4.43</v>
      </c>
      <c r="BU1910">
        <v>95.57</v>
      </c>
      <c r="BV1910">
        <v>0.85</v>
      </c>
      <c r="BW1910">
        <f>BV1910*SQRT(AK1910)</f>
        <v>1.4722431864335457</v>
      </c>
      <c r="BX1910">
        <v>18.22</v>
      </c>
      <c r="BY1910">
        <v>81.78</v>
      </c>
      <c r="BZ1910">
        <v>0.56999999999999995</v>
      </c>
      <c r="CA1910">
        <f>BZ1910*SQRT(AL1910)</f>
        <v>0.98726896031425992</v>
      </c>
      <c r="CB1910">
        <v>36</v>
      </c>
      <c r="CC1910">
        <v>3</v>
      </c>
      <c r="CD1910">
        <v>-0.156</v>
      </c>
      <c r="CE1910">
        <v>1E-4</v>
      </c>
    </row>
    <row r="1911" spans="4:83" hidden="1" x14ac:dyDescent="0.2">
      <c r="D1911">
        <v>203</v>
      </c>
      <c r="G1911" t="s">
        <v>43</v>
      </c>
      <c r="H1911" t="s">
        <v>953</v>
      </c>
      <c r="J1911">
        <v>2021</v>
      </c>
      <c r="M1911" t="s">
        <v>213</v>
      </c>
      <c r="T1911" t="s">
        <v>103</v>
      </c>
      <c r="U1911" t="s">
        <v>954</v>
      </c>
      <c r="V1911" t="s">
        <v>955</v>
      </c>
      <c r="Z1911" t="s">
        <v>509</v>
      </c>
      <c r="AA1911" t="s">
        <v>49</v>
      </c>
      <c r="AB1911" t="s">
        <v>71</v>
      </c>
      <c r="AC1911" t="s">
        <v>51</v>
      </c>
      <c r="AD1911" t="s">
        <v>54</v>
      </c>
      <c r="AE1911" t="s">
        <v>53</v>
      </c>
      <c r="AF1911" t="s">
        <v>52</v>
      </c>
      <c r="AG1911" t="s">
        <v>54</v>
      </c>
      <c r="AH1911" t="s">
        <v>55</v>
      </c>
      <c r="AK1911">
        <v>3</v>
      </c>
      <c r="AL1911">
        <v>3</v>
      </c>
      <c r="AN1911">
        <v>535</v>
      </c>
      <c r="AO1911">
        <v>42</v>
      </c>
      <c r="AP1911" t="s">
        <v>56</v>
      </c>
      <c r="AQ1911" t="s">
        <v>109</v>
      </c>
      <c r="AR1911">
        <v>7.96</v>
      </c>
      <c r="AS1911">
        <v>0.02</v>
      </c>
      <c r="AT1911" t="s">
        <v>56</v>
      </c>
      <c r="AU1911">
        <v>1084</v>
      </c>
      <c r="AV1911">
        <v>92</v>
      </c>
      <c r="AW1911" t="s">
        <v>56</v>
      </c>
      <c r="AX1911">
        <v>7.69</v>
      </c>
      <c r="AY1911">
        <v>0.02</v>
      </c>
      <c r="AZ1911" t="s">
        <v>56</v>
      </c>
      <c r="BB1911">
        <f>LOG(AU1911)</f>
        <v>3.0350292822023683</v>
      </c>
      <c r="BC1911">
        <v>18</v>
      </c>
      <c r="BD1911">
        <v>0</v>
      </c>
      <c r="BE1911" t="s">
        <v>56</v>
      </c>
      <c r="BF1911">
        <v>18</v>
      </c>
      <c r="BG1911">
        <v>0</v>
      </c>
      <c r="BH1911" t="s">
        <v>56</v>
      </c>
      <c r="BI1911">
        <v>549</v>
      </c>
      <c r="BJ1911">
        <v>0</v>
      </c>
      <c r="BK1911" t="s">
        <v>56</v>
      </c>
      <c r="BL1911" t="s">
        <v>956</v>
      </c>
      <c r="BM1911" t="s">
        <v>262</v>
      </c>
      <c r="BN1911" t="s">
        <v>81</v>
      </c>
      <c r="BO1911" t="s">
        <v>82</v>
      </c>
      <c r="BP1911" t="s">
        <v>92</v>
      </c>
      <c r="BQ1911" s="8" t="s">
        <v>190</v>
      </c>
      <c r="BR1911" t="s">
        <v>84</v>
      </c>
      <c r="BT1911">
        <v>516.27</v>
      </c>
      <c r="BU1911">
        <v>516.27</v>
      </c>
      <c r="BV1911">
        <v>25.78</v>
      </c>
      <c r="BW1911">
        <f>BV1911*SQRT(AK1911)</f>
        <v>44.652269819125657</v>
      </c>
      <c r="BX1911">
        <v>471.62</v>
      </c>
      <c r="BY1911">
        <v>471.62</v>
      </c>
      <c r="BZ1911">
        <v>12.89</v>
      </c>
      <c r="CA1911">
        <f>BZ1911*SQRT(AL1911)</f>
        <v>22.326134909562828</v>
      </c>
      <c r="CB1911">
        <v>36</v>
      </c>
      <c r="CC1911">
        <v>3</v>
      </c>
      <c r="CD1911">
        <v>-0.09</v>
      </c>
      <c r="CE1911">
        <v>3.2000000000000002E-3</v>
      </c>
    </row>
    <row r="1912" spans="4:83" hidden="1" x14ac:dyDescent="0.2">
      <c r="D1912">
        <v>203</v>
      </c>
      <c r="G1912" t="s">
        <v>43</v>
      </c>
      <c r="H1912" t="s">
        <v>953</v>
      </c>
      <c r="J1912">
        <v>2021</v>
      </c>
      <c r="M1912" t="s">
        <v>213</v>
      </c>
      <c r="T1912" t="s">
        <v>103</v>
      </c>
      <c r="U1912" t="s">
        <v>954</v>
      </c>
      <c r="V1912" t="s">
        <v>955</v>
      </c>
      <c r="Z1912" t="s">
        <v>509</v>
      </c>
      <c r="AA1912" t="s">
        <v>49</v>
      </c>
      <c r="AB1912" t="s">
        <v>71</v>
      </c>
      <c r="AC1912" t="s">
        <v>51</v>
      </c>
      <c r="AD1912" t="s">
        <v>54</v>
      </c>
      <c r="AE1912" t="s">
        <v>53</v>
      </c>
      <c r="AF1912" t="s">
        <v>52</v>
      </c>
      <c r="AG1912" t="s">
        <v>54</v>
      </c>
      <c r="AH1912" t="s">
        <v>55</v>
      </c>
      <c r="AK1912">
        <v>3</v>
      </c>
      <c r="AL1912">
        <v>3</v>
      </c>
      <c r="AN1912">
        <v>535</v>
      </c>
      <c r="AO1912">
        <v>42</v>
      </c>
      <c r="AP1912" t="s">
        <v>56</v>
      </c>
      <c r="AQ1912" t="s">
        <v>109</v>
      </c>
      <c r="AR1912">
        <v>7.96</v>
      </c>
      <c r="AS1912">
        <v>0.02</v>
      </c>
      <c r="AT1912" t="s">
        <v>56</v>
      </c>
      <c r="AU1912">
        <v>1084</v>
      </c>
      <c r="AV1912">
        <v>92</v>
      </c>
      <c r="AW1912" t="s">
        <v>56</v>
      </c>
      <c r="AX1912">
        <v>7.69</v>
      </c>
      <c r="AY1912">
        <v>0.02</v>
      </c>
      <c r="AZ1912" t="s">
        <v>56</v>
      </c>
      <c r="BB1912">
        <f>LOG(AU1912)</f>
        <v>3.0350292822023683</v>
      </c>
      <c r="BC1912">
        <v>18</v>
      </c>
      <c r="BD1912">
        <v>0</v>
      </c>
      <c r="BE1912" t="s">
        <v>56</v>
      </c>
      <c r="BF1912">
        <v>18</v>
      </c>
      <c r="BG1912">
        <v>0</v>
      </c>
      <c r="BH1912" t="s">
        <v>56</v>
      </c>
      <c r="BI1912">
        <v>549</v>
      </c>
      <c r="BJ1912">
        <v>0</v>
      </c>
      <c r="BK1912" t="s">
        <v>56</v>
      </c>
      <c r="BL1912" t="s">
        <v>88</v>
      </c>
      <c r="BM1912" t="s">
        <v>83</v>
      </c>
      <c r="BN1912" t="s">
        <v>81</v>
      </c>
      <c r="BO1912" t="s">
        <v>82</v>
      </c>
      <c r="BP1912" t="s">
        <v>83</v>
      </c>
      <c r="BQ1912" s="8" t="s">
        <v>190</v>
      </c>
      <c r="BR1912" t="s">
        <v>84</v>
      </c>
      <c r="BT1912">
        <v>4.43</v>
      </c>
      <c r="BU1912">
        <v>95.57</v>
      </c>
      <c r="BV1912">
        <v>0.85</v>
      </c>
      <c r="BW1912">
        <f>BV1912*SQRT(AK1912)</f>
        <v>1.4722431864335457</v>
      </c>
      <c r="BX1912">
        <v>4.43</v>
      </c>
      <c r="BY1912">
        <v>95.57</v>
      </c>
      <c r="BZ1912">
        <v>0.99</v>
      </c>
      <c r="CA1912">
        <f>BZ1912*SQRT(AL1912)</f>
        <v>1.7147302994931883</v>
      </c>
      <c r="CB1912">
        <v>36</v>
      </c>
      <c r="CC1912">
        <v>3</v>
      </c>
      <c r="CD1912">
        <v>0</v>
      </c>
      <c r="CE1912">
        <v>2.0000000000000001E-4</v>
      </c>
    </row>
    <row r="1913" spans="4:83" hidden="1" x14ac:dyDescent="0.2">
      <c r="D1913">
        <v>203</v>
      </c>
      <c r="G1913" t="s">
        <v>43</v>
      </c>
      <c r="H1913" t="s">
        <v>953</v>
      </c>
      <c r="J1913">
        <v>2021</v>
      </c>
      <c r="M1913" t="s">
        <v>213</v>
      </c>
      <c r="T1913" t="s">
        <v>103</v>
      </c>
      <c r="U1913" t="s">
        <v>954</v>
      </c>
      <c r="V1913" t="s">
        <v>955</v>
      </c>
      <c r="Z1913" t="s">
        <v>509</v>
      </c>
      <c r="AA1913" t="s">
        <v>49</v>
      </c>
      <c r="AB1913" t="s">
        <v>71</v>
      </c>
      <c r="AC1913" t="s">
        <v>51</v>
      </c>
      <c r="AD1913" t="s">
        <v>54</v>
      </c>
      <c r="AE1913" t="s">
        <v>53</v>
      </c>
      <c r="AF1913" t="s">
        <v>52</v>
      </c>
      <c r="AG1913" t="s">
        <v>54</v>
      </c>
      <c r="AH1913" t="s">
        <v>55</v>
      </c>
      <c r="AK1913">
        <v>3</v>
      </c>
      <c r="AL1913">
        <v>3</v>
      </c>
      <c r="AN1913">
        <v>495</v>
      </c>
      <c r="AO1913">
        <v>22</v>
      </c>
      <c r="AP1913" t="s">
        <v>56</v>
      </c>
      <c r="AQ1913" t="s">
        <v>109</v>
      </c>
      <c r="AR1913">
        <v>7.99</v>
      </c>
      <c r="AS1913">
        <v>0.02</v>
      </c>
      <c r="AT1913" t="s">
        <v>56</v>
      </c>
      <c r="AU1913">
        <v>1021</v>
      </c>
      <c r="AV1913">
        <v>42</v>
      </c>
      <c r="AW1913" t="s">
        <v>56</v>
      </c>
      <c r="AX1913">
        <v>7.71</v>
      </c>
      <c r="AY1913">
        <v>0.01</v>
      </c>
      <c r="AZ1913" t="s">
        <v>56</v>
      </c>
      <c r="BB1913">
        <f>LOG(AU1913)</f>
        <v>3.0090257420869104</v>
      </c>
      <c r="BC1913">
        <v>24.2</v>
      </c>
      <c r="BD1913">
        <v>0</v>
      </c>
      <c r="BE1913" t="s">
        <v>56</v>
      </c>
      <c r="BF1913">
        <v>24.2</v>
      </c>
      <c r="BG1913">
        <v>0</v>
      </c>
      <c r="BH1913" t="s">
        <v>56</v>
      </c>
      <c r="BI1913">
        <v>526</v>
      </c>
      <c r="BJ1913">
        <v>0</v>
      </c>
      <c r="BK1913" t="s">
        <v>56</v>
      </c>
      <c r="BL1913" t="s">
        <v>957</v>
      </c>
      <c r="BM1913" t="s">
        <v>957</v>
      </c>
      <c r="BN1913" t="s">
        <v>60</v>
      </c>
      <c r="BO1913" t="s">
        <v>958</v>
      </c>
      <c r="BP1913" t="s">
        <v>234</v>
      </c>
      <c r="BQ1913" s="8" t="s">
        <v>190</v>
      </c>
      <c r="BR1913" t="s">
        <v>63</v>
      </c>
      <c r="BT1913">
        <v>149</v>
      </c>
      <c r="BU1913">
        <v>149</v>
      </c>
      <c r="BV1913">
        <v>91.22</v>
      </c>
      <c r="BW1913">
        <f>BV1913*SQRT(AK1913)</f>
        <v>157.99767466643297</v>
      </c>
      <c r="BX1913">
        <v>195</v>
      </c>
      <c r="BY1913">
        <v>195</v>
      </c>
      <c r="BZ1913">
        <v>96.42</v>
      </c>
      <c r="CA1913">
        <f>BZ1913*SQRT(AL1913)</f>
        <v>167.00433886579114</v>
      </c>
      <c r="CB1913">
        <v>36</v>
      </c>
      <c r="CC1913">
        <v>3</v>
      </c>
      <c r="CD1913">
        <v>0.26900000000000002</v>
      </c>
      <c r="CE1913">
        <v>0.61929999999999996</v>
      </c>
    </row>
    <row r="1914" spans="4:83" hidden="1" x14ac:dyDescent="0.2">
      <c r="D1914">
        <v>203</v>
      </c>
      <c r="G1914" t="s">
        <v>43</v>
      </c>
      <c r="H1914" t="s">
        <v>953</v>
      </c>
      <c r="J1914">
        <v>2021</v>
      </c>
      <c r="M1914" t="s">
        <v>213</v>
      </c>
      <c r="T1914" t="s">
        <v>103</v>
      </c>
      <c r="U1914" t="s">
        <v>954</v>
      </c>
      <c r="V1914" t="s">
        <v>955</v>
      </c>
      <c r="Z1914" t="s">
        <v>509</v>
      </c>
      <c r="AA1914" t="s">
        <v>49</v>
      </c>
      <c r="AB1914" t="s">
        <v>71</v>
      </c>
      <c r="AC1914" t="s">
        <v>51</v>
      </c>
      <c r="AD1914" t="s">
        <v>54</v>
      </c>
      <c r="AE1914" t="s">
        <v>53</v>
      </c>
      <c r="AF1914" t="s">
        <v>54</v>
      </c>
      <c r="AG1914" t="s">
        <v>52</v>
      </c>
      <c r="AH1914" t="s">
        <v>65</v>
      </c>
      <c r="AK1914">
        <v>3</v>
      </c>
      <c r="AL1914">
        <v>3</v>
      </c>
      <c r="AN1914">
        <v>495</v>
      </c>
      <c r="AO1914">
        <v>22</v>
      </c>
      <c r="AP1914" t="s">
        <v>56</v>
      </c>
      <c r="AQ1914" t="s">
        <v>109</v>
      </c>
      <c r="AR1914">
        <v>7.99</v>
      </c>
      <c r="AS1914">
        <v>0.02</v>
      </c>
      <c r="AT1914" t="s">
        <v>56</v>
      </c>
      <c r="AU1914">
        <v>499</v>
      </c>
      <c r="AV1914">
        <v>15</v>
      </c>
      <c r="AW1914" t="s">
        <v>56</v>
      </c>
      <c r="AX1914">
        <v>8.01</v>
      </c>
      <c r="AY1914">
        <v>0.02</v>
      </c>
      <c r="AZ1914" t="s">
        <v>56</v>
      </c>
      <c r="BB1914">
        <f>LOG(AU1914)</f>
        <v>2.6981005456233897</v>
      </c>
      <c r="BC1914">
        <v>24.2</v>
      </c>
      <c r="BD1914">
        <v>0</v>
      </c>
      <c r="BE1914" t="s">
        <v>56</v>
      </c>
      <c r="BF1914">
        <v>30.1</v>
      </c>
      <c r="BG1914">
        <v>0</v>
      </c>
      <c r="BH1914" t="s">
        <v>56</v>
      </c>
      <c r="BI1914">
        <v>4</v>
      </c>
      <c r="BJ1914">
        <v>5.9</v>
      </c>
      <c r="BK1914" t="s">
        <v>56</v>
      </c>
      <c r="BL1914" t="s">
        <v>957</v>
      </c>
      <c r="BM1914" t="s">
        <v>957</v>
      </c>
      <c r="BN1914" t="s">
        <v>60</v>
      </c>
      <c r="BO1914" t="s">
        <v>958</v>
      </c>
      <c r="BP1914" t="s">
        <v>234</v>
      </c>
      <c r="BQ1914" s="8" t="s">
        <v>190</v>
      </c>
      <c r="BR1914" t="s">
        <v>63</v>
      </c>
      <c r="BT1914">
        <v>149</v>
      </c>
      <c r="BU1914">
        <v>149</v>
      </c>
      <c r="BV1914">
        <v>91.22</v>
      </c>
      <c r="BW1914">
        <f>BV1914*SQRT(AK1914)</f>
        <v>157.99767466643297</v>
      </c>
      <c r="BX1914">
        <v>226</v>
      </c>
      <c r="BY1914">
        <v>226</v>
      </c>
      <c r="BZ1914">
        <v>107.96</v>
      </c>
      <c r="CA1914">
        <f>BZ1914*SQRT(AL1914)</f>
        <v>186.99220518513596</v>
      </c>
      <c r="CB1914">
        <v>36</v>
      </c>
      <c r="CC1914">
        <v>3</v>
      </c>
      <c r="CD1914">
        <v>0.41699999999999998</v>
      </c>
      <c r="CE1914">
        <v>0.60299999999999998</v>
      </c>
    </row>
    <row r="1915" spans="4:83" hidden="1" x14ac:dyDescent="0.2">
      <c r="D1915">
        <v>203</v>
      </c>
      <c r="G1915" t="s">
        <v>43</v>
      </c>
      <c r="H1915" t="s">
        <v>953</v>
      </c>
      <c r="J1915">
        <v>2021</v>
      </c>
      <c r="M1915" t="s">
        <v>213</v>
      </c>
      <c r="T1915" t="s">
        <v>103</v>
      </c>
      <c r="U1915" t="s">
        <v>954</v>
      </c>
      <c r="V1915" t="s">
        <v>955</v>
      </c>
      <c r="Z1915" t="s">
        <v>509</v>
      </c>
      <c r="AA1915" t="s">
        <v>49</v>
      </c>
      <c r="AB1915" t="s">
        <v>71</v>
      </c>
      <c r="AC1915" t="s">
        <v>51</v>
      </c>
      <c r="AD1915" t="s">
        <v>54</v>
      </c>
      <c r="AE1915" t="s">
        <v>53</v>
      </c>
      <c r="AF1915" t="s">
        <v>52</v>
      </c>
      <c r="AG1915" t="s">
        <v>52</v>
      </c>
      <c r="AH1915" t="s">
        <v>64</v>
      </c>
      <c r="AK1915">
        <v>3</v>
      </c>
      <c r="AL1915">
        <v>3</v>
      </c>
      <c r="AN1915">
        <v>495</v>
      </c>
      <c r="AO1915">
        <v>22</v>
      </c>
      <c r="AP1915" t="s">
        <v>56</v>
      </c>
      <c r="AQ1915" t="s">
        <v>109</v>
      </c>
      <c r="AR1915">
        <v>7.99</v>
      </c>
      <c r="AS1915">
        <v>0.02</v>
      </c>
      <c r="AT1915" t="s">
        <v>56</v>
      </c>
      <c r="AU1915">
        <v>1003</v>
      </c>
      <c r="AV1915">
        <v>78</v>
      </c>
      <c r="AW1915" t="s">
        <v>56</v>
      </c>
      <c r="AX1915">
        <v>7.73</v>
      </c>
      <c r="AY1915">
        <v>0.03</v>
      </c>
      <c r="AZ1915" t="s">
        <v>56</v>
      </c>
      <c r="BB1915">
        <f>LOG(AU1915)</f>
        <v>3.0013009330204183</v>
      </c>
      <c r="BC1915">
        <v>24.2</v>
      </c>
      <c r="BD1915">
        <v>0</v>
      </c>
      <c r="BE1915" t="s">
        <v>56</v>
      </c>
      <c r="BF1915">
        <v>30.1</v>
      </c>
      <c r="BG1915">
        <v>0</v>
      </c>
      <c r="BH1915" t="s">
        <v>56</v>
      </c>
      <c r="BI1915">
        <v>508</v>
      </c>
      <c r="BJ1915">
        <v>5.9</v>
      </c>
      <c r="BK1915" t="s">
        <v>56</v>
      </c>
      <c r="BL1915" t="s">
        <v>957</v>
      </c>
      <c r="BM1915" t="s">
        <v>957</v>
      </c>
      <c r="BN1915" t="s">
        <v>60</v>
      </c>
      <c r="BO1915" t="s">
        <v>958</v>
      </c>
      <c r="BP1915" t="s">
        <v>234</v>
      </c>
      <c r="BQ1915" s="8" t="s">
        <v>190</v>
      </c>
      <c r="BR1915" t="s">
        <v>63</v>
      </c>
      <c r="BT1915">
        <v>149</v>
      </c>
      <c r="BU1915">
        <v>149</v>
      </c>
      <c r="BV1915">
        <v>91.22</v>
      </c>
      <c r="BW1915">
        <f>BV1915*SQRT(AK1915)</f>
        <v>157.99767466643297</v>
      </c>
      <c r="BX1915">
        <v>303</v>
      </c>
      <c r="BY1915">
        <v>303</v>
      </c>
      <c r="BZ1915">
        <v>132.79</v>
      </c>
      <c r="CA1915">
        <f>BZ1915*SQRT(AL1915)</f>
        <v>229.99902673707118</v>
      </c>
      <c r="CB1915">
        <v>36</v>
      </c>
      <c r="CC1915">
        <v>3</v>
      </c>
      <c r="CD1915">
        <v>0.71</v>
      </c>
      <c r="CE1915">
        <v>0.56689999999999996</v>
      </c>
    </row>
    <row r="1916" spans="4:83" hidden="1" x14ac:dyDescent="0.2">
      <c r="D1916">
        <v>204</v>
      </c>
      <c r="G1916" t="s">
        <v>43</v>
      </c>
      <c r="H1916" t="s">
        <v>959</v>
      </c>
      <c r="J1916">
        <v>2021</v>
      </c>
      <c r="M1916" t="s">
        <v>257</v>
      </c>
      <c r="T1916" t="s">
        <v>68</v>
      </c>
      <c r="U1916" t="s">
        <v>167</v>
      </c>
      <c r="V1916" t="s">
        <v>960</v>
      </c>
      <c r="Z1916" t="s">
        <v>49</v>
      </c>
      <c r="AA1916" t="s">
        <v>49</v>
      </c>
      <c r="AB1916" t="s">
        <v>50</v>
      </c>
      <c r="AC1916" t="s">
        <v>51</v>
      </c>
      <c r="AD1916" t="s">
        <v>52</v>
      </c>
      <c r="AE1916" t="s">
        <v>53</v>
      </c>
      <c r="AF1916" t="s">
        <v>52</v>
      </c>
      <c r="AG1916" t="s">
        <v>54</v>
      </c>
      <c r="AH1916" t="s">
        <v>55</v>
      </c>
      <c r="AK1916">
        <v>8</v>
      </c>
      <c r="AL1916">
        <v>8</v>
      </c>
      <c r="AN1916">
        <v>587</v>
      </c>
      <c r="AO1916" t="s">
        <v>56</v>
      </c>
      <c r="AP1916">
        <v>116</v>
      </c>
      <c r="AQ1916" t="s">
        <v>118</v>
      </c>
      <c r="AR1916">
        <v>7.94</v>
      </c>
      <c r="AS1916" t="s">
        <v>56</v>
      </c>
      <c r="AT1916">
        <v>0.08</v>
      </c>
      <c r="AU1916">
        <v>1127</v>
      </c>
      <c r="AV1916" t="s">
        <v>56</v>
      </c>
      <c r="AW1916">
        <v>189</v>
      </c>
      <c r="AX1916">
        <v>7.68</v>
      </c>
      <c r="AY1916" t="s">
        <v>56</v>
      </c>
      <c r="AZ1916">
        <v>0.05</v>
      </c>
      <c r="BB1916">
        <f>LOG(AU1916)</f>
        <v>3.0519239160461065</v>
      </c>
      <c r="BC1916">
        <v>17</v>
      </c>
      <c r="BD1916" t="s">
        <v>56</v>
      </c>
      <c r="BE1916">
        <v>0.2</v>
      </c>
      <c r="BF1916">
        <v>16.899999999999999</v>
      </c>
      <c r="BG1916" t="s">
        <v>56</v>
      </c>
      <c r="BH1916">
        <v>0.1</v>
      </c>
      <c r="BI1916">
        <v>540</v>
      </c>
      <c r="BJ1916">
        <v>-0.1</v>
      </c>
      <c r="BK1916" t="s">
        <v>56</v>
      </c>
      <c r="BL1916" t="s">
        <v>961</v>
      </c>
      <c r="BM1916" t="s">
        <v>98</v>
      </c>
      <c r="BN1916" t="s">
        <v>81</v>
      </c>
      <c r="BO1916" t="s">
        <v>439</v>
      </c>
      <c r="BP1916" t="s">
        <v>100</v>
      </c>
      <c r="BQ1916" s="8" t="s">
        <v>190</v>
      </c>
      <c r="BR1916" t="s">
        <v>63</v>
      </c>
      <c r="BT1916">
        <v>615.09</v>
      </c>
      <c r="BU1916">
        <v>615.09</v>
      </c>
      <c r="BV1916">
        <v>104.91</v>
      </c>
      <c r="BW1916">
        <f>BV1916*SQRT(AK1916)</f>
        <v>296.7302896571228</v>
      </c>
      <c r="BX1916">
        <v>343</v>
      </c>
      <c r="BY1916">
        <v>343</v>
      </c>
      <c r="BZ1916">
        <v>41</v>
      </c>
      <c r="CA1916">
        <f>BZ1916*SQRT(AL1916)</f>
        <v>115.96551211459381</v>
      </c>
      <c r="CB1916">
        <v>84</v>
      </c>
      <c r="CC1916">
        <v>8</v>
      </c>
      <c r="CD1916">
        <v>-0.58399999999999996</v>
      </c>
      <c r="CE1916">
        <v>4.3400000000000001E-2</v>
      </c>
    </row>
    <row r="1917" spans="4:83" hidden="1" x14ac:dyDescent="0.2">
      <c r="D1917">
        <v>204</v>
      </c>
      <c r="G1917" t="s">
        <v>43</v>
      </c>
      <c r="H1917" t="s">
        <v>959</v>
      </c>
      <c r="J1917">
        <v>2021</v>
      </c>
      <c r="M1917" t="s">
        <v>257</v>
      </c>
      <c r="T1917" t="s">
        <v>68</v>
      </c>
      <c r="U1917" t="s">
        <v>167</v>
      </c>
      <c r="V1917" t="s">
        <v>960</v>
      </c>
      <c r="Z1917" t="s">
        <v>49</v>
      </c>
      <c r="AA1917" t="s">
        <v>49</v>
      </c>
      <c r="AB1917" t="s">
        <v>50</v>
      </c>
      <c r="AC1917" t="s">
        <v>51</v>
      </c>
      <c r="AD1917" t="s">
        <v>52</v>
      </c>
      <c r="AE1917" t="s">
        <v>53</v>
      </c>
      <c r="AF1917" t="s">
        <v>54</v>
      </c>
      <c r="AG1917" t="s">
        <v>52</v>
      </c>
      <c r="AH1917" t="s">
        <v>65</v>
      </c>
      <c r="AK1917">
        <v>8</v>
      </c>
      <c r="AL1917">
        <v>8</v>
      </c>
      <c r="AN1917">
        <v>587</v>
      </c>
      <c r="AO1917" t="s">
        <v>56</v>
      </c>
      <c r="AP1917">
        <v>116</v>
      </c>
      <c r="AQ1917" t="s">
        <v>118</v>
      </c>
      <c r="AR1917">
        <v>7.94</v>
      </c>
      <c r="AS1917" t="s">
        <v>56</v>
      </c>
      <c r="AT1917">
        <v>0.08</v>
      </c>
      <c r="AU1917">
        <v>629</v>
      </c>
      <c r="AV1917" t="s">
        <v>56</v>
      </c>
      <c r="AW1917">
        <v>95</v>
      </c>
      <c r="AX1917">
        <v>7.97</v>
      </c>
      <c r="AY1917" t="s">
        <v>56</v>
      </c>
      <c r="AZ1917">
        <v>0.04</v>
      </c>
      <c r="BB1917">
        <f>LOG(AU1917)</f>
        <v>2.7986506454452691</v>
      </c>
      <c r="BC1917">
        <v>17</v>
      </c>
      <c r="BD1917" t="s">
        <v>56</v>
      </c>
      <c r="BE1917">
        <v>0.2</v>
      </c>
      <c r="BF1917">
        <v>20.7</v>
      </c>
      <c r="BG1917" t="s">
        <v>56</v>
      </c>
      <c r="BH1917">
        <v>0.2</v>
      </c>
      <c r="BI1917">
        <v>42</v>
      </c>
      <c r="BJ1917">
        <v>3.7</v>
      </c>
      <c r="BK1917" t="s">
        <v>56</v>
      </c>
      <c r="BL1917" t="s">
        <v>961</v>
      </c>
      <c r="BM1917" t="s">
        <v>98</v>
      </c>
      <c r="BN1917" t="s">
        <v>81</v>
      </c>
      <c r="BO1917" t="s">
        <v>439</v>
      </c>
      <c r="BP1917" t="s">
        <v>100</v>
      </c>
      <c r="BQ1917" s="8" t="s">
        <v>190</v>
      </c>
      <c r="BR1917" t="s">
        <v>63</v>
      </c>
      <c r="BT1917">
        <v>615.09</v>
      </c>
      <c r="BU1917">
        <v>615.09</v>
      </c>
      <c r="BV1917">
        <v>104.91</v>
      </c>
      <c r="BW1917">
        <f>BV1917*SQRT(AK1917)</f>
        <v>296.7302896571228</v>
      </c>
      <c r="BX1917">
        <v>362</v>
      </c>
      <c r="BY1917">
        <v>362</v>
      </c>
      <c r="BZ1917">
        <v>38</v>
      </c>
      <c r="CA1917">
        <f>BZ1917*SQRT(AL1917)</f>
        <v>107.48023074035522</v>
      </c>
      <c r="CB1917">
        <v>84</v>
      </c>
      <c r="CC1917">
        <v>8</v>
      </c>
      <c r="CD1917">
        <v>-0.53</v>
      </c>
      <c r="CE1917">
        <v>4.0099999999999997E-2</v>
      </c>
    </row>
    <row r="1918" spans="4:83" hidden="1" x14ac:dyDescent="0.2">
      <c r="D1918">
        <v>204</v>
      </c>
      <c r="G1918" t="s">
        <v>43</v>
      </c>
      <c r="H1918" t="s">
        <v>959</v>
      </c>
      <c r="J1918">
        <v>2021</v>
      </c>
      <c r="M1918" t="s">
        <v>257</v>
      </c>
      <c r="T1918" t="s">
        <v>68</v>
      </c>
      <c r="U1918" t="s">
        <v>167</v>
      </c>
      <c r="V1918" t="s">
        <v>960</v>
      </c>
      <c r="Z1918" t="s">
        <v>49</v>
      </c>
      <c r="AA1918" t="s">
        <v>49</v>
      </c>
      <c r="AB1918" t="s">
        <v>50</v>
      </c>
      <c r="AC1918" t="s">
        <v>51</v>
      </c>
      <c r="AD1918" t="s">
        <v>52</v>
      </c>
      <c r="AE1918" t="s">
        <v>53</v>
      </c>
      <c r="AF1918" t="s">
        <v>52</v>
      </c>
      <c r="AG1918" t="s">
        <v>54</v>
      </c>
      <c r="AH1918" t="s">
        <v>55</v>
      </c>
      <c r="AK1918">
        <v>8</v>
      </c>
      <c r="AL1918">
        <v>8</v>
      </c>
      <c r="AN1918">
        <v>587</v>
      </c>
      <c r="AO1918" t="s">
        <v>56</v>
      </c>
      <c r="AP1918">
        <v>116</v>
      </c>
      <c r="AQ1918" t="s">
        <v>118</v>
      </c>
      <c r="AR1918">
        <v>7.94</v>
      </c>
      <c r="AS1918" t="s">
        <v>56</v>
      </c>
      <c r="AT1918">
        <v>0.08</v>
      </c>
      <c r="AU1918">
        <v>797</v>
      </c>
      <c r="AV1918" t="s">
        <v>56</v>
      </c>
      <c r="AW1918">
        <v>157</v>
      </c>
      <c r="AX1918">
        <v>7.82</v>
      </c>
      <c r="AY1918" t="s">
        <v>56</v>
      </c>
      <c r="AZ1918">
        <v>0.05</v>
      </c>
      <c r="BB1918">
        <f>LOG(AU1918)</f>
        <v>2.9014583213961123</v>
      </c>
      <c r="BC1918">
        <v>17</v>
      </c>
      <c r="BD1918" t="s">
        <v>56</v>
      </c>
      <c r="BE1918">
        <v>0.2</v>
      </c>
      <c r="BF1918">
        <v>17</v>
      </c>
      <c r="BG1918" t="s">
        <v>56</v>
      </c>
      <c r="BH1918">
        <v>0.2</v>
      </c>
      <c r="BI1918">
        <v>210</v>
      </c>
      <c r="BJ1918">
        <v>0</v>
      </c>
      <c r="BK1918" t="s">
        <v>56</v>
      </c>
      <c r="BL1918" t="s">
        <v>961</v>
      </c>
      <c r="BM1918" t="s">
        <v>98</v>
      </c>
      <c r="BN1918" t="s">
        <v>81</v>
      </c>
      <c r="BO1918" t="s">
        <v>439</v>
      </c>
      <c r="BP1918" t="s">
        <v>100</v>
      </c>
      <c r="BQ1918" s="8" t="s">
        <v>190</v>
      </c>
      <c r="BR1918" t="s">
        <v>63</v>
      </c>
      <c r="BT1918">
        <v>615.09</v>
      </c>
      <c r="BU1918">
        <v>615.09</v>
      </c>
      <c r="BV1918">
        <v>104.91</v>
      </c>
      <c r="BW1918">
        <f>BV1918*SQRT(AK1918)</f>
        <v>296.7302896571228</v>
      </c>
      <c r="BX1918">
        <v>388</v>
      </c>
      <c r="BY1918">
        <v>388</v>
      </c>
      <c r="BZ1918">
        <v>53</v>
      </c>
      <c r="CA1918">
        <f>BZ1918*SQRT(AL1918)</f>
        <v>149.90663761154809</v>
      </c>
      <c r="CB1918">
        <v>84</v>
      </c>
      <c r="CC1918">
        <v>8</v>
      </c>
      <c r="CD1918">
        <v>-0.46100000000000002</v>
      </c>
      <c r="CE1918">
        <v>4.7699999999999999E-2</v>
      </c>
    </row>
    <row r="1919" spans="4:83" hidden="1" x14ac:dyDescent="0.2">
      <c r="D1919">
        <v>204</v>
      </c>
      <c r="G1919" t="s">
        <v>43</v>
      </c>
      <c r="H1919" t="s">
        <v>959</v>
      </c>
      <c r="J1919">
        <v>2021</v>
      </c>
      <c r="M1919" t="s">
        <v>257</v>
      </c>
      <c r="T1919" t="s">
        <v>68</v>
      </c>
      <c r="U1919" t="s">
        <v>167</v>
      </c>
      <c r="V1919" t="s">
        <v>960</v>
      </c>
      <c r="Z1919" t="s">
        <v>49</v>
      </c>
      <c r="AA1919" t="s">
        <v>49</v>
      </c>
      <c r="AB1919" t="s">
        <v>50</v>
      </c>
      <c r="AC1919" t="s">
        <v>51</v>
      </c>
      <c r="AD1919" t="s">
        <v>52</v>
      </c>
      <c r="AE1919" t="s">
        <v>53</v>
      </c>
      <c r="AF1919" t="s">
        <v>52</v>
      </c>
      <c r="AG1919" t="s">
        <v>52</v>
      </c>
      <c r="AH1919" t="s">
        <v>64</v>
      </c>
      <c r="AK1919">
        <v>8</v>
      </c>
      <c r="AL1919">
        <v>8</v>
      </c>
      <c r="AN1919">
        <v>587</v>
      </c>
      <c r="AO1919" t="s">
        <v>56</v>
      </c>
      <c r="AP1919">
        <v>116</v>
      </c>
      <c r="AQ1919" t="s">
        <v>118</v>
      </c>
      <c r="AR1919">
        <v>7.94</v>
      </c>
      <c r="AS1919" t="s">
        <v>56</v>
      </c>
      <c r="AT1919">
        <v>0.08</v>
      </c>
      <c r="AU1919">
        <v>1177</v>
      </c>
      <c r="AV1919" t="s">
        <v>56</v>
      </c>
      <c r="AW1919">
        <v>130</v>
      </c>
      <c r="AX1919">
        <v>7.72</v>
      </c>
      <c r="AY1919" t="s">
        <v>56</v>
      </c>
      <c r="AZ1919">
        <v>0.05</v>
      </c>
      <c r="BB1919">
        <f>LOG(AU1919)</f>
        <v>3.0707764628434346</v>
      </c>
      <c r="BC1919">
        <v>17</v>
      </c>
      <c r="BD1919" t="s">
        <v>56</v>
      </c>
      <c r="BE1919">
        <v>0.2</v>
      </c>
      <c r="BF1919">
        <v>20.5</v>
      </c>
      <c r="BG1919" t="s">
        <v>56</v>
      </c>
      <c r="BH1919">
        <v>0.1</v>
      </c>
      <c r="BI1919">
        <v>590</v>
      </c>
      <c r="BJ1919">
        <v>3.5</v>
      </c>
      <c r="BK1919" t="s">
        <v>56</v>
      </c>
      <c r="BL1919" t="s">
        <v>961</v>
      </c>
      <c r="BM1919" t="s">
        <v>98</v>
      </c>
      <c r="BN1919" t="s">
        <v>81</v>
      </c>
      <c r="BO1919" t="s">
        <v>439</v>
      </c>
      <c r="BP1919" t="s">
        <v>100</v>
      </c>
      <c r="BQ1919" s="8" t="s">
        <v>190</v>
      </c>
      <c r="BR1919" t="s">
        <v>63</v>
      </c>
      <c r="BT1919">
        <v>615.09</v>
      </c>
      <c r="BU1919">
        <v>615.09</v>
      </c>
      <c r="BV1919">
        <v>104.91</v>
      </c>
      <c r="BW1919">
        <f>BV1919*SQRT(AK1919)</f>
        <v>296.7302896571228</v>
      </c>
      <c r="BX1919">
        <v>433</v>
      </c>
      <c r="BY1919">
        <v>433</v>
      </c>
      <c r="BZ1919">
        <v>65</v>
      </c>
      <c r="CA1919">
        <f>BZ1919*SQRT(AL1919)</f>
        <v>183.84776310850236</v>
      </c>
      <c r="CB1919">
        <v>84</v>
      </c>
      <c r="CC1919">
        <v>8</v>
      </c>
      <c r="CD1919">
        <v>-0.35099999999999998</v>
      </c>
      <c r="CE1919">
        <v>5.16E-2</v>
      </c>
    </row>
    <row r="1920" spans="4:83" hidden="1" x14ac:dyDescent="0.2">
      <c r="D1920">
        <v>204</v>
      </c>
      <c r="G1920" t="s">
        <v>43</v>
      </c>
      <c r="H1920" t="s">
        <v>959</v>
      </c>
      <c r="J1920">
        <v>2021</v>
      </c>
      <c r="M1920" t="s">
        <v>257</v>
      </c>
      <c r="T1920" t="s">
        <v>68</v>
      </c>
      <c r="U1920" t="s">
        <v>167</v>
      </c>
      <c r="V1920" t="s">
        <v>723</v>
      </c>
      <c r="Z1920" t="s">
        <v>49</v>
      </c>
      <c r="AA1920" t="s">
        <v>49</v>
      </c>
      <c r="AB1920" t="s">
        <v>50</v>
      </c>
      <c r="AC1920" t="s">
        <v>51</v>
      </c>
      <c r="AD1920" t="s">
        <v>52</v>
      </c>
      <c r="AE1920" t="s">
        <v>53</v>
      </c>
      <c r="AF1920" t="s">
        <v>54</v>
      </c>
      <c r="AG1920" t="s">
        <v>52</v>
      </c>
      <c r="AH1920" t="s">
        <v>65</v>
      </c>
      <c r="AK1920">
        <v>8</v>
      </c>
      <c r="AL1920">
        <v>8</v>
      </c>
      <c r="AN1920">
        <v>492</v>
      </c>
      <c r="AO1920" t="s">
        <v>56</v>
      </c>
      <c r="AP1920">
        <v>68</v>
      </c>
      <c r="AQ1920" t="s">
        <v>118</v>
      </c>
      <c r="AR1920">
        <v>7.96</v>
      </c>
      <c r="AS1920" t="s">
        <v>56</v>
      </c>
      <c r="AT1920">
        <v>0.05</v>
      </c>
      <c r="AU1920">
        <v>464</v>
      </c>
      <c r="AV1920" t="s">
        <v>56</v>
      </c>
      <c r="AW1920">
        <v>59</v>
      </c>
      <c r="AX1920">
        <v>8.0399999999999991</v>
      </c>
      <c r="AY1920" t="s">
        <v>56</v>
      </c>
      <c r="AZ1920">
        <v>0.08</v>
      </c>
      <c r="BB1920">
        <f>LOG(AU1920)</f>
        <v>2.6665179805548807</v>
      </c>
      <c r="BC1920">
        <v>16.7</v>
      </c>
      <c r="BD1920" t="s">
        <v>56</v>
      </c>
      <c r="BE1920">
        <v>0.6</v>
      </c>
      <c r="BF1920">
        <v>19.8</v>
      </c>
      <c r="BG1920" t="s">
        <v>56</v>
      </c>
      <c r="BH1920">
        <v>0.8</v>
      </c>
      <c r="BI1920">
        <v>-28</v>
      </c>
      <c r="BJ1920">
        <v>3.1</v>
      </c>
      <c r="BK1920" t="s">
        <v>56</v>
      </c>
      <c r="BL1920" t="s">
        <v>962</v>
      </c>
      <c r="BM1920" t="s">
        <v>365</v>
      </c>
      <c r="BN1920" t="s">
        <v>81</v>
      </c>
      <c r="BO1920" t="s">
        <v>56</v>
      </c>
      <c r="BP1920" t="s">
        <v>92</v>
      </c>
      <c r="BQ1920" s="8" t="s">
        <v>190</v>
      </c>
      <c r="BR1920" t="s">
        <v>63</v>
      </c>
      <c r="BT1920">
        <v>2.64</v>
      </c>
      <c r="BU1920">
        <v>2.637</v>
      </c>
      <c r="BV1920">
        <v>0.3</v>
      </c>
      <c r="BW1920">
        <f>BV1920*SQRT(AK1920)</f>
        <v>0.84852813742385702</v>
      </c>
      <c r="BX1920">
        <v>1.98</v>
      </c>
      <c r="BY1920">
        <v>1.978</v>
      </c>
      <c r="BZ1920">
        <v>0.23</v>
      </c>
      <c r="CA1920">
        <f>BZ1920*SQRT(AL1920)</f>
        <v>0.65053823869162375</v>
      </c>
      <c r="CB1920">
        <v>84</v>
      </c>
      <c r="CC1920">
        <v>8</v>
      </c>
      <c r="CD1920">
        <v>-0.28799999999999998</v>
      </c>
      <c r="CE1920">
        <v>2.6700000000000002E-2</v>
      </c>
    </row>
    <row r="1921" spans="4:83" hidden="1" x14ac:dyDescent="0.2">
      <c r="D1921">
        <v>204</v>
      </c>
      <c r="G1921" t="s">
        <v>43</v>
      </c>
      <c r="H1921" t="s">
        <v>959</v>
      </c>
      <c r="J1921">
        <v>2021</v>
      </c>
      <c r="M1921" t="s">
        <v>257</v>
      </c>
      <c r="T1921" t="s">
        <v>68</v>
      </c>
      <c r="U1921" t="s">
        <v>167</v>
      </c>
      <c r="V1921" t="s">
        <v>723</v>
      </c>
      <c r="Z1921" t="s">
        <v>49</v>
      </c>
      <c r="AA1921" t="s">
        <v>49</v>
      </c>
      <c r="AB1921" t="s">
        <v>50</v>
      </c>
      <c r="AC1921" t="s">
        <v>51</v>
      </c>
      <c r="AD1921" t="s">
        <v>52</v>
      </c>
      <c r="AE1921" t="s">
        <v>53</v>
      </c>
      <c r="AF1921" t="s">
        <v>52</v>
      </c>
      <c r="AG1921" t="s">
        <v>54</v>
      </c>
      <c r="AH1921" t="s">
        <v>55</v>
      </c>
      <c r="AK1921">
        <v>8</v>
      </c>
      <c r="AL1921">
        <v>8</v>
      </c>
      <c r="AN1921">
        <v>492</v>
      </c>
      <c r="AO1921" t="s">
        <v>56</v>
      </c>
      <c r="AP1921">
        <v>68</v>
      </c>
      <c r="AQ1921" t="s">
        <v>118</v>
      </c>
      <c r="AR1921">
        <v>7.96</v>
      </c>
      <c r="AS1921" t="s">
        <v>56</v>
      </c>
      <c r="AT1921">
        <v>0.05</v>
      </c>
      <c r="AU1921">
        <v>626</v>
      </c>
      <c r="AV1921" t="s">
        <v>56</v>
      </c>
      <c r="AW1921">
        <v>79</v>
      </c>
      <c r="AX1921">
        <v>7.86</v>
      </c>
      <c r="AY1921" t="s">
        <v>56</v>
      </c>
      <c r="AZ1921">
        <v>7.0000000000000007E-2</v>
      </c>
      <c r="BB1921">
        <f>LOG(AU1921)</f>
        <v>2.7965743332104296</v>
      </c>
      <c r="BC1921">
        <v>16.7</v>
      </c>
      <c r="BD1921" t="s">
        <v>56</v>
      </c>
      <c r="BE1921">
        <v>0.6</v>
      </c>
      <c r="BF1921">
        <v>16.7</v>
      </c>
      <c r="BG1921" t="s">
        <v>56</v>
      </c>
      <c r="BH1921">
        <v>0.6</v>
      </c>
      <c r="BI1921">
        <v>134</v>
      </c>
      <c r="BJ1921">
        <v>0</v>
      </c>
      <c r="BK1921" t="s">
        <v>56</v>
      </c>
      <c r="BL1921" t="s">
        <v>962</v>
      </c>
      <c r="BM1921" t="s">
        <v>365</v>
      </c>
      <c r="BN1921" t="s">
        <v>81</v>
      </c>
      <c r="BO1921" t="s">
        <v>56</v>
      </c>
      <c r="BP1921" t="s">
        <v>92</v>
      </c>
      <c r="BQ1921" s="8" t="s">
        <v>190</v>
      </c>
      <c r="BR1921" t="s">
        <v>63</v>
      </c>
      <c r="BT1921">
        <v>2.64</v>
      </c>
      <c r="BU1921">
        <v>2.637</v>
      </c>
      <c r="BV1921">
        <v>0.3</v>
      </c>
      <c r="BW1921">
        <f>BV1921*SQRT(AK1921)</f>
        <v>0.84852813742385702</v>
      </c>
      <c r="BX1921">
        <v>2.02</v>
      </c>
      <c r="BY1921">
        <v>2.0190000000000001</v>
      </c>
      <c r="BZ1921">
        <v>0.17</v>
      </c>
      <c r="CA1921">
        <f>BZ1921*SQRT(AL1921)</f>
        <v>0.48083261120685239</v>
      </c>
      <c r="CB1921">
        <v>84</v>
      </c>
      <c r="CC1921">
        <v>8</v>
      </c>
      <c r="CD1921">
        <v>-0.26700000000000002</v>
      </c>
      <c r="CE1921">
        <v>1.9699999999999999E-2</v>
      </c>
    </row>
    <row r="1922" spans="4:83" hidden="1" x14ac:dyDescent="0.2">
      <c r="D1922">
        <v>204</v>
      </c>
      <c r="G1922" t="s">
        <v>43</v>
      </c>
      <c r="H1922" t="s">
        <v>959</v>
      </c>
      <c r="J1922">
        <v>2021</v>
      </c>
      <c r="M1922" t="s">
        <v>257</v>
      </c>
      <c r="T1922" t="s">
        <v>68</v>
      </c>
      <c r="U1922" t="s">
        <v>167</v>
      </c>
      <c r="V1922" t="s">
        <v>960</v>
      </c>
      <c r="Z1922" t="s">
        <v>49</v>
      </c>
      <c r="AA1922" t="s">
        <v>49</v>
      </c>
      <c r="AB1922" t="s">
        <v>50</v>
      </c>
      <c r="AC1922" t="s">
        <v>51</v>
      </c>
      <c r="AD1922" t="s">
        <v>52</v>
      </c>
      <c r="AE1922" t="s">
        <v>53</v>
      </c>
      <c r="AF1922" t="s">
        <v>52</v>
      </c>
      <c r="AG1922" t="s">
        <v>52</v>
      </c>
      <c r="AH1922" t="s">
        <v>64</v>
      </c>
      <c r="AK1922">
        <v>8</v>
      </c>
      <c r="AL1922">
        <v>8</v>
      </c>
      <c r="AN1922">
        <v>587</v>
      </c>
      <c r="AO1922" t="s">
        <v>56</v>
      </c>
      <c r="AP1922">
        <v>116</v>
      </c>
      <c r="AQ1922" t="s">
        <v>118</v>
      </c>
      <c r="AR1922">
        <v>7.94</v>
      </c>
      <c r="AS1922" t="s">
        <v>56</v>
      </c>
      <c r="AT1922">
        <v>0.08</v>
      </c>
      <c r="AU1922">
        <v>835</v>
      </c>
      <c r="AV1922" t="s">
        <v>56</v>
      </c>
      <c r="AW1922">
        <v>140</v>
      </c>
      <c r="AX1922">
        <v>7.87</v>
      </c>
      <c r="AY1922" t="s">
        <v>56</v>
      </c>
      <c r="AZ1922">
        <v>0.03</v>
      </c>
      <c r="BB1922">
        <f>LOG(AU1922)</f>
        <v>2.9216864754836021</v>
      </c>
      <c r="BC1922">
        <v>17</v>
      </c>
      <c r="BD1922" t="s">
        <v>56</v>
      </c>
      <c r="BE1922">
        <v>0.2</v>
      </c>
      <c r="BF1922">
        <v>21.8</v>
      </c>
      <c r="BG1922" t="s">
        <v>56</v>
      </c>
      <c r="BH1922">
        <v>0.6</v>
      </c>
      <c r="BI1922">
        <v>248</v>
      </c>
      <c r="BJ1922">
        <v>4.8</v>
      </c>
      <c r="BK1922" t="s">
        <v>56</v>
      </c>
      <c r="BL1922" t="s">
        <v>961</v>
      </c>
      <c r="BM1922" t="s">
        <v>98</v>
      </c>
      <c r="BN1922" t="s">
        <v>81</v>
      </c>
      <c r="BO1922" t="s">
        <v>439</v>
      </c>
      <c r="BP1922" t="s">
        <v>100</v>
      </c>
      <c r="BQ1922" s="8" t="s">
        <v>190</v>
      </c>
      <c r="BR1922" t="s">
        <v>63</v>
      </c>
      <c r="BT1922">
        <v>615.09</v>
      </c>
      <c r="BU1922">
        <v>615.09</v>
      </c>
      <c r="BV1922">
        <v>104.91</v>
      </c>
      <c r="BW1922">
        <f>BV1922*SQRT(AK1922)</f>
        <v>296.7302896571228</v>
      </c>
      <c r="BX1922">
        <v>490</v>
      </c>
      <c r="BY1922">
        <v>490</v>
      </c>
      <c r="BZ1922">
        <v>57</v>
      </c>
      <c r="CA1922">
        <f>BZ1922*SQRT(AL1922)</f>
        <v>161.22034611053286</v>
      </c>
      <c r="CB1922">
        <v>84</v>
      </c>
      <c r="CC1922">
        <v>8</v>
      </c>
      <c r="CD1922">
        <v>-0.22700000000000001</v>
      </c>
      <c r="CE1922">
        <v>4.2599999999999999E-2</v>
      </c>
    </row>
    <row r="1923" spans="4:83" hidden="1" x14ac:dyDescent="0.2">
      <c r="D1923">
        <v>204</v>
      </c>
      <c r="G1923" t="s">
        <v>43</v>
      </c>
      <c r="H1923" t="s">
        <v>959</v>
      </c>
      <c r="J1923">
        <v>2021</v>
      </c>
      <c r="M1923" t="s">
        <v>257</v>
      </c>
      <c r="T1923" t="s">
        <v>68</v>
      </c>
      <c r="U1923" t="s">
        <v>167</v>
      </c>
      <c r="V1923" t="s">
        <v>960</v>
      </c>
      <c r="Z1923" t="s">
        <v>49</v>
      </c>
      <c r="AA1923" t="s">
        <v>49</v>
      </c>
      <c r="AB1923" t="s">
        <v>50</v>
      </c>
      <c r="AC1923" t="s">
        <v>51</v>
      </c>
      <c r="AD1923" t="s">
        <v>52</v>
      </c>
      <c r="AE1923" t="s">
        <v>53</v>
      </c>
      <c r="AF1923" t="s">
        <v>52</v>
      </c>
      <c r="AG1923" t="s">
        <v>54</v>
      </c>
      <c r="AH1923" t="s">
        <v>55</v>
      </c>
      <c r="AK1923">
        <v>8</v>
      </c>
      <c r="AL1923">
        <v>8</v>
      </c>
      <c r="AN1923">
        <v>587</v>
      </c>
      <c r="AO1923" t="s">
        <v>56</v>
      </c>
      <c r="AP1923">
        <v>116</v>
      </c>
      <c r="AQ1923" t="s">
        <v>118</v>
      </c>
      <c r="AR1923">
        <v>7.94</v>
      </c>
      <c r="AS1923" t="s">
        <v>56</v>
      </c>
      <c r="AT1923">
        <v>0.08</v>
      </c>
      <c r="AU1923">
        <v>797</v>
      </c>
      <c r="AV1923" t="s">
        <v>56</v>
      </c>
      <c r="AW1923">
        <v>157</v>
      </c>
      <c r="AX1923">
        <v>7.82</v>
      </c>
      <c r="AY1923" t="s">
        <v>56</v>
      </c>
      <c r="AZ1923">
        <v>0.05</v>
      </c>
      <c r="BB1923">
        <f>LOG(AU1923)</f>
        <v>2.9014583213961123</v>
      </c>
      <c r="BC1923">
        <v>17</v>
      </c>
      <c r="BD1923" t="s">
        <v>56</v>
      </c>
      <c r="BE1923">
        <v>0.2</v>
      </c>
      <c r="BF1923">
        <v>17</v>
      </c>
      <c r="BG1923" t="s">
        <v>56</v>
      </c>
      <c r="BH1923">
        <v>0.2</v>
      </c>
      <c r="BI1923">
        <v>210</v>
      </c>
      <c r="BJ1923">
        <v>0</v>
      </c>
      <c r="BK1923" t="s">
        <v>56</v>
      </c>
      <c r="BL1923" t="s">
        <v>963</v>
      </c>
      <c r="BM1923" t="s">
        <v>963</v>
      </c>
      <c r="BN1923" t="s">
        <v>81</v>
      </c>
      <c r="BO1923" t="s">
        <v>439</v>
      </c>
      <c r="BP1923" t="s">
        <v>100</v>
      </c>
      <c r="BQ1923" s="8" t="s">
        <v>190</v>
      </c>
      <c r="BR1923" t="s">
        <v>63</v>
      </c>
      <c r="BT1923">
        <v>89.15</v>
      </c>
      <c r="BU1923">
        <v>89.15</v>
      </c>
      <c r="BV1923">
        <v>6.19</v>
      </c>
      <c r="BW1923">
        <f>BV1923*SQRT(AK1923)</f>
        <v>17.507963902178918</v>
      </c>
      <c r="BX1923">
        <v>71.86</v>
      </c>
      <c r="BY1923">
        <v>71.86</v>
      </c>
      <c r="BZ1923">
        <v>3.83</v>
      </c>
      <c r="CA1923">
        <f>BZ1923*SQRT(AL1923)</f>
        <v>10.832875887777909</v>
      </c>
      <c r="CB1923">
        <v>84</v>
      </c>
      <c r="CC1923">
        <v>8</v>
      </c>
      <c r="CD1923">
        <v>-0.216</v>
      </c>
      <c r="CE1923">
        <v>7.7000000000000002E-3</v>
      </c>
    </row>
    <row r="1924" spans="4:83" hidden="1" x14ac:dyDescent="0.2">
      <c r="D1924">
        <v>204</v>
      </c>
      <c r="G1924" t="s">
        <v>43</v>
      </c>
      <c r="H1924" t="s">
        <v>959</v>
      </c>
      <c r="J1924">
        <v>2021</v>
      </c>
      <c r="M1924" t="s">
        <v>257</v>
      </c>
      <c r="T1924" t="s">
        <v>68</v>
      </c>
      <c r="U1924" t="s">
        <v>167</v>
      </c>
      <c r="V1924" t="s">
        <v>723</v>
      </c>
      <c r="Z1924" t="s">
        <v>49</v>
      </c>
      <c r="AA1924" t="s">
        <v>49</v>
      </c>
      <c r="AB1924" t="s">
        <v>50</v>
      </c>
      <c r="AC1924" t="s">
        <v>51</v>
      </c>
      <c r="AD1924" t="s">
        <v>52</v>
      </c>
      <c r="AE1924" t="s">
        <v>53</v>
      </c>
      <c r="AF1924" t="s">
        <v>52</v>
      </c>
      <c r="AG1924" t="s">
        <v>52</v>
      </c>
      <c r="AH1924" t="s">
        <v>64</v>
      </c>
      <c r="AK1924">
        <v>8</v>
      </c>
      <c r="AL1924">
        <v>8</v>
      </c>
      <c r="AN1924">
        <v>492</v>
      </c>
      <c r="AO1924" t="s">
        <v>56</v>
      </c>
      <c r="AP1924">
        <v>68</v>
      </c>
      <c r="AQ1924" t="s">
        <v>118</v>
      </c>
      <c r="AR1924">
        <v>7.96</v>
      </c>
      <c r="AS1924" t="s">
        <v>56</v>
      </c>
      <c r="AT1924">
        <v>0.05</v>
      </c>
      <c r="AU1924">
        <v>731</v>
      </c>
      <c r="AV1924" t="s">
        <v>56</v>
      </c>
      <c r="AW1924">
        <v>84</v>
      </c>
      <c r="AX1924">
        <v>7.92</v>
      </c>
      <c r="AY1924" t="s">
        <v>56</v>
      </c>
      <c r="AZ1924">
        <v>0.06</v>
      </c>
      <c r="BB1924">
        <f>LOG(AU1924)</f>
        <v>2.8639173769578603</v>
      </c>
      <c r="BC1924">
        <v>16.7</v>
      </c>
      <c r="BD1924" t="s">
        <v>56</v>
      </c>
      <c r="BE1924">
        <v>0.6</v>
      </c>
      <c r="BF1924">
        <v>20.3</v>
      </c>
      <c r="BG1924" t="s">
        <v>56</v>
      </c>
      <c r="BH1924">
        <v>1.2</v>
      </c>
      <c r="BI1924">
        <v>239</v>
      </c>
      <c r="BJ1924">
        <v>3.6</v>
      </c>
      <c r="BK1924" t="s">
        <v>56</v>
      </c>
      <c r="BL1924" t="s">
        <v>962</v>
      </c>
      <c r="BM1924" t="s">
        <v>365</v>
      </c>
      <c r="BN1924" t="s">
        <v>81</v>
      </c>
      <c r="BO1924" t="s">
        <v>56</v>
      </c>
      <c r="BP1924" t="s">
        <v>92</v>
      </c>
      <c r="BQ1924" s="8" t="s">
        <v>190</v>
      </c>
      <c r="BR1924" t="s">
        <v>63</v>
      </c>
      <c r="BT1924">
        <v>2.64</v>
      </c>
      <c r="BU1924">
        <v>2.637</v>
      </c>
      <c r="BV1924">
        <v>0.3</v>
      </c>
      <c r="BW1924">
        <f>BV1924*SQRT(AK1924)</f>
        <v>0.84852813742385702</v>
      </c>
      <c r="BX1924">
        <v>2.23</v>
      </c>
      <c r="BY1924">
        <v>2.2290000000000001</v>
      </c>
      <c r="BZ1924">
        <v>0.26</v>
      </c>
      <c r="CA1924">
        <f>BZ1924*SQRT(AL1924)</f>
        <v>0.73539105243400948</v>
      </c>
      <c r="CB1924">
        <v>84</v>
      </c>
      <c r="CC1924">
        <v>8</v>
      </c>
      <c r="CD1924">
        <v>-0.16800000000000001</v>
      </c>
      <c r="CE1924">
        <v>2.58E-2</v>
      </c>
    </row>
    <row r="1925" spans="4:83" hidden="1" x14ac:dyDescent="0.2">
      <c r="D1925">
        <v>204</v>
      </c>
      <c r="G1925" t="s">
        <v>43</v>
      </c>
      <c r="H1925" t="s">
        <v>959</v>
      </c>
      <c r="J1925">
        <v>2021</v>
      </c>
      <c r="M1925" t="s">
        <v>257</v>
      </c>
      <c r="T1925" t="s">
        <v>68</v>
      </c>
      <c r="U1925" t="s">
        <v>167</v>
      </c>
      <c r="V1925" t="s">
        <v>723</v>
      </c>
      <c r="Z1925" t="s">
        <v>49</v>
      </c>
      <c r="AA1925" t="s">
        <v>49</v>
      </c>
      <c r="AB1925" t="s">
        <v>50</v>
      </c>
      <c r="AC1925" t="s">
        <v>51</v>
      </c>
      <c r="AD1925" t="s">
        <v>52</v>
      </c>
      <c r="AE1925" t="s">
        <v>53</v>
      </c>
      <c r="AF1925" t="s">
        <v>52</v>
      </c>
      <c r="AG1925" t="s">
        <v>52</v>
      </c>
      <c r="AH1925" t="s">
        <v>64</v>
      </c>
      <c r="AK1925">
        <v>8</v>
      </c>
      <c r="AL1925">
        <v>8</v>
      </c>
      <c r="AN1925">
        <v>492</v>
      </c>
      <c r="AO1925" t="s">
        <v>56</v>
      </c>
      <c r="AP1925">
        <v>68</v>
      </c>
      <c r="AQ1925" t="s">
        <v>118</v>
      </c>
      <c r="AR1925">
        <v>7.96</v>
      </c>
      <c r="AS1925" t="s">
        <v>56</v>
      </c>
      <c r="AT1925">
        <v>0.05</v>
      </c>
      <c r="AU1925">
        <v>864</v>
      </c>
      <c r="AV1925" t="s">
        <v>56</v>
      </c>
      <c r="AW1925">
        <v>104</v>
      </c>
      <c r="AX1925">
        <v>7.84</v>
      </c>
      <c r="AY1925" t="s">
        <v>56</v>
      </c>
      <c r="AZ1925">
        <v>0.06</v>
      </c>
      <c r="BB1925">
        <f>LOG(AU1925)</f>
        <v>2.9365137424788932</v>
      </c>
      <c r="BC1925">
        <v>16.7</v>
      </c>
      <c r="BD1925" t="s">
        <v>56</v>
      </c>
      <c r="BE1925">
        <v>0.6</v>
      </c>
      <c r="BF1925">
        <v>19.8</v>
      </c>
      <c r="BG1925" t="s">
        <v>56</v>
      </c>
      <c r="BH1925">
        <v>0.9</v>
      </c>
      <c r="BI1925">
        <v>372</v>
      </c>
      <c r="BJ1925">
        <v>3.1</v>
      </c>
      <c r="BK1925" t="s">
        <v>56</v>
      </c>
      <c r="BL1925" t="s">
        <v>963</v>
      </c>
      <c r="BM1925" t="s">
        <v>963</v>
      </c>
      <c r="BN1925" t="s">
        <v>81</v>
      </c>
      <c r="BO1925" t="s">
        <v>439</v>
      </c>
      <c r="BP1925" t="s">
        <v>100</v>
      </c>
      <c r="BQ1925" s="8" t="s">
        <v>190</v>
      </c>
      <c r="BR1925" t="s">
        <v>63</v>
      </c>
      <c r="BT1925">
        <v>92.37</v>
      </c>
      <c r="BU1925">
        <v>92.37</v>
      </c>
      <c r="BV1925">
        <v>8.1</v>
      </c>
      <c r="BW1925">
        <f>BV1925*SQRT(AK1925)</f>
        <v>22.910259710444141</v>
      </c>
      <c r="BX1925">
        <v>87.95</v>
      </c>
      <c r="BY1925">
        <v>87.95</v>
      </c>
      <c r="BZ1925">
        <v>22.39</v>
      </c>
      <c r="CA1925">
        <f>BZ1925*SQRT(AL1925)</f>
        <v>63.328483323067204</v>
      </c>
      <c r="CB1925">
        <v>84</v>
      </c>
      <c r="CC1925">
        <v>8</v>
      </c>
      <c r="CD1925">
        <v>-4.9000000000000002E-2</v>
      </c>
      <c r="CE1925">
        <v>7.2499999999999995E-2</v>
      </c>
    </row>
    <row r="1926" spans="4:83" hidden="1" x14ac:dyDescent="0.2">
      <c r="D1926">
        <v>204</v>
      </c>
      <c r="G1926" t="s">
        <v>43</v>
      </c>
      <c r="H1926" t="s">
        <v>959</v>
      </c>
      <c r="J1926">
        <v>2021</v>
      </c>
      <c r="M1926" t="s">
        <v>257</v>
      </c>
      <c r="T1926" t="s">
        <v>68</v>
      </c>
      <c r="U1926" t="s">
        <v>167</v>
      </c>
      <c r="V1926" t="s">
        <v>960</v>
      </c>
      <c r="Z1926" t="s">
        <v>49</v>
      </c>
      <c r="AA1926" t="s">
        <v>49</v>
      </c>
      <c r="AB1926" t="s">
        <v>50</v>
      </c>
      <c r="AC1926" t="s">
        <v>51</v>
      </c>
      <c r="AD1926" t="s">
        <v>52</v>
      </c>
      <c r="AE1926" t="s">
        <v>53</v>
      </c>
      <c r="AF1926" t="s">
        <v>54</v>
      </c>
      <c r="AG1926" t="s">
        <v>52</v>
      </c>
      <c r="AH1926" t="s">
        <v>65</v>
      </c>
      <c r="AK1926">
        <v>8</v>
      </c>
      <c r="AL1926">
        <v>8</v>
      </c>
      <c r="AN1926">
        <v>587</v>
      </c>
      <c r="AO1926" t="s">
        <v>56</v>
      </c>
      <c r="AP1926">
        <v>116</v>
      </c>
      <c r="AQ1926" t="s">
        <v>118</v>
      </c>
      <c r="AR1926">
        <v>7.94</v>
      </c>
      <c r="AS1926" t="s">
        <v>56</v>
      </c>
      <c r="AT1926">
        <v>0.08</v>
      </c>
      <c r="AU1926">
        <v>629</v>
      </c>
      <c r="AV1926" t="s">
        <v>56</v>
      </c>
      <c r="AW1926">
        <v>95</v>
      </c>
      <c r="AX1926">
        <v>7.97</v>
      </c>
      <c r="AY1926" t="s">
        <v>56</v>
      </c>
      <c r="AZ1926">
        <v>0.04</v>
      </c>
      <c r="BB1926">
        <f>LOG(AU1926)</f>
        <v>2.7986506454452691</v>
      </c>
      <c r="BC1926">
        <v>17</v>
      </c>
      <c r="BD1926" t="s">
        <v>56</v>
      </c>
      <c r="BE1926">
        <v>0.2</v>
      </c>
      <c r="BF1926">
        <v>20.7</v>
      </c>
      <c r="BG1926" t="s">
        <v>56</v>
      </c>
      <c r="BH1926">
        <v>0.2</v>
      </c>
      <c r="BI1926">
        <v>42</v>
      </c>
      <c r="BJ1926">
        <v>3.7</v>
      </c>
      <c r="BK1926" t="s">
        <v>56</v>
      </c>
      <c r="BL1926" t="s">
        <v>963</v>
      </c>
      <c r="BM1926" t="s">
        <v>963</v>
      </c>
      <c r="BN1926" t="s">
        <v>81</v>
      </c>
      <c r="BO1926" t="s">
        <v>439</v>
      </c>
      <c r="BP1926" t="s">
        <v>100</v>
      </c>
      <c r="BQ1926" s="8" t="s">
        <v>190</v>
      </c>
      <c r="BR1926" t="s">
        <v>63</v>
      </c>
      <c r="BT1926">
        <v>89.15</v>
      </c>
      <c r="BU1926">
        <v>89.15</v>
      </c>
      <c r="BV1926">
        <v>6.19</v>
      </c>
      <c r="BW1926">
        <f>BV1926*SQRT(AK1926)</f>
        <v>17.507963902178918</v>
      </c>
      <c r="BX1926">
        <v>85</v>
      </c>
      <c r="BY1926">
        <v>85</v>
      </c>
      <c r="BZ1926">
        <v>9.52</v>
      </c>
      <c r="CA1926">
        <f>BZ1926*SQRT(AL1926)</f>
        <v>26.926626227583732</v>
      </c>
      <c r="CB1926">
        <v>84</v>
      </c>
      <c r="CC1926">
        <v>8</v>
      </c>
      <c r="CD1926">
        <v>-4.8000000000000001E-2</v>
      </c>
      <c r="CE1926">
        <v>1.7399999999999999E-2</v>
      </c>
    </row>
    <row r="1927" spans="4:83" hidden="1" x14ac:dyDescent="0.2">
      <c r="D1927">
        <v>204</v>
      </c>
      <c r="G1927" t="s">
        <v>43</v>
      </c>
      <c r="H1927" t="s">
        <v>959</v>
      </c>
      <c r="J1927">
        <v>2021</v>
      </c>
      <c r="M1927" t="s">
        <v>257</v>
      </c>
      <c r="T1927" t="s">
        <v>68</v>
      </c>
      <c r="U1927" t="s">
        <v>167</v>
      </c>
      <c r="V1927" t="s">
        <v>723</v>
      </c>
      <c r="Z1927" t="s">
        <v>49</v>
      </c>
      <c r="AA1927" t="s">
        <v>49</v>
      </c>
      <c r="AB1927" t="s">
        <v>50</v>
      </c>
      <c r="AC1927" t="s">
        <v>51</v>
      </c>
      <c r="AD1927" t="s">
        <v>52</v>
      </c>
      <c r="AE1927" t="s">
        <v>53</v>
      </c>
      <c r="AF1927" t="s">
        <v>52</v>
      </c>
      <c r="AG1927" t="s">
        <v>54</v>
      </c>
      <c r="AH1927" t="s">
        <v>55</v>
      </c>
      <c r="AK1927">
        <v>8</v>
      </c>
      <c r="AL1927">
        <v>8</v>
      </c>
      <c r="AN1927">
        <v>492</v>
      </c>
      <c r="AO1927" t="s">
        <v>56</v>
      </c>
      <c r="AP1927">
        <v>68</v>
      </c>
      <c r="AQ1927" t="s">
        <v>118</v>
      </c>
      <c r="AR1927">
        <v>7.96</v>
      </c>
      <c r="AS1927" t="s">
        <v>56</v>
      </c>
      <c r="AT1927">
        <v>0.05</v>
      </c>
      <c r="AU1927">
        <v>818</v>
      </c>
      <c r="AV1927" t="s">
        <v>56</v>
      </c>
      <c r="AW1927">
        <v>140</v>
      </c>
      <c r="AX1927">
        <v>7.77</v>
      </c>
      <c r="AY1927" t="s">
        <v>56</v>
      </c>
      <c r="AZ1927">
        <v>0.1</v>
      </c>
      <c r="BB1927">
        <f>LOG(AU1927)</f>
        <v>2.9127533036713231</v>
      </c>
      <c r="BC1927">
        <v>16.7</v>
      </c>
      <c r="BD1927" t="s">
        <v>56</v>
      </c>
      <c r="BE1927">
        <v>0.6</v>
      </c>
      <c r="BF1927">
        <v>16.7</v>
      </c>
      <c r="BG1927" t="s">
        <v>56</v>
      </c>
      <c r="BH1927">
        <v>0.6</v>
      </c>
      <c r="BI1927">
        <v>326</v>
      </c>
      <c r="BJ1927">
        <v>0</v>
      </c>
      <c r="BK1927" t="s">
        <v>56</v>
      </c>
      <c r="BL1927" t="s">
        <v>962</v>
      </c>
      <c r="BM1927" t="s">
        <v>365</v>
      </c>
      <c r="BN1927" t="s">
        <v>81</v>
      </c>
      <c r="BO1927" t="s">
        <v>56</v>
      </c>
      <c r="BP1927" t="s">
        <v>92</v>
      </c>
      <c r="BQ1927" s="8" t="s">
        <v>190</v>
      </c>
      <c r="BR1927" t="s">
        <v>63</v>
      </c>
      <c r="BT1927">
        <v>2.64</v>
      </c>
      <c r="BU1927">
        <v>2.637</v>
      </c>
      <c r="BV1927">
        <v>0.3</v>
      </c>
      <c r="BW1927">
        <f>BV1927*SQRT(AK1927)</f>
        <v>0.84852813742385702</v>
      </c>
      <c r="BX1927">
        <v>2.52</v>
      </c>
      <c r="BY1927">
        <v>2.524</v>
      </c>
      <c r="BZ1927">
        <v>0.4</v>
      </c>
      <c r="CA1927">
        <f>BZ1927*SQRT(AL1927)</f>
        <v>1.1313708498984762</v>
      </c>
      <c r="CB1927">
        <v>84</v>
      </c>
      <c r="CC1927">
        <v>8</v>
      </c>
      <c r="CD1927">
        <v>-4.3999999999999997E-2</v>
      </c>
      <c r="CE1927">
        <v>3.8199999999999998E-2</v>
      </c>
    </row>
    <row r="1928" spans="4:83" hidden="1" x14ac:dyDescent="0.2">
      <c r="D1928">
        <v>204</v>
      </c>
      <c r="G1928" t="s">
        <v>43</v>
      </c>
      <c r="H1928" t="s">
        <v>959</v>
      </c>
      <c r="J1928">
        <v>2021</v>
      </c>
      <c r="M1928" t="s">
        <v>257</v>
      </c>
      <c r="T1928" t="s">
        <v>68</v>
      </c>
      <c r="U1928" t="s">
        <v>167</v>
      </c>
      <c r="V1928" t="s">
        <v>960</v>
      </c>
      <c r="Z1928" t="s">
        <v>49</v>
      </c>
      <c r="AA1928" t="s">
        <v>49</v>
      </c>
      <c r="AB1928" t="s">
        <v>50</v>
      </c>
      <c r="AC1928" t="s">
        <v>51</v>
      </c>
      <c r="AD1928" t="s">
        <v>52</v>
      </c>
      <c r="AE1928" t="s">
        <v>53</v>
      </c>
      <c r="AF1928" t="s">
        <v>52</v>
      </c>
      <c r="AG1928" t="s">
        <v>52</v>
      </c>
      <c r="AH1928" t="s">
        <v>64</v>
      </c>
      <c r="AK1928">
        <v>8</v>
      </c>
      <c r="AL1928">
        <v>8</v>
      </c>
      <c r="AN1928">
        <v>587</v>
      </c>
      <c r="AO1928" t="s">
        <v>56</v>
      </c>
      <c r="AP1928">
        <v>116</v>
      </c>
      <c r="AQ1928" t="s">
        <v>118</v>
      </c>
      <c r="AR1928">
        <v>7.94</v>
      </c>
      <c r="AS1928" t="s">
        <v>56</v>
      </c>
      <c r="AT1928">
        <v>0.08</v>
      </c>
      <c r="AU1928">
        <v>835</v>
      </c>
      <c r="AV1928" t="s">
        <v>56</v>
      </c>
      <c r="AW1928">
        <v>140</v>
      </c>
      <c r="AX1928">
        <v>7.87</v>
      </c>
      <c r="AY1928" t="s">
        <v>56</v>
      </c>
      <c r="AZ1928">
        <v>0.03</v>
      </c>
      <c r="BB1928">
        <f>LOG(AU1928)</f>
        <v>2.9216864754836021</v>
      </c>
      <c r="BC1928">
        <v>17</v>
      </c>
      <c r="BD1928" t="s">
        <v>56</v>
      </c>
      <c r="BE1928">
        <v>0.2</v>
      </c>
      <c r="BF1928">
        <v>21.8</v>
      </c>
      <c r="BG1928" t="s">
        <v>56</v>
      </c>
      <c r="BH1928">
        <v>0.6</v>
      </c>
      <c r="BI1928">
        <v>248</v>
      </c>
      <c r="BJ1928">
        <v>4.8</v>
      </c>
      <c r="BK1928" t="s">
        <v>56</v>
      </c>
      <c r="BL1928" t="s">
        <v>962</v>
      </c>
      <c r="BM1928" t="s">
        <v>365</v>
      </c>
      <c r="BN1928" t="s">
        <v>81</v>
      </c>
      <c r="BO1928" t="s">
        <v>56</v>
      </c>
      <c r="BP1928" t="s">
        <v>92</v>
      </c>
      <c r="BQ1928" s="8" t="s">
        <v>190</v>
      </c>
      <c r="BR1928" t="s">
        <v>63</v>
      </c>
      <c r="BT1928">
        <v>3.71</v>
      </c>
      <c r="BU1928">
        <v>3.7090000000000001</v>
      </c>
      <c r="BV1928">
        <v>0.3</v>
      </c>
      <c r="BW1928">
        <f>BV1928*SQRT(AK1928)</f>
        <v>0.84852813742385702</v>
      </c>
      <c r="BX1928">
        <v>3.56</v>
      </c>
      <c r="BY1928">
        <v>3.556</v>
      </c>
      <c r="BZ1928">
        <v>0.17</v>
      </c>
      <c r="CA1928">
        <f>BZ1928*SQRT(AL1928)</f>
        <v>0.48083261120685239</v>
      </c>
      <c r="CB1928">
        <v>84</v>
      </c>
      <c r="CC1928">
        <v>8</v>
      </c>
      <c r="CD1928">
        <v>-4.2000000000000003E-2</v>
      </c>
      <c r="CE1928">
        <v>8.6999999999999994E-3</v>
      </c>
    </row>
    <row r="1929" spans="4:83" hidden="1" x14ac:dyDescent="0.2">
      <c r="D1929">
        <v>204</v>
      </c>
      <c r="G1929" t="s">
        <v>43</v>
      </c>
      <c r="H1929" t="s">
        <v>959</v>
      </c>
      <c r="J1929">
        <v>2021</v>
      </c>
      <c r="M1929" t="s">
        <v>257</v>
      </c>
      <c r="T1929" t="s">
        <v>68</v>
      </c>
      <c r="U1929" t="s">
        <v>167</v>
      </c>
      <c r="V1929" t="s">
        <v>960</v>
      </c>
      <c r="Z1929" t="s">
        <v>49</v>
      </c>
      <c r="AA1929" t="s">
        <v>49</v>
      </c>
      <c r="AB1929" t="s">
        <v>50</v>
      </c>
      <c r="AC1929" t="s">
        <v>51</v>
      </c>
      <c r="AD1929" t="s">
        <v>52</v>
      </c>
      <c r="AE1929" t="s">
        <v>53</v>
      </c>
      <c r="AF1929" t="s">
        <v>52</v>
      </c>
      <c r="AG1929" t="s">
        <v>52</v>
      </c>
      <c r="AH1929" t="s">
        <v>64</v>
      </c>
      <c r="AK1929">
        <v>8</v>
      </c>
      <c r="AL1929">
        <v>8</v>
      </c>
      <c r="AN1929">
        <v>587</v>
      </c>
      <c r="AO1929" t="s">
        <v>56</v>
      </c>
      <c r="AP1929">
        <v>116</v>
      </c>
      <c r="AQ1929" t="s">
        <v>118</v>
      </c>
      <c r="AR1929">
        <v>7.94</v>
      </c>
      <c r="AS1929" t="s">
        <v>56</v>
      </c>
      <c r="AT1929">
        <v>0.08</v>
      </c>
      <c r="AU1929">
        <v>1177</v>
      </c>
      <c r="AV1929" t="s">
        <v>56</v>
      </c>
      <c r="AW1929">
        <v>130</v>
      </c>
      <c r="AX1929">
        <v>7.72</v>
      </c>
      <c r="AY1929" t="s">
        <v>56</v>
      </c>
      <c r="AZ1929">
        <v>0.05</v>
      </c>
      <c r="BB1929">
        <f>LOG(AU1929)</f>
        <v>3.0707764628434346</v>
      </c>
      <c r="BC1929">
        <v>17</v>
      </c>
      <c r="BD1929" t="s">
        <v>56</v>
      </c>
      <c r="BE1929">
        <v>0.2</v>
      </c>
      <c r="BF1929">
        <v>20.5</v>
      </c>
      <c r="BG1929" t="s">
        <v>56</v>
      </c>
      <c r="BH1929">
        <v>0.1</v>
      </c>
      <c r="BI1929">
        <v>590</v>
      </c>
      <c r="BJ1929">
        <v>3.5</v>
      </c>
      <c r="BK1929" t="s">
        <v>56</v>
      </c>
      <c r="BL1929" t="s">
        <v>963</v>
      </c>
      <c r="BM1929" t="s">
        <v>963</v>
      </c>
      <c r="BN1929" t="s">
        <v>81</v>
      </c>
      <c r="BO1929" t="s">
        <v>439</v>
      </c>
      <c r="BP1929" t="s">
        <v>100</v>
      </c>
      <c r="BQ1929" s="8" t="s">
        <v>190</v>
      </c>
      <c r="BR1929" t="s">
        <v>63</v>
      </c>
      <c r="BT1929">
        <v>89.15</v>
      </c>
      <c r="BU1929">
        <v>89.15</v>
      </c>
      <c r="BV1929">
        <v>6.19</v>
      </c>
      <c r="BW1929">
        <f>BV1929*SQRT(AK1929)</f>
        <v>17.507963902178918</v>
      </c>
      <c r="BX1929">
        <v>85.68</v>
      </c>
      <c r="BY1929">
        <v>85.68</v>
      </c>
      <c r="BZ1929">
        <v>6.2</v>
      </c>
      <c r="CA1929">
        <f>BZ1929*SQRT(AL1929)</f>
        <v>17.53624817342638</v>
      </c>
      <c r="CB1929">
        <v>84</v>
      </c>
      <c r="CC1929">
        <v>8</v>
      </c>
      <c r="CD1929">
        <v>-0.04</v>
      </c>
      <c r="CE1929">
        <v>1.01E-2</v>
      </c>
    </row>
    <row r="1930" spans="4:83" hidden="1" x14ac:dyDescent="0.2">
      <c r="D1930">
        <v>204</v>
      </c>
      <c r="G1930" t="s">
        <v>43</v>
      </c>
      <c r="H1930" t="s">
        <v>959</v>
      </c>
      <c r="J1930">
        <v>2021</v>
      </c>
      <c r="M1930" t="s">
        <v>257</v>
      </c>
      <c r="T1930" t="s">
        <v>68</v>
      </c>
      <c r="U1930" t="s">
        <v>167</v>
      </c>
      <c r="V1930" t="s">
        <v>723</v>
      </c>
      <c r="Z1930" t="s">
        <v>49</v>
      </c>
      <c r="AA1930" t="s">
        <v>49</v>
      </c>
      <c r="AB1930" t="s">
        <v>50</v>
      </c>
      <c r="AC1930" t="s">
        <v>51</v>
      </c>
      <c r="AD1930" t="s">
        <v>52</v>
      </c>
      <c r="AE1930" t="s">
        <v>53</v>
      </c>
      <c r="AF1930" t="s">
        <v>52</v>
      </c>
      <c r="AG1930" t="s">
        <v>52</v>
      </c>
      <c r="AH1930" t="s">
        <v>64</v>
      </c>
      <c r="AK1930">
        <v>8</v>
      </c>
      <c r="AL1930">
        <v>8</v>
      </c>
      <c r="AN1930">
        <v>492</v>
      </c>
      <c r="AO1930" t="s">
        <v>56</v>
      </c>
      <c r="AP1930">
        <v>68</v>
      </c>
      <c r="AQ1930" t="s">
        <v>118</v>
      </c>
      <c r="AR1930">
        <v>7.96</v>
      </c>
      <c r="AS1930" t="s">
        <v>56</v>
      </c>
      <c r="AT1930">
        <v>0.05</v>
      </c>
      <c r="AU1930">
        <v>864</v>
      </c>
      <c r="AV1930" t="s">
        <v>56</v>
      </c>
      <c r="AW1930">
        <v>104</v>
      </c>
      <c r="AX1930">
        <v>7.84</v>
      </c>
      <c r="AY1930" t="s">
        <v>56</v>
      </c>
      <c r="AZ1930">
        <v>0.06</v>
      </c>
      <c r="BB1930">
        <f>LOG(AU1930)</f>
        <v>2.9365137424788932</v>
      </c>
      <c r="BC1930">
        <v>16.7</v>
      </c>
      <c r="BD1930" t="s">
        <v>56</v>
      </c>
      <c r="BE1930">
        <v>0.6</v>
      </c>
      <c r="BF1930">
        <v>19.8</v>
      </c>
      <c r="BG1930" t="s">
        <v>56</v>
      </c>
      <c r="BH1930">
        <v>0.9</v>
      </c>
      <c r="BI1930">
        <v>372</v>
      </c>
      <c r="BJ1930">
        <v>3.1</v>
      </c>
      <c r="BK1930" t="s">
        <v>56</v>
      </c>
      <c r="BL1930" t="s">
        <v>962</v>
      </c>
      <c r="BM1930" t="s">
        <v>365</v>
      </c>
      <c r="BN1930" t="s">
        <v>81</v>
      </c>
      <c r="BO1930" t="s">
        <v>56</v>
      </c>
      <c r="BP1930" t="s">
        <v>92</v>
      </c>
      <c r="BQ1930" s="8" t="s">
        <v>190</v>
      </c>
      <c r="BR1930" t="s">
        <v>63</v>
      </c>
      <c r="BT1930">
        <v>2.64</v>
      </c>
      <c r="BU1930">
        <v>2.637</v>
      </c>
      <c r="BV1930">
        <v>0.3</v>
      </c>
      <c r="BW1930">
        <f>BV1930*SQRT(AK1930)</f>
        <v>0.84852813742385702</v>
      </c>
      <c r="BX1930">
        <v>2.57</v>
      </c>
      <c r="BY1930">
        <v>2.5649999999999999</v>
      </c>
      <c r="BZ1930">
        <v>0.38</v>
      </c>
      <c r="CA1930">
        <f>BZ1930*SQRT(AL1930)</f>
        <v>1.0748023074035524</v>
      </c>
      <c r="CB1930">
        <v>84</v>
      </c>
      <c r="CC1930">
        <v>8</v>
      </c>
      <c r="CD1930">
        <v>-2.8000000000000001E-2</v>
      </c>
      <c r="CE1930">
        <v>3.49E-2</v>
      </c>
    </row>
    <row r="1931" spans="4:83" hidden="1" x14ac:dyDescent="0.2">
      <c r="D1931">
        <v>204</v>
      </c>
      <c r="G1931" t="s">
        <v>43</v>
      </c>
      <c r="H1931" t="s">
        <v>959</v>
      </c>
      <c r="J1931">
        <v>2021</v>
      </c>
      <c r="M1931" t="s">
        <v>257</v>
      </c>
      <c r="T1931" t="s">
        <v>68</v>
      </c>
      <c r="U1931" t="s">
        <v>167</v>
      </c>
      <c r="V1931" t="s">
        <v>723</v>
      </c>
      <c r="Z1931" t="s">
        <v>49</v>
      </c>
      <c r="AA1931" t="s">
        <v>49</v>
      </c>
      <c r="AB1931" t="s">
        <v>50</v>
      </c>
      <c r="AC1931" t="s">
        <v>51</v>
      </c>
      <c r="AD1931" t="s">
        <v>52</v>
      </c>
      <c r="AE1931" t="s">
        <v>53</v>
      </c>
      <c r="AF1931" t="s">
        <v>54</v>
      </c>
      <c r="AG1931" t="s">
        <v>52</v>
      </c>
      <c r="AH1931" t="s">
        <v>65</v>
      </c>
      <c r="AK1931">
        <v>8</v>
      </c>
      <c r="AL1931">
        <v>8</v>
      </c>
      <c r="AN1931">
        <v>492</v>
      </c>
      <c r="AO1931" t="s">
        <v>56</v>
      </c>
      <c r="AP1931">
        <v>68</v>
      </c>
      <c r="AQ1931" t="s">
        <v>118</v>
      </c>
      <c r="AR1931">
        <v>7.96</v>
      </c>
      <c r="AS1931" t="s">
        <v>56</v>
      </c>
      <c r="AT1931">
        <v>0.05</v>
      </c>
      <c r="AU1931">
        <v>464</v>
      </c>
      <c r="AV1931" t="s">
        <v>56</v>
      </c>
      <c r="AW1931">
        <v>59</v>
      </c>
      <c r="AX1931">
        <v>8.0399999999999991</v>
      </c>
      <c r="AY1931" t="s">
        <v>56</v>
      </c>
      <c r="AZ1931">
        <v>0.08</v>
      </c>
      <c r="BB1931">
        <f>LOG(AU1931)</f>
        <v>2.6665179805548807</v>
      </c>
      <c r="BC1931">
        <v>16.7</v>
      </c>
      <c r="BD1931" t="s">
        <v>56</v>
      </c>
      <c r="BE1931">
        <v>0.6</v>
      </c>
      <c r="BF1931">
        <v>19.8</v>
      </c>
      <c r="BG1931" t="s">
        <v>56</v>
      </c>
      <c r="BH1931">
        <v>0.8</v>
      </c>
      <c r="BI1931">
        <v>-28</v>
      </c>
      <c r="BJ1931">
        <v>3.1</v>
      </c>
      <c r="BK1931" t="s">
        <v>56</v>
      </c>
      <c r="BL1931" t="s">
        <v>961</v>
      </c>
      <c r="BM1931" t="s">
        <v>98</v>
      </c>
      <c r="BN1931" t="s">
        <v>81</v>
      </c>
      <c r="BO1931" t="s">
        <v>439</v>
      </c>
      <c r="BP1931" t="s">
        <v>100</v>
      </c>
      <c r="BQ1931" s="8" t="s">
        <v>190</v>
      </c>
      <c r="BR1931" t="s">
        <v>63</v>
      </c>
      <c r="BT1931">
        <v>659</v>
      </c>
      <c r="BU1931">
        <v>659</v>
      </c>
      <c r="BV1931">
        <v>141</v>
      </c>
      <c r="BW1931">
        <f>BV1931*SQRT(AK1931)</f>
        <v>398.80822458921284</v>
      </c>
      <c r="BX1931">
        <v>655</v>
      </c>
      <c r="BY1931">
        <v>655</v>
      </c>
      <c r="BZ1931">
        <v>84</v>
      </c>
      <c r="CA1931">
        <f>BZ1931*SQRT(AL1931)</f>
        <v>237.58787847867998</v>
      </c>
      <c r="CB1931">
        <v>84</v>
      </c>
      <c r="CC1931">
        <v>8</v>
      </c>
      <c r="CD1931">
        <v>-6.0000000000000001E-3</v>
      </c>
      <c r="CE1931">
        <v>6.2199999999999998E-2</v>
      </c>
    </row>
    <row r="1932" spans="4:83" hidden="1" x14ac:dyDescent="0.2">
      <c r="D1932">
        <v>204</v>
      </c>
      <c r="G1932" t="s">
        <v>43</v>
      </c>
      <c r="H1932" t="s">
        <v>959</v>
      </c>
      <c r="J1932">
        <v>2021</v>
      </c>
      <c r="M1932" t="s">
        <v>257</v>
      </c>
      <c r="T1932" t="s">
        <v>68</v>
      </c>
      <c r="U1932" t="s">
        <v>167</v>
      </c>
      <c r="V1932" t="s">
        <v>960</v>
      </c>
      <c r="Z1932" t="s">
        <v>49</v>
      </c>
      <c r="AA1932" t="s">
        <v>49</v>
      </c>
      <c r="AB1932" t="s">
        <v>50</v>
      </c>
      <c r="AC1932" t="s">
        <v>51</v>
      </c>
      <c r="AD1932" t="s">
        <v>52</v>
      </c>
      <c r="AE1932" t="s">
        <v>53</v>
      </c>
      <c r="AF1932" t="s">
        <v>52</v>
      </c>
      <c r="AG1932" t="s">
        <v>52</v>
      </c>
      <c r="AH1932" t="s">
        <v>64</v>
      </c>
      <c r="AK1932">
        <v>8</v>
      </c>
      <c r="AL1932">
        <v>8</v>
      </c>
      <c r="AN1932">
        <v>587</v>
      </c>
      <c r="AO1932" t="s">
        <v>56</v>
      </c>
      <c r="AP1932">
        <v>116</v>
      </c>
      <c r="AQ1932" t="s">
        <v>118</v>
      </c>
      <c r="AR1932">
        <v>7.94</v>
      </c>
      <c r="AS1932" t="s">
        <v>56</v>
      </c>
      <c r="AT1932">
        <v>0.08</v>
      </c>
      <c r="AU1932">
        <v>1177</v>
      </c>
      <c r="AV1932" t="s">
        <v>56</v>
      </c>
      <c r="AW1932">
        <v>130</v>
      </c>
      <c r="AX1932">
        <v>7.72</v>
      </c>
      <c r="AY1932" t="s">
        <v>56</v>
      </c>
      <c r="AZ1932">
        <v>0.05</v>
      </c>
      <c r="BB1932">
        <f>LOG(AU1932)</f>
        <v>3.0707764628434346</v>
      </c>
      <c r="BC1932">
        <v>17</v>
      </c>
      <c r="BD1932" t="s">
        <v>56</v>
      </c>
      <c r="BE1932">
        <v>0.2</v>
      </c>
      <c r="BF1932">
        <v>20.5</v>
      </c>
      <c r="BG1932" t="s">
        <v>56</v>
      </c>
      <c r="BH1932">
        <v>0.1</v>
      </c>
      <c r="BI1932">
        <v>590</v>
      </c>
      <c r="BJ1932">
        <v>3.5</v>
      </c>
      <c r="BK1932" t="s">
        <v>56</v>
      </c>
      <c r="BL1932" t="s">
        <v>962</v>
      </c>
      <c r="BM1932" t="s">
        <v>365</v>
      </c>
      <c r="BN1932" t="s">
        <v>81</v>
      </c>
      <c r="BO1932" t="s">
        <v>56</v>
      </c>
      <c r="BP1932" t="s">
        <v>92</v>
      </c>
      <c r="BQ1932" s="8" t="s">
        <v>190</v>
      </c>
      <c r="BR1932" t="s">
        <v>63</v>
      </c>
      <c r="BT1932">
        <v>3.71</v>
      </c>
      <c r="BU1932">
        <v>3.7090000000000001</v>
      </c>
      <c r="BV1932">
        <v>0.3</v>
      </c>
      <c r="BW1932">
        <f>BV1932*SQRT(AK1932)</f>
        <v>0.84852813742385702</v>
      </c>
      <c r="BX1932">
        <v>3.85</v>
      </c>
      <c r="BY1932">
        <v>3.8490000000000002</v>
      </c>
      <c r="BZ1932">
        <v>0.3</v>
      </c>
      <c r="CA1932">
        <f>BZ1932*SQRT(AL1932)</f>
        <v>0.84852813742385702</v>
      </c>
      <c r="CB1932">
        <v>84</v>
      </c>
      <c r="CC1932">
        <v>8</v>
      </c>
      <c r="CD1932">
        <v>3.6999999999999998E-2</v>
      </c>
      <c r="CE1932">
        <v>1.24E-2</v>
      </c>
    </row>
    <row r="1933" spans="4:83" hidden="1" x14ac:dyDescent="0.2">
      <c r="D1933">
        <v>204</v>
      </c>
      <c r="G1933" t="s">
        <v>43</v>
      </c>
      <c r="H1933" t="s">
        <v>959</v>
      </c>
      <c r="J1933">
        <v>2021</v>
      </c>
      <c r="M1933" t="s">
        <v>257</v>
      </c>
      <c r="T1933" t="s">
        <v>68</v>
      </c>
      <c r="U1933" t="s">
        <v>167</v>
      </c>
      <c r="V1933" t="s">
        <v>960</v>
      </c>
      <c r="Z1933" t="s">
        <v>49</v>
      </c>
      <c r="AA1933" t="s">
        <v>49</v>
      </c>
      <c r="AB1933" t="s">
        <v>50</v>
      </c>
      <c r="AC1933" t="s">
        <v>51</v>
      </c>
      <c r="AD1933" t="s">
        <v>52</v>
      </c>
      <c r="AE1933" t="s">
        <v>53</v>
      </c>
      <c r="AF1933" t="s">
        <v>52</v>
      </c>
      <c r="AG1933" t="s">
        <v>54</v>
      </c>
      <c r="AH1933" t="s">
        <v>55</v>
      </c>
      <c r="AK1933">
        <v>8</v>
      </c>
      <c r="AL1933">
        <v>8</v>
      </c>
      <c r="AN1933">
        <v>587</v>
      </c>
      <c r="AO1933" t="s">
        <v>56</v>
      </c>
      <c r="AP1933">
        <v>116</v>
      </c>
      <c r="AQ1933" t="s">
        <v>118</v>
      </c>
      <c r="AR1933">
        <v>7.94</v>
      </c>
      <c r="AS1933" t="s">
        <v>56</v>
      </c>
      <c r="AT1933">
        <v>0.08</v>
      </c>
      <c r="AU1933">
        <v>1127</v>
      </c>
      <c r="AV1933" t="s">
        <v>56</v>
      </c>
      <c r="AW1933">
        <v>189</v>
      </c>
      <c r="AX1933">
        <v>7.68</v>
      </c>
      <c r="AY1933" t="s">
        <v>56</v>
      </c>
      <c r="AZ1933">
        <v>0.05</v>
      </c>
      <c r="BB1933">
        <f>LOG(AU1933)</f>
        <v>3.0519239160461065</v>
      </c>
      <c r="BC1933">
        <v>17</v>
      </c>
      <c r="BD1933" t="s">
        <v>56</v>
      </c>
      <c r="BE1933">
        <v>0.2</v>
      </c>
      <c r="BF1933">
        <v>16.899999999999999</v>
      </c>
      <c r="BG1933" t="s">
        <v>56</v>
      </c>
      <c r="BH1933">
        <v>0.1</v>
      </c>
      <c r="BI1933">
        <v>540</v>
      </c>
      <c r="BJ1933">
        <v>-0.1</v>
      </c>
      <c r="BK1933" t="s">
        <v>56</v>
      </c>
      <c r="BL1933" t="s">
        <v>963</v>
      </c>
      <c r="BM1933" t="s">
        <v>963</v>
      </c>
      <c r="BN1933" t="s">
        <v>81</v>
      </c>
      <c r="BO1933" t="s">
        <v>439</v>
      </c>
      <c r="BP1933" t="s">
        <v>100</v>
      </c>
      <c r="BQ1933" s="8" t="s">
        <v>190</v>
      </c>
      <c r="BR1933" t="s">
        <v>63</v>
      </c>
      <c r="BT1933">
        <v>89.15</v>
      </c>
      <c r="BU1933">
        <v>89.15</v>
      </c>
      <c r="BV1933">
        <v>6.19</v>
      </c>
      <c r="BW1933">
        <f>BV1933*SQRT(AK1933)</f>
        <v>17.507963902178918</v>
      </c>
      <c r="BX1933">
        <v>93.64</v>
      </c>
      <c r="BY1933">
        <v>93.64</v>
      </c>
      <c r="BZ1933">
        <v>5.73</v>
      </c>
      <c r="CA1933">
        <f>BZ1933*SQRT(AL1933)</f>
        <v>16.206887424795671</v>
      </c>
      <c r="CB1933">
        <v>84</v>
      </c>
      <c r="CC1933">
        <v>8</v>
      </c>
      <c r="CD1933">
        <v>4.9000000000000002E-2</v>
      </c>
      <c r="CE1933">
        <v>8.6E-3</v>
      </c>
    </row>
    <row r="1934" spans="4:83" hidden="1" x14ac:dyDescent="0.2">
      <c r="D1934">
        <v>204</v>
      </c>
      <c r="G1934" t="s">
        <v>43</v>
      </c>
      <c r="H1934" t="s">
        <v>959</v>
      </c>
      <c r="J1934">
        <v>2021</v>
      </c>
      <c r="M1934" t="s">
        <v>257</v>
      </c>
      <c r="T1934" t="s">
        <v>68</v>
      </c>
      <c r="U1934" t="s">
        <v>167</v>
      </c>
      <c r="V1934" t="s">
        <v>960</v>
      </c>
      <c r="Z1934" t="s">
        <v>49</v>
      </c>
      <c r="AA1934" t="s">
        <v>49</v>
      </c>
      <c r="AB1934" t="s">
        <v>50</v>
      </c>
      <c r="AC1934" t="s">
        <v>51</v>
      </c>
      <c r="AD1934" t="s">
        <v>52</v>
      </c>
      <c r="AE1934" t="s">
        <v>53</v>
      </c>
      <c r="AF1934" t="s">
        <v>52</v>
      </c>
      <c r="AG1934" t="s">
        <v>54</v>
      </c>
      <c r="AH1934" t="s">
        <v>55</v>
      </c>
      <c r="AK1934">
        <v>8</v>
      </c>
      <c r="AL1934">
        <v>8</v>
      </c>
      <c r="AN1934">
        <v>587</v>
      </c>
      <c r="AO1934" t="s">
        <v>56</v>
      </c>
      <c r="AP1934">
        <v>116</v>
      </c>
      <c r="AQ1934" t="s">
        <v>118</v>
      </c>
      <c r="AR1934">
        <v>7.94</v>
      </c>
      <c r="AS1934" t="s">
        <v>56</v>
      </c>
      <c r="AT1934">
        <v>0.08</v>
      </c>
      <c r="AU1934">
        <v>797</v>
      </c>
      <c r="AV1934" t="s">
        <v>56</v>
      </c>
      <c r="AW1934">
        <v>157</v>
      </c>
      <c r="AX1934">
        <v>7.82</v>
      </c>
      <c r="AY1934" t="s">
        <v>56</v>
      </c>
      <c r="AZ1934">
        <v>0.05</v>
      </c>
      <c r="BB1934">
        <f>LOG(AU1934)</f>
        <v>2.9014583213961123</v>
      </c>
      <c r="BC1934">
        <v>17</v>
      </c>
      <c r="BD1934" t="s">
        <v>56</v>
      </c>
      <c r="BE1934">
        <v>0.2</v>
      </c>
      <c r="BF1934">
        <v>17</v>
      </c>
      <c r="BG1934" t="s">
        <v>56</v>
      </c>
      <c r="BH1934">
        <v>0.2</v>
      </c>
      <c r="BI1934">
        <v>210</v>
      </c>
      <c r="BJ1934">
        <v>0</v>
      </c>
      <c r="BK1934" t="s">
        <v>56</v>
      </c>
      <c r="BL1934" t="s">
        <v>962</v>
      </c>
      <c r="BM1934" t="s">
        <v>365</v>
      </c>
      <c r="BN1934" t="s">
        <v>81</v>
      </c>
      <c r="BO1934" t="s">
        <v>56</v>
      </c>
      <c r="BP1934" t="s">
        <v>92</v>
      </c>
      <c r="BQ1934" s="8" t="s">
        <v>190</v>
      </c>
      <c r="BR1934" t="s">
        <v>63</v>
      </c>
      <c r="BT1934">
        <v>3.71</v>
      </c>
      <c r="BU1934">
        <v>3.7090000000000001</v>
      </c>
      <c r="BV1934">
        <v>0.3</v>
      </c>
      <c r="BW1934">
        <f>BV1934*SQRT(AK1934)</f>
        <v>0.84852813742385702</v>
      </c>
      <c r="BX1934">
        <v>4.0199999999999996</v>
      </c>
      <c r="BY1934">
        <v>4.0229999999999997</v>
      </c>
      <c r="BZ1934">
        <v>0.26</v>
      </c>
      <c r="CA1934">
        <f>BZ1934*SQRT(AL1934)</f>
        <v>0.73539105243400948</v>
      </c>
      <c r="CB1934">
        <v>84</v>
      </c>
      <c r="CC1934">
        <v>8</v>
      </c>
      <c r="CD1934">
        <v>8.1000000000000003E-2</v>
      </c>
      <c r="CE1934">
        <v>1.04E-2</v>
      </c>
    </row>
    <row r="1935" spans="4:83" hidden="1" x14ac:dyDescent="0.2">
      <c r="D1935">
        <v>204</v>
      </c>
      <c r="G1935" t="s">
        <v>43</v>
      </c>
      <c r="H1935" t="s">
        <v>959</v>
      </c>
      <c r="J1935">
        <v>2021</v>
      </c>
      <c r="M1935" t="s">
        <v>257</v>
      </c>
      <c r="T1935" t="s">
        <v>68</v>
      </c>
      <c r="U1935" t="s">
        <v>167</v>
      </c>
      <c r="V1935" t="s">
        <v>723</v>
      </c>
      <c r="Z1935" t="s">
        <v>49</v>
      </c>
      <c r="AA1935" t="s">
        <v>49</v>
      </c>
      <c r="AB1935" t="s">
        <v>50</v>
      </c>
      <c r="AC1935" t="s">
        <v>51</v>
      </c>
      <c r="AD1935" t="s">
        <v>52</v>
      </c>
      <c r="AE1935" t="s">
        <v>53</v>
      </c>
      <c r="AF1935" t="s">
        <v>52</v>
      </c>
      <c r="AG1935" t="s">
        <v>54</v>
      </c>
      <c r="AH1935" t="s">
        <v>55</v>
      </c>
      <c r="AK1935">
        <v>8</v>
      </c>
      <c r="AL1935">
        <v>8</v>
      </c>
      <c r="AN1935">
        <v>492</v>
      </c>
      <c r="AO1935" t="s">
        <v>56</v>
      </c>
      <c r="AP1935">
        <v>68</v>
      </c>
      <c r="AQ1935" t="s">
        <v>118</v>
      </c>
      <c r="AR1935">
        <v>7.96</v>
      </c>
      <c r="AS1935" t="s">
        <v>56</v>
      </c>
      <c r="AT1935">
        <v>0.05</v>
      </c>
      <c r="AU1935">
        <v>626</v>
      </c>
      <c r="AV1935" t="s">
        <v>56</v>
      </c>
      <c r="AW1935">
        <v>79</v>
      </c>
      <c r="AX1935">
        <v>7.86</v>
      </c>
      <c r="AY1935" t="s">
        <v>56</v>
      </c>
      <c r="AZ1935">
        <v>7.0000000000000007E-2</v>
      </c>
      <c r="BB1935">
        <f>LOG(AU1935)</f>
        <v>2.7965743332104296</v>
      </c>
      <c r="BC1935">
        <v>16.7</v>
      </c>
      <c r="BD1935" t="s">
        <v>56</v>
      </c>
      <c r="BE1935">
        <v>0.6</v>
      </c>
      <c r="BF1935">
        <v>16.7</v>
      </c>
      <c r="BG1935" t="s">
        <v>56</v>
      </c>
      <c r="BH1935">
        <v>0.6</v>
      </c>
      <c r="BI1935">
        <v>134</v>
      </c>
      <c r="BJ1935">
        <v>0</v>
      </c>
      <c r="BK1935" t="s">
        <v>56</v>
      </c>
      <c r="BL1935" t="s">
        <v>963</v>
      </c>
      <c r="BM1935" t="s">
        <v>963</v>
      </c>
      <c r="BN1935" t="s">
        <v>81</v>
      </c>
      <c r="BO1935" t="s">
        <v>439</v>
      </c>
      <c r="BP1935" t="s">
        <v>100</v>
      </c>
      <c r="BQ1935" s="8" t="s">
        <v>190</v>
      </c>
      <c r="BR1935" t="s">
        <v>63</v>
      </c>
      <c r="BT1935">
        <v>92.37</v>
      </c>
      <c r="BU1935">
        <v>92.37</v>
      </c>
      <c r="BV1935">
        <v>8.1</v>
      </c>
      <c r="BW1935">
        <f>BV1935*SQRT(AK1935)</f>
        <v>22.910259710444141</v>
      </c>
      <c r="BX1935">
        <v>100.33</v>
      </c>
      <c r="BY1935">
        <v>100.33</v>
      </c>
      <c r="BZ1935">
        <v>14.29</v>
      </c>
      <c r="CA1935">
        <f>BZ1935*SQRT(AL1935)</f>
        <v>40.418223612623059</v>
      </c>
      <c r="CB1935">
        <v>84</v>
      </c>
      <c r="CC1935">
        <v>8</v>
      </c>
      <c r="CD1935">
        <v>8.3000000000000004E-2</v>
      </c>
      <c r="CE1935">
        <v>2.8000000000000001E-2</v>
      </c>
    </row>
    <row r="1936" spans="4:83" hidden="1" x14ac:dyDescent="0.2">
      <c r="D1936">
        <v>204</v>
      </c>
      <c r="G1936" t="s">
        <v>43</v>
      </c>
      <c r="H1936" t="s">
        <v>959</v>
      </c>
      <c r="J1936">
        <v>2021</v>
      </c>
      <c r="M1936" t="s">
        <v>257</v>
      </c>
      <c r="T1936" t="s">
        <v>68</v>
      </c>
      <c r="U1936" t="s">
        <v>167</v>
      </c>
      <c r="V1936" t="s">
        <v>723</v>
      </c>
      <c r="Z1936" t="s">
        <v>49</v>
      </c>
      <c r="AA1936" t="s">
        <v>49</v>
      </c>
      <c r="AB1936" t="s">
        <v>50</v>
      </c>
      <c r="AC1936" t="s">
        <v>51</v>
      </c>
      <c r="AD1936" t="s">
        <v>52</v>
      </c>
      <c r="AE1936" t="s">
        <v>53</v>
      </c>
      <c r="AF1936" t="s">
        <v>52</v>
      </c>
      <c r="AG1936" t="s">
        <v>54</v>
      </c>
      <c r="AH1936" t="s">
        <v>55</v>
      </c>
      <c r="AK1936">
        <v>8</v>
      </c>
      <c r="AL1936">
        <v>8</v>
      </c>
      <c r="AN1936">
        <v>492</v>
      </c>
      <c r="AO1936" t="s">
        <v>56</v>
      </c>
      <c r="AP1936">
        <v>68</v>
      </c>
      <c r="AQ1936" t="s">
        <v>118</v>
      </c>
      <c r="AR1936">
        <v>7.96</v>
      </c>
      <c r="AS1936" t="s">
        <v>56</v>
      </c>
      <c r="AT1936">
        <v>0.05</v>
      </c>
      <c r="AU1936">
        <v>818</v>
      </c>
      <c r="AV1936" t="s">
        <v>56</v>
      </c>
      <c r="AW1936">
        <v>140</v>
      </c>
      <c r="AX1936">
        <v>7.77</v>
      </c>
      <c r="AY1936" t="s">
        <v>56</v>
      </c>
      <c r="AZ1936">
        <v>0.1</v>
      </c>
      <c r="BB1936">
        <f>LOG(AU1936)</f>
        <v>2.9127533036713231</v>
      </c>
      <c r="BC1936">
        <v>16.7</v>
      </c>
      <c r="BD1936" t="s">
        <v>56</v>
      </c>
      <c r="BE1936">
        <v>0.6</v>
      </c>
      <c r="BF1936">
        <v>16.7</v>
      </c>
      <c r="BG1936" t="s">
        <v>56</v>
      </c>
      <c r="BH1936">
        <v>0.6</v>
      </c>
      <c r="BI1936">
        <v>326</v>
      </c>
      <c r="BJ1936">
        <v>0</v>
      </c>
      <c r="BK1936" t="s">
        <v>56</v>
      </c>
      <c r="BL1936" t="s">
        <v>961</v>
      </c>
      <c r="BM1936" t="s">
        <v>98</v>
      </c>
      <c r="BN1936" t="s">
        <v>81</v>
      </c>
      <c r="BO1936" t="s">
        <v>439</v>
      </c>
      <c r="BP1936" t="s">
        <v>100</v>
      </c>
      <c r="BQ1936" s="8" t="s">
        <v>190</v>
      </c>
      <c r="BR1936" t="s">
        <v>63</v>
      </c>
      <c r="BT1936">
        <v>659</v>
      </c>
      <c r="BU1936">
        <v>659</v>
      </c>
      <c r="BV1936">
        <v>141</v>
      </c>
      <c r="BW1936">
        <f>BV1936*SQRT(AK1936)</f>
        <v>398.80822458921284</v>
      </c>
      <c r="BX1936">
        <v>724</v>
      </c>
      <c r="BY1936">
        <v>724</v>
      </c>
      <c r="BZ1936">
        <v>102</v>
      </c>
      <c r="CA1936">
        <f>BZ1936*SQRT(AL1936)</f>
        <v>288.49956672411139</v>
      </c>
      <c r="CB1936">
        <v>84</v>
      </c>
      <c r="CC1936">
        <v>8</v>
      </c>
      <c r="CD1936">
        <v>9.4E-2</v>
      </c>
      <c r="CE1936">
        <v>6.5600000000000006E-2</v>
      </c>
    </row>
    <row r="1937" spans="4:83" hidden="1" x14ac:dyDescent="0.2">
      <c r="D1937">
        <v>204</v>
      </c>
      <c r="G1937" t="s">
        <v>43</v>
      </c>
      <c r="H1937" t="s">
        <v>959</v>
      </c>
      <c r="J1937">
        <v>2021</v>
      </c>
      <c r="M1937" t="s">
        <v>257</v>
      </c>
      <c r="T1937" t="s">
        <v>68</v>
      </c>
      <c r="U1937" t="s">
        <v>167</v>
      </c>
      <c r="V1937" t="s">
        <v>723</v>
      </c>
      <c r="Z1937" t="s">
        <v>49</v>
      </c>
      <c r="AA1937" t="s">
        <v>49</v>
      </c>
      <c r="AB1937" t="s">
        <v>50</v>
      </c>
      <c r="AC1937" t="s">
        <v>51</v>
      </c>
      <c r="AD1937" t="s">
        <v>52</v>
      </c>
      <c r="AE1937" t="s">
        <v>53</v>
      </c>
      <c r="AF1937" t="s">
        <v>52</v>
      </c>
      <c r="AG1937" t="s">
        <v>54</v>
      </c>
      <c r="AH1937" t="s">
        <v>55</v>
      </c>
      <c r="AK1937">
        <v>8</v>
      </c>
      <c r="AL1937">
        <v>8</v>
      </c>
      <c r="AN1937">
        <v>492</v>
      </c>
      <c r="AO1937" t="s">
        <v>56</v>
      </c>
      <c r="AP1937">
        <v>68</v>
      </c>
      <c r="AQ1937" t="s">
        <v>118</v>
      </c>
      <c r="AR1937">
        <v>7.96</v>
      </c>
      <c r="AS1937" t="s">
        <v>56</v>
      </c>
      <c r="AT1937">
        <v>0.05</v>
      </c>
      <c r="AU1937">
        <v>818</v>
      </c>
      <c r="AV1937" t="s">
        <v>56</v>
      </c>
      <c r="AW1937">
        <v>140</v>
      </c>
      <c r="AX1937">
        <v>7.77</v>
      </c>
      <c r="AY1937" t="s">
        <v>56</v>
      </c>
      <c r="AZ1937">
        <v>0.1</v>
      </c>
      <c r="BB1937">
        <f>LOG(AU1937)</f>
        <v>2.9127533036713231</v>
      </c>
      <c r="BC1937">
        <v>16.7</v>
      </c>
      <c r="BD1937" t="s">
        <v>56</v>
      </c>
      <c r="BE1937">
        <v>0.6</v>
      </c>
      <c r="BF1937">
        <v>16.7</v>
      </c>
      <c r="BG1937" t="s">
        <v>56</v>
      </c>
      <c r="BH1937">
        <v>0.6</v>
      </c>
      <c r="BI1937">
        <v>326</v>
      </c>
      <c r="BJ1937">
        <v>0</v>
      </c>
      <c r="BK1937" t="s">
        <v>56</v>
      </c>
      <c r="BL1937" t="s">
        <v>963</v>
      </c>
      <c r="BM1937" t="s">
        <v>963</v>
      </c>
      <c r="BN1937" t="s">
        <v>81</v>
      </c>
      <c r="BO1937" t="s">
        <v>439</v>
      </c>
      <c r="BP1937" t="s">
        <v>100</v>
      </c>
      <c r="BQ1937" s="8" t="s">
        <v>190</v>
      </c>
      <c r="BR1937" t="s">
        <v>63</v>
      </c>
      <c r="BT1937">
        <v>92.37</v>
      </c>
      <c r="BU1937">
        <v>92.37</v>
      </c>
      <c r="BV1937">
        <v>8.1</v>
      </c>
      <c r="BW1937">
        <f>BV1937*SQRT(AK1937)</f>
        <v>22.910259710444141</v>
      </c>
      <c r="BX1937">
        <v>102.11</v>
      </c>
      <c r="BY1937">
        <v>102.11</v>
      </c>
      <c r="BZ1937">
        <v>8.57</v>
      </c>
      <c r="CA1937">
        <f>BZ1937*SQRT(AL1937)</f>
        <v>24.239620459074853</v>
      </c>
      <c r="CB1937">
        <v>84</v>
      </c>
      <c r="CC1937">
        <v>8</v>
      </c>
      <c r="CD1937">
        <v>0.1</v>
      </c>
      <c r="CE1937">
        <v>1.47E-2</v>
      </c>
    </row>
    <row r="1938" spans="4:83" hidden="1" x14ac:dyDescent="0.2">
      <c r="D1938">
        <v>204</v>
      </c>
      <c r="G1938" t="s">
        <v>43</v>
      </c>
      <c r="H1938" t="s">
        <v>959</v>
      </c>
      <c r="J1938">
        <v>2021</v>
      </c>
      <c r="M1938" t="s">
        <v>257</v>
      </c>
      <c r="T1938" t="s">
        <v>68</v>
      </c>
      <c r="U1938" t="s">
        <v>167</v>
      </c>
      <c r="V1938" t="s">
        <v>723</v>
      </c>
      <c r="Z1938" t="s">
        <v>49</v>
      </c>
      <c r="AA1938" t="s">
        <v>49</v>
      </c>
      <c r="AB1938" t="s">
        <v>50</v>
      </c>
      <c r="AC1938" t="s">
        <v>51</v>
      </c>
      <c r="AD1938" t="s">
        <v>52</v>
      </c>
      <c r="AE1938" t="s">
        <v>53</v>
      </c>
      <c r="AF1938" t="s">
        <v>54</v>
      </c>
      <c r="AG1938" t="s">
        <v>52</v>
      </c>
      <c r="AH1938" t="s">
        <v>65</v>
      </c>
      <c r="AK1938">
        <v>8</v>
      </c>
      <c r="AL1938">
        <v>8</v>
      </c>
      <c r="AN1938">
        <v>492</v>
      </c>
      <c r="AO1938" t="s">
        <v>56</v>
      </c>
      <c r="AP1938">
        <v>68</v>
      </c>
      <c r="AQ1938" t="s">
        <v>118</v>
      </c>
      <c r="AR1938">
        <v>7.96</v>
      </c>
      <c r="AS1938" t="s">
        <v>56</v>
      </c>
      <c r="AT1938">
        <v>0.05</v>
      </c>
      <c r="AU1938">
        <v>464</v>
      </c>
      <c r="AV1938" t="s">
        <v>56</v>
      </c>
      <c r="AW1938">
        <v>59</v>
      </c>
      <c r="AX1938">
        <v>8.0399999999999991</v>
      </c>
      <c r="AY1938" t="s">
        <v>56</v>
      </c>
      <c r="AZ1938">
        <v>0.08</v>
      </c>
      <c r="BB1938">
        <f>LOG(AU1938)</f>
        <v>2.6665179805548807</v>
      </c>
      <c r="BC1938">
        <v>16.7</v>
      </c>
      <c r="BD1938" t="s">
        <v>56</v>
      </c>
      <c r="BE1938">
        <v>0.6</v>
      </c>
      <c r="BF1938">
        <v>19.8</v>
      </c>
      <c r="BG1938" t="s">
        <v>56</v>
      </c>
      <c r="BH1938">
        <v>0.8</v>
      </c>
      <c r="BI1938">
        <v>-28</v>
      </c>
      <c r="BJ1938">
        <v>3.1</v>
      </c>
      <c r="BK1938" t="s">
        <v>56</v>
      </c>
      <c r="BL1938" t="s">
        <v>963</v>
      </c>
      <c r="BM1938" t="s">
        <v>963</v>
      </c>
      <c r="BN1938" t="s">
        <v>81</v>
      </c>
      <c r="BO1938" t="s">
        <v>439</v>
      </c>
      <c r="BP1938" t="s">
        <v>100</v>
      </c>
      <c r="BQ1938" s="8" t="s">
        <v>190</v>
      </c>
      <c r="BR1938" t="s">
        <v>63</v>
      </c>
      <c r="BT1938">
        <v>92.37</v>
      </c>
      <c r="BU1938">
        <v>92.37</v>
      </c>
      <c r="BV1938">
        <v>8.1</v>
      </c>
      <c r="BW1938">
        <f>BV1938*SQRT(AK1938)</f>
        <v>22.910259710444141</v>
      </c>
      <c r="BX1938">
        <v>103.46</v>
      </c>
      <c r="BY1938">
        <v>103.46</v>
      </c>
      <c r="BZ1938">
        <v>16.190000000000001</v>
      </c>
      <c r="CA1938">
        <f>BZ1938*SQRT(AL1938)</f>
        <v>45.792235149640824</v>
      </c>
      <c r="CB1938">
        <v>84</v>
      </c>
      <c r="CC1938">
        <v>8</v>
      </c>
      <c r="CD1938">
        <v>0.113</v>
      </c>
      <c r="CE1938">
        <v>3.2199999999999999E-2</v>
      </c>
    </row>
    <row r="1939" spans="4:83" hidden="1" x14ac:dyDescent="0.2">
      <c r="D1939">
        <v>204</v>
      </c>
      <c r="G1939" t="s">
        <v>43</v>
      </c>
      <c r="H1939" t="s">
        <v>959</v>
      </c>
      <c r="J1939">
        <v>2021</v>
      </c>
      <c r="M1939" t="s">
        <v>257</v>
      </c>
      <c r="T1939" t="s">
        <v>68</v>
      </c>
      <c r="U1939" t="s">
        <v>167</v>
      </c>
      <c r="V1939" t="s">
        <v>723</v>
      </c>
      <c r="Z1939" t="s">
        <v>49</v>
      </c>
      <c r="AA1939" t="s">
        <v>49</v>
      </c>
      <c r="AB1939" t="s">
        <v>50</v>
      </c>
      <c r="AC1939" t="s">
        <v>51</v>
      </c>
      <c r="AD1939" t="s">
        <v>52</v>
      </c>
      <c r="AE1939" t="s">
        <v>53</v>
      </c>
      <c r="AF1939" t="s">
        <v>52</v>
      </c>
      <c r="AG1939" t="s">
        <v>54</v>
      </c>
      <c r="AH1939" t="s">
        <v>55</v>
      </c>
      <c r="AK1939">
        <v>8</v>
      </c>
      <c r="AL1939">
        <v>8</v>
      </c>
      <c r="AN1939">
        <v>492</v>
      </c>
      <c r="AO1939" t="s">
        <v>56</v>
      </c>
      <c r="AP1939">
        <v>68</v>
      </c>
      <c r="AQ1939" t="s">
        <v>118</v>
      </c>
      <c r="AR1939">
        <v>7.96</v>
      </c>
      <c r="AS1939" t="s">
        <v>56</v>
      </c>
      <c r="AT1939">
        <v>0.05</v>
      </c>
      <c r="AU1939">
        <v>626</v>
      </c>
      <c r="AV1939" t="s">
        <v>56</v>
      </c>
      <c r="AW1939">
        <v>79</v>
      </c>
      <c r="AX1939">
        <v>7.86</v>
      </c>
      <c r="AY1939" t="s">
        <v>56</v>
      </c>
      <c r="AZ1939">
        <v>7.0000000000000007E-2</v>
      </c>
      <c r="BB1939">
        <f>LOG(AU1939)</f>
        <v>2.7965743332104296</v>
      </c>
      <c r="BC1939">
        <v>16.7</v>
      </c>
      <c r="BD1939" t="s">
        <v>56</v>
      </c>
      <c r="BE1939">
        <v>0.6</v>
      </c>
      <c r="BF1939">
        <v>16.7</v>
      </c>
      <c r="BG1939" t="s">
        <v>56</v>
      </c>
      <c r="BH1939">
        <v>0.6</v>
      </c>
      <c r="BI1939">
        <v>134</v>
      </c>
      <c r="BJ1939">
        <v>0</v>
      </c>
      <c r="BK1939" t="s">
        <v>56</v>
      </c>
      <c r="BL1939" t="s">
        <v>961</v>
      </c>
      <c r="BM1939" t="s">
        <v>98</v>
      </c>
      <c r="BN1939" t="s">
        <v>81</v>
      </c>
      <c r="BO1939" t="s">
        <v>439</v>
      </c>
      <c r="BP1939" t="s">
        <v>100</v>
      </c>
      <c r="BQ1939" s="8" t="s">
        <v>190</v>
      </c>
      <c r="BR1939" t="s">
        <v>63</v>
      </c>
      <c r="BT1939">
        <v>659</v>
      </c>
      <c r="BU1939">
        <v>659</v>
      </c>
      <c r="BV1939">
        <v>141</v>
      </c>
      <c r="BW1939">
        <f>BV1939*SQRT(AK1939)</f>
        <v>398.80822458921284</v>
      </c>
      <c r="BX1939">
        <v>764</v>
      </c>
      <c r="BY1939">
        <v>764</v>
      </c>
      <c r="BZ1939">
        <v>170</v>
      </c>
      <c r="CA1939">
        <f>BZ1939*SQRT(AL1939)</f>
        <v>480.83261120685233</v>
      </c>
      <c r="CB1939">
        <v>84</v>
      </c>
      <c r="CC1939">
        <v>8</v>
      </c>
      <c r="CD1939">
        <v>0.14799999999999999</v>
      </c>
      <c r="CE1939">
        <v>9.5299999999999996E-2</v>
      </c>
    </row>
    <row r="1940" spans="4:83" hidden="1" x14ac:dyDescent="0.2">
      <c r="D1940">
        <v>204</v>
      </c>
      <c r="G1940" t="s">
        <v>43</v>
      </c>
      <c r="H1940" t="s">
        <v>959</v>
      </c>
      <c r="J1940">
        <v>2021</v>
      </c>
      <c r="M1940" t="s">
        <v>257</v>
      </c>
      <c r="T1940" t="s">
        <v>68</v>
      </c>
      <c r="U1940" t="s">
        <v>167</v>
      </c>
      <c r="V1940" t="s">
        <v>723</v>
      </c>
      <c r="Z1940" t="s">
        <v>49</v>
      </c>
      <c r="AA1940" t="s">
        <v>49</v>
      </c>
      <c r="AB1940" t="s">
        <v>50</v>
      </c>
      <c r="AC1940" t="s">
        <v>51</v>
      </c>
      <c r="AD1940" t="s">
        <v>52</v>
      </c>
      <c r="AE1940" t="s">
        <v>53</v>
      </c>
      <c r="AF1940" t="s">
        <v>52</v>
      </c>
      <c r="AG1940" t="s">
        <v>52</v>
      </c>
      <c r="AH1940" t="s">
        <v>64</v>
      </c>
      <c r="AK1940">
        <v>8</v>
      </c>
      <c r="AL1940">
        <v>8</v>
      </c>
      <c r="AN1940">
        <v>492</v>
      </c>
      <c r="AO1940" t="s">
        <v>56</v>
      </c>
      <c r="AP1940">
        <v>68</v>
      </c>
      <c r="AQ1940" t="s">
        <v>118</v>
      </c>
      <c r="AR1940">
        <v>7.96</v>
      </c>
      <c r="AS1940" t="s">
        <v>56</v>
      </c>
      <c r="AT1940">
        <v>0.05</v>
      </c>
      <c r="AU1940">
        <v>864</v>
      </c>
      <c r="AV1940" t="s">
        <v>56</v>
      </c>
      <c r="AW1940">
        <v>104</v>
      </c>
      <c r="AX1940">
        <v>7.84</v>
      </c>
      <c r="AY1940" t="s">
        <v>56</v>
      </c>
      <c r="AZ1940">
        <v>0.06</v>
      </c>
      <c r="BB1940">
        <f>LOG(AU1940)</f>
        <v>2.9365137424788932</v>
      </c>
      <c r="BC1940">
        <v>16.7</v>
      </c>
      <c r="BD1940" t="s">
        <v>56</v>
      </c>
      <c r="BE1940">
        <v>0.6</v>
      </c>
      <c r="BF1940">
        <v>19.8</v>
      </c>
      <c r="BG1940" t="s">
        <v>56</v>
      </c>
      <c r="BH1940">
        <v>0.9</v>
      </c>
      <c r="BI1940">
        <v>372</v>
      </c>
      <c r="BJ1940">
        <v>3.1</v>
      </c>
      <c r="BK1940" t="s">
        <v>56</v>
      </c>
      <c r="BL1940" t="s">
        <v>961</v>
      </c>
      <c r="BM1940" t="s">
        <v>98</v>
      </c>
      <c r="BN1940" t="s">
        <v>81</v>
      </c>
      <c r="BO1940" t="s">
        <v>439</v>
      </c>
      <c r="BP1940" t="s">
        <v>100</v>
      </c>
      <c r="BQ1940" s="8" t="s">
        <v>190</v>
      </c>
      <c r="BR1940" t="s">
        <v>63</v>
      </c>
      <c r="BT1940">
        <v>659</v>
      </c>
      <c r="BU1940">
        <v>659</v>
      </c>
      <c r="BV1940">
        <v>141</v>
      </c>
      <c r="BW1940">
        <f>BV1940*SQRT(AK1940)</f>
        <v>398.80822458921284</v>
      </c>
      <c r="BX1940">
        <v>782</v>
      </c>
      <c r="BY1940">
        <v>782</v>
      </c>
      <c r="BZ1940">
        <v>112</v>
      </c>
      <c r="CA1940">
        <f>BZ1940*SQRT(AL1940)</f>
        <v>316.78383797157329</v>
      </c>
      <c r="CB1940">
        <v>84</v>
      </c>
      <c r="CC1940">
        <v>8</v>
      </c>
      <c r="CD1940">
        <v>0.17100000000000001</v>
      </c>
      <c r="CE1940">
        <v>6.6299999999999998E-2</v>
      </c>
    </row>
    <row r="1941" spans="4:83" hidden="1" x14ac:dyDescent="0.2">
      <c r="D1941">
        <v>204</v>
      </c>
      <c r="G1941" t="s">
        <v>43</v>
      </c>
      <c r="H1941" t="s">
        <v>959</v>
      </c>
      <c r="J1941">
        <v>2021</v>
      </c>
      <c r="M1941" t="s">
        <v>257</v>
      </c>
      <c r="T1941" t="s">
        <v>68</v>
      </c>
      <c r="U1941" t="s">
        <v>167</v>
      </c>
      <c r="V1941" t="s">
        <v>960</v>
      </c>
      <c r="Z1941" t="s">
        <v>49</v>
      </c>
      <c r="AA1941" t="s">
        <v>49</v>
      </c>
      <c r="AB1941" t="s">
        <v>50</v>
      </c>
      <c r="AC1941" t="s">
        <v>51</v>
      </c>
      <c r="AD1941" t="s">
        <v>52</v>
      </c>
      <c r="AE1941" t="s">
        <v>53</v>
      </c>
      <c r="AF1941" t="s">
        <v>54</v>
      </c>
      <c r="AG1941" t="s">
        <v>52</v>
      </c>
      <c r="AH1941" t="s">
        <v>65</v>
      </c>
      <c r="AK1941">
        <v>8</v>
      </c>
      <c r="AL1941">
        <v>8</v>
      </c>
      <c r="AN1941">
        <v>587</v>
      </c>
      <c r="AO1941" t="s">
        <v>56</v>
      </c>
      <c r="AP1941">
        <v>116</v>
      </c>
      <c r="AQ1941" t="s">
        <v>118</v>
      </c>
      <c r="AR1941">
        <v>7.94</v>
      </c>
      <c r="AS1941" t="s">
        <v>56</v>
      </c>
      <c r="AT1941">
        <v>0.08</v>
      </c>
      <c r="AU1941">
        <v>629</v>
      </c>
      <c r="AV1941" t="s">
        <v>56</v>
      </c>
      <c r="AW1941">
        <v>95</v>
      </c>
      <c r="AX1941">
        <v>7.97</v>
      </c>
      <c r="AY1941" t="s">
        <v>56</v>
      </c>
      <c r="AZ1941">
        <v>0.04</v>
      </c>
      <c r="BB1941">
        <f>LOG(AU1941)</f>
        <v>2.7986506454452691</v>
      </c>
      <c r="BC1941">
        <v>17</v>
      </c>
      <c r="BD1941" t="s">
        <v>56</v>
      </c>
      <c r="BE1941">
        <v>0.2</v>
      </c>
      <c r="BF1941">
        <v>20.7</v>
      </c>
      <c r="BG1941" t="s">
        <v>56</v>
      </c>
      <c r="BH1941">
        <v>0.2</v>
      </c>
      <c r="BI1941">
        <v>42</v>
      </c>
      <c r="BJ1941">
        <v>3.7</v>
      </c>
      <c r="BK1941" t="s">
        <v>56</v>
      </c>
      <c r="BL1941" t="s">
        <v>962</v>
      </c>
      <c r="BM1941" t="s">
        <v>365</v>
      </c>
      <c r="BN1941" t="s">
        <v>81</v>
      </c>
      <c r="BO1941" t="s">
        <v>56</v>
      </c>
      <c r="BP1941" t="s">
        <v>92</v>
      </c>
      <c r="BQ1941" s="8" t="s">
        <v>190</v>
      </c>
      <c r="BR1941" t="s">
        <v>63</v>
      </c>
      <c r="BT1941">
        <v>3.71</v>
      </c>
      <c r="BU1941">
        <v>3.7090000000000001</v>
      </c>
      <c r="BV1941">
        <v>0.3</v>
      </c>
      <c r="BW1941">
        <f>BV1941*SQRT(AK1941)</f>
        <v>0.84852813742385702</v>
      </c>
      <c r="BX1941">
        <v>4.43</v>
      </c>
      <c r="BY1941">
        <v>4.4279999999999999</v>
      </c>
      <c r="BZ1941">
        <v>0.34</v>
      </c>
      <c r="CA1941">
        <f>BZ1941*SQRT(AL1941)</f>
        <v>0.96166522241370478</v>
      </c>
      <c r="CB1941">
        <v>84</v>
      </c>
      <c r="CC1941">
        <v>8</v>
      </c>
      <c r="CD1941">
        <v>0.17699999999999999</v>
      </c>
      <c r="CE1941">
        <v>1.23E-2</v>
      </c>
    </row>
    <row r="1942" spans="4:83" hidden="1" x14ac:dyDescent="0.2">
      <c r="D1942">
        <v>204</v>
      </c>
      <c r="G1942" t="s">
        <v>43</v>
      </c>
      <c r="H1942" t="s">
        <v>959</v>
      </c>
      <c r="J1942">
        <v>2021</v>
      </c>
      <c r="M1942" t="s">
        <v>257</v>
      </c>
      <c r="T1942" t="s">
        <v>68</v>
      </c>
      <c r="U1942" t="s">
        <v>167</v>
      </c>
      <c r="V1942" t="s">
        <v>960</v>
      </c>
      <c r="Z1942" t="s">
        <v>49</v>
      </c>
      <c r="AA1942" t="s">
        <v>49</v>
      </c>
      <c r="AB1942" t="s">
        <v>50</v>
      </c>
      <c r="AC1942" t="s">
        <v>51</v>
      </c>
      <c r="AD1942" t="s">
        <v>52</v>
      </c>
      <c r="AE1942" t="s">
        <v>53</v>
      </c>
      <c r="AF1942" t="s">
        <v>52</v>
      </c>
      <c r="AG1942" t="s">
        <v>52</v>
      </c>
      <c r="AH1942" t="s">
        <v>64</v>
      </c>
      <c r="AK1942">
        <v>8</v>
      </c>
      <c r="AL1942">
        <v>8</v>
      </c>
      <c r="AN1942">
        <v>587</v>
      </c>
      <c r="AO1942" t="s">
        <v>56</v>
      </c>
      <c r="AP1942">
        <v>116</v>
      </c>
      <c r="AQ1942" t="s">
        <v>118</v>
      </c>
      <c r="AR1942">
        <v>7.94</v>
      </c>
      <c r="AS1942" t="s">
        <v>56</v>
      </c>
      <c r="AT1942">
        <v>0.08</v>
      </c>
      <c r="AU1942">
        <v>835</v>
      </c>
      <c r="AV1942" t="s">
        <v>56</v>
      </c>
      <c r="AW1942">
        <v>140</v>
      </c>
      <c r="AX1942">
        <v>7.87</v>
      </c>
      <c r="AY1942" t="s">
        <v>56</v>
      </c>
      <c r="AZ1942">
        <v>0.03</v>
      </c>
      <c r="BB1942">
        <f>LOG(AU1942)</f>
        <v>2.9216864754836021</v>
      </c>
      <c r="BC1942">
        <v>17</v>
      </c>
      <c r="BD1942" t="s">
        <v>56</v>
      </c>
      <c r="BE1942">
        <v>0.2</v>
      </c>
      <c r="BF1942">
        <v>21.8</v>
      </c>
      <c r="BG1942" t="s">
        <v>56</v>
      </c>
      <c r="BH1942">
        <v>0.6</v>
      </c>
      <c r="BI1942">
        <v>248</v>
      </c>
      <c r="BJ1942">
        <v>4.8</v>
      </c>
      <c r="BK1942" t="s">
        <v>56</v>
      </c>
      <c r="BL1942" t="s">
        <v>963</v>
      </c>
      <c r="BM1942" t="s">
        <v>963</v>
      </c>
      <c r="BN1942" t="s">
        <v>81</v>
      </c>
      <c r="BO1942" t="s">
        <v>439</v>
      </c>
      <c r="BP1942" t="s">
        <v>100</v>
      </c>
      <c r="BQ1942" s="8" t="s">
        <v>190</v>
      </c>
      <c r="BR1942" t="s">
        <v>63</v>
      </c>
      <c r="BT1942">
        <v>89.15</v>
      </c>
      <c r="BU1942">
        <v>89.15</v>
      </c>
      <c r="BV1942">
        <v>6.19</v>
      </c>
      <c r="BW1942">
        <f>BV1942*SQRT(AK1942)</f>
        <v>17.507963902178918</v>
      </c>
      <c r="BX1942">
        <v>109.63</v>
      </c>
      <c r="BY1942">
        <v>109.63</v>
      </c>
      <c r="BZ1942">
        <v>8.1</v>
      </c>
      <c r="CA1942">
        <f>BZ1942*SQRT(AL1942)</f>
        <v>22.910259710444141</v>
      </c>
      <c r="CB1942">
        <v>84</v>
      </c>
      <c r="CC1942">
        <v>8</v>
      </c>
      <c r="CD1942">
        <v>0.20699999999999999</v>
      </c>
      <c r="CE1942">
        <v>1.03E-2</v>
      </c>
    </row>
    <row r="1943" spans="4:83" hidden="1" x14ac:dyDescent="0.2">
      <c r="D1943">
        <v>204</v>
      </c>
      <c r="G1943" t="s">
        <v>43</v>
      </c>
      <c r="H1943" t="s">
        <v>959</v>
      </c>
      <c r="J1943">
        <v>2021</v>
      </c>
      <c r="M1943" t="s">
        <v>257</v>
      </c>
      <c r="T1943" t="s">
        <v>68</v>
      </c>
      <c r="U1943" t="s">
        <v>167</v>
      </c>
      <c r="V1943" t="s">
        <v>723</v>
      </c>
      <c r="Z1943" t="s">
        <v>49</v>
      </c>
      <c r="AA1943" t="s">
        <v>49</v>
      </c>
      <c r="AB1943" t="s">
        <v>50</v>
      </c>
      <c r="AC1943" t="s">
        <v>51</v>
      </c>
      <c r="AD1943" t="s">
        <v>52</v>
      </c>
      <c r="AE1943" t="s">
        <v>53</v>
      </c>
      <c r="AF1943" t="s">
        <v>52</v>
      </c>
      <c r="AG1943" t="s">
        <v>52</v>
      </c>
      <c r="AH1943" t="s">
        <v>64</v>
      </c>
      <c r="AK1943">
        <v>8</v>
      </c>
      <c r="AL1943">
        <v>8</v>
      </c>
      <c r="AN1943">
        <v>492</v>
      </c>
      <c r="AO1943" t="s">
        <v>56</v>
      </c>
      <c r="AP1943">
        <v>68</v>
      </c>
      <c r="AQ1943" t="s">
        <v>118</v>
      </c>
      <c r="AR1943">
        <v>7.96</v>
      </c>
      <c r="AS1943" t="s">
        <v>56</v>
      </c>
      <c r="AT1943">
        <v>0.05</v>
      </c>
      <c r="AU1943">
        <v>731</v>
      </c>
      <c r="AV1943" t="s">
        <v>56</v>
      </c>
      <c r="AW1943">
        <v>84</v>
      </c>
      <c r="AX1943">
        <v>7.92</v>
      </c>
      <c r="AY1943" t="s">
        <v>56</v>
      </c>
      <c r="AZ1943">
        <v>0.06</v>
      </c>
      <c r="BB1943">
        <f>LOG(AU1943)</f>
        <v>2.8639173769578603</v>
      </c>
      <c r="BC1943">
        <v>16.7</v>
      </c>
      <c r="BD1943" t="s">
        <v>56</v>
      </c>
      <c r="BE1943">
        <v>0.6</v>
      </c>
      <c r="BF1943">
        <v>20.3</v>
      </c>
      <c r="BG1943" t="s">
        <v>56</v>
      </c>
      <c r="BH1943">
        <v>1.2</v>
      </c>
      <c r="BI1943">
        <v>239</v>
      </c>
      <c r="BJ1943">
        <v>3.6</v>
      </c>
      <c r="BK1943" t="s">
        <v>56</v>
      </c>
      <c r="BL1943" t="s">
        <v>961</v>
      </c>
      <c r="BM1943" t="s">
        <v>98</v>
      </c>
      <c r="BN1943" t="s">
        <v>81</v>
      </c>
      <c r="BO1943" t="s">
        <v>439</v>
      </c>
      <c r="BP1943" t="s">
        <v>100</v>
      </c>
      <c r="BQ1943" s="8" t="s">
        <v>190</v>
      </c>
      <c r="BR1943" t="s">
        <v>63</v>
      </c>
      <c r="BT1943">
        <v>659</v>
      </c>
      <c r="BU1943">
        <v>659</v>
      </c>
      <c r="BV1943">
        <v>141</v>
      </c>
      <c r="BW1943">
        <f>BV1943*SQRT(AK1943)</f>
        <v>398.80822458921284</v>
      </c>
      <c r="BX1943">
        <v>815</v>
      </c>
      <c r="BY1943">
        <v>815</v>
      </c>
      <c r="BZ1943">
        <v>156</v>
      </c>
      <c r="CA1943">
        <f>BZ1943*SQRT(AL1943)</f>
        <v>441.23463146040569</v>
      </c>
      <c r="CB1943">
        <v>84</v>
      </c>
      <c r="CC1943">
        <v>8</v>
      </c>
      <c r="CD1943">
        <v>0.21199999999999999</v>
      </c>
      <c r="CE1943">
        <v>8.2400000000000001E-2</v>
      </c>
    </row>
    <row r="1944" spans="4:83" hidden="1" x14ac:dyDescent="0.2">
      <c r="D1944">
        <v>204</v>
      </c>
      <c r="G1944" t="s">
        <v>43</v>
      </c>
      <c r="H1944" t="s">
        <v>959</v>
      </c>
      <c r="J1944">
        <v>2021</v>
      </c>
      <c r="M1944" t="s">
        <v>257</v>
      </c>
      <c r="T1944" t="s">
        <v>68</v>
      </c>
      <c r="U1944" t="s">
        <v>167</v>
      </c>
      <c r="V1944" t="s">
        <v>723</v>
      </c>
      <c r="Z1944" t="s">
        <v>49</v>
      </c>
      <c r="AA1944" t="s">
        <v>49</v>
      </c>
      <c r="AB1944" t="s">
        <v>50</v>
      </c>
      <c r="AC1944" t="s">
        <v>51</v>
      </c>
      <c r="AD1944" t="s">
        <v>52</v>
      </c>
      <c r="AE1944" t="s">
        <v>53</v>
      </c>
      <c r="AF1944" t="s">
        <v>52</v>
      </c>
      <c r="AG1944" t="s">
        <v>52</v>
      </c>
      <c r="AH1944" t="s">
        <v>64</v>
      </c>
      <c r="AK1944">
        <v>8</v>
      </c>
      <c r="AL1944">
        <v>8</v>
      </c>
      <c r="AN1944">
        <v>492</v>
      </c>
      <c r="AO1944" t="s">
        <v>56</v>
      </c>
      <c r="AP1944">
        <v>68</v>
      </c>
      <c r="AQ1944" t="s">
        <v>118</v>
      </c>
      <c r="AR1944">
        <v>7.96</v>
      </c>
      <c r="AS1944" t="s">
        <v>56</v>
      </c>
      <c r="AT1944">
        <v>0.05</v>
      </c>
      <c r="AU1944">
        <v>731</v>
      </c>
      <c r="AV1944" t="s">
        <v>56</v>
      </c>
      <c r="AW1944">
        <v>84</v>
      </c>
      <c r="AX1944">
        <v>7.92</v>
      </c>
      <c r="AY1944" t="s">
        <v>56</v>
      </c>
      <c r="AZ1944">
        <v>0.06</v>
      </c>
      <c r="BB1944">
        <f>LOG(AU1944)</f>
        <v>2.8639173769578603</v>
      </c>
      <c r="BC1944">
        <v>16.7</v>
      </c>
      <c r="BD1944" t="s">
        <v>56</v>
      </c>
      <c r="BE1944">
        <v>0.6</v>
      </c>
      <c r="BF1944">
        <v>20.3</v>
      </c>
      <c r="BG1944" t="s">
        <v>56</v>
      </c>
      <c r="BH1944">
        <v>1.2</v>
      </c>
      <c r="BI1944">
        <v>239</v>
      </c>
      <c r="BJ1944">
        <v>3.6</v>
      </c>
      <c r="BK1944" t="s">
        <v>56</v>
      </c>
      <c r="BL1944" t="s">
        <v>963</v>
      </c>
      <c r="BM1944" t="s">
        <v>963</v>
      </c>
      <c r="BN1944" t="s">
        <v>81</v>
      </c>
      <c r="BO1944" t="s">
        <v>439</v>
      </c>
      <c r="BP1944" t="s">
        <v>100</v>
      </c>
      <c r="BQ1944" s="8" t="s">
        <v>190</v>
      </c>
      <c r="BR1944" t="s">
        <v>63</v>
      </c>
      <c r="BT1944">
        <v>92.37</v>
      </c>
      <c r="BU1944">
        <v>92.37</v>
      </c>
      <c r="BV1944">
        <v>8.1</v>
      </c>
      <c r="BW1944">
        <f>BV1944*SQRT(AK1944)</f>
        <v>22.910259710444141</v>
      </c>
      <c r="BX1944">
        <v>115.67</v>
      </c>
      <c r="BY1944">
        <v>115.67</v>
      </c>
      <c r="BZ1944">
        <v>11.47</v>
      </c>
      <c r="CA1944">
        <f>BZ1944*SQRT(AL1944)</f>
        <v>32.442059120838806</v>
      </c>
      <c r="CB1944">
        <v>84</v>
      </c>
      <c r="CC1944">
        <v>8</v>
      </c>
      <c r="CD1944">
        <v>0.22500000000000001</v>
      </c>
      <c r="CE1944">
        <v>1.7500000000000002E-2</v>
      </c>
    </row>
    <row r="1945" spans="4:83" hidden="1" x14ac:dyDescent="0.2">
      <c r="D1945">
        <v>204</v>
      </c>
      <c r="G1945" t="s">
        <v>43</v>
      </c>
      <c r="H1945" t="s">
        <v>959</v>
      </c>
      <c r="J1945">
        <v>2021</v>
      </c>
      <c r="M1945" t="s">
        <v>257</v>
      </c>
      <c r="T1945" t="s">
        <v>68</v>
      </c>
      <c r="U1945" t="s">
        <v>167</v>
      </c>
      <c r="V1945" t="s">
        <v>960</v>
      </c>
      <c r="Z1945" t="s">
        <v>49</v>
      </c>
      <c r="AA1945" t="s">
        <v>49</v>
      </c>
      <c r="AB1945" t="s">
        <v>50</v>
      </c>
      <c r="AC1945" t="s">
        <v>51</v>
      </c>
      <c r="AD1945" t="s">
        <v>52</v>
      </c>
      <c r="AE1945" t="s">
        <v>53</v>
      </c>
      <c r="AF1945" t="s">
        <v>52</v>
      </c>
      <c r="AG1945" t="s">
        <v>54</v>
      </c>
      <c r="AH1945" t="s">
        <v>55</v>
      </c>
      <c r="AK1945">
        <v>8</v>
      </c>
      <c r="AL1945">
        <v>8</v>
      </c>
      <c r="AN1945">
        <v>587</v>
      </c>
      <c r="AO1945" t="s">
        <v>56</v>
      </c>
      <c r="AP1945">
        <v>116</v>
      </c>
      <c r="AQ1945" t="s">
        <v>118</v>
      </c>
      <c r="AR1945">
        <v>7.94</v>
      </c>
      <c r="AS1945" t="s">
        <v>56</v>
      </c>
      <c r="AT1945">
        <v>0.08</v>
      </c>
      <c r="AU1945">
        <v>1127</v>
      </c>
      <c r="AV1945" t="s">
        <v>56</v>
      </c>
      <c r="AW1945">
        <v>189</v>
      </c>
      <c r="AX1945">
        <v>7.68</v>
      </c>
      <c r="AY1945" t="s">
        <v>56</v>
      </c>
      <c r="AZ1945">
        <v>0.05</v>
      </c>
      <c r="BB1945">
        <f>LOG(AU1945)</f>
        <v>3.0519239160461065</v>
      </c>
      <c r="BC1945">
        <v>17</v>
      </c>
      <c r="BD1945" t="s">
        <v>56</v>
      </c>
      <c r="BE1945">
        <v>0.2</v>
      </c>
      <c r="BF1945">
        <v>16.899999999999999</v>
      </c>
      <c r="BG1945" t="s">
        <v>56</v>
      </c>
      <c r="BH1945">
        <v>0.1</v>
      </c>
      <c r="BI1945">
        <v>540</v>
      </c>
      <c r="BJ1945">
        <v>-0.1</v>
      </c>
      <c r="BK1945" t="s">
        <v>56</v>
      </c>
      <c r="BL1945" t="s">
        <v>962</v>
      </c>
      <c r="BM1945" t="s">
        <v>365</v>
      </c>
      <c r="BN1945" t="s">
        <v>81</v>
      </c>
      <c r="BO1945" t="s">
        <v>56</v>
      </c>
      <c r="BP1945" t="s">
        <v>92</v>
      </c>
      <c r="BQ1945" s="8" t="s">
        <v>190</v>
      </c>
      <c r="BR1945" t="s">
        <v>63</v>
      </c>
      <c r="BT1945">
        <v>3.71</v>
      </c>
      <c r="BU1945">
        <v>3.7090000000000001</v>
      </c>
      <c r="BV1945">
        <v>0.3</v>
      </c>
      <c r="BW1945">
        <f>BV1945*SQRT(AK1945)</f>
        <v>0.84852813742385702</v>
      </c>
      <c r="BX1945">
        <v>4.72</v>
      </c>
      <c r="BY1945">
        <v>4.72</v>
      </c>
      <c r="BZ1945">
        <v>0.38</v>
      </c>
      <c r="CA1945">
        <f>BZ1945*SQRT(AL1945)</f>
        <v>1.0748023074035524</v>
      </c>
      <c r="CB1945">
        <v>84</v>
      </c>
      <c r="CC1945">
        <v>8</v>
      </c>
      <c r="CD1945">
        <v>0.24099999999999999</v>
      </c>
      <c r="CE1945">
        <v>1.29E-2</v>
      </c>
    </row>
    <row r="1946" spans="4:83" hidden="1" x14ac:dyDescent="0.2">
      <c r="D1946">
        <v>205</v>
      </c>
      <c r="G1946" t="s">
        <v>43</v>
      </c>
      <c r="H1946" t="s">
        <v>622</v>
      </c>
      <c r="J1946">
        <v>2010</v>
      </c>
      <c r="M1946" t="s">
        <v>750</v>
      </c>
      <c r="T1946" t="s">
        <v>131</v>
      </c>
      <c r="U1946" t="s">
        <v>623</v>
      </c>
      <c r="V1946" t="s">
        <v>624</v>
      </c>
      <c r="Z1946" t="s">
        <v>49</v>
      </c>
      <c r="AA1946" t="s">
        <v>49</v>
      </c>
      <c r="AB1946" t="s">
        <v>71</v>
      </c>
      <c r="AC1946" t="s">
        <v>108</v>
      </c>
      <c r="AD1946" t="s">
        <v>52</v>
      </c>
      <c r="AE1946" t="s">
        <v>53</v>
      </c>
      <c r="AF1946" t="s">
        <v>52</v>
      </c>
      <c r="AG1946" t="s">
        <v>52</v>
      </c>
      <c r="AH1946" t="s">
        <v>64</v>
      </c>
      <c r="AK1946">
        <v>6</v>
      </c>
      <c r="AL1946">
        <v>6</v>
      </c>
      <c r="AN1946">
        <v>352</v>
      </c>
      <c r="AO1946" t="s">
        <v>56</v>
      </c>
      <c r="AP1946">
        <v>28</v>
      </c>
      <c r="AQ1946" t="s">
        <v>57</v>
      </c>
      <c r="AR1946">
        <v>8.1199999999999992</v>
      </c>
      <c r="AS1946" t="s">
        <v>56</v>
      </c>
      <c r="AT1946">
        <v>0.03</v>
      </c>
      <c r="AU1946">
        <v>2448</v>
      </c>
      <c r="AV1946" t="s">
        <v>56</v>
      </c>
      <c r="AW1946">
        <v>277</v>
      </c>
      <c r="AX1946">
        <v>7.36</v>
      </c>
      <c r="AY1946" t="s">
        <v>56</v>
      </c>
      <c r="AZ1946">
        <v>0.04</v>
      </c>
      <c r="BB1946">
        <f>LOG(AU1946)</f>
        <v>3.3888114134735234</v>
      </c>
      <c r="BC1946">
        <v>5.7</v>
      </c>
      <c r="BD1946" t="s">
        <v>56</v>
      </c>
      <c r="BE1946">
        <v>0.8</v>
      </c>
      <c r="BF1946">
        <v>9.4</v>
      </c>
      <c r="BG1946" t="s">
        <v>56</v>
      </c>
      <c r="BH1946">
        <v>0.3</v>
      </c>
      <c r="BI1946">
        <v>2096</v>
      </c>
      <c r="BJ1946">
        <v>3.7</v>
      </c>
      <c r="BK1946" t="s">
        <v>56</v>
      </c>
      <c r="BL1946" t="s">
        <v>964</v>
      </c>
      <c r="BM1946" t="s">
        <v>262</v>
      </c>
      <c r="BN1946" t="s">
        <v>81</v>
      </c>
      <c r="BO1946" t="s">
        <v>965</v>
      </c>
      <c r="BP1946" t="s">
        <v>92</v>
      </c>
      <c r="BQ1946" s="8" t="s">
        <v>92</v>
      </c>
      <c r="BR1946" t="s">
        <v>63</v>
      </c>
      <c r="BT1946">
        <v>18.28</v>
      </c>
      <c r="BU1946">
        <v>18.283300000000001</v>
      </c>
      <c r="BV1946">
        <v>0.18</v>
      </c>
      <c r="BW1946">
        <f>BV1946*SQRT(AK1946)</f>
        <v>0.44090815370097203</v>
      </c>
      <c r="BX1946">
        <v>2.83</v>
      </c>
      <c r="BY1946">
        <v>2.8326199999999999</v>
      </c>
      <c r="BZ1946">
        <v>0.18</v>
      </c>
      <c r="CA1946">
        <f>BZ1946*SQRT(AL1946)</f>
        <v>0.44090815370097203</v>
      </c>
      <c r="CB1946">
        <v>20</v>
      </c>
      <c r="CC1946">
        <v>2</v>
      </c>
      <c r="CD1946">
        <v>-1.865</v>
      </c>
      <c r="CE1946">
        <v>3.8999999999999998E-3</v>
      </c>
    </row>
    <row r="1947" spans="4:83" hidden="1" x14ac:dyDescent="0.2">
      <c r="D1947">
        <v>205</v>
      </c>
      <c r="G1947" t="s">
        <v>43</v>
      </c>
      <c r="H1947" t="s">
        <v>622</v>
      </c>
      <c r="J1947">
        <v>2010</v>
      </c>
      <c r="M1947" t="s">
        <v>750</v>
      </c>
      <c r="T1947" t="s">
        <v>131</v>
      </c>
      <c r="U1947" t="s">
        <v>623</v>
      </c>
      <c r="V1947" t="s">
        <v>624</v>
      </c>
      <c r="Z1947" t="s">
        <v>49</v>
      </c>
      <c r="AA1947" t="s">
        <v>49</v>
      </c>
      <c r="AB1947" t="s">
        <v>71</v>
      </c>
      <c r="AC1947" t="s">
        <v>108</v>
      </c>
      <c r="AD1947" t="s">
        <v>52</v>
      </c>
      <c r="AE1947" t="s">
        <v>53</v>
      </c>
      <c r="AF1947" t="s">
        <v>52</v>
      </c>
      <c r="AG1947" t="s">
        <v>54</v>
      </c>
      <c r="AH1947" t="s">
        <v>55</v>
      </c>
      <c r="AK1947">
        <v>6</v>
      </c>
      <c r="AL1947">
        <v>6</v>
      </c>
      <c r="AN1947">
        <v>352</v>
      </c>
      <c r="AO1947" t="s">
        <v>56</v>
      </c>
      <c r="AP1947">
        <v>28</v>
      </c>
      <c r="AQ1947" t="s">
        <v>57</v>
      </c>
      <c r="AR1947">
        <v>8.1199999999999992</v>
      </c>
      <c r="AS1947" t="s">
        <v>56</v>
      </c>
      <c r="AT1947">
        <v>0.03</v>
      </c>
      <c r="AU1947">
        <v>2429</v>
      </c>
      <c r="AV1947" t="s">
        <v>56</v>
      </c>
      <c r="AW1947">
        <v>336</v>
      </c>
      <c r="AX1947">
        <v>7.35</v>
      </c>
      <c r="AY1947" t="s">
        <v>56</v>
      </c>
      <c r="AZ1947">
        <v>0.05</v>
      </c>
      <c r="BB1947">
        <f>LOG(AU1947)</f>
        <v>3.3854275148051305</v>
      </c>
      <c r="BC1947">
        <v>5.7</v>
      </c>
      <c r="BD1947" t="s">
        <v>56</v>
      </c>
      <c r="BE1947">
        <v>0.8</v>
      </c>
      <c r="BF1947">
        <v>4.9000000000000004</v>
      </c>
      <c r="BG1947" t="s">
        <v>56</v>
      </c>
      <c r="BH1947">
        <v>0.4</v>
      </c>
      <c r="BI1947">
        <v>2077</v>
      </c>
      <c r="BJ1947">
        <v>-0.8</v>
      </c>
      <c r="BK1947" t="s">
        <v>56</v>
      </c>
      <c r="BL1947" t="s">
        <v>964</v>
      </c>
      <c r="BM1947" t="s">
        <v>262</v>
      </c>
      <c r="BN1947" t="s">
        <v>81</v>
      </c>
      <c r="BO1947" t="s">
        <v>965</v>
      </c>
      <c r="BP1947" t="s">
        <v>92</v>
      </c>
      <c r="BQ1947" s="8" t="s">
        <v>92</v>
      </c>
      <c r="BR1947" t="s">
        <v>63</v>
      </c>
      <c r="BT1947">
        <v>18.28</v>
      </c>
      <c r="BU1947">
        <v>18.283300000000001</v>
      </c>
      <c r="BV1947">
        <v>0.18</v>
      </c>
      <c r="BW1947">
        <f>BV1947*SQRT(AK1947)</f>
        <v>0.44090815370097203</v>
      </c>
      <c r="BX1947">
        <v>4.6399999999999997</v>
      </c>
      <c r="BY1947">
        <v>4.6351899999999997</v>
      </c>
      <c r="BZ1947">
        <v>0.26</v>
      </c>
      <c r="CA1947">
        <f>BZ1947*SQRT(AL1947)</f>
        <v>0.63686733312362631</v>
      </c>
      <c r="CB1947">
        <v>20</v>
      </c>
      <c r="CC1947">
        <v>2</v>
      </c>
      <c r="CD1947">
        <v>-1.3720000000000001</v>
      </c>
      <c r="CE1947">
        <v>3.3E-3</v>
      </c>
    </row>
    <row r="1948" spans="4:83" hidden="1" x14ac:dyDescent="0.2">
      <c r="D1948">
        <v>205</v>
      </c>
      <c r="G1948" t="s">
        <v>43</v>
      </c>
      <c r="H1948" t="s">
        <v>622</v>
      </c>
      <c r="J1948">
        <v>2010</v>
      </c>
      <c r="M1948" t="s">
        <v>750</v>
      </c>
      <c r="T1948" t="s">
        <v>131</v>
      </c>
      <c r="U1948" t="s">
        <v>623</v>
      </c>
      <c r="V1948" t="s">
        <v>624</v>
      </c>
      <c r="Z1948" t="s">
        <v>49</v>
      </c>
      <c r="AA1948" t="s">
        <v>49</v>
      </c>
      <c r="AB1948" t="s">
        <v>71</v>
      </c>
      <c r="AC1948" t="s">
        <v>108</v>
      </c>
      <c r="AD1948" t="s">
        <v>52</v>
      </c>
      <c r="AE1948" t="s">
        <v>53</v>
      </c>
      <c r="AF1948" t="s">
        <v>52</v>
      </c>
      <c r="AG1948" t="s">
        <v>52</v>
      </c>
      <c r="AH1948" t="s">
        <v>64</v>
      </c>
      <c r="AK1948">
        <v>6</v>
      </c>
      <c r="AL1948">
        <v>6</v>
      </c>
      <c r="AN1948">
        <v>352</v>
      </c>
      <c r="AO1948" t="s">
        <v>56</v>
      </c>
      <c r="AP1948">
        <v>28</v>
      </c>
      <c r="AQ1948" t="s">
        <v>57</v>
      </c>
      <c r="AR1948">
        <v>8.1199999999999992</v>
      </c>
      <c r="AS1948" t="s">
        <v>56</v>
      </c>
      <c r="AT1948">
        <v>0.03</v>
      </c>
      <c r="AU1948">
        <v>1060</v>
      </c>
      <c r="AV1948" t="s">
        <v>56</v>
      </c>
      <c r="AW1948">
        <v>133</v>
      </c>
      <c r="AX1948">
        <v>7.71</v>
      </c>
      <c r="AY1948" t="s">
        <v>56</v>
      </c>
      <c r="AZ1948">
        <v>0.05</v>
      </c>
      <c r="BB1948">
        <f>LOG(AU1948)</f>
        <v>3.0253058652647704</v>
      </c>
      <c r="BC1948">
        <v>5.7</v>
      </c>
      <c r="BD1948" t="s">
        <v>56</v>
      </c>
      <c r="BE1948">
        <v>0.8</v>
      </c>
      <c r="BF1948">
        <v>9.6</v>
      </c>
      <c r="BG1948" t="s">
        <v>56</v>
      </c>
      <c r="BH1948">
        <v>0.3</v>
      </c>
      <c r="BI1948">
        <v>708</v>
      </c>
      <c r="BJ1948">
        <v>3.9</v>
      </c>
      <c r="BK1948" t="s">
        <v>56</v>
      </c>
      <c r="BL1948" t="s">
        <v>964</v>
      </c>
      <c r="BM1948" t="s">
        <v>262</v>
      </c>
      <c r="BN1948" t="s">
        <v>81</v>
      </c>
      <c r="BO1948" t="s">
        <v>965</v>
      </c>
      <c r="BP1948" t="s">
        <v>92</v>
      </c>
      <c r="BQ1948" s="8" t="s">
        <v>92</v>
      </c>
      <c r="BR1948" t="s">
        <v>63</v>
      </c>
      <c r="BT1948">
        <v>18.28</v>
      </c>
      <c r="BU1948">
        <v>18.283300000000001</v>
      </c>
      <c r="BV1948">
        <v>0.18</v>
      </c>
      <c r="BW1948">
        <f>BV1948*SQRT(AK1948)</f>
        <v>0.44090815370097203</v>
      </c>
      <c r="BX1948">
        <v>6.95</v>
      </c>
      <c r="BY1948">
        <v>6.9527900000000002</v>
      </c>
      <c r="BZ1948">
        <v>0.22</v>
      </c>
      <c r="CA1948">
        <f>BZ1948*SQRT(AL1948)</f>
        <v>0.53888774341229917</v>
      </c>
      <c r="CB1948">
        <v>20</v>
      </c>
      <c r="CC1948">
        <v>2</v>
      </c>
      <c r="CD1948">
        <v>-0.96699999999999997</v>
      </c>
      <c r="CE1948">
        <v>1.1000000000000001E-3</v>
      </c>
    </row>
    <row r="1949" spans="4:83" hidden="1" x14ac:dyDescent="0.2">
      <c r="D1949">
        <v>205</v>
      </c>
      <c r="G1949" t="s">
        <v>43</v>
      </c>
      <c r="H1949" t="s">
        <v>622</v>
      </c>
      <c r="J1949">
        <v>2010</v>
      </c>
      <c r="M1949" t="s">
        <v>750</v>
      </c>
      <c r="T1949" t="s">
        <v>131</v>
      </c>
      <c r="U1949" t="s">
        <v>623</v>
      </c>
      <c r="V1949" t="s">
        <v>624</v>
      </c>
      <c r="Z1949" t="s">
        <v>49</v>
      </c>
      <c r="AA1949" t="s">
        <v>49</v>
      </c>
      <c r="AB1949" t="s">
        <v>71</v>
      </c>
      <c r="AC1949" t="s">
        <v>108</v>
      </c>
      <c r="AD1949" t="s">
        <v>52</v>
      </c>
      <c r="AE1949" t="s">
        <v>53</v>
      </c>
      <c r="AF1949" t="s">
        <v>52</v>
      </c>
      <c r="AG1949" t="s">
        <v>54</v>
      </c>
      <c r="AH1949" t="s">
        <v>55</v>
      </c>
      <c r="AK1949">
        <v>6</v>
      </c>
      <c r="AL1949">
        <v>6</v>
      </c>
      <c r="AN1949">
        <v>352</v>
      </c>
      <c r="AO1949" t="s">
        <v>56</v>
      </c>
      <c r="AP1949">
        <v>28</v>
      </c>
      <c r="AQ1949" t="s">
        <v>57</v>
      </c>
      <c r="AR1949">
        <v>8.1199999999999992</v>
      </c>
      <c r="AS1949" t="s">
        <v>56</v>
      </c>
      <c r="AT1949">
        <v>0.03</v>
      </c>
      <c r="AU1949">
        <v>1086</v>
      </c>
      <c r="AV1949" t="s">
        <v>56</v>
      </c>
      <c r="AW1949">
        <v>95</v>
      </c>
      <c r="AX1949">
        <v>7.68</v>
      </c>
      <c r="AY1949" t="s">
        <v>56</v>
      </c>
      <c r="AZ1949">
        <v>0.03</v>
      </c>
      <c r="BB1949">
        <f>LOG(AU1949)</f>
        <v>3.035829825252828</v>
      </c>
      <c r="BC1949">
        <v>5.7</v>
      </c>
      <c r="BD1949" t="s">
        <v>56</v>
      </c>
      <c r="BE1949">
        <v>0.8</v>
      </c>
      <c r="BF1949">
        <v>5.2</v>
      </c>
      <c r="BG1949" t="s">
        <v>56</v>
      </c>
      <c r="BH1949">
        <v>0.4</v>
      </c>
      <c r="BI1949">
        <v>734</v>
      </c>
      <c r="BJ1949">
        <v>-0.5</v>
      </c>
      <c r="BK1949" t="s">
        <v>56</v>
      </c>
      <c r="BL1949" t="s">
        <v>964</v>
      </c>
      <c r="BM1949" t="s">
        <v>262</v>
      </c>
      <c r="BN1949" t="s">
        <v>81</v>
      </c>
      <c r="BO1949" t="s">
        <v>965</v>
      </c>
      <c r="BP1949" t="s">
        <v>92</v>
      </c>
      <c r="BQ1949" s="8" t="s">
        <v>92</v>
      </c>
      <c r="BR1949" t="s">
        <v>63</v>
      </c>
      <c r="BT1949">
        <v>18.28</v>
      </c>
      <c r="BU1949">
        <v>18.283300000000001</v>
      </c>
      <c r="BV1949">
        <v>0.18</v>
      </c>
      <c r="BW1949">
        <f>BV1949*SQRT(AK1949)</f>
        <v>0.44090815370097203</v>
      </c>
      <c r="BX1949">
        <v>12.27</v>
      </c>
      <c r="BY1949">
        <v>12.274699999999999</v>
      </c>
      <c r="BZ1949">
        <v>0.22</v>
      </c>
      <c r="CA1949">
        <f>BZ1949*SQRT(AL1949)</f>
        <v>0.53888774341229917</v>
      </c>
      <c r="CB1949">
        <v>20</v>
      </c>
      <c r="CC1949">
        <v>2</v>
      </c>
      <c r="CD1949">
        <v>-0.39800000000000002</v>
      </c>
      <c r="CE1949">
        <v>4.0000000000000002E-4</v>
      </c>
    </row>
    <row r="1950" spans="4:83" hidden="1" x14ac:dyDescent="0.2">
      <c r="D1950">
        <v>205</v>
      </c>
      <c r="G1950" t="s">
        <v>43</v>
      </c>
      <c r="H1950" t="s">
        <v>622</v>
      </c>
      <c r="J1950">
        <v>2010</v>
      </c>
      <c r="M1950" t="s">
        <v>750</v>
      </c>
      <c r="T1950" t="s">
        <v>131</v>
      </c>
      <c r="U1950" t="s">
        <v>623</v>
      </c>
      <c r="V1950" t="s">
        <v>624</v>
      </c>
      <c r="Z1950" t="s">
        <v>49</v>
      </c>
      <c r="AA1950" t="s">
        <v>49</v>
      </c>
      <c r="AB1950" t="s">
        <v>71</v>
      </c>
      <c r="AC1950" t="s">
        <v>108</v>
      </c>
      <c r="AD1950" t="s">
        <v>52</v>
      </c>
      <c r="AE1950" t="s">
        <v>53</v>
      </c>
      <c r="AF1950" t="s">
        <v>52</v>
      </c>
      <c r="AG1950" t="s">
        <v>54</v>
      </c>
      <c r="AH1950" t="s">
        <v>55</v>
      </c>
      <c r="AK1950">
        <v>6</v>
      </c>
      <c r="AL1950">
        <v>6</v>
      </c>
      <c r="AN1950">
        <v>352</v>
      </c>
      <c r="AO1950" t="s">
        <v>56</v>
      </c>
      <c r="AP1950">
        <v>28</v>
      </c>
      <c r="AQ1950" t="s">
        <v>57</v>
      </c>
      <c r="AR1950">
        <v>8.1199999999999992</v>
      </c>
      <c r="AS1950" t="s">
        <v>56</v>
      </c>
      <c r="AT1950">
        <v>0.03</v>
      </c>
      <c r="AU1950">
        <v>2429</v>
      </c>
      <c r="AV1950" t="s">
        <v>56</v>
      </c>
      <c r="AW1950">
        <v>336</v>
      </c>
      <c r="AX1950">
        <v>7.35</v>
      </c>
      <c r="AY1950" t="s">
        <v>56</v>
      </c>
      <c r="AZ1950">
        <v>0.05</v>
      </c>
      <c r="BB1950">
        <f>LOG(AU1950)</f>
        <v>3.3854275148051305</v>
      </c>
      <c r="BC1950">
        <v>5.7</v>
      </c>
      <c r="BD1950" t="s">
        <v>56</v>
      </c>
      <c r="BE1950">
        <v>0.8</v>
      </c>
      <c r="BF1950">
        <v>4.9000000000000004</v>
      </c>
      <c r="BG1950" t="s">
        <v>56</v>
      </c>
      <c r="BH1950">
        <v>0.4</v>
      </c>
      <c r="BI1950">
        <v>2077</v>
      </c>
      <c r="BJ1950">
        <v>-0.8</v>
      </c>
      <c r="BK1950" t="s">
        <v>56</v>
      </c>
      <c r="BL1950" t="s">
        <v>83</v>
      </c>
      <c r="BM1950" t="s">
        <v>83</v>
      </c>
      <c r="BN1950" t="s">
        <v>81</v>
      </c>
      <c r="BO1950" t="s">
        <v>82</v>
      </c>
      <c r="BP1950" t="s">
        <v>83</v>
      </c>
      <c r="BQ1950" s="8" t="s">
        <v>92</v>
      </c>
      <c r="BR1950" t="s">
        <v>84</v>
      </c>
      <c r="BT1950">
        <v>92.5</v>
      </c>
      <c r="BU1950">
        <v>92.5</v>
      </c>
      <c r="BV1950">
        <v>2.4</v>
      </c>
      <c r="BW1950">
        <f>BV1950*SQRT(AK1950)</f>
        <v>5.8787753826796267</v>
      </c>
      <c r="BX1950">
        <v>86.4</v>
      </c>
      <c r="BY1950">
        <v>86.4</v>
      </c>
      <c r="BZ1950">
        <v>3.24</v>
      </c>
      <c r="CA1950">
        <f>BZ1950*SQRT(AL1950)</f>
        <v>7.9363467666174969</v>
      </c>
      <c r="CB1950">
        <v>20</v>
      </c>
      <c r="CC1950">
        <v>2</v>
      </c>
      <c r="CD1950">
        <v>-6.8000000000000005E-2</v>
      </c>
      <c r="CE1950">
        <v>2.0999999999999999E-3</v>
      </c>
    </row>
    <row r="1951" spans="4:83" hidden="1" x14ac:dyDescent="0.2">
      <c r="D1951">
        <v>205</v>
      </c>
      <c r="G1951" t="s">
        <v>43</v>
      </c>
      <c r="H1951" t="s">
        <v>622</v>
      </c>
      <c r="J1951">
        <v>2010</v>
      </c>
      <c r="M1951" t="s">
        <v>750</v>
      </c>
      <c r="T1951" t="s">
        <v>131</v>
      </c>
      <c r="U1951" t="s">
        <v>623</v>
      </c>
      <c r="V1951" t="s">
        <v>624</v>
      </c>
      <c r="Z1951" t="s">
        <v>49</v>
      </c>
      <c r="AA1951" t="s">
        <v>49</v>
      </c>
      <c r="AB1951" t="s">
        <v>71</v>
      </c>
      <c r="AC1951" t="s">
        <v>108</v>
      </c>
      <c r="AD1951" t="s">
        <v>52</v>
      </c>
      <c r="AE1951" t="s">
        <v>53</v>
      </c>
      <c r="AF1951" t="s">
        <v>52</v>
      </c>
      <c r="AG1951" t="s">
        <v>52</v>
      </c>
      <c r="AH1951" t="s">
        <v>64</v>
      </c>
      <c r="AK1951">
        <v>6</v>
      </c>
      <c r="AL1951">
        <v>6</v>
      </c>
      <c r="AN1951">
        <v>352</v>
      </c>
      <c r="AO1951" t="s">
        <v>56</v>
      </c>
      <c r="AP1951">
        <v>28</v>
      </c>
      <c r="AQ1951" t="s">
        <v>57</v>
      </c>
      <c r="AR1951">
        <v>8.1199999999999992</v>
      </c>
      <c r="AS1951" t="s">
        <v>56</v>
      </c>
      <c r="AT1951">
        <v>0.03</v>
      </c>
      <c r="AU1951">
        <v>2448</v>
      </c>
      <c r="AV1951" t="s">
        <v>56</v>
      </c>
      <c r="AW1951">
        <v>277</v>
      </c>
      <c r="AX1951">
        <v>7.36</v>
      </c>
      <c r="AY1951" t="s">
        <v>56</v>
      </c>
      <c r="AZ1951">
        <v>0.04</v>
      </c>
      <c r="BB1951">
        <f>LOG(AU1951)</f>
        <v>3.3888114134735234</v>
      </c>
      <c r="BC1951">
        <v>5.7</v>
      </c>
      <c r="BD1951" t="s">
        <v>56</v>
      </c>
      <c r="BE1951">
        <v>0.8</v>
      </c>
      <c r="BF1951">
        <v>9.4</v>
      </c>
      <c r="BG1951" t="s">
        <v>56</v>
      </c>
      <c r="BH1951">
        <v>0.3</v>
      </c>
      <c r="BI1951">
        <v>2096</v>
      </c>
      <c r="BJ1951">
        <v>3.7</v>
      </c>
      <c r="BK1951" t="s">
        <v>56</v>
      </c>
      <c r="BL1951" t="s">
        <v>83</v>
      </c>
      <c r="BM1951" t="s">
        <v>83</v>
      </c>
      <c r="BN1951" t="s">
        <v>81</v>
      </c>
      <c r="BO1951" t="s">
        <v>82</v>
      </c>
      <c r="BP1951" t="s">
        <v>83</v>
      </c>
      <c r="BQ1951" s="8" t="s">
        <v>92</v>
      </c>
      <c r="BR1951" t="s">
        <v>84</v>
      </c>
      <c r="BT1951">
        <v>92.5</v>
      </c>
      <c r="BU1951">
        <v>92.5</v>
      </c>
      <c r="BV1951">
        <v>2.4</v>
      </c>
      <c r="BW1951">
        <f>BV1951*SQRT(AK1951)</f>
        <v>5.8787753826796267</v>
      </c>
      <c r="BX1951">
        <v>86.6</v>
      </c>
      <c r="BY1951">
        <v>86.6</v>
      </c>
      <c r="BZ1951">
        <v>2.13</v>
      </c>
      <c r="CA1951">
        <f>BZ1951*SQRT(AL1951)</f>
        <v>5.2174131521281684</v>
      </c>
      <c r="CB1951">
        <v>20</v>
      </c>
      <c r="CC1951">
        <v>2</v>
      </c>
      <c r="CD1951">
        <v>-6.6000000000000003E-2</v>
      </c>
      <c r="CE1951">
        <v>1.2999999999999999E-3</v>
      </c>
    </row>
    <row r="1952" spans="4:83" hidden="1" x14ac:dyDescent="0.2">
      <c r="D1952">
        <v>205</v>
      </c>
      <c r="G1952" t="s">
        <v>43</v>
      </c>
      <c r="H1952" t="s">
        <v>622</v>
      </c>
      <c r="J1952">
        <v>2010</v>
      </c>
      <c r="M1952" t="s">
        <v>750</v>
      </c>
      <c r="T1952" t="s">
        <v>131</v>
      </c>
      <c r="U1952" t="s">
        <v>623</v>
      </c>
      <c r="V1952" t="s">
        <v>624</v>
      </c>
      <c r="Z1952" t="s">
        <v>49</v>
      </c>
      <c r="AA1952" t="s">
        <v>49</v>
      </c>
      <c r="AB1952" t="s">
        <v>71</v>
      </c>
      <c r="AC1952" t="s">
        <v>108</v>
      </c>
      <c r="AD1952" t="s">
        <v>52</v>
      </c>
      <c r="AE1952" t="s">
        <v>53</v>
      </c>
      <c r="AF1952" t="s">
        <v>52</v>
      </c>
      <c r="AG1952" t="s">
        <v>52</v>
      </c>
      <c r="AH1952" t="s">
        <v>64</v>
      </c>
      <c r="AK1952">
        <v>6</v>
      </c>
      <c r="AL1952">
        <v>6</v>
      </c>
      <c r="AN1952">
        <v>352</v>
      </c>
      <c r="AO1952" t="s">
        <v>56</v>
      </c>
      <c r="AP1952">
        <v>28</v>
      </c>
      <c r="AQ1952" t="s">
        <v>57</v>
      </c>
      <c r="AR1952">
        <v>8.1199999999999992</v>
      </c>
      <c r="AS1952" t="s">
        <v>56</v>
      </c>
      <c r="AT1952">
        <v>0.03</v>
      </c>
      <c r="AU1952">
        <v>1060</v>
      </c>
      <c r="AV1952" t="s">
        <v>56</v>
      </c>
      <c r="AW1952">
        <v>133</v>
      </c>
      <c r="AX1952">
        <v>7.71</v>
      </c>
      <c r="AY1952" t="s">
        <v>56</v>
      </c>
      <c r="AZ1952">
        <v>0.05</v>
      </c>
      <c r="BB1952">
        <f>LOG(AU1952)</f>
        <v>3.0253058652647704</v>
      </c>
      <c r="BC1952">
        <v>5.7</v>
      </c>
      <c r="BD1952" t="s">
        <v>56</v>
      </c>
      <c r="BE1952">
        <v>0.8</v>
      </c>
      <c r="BF1952">
        <v>9.6</v>
      </c>
      <c r="BG1952" t="s">
        <v>56</v>
      </c>
      <c r="BH1952">
        <v>0.3</v>
      </c>
      <c r="BI1952">
        <v>708</v>
      </c>
      <c r="BJ1952">
        <v>3.9</v>
      </c>
      <c r="BK1952" t="s">
        <v>56</v>
      </c>
      <c r="BL1952" t="s">
        <v>83</v>
      </c>
      <c r="BM1952" t="s">
        <v>83</v>
      </c>
      <c r="BN1952" t="s">
        <v>81</v>
      </c>
      <c r="BO1952" t="s">
        <v>82</v>
      </c>
      <c r="BP1952" t="s">
        <v>83</v>
      </c>
      <c r="BQ1952" s="8" t="s">
        <v>92</v>
      </c>
      <c r="BR1952" t="s">
        <v>84</v>
      </c>
      <c r="BT1952">
        <v>92.5</v>
      </c>
      <c r="BU1952">
        <v>92.5</v>
      </c>
      <c r="BV1952">
        <v>2.4</v>
      </c>
      <c r="BW1952">
        <f>BV1952*SQRT(AK1952)</f>
        <v>5.8787753826796267</v>
      </c>
      <c r="BX1952">
        <v>88.9</v>
      </c>
      <c r="BY1952">
        <v>88.9</v>
      </c>
      <c r="BZ1952">
        <v>1.99</v>
      </c>
      <c r="CA1952">
        <f>BZ1952*SQRT(AL1952)</f>
        <v>4.8744845881385244</v>
      </c>
      <c r="CB1952">
        <v>20</v>
      </c>
      <c r="CC1952">
        <v>2</v>
      </c>
      <c r="CD1952">
        <v>-0.04</v>
      </c>
      <c r="CE1952">
        <v>1.1999999999999999E-3</v>
      </c>
    </row>
    <row r="1953" spans="4:83" hidden="1" x14ac:dyDescent="0.2">
      <c r="D1953">
        <v>205</v>
      </c>
      <c r="G1953" t="s">
        <v>43</v>
      </c>
      <c r="H1953" t="s">
        <v>622</v>
      </c>
      <c r="J1953">
        <v>2010</v>
      </c>
      <c r="M1953" t="s">
        <v>750</v>
      </c>
      <c r="T1953" t="s">
        <v>131</v>
      </c>
      <c r="U1953" t="s">
        <v>623</v>
      </c>
      <c r="V1953" t="s">
        <v>624</v>
      </c>
      <c r="Z1953" t="s">
        <v>49</v>
      </c>
      <c r="AA1953" t="s">
        <v>49</v>
      </c>
      <c r="AB1953" t="s">
        <v>71</v>
      </c>
      <c r="AC1953" t="s">
        <v>108</v>
      </c>
      <c r="AD1953" t="s">
        <v>52</v>
      </c>
      <c r="AE1953" t="s">
        <v>53</v>
      </c>
      <c r="AF1953" t="s">
        <v>52</v>
      </c>
      <c r="AG1953" t="s">
        <v>54</v>
      </c>
      <c r="AH1953" t="s">
        <v>55</v>
      </c>
      <c r="AK1953">
        <v>20</v>
      </c>
      <c r="AL1953">
        <v>20</v>
      </c>
      <c r="AN1953">
        <v>352</v>
      </c>
      <c r="AO1953" t="s">
        <v>56</v>
      </c>
      <c r="AP1953">
        <v>28</v>
      </c>
      <c r="AQ1953" t="s">
        <v>57</v>
      </c>
      <c r="AR1953">
        <v>8.1199999999999992</v>
      </c>
      <c r="AS1953" t="s">
        <v>56</v>
      </c>
      <c r="AT1953">
        <v>0.03</v>
      </c>
      <c r="AU1953">
        <v>2429</v>
      </c>
      <c r="AV1953" t="s">
        <v>56</v>
      </c>
      <c r="AW1953">
        <v>336</v>
      </c>
      <c r="AX1953">
        <v>7.35</v>
      </c>
      <c r="AY1953" t="s">
        <v>56</v>
      </c>
      <c r="AZ1953">
        <v>0.05</v>
      </c>
      <c r="BB1953">
        <f>LOG(AU1953)</f>
        <v>3.3854275148051305</v>
      </c>
      <c r="BC1953">
        <v>5.7</v>
      </c>
      <c r="BD1953" t="s">
        <v>56</v>
      </c>
      <c r="BE1953">
        <v>0.8</v>
      </c>
      <c r="BF1953">
        <v>4.9000000000000004</v>
      </c>
      <c r="BG1953" t="s">
        <v>56</v>
      </c>
      <c r="BH1953">
        <v>0.4</v>
      </c>
      <c r="BI1953">
        <v>2077</v>
      </c>
      <c r="BJ1953">
        <v>-0.8</v>
      </c>
      <c r="BK1953" t="s">
        <v>56</v>
      </c>
      <c r="BL1953" t="s">
        <v>268</v>
      </c>
      <c r="BM1953" t="s">
        <v>232</v>
      </c>
      <c r="BN1953" t="s">
        <v>81</v>
      </c>
      <c r="BO1953" t="s">
        <v>966</v>
      </c>
      <c r="BP1953" t="s">
        <v>234</v>
      </c>
      <c r="BQ1953" s="8" t="s">
        <v>92</v>
      </c>
      <c r="BR1953" t="s">
        <v>63</v>
      </c>
      <c r="BT1953">
        <v>40.6</v>
      </c>
      <c r="BU1953">
        <v>40.6</v>
      </c>
      <c r="BV1953">
        <v>2.36</v>
      </c>
      <c r="BW1953">
        <f>BV1953*SQRT(AK1953)</f>
        <v>10.554240853799007</v>
      </c>
      <c r="BX1953">
        <v>39.4</v>
      </c>
      <c r="BY1953">
        <v>39.4</v>
      </c>
      <c r="BZ1953">
        <v>2.09</v>
      </c>
      <c r="CA1953">
        <f>BZ1953*SQRT(AL1953)</f>
        <v>9.3467641459491215</v>
      </c>
      <c r="CB1953">
        <v>20</v>
      </c>
      <c r="CC1953">
        <v>2</v>
      </c>
      <c r="CD1953">
        <v>-0.03</v>
      </c>
      <c r="CE1953">
        <v>6.1999999999999998E-3</v>
      </c>
    </row>
    <row r="1954" spans="4:83" hidden="1" x14ac:dyDescent="0.2">
      <c r="D1954">
        <v>205</v>
      </c>
      <c r="G1954" t="s">
        <v>43</v>
      </c>
      <c r="H1954" t="s">
        <v>622</v>
      </c>
      <c r="J1954">
        <v>2010</v>
      </c>
      <c r="M1954" t="s">
        <v>750</v>
      </c>
      <c r="T1954" t="s">
        <v>131</v>
      </c>
      <c r="U1954" t="s">
        <v>623</v>
      </c>
      <c r="V1954" t="s">
        <v>624</v>
      </c>
      <c r="Z1954" t="s">
        <v>49</v>
      </c>
      <c r="AA1954" t="s">
        <v>49</v>
      </c>
      <c r="AB1954" t="s">
        <v>71</v>
      </c>
      <c r="AC1954" t="s">
        <v>108</v>
      </c>
      <c r="AD1954" t="s">
        <v>52</v>
      </c>
      <c r="AE1954" t="s">
        <v>53</v>
      </c>
      <c r="AF1954" t="s">
        <v>52</v>
      </c>
      <c r="AG1954" t="s">
        <v>54</v>
      </c>
      <c r="AH1954" t="s">
        <v>55</v>
      </c>
      <c r="AK1954">
        <v>6</v>
      </c>
      <c r="AL1954">
        <v>6</v>
      </c>
      <c r="AN1954">
        <v>352</v>
      </c>
      <c r="AO1954" t="s">
        <v>56</v>
      </c>
      <c r="AP1954">
        <v>28</v>
      </c>
      <c r="AQ1954" t="s">
        <v>57</v>
      </c>
      <c r="AR1954">
        <v>8.1199999999999992</v>
      </c>
      <c r="AS1954" t="s">
        <v>56</v>
      </c>
      <c r="AT1954">
        <v>0.03</v>
      </c>
      <c r="AU1954">
        <v>1086</v>
      </c>
      <c r="AV1954" t="s">
        <v>56</v>
      </c>
      <c r="AW1954">
        <v>95</v>
      </c>
      <c r="AX1954">
        <v>7.68</v>
      </c>
      <c r="AY1954" t="s">
        <v>56</v>
      </c>
      <c r="AZ1954">
        <v>0.03</v>
      </c>
      <c r="BB1954">
        <f>LOG(AU1954)</f>
        <v>3.035829825252828</v>
      </c>
      <c r="BC1954">
        <v>5.7</v>
      </c>
      <c r="BD1954" t="s">
        <v>56</v>
      </c>
      <c r="BE1954">
        <v>0.8</v>
      </c>
      <c r="BF1954">
        <v>5.2</v>
      </c>
      <c r="BG1954" t="s">
        <v>56</v>
      </c>
      <c r="BH1954">
        <v>0.4</v>
      </c>
      <c r="BI1954">
        <v>734</v>
      </c>
      <c r="BJ1954">
        <v>-0.5</v>
      </c>
      <c r="BK1954" t="s">
        <v>56</v>
      </c>
      <c r="BL1954" t="s">
        <v>83</v>
      </c>
      <c r="BM1954" t="s">
        <v>83</v>
      </c>
      <c r="BN1954" t="s">
        <v>81</v>
      </c>
      <c r="BO1954" t="s">
        <v>82</v>
      </c>
      <c r="BP1954" t="s">
        <v>83</v>
      </c>
      <c r="BQ1954" s="8" t="s">
        <v>92</v>
      </c>
      <c r="BR1954" t="s">
        <v>84</v>
      </c>
      <c r="BT1954">
        <v>92.5</v>
      </c>
      <c r="BU1954">
        <v>92.5</v>
      </c>
      <c r="BV1954">
        <v>2.4</v>
      </c>
      <c r="BW1954">
        <f>BV1954*SQRT(AK1954)</f>
        <v>5.8787753826796267</v>
      </c>
      <c r="BX1954">
        <v>90.6</v>
      </c>
      <c r="BY1954">
        <v>90.6</v>
      </c>
      <c r="BZ1954">
        <v>2.17</v>
      </c>
      <c r="CA1954">
        <f>BZ1954*SQRT(AL1954)</f>
        <v>5.3153927418394957</v>
      </c>
      <c r="CB1954">
        <v>20</v>
      </c>
      <c r="CC1954">
        <v>2</v>
      </c>
      <c r="CD1954">
        <v>-2.1000000000000001E-2</v>
      </c>
      <c r="CE1954">
        <v>1.1999999999999999E-3</v>
      </c>
    </row>
    <row r="1955" spans="4:83" hidden="1" x14ac:dyDescent="0.2">
      <c r="D1955">
        <v>205</v>
      </c>
      <c r="G1955" t="s">
        <v>43</v>
      </c>
      <c r="H1955" t="s">
        <v>622</v>
      </c>
      <c r="J1955">
        <v>2010</v>
      </c>
      <c r="M1955" t="s">
        <v>750</v>
      </c>
      <c r="T1955" t="s">
        <v>131</v>
      </c>
      <c r="U1955" t="s">
        <v>623</v>
      </c>
      <c r="V1955" t="s">
        <v>624</v>
      </c>
      <c r="Z1955" t="s">
        <v>49</v>
      </c>
      <c r="AA1955" t="s">
        <v>49</v>
      </c>
      <c r="AB1955" t="s">
        <v>71</v>
      </c>
      <c r="AC1955" t="s">
        <v>108</v>
      </c>
      <c r="AD1955" t="s">
        <v>52</v>
      </c>
      <c r="AE1955" t="s">
        <v>53</v>
      </c>
      <c r="AF1955" t="s">
        <v>54</v>
      </c>
      <c r="AG1955" t="s">
        <v>52</v>
      </c>
      <c r="AH1955" t="s">
        <v>65</v>
      </c>
      <c r="AK1955">
        <v>6</v>
      </c>
      <c r="AL1955">
        <v>6</v>
      </c>
      <c r="AN1955">
        <v>352</v>
      </c>
      <c r="AO1955" t="s">
        <v>56</v>
      </c>
      <c r="AP1955">
        <v>28</v>
      </c>
      <c r="AQ1955" t="s">
        <v>57</v>
      </c>
      <c r="AR1955">
        <v>8.1199999999999992</v>
      </c>
      <c r="AS1955" t="s">
        <v>56</v>
      </c>
      <c r="AT1955">
        <v>0.03</v>
      </c>
      <c r="AU1955">
        <v>343</v>
      </c>
      <c r="AV1955" t="s">
        <v>56</v>
      </c>
      <c r="AW1955">
        <v>13</v>
      </c>
      <c r="AX1955">
        <v>8.14</v>
      </c>
      <c r="AY1955" t="s">
        <v>56</v>
      </c>
      <c r="AZ1955">
        <v>0.02</v>
      </c>
      <c r="BB1955">
        <f>LOG(AU1955)</f>
        <v>2.5352941200427703</v>
      </c>
      <c r="BC1955">
        <v>5.7</v>
      </c>
      <c r="BD1955" t="s">
        <v>56</v>
      </c>
      <c r="BE1955">
        <v>0.8</v>
      </c>
      <c r="BF1955">
        <v>9.8000000000000007</v>
      </c>
      <c r="BG1955" t="s">
        <v>56</v>
      </c>
      <c r="BH1955">
        <v>0.4</v>
      </c>
      <c r="BI1955">
        <v>-9</v>
      </c>
      <c r="BJ1955">
        <v>4.0999999999999996</v>
      </c>
      <c r="BK1955" t="s">
        <v>56</v>
      </c>
      <c r="BL1955" t="s">
        <v>964</v>
      </c>
      <c r="BM1955" t="s">
        <v>262</v>
      </c>
      <c r="BN1955" t="s">
        <v>81</v>
      </c>
      <c r="BO1955" t="s">
        <v>965</v>
      </c>
      <c r="BP1955" t="s">
        <v>92</v>
      </c>
      <c r="BQ1955" s="8" t="s">
        <v>83</v>
      </c>
      <c r="BR1955" t="s">
        <v>63</v>
      </c>
      <c r="BT1955">
        <v>18.28</v>
      </c>
      <c r="BU1955">
        <v>18.283300000000001</v>
      </c>
      <c r="BV1955">
        <v>0.18</v>
      </c>
      <c r="BW1955">
        <f>BV1955*SQRT(AK1955)</f>
        <v>0.44090815370097203</v>
      </c>
      <c r="BX1955">
        <v>17.940000000000001</v>
      </c>
      <c r="BY1955">
        <v>17.939900000000002</v>
      </c>
      <c r="BZ1955">
        <v>0.22</v>
      </c>
      <c r="CA1955">
        <f>BZ1955*SQRT(AL1955)</f>
        <v>0.53888774341229917</v>
      </c>
      <c r="CB1955">
        <v>20</v>
      </c>
      <c r="CC1955">
        <v>2</v>
      </c>
      <c r="CD1955">
        <v>-1.9E-2</v>
      </c>
      <c r="CE1955">
        <v>2.0000000000000001E-4</v>
      </c>
    </row>
    <row r="1956" spans="4:83" hidden="1" x14ac:dyDescent="0.2">
      <c r="D1956">
        <v>205</v>
      </c>
      <c r="G1956" t="s">
        <v>43</v>
      </c>
      <c r="H1956" t="s">
        <v>622</v>
      </c>
      <c r="J1956">
        <v>2010</v>
      </c>
      <c r="M1956" t="s">
        <v>750</v>
      </c>
      <c r="T1956" t="s">
        <v>131</v>
      </c>
      <c r="U1956" t="s">
        <v>623</v>
      </c>
      <c r="V1956" t="s">
        <v>624</v>
      </c>
      <c r="Z1956" t="s">
        <v>49</v>
      </c>
      <c r="AA1956" t="s">
        <v>49</v>
      </c>
      <c r="AB1956" t="s">
        <v>71</v>
      </c>
      <c r="AC1956" t="s">
        <v>108</v>
      </c>
      <c r="AD1956" t="s">
        <v>52</v>
      </c>
      <c r="AE1956" t="s">
        <v>53</v>
      </c>
      <c r="AF1956" t="s">
        <v>54</v>
      </c>
      <c r="AG1956" t="s">
        <v>52</v>
      </c>
      <c r="AH1956" t="s">
        <v>65</v>
      </c>
      <c r="AK1956">
        <v>6</v>
      </c>
      <c r="AL1956">
        <v>6</v>
      </c>
      <c r="AN1956">
        <v>352</v>
      </c>
      <c r="AO1956" t="s">
        <v>56</v>
      </c>
      <c r="AP1956">
        <v>28</v>
      </c>
      <c r="AQ1956" t="s">
        <v>57</v>
      </c>
      <c r="AR1956">
        <v>8.1199999999999992</v>
      </c>
      <c r="AS1956" t="s">
        <v>56</v>
      </c>
      <c r="AT1956">
        <v>0.03</v>
      </c>
      <c r="AU1956">
        <v>343</v>
      </c>
      <c r="AV1956" t="s">
        <v>56</v>
      </c>
      <c r="AW1956">
        <v>13</v>
      </c>
      <c r="AX1956">
        <v>8.14</v>
      </c>
      <c r="AY1956" t="s">
        <v>56</v>
      </c>
      <c r="AZ1956">
        <v>0.02</v>
      </c>
      <c r="BB1956">
        <f>LOG(AU1956)</f>
        <v>2.5352941200427703</v>
      </c>
      <c r="BC1956">
        <v>5.7</v>
      </c>
      <c r="BD1956" t="s">
        <v>56</v>
      </c>
      <c r="BE1956">
        <v>0.8</v>
      </c>
      <c r="BF1956">
        <v>9.8000000000000007</v>
      </c>
      <c r="BG1956" t="s">
        <v>56</v>
      </c>
      <c r="BH1956">
        <v>0.4</v>
      </c>
      <c r="BI1956">
        <v>-9</v>
      </c>
      <c r="BJ1956">
        <v>4.0999999999999996</v>
      </c>
      <c r="BK1956" t="s">
        <v>56</v>
      </c>
      <c r="BL1956" t="s">
        <v>83</v>
      </c>
      <c r="BM1956" t="s">
        <v>83</v>
      </c>
      <c r="BN1956" t="s">
        <v>81</v>
      </c>
      <c r="BO1956" t="s">
        <v>82</v>
      </c>
      <c r="BP1956" t="s">
        <v>83</v>
      </c>
      <c r="BQ1956" s="8" t="s">
        <v>190</v>
      </c>
      <c r="BR1956" t="s">
        <v>84</v>
      </c>
      <c r="BT1956">
        <v>92.5</v>
      </c>
      <c r="BU1956">
        <v>92.5</v>
      </c>
      <c r="BV1956">
        <v>2.4</v>
      </c>
      <c r="BW1956">
        <f>BV1956*SQRT(AK1956)</f>
        <v>5.8787753826796267</v>
      </c>
      <c r="BX1956">
        <v>92.3</v>
      </c>
      <c r="BY1956">
        <v>92.3</v>
      </c>
      <c r="BZ1956">
        <v>1.98</v>
      </c>
      <c r="CA1956">
        <f>BZ1956*SQRT(AL1956)</f>
        <v>4.8499896907106921</v>
      </c>
      <c r="CB1956">
        <v>20</v>
      </c>
      <c r="CC1956">
        <v>2</v>
      </c>
      <c r="CD1956">
        <v>-2E-3</v>
      </c>
      <c r="CE1956">
        <v>1.1000000000000001E-3</v>
      </c>
    </row>
    <row r="1957" spans="4:83" hidden="1" x14ac:dyDescent="0.2">
      <c r="D1957">
        <v>205</v>
      </c>
      <c r="G1957" t="s">
        <v>43</v>
      </c>
      <c r="H1957" t="s">
        <v>622</v>
      </c>
      <c r="J1957">
        <v>2010</v>
      </c>
      <c r="M1957" t="s">
        <v>750</v>
      </c>
      <c r="T1957" t="s">
        <v>131</v>
      </c>
      <c r="U1957" t="s">
        <v>623</v>
      </c>
      <c r="V1957" t="s">
        <v>624</v>
      </c>
      <c r="Z1957" t="s">
        <v>49</v>
      </c>
      <c r="AA1957" t="s">
        <v>49</v>
      </c>
      <c r="AB1957" t="s">
        <v>71</v>
      </c>
      <c r="AC1957" t="s">
        <v>108</v>
      </c>
      <c r="AD1957" t="s">
        <v>52</v>
      </c>
      <c r="AE1957" t="s">
        <v>53</v>
      </c>
      <c r="AF1957" t="s">
        <v>52</v>
      </c>
      <c r="AG1957" t="s">
        <v>52</v>
      </c>
      <c r="AH1957" t="s">
        <v>64</v>
      </c>
      <c r="AK1957">
        <v>20</v>
      </c>
      <c r="AL1957">
        <v>20</v>
      </c>
      <c r="AN1957">
        <v>352</v>
      </c>
      <c r="AO1957" t="s">
        <v>56</v>
      </c>
      <c r="AP1957">
        <v>28</v>
      </c>
      <c r="AQ1957" t="s">
        <v>57</v>
      </c>
      <c r="AR1957">
        <v>8.1199999999999992</v>
      </c>
      <c r="AS1957" t="s">
        <v>56</v>
      </c>
      <c r="AT1957">
        <v>0.03</v>
      </c>
      <c r="AU1957">
        <v>1060</v>
      </c>
      <c r="AV1957" t="s">
        <v>56</v>
      </c>
      <c r="AW1957">
        <v>133</v>
      </c>
      <c r="AX1957">
        <v>7.71</v>
      </c>
      <c r="AY1957" t="s">
        <v>56</v>
      </c>
      <c r="AZ1957">
        <v>0.05</v>
      </c>
      <c r="BB1957">
        <f>LOG(AU1957)</f>
        <v>3.0253058652647704</v>
      </c>
      <c r="BC1957">
        <v>5.7</v>
      </c>
      <c r="BD1957" t="s">
        <v>56</v>
      </c>
      <c r="BE1957">
        <v>0.8</v>
      </c>
      <c r="BF1957">
        <v>9.6</v>
      </c>
      <c r="BG1957" t="s">
        <v>56</v>
      </c>
      <c r="BH1957">
        <v>0.3</v>
      </c>
      <c r="BI1957">
        <v>708</v>
      </c>
      <c r="BJ1957">
        <v>3.9</v>
      </c>
      <c r="BK1957" t="s">
        <v>56</v>
      </c>
      <c r="BL1957" t="s">
        <v>268</v>
      </c>
      <c r="BM1957" t="s">
        <v>232</v>
      </c>
      <c r="BN1957" t="s">
        <v>81</v>
      </c>
      <c r="BO1957" t="s">
        <v>966</v>
      </c>
      <c r="BP1957" t="s">
        <v>234</v>
      </c>
      <c r="BQ1957" s="8" t="s">
        <v>83</v>
      </c>
      <c r="BR1957" t="s">
        <v>63</v>
      </c>
      <c r="BT1957">
        <v>40.6</v>
      </c>
      <c r="BU1957">
        <v>40.6</v>
      </c>
      <c r="BV1957">
        <v>2.36</v>
      </c>
      <c r="BW1957">
        <f>BV1957*SQRT(AK1957)</f>
        <v>10.554240853799007</v>
      </c>
      <c r="BX1957">
        <v>42.1</v>
      </c>
      <c r="BY1957">
        <v>42.1</v>
      </c>
      <c r="BZ1957">
        <v>2.72</v>
      </c>
      <c r="CA1957">
        <f>BZ1957*SQRT(AL1957)</f>
        <v>12.164209797598858</v>
      </c>
      <c r="CB1957">
        <v>20</v>
      </c>
      <c r="CC1957">
        <v>2</v>
      </c>
      <c r="CD1957">
        <v>3.5999999999999997E-2</v>
      </c>
      <c r="CE1957">
        <v>7.6E-3</v>
      </c>
    </row>
    <row r="1958" spans="4:83" hidden="1" x14ac:dyDescent="0.2">
      <c r="D1958">
        <v>205</v>
      </c>
      <c r="G1958" t="s">
        <v>43</v>
      </c>
      <c r="H1958" t="s">
        <v>622</v>
      </c>
      <c r="J1958">
        <v>2010</v>
      </c>
      <c r="M1958" t="s">
        <v>750</v>
      </c>
      <c r="T1958" t="s">
        <v>131</v>
      </c>
      <c r="U1958" t="s">
        <v>623</v>
      </c>
      <c r="V1958" t="s">
        <v>624</v>
      </c>
      <c r="Z1958" t="s">
        <v>49</v>
      </c>
      <c r="AA1958" t="s">
        <v>49</v>
      </c>
      <c r="AB1958" t="s">
        <v>71</v>
      </c>
      <c r="AC1958" t="s">
        <v>108</v>
      </c>
      <c r="AD1958" t="s">
        <v>52</v>
      </c>
      <c r="AE1958" t="s">
        <v>53</v>
      </c>
      <c r="AF1958" t="s">
        <v>54</v>
      </c>
      <c r="AG1958" t="s">
        <v>52</v>
      </c>
      <c r="AH1958" t="s">
        <v>65</v>
      </c>
      <c r="AK1958">
        <v>20</v>
      </c>
      <c r="AL1958">
        <v>20</v>
      </c>
      <c r="AN1958">
        <v>352</v>
      </c>
      <c r="AO1958" t="s">
        <v>56</v>
      </c>
      <c r="AP1958">
        <v>28</v>
      </c>
      <c r="AQ1958" t="s">
        <v>57</v>
      </c>
      <c r="AR1958">
        <v>8.1199999999999992</v>
      </c>
      <c r="AS1958" t="s">
        <v>56</v>
      </c>
      <c r="AT1958">
        <v>0.03</v>
      </c>
      <c r="AU1958">
        <v>343</v>
      </c>
      <c r="AV1958" t="s">
        <v>56</v>
      </c>
      <c r="AW1958">
        <v>13</v>
      </c>
      <c r="AX1958">
        <v>8.14</v>
      </c>
      <c r="AY1958" t="s">
        <v>56</v>
      </c>
      <c r="AZ1958">
        <v>0.02</v>
      </c>
      <c r="BB1958">
        <f>LOG(AU1958)</f>
        <v>2.5352941200427703</v>
      </c>
      <c r="BC1958">
        <v>5.7</v>
      </c>
      <c r="BD1958" t="s">
        <v>56</v>
      </c>
      <c r="BE1958">
        <v>0.8</v>
      </c>
      <c r="BF1958">
        <v>9.8000000000000007</v>
      </c>
      <c r="BG1958" t="s">
        <v>56</v>
      </c>
      <c r="BH1958">
        <v>0.4</v>
      </c>
      <c r="BI1958">
        <v>-9</v>
      </c>
      <c r="BJ1958">
        <v>4.0999999999999996</v>
      </c>
      <c r="BK1958" t="s">
        <v>56</v>
      </c>
      <c r="BL1958" t="s">
        <v>268</v>
      </c>
      <c r="BM1958" t="s">
        <v>232</v>
      </c>
      <c r="BN1958" t="s">
        <v>81</v>
      </c>
      <c r="BO1958" t="s">
        <v>966</v>
      </c>
      <c r="BP1958" t="s">
        <v>234</v>
      </c>
      <c r="BQ1958" s="8" t="s">
        <v>190</v>
      </c>
      <c r="BR1958" t="s">
        <v>63</v>
      </c>
      <c r="BT1958">
        <v>40.6</v>
      </c>
      <c r="BU1958">
        <v>40.6</v>
      </c>
      <c r="BV1958">
        <v>2.36</v>
      </c>
      <c r="BW1958">
        <f>BV1958*SQRT(AK1958)</f>
        <v>10.554240853799007</v>
      </c>
      <c r="BX1958">
        <v>42.2</v>
      </c>
      <c r="BY1958">
        <v>42.2</v>
      </c>
      <c r="BZ1958">
        <v>2.5499999999999998</v>
      </c>
      <c r="CA1958">
        <f>BZ1958*SQRT(AL1958)</f>
        <v>11.403946685248927</v>
      </c>
      <c r="CB1958">
        <v>20</v>
      </c>
      <c r="CC1958">
        <v>2</v>
      </c>
      <c r="CD1958">
        <v>3.9E-2</v>
      </c>
      <c r="CE1958">
        <v>7.0000000000000001E-3</v>
      </c>
    </row>
    <row r="1959" spans="4:83" hidden="1" x14ac:dyDescent="0.2">
      <c r="D1959">
        <v>205</v>
      </c>
      <c r="G1959" t="s">
        <v>43</v>
      </c>
      <c r="H1959" t="s">
        <v>622</v>
      </c>
      <c r="J1959">
        <v>2010</v>
      </c>
      <c r="M1959" t="s">
        <v>750</v>
      </c>
      <c r="T1959" t="s">
        <v>131</v>
      </c>
      <c r="U1959" t="s">
        <v>623</v>
      </c>
      <c r="V1959" t="s">
        <v>624</v>
      </c>
      <c r="Z1959" t="s">
        <v>49</v>
      </c>
      <c r="AA1959" t="s">
        <v>49</v>
      </c>
      <c r="AB1959" t="s">
        <v>71</v>
      </c>
      <c r="AC1959" t="s">
        <v>108</v>
      </c>
      <c r="AD1959" t="s">
        <v>52</v>
      </c>
      <c r="AE1959" t="s">
        <v>53</v>
      </c>
      <c r="AF1959" t="s">
        <v>52</v>
      </c>
      <c r="AG1959" t="s">
        <v>52</v>
      </c>
      <c r="AH1959" t="s">
        <v>64</v>
      </c>
      <c r="AK1959">
        <v>20</v>
      </c>
      <c r="AL1959">
        <v>20</v>
      </c>
      <c r="AN1959">
        <v>352</v>
      </c>
      <c r="AO1959" t="s">
        <v>56</v>
      </c>
      <c r="AP1959">
        <v>28</v>
      </c>
      <c r="AQ1959" t="s">
        <v>57</v>
      </c>
      <c r="AR1959">
        <v>8.1199999999999992</v>
      </c>
      <c r="AS1959" t="s">
        <v>56</v>
      </c>
      <c r="AT1959">
        <v>0.03</v>
      </c>
      <c r="AU1959">
        <v>2448</v>
      </c>
      <c r="AV1959" t="s">
        <v>56</v>
      </c>
      <c r="AW1959">
        <v>277</v>
      </c>
      <c r="AX1959">
        <v>7.36</v>
      </c>
      <c r="AY1959" t="s">
        <v>56</v>
      </c>
      <c r="AZ1959">
        <v>0.04</v>
      </c>
      <c r="BB1959">
        <f>LOG(AU1959)</f>
        <v>3.3888114134735234</v>
      </c>
      <c r="BC1959">
        <v>5.7</v>
      </c>
      <c r="BD1959" t="s">
        <v>56</v>
      </c>
      <c r="BE1959">
        <v>0.8</v>
      </c>
      <c r="BF1959">
        <v>9.4</v>
      </c>
      <c r="BG1959" t="s">
        <v>56</v>
      </c>
      <c r="BH1959">
        <v>0.3</v>
      </c>
      <c r="BI1959">
        <v>2096</v>
      </c>
      <c r="BJ1959">
        <v>3.7</v>
      </c>
      <c r="BK1959" t="s">
        <v>56</v>
      </c>
      <c r="BL1959" t="s">
        <v>268</v>
      </c>
      <c r="BM1959" t="s">
        <v>232</v>
      </c>
      <c r="BN1959" t="s">
        <v>81</v>
      </c>
      <c r="BO1959" t="s">
        <v>966</v>
      </c>
      <c r="BP1959" t="s">
        <v>234</v>
      </c>
      <c r="BQ1959" s="8" t="s">
        <v>190</v>
      </c>
      <c r="BR1959" t="s">
        <v>63</v>
      </c>
      <c r="BT1959">
        <v>40.6</v>
      </c>
      <c r="BU1959">
        <v>40.6</v>
      </c>
      <c r="BV1959">
        <v>2.36</v>
      </c>
      <c r="BW1959">
        <f>BV1959*SQRT(AK1959)</f>
        <v>10.554240853799007</v>
      </c>
      <c r="BX1959">
        <v>43.2</v>
      </c>
      <c r="BY1959">
        <v>43.2</v>
      </c>
      <c r="BZ1959">
        <v>3.22</v>
      </c>
      <c r="CA1959">
        <f>BZ1959*SQRT(AL1959)</f>
        <v>14.400277775098647</v>
      </c>
      <c r="CB1959">
        <v>20</v>
      </c>
      <c r="CC1959">
        <v>2</v>
      </c>
      <c r="CD1959">
        <v>6.2E-2</v>
      </c>
      <c r="CE1959">
        <v>8.9999999999999993E-3</v>
      </c>
    </row>
    <row r="1960" spans="4:83" hidden="1" x14ac:dyDescent="0.2">
      <c r="D1960">
        <v>205</v>
      </c>
      <c r="G1960" t="s">
        <v>43</v>
      </c>
      <c r="H1960" t="s">
        <v>622</v>
      </c>
      <c r="J1960">
        <v>2010</v>
      </c>
      <c r="M1960" t="s">
        <v>750</v>
      </c>
      <c r="T1960" t="s">
        <v>131</v>
      </c>
      <c r="U1960" t="s">
        <v>623</v>
      </c>
      <c r="V1960" t="s">
        <v>624</v>
      </c>
      <c r="Z1960" t="s">
        <v>49</v>
      </c>
      <c r="AA1960" t="s">
        <v>49</v>
      </c>
      <c r="AB1960" t="s">
        <v>71</v>
      </c>
      <c r="AC1960" t="s">
        <v>108</v>
      </c>
      <c r="AD1960" t="s">
        <v>52</v>
      </c>
      <c r="AE1960" t="s">
        <v>53</v>
      </c>
      <c r="AF1960" t="s">
        <v>52</v>
      </c>
      <c r="AG1960" t="s">
        <v>54</v>
      </c>
      <c r="AH1960" t="s">
        <v>55</v>
      </c>
      <c r="AK1960">
        <v>20</v>
      </c>
      <c r="AL1960">
        <v>20</v>
      </c>
      <c r="AN1960">
        <v>352</v>
      </c>
      <c r="AO1960" t="s">
        <v>56</v>
      </c>
      <c r="AP1960">
        <v>28</v>
      </c>
      <c r="AQ1960" t="s">
        <v>57</v>
      </c>
      <c r="AR1960">
        <v>8.1199999999999992</v>
      </c>
      <c r="AS1960" t="s">
        <v>56</v>
      </c>
      <c r="AT1960">
        <v>0.03</v>
      </c>
      <c r="AU1960">
        <v>1086</v>
      </c>
      <c r="AV1960" t="s">
        <v>56</v>
      </c>
      <c r="AW1960">
        <v>95</v>
      </c>
      <c r="AX1960">
        <v>7.68</v>
      </c>
      <c r="AY1960" t="s">
        <v>56</v>
      </c>
      <c r="AZ1960">
        <v>0.03</v>
      </c>
      <c r="BB1960">
        <f>LOG(AU1960)</f>
        <v>3.035829825252828</v>
      </c>
      <c r="BC1960">
        <v>5.7</v>
      </c>
      <c r="BD1960" t="s">
        <v>56</v>
      </c>
      <c r="BE1960">
        <v>0.8</v>
      </c>
      <c r="BF1960">
        <v>5.2</v>
      </c>
      <c r="BG1960" t="s">
        <v>56</v>
      </c>
      <c r="BH1960">
        <v>0.4</v>
      </c>
      <c r="BI1960">
        <v>734</v>
      </c>
      <c r="BJ1960">
        <v>-0.5</v>
      </c>
      <c r="BK1960" t="s">
        <v>56</v>
      </c>
      <c r="BL1960" t="s">
        <v>268</v>
      </c>
      <c r="BM1960" t="s">
        <v>232</v>
      </c>
      <c r="BN1960" t="s">
        <v>81</v>
      </c>
      <c r="BO1960" t="s">
        <v>966</v>
      </c>
      <c r="BP1960" t="s">
        <v>234</v>
      </c>
      <c r="BQ1960" s="8" t="s">
        <v>190</v>
      </c>
      <c r="BR1960" t="s">
        <v>63</v>
      </c>
      <c r="BT1960">
        <v>40.6</v>
      </c>
      <c r="BU1960">
        <v>40.6</v>
      </c>
      <c r="BV1960">
        <v>2.36</v>
      </c>
      <c r="BW1960">
        <f>BV1960*SQRT(AK1960)</f>
        <v>10.554240853799007</v>
      </c>
      <c r="BX1960">
        <v>43.5</v>
      </c>
      <c r="BY1960">
        <v>43.5</v>
      </c>
      <c r="BZ1960">
        <v>2.2799999999999998</v>
      </c>
      <c r="CA1960">
        <f>BZ1960*SQRT(AL1960)</f>
        <v>10.19646997739904</v>
      </c>
      <c r="CB1960">
        <v>20</v>
      </c>
      <c r="CC1960">
        <v>2</v>
      </c>
      <c r="CD1960">
        <v>6.9000000000000006E-2</v>
      </c>
      <c r="CE1960">
        <v>6.1000000000000004E-3</v>
      </c>
    </row>
    <row r="1961" spans="4:83" hidden="1" x14ac:dyDescent="0.2">
      <c r="D1961">
        <v>206</v>
      </c>
      <c r="G1961" t="s">
        <v>43</v>
      </c>
      <c r="H1961" t="s">
        <v>967</v>
      </c>
      <c r="J1961">
        <v>2014</v>
      </c>
      <c r="M1961" t="s">
        <v>67</v>
      </c>
      <c r="T1961" t="s">
        <v>46</v>
      </c>
      <c r="U1961" t="s">
        <v>631</v>
      </c>
      <c r="V1961" t="s">
        <v>803</v>
      </c>
      <c r="Z1961" t="s">
        <v>49</v>
      </c>
      <c r="AA1961" t="s">
        <v>49</v>
      </c>
      <c r="AB1961" t="s">
        <v>50</v>
      </c>
      <c r="AC1961" t="s">
        <v>117</v>
      </c>
      <c r="AD1961" t="s">
        <v>52</v>
      </c>
      <c r="AE1961" t="s">
        <v>53</v>
      </c>
      <c r="AF1961" t="s">
        <v>52</v>
      </c>
      <c r="AG1961" t="s">
        <v>54</v>
      </c>
      <c r="AH1961" t="s">
        <v>55</v>
      </c>
      <c r="AK1961">
        <v>22</v>
      </c>
      <c r="AL1961">
        <v>22</v>
      </c>
      <c r="AN1961">
        <v>428</v>
      </c>
      <c r="AO1961" t="s">
        <v>56</v>
      </c>
      <c r="AP1961">
        <v>73</v>
      </c>
      <c r="AQ1961" t="s">
        <v>109</v>
      </c>
      <c r="AR1961">
        <v>8.0299999999999994</v>
      </c>
      <c r="AS1961" t="s">
        <v>56</v>
      </c>
      <c r="AT1961">
        <v>7.0000000000000007E-2</v>
      </c>
      <c r="AU1961">
        <v>1736</v>
      </c>
      <c r="AV1961" t="s">
        <v>56</v>
      </c>
      <c r="AW1961">
        <v>368</v>
      </c>
      <c r="AX1961">
        <v>7.47</v>
      </c>
      <c r="AY1961" t="s">
        <v>56</v>
      </c>
      <c r="AZ1961">
        <v>0.09</v>
      </c>
      <c r="BB1961">
        <f>LOG(AU1961)</f>
        <v>3.2395497208404729</v>
      </c>
      <c r="BC1961">
        <v>9.4</v>
      </c>
      <c r="BD1961" t="s">
        <v>56</v>
      </c>
      <c r="BE1961">
        <v>0.1</v>
      </c>
      <c r="BF1961">
        <v>9.4</v>
      </c>
      <c r="BG1961" t="s">
        <v>56</v>
      </c>
      <c r="BH1961">
        <v>0</v>
      </c>
      <c r="BI1961">
        <v>1308</v>
      </c>
      <c r="BJ1961">
        <v>0</v>
      </c>
      <c r="BK1961" t="s">
        <v>968</v>
      </c>
      <c r="BL1961" t="s">
        <v>969</v>
      </c>
      <c r="BM1961" t="s">
        <v>59</v>
      </c>
      <c r="BN1961" t="s">
        <v>60</v>
      </c>
      <c r="BO1961" t="s">
        <v>970</v>
      </c>
      <c r="BP1961" t="s">
        <v>62</v>
      </c>
      <c r="BQ1961" s="8" t="s">
        <v>190</v>
      </c>
      <c r="BR1961" t="s">
        <v>63</v>
      </c>
      <c r="BT1961">
        <v>0.38</v>
      </c>
      <c r="BU1961">
        <v>0.376</v>
      </c>
      <c r="BV1961">
        <v>0.01</v>
      </c>
      <c r="BW1961">
        <f>BV1961*SQRT(AK1961)</f>
        <v>4.6904157598234297E-2</v>
      </c>
      <c r="BX1961">
        <v>0.36</v>
      </c>
      <c r="BY1961">
        <v>0.35820000000000002</v>
      </c>
      <c r="BZ1961">
        <v>0.01</v>
      </c>
      <c r="CA1961">
        <f>BZ1961*SQRT(AL1961)</f>
        <v>4.6904157598234297E-2</v>
      </c>
      <c r="CB1961">
        <v>7</v>
      </c>
      <c r="CC1961">
        <v>2</v>
      </c>
      <c r="CD1961">
        <v>-4.9000000000000002E-2</v>
      </c>
      <c r="CE1961">
        <v>1.6999999999999999E-3</v>
      </c>
    </row>
    <row r="1962" spans="4:83" hidden="1" x14ac:dyDescent="0.2">
      <c r="D1962">
        <v>206</v>
      </c>
      <c r="G1962" t="s">
        <v>43</v>
      </c>
      <c r="H1962" t="s">
        <v>967</v>
      </c>
      <c r="J1962">
        <v>2014</v>
      </c>
      <c r="M1962" t="s">
        <v>67</v>
      </c>
      <c r="T1962" t="s">
        <v>46</v>
      </c>
      <c r="U1962" t="s">
        <v>971</v>
      </c>
      <c r="V1962" t="s">
        <v>972</v>
      </c>
      <c r="Z1962" t="s">
        <v>49</v>
      </c>
      <c r="AA1962" t="s">
        <v>49</v>
      </c>
      <c r="AB1962" t="s">
        <v>50</v>
      </c>
      <c r="AC1962" t="s">
        <v>117</v>
      </c>
      <c r="AD1962" t="s">
        <v>52</v>
      </c>
      <c r="AE1962" t="s">
        <v>53</v>
      </c>
      <c r="AF1962" t="s">
        <v>52</v>
      </c>
      <c r="AG1962" t="s">
        <v>54</v>
      </c>
      <c r="AH1962" t="s">
        <v>55</v>
      </c>
      <c r="AK1962">
        <v>22</v>
      </c>
      <c r="AL1962">
        <v>22</v>
      </c>
      <c r="AN1962">
        <v>428</v>
      </c>
      <c r="AO1962" t="s">
        <v>56</v>
      </c>
      <c r="AP1962">
        <v>73</v>
      </c>
      <c r="AQ1962" t="s">
        <v>109</v>
      </c>
      <c r="AR1962">
        <v>8.0299999999999994</v>
      </c>
      <c r="AS1962" t="s">
        <v>56</v>
      </c>
      <c r="AT1962">
        <v>7.0000000000000007E-2</v>
      </c>
      <c r="AU1962">
        <v>1736</v>
      </c>
      <c r="AV1962" t="s">
        <v>56</v>
      </c>
      <c r="AW1962">
        <v>368</v>
      </c>
      <c r="AX1962">
        <v>7.47</v>
      </c>
      <c r="AY1962" t="s">
        <v>56</v>
      </c>
      <c r="AZ1962">
        <v>0.09</v>
      </c>
      <c r="BB1962">
        <f>LOG(AU1962)</f>
        <v>3.2395497208404729</v>
      </c>
      <c r="BC1962">
        <v>9.4</v>
      </c>
      <c r="BD1962" t="s">
        <v>56</v>
      </c>
      <c r="BE1962">
        <v>0.1</v>
      </c>
      <c r="BF1962">
        <v>9.4</v>
      </c>
      <c r="BG1962" t="s">
        <v>56</v>
      </c>
      <c r="BH1962">
        <v>0</v>
      </c>
      <c r="BI1962">
        <v>1308</v>
      </c>
      <c r="BJ1962">
        <v>0</v>
      </c>
      <c r="BK1962" t="s">
        <v>968</v>
      </c>
      <c r="BL1962" t="s">
        <v>969</v>
      </c>
      <c r="BM1962" t="s">
        <v>59</v>
      </c>
      <c r="BN1962" t="s">
        <v>60</v>
      </c>
      <c r="BO1962" t="s">
        <v>970</v>
      </c>
      <c r="BP1962" t="s">
        <v>62</v>
      </c>
      <c r="BQ1962" s="8" t="s">
        <v>190</v>
      </c>
      <c r="BR1962" t="s">
        <v>63</v>
      </c>
      <c r="BT1962">
        <v>0.41</v>
      </c>
      <c r="BU1962">
        <v>0.40597</v>
      </c>
      <c r="BV1962">
        <v>0.02</v>
      </c>
      <c r="BW1962">
        <f>BV1962*SQRT(AK1962)</f>
        <v>9.3808315196468595E-2</v>
      </c>
      <c r="BX1962">
        <v>0.44</v>
      </c>
      <c r="BY1962">
        <v>0.43582100000000001</v>
      </c>
      <c r="BZ1962">
        <v>0.02</v>
      </c>
      <c r="CA1962">
        <f>BZ1962*SQRT(AL1962)</f>
        <v>9.3808315196468595E-2</v>
      </c>
      <c r="CB1962">
        <v>7</v>
      </c>
      <c r="CC1962">
        <v>2</v>
      </c>
      <c r="CD1962">
        <v>7.0999999999999994E-2</v>
      </c>
      <c r="CE1962">
        <v>4.0000000000000001E-3</v>
      </c>
    </row>
    <row r="1963" spans="4:83" hidden="1" x14ac:dyDescent="0.2">
      <c r="D1963">
        <v>206</v>
      </c>
      <c r="G1963" t="s">
        <v>43</v>
      </c>
      <c r="H1963" t="s">
        <v>967</v>
      </c>
      <c r="J1963">
        <v>2014</v>
      </c>
      <c r="M1963" t="s">
        <v>67</v>
      </c>
      <c r="T1963" t="s">
        <v>46</v>
      </c>
      <c r="U1963" t="s">
        <v>973</v>
      </c>
      <c r="V1963" t="s">
        <v>974</v>
      </c>
      <c r="Z1963" t="s">
        <v>49</v>
      </c>
      <c r="AA1963" t="s">
        <v>49</v>
      </c>
      <c r="AB1963" t="s">
        <v>50</v>
      </c>
      <c r="AC1963" t="s">
        <v>117</v>
      </c>
      <c r="AD1963" t="s">
        <v>52</v>
      </c>
      <c r="AE1963" t="s">
        <v>53</v>
      </c>
      <c r="AF1963" t="s">
        <v>52</v>
      </c>
      <c r="AG1963" t="s">
        <v>54</v>
      </c>
      <c r="AH1963" t="s">
        <v>55</v>
      </c>
      <c r="AK1963">
        <v>22</v>
      </c>
      <c r="AL1963">
        <v>22</v>
      </c>
      <c r="AN1963">
        <v>428</v>
      </c>
      <c r="AO1963" t="s">
        <v>56</v>
      </c>
      <c r="AP1963">
        <v>73</v>
      </c>
      <c r="AQ1963" t="s">
        <v>109</v>
      </c>
      <c r="AR1963">
        <v>8.0299999999999994</v>
      </c>
      <c r="AS1963" t="s">
        <v>56</v>
      </c>
      <c r="AT1963">
        <v>7.0000000000000007E-2</v>
      </c>
      <c r="AU1963">
        <v>1736</v>
      </c>
      <c r="AV1963" t="s">
        <v>56</v>
      </c>
      <c r="AW1963">
        <v>368</v>
      </c>
      <c r="AX1963">
        <v>7.47</v>
      </c>
      <c r="AY1963" t="s">
        <v>56</v>
      </c>
      <c r="AZ1963">
        <v>0.09</v>
      </c>
      <c r="BB1963">
        <f>LOG(AU1963)</f>
        <v>3.2395497208404729</v>
      </c>
      <c r="BC1963">
        <v>9.4</v>
      </c>
      <c r="BD1963" t="s">
        <v>56</v>
      </c>
      <c r="BE1963">
        <v>0.1</v>
      </c>
      <c r="BF1963">
        <v>9.4</v>
      </c>
      <c r="BG1963" t="s">
        <v>56</v>
      </c>
      <c r="BH1963">
        <v>0</v>
      </c>
      <c r="BI1963">
        <v>1308</v>
      </c>
      <c r="BJ1963">
        <v>0</v>
      </c>
      <c r="BK1963" t="s">
        <v>968</v>
      </c>
      <c r="BL1963" t="s">
        <v>969</v>
      </c>
      <c r="BM1963" t="s">
        <v>59</v>
      </c>
      <c r="BN1963" t="s">
        <v>60</v>
      </c>
      <c r="BO1963" t="s">
        <v>970</v>
      </c>
      <c r="BP1963" t="s">
        <v>62</v>
      </c>
      <c r="BQ1963" s="8" t="s">
        <v>190</v>
      </c>
      <c r="BR1963" t="s">
        <v>63</v>
      </c>
      <c r="BT1963">
        <v>0.26</v>
      </c>
      <c r="BU1963">
        <v>0.262687</v>
      </c>
      <c r="BV1963">
        <v>0.03</v>
      </c>
      <c r="BW1963">
        <f>BV1963*SQRT(AK1963)</f>
        <v>0.14071247279470289</v>
      </c>
      <c r="BX1963">
        <v>0.31</v>
      </c>
      <c r="BY1963">
        <v>0.310448</v>
      </c>
      <c r="BZ1963">
        <v>0.03</v>
      </c>
      <c r="CA1963">
        <f>BZ1963*SQRT(AL1963)</f>
        <v>0.14071247279470289</v>
      </c>
      <c r="CB1963">
        <v>7</v>
      </c>
      <c r="CC1963">
        <v>2</v>
      </c>
      <c r="CD1963">
        <v>0.16700000000000001</v>
      </c>
      <c r="CE1963">
        <v>2.7900000000000001E-2</v>
      </c>
    </row>
    <row r="1964" spans="4:83" hidden="1" x14ac:dyDescent="0.2">
      <c r="D1964">
        <v>206</v>
      </c>
      <c r="G1964" t="s">
        <v>43</v>
      </c>
      <c r="H1964" t="s">
        <v>967</v>
      </c>
      <c r="J1964">
        <v>2014</v>
      </c>
      <c r="M1964" t="s">
        <v>67</v>
      </c>
      <c r="T1964" t="s">
        <v>46</v>
      </c>
      <c r="U1964" t="s">
        <v>631</v>
      </c>
      <c r="V1964" t="s">
        <v>803</v>
      </c>
      <c r="Z1964" t="s">
        <v>49</v>
      </c>
      <c r="AA1964" t="s">
        <v>49</v>
      </c>
      <c r="AB1964" t="s">
        <v>50</v>
      </c>
      <c r="AC1964" t="s">
        <v>117</v>
      </c>
      <c r="AD1964" t="s">
        <v>52</v>
      </c>
      <c r="AE1964" t="s">
        <v>53</v>
      </c>
      <c r="AF1964" t="s">
        <v>54</v>
      </c>
      <c r="AG1964" t="s">
        <v>52</v>
      </c>
      <c r="AH1964" t="s">
        <v>65</v>
      </c>
      <c r="AK1964">
        <v>22</v>
      </c>
      <c r="AL1964">
        <v>22</v>
      </c>
      <c r="AN1964">
        <v>428</v>
      </c>
      <c r="AO1964" t="s">
        <v>56</v>
      </c>
      <c r="AP1964">
        <v>73</v>
      </c>
      <c r="AQ1964" t="s">
        <v>109</v>
      </c>
      <c r="AR1964">
        <v>8.0299999999999994</v>
      </c>
      <c r="AS1964" t="s">
        <v>56</v>
      </c>
      <c r="AT1964">
        <v>7.0000000000000007E-2</v>
      </c>
      <c r="AU1964">
        <v>446</v>
      </c>
      <c r="AV1964" t="s">
        <v>56</v>
      </c>
      <c r="AW1964">
        <v>102</v>
      </c>
      <c r="AX1964">
        <v>8.02</v>
      </c>
      <c r="AY1964" t="s">
        <v>56</v>
      </c>
      <c r="AZ1964">
        <v>0.1</v>
      </c>
      <c r="BB1964">
        <f>LOG(AU1964)</f>
        <v>2.6493348587121419</v>
      </c>
      <c r="BC1964">
        <v>9.4</v>
      </c>
      <c r="BD1964" t="s">
        <v>56</v>
      </c>
      <c r="BE1964">
        <v>0.1</v>
      </c>
      <c r="BF1964">
        <v>15.6</v>
      </c>
      <c r="BG1964" t="s">
        <v>56</v>
      </c>
      <c r="BH1964">
        <v>0.1</v>
      </c>
      <c r="BI1964">
        <v>18</v>
      </c>
      <c r="BJ1964">
        <v>6.2</v>
      </c>
      <c r="BK1964" t="s">
        <v>968</v>
      </c>
      <c r="BL1964" t="s">
        <v>969</v>
      </c>
      <c r="BM1964" t="s">
        <v>59</v>
      </c>
      <c r="BN1964" t="s">
        <v>60</v>
      </c>
      <c r="BO1964" t="s">
        <v>970</v>
      </c>
      <c r="BP1964" t="s">
        <v>62</v>
      </c>
      <c r="BQ1964" s="8" t="s">
        <v>190</v>
      </c>
      <c r="BR1964" t="s">
        <v>63</v>
      </c>
      <c r="BT1964">
        <v>0.38</v>
      </c>
      <c r="BU1964">
        <v>0.376</v>
      </c>
      <c r="BV1964">
        <v>0.01</v>
      </c>
      <c r="BW1964">
        <f>BV1964*SQRT(AK1964)</f>
        <v>4.6904157598234297E-2</v>
      </c>
      <c r="BX1964">
        <v>0.49</v>
      </c>
      <c r="BY1964">
        <v>0.48959999999999998</v>
      </c>
      <c r="BZ1964">
        <v>0.02</v>
      </c>
      <c r="CA1964">
        <f>BZ1964*SQRT(AL1964)</f>
        <v>9.3808315196468595E-2</v>
      </c>
      <c r="CB1964">
        <v>7</v>
      </c>
      <c r="CC1964">
        <v>2</v>
      </c>
      <c r="CD1964">
        <v>0.26400000000000001</v>
      </c>
      <c r="CE1964">
        <v>2.3999999999999998E-3</v>
      </c>
    </row>
    <row r="1965" spans="4:83" hidden="1" x14ac:dyDescent="0.2">
      <c r="D1965">
        <v>206</v>
      </c>
      <c r="G1965" t="s">
        <v>43</v>
      </c>
      <c r="H1965" t="s">
        <v>967</v>
      </c>
      <c r="J1965">
        <v>2014</v>
      </c>
      <c r="M1965" t="s">
        <v>67</v>
      </c>
      <c r="T1965" t="s">
        <v>46</v>
      </c>
      <c r="U1965" t="s">
        <v>631</v>
      </c>
      <c r="V1965" t="s">
        <v>803</v>
      </c>
      <c r="Z1965" t="s">
        <v>49</v>
      </c>
      <c r="AA1965" t="s">
        <v>49</v>
      </c>
      <c r="AB1965" t="s">
        <v>50</v>
      </c>
      <c r="AC1965" t="s">
        <v>117</v>
      </c>
      <c r="AD1965" t="s">
        <v>52</v>
      </c>
      <c r="AE1965" t="s">
        <v>53</v>
      </c>
      <c r="AF1965" t="s">
        <v>52</v>
      </c>
      <c r="AG1965" t="s">
        <v>52</v>
      </c>
      <c r="AH1965" t="s">
        <v>64</v>
      </c>
      <c r="AK1965">
        <v>22</v>
      </c>
      <c r="AL1965">
        <v>22</v>
      </c>
      <c r="AN1965">
        <v>428</v>
      </c>
      <c r="AO1965" t="s">
        <v>56</v>
      </c>
      <c r="AP1965">
        <v>73</v>
      </c>
      <c r="AQ1965" t="s">
        <v>109</v>
      </c>
      <c r="AR1965">
        <v>8.0299999999999994</v>
      </c>
      <c r="AS1965" t="s">
        <v>56</v>
      </c>
      <c r="AT1965">
        <v>7.0000000000000007E-2</v>
      </c>
      <c r="AU1965">
        <v>2024</v>
      </c>
      <c r="AV1965" t="s">
        <v>56</v>
      </c>
      <c r="AW1965">
        <v>487</v>
      </c>
      <c r="AX1965">
        <v>7.42</v>
      </c>
      <c r="AY1965" t="s">
        <v>56</v>
      </c>
      <c r="AZ1965">
        <v>0.11</v>
      </c>
      <c r="BB1965">
        <f>LOG(AU1965)</f>
        <v>3.3062105081677613</v>
      </c>
      <c r="BC1965">
        <v>9.4</v>
      </c>
      <c r="BD1965" t="s">
        <v>56</v>
      </c>
      <c r="BE1965">
        <v>0.1</v>
      </c>
      <c r="BF1965">
        <v>15.5</v>
      </c>
      <c r="BG1965" t="s">
        <v>56</v>
      </c>
      <c r="BH1965">
        <v>0.2</v>
      </c>
      <c r="BI1965">
        <v>1596</v>
      </c>
      <c r="BJ1965">
        <v>6.1</v>
      </c>
      <c r="BK1965" t="s">
        <v>968</v>
      </c>
      <c r="BL1965" t="s">
        <v>969</v>
      </c>
      <c r="BM1965" t="s">
        <v>59</v>
      </c>
      <c r="BN1965" t="s">
        <v>60</v>
      </c>
      <c r="BO1965" t="s">
        <v>970</v>
      </c>
      <c r="BP1965" t="s">
        <v>62</v>
      </c>
      <c r="BQ1965" s="8" t="s">
        <v>190</v>
      </c>
      <c r="BR1965" t="s">
        <v>63</v>
      </c>
      <c r="BT1965">
        <v>0.38</v>
      </c>
      <c r="BU1965">
        <v>0.376</v>
      </c>
      <c r="BV1965">
        <v>0.01</v>
      </c>
      <c r="BW1965">
        <f>BV1965*SQRT(AK1965)</f>
        <v>4.6904157598234297E-2</v>
      </c>
      <c r="BX1965">
        <v>0.5</v>
      </c>
      <c r="BY1965">
        <v>0.4955</v>
      </c>
      <c r="BZ1965">
        <v>0.03</v>
      </c>
      <c r="CA1965">
        <f>BZ1965*SQRT(AL1965)</f>
        <v>0.14071247279470289</v>
      </c>
      <c r="CB1965">
        <v>7</v>
      </c>
      <c r="CC1965">
        <v>2</v>
      </c>
      <c r="CD1965">
        <v>0.27600000000000002</v>
      </c>
      <c r="CE1965">
        <v>4.7999999999999996E-3</v>
      </c>
    </row>
    <row r="1966" spans="4:83" hidden="1" x14ac:dyDescent="0.2">
      <c r="D1966">
        <v>206</v>
      </c>
      <c r="G1966" t="s">
        <v>43</v>
      </c>
      <c r="H1966" t="s">
        <v>967</v>
      </c>
      <c r="J1966">
        <v>2014</v>
      </c>
      <c r="M1966" t="s">
        <v>67</v>
      </c>
      <c r="T1966" t="s">
        <v>46</v>
      </c>
      <c r="U1966" t="s">
        <v>973</v>
      </c>
      <c r="V1966" t="s">
        <v>974</v>
      </c>
      <c r="Z1966" t="s">
        <v>49</v>
      </c>
      <c r="AA1966" t="s">
        <v>49</v>
      </c>
      <c r="AB1966" t="s">
        <v>50</v>
      </c>
      <c r="AC1966" t="s">
        <v>117</v>
      </c>
      <c r="AD1966" t="s">
        <v>52</v>
      </c>
      <c r="AE1966" t="s">
        <v>53</v>
      </c>
      <c r="AF1966" t="s">
        <v>52</v>
      </c>
      <c r="AG1966" t="s">
        <v>52</v>
      </c>
      <c r="AH1966" t="s">
        <v>64</v>
      </c>
      <c r="AK1966">
        <v>22</v>
      </c>
      <c r="AL1966">
        <v>22</v>
      </c>
      <c r="AN1966">
        <v>428</v>
      </c>
      <c r="AO1966" t="s">
        <v>56</v>
      </c>
      <c r="AP1966">
        <v>73</v>
      </c>
      <c r="AQ1966" t="s">
        <v>109</v>
      </c>
      <c r="AR1966">
        <v>8.0299999999999994</v>
      </c>
      <c r="AS1966" t="s">
        <v>56</v>
      </c>
      <c r="AT1966">
        <v>7.0000000000000007E-2</v>
      </c>
      <c r="AU1966">
        <v>2024</v>
      </c>
      <c r="AV1966" t="s">
        <v>56</v>
      </c>
      <c r="AW1966">
        <v>487</v>
      </c>
      <c r="AX1966">
        <v>7.42</v>
      </c>
      <c r="AY1966" t="s">
        <v>56</v>
      </c>
      <c r="AZ1966">
        <v>0.11</v>
      </c>
      <c r="BB1966">
        <f>LOG(AU1966)</f>
        <v>3.3062105081677613</v>
      </c>
      <c r="BC1966">
        <v>9.4</v>
      </c>
      <c r="BD1966" t="s">
        <v>56</v>
      </c>
      <c r="BE1966">
        <v>0.1</v>
      </c>
      <c r="BF1966">
        <v>15.5</v>
      </c>
      <c r="BG1966" t="s">
        <v>56</v>
      </c>
      <c r="BH1966">
        <v>0.2</v>
      </c>
      <c r="BI1966">
        <v>1596</v>
      </c>
      <c r="BJ1966">
        <v>6.1</v>
      </c>
      <c r="BK1966" t="s">
        <v>968</v>
      </c>
      <c r="BL1966" t="s">
        <v>969</v>
      </c>
      <c r="BM1966" t="s">
        <v>59</v>
      </c>
      <c r="BN1966" t="s">
        <v>60</v>
      </c>
      <c r="BO1966" t="s">
        <v>970</v>
      </c>
      <c r="BP1966" t="s">
        <v>62</v>
      </c>
      <c r="BQ1966" s="8" t="s">
        <v>190</v>
      </c>
      <c r="BR1966" t="s">
        <v>63</v>
      </c>
      <c r="BT1966">
        <v>0.26</v>
      </c>
      <c r="BU1966">
        <v>0.262687</v>
      </c>
      <c r="BV1966">
        <v>0.03</v>
      </c>
      <c r="BW1966">
        <f>BV1966*SQRT(AK1966)</f>
        <v>0.14071247279470289</v>
      </c>
      <c r="BX1966">
        <v>0.41</v>
      </c>
      <c r="BY1966">
        <v>0.40597</v>
      </c>
      <c r="BZ1966">
        <v>0.05</v>
      </c>
      <c r="CA1966">
        <f>BZ1966*SQRT(AL1966)</f>
        <v>0.23452078799117149</v>
      </c>
      <c r="CB1966">
        <v>7</v>
      </c>
      <c r="CC1966">
        <v>2</v>
      </c>
      <c r="CD1966">
        <v>0.435</v>
      </c>
      <c r="CE1966">
        <v>3.4500000000000003E-2</v>
      </c>
    </row>
    <row r="1967" spans="4:83" hidden="1" x14ac:dyDescent="0.2">
      <c r="D1967">
        <v>206</v>
      </c>
      <c r="G1967" t="s">
        <v>43</v>
      </c>
      <c r="H1967" t="s">
        <v>967</v>
      </c>
      <c r="J1967">
        <v>2014</v>
      </c>
      <c r="M1967" t="s">
        <v>67</v>
      </c>
      <c r="T1967" t="s">
        <v>46</v>
      </c>
      <c r="U1967" t="s">
        <v>971</v>
      </c>
      <c r="V1967" t="s">
        <v>972</v>
      </c>
      <c r="Z1967" t="s">
        <v>49</v>
      </c>
      <c r="AA1967" t="s">
        <v>49</v>
      </c>
      <c r="AB1967" t="s">
        <v>50</v>
      </c>
      <c r="AC1967" t="s">
        <v>117</v>
      </c>
      <c r="AD1967" t="s">
        <v>52</v>
      </c>
      <c r="AE1967" t="s">
        <v>53</v>
      </c>
      <c r="AF1967" t="s">
        <v>54</v>
      </c>
      <c r="AG1967" t="s">
        <v>52</v>
      </c>
      <c r="AH1967" t="s">
        <v>65</v>
      </c>
      <c r="AK1967">
        <v>22</v>
      </c>
      <c r="AL1967">
        <v>22</v>
      </c>
      <c r="AN1967">
        <v>428</v>
      </c>
      <c r="AO1967" t="s">
        <v>56</v>
      </c>
      <c r="AP1967">
        <v>73</v>
      </c>
      <c r="AQ1967" t="s">
        <v>109</v>
      </c>
      <c r="AR1967">
        <v>8.0299999999999994</v>
      </c>
      <c r="AS1967" t="s">
        <v>56</v>
      </c>
      <c r="AT1967">
        <v>7.0000000000000007E-2</v>
      </c>
      <c r="AU1967">
        <v>484</v>
      </c>
      <c r="AV1967" t="s">
        <v>56</v>
      </c>
      <c r="AW1967">
        <v>119</v>
      </c>
      <c r="AX1967">
        <v>7.99</v>
      </c>
      <c r="AY1967" t="s">
        <v>56</v>
      </c>
      <c r="AZ1967">
        <v>0.09</v>
      </c>
      <c r="BB1967">
        <f>LOG(AU1967)</f>
        <v>2.6848453616444123</v>
      </c>
      <c r="BC1967">
        <v>9.4</v>
      </c>
      <c r="BD1967" t="s">
        <v>56</v>
      </c>
      <c r="BE1967">
        <v>0.1</v>
      </c>
      <c r="BF1967">
        <v>20.3</v>
      </c>
      <c r="BG1967" t="s">
        <v>56</v>
      </c>
      <c r="BH1967">
        <v>0.1</v>
      </c>
      <c r="BI1967">
        <v>56</v>
      </c>
      <c r="BJ1967">
        <v>10.9</v>
      </c>
      <c r="BK1967" t="s">
        <v>968</v>
      </c>
      <c r="BL1967" t="s">
        <v>969</v>
      </c>
      <c r="BM1967" t="s">
        <v>59</v>
      </c>
      <c r="BN1967" t="s">
        <v>60</v>
      </c>
      <c r="BO1967" t="s">
        <v>970</v>
      </c>
      <c r="BP1967" t="s">
        <v>62</v>
      </c>
      <c r="BQ1967" s="8" t="s">
        <v>190</v>
      </c>
      <c r="BR1967" t="s">
        <v>63</v>
      </c>
      <c r="BT1967">
        <v>0.41</v>
      </c>
      <c r="BU1967">
        <v>0.40597</v>
      </c>
      <c r="BV1967">
        <v>0.02</v>
      </c>
      <c r="BW1967">
        <f>BV1967*SQRT(AK1967)</f>
        <v>9.3808315196468595E-2</v>
      </c>
      <c r="BX1967">
        <v>0.66</v>
      </c>
      <c r="BY1967">
        <v>0.66268700000000003</v>
      </c>
      <c r="BZ1967">
        <v>0.05</v>
      </c>
      <c r="CA1967">
        <f>BZ1967*SQRT(AL1967)</f>
        <v>0.23452078799117149</v>
      </c>
      <c r="CB1967">
        <v>7</v>
      </c>
      <c r="CC1967">
        <v>2</v>
      </c>
      <c r="CD1967">
        <v>0.49</v>
      </c>
      <c r="CE1967">
        <v>9.5999999999999992E-3</v>
      </c>
    </row>
    <row r="1968" spans="4:83" hidden="1" x14ac:dyDescent="0.2">
      <c r="D1968">
        <v>206</v>
      </c>
      <c r="G1968" t="s">
        <v>43</v>
      </c>
      <c r="H1968" t="s">
        <v>967</v>
      </c>
      <c r="J1968">
        <v>2014</v>
      </c>
      <c r="M1968" t="s">
        <v>67</v>
      </c>
      <c r="T1968" t="s">
        <v>46</v>
      </c>
      <c r="U1968" t="s">
        <v>971</v>
      </c>
      <c r="V1968" t="s">
        <v>972</v>
      </c>
      <c r="Z1968" t="s">
        <v>49</v>
      </c>
      <c r="AA1968" t="s">
        <v>49</v>
      </c>
      <c r="AB1968" t="s">
        <v>50</v>
      </c>
      <c r="AC1968" t="s">
        <v>117</v>
      </c>
      <c r="AD1968" t="s">
        <v>52</v>
      </c>
      <c r="AE1968" t="s">
        <v>53</v>
      </c>
      <c r="AF1968" t="s">
        <v>52</v>
      </c>
      <c r="AG1968" t="s">
        <v>52</v>
      </c>
      <c r="AH1968" t="s">
        <v>64</v>
      </c>
      <c r="AK1968">
        <v>22</v>
      </c>
      <c r="AL1968">
        <v>22</v>
      </c>
      <c r="AN1968">
        <v>428</v>
      </c>
      <c r="AO1968" t="s">
        <v>56</v>
      </c>
      <c r="AP1968">
        <v>73</v>
      </c>
      <c r="AQ1968" t="s">
        <v>109</v>
      </c>
      <c r="AR1968">
        <v>8.0299999999999994</v>
      </c>
      <c r="AS1968" t="s">
        <v>56</v>
      </c>
      <c r="AT1968">
        <v>7.0000000000000007E-2</v>
      </c>
      <c r="AU1968">
        <v>2024</v>
      </c>
      <c r="AV1968" t="s">
        <v>56</v>
      </c>
      <c r="AW1968">
        <v>487</v>
      </c>
      <c r="AX1968">
        <v>7.42</v>
      </c>
      <c r="AY1968" t="s">
        <v>56</v>
      </c>
      <c r="AZ1968">
        <v>0.11</v>
      </c>
      <c r="BB1968">
        <f>LOG(AU1968)</f>
        <v>3.3062105081677613</v>
      </c>
      <c r="BC1968">
        <v>9.4</v>
      </c>
      <c r="BD1968" t="s">
        <v>56</v>
      </c>
      <c r="BE1968">
        <v>0.1</v>
      </c>
      <c r="BF1968">
        <v>15.5</v>
      </c>
      <c r="BG1968" t="s">
        <v>56</v>
      </c>
      <c r="BH1968">
        <v>0.2</v>
      </c>
      <c r="BI1968">
        <v>1596</v>
      </c>
      <c r="BJ1968">
        <v>6.1</v>
      </c>
      <c r="BK1968" t="s">
        <v>968</v>
      </c>
      <c r="BL1968" t="s">
        <v>969</v>
      </c>
      <c r="BM1968" t="s">
        <v>59</v>
      </c>
      <c r="BN1968" t="s">
        <v>60</v>
      </c>
      <c r="BO1968" t="s">
        <v>970</v>
      </c>
      <c r="BP1968" t="s">
        <v>62</v>
      </c>
      <c r="BQ1968" s="8" t="s">
        <v>190</v>
      </c>
      <c r="BR1968" t="s">
        <v>63</v>
      </c>
      <c r="BT1968">
        <v>0.41</v>
      </c>
      <c r="BU1968">
        <v>0.40597</v>
      </c>
      <c r="BV1968">
        <v>0.02</v>
      </c>
      <c r="BW1968">
        <f>BV1968*SQRT(AK1968)</f>
        <v>9.3808315196468595E-2</v>
      </c>
      <c r="BX1968">
        <v>0.7</v>
      </c>
      <c r="BY1968">
        <v>0.70447800000000005</v>
      </c>
      <c r="BZ1968">
        <v>0.06</v>
      </c>
      <c r="CA1968">
        <f>BZ1968*SQRT(AL1968)</f>
        <v>0.28142494558940578</v>
      </c>
      <c r="CB1968">
        <v>7</v>
      </c>
      <c r="CC1968">
        <v>2</v>
      </c>
      <c r="CD1968">
        <v>0.55100000000000005</v>
      </c>
      <c r="CE1968">
        <v>9.4999999999999998E-3</v>
      </c>
    </row>
    <row r="1969" spans="2:83" hidden="1" x14ac:dyDescent="0.2">
      <c r="D1969">
        <v>206</v>
      </c>
      <c r="G1969" t="s">
        <v>43</v>
      </c>
      <c r="H1969" t="s">
        <v>967</v>
      </c>
      <c r="J1969">
        <v>2014</v>
      </c>
      <c r="M1969" t="s">
        <v>67</v>
      </c>
      <c r="T1969" t="s">
        <v>46</v>
      </c>
      <c r="U1969" t="s">
        <v>971</v>
      </c>
      <c r="V1969" t="s">
        <v>972</v>
      </c>
      <c r="Z1969" t="s">
        <v>49</v>
      </c>
      <c r="AA1969" t="s">
        <v>49</v>
      </c>
      <c r="AB1969" t="s">
        <v>50</v>
      </c>
      <c r="AC1969" t="s">
        <v>117</v>
      </c>
      <c r="AD1969" t="s">
        <v>52</v>
      </c>
      <c r="AE1969" t="s">
        <v>53</v>
      </c>
      <c r="AF1969" t="s">
        <v>54</v>
      </c>
      <c r="AG1969" t="s">
        <v>52</v>
      </c>
      <c r="AH1969" t="s">
        <v>65</v>
      </c>
      <c r="AK1969">
        <v>22</v>
      </c>
      <c r="AL1969">
        <v>22</v>
      </c>
      <c r="AN1969">
        <v>428</v>
      </c>
      <c r="AO1969" t="s">
        <v>56</v>
      </c>
      <c r="AP1969">
        <v>73</v>
      </c>
      <c r="AQ1969" t="s">
        <v>109</v>
      </c>
      <c r="AR1969">
        <v>8.0299999999999994</v>
      </c>
      <c r="AS1969" t="s">
        <v>56</v>
      </c>
      <c r="AT1969">
        <v>7.0000000000000007E-2</v>
      </c>
      <c r="AU1969">
        <v>446</v>
      </c>
      <c r="AV1969" t="s">
        <v>56</v>
      </c>
      <c r="AW1969">
        <v>102</v>
      </c>
      <c r="AX1969">
        <v>8.02</v>
      </c>
      <c r="AY1969" t="s">
        <v>56</v>
      </c>
      <c r="AZ1969">
        <v>0.1</v>
      </c>
      <c r="BB1969">
        <f>LOG(AU1969)</f>
        <v>2.6493348587121419</v>
      </c>
      <c r="BC1969">
        <v>9.4</v>
      </c>
      <c r="BD1969" t="s">
        <v>56</v>
      </c>
      <c r="BE1969">
        <v>0.1</v>
      </c>
      <c r="BF1969">
        <v>15.6</v>
      </c>
      <c r="BG1969" t="s">
        <v>56</v>
      </c>
      <c r="BH1969">
        <v>0.1</v>
      </c>
      <c r="BI1969">
        <v>18</v>
      </c>
      <c r="BJ1969">
        <v>6.2</v>
      </c>
      <c r="BK1969" t="s">
        <v>968</v>
      </c>
      <c r="BL1969" t="s">
        <v>969</v>
      </c>
      <c r="BM1969" t="s">
        <v>59</v>
      </c>
      <c r="BN1969" t="s">
        <v>60</v>
      </c>
      <c r="BO1969" t="s">
        <v>970</v>
      </c>
      <c r="BP1969" t="s">
        <v>62</v>
      </c>
      <c r="BQ1969" s="8" t="s">
        <v>190</v>
      </c>
      <c r="BR1969" t="s">
        <v>63</v>
      </c>
      <c r="BT1969">
        <v>0.41</v>
      </c>
      <c r="BU1969">
        <v>0.40597</v>
      </c>
      <c r="BV1969">
        <v>0.02</v>
      </c>
      <c r="BW1969">
        <f>BV1969*SQRT(AK1969)</f>
        <v>9.3808315196468595E-2</v>
      </c>
      <c r="BX1969">
        <v>0.76</v>
      </c>
      <c r="BY1969">
        <v>0.75820900000000002</v>
      </c>
      <c r="BZ1969">
        <v>0.04</v>
      </c>
      <c r="CA1969">
        <f>BZ1969*SQRT(AL1969)</f>
        <v>0.18761663039293719</v>
      </c>
      <c r="CB1969">
        <v>7</v>
      </c>
      <c r="CC1969">
        <v>2</v>
      </c>
      <c r="CD1969">
        <v>0.625</v>
      </c>
      <c r="CE1969">
        <v>5.4999999999999997E-3</v>
      </c>
    </row>
    <row r="1970" spans="2:83" hidden="1" x14ac:dyDescent="0.2">
      <c r="D1970">
        <v>206</v>
      </c>
      <c r="G1970" t="s">
        <v>43</v>
      </c>
      <c r="H1970" t="s">
        <v>967</v>
      </c>
      <c r="J1970">
        <v>2014</v>
      </c>
      <c r="M1970" t="s">
        <v>67</v>
      </c>
      <c r="T1970" t="s">
        <v>46</v>
      </c>
      <c r="U1970" t="s">
        <v>971</v>
      </c>
      <c r="V1970" t="s">
        <v>972</v>
      </c>
      <c r="Z1970" t="s">
        <v>49</v>
      </c>
      <c r="AA1970" t="s">
        <v>49</v>
      </c>
      <c r="AB1970" t="s">
        <v>50</v>
      </c>
      <c r="AC1970" t="s">
        <v>117</v>
      </c>
      <c r="AD1970" t="s">
        <v>52</v>
      </c>
      <c r="AE1970" t="s">
        <v>53</v>
      </c>
      <c r="AF1970" t="s">
        <v>52</v>
      </c>
      <c r="AG1970" t="s">
        <v>52</v>
      </c>
      <c r="AH1970" t="s">
        <v>64</v>
      </c>
      <c r="AK1970">
        <v>22</v>
      </c>
      <c r="AL1970">
        <v>22</v>
      </c>
      <c r="AN1970">
        <v>428</v>
      </c>
      <c r="AO1970" t="s">
        <v>56</v>
      </c>
      <c r="AP1970">
        <v>73</v>
      </c>
      <c r="AQ1970" t="s">
        <v>109</v>
      </c>
      <c r="AR1970">
        <v>8.0299999999999994</v>
      </c>
      <c r="AS1970" t="s">
        <v>56</v>
      </c>
      <c r="AT1970">
        <v>7.0000000000000007E-2</v>
      </c>
      <c r="AU1970">
        <v>1992</v>
      </c>
      <c r="AV1970" t="s">
        <v>56</v>
      </c>
      <c r="AW1970">
        <v>503</v>
      </c>
      <c r="AX1970">
        <v>7.44</v>
      </c>
      <c r="AY1970" t="s">
        <v>56</v>
      </c>
      <c r="AZ1970">
        <v>0.12</v>
      </c>
      <c r="BB1970">
        <f>LOG(AU1970)</f>
        <v>3.2992893340876801</v>
      </c>
      <c r="BC1970">
        <v>9.4</v>
      </c>
      <c r="BD1970" t="s">
        <v>56</v>
      </c>
      <c r="BE1970">
        <v>0.1</v>
      </c>
      <c r="BF1970">
        <v>20.3</v>
      </c>
      <c r="BG1970" t="s">
        <v>56</v>
      </c>
      <c r="BH1970">
        <v>0.2</v>
      </c>
      <c r="BI1970">
        <v>1564</v>
      </c>
      <c r="BJ1970">
        <v>10.9</v>
      </c>
      <c r="BK1970" t="s">
        <v>968</v>
      </c>
      <c r="BL1970" t="s">
        <v>969</v>
      </c>
      <c r="BM1970" t="s">
        <v>59</v>
      </c>
      <c r="BN1970" t="s">
        <v>60</v>
      </c>
      <c r="BO1970" t="s">
        <v>970</v>
      </c>
      <c r="BP1970" t="s">
        <v>62</v>
      </c>
      <c r="BQ1970" s="8" t="s">
        <v>190</v>
      </c>
      <c r="BR1970" t="s">
        <v>63</v>
      </c>
      <c r="BT1970">
        <v>0.41</v>
      </c>
      <c r="BU1970">
        <v>0.40597</v>
      </c>
      <c r="BV1970">
        <v>0.02</v>
      </c>
      <c r="BW1970">
        <f>BV1970*SQRT(AK1970)</f>
        <v>9.3808315196468595E-2</v>
      </c>
      <c r="BX1970">
        <v>0.78</v>
      </c>
      <c r="BY1970">
        <v>0.78208999999999995</v>
      </c>
      <c r="BZ1970">
        <v>0.04</v>
      </c>
      <c r="CA1970">
        <f>BZ1970*SQRT(AL1970)</f>
        <v>0.18761663039293719</v>
      </c>
      <c r="CB1970">
        <v>7</v>
      </c>
      <c r="CC1970">
        <v>2</v>
      </c>
      <c r="CD1970">
        <v>0.65600000000000003</v>
      </c>
      <c r="CE1970">
        <v>5.3E-3</v>
      </c>
    </row>
    <row r="1971" spans="2:83" hidden="1" x14ac:dyDescent="0.2">
      <c r="D1971">
        <v>206</v>
      </c>
      <c r="G1971" t="s">
        <v>43</v>
      </c>
      <c r="H1971" t="s">
        <v>967</v>
      </c>
      <c r="J1971">
        <v>2014</v>
      </c>
      <c r="M1971" t="s">
        <v>67</v>
      </c>
      <c r="T1971" t="s">
        <v>46</v>
      </c>
      <c r="U1971" t="s">
        <v>973</v>
      </c>
      <c r="V1971" t="s">
        <v>974</v>
      </c>
      <c r="Z1971" t="s">
        <v>49</v>
      </c>
      <c r="AA1971" t="s">
        <v>49</v>
      </c>
      <c r="AB1971" t="s">
        <v>50</v>
      </c>
      <c r="AC1971" t="s">
        <v>117</v>
      </c>
      <c r="AD1971" t="s">
        <v>52</v>
      </c>
      <c r="AE1971" t="s">
        <v>53</v>
      </c>
      <c r="AF1971" t="s">
        <v>54</v>
      </c>
      <c r="AG1971" t="s">
        <v>52</v>
      </c>
      <c r="AH1971" t="s">
        <v>65</v>
      </c>
      <c r="AK1971">
        <v>22</v>
      </c>
      <c r="AL1971">
        <v>22</v>
      </c>
      <c r="AN1971">
        <v>428</v>
      </c>
      <c r="AO1971" t="s">
        <v>56</v>
      </c>
      <c r="AP1971">
        <v>73</v>
      </c>
      <c r="AQ1971" t="s">
        <v>109</v>
      </c>
      <c r="AR1971">
        <v>8.0299999999999994</v>
      </c>
      <c r="AS1971" t="s">
        <v>56</v>
      </c>
      <c r="AT1971">
        <v>7.0000000000000007E-2</v>
      </c>
      <c r="AU1971">
        <v>446</v>
      </c>
      <c r="AV1971" t="s">
        <v>56</v>
      </c>
      <c r="AW1971">
        <v>102</v>
      </c>
      <c r="AX1971">
        <v>8.02</v>
      </c>
      <c r="AY1971" t="s">
        <v>56</v>
      </c>
      <c r="AZ1971">
        <v>0.1</v>
      </c>
      <c r="BB1971">
        <f>LOG(AU1971)</f>
        <v>2.6493348587121419</v>
      </c>
      <c r="BC1971">
        <v>9.4</v>
      </c>
      <c r="BD1971" t="s">
        <v>56</v>
      </c>
      <c r="BE1971">
        <v>0.1</v>
      </c>
      <c r="BF1971">
        <v>15.6</v>
      </c>
      <c r="BG1971" t="s">
        <v>56</v>
      </c>
      <c r="BH1971">
        <v>0.1</v>
      </c>
      <c r="BI1971">
        <v>18</v>
      </c>
      <c r="BJ1971">
        <v>6.2</v>
      </c>
      <c r="BK1971" t="s">
        <v>968</v>
      </c>
      <c r="BL1971" t="s">
        <v>969</v>
      </c>
      <c r="BM1971" t="s">
        <v>59</v>
      </c>
      <c r="BN1971" t="s">
        <v>60</v>
      </c>
      <c r="BO1971" t="s">
        <v>970</v>
      </c>
      <c r="BP1971" t="s">
        <v>62</v>
      </c>
      <c r="BQ1971" s="8" t="s">
        <v>190</v>
      </c>
      <c r="BR1971" t="s">
        <v>63</v>
      </c>
      <c r="BT1971">
        <v>0.26</v>
      </c>
      <c r="BU1971">
        <v>0.262687</v>
      </c>
      <c r="BV1971">
        <v>0.03</v>
      </c>
      <c r="BW1971">
        <f>BV1971*SQRT(AK1971)</f>
        <v>0.14071247279470289</v>
      </c>
      <c r="BX1971">
        <v>0.51</v>
      </c>
      <c r="BY1971">
        <v>0.51343300000000003</v>
      </c>
      <c r="BZ1971">
        <v>0.09</v>
      </c>
      <c r="CA1971">
        <f>BZ1971*SQRT(AL1971)</f>
        <v>0.42213741838410868</v>
      </c>
      <c r="CB1971">
        <v>7</v>
      </c>
      <c r="CC1971">
        <v>2</v>
      </c>
      <c r="CD1971">
        <v>0.67</v>
      </c>
      <c r="CE1971">
        <v>4.7899999999999998E-2</v>
      </c>
    </row>
    <row r="1972" spans="2:83" hidden="1" x14ac:dyDescent="0.2">
      <c r="D1972">
        <v>206</v>
      </c>
      <c r="G1972" t="s">
        <v>43</v>
      </c>
      <c r="H1972" t="s">
        <v>967</v>
      </c>
      <c r="J1972">
        <v>2014</v>
      </c>
      <c r="M1972" t="s">
        <v>67</v>
      </c>
      <c r="T1972" t="s">
        <v>46</v>
      </c>
      <c r="U1972" t="s">
        <v>631</v>
      </c>
      <c r="V1972" t="s">
        <v>803</v>
      </c>
      <c r="Z1972" t="s">
        <v>49</v>
      </c>
      <c r="AA1972" t="s">
        <v>49</v>
      </c>
      <c r="AB1972" t="s">
        <v>50</v>
      </c>
      <c r="AC1972" t="s">
        <v>117</v>
      </c>
      <c r="AD1972" t="s">
        <v>52</v>
      </c>
      <c r="AE1972" t="s">
        <v>53</v>
      </c>
      <c r="AF1972" t="s">
        <v>52</v>
      </c>
      <c r="AG1972" t="s">
        <v>52</v>
      </c>
      <c r="AH1972" t="s">
        <v>64</v>
      </c>
      <c r="AK1972">
        <v>22</v>
      </c>
      <c r="AL1972">
        <v>22</v>
      </c>
      <c r="AN1972">
        <v>428</v>
      </c>
      <c r="AO1972" t="s">
        <v>56</v>
      </c>
      <c r="AP1972">
        <v>73</v>
      </c>
      <c r="AQ1972" t="s">
        <v>109</v>
      </c>
      <c r="AR1972">
        <v>8.0299999999999994</v>
      </c>
      <c r="AS1972" t="s">
        <v>56</v>
      </c>
      <c r="AT1972">
        <v>7.0000000000000007E-2</v>
      </c>
      <c r="AU1972">
        <v>1992</v>
      </c>
      <c r="AV1972" t="s">
        <v>56</v>
      </c>
      <c r="AW1972">
        <v>503</v>
      </c>
      <c r="AX1972">
        <v>7.44</v>
      </c>
      <c r="AY1972" t="s">
        <v>56</v>
      </c>
      <c r="AZ1972">
        <v>0.12</v>
      </c>
      <c r="BB1972">
        <f>LOG(AU1972)</f>
        <v>3.2992893340876801</v>
      </c>
      <c r="BC1972">
        <v>9.4</v>
      </c>
      <c r="BD1972" t="s">
        <v>56</v>
      </c>
      <c r="BE1972">
        <v>0.1</v>
      </c>
      <c r="BF1972">
        <v>20.3</v>
      </c>
      <c r="BG1972" t="s">
        <v>56</v>
      </c>
      <c r="BH1972">
        <v>0.2</v>
      </c>
      <c r="BI1972">
        <v>1564</v>
      </c>
      <c r="BJ1972">
        <v>10.9</v>
      </c>
      <c r="BK1972" t="s">
        <v>968</v>
      </c>
      <c r="BL1972" t="s">
        <v>969</v>
      </c>
      <c r="BM1972" t="s">
        <v>59</v>
      </c>
      <c r="BN1972" t="s">
        <v>60</v>
      </c>
      <c r="BO1972" t="s">
        <v>970</v>
      </c>
      <c r="BP1972" t="s">
        <v>62</v>
      </c>
      <c r="BQ1972" s="8" t="s">
        <v>190</v>
      </c>
      <c r="BR1972" t="s">
        <v>63</v>
      </c>
      <c r="BT1972">
        <v>0.38</v>
      </c>
      <c r="BU1972">
        <v>0.376</v>
      </c>
      <c r="BV1972">
        <v>0.01</v>
      </c>
      <c r="BW1972">
        <f>BV1972*SQRT(AK1972)</f>
        <v>4.6904157598234297E-2</v>
      </c>
      <c r="BX1972">
        <v>0.74</v>
      </c>
      <c r="BY1972">
        <v>0.74029999999999996</v>
      </c>
      <c r="BZ1972">
        <v>0.03</v>
      </c>
      <c r="CA1972">
        <f>BZ1972*SQRT(AL1972)</f>
        <v>0.14071247279470289</v>
      </c>
      <c r="CB1972">
        <v>7</v>
      </c>
      <c r="CC1972">
        <v>2</v>
      </c>
      <c r="CD1972">
        <v>0.67700000000000005</v>
      </c>
      <c r="CE1972">
        <v>2.7000000000000001E-3</v>
      </c>
    </row>
    <row r="1973" spans="2:83" hidden="1" x14ac:dyDescent="0.2">
      <c r="D1973">
        <v>206</v>
      </c>
      <c r="G1973" t="s">
        <v>43</v>
      </c>
      <c r="H1973" t="s">
        <v>967</v>
      </c>
      <c r="J1973">
        <v>2014</v>
      </c>
      <c r="M1973" t="s">
        <v>67</v>
      </c>
      <c r="T1973" t="s">
        <v>46</v>
      </c>
      <c r="U1973" t="s">
        <v>631</v>
      </c>
      <c r="V1973" t="s">
        <v>803</v>
      </c>
      <c r="Z1973" t="s">
        <v>49</v>
      </c>
      <c r="AA1973" t="s">
        <v>49</v>
      </c>
      <c r="AB1973" t="s">
        <v>50</v>
      </c>
      <c r="AC1973" t="s">
        <v>117</v>
      </c>
      <c r="AD1973" t="s">
        <v>52</v>
      </c>
      <c r="AE1973" t="s">
        <v>53</v>
      </c>
      <c r="AF1973" t="s">
        <v>54</v>
      </c>
      <c r="AG1973" t="s">
        <v>52</v>
      </c>
      <c r="AH1973" t="s">
        <v>65</v>
      </c>
      <c r="AK1973">
        <v>22</v>
      </c>
      <c r="AL1973">
        <v>22</v>
      </c>
      <c r="AN1973">
        <v>428</v>
      </c>
      <c r="AO1973" t="s">
        <v>56</v>
      </c>
      <c r="AP1973">
        <v>73</v>
      </c>
      <c r="AQ1973" t="s">
        <v>109</v>
      </c>
      <c r="AR1973">
        <v>8.0299999999999994</v>
      </c>
      <c r="AS1973" t="s">
        <v>56</v>
      </c>
      <c r="AT1973">
        <v>7.0000000000000007E-2</v>
      </c>
      <c r="AU1973">
        <v>484</v>
      </c>
      <c r="AV1973" t="s">
        <v>56</v>
      </c>
      <c r="AW1973">
        <v>119</v>
      </c>
      <c r="AX1973">
        <v>7.99</v>
      </c>
      <c r="AY1973" t="s">
        <v>56</v>
      </c>
      <c r="AZ1973">
        <v>0.09</v>
      </c>
      <c r="BB1973">
        <f>LOG(AU1973)</f>
        <v>2.6848453616444123</v>
      </c>
      <c r="BC1973">
        <v>9.4</v>
      </c>
      <c r="BD1973" t="s">
        <v>56</v>
      </c>
      <c r="BE1973">
        <v>0.1</v>
      </c>
      <c r="BF1973">
        <v>20.3</v>
      </c>
      <c r="BG1973" t="s">
        <v>56</v>
      </c>
      <c r="BH1973">
        <v>0.1</v>
      </c>
      <c r="BI1973">
        <v>56</v>
      </c>
      <c r="BJ1973">
        <v>10.9</v>
      </c>
      <c r="BK1973" t="s">
        <v>968</v>
      </c>
      <c r="BL1973" t="s">
        <v>969</v>
      </c>
      <c r="BM1973" t="s">
        <v>59</v>
      </c>
      <c r="BN1973" t="s">
        <v>60</v>
      </c>
      <c r="BO1973" t="s">
        <v>970</v>
      </c>
      <c r="BP1973" t="s">
        <v>62</v>
      </c>
      <c r="BQ1973" s="8" t="s">
        <v>190</v>
      </c>
      <c r="BR1973" t="s">
        <v>63</v>
      </c>
      <c r="BT1973">
        <v>0.38</v>
      </c>
      <c r="BU1973">
        <v>0.376</v>
      </c>
      <c r="BV1973">
        <v>0.01</v>
      </c>
      <c r="BW1973">
        <f>BV1973*SQRT(AK1973)</f>
        <v>4.6904157598234297E-2</v>
      </c>
      <c r="BX1973">
        <v>0.82</v>
      </c>
      <c r="BY1973">
        <v>0.81789999999999996</v>
      </c>
      <c r="BZ1973">
        <v>0.05</v>
      </c>
      <c r="CA1973">
        <f>BZ1973*SQRT(AL1973)</f>
        <v>0.23452078799117149</v>
      </c>
      <c r="CB1973">
        <v>7</v>
      </c>
      <c r="CC1973">
        <v>2</v>
      </c>
      <c r="CD1973">
        <v>0.77700000000000002</v>
      </c>
      <c r="CE1973">
        <v>4.5999999999999999E-3</v>
      </c>
    </row>
    <row r="1974" spans="2:83" hidden="1" x14ac:dyDescent="0.2">
      <c r="D1974">
        <v>206</v>
      </c>
      <c r="G1974" t="s">
        <v>43</v>
      </c>
      <c r="H1974" t="s">
        <v>967</v>
      </c>
      <c r="J1974">
        <v>2014</v>
      </c>
      <c r="M1974" t="s">
        <v>67</v>
      </c>
      <c r="T1974" t="s">
        <v>46</v>
      </c>
      <c r="U1974" t="s">
        <v>973</v>
      </c>
      <c r="V1974" t="s">
        <v>974</v>
      </c>
      <c r="Z1974" t="s">
        <v>49</v>
      </c>
      <c r="AA1974" t="s">
        <v>49</v>
      </c>
      <c r="AB1974" t="s">
        <v>50</v>
      </c>
      <c r="AC1974" t="s">
        <v>117</v>
      </c>
      <c r="AD1974" t="s">
        <v>52</v>
      </c>
      <c r="AE1974" t="s">
        <v>53</v>
      </c>
      <c r="AF1974" t="s">
        <v>54</v>
      </c>
      <c r="AG1974" t="s">
        <v>52</v>
      </c>
      <c r="AH1974" t="s">
        <v>65</v>
      </c>
      <c r="AK1974">
        <v>22</v>
      </c>
      <c r="AL1974">
        <v>22</v>
      </c>
      <c r="AN1974">
        <v>428</v>
      </c>
      <c r="AO1974" t="s">
        <v>56</v>
      </c>
      <c r="AP1974">
        <v>73</v>
      </c>
      <c r="AQ1974" t="s">
        <v>109</v>
      </c>
      <c r="AR1974">
        <v>8.0299999999999994</v>
      </c>
      <c r="AS1974" t="s">
        <v>56</v>
      </c>
      <c r="AT1974">
        <v>7.0000000000000007E-2</v>
      </c>
      <c r="AU1974">
        <v>484</v>
      </c>
      <c r="AV1974" t="s">
        <v>56</v>
      </c>
      <c r="AW1974">
        <v>119</v>
      </c>
      <c r="AX1974">
        <v>7.99</v>
      </c>
      <c r="AY1974" t="s">
        <v>56</v>
      </c>
      <c r="AZ1974">
        <v>0.09</v>
      </c>
      <c r="BB1974">
        <f>LOG(AU1974)</f>
        <v>2.6848453616444123</v>
      </c>
      <c r="BC1974">
        <v>9.4</v>
      </c>
      <c r="BD1974" t="s">
        <v>56</v>
      </c>
      <c r="BE1974">
        <v>0.1</v>
      </c>
      <c r="BF1974">
        <v>20.3</v>
      </c>
      <c r="BG1974" t="s">
        <v>56</v>
      </c>
      <c r="BH1974">
        <v>0.1</v>
      </c>
      <c r="BI1974">
        <v>56</v>
      </c>
      <c r="BJ1974">
        <v>10.9</v>
      </c>
      <c r="BK1974" t="s">
        <v>968</v>
      </c>
      <c r="BL1974" t="s">
        <v>969</v>
      </c>
      <c r="BM1974" t="s">
        <v>59</v>
      </c>
      <c r="BN1974" t="s">
        <v>60</v>
      </c>
      <c r="BO1974" t="s">
        <v>970</v>
      </c>
      <c r="BP1974" t="s">
        <v>62</v>
      </c>
      <c r="BQ1974" s="8" t="s">
        <v>190</v>
      </c>
      <c r="BR1974" t="s">
        <v>63</v>
      </c>
      <c r="BT1974">
        <v>0.26</v>
      </c>
      <c r="BU1974">
        <v>0.262687</v>
      </c>
      <c r="BV1974">
        <v>0.03</v>
      </c>
      <c r="BW1974">
        <f>BV1974*SQRT(AK1974)</f>
        <v>0.14071247279470289</v>
      </c>
      <c r="BX1974">
        <v>0.59</v>
      </c>
      <c r="BY1974">
        <v>0.59104500000000004</v>
      </c>
      <c r="BZ1974">
        <v>0.05</v>
      </c>
      <c r="CA1974">
        <f>BZ1974*SQRT(AL1974)</f>
        <v>0.23452078799117149</v>
      </c>
      <c r="CB1974">
        <v>7</v>
      </c>
      <c r="CC1974">
        <v>2</v>
      </c>
      <c r="CD1974">
        <v>0.81100000000000005</v>
      </c>
      <c r="CE1974">
        <v>2.3900000000000001E-2</v>
      </c>
    </row>
    <row r="1975" spans="2:83" hidden="1" x14ac:dyDescent="0.2">
      <c r="D1975">
        <v>206</v>
      </c>
      <c r="G1975" t="s">
        <v>43</v>
      </c>
      <c r="H1975" t="s">
        <v>967</v>
      </c>
      <c r="J1975">
        <v>2014</v>
      </c>
      <c r="M1975" t="s">
        <v>67</v>
      </c>
      <c r="T1975" t="s">
        <v>46</v>
      </c>
      <c r="U1975" t="s">
        <v>973</v>
      </c>
      <c r="V1975" t="s">
        <v>974</v>
      </c>
      <c r="Z1975" t="s">
        <v>49</v>
      </c>
      <c r="AA1975" t="s">
        <v>49</v>
      </c>
      <c r="AB1975" t="s">
        <v>50</v>
      </c>
      <c r="AC1975" t="s">
        <v>117</v>
      </c>
      <c r="AD1975" t="s">
        <v>52</v>
      </c>
      <c r="AE1975" t="s">
        <v>53</v>
      </c>
      <c r="AF1975" t="s">
        <v>52</v>
      </c>
      <c r="AG1975" t="s">
        <v>52</v>
      </c>
      <c r="AH1975" t="s">
        <v>64</v>
      </c>
      <c r="AK1975">
        <v>22</v>
      </c>
      <c r="AL1975">
        <v>22</v>
      </c>
      <c r="AN1975">
        <v>428</v>
      </c>
      <c r="AO1975" t="s">
        <v>56</v>
      </c>
      <c r="AP1975">
        <v>73</v>
      </c>
      <c r="AQ1975" t="s">
        <v>109</v>
      </c>
      <c r="AR1975">
        <v>8.0299999999999994</v>
      </c>
      <c r="AS1975" t="s">
        <v>56</v>
      </c>
      <c r="AT1975">
        <v>7.0000000000000007E-2</v>
      </c>
      <c r="AU1975">
        <v>1992</v>
      </c>
      <c r="AV1975" t="s">
        <v>56</v>
      </c>
      <c r="AW1975">
        <v>503</v>
      </c>
      <c r="AX1975">
        <v>7.44</v>
      </c>
      <c r="AY1975" t="s">
        <v>56</v>
      </c>
      <c r="AZ1975">
        <v>0.12</v>
      </c>
      <c r="BB1975">
        <f>LOG(AU1975)</f>
        <v>3.2992893340876801</v>
      </c>
      <c r="BC1975">
        <v>9.4</v>
      </c>
      <c r="BD1975" t="s">
        <v>56</v>
      </c>
      <c r="BE1975">
        <v>0.1</v>
      </c>
      <c r="BF1975">
        <v>20.3</v>
      </c>
      <c r="BG1975" t="s">
        <v>56</v>
      </c>
      <c r="BH1975">
        <v>0.2</v>
      </c>
      <c r="BI1975">
        <v>1564</v>
      </c>
      <c r="BJ1975">
        <v>10.9</v>
      </c>
      <c r="BK1975" t="s">
        <v>968</v>
      </c>
      <c r="BL1975" t="s">
        <v>969</v>
      </c>
      <c r="BM1975" t="s">
        <v>59</v>
      </c>
      <c r="BN1975" t="s">
        <v>60</v>
      </c>
      <c r="BO1975" t="s">
        <v>970</v>
      </c>
      <c r="BP1975" t="s">
        <v>62</v>
      </c>
      <c r="BQ1975" s="8" t="s">
        <v>190</v>
      </c>
      <c r="BR1975" t="s">
        <v>63</v>
      </c>
      <c r="BT1975">
        <v>0.26</v>
      </c>
      <c r="BU1975">
        <v>0.262687</v>
      </c>
      <c r="BV1975">
        <v>0.03</v>
      </c>
      <c r="BW1975">
        <f>BV1975*SQRT(AK1975)</f>
        <v>0.14071247279470289</v>
      </c>
      <c r="BX1975">
        <v>0.64</v>
      </c>
      <c r="BY1975">
        <v>0.64477600000000002</v>
      </c>
      <c r="BZ1975">
        <v>7.0000000000000007E-2</v>
      </c>
      <c r="CA1975">
        <f>BZ1975*SQRT(AL1975)</f>
        <v>0.32832910318764014</v>
      </c>
      <c r="CB1975">
        <v>7</v>
      </c>
      <c r="CC1975">
        <v>2</v>
      </c>
      <c r="CD1975">
        <v>0.89800000000000002</v>
      </c>
      <c r="CE1975">
        <v>2.81E-2</v>
      </c>
    </row>
    <row r="1976" spans="2:83" hidden="1" x14ac:dyDescent="0.2">
      <c r="D1976">
        <v>207</v>
      </c>
      <c r="G1976" t="s">
        <v>43</v>
      </c>
      <c r="H1976" t="s">
        <v>975</v>
      </c>
      <c r="J1976">
        <v>2017</v>
      </c>
      <c r="M1976" t="s">
        <v>45</v>
      </c>
      <c r="T1976" t="s">
        <v>103</v>
      </c>
      <c r="U1976" t="s">
        <v>414</v>
      </c>
      <c r="V1976" t="s">
        <v>864</v>
      </c>
      <c r="Z1976" t="s">
        <v>106</v>
      </c>
      <c r="AA1976" t="s">
        <v>107</v>
      </c>
      <c r="AB1976" t="s">
        <v>50</v>
      </c>
      <c r="AC1976" t="s">
        <v>108</v>
      </c>
      <c r="AD1976" t="s">
        <v>52</v>
      </c>
      <c r="AE1976" t="s">
        <v>53</v>
      </c>
      <c r="AF1976" t="s">
        <v>52</v>
      </c>
      <c r="AG1976" t="s">
        <v>54</v>
      </c>
      <c r="AH1976" t="s">
        <v>55</v>
      </c>
      <c r="AK1976">
        <v>11</v>
      </c>
      <c r="AL1976">
        <v>11</v>
      </c>
      <c r="AN1976">
        <v>379</v>
      </c>
      <c r="AO1976">
        <v>3</v>
      </c>
      <c r="AP1976" t="s">
        <v>56</v>
      </c>
      <c r="AQ1976" t="s">
        <v>109</v>
      </c>
      <c r="AR1976">
        <v>8.06</v>
      </c>
      <c r="AS1976">
        <v>0.01</v>
      </c>
      <c r="AT1976" t="s">
        <v>56</v>
      </c>
      <c r="AU1976">
        <v>1108</v>
      </c>
      <c r="AV1976">
        <v>15</v>
      </c>
      <c r="AW1976" t="s">
        <v>56</v>
      </c>
      <c r="AX1976">
        <v>7.67</v>
      </c>
      <c r="AY1976">
        <v>0.01</v>
      </c>
      <c r="AZ1976" t="s">
        <v>56</v>
      </c>
      <c r="BB1976">
        <f>LOG(AU1976)</f>
        <v>3.0445397603924111</v>
      </c>
      <c r="BC1976">
        <v>27.3</v>
      </c>
      <c r="BD1976">
        <v>0</v>
      </c>
      <c r="BE1976" t="s">
        <v>56</v>
      </c>
      <c r="BF1976">
        <v>27.1</v>
      </c>
      <c r="BG1976">
        <v>0.1</v>
      </c>
      <c r="BH1976" t="s">
        <v>56</v>
      </c>
      <c r="BI1976">
        <v>729</v>
      </c>
      <c r="BJ1976">
        <v>-0.2</v>
      </c>
      <c r="BK1976" t="s">
        <v>976</v>
      </c>
      <c r="BL1976" t="s">
        <v>921</v>
      </c>
      <c r="BM1976" t="s">
        <v>253</v>
      </c>
      <c r="BN1976" t="s">
        <v>81</v>
      </c>
      <c r="BO1976" t="s">
        <v>977</v>
      </c>
      <c r="BP1976" t="s">
        <v>92</v>
      </c>
      <c r="BQ1976" s="8" t="s">
        <v>190</v>
      </c>
      <c r="BR1976" t="s">
        <v>63</v>
      </c>
      <c r="BT1976">
        <v>7.62</v>
      </c>
      <c r="BU1976">
        <v>7.6163249999999998</v>
      </c>
      <c r="BV1976">
        <v>0.6</v>
      </c>
      <c r="BW1976">
        <f>BV1976*SQRT(AK1976)</f>
        <v>1.9899748742132397</v>
      </c>
      <c r="BX1976">
        <v>5.93</v>
      </c>
      <c r="BY1976">
        <v>5.9265299999999996</v>
      </c>
      <c r="BZ1976">
        <v>0.27</v>
      </c>
      <c r="CA1976">
        <f>BZ1976*SQRT(AL1976)</f>
        <v>0.89548869339595805</v>
      </c>
      <c r="CB1976">
        <v>21</v>
      </c>
      <c r="CC1976">
        <v>2</v>
      </c>
      <c r="CD1976">
        <v>-0.251</v>
      </c>
      <c r="CE1976">
        <v>8.3000000000000001E-3</v>
      </c>
    </row>
    <row r="1977" spans="2:83" hidden="1" x14ac:dyDescent="0.2">
      <c r="D1977">
        <v>207</v>
      </c>
      <c r="G1977" t="s">
        <v>43</v>
      </c>
      <c r="H1977" t="s">
        <v>975</v>
      </c>
      <c r="J1977">
        <v>2017</v>
      </c>
      <c r="M1977" t="s">
        <v>45</v>
      </c>
      <c r="T1977" t="s">
        <v>103</v>
      </c>
      <c r="U1977" t="s">
        <v>414</v>
      </c>
      <c r="V1977" t="s">
        <v>864</v>
      </c>
      <c r="Z1977" t="s">
        <v>106</v>
      </c>
      <c r="AA1977" t="s">
        <v>107</v>
      </c>
      <c r="AB1977" t="s">
        <v>50</v>
      </c>
      <c r="AC1977" t="s">
        <v>108</v>
      </c>
      <c r="AD1977" t="s">
        <v>52</v>
      </c>
      <c r="AE1977" t="s">
        <v>53</v>
      </c>
      <c r="AF1977" t="s">
        <v>52</v>
      </c>
      <c r="AG1977" t="s">
        <v>52</v>
      </c>
      <c r="AH1977" t="s">
        <v>64</v>
      </c>
      <c r="AK1977">
        <v>12</v>
      </c>
      <c r="AL1977">
        <v>12</v>
      </c>
      <c r="AN1977">
        <v>379</v>
      </c>
      <c r="AO1977">
        <v>3</v>
      </c>
      <c r="AP1977" t="s">
        <v>56</v>
      </c>
      <c r="AQ1977" t="s">
        <v>109</v>
      </c>
      <c r="AR1977">
        <v>8.06</v>
      </c>
      <c r="AS1977">
        <v>0.01</v>
      </c>
      <c r="AT1977" t="s">
        <v>56</v>
      </c>
      <c r="AU1977">
        <v>1107</v>
      </c>
      <c r="AV1977">
        <v>16</v>
      </c>
      <c r="AW1977" t="s">
        <v>56</v>
      </c>
      <c r="AX1977">
        <v>7.67</v>
      </c>
      <c r="AY1977">
        <v>0.01</v>
      </c>
      <c r="AZ1977" t="s">
        <v>56</v>
      </c>
      <c r="BB1977">
        <f>LOG(AU1977)</f>
        <v>3.0441476208787228</v>
      </c>
      <c r="BC1977">
        <v>27.3</v>
      </c>
      <c r="BD1977">
        <v>0</v>
      </c>
      <c r="BE1977" t="s">
        <v>56</v>
      </c>
      <c r="BF1977">
        <v>29.8</v>
      </c>
      <c r="BG1977">
        <v>0</v>
      </c>
      <c r="BH1977" t="s">
        <v>56</v>
      </c>
      <c r="BI1977">
        <v>728</v>
      </c>
      <c r="BJ1977">
        <v>2.5</v>
      </c>
      <c r="BK1977" t="s">
        <v>976</v>
      </c>
      <c r="BL1977" t="s">
        <v>234</v>
      </c>
      <c r="BM1977" t="s">
        <v>232</v>
      </c>
      <c r="BN1977" t="s">
        <v>81</v>
      </c>
      <c r="BO1977" t="s">
        <v>978</v>
      </c>
      <c r="BP1977" t="s">
        <v>234</v>
      </c>
      <c r="BQ1977" s="8" t="s">
        <v>190</v>
      </c>
      <c r="BR1977" t="s">
        <v>63</v>
      </c>
      <c r="BT1977">
        <v>1.1499999999999999</v>
      </c>
      <c r="BU1977">
        <v>1.1510199999999999</v>
      </c>
      <c r="BV1977">
        <v>0.06</v>
      </c>
      <c r="BW1977">
        <f>BV1977*SQRT(AK1977)</f>
        <v>0.20784609690826525</v>
      </c>
      <c r="BX1977">
        <v>0.94</v>
      </c>
      <c r="BY1977">
        <v>0.938774</v>
      </c>
      <c r="BZ1977">
        <v>0.09</v>
      </c>
      <c r="CA1977">
        <f>BZ1977*SQRT(AL1977)</f>
        <v>0.31176914536239786</v>
      </c>
      <c r="CB1977">
        <v>21</v>
      </c>
      <c r="CC1977">
        <v>2</v>
      </c>
      <c r="CD1977">
        <v>-0.20399999999999999</v>
      </c>
      <c r="CE1977">
        <v>1.23E-2</v>
      </c>
    </row>
    <row r="1978" spans="2:83" hidden="1" x14ac:dyDescent="0.2">
      <c r="D1978">
        <v>207</v>
      </c>
      <c r="G1978" t="s">
        <v>43</v>
      </c>
      <c r="H1978" t="s">
        <v>975</v>
      </c>
      <c r="J1978">
        <v>2017</v>
      </c>
      <c r="M1978" t="s">
        <v>45</v>
      </c>
      <c r="T1978" t="s">
        <v>103</v>
      </c>
      <c r="U1978" t="s">
        <v>414</v>
      </c>
      <c r="V1978" t="s">
        <v>864</v>
      </c>
      <c r="Z1978" t="s">
        <v>106</v>
      </c>
      <c r="AA1978" t="s">
        <v>107</v>
      </c>
      <c r="AB1978" t="s">
        <v>50</v>
      </c>
      <c r="AC1978" t="s">
        <v>108</v>
      </c>
      <c r="AD1978" t="s">
        <v>52</v>
      </c>
      <c r="AE1978" t="s">
        <v>53</v>
      </c>
      <c r="AF1978" t="s">
        <v>54</v>
      </c>
      <c r="AG1978" t="s">
        <v>52</v>
      </c>
      <c r="AH1978" t="s">
        <v>65</v>
      </c>
      <c r="AK1978">
        <v>12</v>
      </c>
      <c r="AL1978">
        <v>12</v>
      </c>
      <c r="AN1978">
        <v>379</v>
      </c>
      <c r="AO1978">
        <v>3</v>
      </c>
      <c r="AP1978" t="s">
        <v>56</v>
      </c>
      <c r="AQ1978" t="s">
        <v>109</v>
      </c>
      <c r="AR1978">
        <v>8.06</v>
      </c>
      <c r="AS1978">
        <v>0.01</v>
      </c>
      <c r="AT1978" t="s">
        <v>56</v>
      </c>
      <c r="AU1978">
        <v>406</v>
      </c>
      <c r="AV1978">
        <v>2</v>
      </c>
      <c r="AW1978" t="s">
        <v>56</v>
      </c>
      <c r="AX1978">
        <v>8.0299999999999994</v>
      </c>
      <c r="AY1978">
        <v>0.01</v>
      </c>
      <c r="AZ1978" t="s">
        <v>56</v>
      </c>
      <c r="BB1978">
        <f>LOG(AU1978)</f>
        <v>2.6085260335771943</v>
      </c>
      <c r="BC1978">
        <v>27.3</v>
      </c>
      <c r="BD1978">
        <v>0</v>
      </c>
      <c r="BE1978" t="s">
        <v>56</v>
      </c>
      <c r="BF1978">
        <v>29.8</v>
      </c>
      <c r="BG1978">
        <v>0.1</v>
      </c>
      <c r="BH1978" t="s">
        <v>56</v>
      </c>
      <c r="BI1978">
        <v>27</v>
      </c>
      <c r="BJ1978">
        <v>2.5</v>
      </c>
      <c r="BK1978" t="s">
        <v>976</v>
      </c>
      <c r="BL1978" t="s">
        <v>234</v>
      </c>
      <c r="BM1978" t="s">
        <v>232</v>
      </c>
      <c r="BN1978" t="s">
        <v>81</v>
      </c>
      <c r="BO1978" t="s">
        <v>978</v>
      </c>
      <c r="BP1978" t="s">
        <v>234</v>
      </c>
      <c r="BQ1978" s="8" t="s">
        <v>190</v>
      </c>
      <c r="BR1978" t="s">
        <v>63</v>
      </c>
      <c r="BT1978">
        <v>1.1499999999999999</v>
      </c>
      <c r="BU1978">
        <v>1.1510199999999999</v>
      </c>
      <c r="BV1978">
        <v>0.06</v>
      </c>
      <c r="BW1978">
        <f>BV1978*SQRT(AK1978)</f>
        <v>0.20784609690826525</v>
      </c>
      <c r="BX1978">
        <v>0.98</v>
      </c>
      <c r="BY1978">
        <v>0.97959200000000002</v>
      </c>
      <c r="BZ1978">
        <v>0.08</v>
      </c>
      <c r="CA1978">
        <f>BZ1978*SQRT(AL1978)</f>
        <v>0.27712812921102037</v>
      </c>
      <c r="CB1978">
        <v>21</v>
      </c>
      <c r="CC1978">
        <v>2</v>
      </c>
      <c r="CD1978">
        <v>-0.161</v>
      </c>
      <c r="CE1978">
        <v>9.7999999999999997E-3</v>
      </c>
    </row>
    <row r="1979" spans="2:83" hidden="1" x14ac:dyDescent="0.2">
      <c r="D1979">
        <v>207</v>
      </c>
      <c r="G1979" t="s">
        <v>43</v>
      </c>
      <c r="H1979" t="s">
        <v>975</v>
      </c>
      <c r="J1979">
        <v>2017</v>
      </c>
      <c r="M1979" t="s">
        <v>45</v>
      </c>
      <c r="T1979" t="s">
        <v>103</v>
      </c>
      <c r="U1979" t="s">
        <v>414</v>
      </c>
      <c r="V1979" t="s">
        <v>864</v>
      </c>
      <c r="Z1979" t="s">
        <v>106</v>
      </c>
      <c r="AA1979" t="s">
        <v>107</v>
      </c>
      <c r="AB1979" t="s">
        <v>50</v>
      </c>
      <c r="AC1979" t="s">
        <v>108</v>
      </c>
      <c r="AD1979" t="s">
        <v>52</v>
      </c>
      <c r="AE1979" t="s">
        <v>53</v>
      </c>
      <c r="AF1979" t="s">
        <v>54</v>
      </c>
      <c r="AG1979" t="s">
        <v>52</v>
      </c>
      <c r="AH1979" t="s">
        <v>65</v>
      </c>
      <c r="AK1979">
        <v>11</v>
      </c>
      <c r="AL1979">
        <v>11</v>
      </c>
      <c r="AN1979">
        <v>379</v>
      </c>
      <c r="AO1979">
        <v>3</v>
      </c>
      <c r="AP1979" t="s">
        <v>56</v>
      </c>
      <c r="AQ1979" t="s">
        <v>109</v>
      </c>
      <c r="AR1979">
        <v>8.06</v>
      </c>
      <c r="AS1979">
        <v>0.01</v>
      </c>
      <c r="AT1979" t="s">
        <v>56</v>
      </c>
      <c r="AU1979">
        <v>406</v>
      </c>
      <c r="AV1979">
        <v>2</v>
      </c>
      <c r="AW1979" t="s">
        <v>56</v>
      </c>
      <c r="AX1979">
        <v>8.0299999999999994</v>
      </c>
      <c r="AY1979">
        <v>0.01</v>
      </c>
      <c r="AZ1979" t="s">
        <v>56</v>
      </c>
      <c r="BB1979">
        <f>LOG(AU1979)</f>
        <v>2.6085260335771943</v>
      </c>
      <c r="BC1979">
        <v>27.3</v>
      </c>
      <c r="BD1979">
        <v>0</v>
      </c>
      <c r="BE1979" t="s">
        <v>56</v>
      </c>
      <c r="BF1979">
        <v>29.8</v>
      </c>
      <c r="BG1979">
        <v>0.1</v>
      </c>
      <c r="BH1979" t="s">
        <v>56</v>
      </c>
      <c r="BI1979">
        <v>27</v>
      </c>
      <c r="BJ1979">
        <v>2.5</v>
      </c>
      <c r="BK1979" t="s">
        <v>976</v>
      </c>
      <c r="BL1979" t="s">
        <v>921</v>
      </c>
      <c r="BM1979" t="s">
        <v>253</v>
      </c>
      <c r="BN1979" t="s">
        <v>81</v>
      </c>
      <c r="BO1979" t="s">
        <v>977</v>
      </c>
      <c r="BP1979" t="s">
        <v>92</v>
      </c>
      <c r="BQ1979" s="8" t="s">
        <v>190</v>
      </c>
      <c r="BR1979" t="s">
        <v>63</v>
      </c>
      <c r="BT1979">
        <v>7.62</v>
      </c>
      <c r="BU1979">
        <v>7.6163249999999998</v>
      </c>
      <c r="BV1979">
        <v>0.6</v>
      </c>
      <c r="BW1979">
        <f>BV1979*SQRT(AK1979)</f>
        <v>1.9899748742132397</v>
      </c>
      <c r="BX1979">
        <v>6.71</v>
      </c>
      <c r="BY1979">
        <v>6.7102000000000004</v>
      </c>
      <c r="BZ1979">
        <v>0.56000000000000005</v>
      </c>
      <c r="CA1979">
        <f>BZ1979*SQRT(AL1979)</f>
        <v>1.857309882599024</v>
      </c>
      <c r="CB1979">
        <v>21</v>
      </c>
      <c r="CC1979">
        <v>2</v>
      </c>
      <c r="CD1979">
        <v>-0.127</v>
      </c>
      <c r="CE1979">
        <v>1.32E-2</v>
      </c>
    </row>
    <row r="1980" spans="2:83" hidden="1" x14ac:dyDescent="0.2">
      <c r="D1980">
        <v>207</v>
      </c>
      <c r="G1980" t="s">
        <v>43</v>
      </c>
      <c r="H1980" t="s">
        <v>975</v>
      </c>
      <c r="J1980">
        <v>2017</v>
      </c>
      <c r="M1980" t="s">
        <v>45</v>
      </c>
      <c r="T1980" t="s">
        <v>103</v>
      </c>
      <c r="U1980" t="s">
        <v>414</v>
      </c>
      <c r="V1980" t="s">
        <v>864</v>
      </c>
      <c r="Z1980" t="s">
        <v>106</v>
      </c>
      <c r="AA1980" t="s">
        <v>107</v>
      </c>
      <c r="AB1980" t="s">
        <v>50</v>
      </c>
      <c r="AC1980" t="s">
        <v>108</v>
      </c>
      <c r="AD1980" t="s">
        <v>52</v>
      </c>
      <c r="AE1980" t="s">
        <v>53</v>
      </c>
      <c r="AF1980" t="s">
        <v>52</v>
      </c>
      <c r="AG1980" t="s">
        <v>52</v>
      </c>
      <c r="AH1980" t="s">
        <v>64</v>
      </c>
      <c r="AK1980">
        <v>11</v>
      </c>
      <c r="AL1980">
        <v>11</v>
      </c>
      <c r="AN1980">
        <v>379</v>
      </c>
      <c r="AO1980">
        <v>3</v>
      </c>
      <c r="AP1980" t="s">
        <v>56</v>
      </c>
      <c r="AQ1980" t="s">
        <v>109</v>
      </c>
      <c r="AR1980">
        <v>8.06</v>
      </c>
      <c r="AS1980">
        <v>0.01</v>
      </c>
      <c r="AT1980" t="s">
        <v>56</v>
      </c>
      <c r="AU1980">
        <v>1107</v>
      </c>
      <c r="AV1980">
        <v>16</v>
      </c>
      <c r="AW1980" t="s">
        <v>56</v>
      </c>
      <c r="AX1980">
        <v>7.67</v>
      </c>
      <c r="AY1980">
        <v>0.01</v>
      </c>
      <c r="AZ1980" t="s">
        <v>56</v>
      </c>
      <c r="BB1980">
        <f>LOG(AU1980)</f>
        <v>3.0441476208787228</v>
      </c>
      <c r="BC1980">
        <v>27.3</v>
      </c>
      <c r="BD1980">
        <v>0</v>
      </c>
      <c r="BE1980" t="s">
        <v>56</v>
      </c>
      <c r="BF1980">
        <v>29.8</v>
      </c>
      <c r="BG1980">
        <v>0</v>
      </c>
      <c r="BH1980" t="s">
        <v>56</v>
      </c>
      <c r="BI1980">
        <v>728</v>
      </c>
      <c r="BJ1980">
        <v>2.5</v>
      </c>
      <c r="BK1980" t="s">
        <v>976</v>
      </c>
      <c r="BL1980" t="s">
        <v>921</v>
      </c>
      <c r="BM1980" t="s">
        <v>253</v>
      </c>
      <c r="BN1980" t="s">
        <v>81</v>
      </c>
      <c r="BO1980" t="s">
        <v>977</v>
      </c>
      <c r="BP1980" t="s">
        <v>92</v>
      </c>
      <c r="BQ1980" s="8" t="s">
        <v>190</v>
      </c>
      <c r="BR1980" t="s">
        <v>63</v>
      </c>
      <c r="BT1980">
        <v>7.62</v>
      </c>
      <c r="BU1980">
        <v>7.6163249999999998</v>
      </c>
      <c r="BV1980">
        <v>0.6</v>
      </c>
      <c r="BW1980">
        <f>BV1980*SQRT(AK1980)</f>
        <v>1.9899748742132397</v>
      </c>
      <c r="BX1980">
        <v>7.42</v>
      </c>
      <c r="BY1980">
        <v>7.4204100000000004</v>
      </c>
      <c r="BZ1980">
        <v>0.64</v>
      </c>
      <c r="CA1980">
        <f>BZ1980*SQRT(AL1980)</f>
        <v>2.1226398658274559</v>
      </c>
      <c r="CB1980">
        <v>21</v>
      </c>
      <c r="CC1980">
        <v>2</v>
      </c>
      <c r="CD1980">
        <v>-2.5999999999999999E-2</v>
      </c>
      <c r="CE1980">
        <v>1.38E-2</v>
      </c>
    </row>
    <row r="1981" spans="2:83" hidden="1" x14ac:dyDescent="0.2">
      <c r="D1981">
        <v>207</v>
      </c>
      <c r="G1981" t="s">
        <v>43</v>
      </c>
      <c r="H1981" t="s">
        <v>975</v>
      </c>
      <c r="J1981">
        <v>2017</v>
      </c>
      <c r="M1981" t="s">
        <v>45</v>
      </c>
      <c r="T1981" t="s">
        <v>103</v>
      </c>
      <c r="U1981" t="s">
        <v>414</v>
      </c>
      <c r="V1981" t="s">
        <v>864</v>
      </c>
      <c r="Z1981" t="s">
        <v>106</v>
      </c>
      <c r="AA1981" t="s">
        <v>107</v>
      </c>
      <c r="AB1981" t="s">
        <v>50</v>
      </c>
      <c r="AC1981" t="s">
        <v>108</v>
      </c>
      <c r="AD1981" t="s">
        <v>52</v>
      </c>
      <c r="AE1981" t="s">
        <v>53</v>
      </c>
      <c r="AF1981" t="s">
        <v>52</v>
      </c>
      <c r="AG1981" t="s">
        <v>54</v>
      </c>
      <c r="AH1981" t="s">
        <v>55</v>
      </c>
      <c r="AK1981">
        <v>12</v>
      </c>
      <c r="AL1981">
        <v>12</v>
      </c>
      <c r="AN1981">
        <v>379</v>
      </c>
      <c r="AO1981">
        <v>3</v>
      </c>
      <c r="AP1981" t="s">
        <v>56</v>
      </c>
      <c r="AQ1981" t="s">
        <v>109</v>
      </c>
      <c r="AR1981">
        <v>8.06</v>
      </c>
      <c r="AS1981">
        <v>0.01</v>
      </c>
      <c r="AT1981" t="s">
        <v>56</v>
      </c>
      <c r="AU1981">
        <v>1108</v>
      </c>
      <c r="AV1981">
        <v>15</v>
      </c>
      <c r="AW1981" t="s">
        <v>56</v>
      </c>
      <c r="AX1981">
        <v>7.67</v>
      </c>
      <c r="AY1981">
        <v>0.01</v>
      </c>
      <c r="AZ1981" t="s">
        <v>56</v>
      </c>
      <c r="BB1981">
        <f>LOG(AU1981)</f>
        <v>3.0445397603924111</v>
      </c>
      <c r="BC1981">
        <v>27.3</v>
      </c>
      <c r="BD1981">
        <v>0</v>
      </c>
      <c r="BE1981" t="s">
        <v>56</v>
      </c>
      <c r="BF1981">
        <v>27.1</v>
      </c>
      <c r="BG1981">
        <v>0.1</v>
      </c>
      <c r="BH1981" t="s">
        <v>56</v>
      </c>
      <c r="BI1981">
        <v>729</v>
      </c>
      <c r="BJ1981">
        <v>-0.2</v>
      </c>
      <c r="BK1981" t="s">
        <v>976</v>
      </c>
      <c r="BL1981" t="s">
        <v>234</v>
      </c>
      <c r="BM1981" t="s">
        <v>232</v>
      </c>
      <c r="BN1981" t="s">
        <v>81</v>
      </c>
      <c r="BO1981" t="s">
        <v>978</v>
      </c>
      <c r="BP1981" t="s">
        <v>234</v>
      </c>
      <c r="BQ1981" s="8" t="s">
        <v>190</v>
      </c>
      <c r="BR1981" t="s">
        <v>63</v>
      </c>
      <c r="BT1981">
        <v>1.1499999999999999</v>
      </c>
      <c r="BU1981">
        <v>1.1510199999999999</v>
      </c>
      <c r="BV1981">
        <v>0.06</v>
      </c>
      <c r="BW1981">
        <f>BV1981*SQRT(AK1981)</f>
        <v>0.20784609690826525</v>
      </c>
      <c r="BX1981">
        <v>1.1299999999999999</v>
      </c>
      <c r="BY1981">
        <v>1.134693</v>
      </c>
      <c r="BZ1981">
        <v>0.08</v>
      </c>
      <c r="CA1981">
        <f>BZ1981*SQRT(AL1981)</f>
        <v>0.27712812921102037</v>
      </c>
      <c r="CB1981">
        <v>21</v>
      </c>
      <c r="CC1981">
        <v>2</v>
      </c>
      <c r="CD1981">
        <v>-1.4E-2</v>
      </c>
      <c r="CE1981">
        <v>8.2000000000000007E-3</v>
      </c>
    </row>
    <row r="1982" spans="2:83" hidden="1" x14ac:dyDescent="0.2">
      <c r="B1982" t="str">
        <f>ROW()-1&amp;"_AltersInvert"</f>
        <v>1981_AltersInvert</v>
      </c>
      <c r="C1982" t="str">
        <f>D1982&amp;"_"&amp;
SUBSTITUTE(TRIM(V1982)," ","_")&amp;"_"&amp;
TRIM(AC1982)&amp;"_"&amp;
"CO2"&amp;TEXT(AN1982,"0.00")&amp;"_"&amp;
"pH"&amp;TEXT(AR1982,"0.00")&amp;"_"&amp;
"T"&amp;TEXT(BC1982,"0.##")</f>
        <v>16_Hyas_araneus_LARVA_CO2354.00_pH8.11_T3.</v>
      </c>
      <c r="D1982">
        <v>16</v>
      </c>
      <c r="G1982" t="s">
        <v>43</v>
      </c>
      <c r="H1982" t="s">
        <v>243</v>
      </c>
      <c r="J1982">
        <v>2010</v>
      </c>
      <c r="M1982" t="s">
        <v>244</v>
      </c>
      <c r="P1982" t="s">
        <v>1135</v>
      </c>
      <c r="R1982" t="s">
        <v>1127</v>
      </c>
      <c r="S1982" t="s">
        <v>1128</v>
      </c>
      <c r="T1982" t="s">
        <v>131</v>
      </c>
      <c r="U1982" t="s">
        <v>245</v>
      </c>
      <c r="V1982" t="s">
        <v>246</v>
      </c>
      <c r="Z1982" t="s">
        <v>49</v>
      </c>
      <c r="AA1982" t="s">
        <v>49</v>
      </c>
      <c r="AB1982" t="s">
        <v>71</v>
      </c>
      <c r="AC1982" t="s">
        <v>72</v>
      </c>
      <c r="AD1982" t="s">
        <v>52</v>
      </c>
      <c r="AE1982" t="s">
        <v>53</v>
      </c>
      <c r="AF1982" t="s">
        <v>54</v>
      </c>
      <c r="AG1982" t="s">
        <v>52</v>
      </c>
      <c r="AH1982" t="s">
        <v>65</v>
      </c>
      <c r="AK1982">
        <v>279</v>
      </c>
      <c r="AL1982">
        <v>279</v>
      </c>
      <c r="AN1982">
        <v>354</v>
      </c>
      <c r="AO1982" t="s">
        <v>56</v>
      </c>
      <c r="AP1982">
        <v>65</v>
      </c>
      <c r="AQ1982" t="s">
        <v>56</v>
      </c>
      <c r="AR1982">
        <v>8.11</v>
      </c>
      <c r="AS1982" t="s">
        <v>56</v>
      </c>
      <c r="AT1982">
        <v>0.05</v>
      </c>
      <c r="AU1982">
        <v>401</v>
      </c>
      <c r="AV1982" t="s">
        <v>56</v>
      </c>
      <c r="AW1982">
        <v>30</v>
      </c>
      <c r="AX1982">
        <v>8.0500000000000007</v>
      </c>
      <c r="AY1982" t="s">
        <v>56</v>
      </c>
      <c r="AZ1982" t="s">
        <v>56</v>
      </c>
      <c r="BB1982">
        <f>LOG(AU1982)</f>
        <v>2.6031443726201822</v>
      </c>
      <c r="BC1982">
        <v>3</v>
      </c>
      <c r="BD1982" t="s">
        <v>56</v>
      </c>
      <c r="BE1982" t="s">
        <v>56</v>
      </c>
      <c r="BF1982">
        <v>15</v>
      </c>
      <c r="BG1982" t="s">
        <v>56</v>
      </c>
      <c r="BH1982" t="s">
        <v>56</v>
      </c>
      <c r="BI1982">
        <v>47</v>
      </c>
      <c r="BJ1982">
        <v>12</v>
      </c>
      <c r="BK1982" t="s">
        <v>251</v>
      </c>
      <c r="BL1982" t="s">
        <v>248</v>
      </c>
      <c r="BM1982" t="s">
        <v>249</v>
      </c>
      <c r="BN1982" t="s">
        <v>60</v>
      </c>
      <c r="BO1982" t="s">
        <v>250</v>
      </c>
      <c r="BP1982" t="s">
        <v>9</v>
      </c>
      <c r="BQ1982" t="s">
        <v>9</v>
      </c>
      <c r="BR1982" t="s">
        <v>63</v>
      </c>
      <c r="BT1982">
        <v>59.17</v>
      </c>
      <c r="BU1982">
        <v>59.17</v>
      </c>
      <c r="BV1982">
        <v>1.5</v>
      </c>
      <c r="BW1982">
        <f>BV1982*SQRT(AK1982)</f>
        <v>25.054939632735099</v>
      </c>
      <c r="BX1982">
        <v>12.42</v>
      </c>
      <c r="BY1982">
        <v>12.42</v>
      </c>
      <c r="BZ1982">
        <v>0.61</v>
      </c>
      <c r="CA1982">
        <f>BZ1982*SQRT(AL1982)</f>
        <v>10.189008783978942</v>
      </c>
      <c r="CB1982">
        <v>20</v>
      </c>
      <c r="CC1982">
        <v>7</v>
      </c>
      <c r="CD1982">
        <v>-1.5609999999999999</v>
      </c>
      <c r="CE1982">
        <v>3.0999999999999999E-3</v>
      </c>
    </row>
    <row r="1983" spans="2:83" hidden="1" x14ac:dyDescent="0.2">
      <c r="B1983" t="str">
        <f>ROW()-1&amp;"_AltersInvert"</f>
        <v>1982_AltersInvert</v>
      </c>
      <c r="C1983" t="str">
        <f>D1983&amp;"_"&amp;
SUBSTITUTE(TRIM(V1983)," ","_")&amp;"_"&amp;
TRIM(AC1983)&amp;"_"&amp;
"CO2"&amp;TEXT(AN1983,"0.00")&amp;"_"&amp;
"pH"&amp;TEXT(AR1983,"0.00")&amp;"_"&amp;
"T"&amp;TEXT(BC1983,"0.##")</f>
        <v>16_Hyas_araneus_LARVA_CO2354.00_pH8.11_T3.</v>
      </c>
      <c r="D1983">
        <v>16</v>
      </c>
      <c r="G1983" t="s">
        <v>43</v>
      </c>
      <c r="H1983" t="s">
        <v>243</v>
      </c>
      <c r="J1983">
        <v>2010</v>
      </c>
      <c r="M1983" t="s">
        <v>244</v>
      </c>
      <c r="P1983" t="s">
        <v>1135</v>
      </c>
      <c r="R1983" t="s">
        <v>1127</v>
      </c>
      <c r="S1983" t="s">
        <v>1128</v>
      </c>
      <c r="T1983" t="s">
        <v>131</v>
      </c>
      <c r="U1983" t="s">
        <v>245</v>
      </c>
      <c r="V1983" t="s">
        <v>246</v>
      </c>
      <c r="Z1983" t="s">
        <v>49</v>
      </c>
      <c r="AA1983" t="s">
        <v>49</v>
      </c>
      <c r="AB1983" t="s">
        <v>71</v>
      </c>
      <c r="AC1983" t="s">
        <v>72</v>
      </c>
      <c r="AD1983" t="s">
        <v>52</v>
      </c>
      <c r="AE1983" t="s">
        <v>53</v>
      </c>
      <c r="AF1983" t="s">
        <v>54</v>
      </c>
      <c r="AG1983" t="s">
        <v>52</v>
      </c>
      <c r="AH1983" t="s">
        <v>65</v>
      </c>
      <c r="AK1983">
        <v>279</v>
      </c>
      <c r="AL1983">
        <v>279</v>
      </c>
      <c r="AN1983">
        <v>354</v>
      </c>
      <c r="AO1983" t="s">
        <v>56</v>
      </c>
      <c r="AP1983">
        <v>65</v>
      </c>
      <c r="AQ1983" t="s">
        <v>56</v>
      </c>
      <c r="AR1983">
        <v>8.11</v>
      </c>
      <c r="AS1983" t="s">
        <v>56</v>
      </c>
      <c r="AT1983">
        <v>0.05</v>
      </c>
      <c r="AU1983">
        <v>346</v>
      </c>
      <c r="AV1983" t="s">
        <v>56</v>
      </c>
      <c r="AW1983">
        <v>80</v>
      </c>
      <c r="AX1983">
        <v>8.1199999999999992</v>
      </c>
      <c r="AY1983" t="s">
        <v>56</v>
      </c>
      <c r="AZ1983" t="s">
        <v>56</v>
      </c>
      <c r="BB1983">
        <f>LOG(AU1983)</f>
        <v>2.5390760987927767</v>
      </c>
      <c r="BC1983">
        <v>3</v>
      </c>
      <c r="BD1983" t="s">
        <v>56</v>
      </c>
      <c r="BE1983" t="s">
        <v>56</v>
      </c>
      <c r="BF1983">
        <v>9</v>
      </c>
      <c r="BG1983" t="s">
        <v>56</v>
      </c>
      <c r="BH1983" t="s">
        <v>56</v>
      </c>
      <c r="BI1983">
        <v>-8</v>
      </c>
      <c r="BJ1983">
        <v>6</v>
      </c>
      <c r="BK1983" t="s">
        <v>251</v>
      </c>
      <c r="BL1983" t="s">
        <v>248</v>
      </c>
      <c r="BM1983" t="s">
        <v>249</v>
      </c>
      <c r="BN1983" t="s">
        <v>60</v>
      </c>
      <c r="BO1983" t="s">
        <v>250</v>
      </c>
      <c r="BP1983" t="s">
        <v>9</v>
      </c>
      <c r="BQ1983" t="s">
        <v>9</v>
      </c>
      <c r="BR1983" t="s">
        <v>63</v>
      </c>
      <c r="BT1983">
        <v>59.17</v>
      </c>
      <c r="BU1983">
        <v>59.17</v>
      </c>
      <c r="BV1983">
        <v>1.5</v>
      </c>
      <c r="BW1983">
        <f>BV1983*SQRT(AK1983)</f>
        <v>25.054939632735099</v>
      </c>
      <c r="BX1983">
        <v>20.72</v>
      </c>
      <c r="BY1983">
        <v>20.72</v>
      </c>
      <c r="BZ1983">
        <v>3.37</v>
      </c>
      <c r="CA1983">
        <f>BZ1983*SQRT(AL1983)</f>
        <v>56.290097708211526</v>
      </c>
      <c r="CB1983">
        <v>40</v>
      </c>
      <c r="CC1983">
        <v>7</v>
      </c>
      <c r="CD1983">
        <v>-1.0489999999999999</v>
      </c>
      <c r="CE1983">
        <v>2.7099999999999999E-2</v>
      </c>
    </row>
    <row r="1984" spans="2:83" hidden="1" x14ac:dyDescent="0.2">
      <c r="B1984" t="str">
        <f>ROW()-1&amp;"_AltersInvert"</f>
        <v>1983_AltersInvert</v>
      </c>
      <c r="C1984" t="str">
        <f>D1984&amp;"_"&amp;
SUBSTITUTE(TRIM(V1984)," ","_")&amp;"_"&amp;
TRIM(AC1984)&amp;"_"&amp;
"CO2"&amp;TEXT(AN1984,"0.00")&amp;"_"&amp;
"pH"&amp;TEXT(AR1984,"0.00")&amp;"_"&amp;
"T"&amp;TEXT(BC1984,"0.##")</f>
        <v>16_Hyas_araneus_LARVA_CO2354.00_pH8.11_T3.</v>
      </c>
      <c r="D1984">
        <v>16</v>
      </c>
      <c r="G1984" t="s">
        <v>43</v>
      </c>
      <c r="H1984" t="s">
        <v>243</v>
      </c>
      <c r="J1984">
        <v>2010</v>
      </c>
      <c r="M1984" t="s">
        <v>244</v>
      </c>
      <c r="P1984" t="s">
        <v>1135</v>
      </c>
      <c r="R1984" t="s">
        <v>1127</v>
      </c>
      <c r="S1984" t="s">
        <v>1128</v>
      </c>
      <c r="T1984" t="s">
        <v>131</v>
      </c>
      <c r="U1984" t="s">
        <v>245</v>
      </c>
      <c r="V1984" t="s">
        <v>246</v>
      </c>
      <c r="Z1984" t="s">
        <v>49</v>
      </c>
      <c r="AA1984" t="s">
        <v>49</v>
      </c>
      <c r="AB1984" t="s">
        <v>71</v>
      </c>
      <c r="AC1984" t="s">
        <v>72</v>
      </c>
      <c r="AD1984" t="s">
        <v>52</v>
      </c>
      <c r="AE1984" t="s">
        <v>53</v>
      </c>
      <c r="AF1984" t="s">
        <v>52</v>
      </c>
      <c r="AG1984" t="s">
        <v>52</v>
      </c>
      <c r="AH1984" t="s">
        <v>64</v>
      </c>
      <c r="AK1984">
        <v>279</v>
      </c>
      <c r="AL1984">
        <v>279</v>
      </c>
      <c r="AN1984">
        <v>354</v>
      </c>
      <c r="AO1984" t="s">
        <v>56</v>
      </c>
      <c r="AP1984">
        <v>65</v>
      </c>
      <c r="AQ1984" t="s">
        <v>56</v>
      </c>
      <c r="AR1984">
        <v>8.11</v>
      </c>
      <c r="AS1984" t="s">
        <v>56</v>
      </c>
      <c r="AT1984">
        <v>0.05</v>
      </c>
      <c r="AU1984">
        <v>846</v>
      </c>
      <c r="AV1984" t="s">
        <v>56</v>
      </c>
      <c r="AW1984">
        <v>42</v>
      </c>
      <c r="AX1984">
        <v>7.79</v>
      </c>
      <c r="AY1984" t="s">
        <v>56</v>
      </c>
      <c r="AZ1984" t="s">
        <v>56</v>
      </c>
      <c r="BB1984">
        <f>LOG(AU1984)</f>
        <v>2.9273703630390235</v>
      </c>
      <c r="BC1984">
        <v>3</v>
      </c>
      <c r="BD1984" t="s">
        <v>56</v>
      </c>
      <c r="BE1984" t="s">
        <v>56</v>
      </c>
      <c r="BF1984">
        <v>15</v>
      </c>
      <c r="BG1984" t="s">
        <v>56</v>
      </c>
      <c r="BH1984" t="s">
        <v>56</v>
      </c>
      <c r="BI1984">
        <v>492</v>
      </c>
      <c r="BJ1984">
        <v>12</v>
      </c>
      <c r="BK1984" t="s">
        <v>251</v>
      </c>
      <c r="BL1984" t="s">
        <v>248</v>
      </c>
      <c r="BM1984" t="s">
        <v>249</v>
      </c>
      <c r="BN1984" t="s">
        <v>60</v>
      </c>
      <c r="BO1984" t="s">
        <v>250</v>
      </c>
      <c r="BP1984" t="s">
        <v>9</v>
      </c>
      <c r="BQ1984" t="s">
        <v>9</v>
      </c>
      <c r="BR1984" t="s">
        <v>63</v>
      </c>
      <c r="BT1984">
        <v>59.17</v>
      </c>
      <c r="BU1984">
        <v>59.17</v>
      </c>
      <c r="BV1984">
        <v>1.5</v>
      </c>
      <c r="BW1984">
        <f>BV1984*SQRT(AK1984)</f>
        <v>25.054939632735099</v>
      </c>
      <c r="BX1984">
        <v>12.42</v>
      </c>
      <c r="BY1984">
        <v>12.42</v>
      </c>
      <c r="BZ1984">
        <v>0.76</v>
      </c>
      <c r="CA1984">
        <f>BZ1984*SQRT(AL1984)</f>
        <v>12.694502747252452</v>
      </c>
      <c r="CB1984">
        <v>20</v>
      </c>
      <c r="CC1984">
        <v>7</v>
      </c>
      <c r="CD1984">
        <v>-1.5609999999999999</v>
      </c>
      <c r="CE1984">
        <v>4.4000000000000003E-3</v>
      </c>
    </row>
    <row r="1985" spans="1:84" hidden="1" x14ac:dyDescent="0.2">
      <c r="B1985" t="str">
        <f>ROW()-1&amp;"_AltersInvert"</f>
        <v>1984_AltersInvert</v>
      </c>
      <c r="C1985" t="str">
        <f>D1985&amp;"_"&amp;
SUBSTITUTE(TRIM(V1985)," ","_")&amp;"_"&amp;
TRIM(AC1985)&amp;"_"&amp;
"CO2"&amp;TEXT(AN1985,"0.00")&amp;"_"&amp;
"pH"&amp;TEXT(AR1985,"0.00")&amp;"_"&amp;
"T"&amp;TEXT(BC1985,"0.##")</f>
        <v>16_Hyas_araneus_LARVA_CO2354.00_pH8.11_T3.</v>
      </c>
      <c r="D1985">
        <v>16</v>
      </c>
      <c r="G1985" t="s">
        <v>43</v>
      </c>
      <c r="H1985" t="s">
        <v>243</v>
      </c>
      <c r="J1985">
        <v>2010</v>
      </c>
      <c r="M1985" t="s">
        <v>244</v>
      </c>
      <c r="P1985" t="s">
        <v>1135</v>
      </c>
      <c r="R1985" t="s">
        <v>1127</v>
      </c>
      <c r="S1985" t="s">
        <v>1128</v>
      </c>
      <c r="T1985" t="s">
        <v>131</v>
      </c>
      <c r="U1985" t="s">
        <v>245</v>
      </c>
      <c r="V1985" t="s">
        <v>246</v>
      </c>
      <c r="Z1985" t="s">
        <v>49</v>
      </c>
      <c r="AA1985" t="s">
        <v>49</v>
      </c>
      <c r="AB1985" t="s">
        <v>71</v>
      </c>
      <c r="AC1985" t="s">
        <v>72</v>
      </c>
      <c r="AD1985" t="s">
        <v>52</v>
      </c>
      <c r="AE1985" t="s">
        <v>53</v>
      </c>
      <c r="AF1985" t="s">
        <v>52</v>
      </c>
      <c r="AG1985" t="s">
        <v>52</v>
      </c>
      <c r="AH1985" t="s">
        <v>64</v>
      </c>
      <c r="AK1985">
        <v>279</v>
      </c>
      <c r="AL1985">
        <v>279</v>
      </c>
      <c r="AN1985">
        <v>354</v>
      </c>
      <c r="AO1985" t="s">
        <v>56</v>
      </c>
      <c r="AP1985">
        <v>65</v>
      </c>
      <c r="AQ1985" t="s">
        <v>56</v>
      </c>
      <c r="AR1985">
        <v>8.11</v>
      </c>
      <c r="AS1985" t="s">
        <v>56</v>
      </c>
      <c r="AT1985">
        <v>0.05</v>
      </c>
      <c r="AU1985">
        <v>2637</v>
      </c>
      <c r="AV1985" t="s">
        <v>56</v>
      </c>
      <c r="AW1985">
        <v>160</v>
      </c>
      <c r="AX1985">
        <v>7.34</v>
      </c>
      <c r="AY1985" t="s">
        <v>56</v>
      </c>
      <c r="AZ1985" t="s">
        <v>56</v>
      </c>
      <c r="BB1985">
        <f>LOG(AU1985)</f>
        <v>3.4211101297934343</v>
      </c>
      <c r="BC1985">
        <v>3</v>
      </c>
      <c r="BD1985" t="s">
        <v>56</v>
      </c>
      <c r="BE1985" t="s">
        <v>56</v>
      </c>
      <c r="BF1985">
        <v>15</v>
      </c>
      <c r="BG1985" t="s">
        <v>56</v>
      </c>
      <c r="BH1985" t="s">
        <v>56</v>
      </c>
      <c r="BI1985">
        <v>2283</v>
      </c>
      <c r="BJ1985">
        <v>12</v>
      </c>
      <c r="BK1985" t="s">
        <v>251</v>
      </c>
      <c r="BL1985" t="s">
        <v>248</v>
      </c>
      <c r="BM1985" t="s">
        <v>249</v>
      </c>
      <c r="BN1985" t="s">
        <v>60</v>
      </c>
      <c r="BO1985" t="s">
        <v>250</v>
      </c>
      <c r="BP1985" t="s">
        <v>9</v>
      </c>
      <c r="BQ1985" t="s">
        <v>9</v>
      </c>
      <c r="BR1985" t="s">
        <v>63</v>
      </c>
      <c r="BT1985">
        <v>59.17</v>
      </c>
      <c r="BU1985">
        <v>59.17</v>
      </c>
      <c r="BV1985">
        <v>1.5</v>
      </c>
      <c r="BW1985">
        <f>BV1985*SQRT(AK1985)</f>
        <v>25.054939632735099</v>
      </c>
      <c r="BX1985">
        <v>13.03</v>
      </c>
      <c r="BY1985">
        <v>13.03</v>
      </c>
      <c r="BZ1985">
        <v>1.36</v>
      </c>
      <c r="CA1985">
        <f>BZ1985*SQRT(AL1985)</f>
        <v>22.716478600346495</v>
      </c>
      <c r="CB1985">
        <v>20</v>
      </c>
      <c r="CC1985">
        <v>7</v>
      </c>
      <c r="CD1985">
        <v>-1.5129999999999999</v>
      </c>
      <c r="CE1985">
        <v>1.15E-2</v>
      </c>
    </row>
    <row r="1986" spans="1:84" hidden="1" x14ac:dyDescent="0.2">
      <c r="B1986" t="str">
        <f>ROW()-1&amp;"_AltersInvert"</f>
        <v>1985_AltersInvert</v>
      </c>
      <c r="C1986" t="str">
        <f>D1986&amp;"_"&amp;
SUBSTITUTE(TRIM(V1986)," ","_")&amp;"_"&amp;
TRIM(AC1986)&amp;"_"&amp;
"CO2"&amp;TEXT(AN1986,"0.00")&amp;"_"&amp;
"pH"&amp;TEXT(AR1986,"0.00")&amp;"_"&amp;
"T"&amp;TEXT(BC1986,"0.##")</f>
        <v>16_Hyas_araneus_LARVA_CO2354.00_pH8.11_T3.</v>
      </c>
      <c r="D1986">
        <v>16</v>
      </c>
      <c r="G1986" t="s">
        <v>43</v>
      </c>
      <c r="H1986" t="s">
        <v>243</v>
      </c>
      <c r="J1986">
        <v>2010</v>
      </c>
      <c r="M1986" t="s">
        <v>244</v>
      </c>
      <c r="P1986" t="s">
        <v>1135</v>
      </c>
      <c r="R1986" t="s">
        <v>1127</v>
      </c>
      <c r="S1986" t="s">
        <v>1128</v>
      </c>
      <c r="T1986" t="s">
        <v>131</v>
      </c>
      <c r="U1986" t="s">
        <v>245</v>
      </c>
      <c r="V1986" t="s">
        <v>246</v>
      </c>
      <c r="Z1986" t="s">
        <v>49</v>
      </c>
      <c r="AA1986" t="s">
        <v>49</v>
      </c>
      <c r="AB1986" t="s">
        <v>71</v>
      </c>
      <c r="AC1986" t="s">
        <v>72</v>
      </c>
      <c r="AD1986" t="s">
        <v>52</v>
      </c>
      <c r="AE1986" t="s">
        <v>53</v>
      </c>
      <c r="AF1986" t="s">
        <v>52</v>
      </c>
      <c r="AG1986" t="s">
        <v>52</v>
      </c>
      <c r="AH1986" t="s">
        <v>64</v>
      </c>
      <c r="AK1986">
        <v>279</v>
      </c>
      <c r="AL1986">
        <v>279</v>
      </c>
      <c r="AN1986">
        <v>354</v>
      </c>
      <c r="AO1986" t="s">
        <v>56</v>
      </c>
      <c r="AP1986">
        <v>65</v>
      </c>
      <c r="AQ1986" t="s">
        <v>56</v>
      </c>
      <c r="AR1986">
        <v>8.11</v>
      </c>
      <c r="AS1986" t="s">
        <v>56</v>
      </c>
      <c r="AT1986">
        <v>0.05</v>
      </c>
      <c r="AU1986">
        <v>786</v>
      </c>
      <c r="AV1986" t="s">
        <v>56</v>
      </c>
      <c r="AW1986">
        <v>54</v>
      </c>
      <c r="AX1986">
        <v>7.81</v>
      </c>
      <c r="AY1986" t="s">
        <v>56</v>
      </c>
      <c r="AZ1986" t="s">
        <v>56</v>
      </c>
      <c r="BB1986">
        <f>LOG(AU1986)</f>
        <v>2.8954225460394079</v>
      </c>
      <c r="BC1986">
        <v>3</v>
      </c>
      <c r="BD1986" t="s">
        <v>56</v>
      </c>
      <c r="BE1986" t="s">
        <v>56</v>
      </c>
      <c r="BF1986">
        <v>9</v>
      </c>
      <c r="BG1986" t="s">
        <v>56</v>
      </c>
      <c r="BH1986" t="s">
        <v>56</v>
      </c>
      <c r="BI1986">
        <v>432</v>
      </c>
      <c r="BJ1986">
        <v>6</v>
      </c>
      <c r="BK1986" t="s">
        <v>251</v>
      </c>
      <c r="BL1986" t="s">
        <v>248</v>
      </c>
      <c r="BM1986" t="s">
        <v>249</v>
      </c>
      <c r="BN1986" t="s">
        <v>60</v>
      </c>
      <c r="BO1986" t="s">
        <v>250</v>
      </c>
      <c r="BP1986" t="s">
        <v>9</v>
      </c>
      <c r="BQ1986" t="s">
        <v>9</v>
      </c>
      <c r="BR1986" t="s">
        <v>63</v>
      </c>
      <c r="BT1986">
        <v>59.17</v>
      </c>
      <c r="BU1986">
        <v>59.17</v>
      </c>
      <c r="BV1986">
        <v>1.5</v>
      </c>
      <c r="BW1986">
        <f>BV1986*SQRT(AK1986)</f>
        <v>25.054939632735099</v>
      </c>
      <c r="BX1986">
        <v>21.13</v>
      </c>
      <c r="BY1986">
        <v>21.13</v>
      </c>
      <c r="BZ1986">
        <v>1.1399999999999999</v>
      </c>
      <c r="CA1986">
        <f>BZ1986*SQRT(AL1986)</f>
        <v>19.041754120878675</v>
      </c>
      <c r="CB1986">
        <v>40</v>
      </c>
      <c r="CC1986">
        <v>7</v>
      </c>
      <c r="CD1986">
        <v>-1.03</v>
      </c>
      <c r="CE1986">
        <v>3.5999999999999999E-3</v>
      </c>
    </row>
    <row r="1987" spans="1:84" hidden="1" x14ac:dyDescent="0.2">
      <c r="B1987" t="str">
        <f>ROW()-1&amp;"_AltersInvert"</f>
        <v>1986_AltersInvert</v>
      </c>
      <c r="C1987" t="str">
        <f>D1987&amp;"_"&amp;
SUBSTITUTE(TRIM(V1987)," ","_")&amp;"_"&amp;
TRIM(AC1987)&amp;"_"&amp;
"CO2"&amp;TEXT(AN1987,"0.00")&amp;"_"&amp;
"pH"&amp;TEXT(AR1987,"0.00")&amp;"_"&amp;
"T"&amp;TEXT(BC1987,"0.##")</f>
        <v>16_Hyas_araneus_LARVA_CO2354.00_pH8.11_T3.</v>
      </c>
      <c r="D1987">
        <v>16</v>
      </c>
      <c r="G1987" t="s">
        <v>43</v>
      </c>
      <c r="H1987" t="s">
        <v>243</v>
      </c>
      <c r="J1987">
        <v>2010</v>
      </c>
      <c r="M1987" t="s">
        <v>244</v>
      </c>
      <c r="P1987" t="s">
        <v>1135</v>
      </c>
      <c r="R1987" t="s">
        <v>1127</v>
      </c>
      <c r="S1987" t="s">
        <v>1128</v>
      </c>
      <c r="T1987" t="s">
        <v>131</v>
      </c>
      <c r="U1987" t="s">
        <v>245</v>
      </c>
      <c r="V1987" t="s">
        <v>246</v>
      </c>
      <c r="Z1987" t="s">
        <v>49</v>
      </c>
      <c r="AA1987" t="s">
        <v>49</v>
      </c>
      <c r="AB1987" t="s">
        <v>71</v>
      </c>
      <c r="AC1987" t="s">
        <v>72</v>
      </c>
      <c r="AD1987" t="s">
        <v>52</v>
      </c>
      <c r="AE1987" t="s">
        <v>53</v>
      </c>
      <c r="AF1987" t="s">
        <v>52</v>
      </c>
      <c r="AG1987" t="s">
        <v>52</v>
      </c>
      <c r="AH1987" t="s">
        <v>64</v>
      </c>
      <c r="AK1987">
        <v>279</v>
      </c>
      <c r="AL1987">
        <v>279</v>
      </c>
      <c r="AN1987">
        <v>354</v>
      </c>
      <c r="AO1987" t="s">
        <v>56</v>
      </c>
      <c r="AP1987">
        <v>65</v>
      </c>
      <c r="AQ1987" t="s">
        <v>56</v>
      </c>
      <c r="AR1987">
        <v>8.11</v>
      </c>
      <c r="AS1987" t="s">
        <v>56</v>
      </c>
      <c r="AT1987">
        <v>0.05</v>
      </c>
      <c r="AU1987">
        <v>2443</v>
      </c>
      <c r="AV1987" t="s">
        <v>56</v>
      </c>
      <c r="AW1987">
        <v>238</v>
      </c>
      <c r="AX1987">
        <v>7.35</v>
      </c>
      <c r="AY1987" t="s">
        <v>56</v>
      </c>
      <c r="AZ1987" t="s">
        <v>56</v>
      </c>
      <c r="BB1987">
        <f>LOG(AU1987)</f>
        <v>3.3879234669734366</v>
      </c>
      <c r="BC1987">
        <v>3</v>
      </c>
      <c r="BD1987" t="s">
        <v>56</v>
      </c>
      <c r="BE1987" t="s">
        <v>56</v>
      </c>
      <c r="BF1987">
        <v>9</v>
      </c>
      <c r="BG1987" t="s">
        <v>56</v>
      </c>
      <c r="BH1987" t="s">
        <v>56</v>
      </c>
      <c r="BI1987">
        <v>2089</v>
      </c>
      <c r="BJ1987">
        <v>6</v>
      </c>
      <c r="BK1987" t="s">
        <v>251</v>
      </c>
      <c r="BL1987" t="s">
        <v>248</v>
      </c>
      <c r="BM1987" t="s">
        <v>249</v>
      </c>
      <c r="BN1987" t="s">
        <v>60</v>
      </c>
      <c r="BO1987" t="s">
        <v>250</v>
      </c>
      <c r="BP1987" t="s">
        <v>9</v>
      </c>
      <c r="BQ1987" t="s">
        <v>9</v>
      </c>
      <c r="BR1987" t="s">
        <v>63</v>
      </c>
      <c r="BT1987">
        <v>59.17</v>
      </c>
      <c r="BU1987">
        <v>59.17</v>
      </c>
      <c r="BV1987">
        <v>1.5</v>
      </c>
      <c r="BW1987">
        <f>BV1987*SQRT(AK1987)</f>
        <v>25.054939632735099</v>
      </c>
      <c r="BX1987">
        <v>21.81</v>
      </c>
      <c r="BY1987">
        <v>21.81</v>
      </c>
      <c r="BZ1987">
        <v>0.91</v>
      </c>
      <c r="CA1987">
        <f>BZ1987*SQRT(AL1987)</f>
        <v>15.199996710525962</v>
      </c>
      <c r="CB1987">
        <v>40</v>
      </c>
      <c r="CC1987">
        <v>7</v>
      </c>
      <c r="CD1987">
        <v>-0.998</v>
      </c>
      <c r="CE1987">
        <v>2.3999999999999998E-3</v>
      </c>
    </row>
    <row r="1988" spans="1:84" hidden="1" x14ac:dyDescent="0.2">
      <c r="B1988" t="str">
        <f>ROW()-1&amp;"_AltersInvert"</f>
        <v>1987_AltersInvert</v>
      </c>
      <c r="C1988" t="str">
        <f>D1988&amp;"_"&amp;
SUBSTITUTE(TRIM(V1988)," ","_")&amp;"_"&amp;
TRIM(AC1988)&amp;"_"&amp;
"CO2"&amp;TEXT(AN1988,"0.00")&amp;"_"&amp;
"pH"&amp;TEXT(AR1988,"0.00")&amp;"_"&amp;
"T"&amp;TEXT(BC1988,"0.##")</f>
        <v>232_Aurelia_coerulea_LARVA_CO2375.00_pH0.00_T24.</v>
      </c>
      <c r="D1988">
        <v>232</v>
      </c>
      <c r="G1988" t="s">
        <v>43</v>
      </c>
      <c r="H1988" t="s">
        <v>1046</v>
      </c>
      <c r="J1988">
        <v>2018</v>
      </c>
      <c r="M1988" t="s">
        <v>308</v>
      </c>
      <c r="P1988" t="s">
        <v>1135</v>
      </c>
      <c r="R1988" t="s">
        <v>1127</v>
      </c>
      <c r="S1988" t="s">
        <v>1128</v>
      </c>
      <c r="T1988" t="s">
        <v>103</v>
      </c>
      <c r="U1988" t="s">
        <v>1047</v>
      </c>
      <c r="V1988" t="s">
        <v>1048</v>
      </c>
      <c r="AC1988" t="s">
        <v>72</v>
      </c>
      <c r="AF1988" t="s">
        <v>52</v>
      </c>
      <c r="AG1988" t="s">
        <v>54</v>
      </c>
      <c r="AH1988" t="s">
        <v>55</v>
      </c>
      <c r="AK1988">
        <v>4</v>
      </c>
      <c r="AL1988">
        <v>4</v>
      </c>
      <c r="AN1988">
        <v>375</v>
      </c>
      <c r="AU1988">
        <v>1032</v>
      </c>
      <c r="BB1988">
        <f>LOG(AU1988)</f>
        <v>3.0136796972911926</v>
      </c>
      <c r="BC1988">
        <v>24</v>
      </c>
      <c r="BF1988">
        <v>24</v>
      </c>
      <c r="BI1988">
        <v>657</v>
      </c>
      <c r="BJ1988">
        <v>0</v>
      </c>
      <c r="BL1988" t="s">
        <v>1074</v>
      </c>
      <c r="BM1988" t="s">
        <v>113</v>
      </c>
      <c r="BN1988" t="s">
        <v>81</v>
      </c>
      <c r="BO1988" t="s">
        <v>82</v>
      </c>
      <c r="BP1988" t="s">
        <v>9</v>
      </c>
      <c r="BQ1988" t="s">
        <v>9</v>
      </c>
      <c r="BR1988" t="s">
        <v>84</v>
      </c>
      <c r="BT1988">
        <v>46.047965210000001</v>
      </c>
      <c r="BU1988">
        <v>46.047964999999998</v>
      </c>
      <c r="BV1988">
        <v>12.77</v>
      </c>
      <c r="BW1988">
        <f>BV1988*SQRT(AK1988)</f>
        <v>25.54</v>
      </c>
      <c r="BX1988">
        <v>37.301217530000002</v>
      </c>
      <c r="BY1988">
        <v>37.3012175</v>
      </c>
      <c r="BZ1988">
        <v>6.72</v>
      </c>
      <c r="CA1988">
        <f>BZ1988*SQRT(AL1988)</f>
        <v>13.44</v>
      </c>
      <c r="CB1988">
        <v>7</v>
      </c>
      <c r="CD1988">
        <v>-0.21099999999999999</v>
      </c>
      <c r="CE1988">
        <v>0.1094</v>
      </c>
      <c r="CF1988" s="8"/>
    </row>
    <row r="1989" spans="1:84" hidden="1" x14ac:dyDescent="0.2">
      <c r="B1989" t="str">
        <f>ROW()-1&amp;"_AltersInvert"</f>
        <v>1988_AltersInvert</v>
      </c>
      <c r="C1989" t="str">
        <f>D1989&amp;"_"&amp;
SUBSTITUTE(TRIM(V1989)," ","_")&amp;"_"&amp;
TRIM(AC1989)&amp;"_"&amp;
"CO2"&amp;TEXT(AN1989,"0.00")&amp;"_"&amp;
"pH"&amp;TEXT(AR1989,"0.00")&amp;"_"&amp;
"T"&amp;TEXT(BC1989,"0.##")</f>
        <v>232_Aurelia_coerulea_LARVA_CO2375.00_pH0.00_T24.</v>
      </c>
      <c r="D1989">
        <v>232</v>
      </c>
      <c r="G1989" t="s">
        <v>43</v>
      </c>
      <c r="H1989" t="s">
        <v>1046</v>
      </c>
      <c r="J1989">
        <v>2018</v>
      </c>
      <c r="M1989" t="s">
        <v>308</v>
      </c>
      <c r="P1989" t="s">
        <v>1135</v>
      </c>
      <c r="R1989" t="s">
        <v>1127</v>
      </c>
      <c r="S1989" t="s">
        <v>1128</v>
      </c>
      <c r="T1989" t="s">
        <v>103</v>
      </c>
      <c r="U1989" t="s">
        <v>1047</v>
      </c>
      <c r="V1989" t="s">
        <v>1048</v>
      </c>
      <c r="AC1989" t="s">
        <v>72</v>
      </c>
      <c r="AF1989" t="s">
        <v>52</v>
      </c>
      <c r="AG1989" t="s">
        <v>54</v>
      </c>
      <c r="AH1989" t="s">
        <v>55</v>
      </c>
      <c r="AK1989">
        <v>4</v>
      </c>
      <c r="AL1989">
        <v>4</v>
      </c>
      <c r="AN1989">
        <v>375</v>
      </c>
      <c r="AU1989">
        <v>2789</v>
      </c>
      <c r="BB1989">
        <f>LOG(AU1989)</f>
        <v>3.44544851426605</v>
      </c>
      <c r="BC1989">
        <v>24</v>
      </c>
      <c r="BF1989">
        <v>24</v>
      </c>
      <c r="BI1989">
        <v>2414</v>
      </c>
      <c r="BJ1989">
        <v>0</v>
      </c>
      <c r="BL1989" t="s">
        <v>1074</v>
      </c>
      <c r="BM1989" t="s">
        <v>113</v>
      </c>
      <c r="BN1989" t="s">
        <v>81</v>
      </c>
      <c r="BO1989" t="s">
        <v>82</v>
      </c>
      <c r="BP1989" t="s">
        <v>9</v>
      </c>
      <c r="BQ1989" t="s">
        <v>9</v>
      </c>
      <c r="BR1989" t="s">
        <v>84</v>
      </c>
      <c r="BT1989">
        <v>46.047965210000001</v>
      </c>
      <c r="BU1989">
        <v>46.047964999999998</v>
      </c>
      <c r="BV1989">
        <v>12.77</v>
      </c>
      <c r="BW1989">
        <f>BV1989*SQRT(AK1989)</f>
        <v>25.54</v>
      </c>
      <c r="BX1989">
        <v>70.236081769999998</v>
      </c>
      <c r="BY1989">
        <v>70.236081799999994</v>
      </c>
      <c r="BZ1989">
        <v>8.07</v>
      </c>
      <c r="CA1989">
        <f>BZ1989*SQRT(AL1989)</f>
        <v>16.14</v>
      </c>
      <c r="CB1989">
        <v>7</v>
      </c>
      <c r="CD1989">
        <v>0.42199999999999999</v>
      </c>
      <c r="CE1989">
        <v>9.01E-2</v>
      </c>
    </row>
    <row r="1990" spans="1:84" hidden="1" x14ac:dyDescent="0.2">
      <c r="B1990" t="str">
        <f>ROW()-1&amp;"_AltersInvert"</f>
        <v>1989_AltersInvert</v>
      </c>
      <c r="C1990" t="str">
        <f>D1990&amp;"_"&amp;
SUBSTITUTE(TRIM(V1990)," ","_")&amp;"_"&amp;
TRIM(AC1990)&amp;"_"&amp;
"CO2"&amp;TEXT(AN1990,"0.00")&amp;"_"&amp;
"pH"&amp;TEXT(AR1990,"0.00")&amp;"_"&amp;
"T"&amp;TEXT(BC1990,"0.##")</f>
        <v>232_Aurelia_coerulea_LARVA_CO2375.00_pH0.00_T24.</v>
      </c>
      <c r="D1990">
        <v>232</v>
      </c>
      <c r="G1990" t="s">
        <v>43</v>
      </c>
      <c r="H1990" t="s">
        <v>1046</v>
      </c>
      <c r="J1990">
        <v>2018</v>
      </c>
      <c r="M1990" t="s">
        <v>308</v>
      </c>
      <c r="P1990" t="s">
        <v>1135</v>
      </c>
      <c r="R1990" t="s">
        <v>1127</v>
      </c>
      <c r="S1990" t="s">
        <v>1128</v>
      </c>
      <c r="T1990" t="s">
        <v>103</v>
      </c>
      <c r="U1990" t="s">
        <v>1047</v>
      </c>
      <c r="V1990" t="s">
        <v>1048</v>
      </c>
      <c r="AC1990" t="s">
        <v>72</v>
      </c>
      <c r="AF1990" t="s">
        <v>54</v>
      </c>
      <c r="AG1990" t="s">
        <v>52</v>
      </c>
      <c r="AH1990" t="s">
        <v>65</v>
      </c>
      <c r="AK1990">
        <v>4</v>
      </c>
      <c r="AL1990">
        <v>4</v>
      </c>
      <c r="AN1990">
        <v>375</v>
      </c>
      <c r="AU1990">
        <v>368</v>
      </c>
      <c r="BB1990">
        <f>LOG(AU1990)</f>
        <v>2.5658478186735176</v>
      </c>
      <c r="BC1990">
        <v>24</v>
      </c>
      <c r="BF1990">
        <v>27</v>
      </c>
      <c r="BI1990">
        <v>-7</v>
      </c>
      <c r="BJ1990">
        <v>3</v>
      </c>
      <c r="BL1990" t="s">
        <v>1074</v>
      </c>
      <c r="BM1990" t="s">
        <v>113</v>
      </c>
      <c r="BN1990" t="s">
        <v>81</v>
      </c>
      <c r="BO1990" t="s">
        <v>82</v>
      </c>
      <c r="BP1990" t="s">
        <v>9</v>
      </c>
      <c r="BQ1990" t="s">
        <v>9</v>
      </c>
      <c r="BR1990" t="s">
        <v>84</v>
      </c>
      <c r="BT1990">
        <v>46.047965210000001</v>
      </c>
      <c r="BU1990">
        <v>46.047964999999998</v>
      </c>
      <c r="BV1990">
        <v>12.77</v>
      </c>
      <c r="BW1990">
        <f>BV1990*SQRT(AK1990)</f>
        <v>25.54</v>
      </c>
      <c r="BX1990">
        <v>31.258656009999999</v>
      </c>
      <c r="BY1990">
        <v>31.258655999999998</v>
      </c>
      <c r="BZ1990">
        <v>6.55</v>
      </c>
      <c r="CA1990">
        <f>BZ1990*SQRT(AL1990)</f>
        <v>13.1</v>
      </c>
      <c r="CB1990">
        <v>7</v>
      </c>
      <c r="CD1990">
        <v>-0.38700000000000001</v>
      </c>
      <c r="CE1990">
        <v>0.12089999999999999</v>
      </c>
      <c r="CF1990" s="8"/>
    </row>
    <row r="1991" spans="1:84" hidden="1" x14ac:dyDescent="0.2">
      <c r="B1991" t="str">
        <f>ROW()-1&amp;"_AltersInvert"</f>
        <v>1990_AltersInvert</v>
      </c>
      <c r="C1991" t="str">
        <f>D1991&amp;"_"&amp;
SUBSTITUTE(TRIM(V1991)," ","_")&amp;"_"&amp;
TRIM(AC1991)&amp;"_"&amp;
"CO2"&amp;TEXT(AN1991,"0.00")&amp;"_"&amp;
"pH"&amp;TEXT(AR1991,"0.00")&amp;"_"&amp;
"T"&amp;TEXT(BC1991,"0.##")</f>
        <v>232_Aurelia_coerulea_LARVA_CO2375.00_pH0.00_T24.</v>
      </c>
      <c r="D1991">
        <v>232</v>
      </c>
      <c r="G1991" t="s">
        <v>43</v>
      </c>
      <c r="H1991" t="s">
        <v>1046</v>
      </c>
      <c r="J1991">
        <v>2018</v>
      </c>
      <c r="M1991" t="s">
        <v>308</v>
      </c>
      <c r="P1991" t="s">
        <v>1135</v>
      </c>
      <c r="R1991" t="s">
        <v>1127</v>
      </c>
      <c r="S1991" t="s">
        <v>1128</v>
      </c>
      <c r="T1991" t="s">
        <v>103</v>
      </c>
      <c r="U1991" t="s">
        <v>1047</v>
      </c>
      <c r="V1991" t="s">
        <v>1048</v>
      </c>
      <c r="AC1991" t="s">
        <v>72</v>
      </c>
      <c r="AF1991" t="s">
        <v>52</v>
      </c>
      <c r="AG1991" t="s">
        <v>52</v>
      </c>
      <c r="AH1991" t="s">
        <v>64</v>
      </c>
      <c r="AK1991">
        <v>4</v>
      </c>
      <c r="AL1991">
        <v>4</v>
      </c>
      <c r="AN1991">
        <v>375</v>
      </c>
      <c r="AU1991">
        <v>1077</v>
      </c>
      <c r="BB1991">
        <f>LOG(AU1991)</f>
        <v>3.0322157032979815</v>
      </c>
      <c r="BC1991">
        <v>24</v>
      </c>
      <c r="BF1991">
        <v>27</v>
      </c>
      <c r="BI1991">
        <v>702</v>
      </c>
      <c r="BJ1991">
        <v>3</v>
      </c>
      <c r="BL1991" t="s">
        <v>1074</v>
      </c>
      <c r="BM1991" t="s">
        <v>113</v>
      </c>
      <c r="BN1991" t="s">
        <v>81</v>
      </c>
      <c r="BO1991" t="s">
        <v>82</v>
      </c>
      <c r="BP1991" t="s">
        <v>9</v>
      </c>
      <c r="BQ1991" t="s">
        <v>9</v>
      </c>
      <c r="BR1991" t="s">
        <v>84</v>
      </c>
      <c r="BT1991">
        <v>46.047965210000001</v>
      </c>
      <c r="BU1991">
        <v>46.047964999999998</v>
      </c>
      <c r="BV1991">
        <v>12.77</v>
      </c>
      <c r="BW1991">
        <f>BV1991*SQRT(AK1991)</f>
        <v>25.54</v>
      </c>
      <c r="BX1991">
        <v>45.032113670000001</v>
      </c>
      <c r="BY1991">
        <v>45.032113699999996</v>
      </c>
      <c r="BZ1991">
        <v>23.19</v>
      </c>
      <c r="CA1991">
        <f>BZ1991*SQRT(AL1991)</f>
        <v>46.38</v>
      </c>
      <c r="CB1991">
        <v>7</v>
      </c>
      <c r="CD1991">
        <v>-2.1999999999999999E-2</v>
      </c>
      <c r="CE1991">
        <v>0.3422</v>
      </c>
      <c r="CF1991" s="8"/>
    </row>
    <row r="1992" spans="1:84" hidden="1" x14ac:dyDescent="0.2">
      <c r="B1992" t="str">
        <f>ROW()-1&amp;"_AltersInvert"</f>
        <v>1991_AltersInvert</v>
      </c>
      <c r="C1992" t="str">
        <f>D1992&amp;"_"&amp;
SUBSTITUTE(TRIM(V1992)," ","_")&amp;"_"&amp;
TRIM(AC1992)&amp;"_"&amp;
"CO2"&amp;TEXT(AN1992,"0.00")&amp;"_"&amp;
"pH"&amp;TEXT(AR1992,"0.00")&amp;"_"&amp;
"T"&amp;TEXT(BC1992,"0.##")</f>
        <v>232_Aurelia_coerulea_LARVA_CO2375.00_pH0.00_T24.</v>
      </c>
      <c r="D1992">
        <v>232</v>
      </c>
      <c r="G1992" t="s">
        <v>43</v>
      </c>
      <c r="H1992" t="s">
        <v>1046</v>
      </c>
      <c r="J1992">
        <v>2018</v>
      </c>
      <c r="M1992" t="s">
        <v>308</v>
      </c>
      <c r="P1992" t="s">
        <v>1135</v>
      </c>
      <c r="R1992" t="s">
        <v>1127</v>
      </c>
      <c r="S1992" t="s">
        <v>1128</v>
      </c>
      <c r="T1992" t="s">
        <v>103</v>
      </c>
      <c r="U1992" t="s">
        <v>1047</v>
      </c>
      <c r="V1992" t="s">
        <v>1048</v>
      </c>
      <c r="AC1992" t="s">
        <v>72</v>
      </c>
      <c r="AF1992" t="s">
        <v>52</v>
      </c>
      <c r="AG1992" t="s">
        <v>52</v>
      </c>
      <c r="AH1992" t="s">
        <v>64</v>
      </c>
      <c r="AK1992">
        <v>4</v>
      </c>
      <c r="AL1992">
        <v>4</v>
      </c>
      <c r="AN1992">
        <v>375</v>
      </c>
      <c r="AU1992">
        <v>2980</v>
      </c>
      <c r="BB1992">
        <f>LOG(AU1992)</f>
        <v>3.4742162640762553</v>
      </c>
      <c r="BC1992">
        <v>24</v>
      </c>
      <c r="BF1992">
        <v>27</v>
      </c>
      <c r="BI1992">
        <v>2605</v>
      </c>
      <c r="BJ1992">
        <v>3</v>
      </c>
      <c r="BL1992" t="s">
        <v>1074</v>
      </c>
      <c r="BM1992" t="s">
        <v>113</v>
      </c>
      <c r="BN1992" t="s">
        <v>81</v>
      </c>
      <c r="BO1992" t="s">
        <v>82</v>
      </c>
      <c r="BP1992" t="s">
        <v>9</v>
      </c>
      <c r="BQ1992" t="s">
        <v>9</v>
      </c>
      <c r="BR1992" t="s">
        <v>84</v>
      </c>
      <c r="BT1992">
        <v>46.047965210000001</v>
      </c>
      <c r="BU1992">
        <v>46.047964999999998</v>
      </c>
      <c r="BV1992">
        <v>12.77</v>
      </c>
      <c r="BW1992">
        <f>BV1992*SQRT(AK1992)</f>
        <v>25.54</v>
      </c>
      <c r="BX1992">
        <v>62.840682569999998</v>
      </c>
      <c r="BY1992">
        <v>62.840682600000001</v>
      </c>
      <c r="BZ1992">
        <v>19.5</v>
      </c>
      <c r="CA1992">
        <f>BZ1992*SQRT(AL1992)</f>
        <v>39</v>
      </c>
      <c r="CB1992">
        <v>7</v>
      </c>
      <c r="CD1992">
        <v>0.311</v>
      </c>
      <c r="CE1992">
        <v>0.17319999999999999</v>
      </c>
    </row>
    <row r="1993" spans="1:84" hidden="1" x14ac:dyDescent="0.2">
      <c r="A1993" s="8"/>
      <c r="B1993" t="str">
        <f>ROW()-1&amp;"_AltersInvert"</f>
        <v>1992_AltersInvert</v>
      </c>
      <c r="C1993" t="str">
        <f>D1993&amp;"_"&amp;
SUBSTITUTE(TRIM(V1993)," ","_")&amp;"_"&amp;
TRIM(AC1993)&amp;"_"&amp;
"CO2"&amp;TEXT(AN1993,"0.00")&amp;"_"&amp;
"pH"&amp;TEXT(AR1993,"0.00")&amp;"_"&amp;
"T"&amp;TEXT(BC1993,"0.##")</f>
        <v>58_Centrostephanus_rodgersii_EMBRYO_CO2506.00_pH8.10_T21.</v>
      </c>
      <c r="D1993" s="8">
        <v>58</v>
      </c>
      <c r="E1993" s="8"/>
      <c r="F1993" s="8"/>
      <c r="G1993" s="8" t="s">
        <v>43</v>
      </c>
      <c r="H1993" s="8" t="s">
        <v>569</v>
      </c>
      <c r="I1993" s="8" t="s">
        <v>1130</v>
      </c>
      <c r="J1993" s="8">
        <v>2014</v>
      </c>
      <c r="K1993" s="8"/>
      <c r="L1993" s="8"/>
      <c r="M1993" s="8" t="s">
        <v>67</v>
      </c>
      <c r="N1993" s="8"/>
      <c r="O1993" s="8"/>
      <c r="P1993" t="s">
        <v>1135</v>
      </c>
      <c r="Q1993" s="8"/>
      <c r="R1993" s="8" t="s">
        <v>1127</v>
      </c>
      <c r="S1993" t="s">
        <v>1128</v>
      </c>
      <c r="T1993" s="8" t="s">
        <v>46</v>
      </c>
      <c r="U1993" s="8" t="s">
        <v>570</v>
      </c>
      <c r="V1993" s="8" t="s">
        <v>571</v>
      </c>
      <c r="W1993" s="8" t="str">
        <f>IF(ISNUMBER(MATCH(#REF!,{"Doryteuthis pealeii","Loligo vulgaris","Leptuca thayeri","Stylocheilus striatus","Ophryotrocha labronica"},0)),"N","Y")</f>
        <v>Y</v>
      </c>
      <c r="X1993" s="8"/>
      <c r="Y1993" s="8"/>
      <c r="Z1993" s="8" t="s">
        <v>177</v>
      </c>
      <c r="AA1993" s="8" t="s">
        <v>177</v>
      </c>
      <c r="AB1993" s="8" t="s">
        <v>71</v>
      </c>
      <c r="AC1993" s="8" t="s">
        <v>195</v>
      </c>
      <c r="AD1993" s="8" t="s">
        <v>52</v>
      </c>
      <c r="AE1993" s="8" t="s">
        <v>53</v>
      </c>
      <c r="AF1993" s="8" t="s">
        <v>52</v>
      </c>
      <c r="AG1993" s="8" t="s">
        <v>54</v>
      </c>
      <c r="AH1993" s="8" t="s">
        <v>55</v>
      </c>
      <c r="AI1993" s="8"/>
      <c r="AJ1993" s="8"/>
      <c r="AK1993" s="8">
        <v>150</v>
      </c>
      <c r="AL1993" s="8">
        <v>150</v>
      </c>
      <c r="AM1993" s="8"/>
      <c r="AN1993" s="8">
        <v>506</v>
      </c>
      <c r="AO1993" s="8" t="s">
        <v>56</v>
      </c>
      <c r="AP1993" s="8" t="s">
        <v>56</v>
      </c>
      <c r="AQ1993" s="8" t="s">
        <v>118</v>
      </c>
      <c r="AR1993" s="8">
        <v>8.1</v>
      </c>
      <c r="AS1993" s="8" t="s">
        <v>56</v>
      </c>
      <c r="AT1993" s="8">
        <v>0.02</v>
      </c>
      <c r="AU1993" s="8">
        <v>6957</v>
      </c>
      <c r="AV1993" t="s">
        <v>56</v>
      </c>
      <c r="AW1993" t="s">
        <v>56</v>
      </c>
      <c r="AX1993">
        <v>7.04</v>
      </c>
      <c r="AY1993" t="s">
        <v>56</v>
      </c>
      <c r="AZ1993" t="s">
        <v>56</v>
      </c>
      <c r="BA1993" s="8"/>
      <c r="BB1993" s="8">
        <f>LOG(AU1993)</f>
        <v>3.8424220033576497</v>
      </c>
      <c r="BC1993" s="8">
        <v>21</v>
      </c>
      <c r="BD1993" s="8" t="s">
        <v>56</v>
      </c>
      <c r="BE1993" s="8" t="s">
        <v>56</v>
      </c>
      <c r="BF1993" s="8">
        <v>21</v>
      </c>
      <c r="BG1993" s="8" t="s">
        <v>56</v>
      </c>
      <c r="BH1993" s="8" t="s">
        <v>56</v>
      </c>
      <c r="BI1993" s="8">
        <v>6451</v>
      </c>
      <c r="BJ1993" s="8">
        <v>0</v>
      </c>
      <c r="BK1993" s="8" t="s">
        <v>572</v>
      </c>
      <c r="BL1993" s="8" t="s">
        <v>85</v>
      </c>
      <c r="BM1993" s="8" t="s">
        <v>86</v>
      </c>
      <c r="BN1993" s="8" t="s">
        <v>81</v>
      </c>
      <c r="BO1993" s="8" t="s">
        <v>82</v>
      </c>
      <c r="BP1993" s="8" t="s">
        <v>9</v>
      </c>
      <c r="BQ1993" s="8" t="s">
        <v>9</v>
      </c>
      <c r="BR1993" s="8" t="s">
        <v>84</v>
      </c>
      <c r="BS1993" s="8"/>
      <c r="BT1993" s="8">
        <v>5.77</v>
      </c>
      <c r="BU1993" s="8">
        <v>94.23</v>
      </c>
      <c r="BV1993" s="8">
        <v>2.23</v>
      </c>
      <c r="BW1993" s="8">
        <f>BV1993*SQRT(AK1993)</f>
        <v>27.311810632032437</v>
      </c>
      <c r="BX1993" s="8">
        <v>36</v>
      </c>
      <c r="BY1993" s="8">
        <v>64</v>
      </c>
      <c r="BZ1993" s="8">
        <v>36</v>
      </c>
      <c r="CA1993" s="8">
        <f>BZ1993*SQRT(AL1993)</f>
        <v>440.90815370097204</v>
      </c>
      <c r="CB1993" s="8">
        <v>2</v>
      </c>
      <c r="CC1993" s="8">
        <v>3</v>
      </c>
      <c r="CD1993" s="8">
        <v>-0.38700000000000001</v>
      </c>
      <c r="CE1993" s="8">
        <v>0.317</v>
      </c>
      <c r="CF1993" s="8" t="s">
        <v>1134</v>
      </c>
    </row>
    <row r="1994" spans="1:84" hidden="1" x14ac:dyDescent="0.2">
      <c r="A1994" s="8"/>
      <c r="B1994" t="str">
        <f>ROW()-1&amp;"_AltersInvert"</f>
        <v>1993_AltersInvert</v>
      </c>
      <c r="C1994" t="str">
        <f>D1994&amp;"_"&amp;
SUBSTITUTE(TRIM(V1994)," ","_")&amp;"_"&amp;
TRIM(AC1994)&amp;"_"&amp;
"CO2"&amp;TEXT(AN1994,"0.00")&amp;"_"&amp;
"pH"&amp;TEXT(AR1994,"0.00")&amp;"_"&amp;
"T"&amp;TEXT(BC1994,"0.##")</f>
        <v>58_Centrostephanus_rodgersii_EMBRYO_CO2506.00_pH8.10_T21.</v>
      </c>
      <c r="D1994" s="8">
        <v>58</v>
      </c>
      <c r="E1994" s="8"/>
      <c r="F1994" s="8"/>
      <c r="G1994" s="8" t="s">
        <v>43</v>
      </c>
      <c r="H1994" s="8" t="s">
        <v>569</v>
      </c>
      <c r="I1994" s="8" t="s">
        <v>1130</v>
      </c>
      <c r="J1994" s="8">
        <v>2014</v>
      </c>
      <c r="K1994" s="8"/>
      <c r="L1994" s="8"/>
      <c r="M1994" s="8" t="s">
        <v>67</v>
      </c>
      <c r="N1994" s="8"/>
      <c r="O1994" s="8"/>
      <c r="P1994" t="s">
        <v>1135</v>
      </c>
      <c r="Q1994" s="8"/>
      <c r="R1994" s="8" t="s">
        <v>1127</v>
      </c>
      <c r="S1994" t="s">
        <v>1128</v>
      </c>
      <c r="T1994" s="8" t="s">
        <v>46</v>
      </c>
      <c r="U1994" s="8" t="s">
        <v>570</v>
      </c>
      <c r="V1994" s="8" t="s">
        <v>571</v>
      </c>
      <c r="W1994" s="8" t="str">
        <f>IF(ISNUMBER(MATCH(#REF!,{"Doryteuthis pealeii","Loligo vulgaris","Leptuca thayeri","Stylocheilus striatus","Ophryotrocha labronica"},0)),"N","Y")</f>
        <v>Y</v>
      </c>
      <c r="X1994" s="8"/>
      <c r="Y1994" s="8"/>
      <c r="Z1994" s="8" t="s">
        <v>177</v>
      </c>
      <c r="AA1994" s="8" t="s">
        <v>177</v>
      </c>
      <c r="AB1994" s="8" t="s">
        <v>71</v>
      </c>
      <c r="AC1994" s="8" t="s">
        <v>195</v>
      </c>
      <c r="AD1994" s="8" t="s">
        <v>52</v>
      </c>
      <c r="AE1994" s="8" t="s">
        <v>53</v>
      </c>
      <c r="AF1994" s="8" t="s">
        <v>52</v>
      </c>
      <c r="AG1994" s="8" t="s">
        <v>54</v>
      </c>
      <c r="AH1994" s="8" t="s">
        <v>55</v>
      </c>
      <c r="AI1994" s="8"/>
      <c r="AJ1994" s="8"/>
      <c r="AK1994" s="8">
        <v>150</v>
      </c>
      <c r="AL1994" s="8">
        <v>150</v>
      </c>
      <c r="AM1994" s="8"/>
      <c r="AN1994" s="8">
        <v>506</v>
      </c>
      <c r="AO1994" s="8" t="s">
        <v>56</v>
      </c>
      <c r="AP1994" s="8" t="s">
        <v>56</v>
      </c>
      <c r="AQ1994" s="8" t="s">
        <v>118</v>
      </c>
      <c r="AR1994" s="8">
        <v>8.1</v>
      </c>
      <c r="AS1994" s="8" t="s">
        <v>56</v>
      </c>
      <c r="AT1994" s="8">
        <v>0.02</v>
      </c>
      <c r="AU1994" s="8">
        <v>1825</v>
      </c>
      <c r="AV1994" t="s">
        <v>56</v>
      </c>
      <c r="AW1994" t="s">
        <v>56</v>
      </c>
      <c r="AX1994">
        <v>7.6</v>
      </c>
      <c r="AY1994" t="s">
        <v>56</v>
      </c>
      <c r="AZ1994" t="s">
        <v>56</v>
      </c>
      <c r="BA1994" s="8"/>
      <c r="BB1994" s="8">
        <f>LOG(AU1994)</f>
        <v>3.2612628687924934</v>
      </c>
      <c r="BC1994" s="8">
        <v>21</v>
      </c>
      <c r="BD1994" s="8" t="s">
        <v>56</v>
      </c>
      <c r="BE1994" s="8" t="s">
        <v>56</v>
      </c>
      <c r="BF1994" s="8">
        <v>21</v>
      </c>
      <c r="BG1994" s="8" t="s">
        <v>56</v>
      </c>
      <c r="BH1994" s="8" t="s">
        <v>56</v>
      </c>
      <c r="BI1994" s="8">
        <v>1320</v>
      </c>
      <c r="BJ1994" s="8">
        <v>0</v>
      </c>
      <c r="BK1994" s="8" t="s">
        <v>572</v>
      </c>
      <c r="BL1994" s="8" t="s">
        <v>85</v>
      </c>
      <c r="BM1994" s="8" t="s">
        <v>86</v>
      </c>
      <c r="BN1994" s="8" t="s">
        <v>81</v>
      </c>
      <c r="BO1994" s="8" t="s">
        <v>82</v>
      </c>
      <c r="BP1994" s="8" t="s">
        <v>9</v>
      </c>
      <c r="BQ1994" s="8" t="s">
        <v>9</v>
      </c>
      <c r="BR1994" s="8" t="s">
        <v>84</v>
      </c>
      <c r="BS1994" s="8"/>
      <c r="BT1994" s="8">
        <v>5.77</v>
      </c>
      <c r="BU1994" s="8">
        <v>94.23</v>
      </c>
      <c r="BV1994" s="8">
        <v>2.23</v>
      </c>
      <c r="BW1994" s="8">
        <f>BV1994*SQRT(AK1994)</f>
        <v>27.311810632032437</v>
      </c>
      <c r="BX1994" s="8">
        <v>23.11</v>
      </c>
      <c r="BY1994" s="8">
        <v>76.89</v>
      </c>
      <c r="BZ1994" s="8">
        <v>23.11</v>
      </c>
      <c r="CA1994" s="8">
        <f>BZ1994*SQRT(AL1994)</f>
        <v>283.0385397785962</v>
      </c>
      <c r="CB1994" s="8">
        <v>2</v>
      </c>
      <c r="CC1994" s="8">
        <v>3</v>
      </c>
      <c r="CD1994" s="8">
        <v>-0.20300000000000001</v>
      </c>
      <c r="CE1994" s="8">
        <v>9.0899999999999995E-2</v>
      </c>
      <c r="CF1994" s="8" t="s">
        <v>1134</v>
      </c>
    </row>
    <row r="1995" spans="1:84" hidden="1" x14ac:dyDescent="0.2">
      <c r="D1995">
        <v>210</v>
      </c>
      <c r="G1995" t="s">
        <v>43</v>
      </c>
      <c r="H1995" t="s">
        <v>984</v>
      </c>
      <c r="J1995">
        <v>2021</v>
      </c>
      <c r="M1995" t="s">
        <v>657</v>
      </c>
      <c r="T1995" t="s">
        <v>103</v>
      </c>
      <c r="U1995" t="s">
        <v>534</v>
      </c>
      <c r="V1995" t="s">
        <v>985</v>
      </c>
      <c r="Z1995" t="s">
        <v>106</v>
      </c>
      <c r="AA1995" t="s">
        <v>107</v>
      </c>
      <c r="AB1995" t="s">
        <v>50</v>
      </c>
      <c r="AC1995" t="s">
        <v>108</v>
      </c>
      <c r="AD1995" t="s">
        <v>52</v>
      </c>
      <c r="AE1995" t="s">
        <v>53</v>
      </c>
      <c r="AF1995" t="s">
        <v>52</v>
      </c>
      <c r="AG1995" t="s">
        <v>54</v>
      </c>
      <c r="AH1995" t="s">
        <v>55</v>
      </c>
      <c r="AK1995">
        <v>5</v>
      </c>
      <c r="AL1995">
        <v>5</v>
      </c>
      <c r="AN1995">
        <v>479</v>
      </c>
      <c r="AO1995" t="s">
        <v>56</v>
      </c>
      <c r="AP1995">
        <v>50</v>
      </c>
      <c r="AQ1995" t="s">
        <v>109</v>
      </c>
      <c r="AR1995">
        <v>7.99</v>
      </c>
      <c r="AS1995" t="s">
        <v>56</v>
      </c>
      <c r="AT1995">
        <v>0.04</v>
      </c>
      <c r="AU1995">
        <v>1012</v>
      </c>
      <c r="AV1995" t="s">
        <v>56</v>
      </c>
      <c r="AW1995">
        <v>80</v>
      </c>
      <c r="AX1995">
        <v>7.69</v>
      </c>
      <c r="AY1995" t="s">
        <v>56</v>
      </c>
      <c r="AZ1995">
        <v>0.05</v>
      </c>
      <c r="BB1995">
        <f>LOG(AU1995)</f>
        <v>3.0051805125037805</v>
      </c>
      <c r="BC1995">
        <v>29</v>
      </c>
      <c r="BD1995" t="s">
        <v>56</v>
      </c>
      <c r="BE1995">
        <v>0.3</v>
      </c>
      <c r="BF1995">
        <v>29.1</v>
      </c>
      <c r="BG1995" t="s">
        <v>56</v>
      </c>
      <c r="BH1995">
        <v>0.3</v>
      </c>
      <c r="BI1995">
        <v>533</v>
      </c>
      <c r="BJ1995">
        <v>0.1</v>
      </c>
      <c r="BK1995" t="s">
        <v>56</v>
      </c>
      <c r="BL1995" t="s">
        <v>83</v>
      </c>
      <c r="BM1995" t="s">
        <v>83</v>
      </c>
      <c r="BN1995" t="s">
        <v>81</v>
      </c>
      <c r="BO1995" t="s">
        <v>82</v>
      </c>
      <c r="BP1995" t="s">
        <v>83</v>
      </c>
      <c r="BR1995" t="s">
        <v>84</v>
      </c>
      <c r="BT1995">
        <v>0.83</v>
      </c>
      <c r="BU1995">
        <v>0.83003400000000005</v>
      </c>
      <c r="BV1995">
        <v>0.05</v>
      </c>
      <c r="BW1995">
        <f>BV1995*SQRT(AK1995)</f>
        <v>0.1118033988749895</v>
      </c>
      <c r="BX1995">
        <v>0.68</v>
      </c>
      <c r="BY1995">
        <v>0.68259400000000003</v>
      </c>
      <c r="BZ1995">
        <v>0.09</v>
      </c>
      <c r="CA1995">
        <f>BZ1995*SQRT(AL1995)</f>
        <v>0.20124611797498107</v>
      </c>
      <c r="CB1995">
        <v>28</v>
      </c>
      <c r="CC1995">
        <v>2</v>
      </c>
      <c r="CD1995">
        <v>-0.19600000000000001</v>
      </c>
      <c r="CE1995">
        <v>2.12E-2</v>
      </c>
    </row>
    <row r="1996" spans="1:84" hidden="1" x14ac:dyDescent="0.2">
      <c r="D1996">
        <v>210</v>
      </c>
      <c r="G1996" t="s">
        <v>43</v>
      </c>
      <c r="H1996" t="s">
        <v>984</v>
      </c>
      <c r="J1996">
        <v>2021</v>
      </c>
      <c r="M1996" t="s">
        <v>657</v>
      </c>
      <c r="T1996" t="s">
        <v>103</v>
      </c>
      <c r="U1996" t="s">
        <v>534</v>
      </c>
      <c r="V1996" t="s">
        <v>985</v>
      </c>
      <c r="Z1996" t="s">
        <v>106</v>
      </c>
      <c r="AA1996" t="s">
        <v>107</v>
      </c>
      <c r="AB1996" t="s">
        <v>50</v>
      </c>
      <c r="AC1996" t="s">
        <v>108</v>
      </c>
      <c r="AD1996" t="s">
        <v>52</v>
      </c>
      <c r="AE1996" t="s">
        <v>53</v>
      </c>
      <c r="AF1996" t="s">
        <v>52</v>
      </c>
      <c r="AG1996" t="s">
        <v>52</v>
      </c>
      <c r="AH1996" t="s">
        <v>64</v>
      </c>
      <c r="AK1996">
        <v>5</v>
      </c>
      <c r="AL1996">
        <v>5</v>
      </c>
      <c r="AN1996">
        <v>479</v>
      </c>
      <c r="AO1996" t="s">
        <v>56</v>
      </c>
      <c r="AP1996">
        <v>50</v>
      </c>
      <c r="AQ1996" t="s">
        <v>109</v>
      </c>
      <c r="AR1996">
        <v>7.99</v>
      </c>
      <c r="AS1996" t="s">
        <v>56</v>
      </c>
      <c r="AT1996">
        <v>0.04</v>
      </c>
      <c r="AU1996">
        <v>1044</v>
      </c>
      <c r="AV1996" t="s">
        <v>56</v>
      </c>
      <c r="AW1996">
        <v>114</v>
      </c>
      <c r="AX1996">
        <v>7.69</v>
      </c>
      <c r="AY1996" t="s">
        <v>56</v>
      </c>
      <c r="AZ1996">
        <v>0.05</v>
      </c>
      <c r="BB1996">
        <f>LOG(AU1996)</f>
        <v>3.0187004986662433</v>
      </c>
      <c r="BC1996">
        <v>29</v>
      </c>
      <c r="BD1996" t="s">
        <v>56</v>
      </c>
      <c r="BE1996">
        <v>0.3</v>
      </c>
      <c r="BF1996">
        <v>30.8</v>
      </c>
      <c r="BG1996" t="s">
        <v>56</v>
      </c>
      <c r="BH1996">
        <v>0.3</v>
      </c>
      <c r="BI1996">
        <v>565</v>
      </c>
      <c r="BJ1996">
        <v>1.8</v>
      </c>
      <c r="BK1996" t="s">
        <v>56</v>
      </c>
      <c r="BL1996" t="s">
        <v>83</v>
      </c>
      <c r="BM1996" t="s">
        <v>83</v>
      </c>
      <c r="BN1996" t="s">
        <v>81</v>
      </c>
      <c r="BO1996" t="s">
        <v>82</v>
      </c>
      <c r="BP1996" t="s">
        <v>83</v>
      </c>
      <c r="BR1996" t="s">
        <v>84</v>
      </c>
      <c r="BT1996">
        <v>0.83</v>
      </c>
      <c r="BU1996">
        <v>0.83003400000000005</v>
      </c>
      <c r="BV1996">
        <v>0.05</v>
      </c>
      <c r="BW1996">
        <f>BV1996*SQRT(AK1996)</f>
        <v>0.1118033988749895</v>
      </c>
      <c r="BX1996">
        <v>0.71</v>
      </c>
      <c r="BY1996">
        <v>0.70716699999999999</v>
      </c>
      <c r="BZ1996">
        <v>0.02</v>
      </c>
      <c r="CA1996">
        <f>BZ1996*SQRT(AL1996)</f>
        <v>4.4721359549995794E-2</v>
      </c>
      <c r="CB1996">
        <v>28</v>
      </c>
      <c r="CC1996">
        <v>2</v>
      </c>
      <c r="CD1996">
        <v>-0.16</v>
      </c>
      <c r="CE1996">
        <v>4.3E-3</v>
      </c>
    </row>
    <row r="1997" spans="1:84" hidden="1" x14ac:dyDescent="0.2">
      <c r="D1997">
        <v>210</v>
      </c>
      <c r="G1997" t="s">
        <v>43</v>
      </c>
      <c r="H1997" t="s">
        <v>984</v>
      </c>
      <c r="J1997">
        <v>2021</v>
      </c>
      <c r="M1997" t="s">
        <v>657</v>
      </c>
      <c r="T1997" t="s">
        <v>103</v>
      </c>
      <c r="U1997" t="s">
        <v>534</v>
      </c>
      <c r="V1997" t="s">
        <v>985</v>
      </c>
      <c r="Z1997" t="s">
        <v>106</v>
      </c>
      <c r="AA1997" t="s">
        <v>107</v>
      </c>
      <c r="AB1997" t="s">
        <v>50</v>
      </c>
      <c r="AC1997" t="s">
        <v>108</v>
      </c>
      <c r="AD1997" t="s">
        <v>52</v>
      </c>
      <c r="AE1997" t="s">
        <v>53</v>
      </c>
      <c r="AF1997" t="s">
        <v>54</v>
      </c>
      <c r="AG1997" t="s">
        <v>52</v>
      </c>
      <c r="AH1997" t="s">
        <v>65</v>
      </c>
      <c r="AK1997">
        <v>56</v>
      </c>
      <c r="AL1997">
        <v>56</v>
      </c>
      <c r="AN1997">
        <v>479</v>
      </c>
      <c r="AO1997" t="s">
        <v>56</v>
      </c>
      <c r="AP1997">
        <v>50</v>
      </c>
      <c r="AQ1997" t="s">
        <v>109</v>
      </c>
      <c r="AR1997">
        <v>7.99</v>
      </c>
      <c r="AS1997" t="s">
        <v>56</v>
      </c>
      <c r="AT1997">
        <v>0.04</v>
      </c>
      <c r="AU1997">
        <v>457</v>
      </c>
      <c r="AV1997" t="s">
        <v>56</v>
      </c>
      <c r="AW1997">
        <v>38</v>
      </c>
      <c r="AX1997">
        <v>7.98</v>
      </c>
      <c r="AY1997" t="s">
        <v>56</v>
      </c>
      <c r="AZ1997">
        <v>0.04</v>
      </c>
      <c r="BB1997">
        <f>LOG(AU1997)</f>
        <v>2.6599162000698504</v>
      </c>
      <c r="BC1997">
        <v>29</v>
      </c>
      <c r="BD1997" t="s">
        <v>56</v>
      </c>
      <c r="BE1997">
        <v>0.3</v>
      </c>
      <c r="BF1997">
        <v>30.8</v>
      </c>
      <c r="BG1997" t="s">
        <v>56</v>
      </c>
      <c r="BH1997">
        <v>0.4</v>
      </c>
      <c r="BI1997">
        <v>-22</v>
      </c>
      <c r="BJ1997">
        <v>1.8</v>
      </c>
      <c r="BK1997" t="s">
        <v>56</v>
      </c>
      <c r="BL1997" t="s">
        <v>853</v>
      </c>
      <c r="BM1997" t="s">
        <v>90</v>
      </c>
      <c r="BN1997" t="s">
        <v>81</v>
      </c>
      <c r="BO1997" t="s">
        <v>917</v>
      </c>
      <c r="BP1997" t="s">
        <v>92</v>
      </c>
      <c r="BR1997" t="s">
        <v>63</v>
      </c>
      <c r="BT1997">
        <v>680.69</v>
      </c>
      <c r="BU1997">
        <v>680.68535799999995</v>
      </c>
      <c r="BV1997">
        <v>13.08</v>
      </c>
      <c r="BW1997">
        <f>BV1997*SQRT(AK1997)</f>
        <v>97.881757238006301</v>
      </c>
      <c r="BX1997">
        <v>628.97</v>
      </c>
      <c r="BY1997">
        <v>628.97196299999996</v>
      </c>
      <c r="BZ1997">
        <v>15.58</v>
      </c>
      <c r="CA1997">
        <f>BZ1997*SQRT(AL1997)</f>
        <v>116.59004417187602</v>
      </c>
      <c r="CB1997">
        <v>28</v>
      </c>
      <c r="CC1997">
        <v>2</v>
      </c>
      <c r="CD1997">
        <v>-7.9000000000000001E-2</v>
      </c>
      <c r="CE1997">
        <v>1E-3</v>
      </c>
    </row>
    <row r="1998" spans="1:84" hidden="1" x14ac:dyDescent="0.2">
      <c r="D1998">
        <v>210</v>
      </c>
      <c r="G1998" t="s">
        <v>43</v>
      </c>
      <c r="H1998" t="s">
        <v>984</v>
      </c>
      <c r="J1998">
        <v>2021</v>
      </c>
      <c r="M1998" t="s">
        <v>657</v>
      </c>
      <c r="T1998" t="s">
        <v>103</v>
      </c>
      <c r="U1998" t="s">
        <v>534</v>
      </c>
      <c r="V1998" t="s">
        <v>985</v>
      </c>
      <c r="Z1998" t="s">
        <v>106</v>
      </c>
      <c r="AA1998" t="s">
        <v>107</v>
      </c>
      <c r="AB1998" t="s">
        <v>50</v>
      </c>
      <c r="AC1998" t="s">
        <v>108</v>
      </c>
      <c r="AD1998" t="s">
        <v>52</v>
      </c>
      <c r="AE1998" t="s">
        <v>53</v>
      </c>
      <c r="AF1998" t="s">
        <v>54</v>
      </c>
      <c r="AG1998" t="s">
        <v>52</v>
      </c>
      <c r="AH1998" t="s">
        <v>65</v>
      </c>
      <c r="AK1998">
        <v>5</v>
      </c>
      <c r="AL1998">
        <v>5</v>
      </c>
      <c r="AN1998">
        <v>479</v>
      </c>
      <c r="AO1998" t="s">
        <v>56</v>
      </c>
      <c r="AP1998">
        <v>50</v>
      </c>
      <c r="AQ1998" t="s">
        <v>109</v>
      </c>
      <c r="AR1998">
        <v>7.99</v>
      </c>
      <c r="AS1998" t="s">
        <v>56</v>
      </c>
      <c r="AT1998">
        <v>0.04</v>
      </c>
      <c r="AU1998">
        <v>457</v>
      </c>
      <c r="AV1998" t="s">
        <v>56</v>
      </c>
      <c r="AW1998">
        <v>38</v>
      </c>
      <c r="AX1998">
        <v>7.98</v>
      </c>
      <c r="AY1998" t="s">
        <v>56</v>
      </c>
      <c r="AZ1998">
        <v>0.04</v>
      </c>
      <c r="BB1998">
        <f>LOG(AU1998)</f>
        <v>2.6599162000698504</v>
      </c>
      <c r="BC1998">
        <v>29</v>
      </c>
      <c r="BD1998" t="s">
        <v>56</v>
      </c>
      <c r="BE1998">
        <v>0.3</v>
      </c>
      <c r="BF1998">
        <v>30.8</v>
      </c>
      <c r="BG1998" t="s">
        <v>56</v>
      </c>
      <c r="BH1998">
        <v>0.4</v>
      </c>
      <c r="BI1998">
        <v>-22</v>
      </c>
      <c r="BJ1998">
        <v>1.8</v>
      </c>
      <c r="BK1998" t="s">
        <v>56</v>
      </c>
      <c r="BL1998" t="s">
        <v>83</v>
      </c>
      <c r="BM1998" t="s">
        <v>83</v>
      </c>
      <c r="BN1998" t="s">
        <v>81</v>
      </c>
      <c r="BO1998" t="s">
        <v>82</v>
      </c>
      <c r="BP1998" t="s">
        <v>83</v>
      </c>
      <c r="BR1998" t="s">
        <v>84</v>
      </c>
      <c r="BT1998">
        <v>0.83</v>
      </c>
      <c r="BU1998">
        <v>0.83003400000000005</v>
      </c>
      <c r="BV1998">
        <v>0.05</v>
      </c>
      <c r="BW1998">
        <f>BV1998*SQRT(AK1998)</f>
        <v>0.1118033988749895</v>
      </c>
      <c r="BX1998">
        <v>0.79</v>
      </c>
      <c r="BY1998">
        <v>0.791126</v>
      </c>
      <c r="BZ1998">
        <v>0.03</v>
      </c>
      <c r="CA1998">
        <f>BZ1998*SQRT(AL1998)</f>
        <v>6.7082039324993695E-2</v>
      </c>
      <c r="CB1998">
        <v>28</v>
      </c>
      <c r="CC1998">
        <v>2</v>
      </c>
      <c r="CD1998">
        <v>-4.8000000000000001E-2</v>
      </c>
      <c r="CE1998">
        <v>5.1000000000000004E-3</v>
      </c>
    </row>
    <row r="1999" spans="1:84" hidden="1" x14ac:dyDescent="0.2">
      <c r="D1999">
        <v>210</v>
      </c>
      <c r="G1999" t="s">
        <v>43</v>
      </c>
      <c r="H1999" t="s">
        <v>984</v>
      </c>
      <c r="J1999">
        <v>2021</v>
      </c>
      <c r="M1999" t="s">
        <v>657</v>
      </c>
      <c r="T1999" t="s">
        <v>103</v>
      </c>
      <c r="U1999" t="s">
        <v>534</v>
      </c>
      <c r="V1999" t="s">
        <v>985</v>
      </c>
      <c r="Z1999" t="s">
        <v>106</v>
      </c>
      <c r="AA1999" t="s">
        <v>107</v>
      </c>
      <c r="AB1999" t="s">
        <v>50</v>
      </c>
      <c r="AC1999" t="s">
        <v>108</v>
      </c>
      <c r="AD1999" t="s">
        <v>52</v>
      </c>
      <c r="AE1999" t="s">
        <v>53</v>
      </c>
      <c r="AF1999" t="s">
        <v>52</v>
      </c>
      <c r="AG1999" t="s">
        <v>52</v>
      </c>
      <c r="AH1999" t="s">
        <v>64</v>
      </c>
      <c r="AK1999">
        <v>56</v>
      </c>
      <c r="AL1999">
        <v>56</v>
      </c>
      <c r="AN1999">
        <v>479</v>
      </c>
      <c r="AO1999" t="s">
        <v>56</v>
      </c>
      <c r="AP1999">
        <v>50</v>
      </c>
      <c r="AQ1999" t="s">
        <v>109</v>
      </c>
      <c r="AR1999">
        <v>7.99</v>
      </c>
      <c r="AS1999" t="s">
        <v>56</v>
      </c>
      <c r="AT1999">
        <v>0.04</v>
      </c>
      <c r="AU1999">
        <v>1044</v>
      </c>
      <c r="AV1999" t="s">
        <v>56</v>
      </c>
      <c r="AW1999">
        <v>114</v>
      </c>
      <c r="AX1999">
        <v>7.69</v>
      </c>
      <c r="AY1999" t="s">
        <v>56</v>
      </c>
      <c r="AZ1999">
        <v>0.05</v>
      </c>
      <c r="BB1999">
        <f>LOG(AU1999)</f>
        <v>3.0187004986662433</v>
      </c>
      <c r="BC1999">
        <v>29</v>
      </c>
      <c r="BD1999" t="s">
        <v>56</v>
      </c>
      <c r="BE1999">
        <v>0.3</v>
      </c>
      <c r="BF1999">
        <v>30.8</v>
      </c>
      <c r="BG1999" t="s">
        <v>56</v>
      </c>
      <c r="BH1999">
        <v>0.3</v>
      </c>
      <c r="BI1999">
        <v>565</v>
      </c>
      <c r="BJ1999">
        <v>1.8</v>
      </c>
      <c r="BK1999" t="s">
        <v>56</v>
      </c>
      <c r="BL1999" t="s">
        <v>853</v>
      </c>
      <c r="BM1999" t="s">
        <v>90</v>
      </c>
      <c r="BN1999" t="s">
        <v>81</v>
      </c>
      <c r="BO1999" t="s">
        <v>917</v>
      </c>
      <c r="BP1999" t="s">
        <v>92</v>
      </c>
      <c r="BR1999" t="s">
        <v>63</v>
      </c>
      <c r="BT1999">
        <v>680.69</v>
      </c>
      <c r="BU1999">
        <v>680.68535799999995</v>
      </c>
      <c r="BV1999">
        <v>13.08</v>
      </c>
      <c r="BW1999">
        <f>BV1999*SQRT(AK1999)</f>
        <v>97.881757238006301</v>
      </c>
      <c r="BX1999">
        <v>657.01</v>
      </c>
      <c r="BY1999">
        <v>657.00934600000005</v>
      </c>
      <c r="BZ1999">
        <v>14.95</v>
      </c>
      <c r="CA1999">
        <f>BZ1999*SQRT(AL1999)</f>
        <v>111.87555586454084</v>
      </c>
      <c r="CB1999">
        <v>28</v>
      </c>
      <c r="CC1999">
        <v>2</v>
      </c>
      <c r="CD1999">
        <v>-3.5000000000000003E-2</v>
      </c>
      <c r="CE1999">
        <v>8.9999999999999998E-4</v>
      </c>
    </row>
    <row r="2000" spans="1:84" hidden="1" x14ac:dyDescent="0.2">
      <c r="D2000">
        <v>210</v>
      </c>
      <c r="G2000" t="s">
        <v>43</v>
      </c>
      <c r="H2000" t="s">
        <v>984</v>
      </c>
      <c r="J2000">
        <v>2021</v>
      </c>
      <c r="M2000" t="s">
        <v>657</v>
      </c>
      <c r="T2000" t="s">
        <v>103</v>
      </c>
      <c r="U2000" t="s">
        <v>534</v>
      </c>
      <c r="V2000" t="s">
        <v>985</v>
      </c>
      <c r="Z2000" t="s">
        <v>106</v>
      </c>
      <c r="AA2000" t="s">
        <v>107</v>
      </c>
      <c r="AB2000" t="s">
        <v>50</v>
      </c>
      <c r="AC2000" t="s">
        <v>108</v>
      </c>
      <c r="AD2000" t="s">
        <v>52</v>
      </c>
      <c r="AE2000" t="s">
        <v>53</v>
      </c>
      <c r="AF2000" t="s">
        <v>52</v>
      </c>
      <c r="AG2000" t="s">
        <v>54</v>
      </c>
      <c r="AH2000" t="s">
        <v>55</v>
      </c>
      <c r="AK2000">
        <v>56</v>
      </c>
      <c r="AL2000">
        <v>56</v>
      </c>
      <c r="AN2000">
        <v>479</v>
      </c>
      <c r="AO2000" t="s">
        <v>56</v>
      </c>
      <c r="AP2000">
        <v>50</v>
      </c>
      <c r="AQ2000" t="s">
        <v>109</v>
      </c>
      <c r="AR2000">
        <v>7.99</v>
      </c>
      <c r="AS2000" t="s">
        <v>56</v>
      </c>
      <c r="AT2000">
        <v>0.04</v>
      </c>
      <c r="AU2000">
        <v>1012</v>
      </c>
      <c r="AV2000" t="s">
        <v>56</v>
      </c>
      <c r="AW2000">
        <v>80</v>
      </c>
      <c r="AX2000">
        <v>7.69</v>
      </c>
      <c r="AY2000" t="s">
        <v>56</v>
      </c>
      <c r="AZ2000">
        <v>0.05</v>
      </c>
      <c r="BB2000">
        <f>LOG(AU2000)</f>
        <v>3.0051805125037805</v>
      </c>
      <c r="BC2000">
        <v>29</v>
      </c>
      <c r="BD2000" t="s">
        <v>56</v>
      </c>
      <c r="BE2000">
        <v>0.3</v>
      </c>
      <c r="BF2000">
        <v>29.1</v>
      </c>
      <c r="BG2000" t="s">
        <v>56</v>
      </c>
      <c r="BH2000">
        <v>0.3</v>
      </c>
      <c r="BI2000">
        <v>533</v>
      </c>
      <c r="BJ2000">
        <v>0.1</v>
      </c>
      <c r="BK2000" t="s">
        <v>56</v>
      </c>
      <c r="BL2000" t="s">
        <v>853</v>
      </c>
      <c r="BM2000" t="s">
        <v>90</v>
      </c>
      <c r="BN2000" t="s">
        <v>81</v>
      </c>
      <c r="BO2000" t="s">
        <v>917</v>
      </c>
      <c r="BP2000" t="s">
        <v>92</v>
      </c>
      <c r="BR2000" t="s">
        <v>63</v>
      </c>
      <c r="BT2000">
        <v>680.69</v>
      </c>
      <c r="BU2000">
        <v>680.68535799999995</v>
      </c>
      <c r="BV2000">
        <v>13.08</v>
      </c>
      <c r="BW2000">
        <f>BV2000*SQRT(AK2000)</f>
        <v>97.881757238006301</v>
      </c>
      <c r="BX2000">
        <v>676.95</v>
      </c>
      <c r="BY2000">
        <v>676.94704000000002</v>
      </c>
      <c r="BZ2000">
        <v>14.95</v>
      </c>
      <c r="CA2000">
        <f>BZ2000*SQRT(AL2000)</f>
        <v>111.87555586454084</v>
      </c>
      <c r="CB2000">
        <v>28</v>
      </c>
      <c r="CC2000">
        <v>2</v>
      </c>
      <c r="CD2000">
        <v>-6.0000000000000001E-3</v>
      </c>
      <c r="CE2000">
        <v>8.9999999999999998E-4</v>
      </c>
    </row>
    <row r="2001" spans="2:84" hidden="1" x14ac:dyDescent="0.2">
      <c r="D2001">
        <v>223</v>
      </c>
      <c r="G2001" t="s">
        <v>43</v>
      </c>
      <c r="H2001" t="s">
        <v>986</v>
      </c>
      <c r="J2001">
        <v>2016</v>
      </c>
      <c r="M2001" t="s">
        <v>94</v>
      </c>
      <c r="T2001" t="s">
        <v>68</v>
      </c>
      <c r="U2001" t="s">
        <v>553</v>
      </c>
      <c r="V2001" t="s">
        <v>554</v>
      </c>
      <c r="AC2001" t="s">
        <v>51</v>
      </c>
      <c r="AF2001" t="s">
        <v>54</v>
      </c>
      <c r="AG2001" t="s">
        <v>52</v>
      </c>
      <c r="AH2001" t="s">
        <v>65</v>
      </c>
      <c r="AK2001">
        <v>4</v>
      </c>
      <c r="AL2001">
        <v>4</v>
      </c>
      <c r="AN2001">
        <v>371</v>
      </c>
      <c r="AU2001">
        <v>455</v>
      </c>
      <c r="BB2001">
        <f>LOG(AU2001)</f>
        <v>2.6580113966571126</v>
      </c>
      <c r="BC2001">
        <v>1.4</v>
      </c>
      <c r="BF2001">
        <v>3.4</v>
      </c>
      <c r="BI2001">
        <v>84</v>
      </c>
      <c r="BJ2001">
        <v>2</v>
      </c>
      <c r="BL2001" t="s">
        <v>987</v>
      </c>
      <c r="BM2001" t="s">
        <v>253</v>
      </c>
      <c r="BN2001" t="s">
        <v>81</v>
      </c>
      <c r="BO2001" t="s">
        <v>254</v>
      </c>
      <c r="BP2001" t="s">
        <v>92</v>
      </c>
      <c r="BR2001" t="s">
        <v>63</v>
      </c>
      <c r="BT2001">
        <v>-11.461</v>
      </c>
      <c r="BU2001">
        <v>11.461</v>
      </c>
      <c r="BV2001">
        <v>2.82</v>
      </c>
      <c r="BW2001">
        <f>BV2001*SQRT(AK2001)</f>
        <v>5.64</v>
      </c>
      <c r="BX2001">
        <v>-8.375</v>
      </c>
      <c r="BY2001">
        <v>8.375</v>
      </c>
      <c r="BZ2001">
        <v>1.27</v>
      </c>
      <c r="CA2001">
        <f>BZ2001*SQRT(AL2001)</f>
        <v>2.54</v>
      </c>
      <c r="CB2001">
        <v>42</v>
      </c>
      <c r="CD2001">
        <v>0.314</v>
      </c>
      <c r="CE2001">
        <v>8.3599999999999994E-2</v>
      </c>
    </row>
    <row r="2002" spans="2:84" hidden="1" x14ac:dyDescent="0.2">
      <c r="D2002">
        <v>223</v>
      </c>
      <c r="G2002" t="s">
        <v>43</v>
      </c>
      <c r="H2002" t="s">
        <v>986</v>
      </c>
      <c r="J2002">
        <v>2016</v>
      </c>
      <c r="M2002" t="s">
        <v>94</v>
      </c>
      <c r="T2002" t="s">
        <v>68</v>
      </c>
      <c r="U2002" t="s">
        <v>553</v>
      </c>
      <c r="V2002" t="s">
        <v>554</v>
      </c>
      <c r="AC2002" t="s">
        <v>51</v>
      </c>
      <c r="AF2002" t="s">
        <v>52</v>
      </c>
      <c r="AG2002" t="s">
        <v>52</v>
      </c>
      <c r="AH2002" t="s">
        <v>64</v>
      </c>
      <c r="AK2002">
        <v>4</v>
      </c>
      <c r="AL2002">
        <v>4</v>
      </c>
      <c r="AN2002">
        <v>371</v>
      </c>
      <c r="AU2002">
        <v>922</v>
      </c>
      <c r="BB2002">
        <f>LOG(AU2002)</f>
        <v>2.9647309210536292</v>
      </c>
      <c r="BC2002">
        <v>1.4</v>
      </c>
      <c r="BF2002">
        <v>3.4</v>
      </c>
      <c r="BI2002">
        <v>551</v>
      </c>
      <c r="BJ2002">
        <v>2</v>
      </c>
      <c r="BL2002" t="s">
        <v>987</v>
      </c>
      <c r="BM2002" t="s">
        <v>253</v>
      </c>
      <c r="BN2002" t="s">
        <v>81</v>
      </c>
      <c r="BO2002" t="s">
        <v>254</v>
      </c>
      <c r="BP2002" t="s">
        <v>92</v>
      </c>
      <c r="BR2002" t="s">
        <v>63</v>
      </c>
      <c r="BT2002">
        <v>-11.461</v>
      </c>
      <c r="BU2002">
        <v>11.461</v>
      </c>
      <c r="BV2002">
        <v>2.82</v>
      </c>
      <c r="BW2002">
        <f>BV2002*SQRT(AK2002)</f>
        <v>5.64</v>
      </c>
      <c r="BX2002">
        <v>-8.1180000000000003</v>
      </c>
      <c r="BY2002">
        <v>8.1180000000000003</v>
      </c>
      <c r="BZ2002">
        <v>2.21</v>
      </c>
      <c r="CA2002">
        <f>BZ2002*SQRT(AL2002)</f>
        <v>4.42</v>
      </c>
      <c r="CB2002">
        <v>42</v>
      </c>
      <c r="CD2002">
        <v>0.34499999999999997</v>
      </c>
      <c r="CE2002">
        <v>0.13469999999999999</v>
      </c>
    </row>
    <row r="2003" spans="2:84" hidden="1" x14ac:dyDescent="0.2">
      <c r="D2003">
        <v>223</v>
      </c>
      <c r="G2003" t="s">
        <v>43</v>
      </c>
      <c r="H2003" t="s">
        <v>986</v>
      </c>
      <c r="J2003">
        <v>2016</v>
      </c>
      <c r="M2003" t="s">
        <v>94</v>
      </c>
      <c r="T2003" t="s">
        <v>68</v>
      </c>
      <c r="U2003" t="s">
        <v>553</v>
      </c>
      <c r="V2003" t="s">
        <v>554</v>
      </c>
      <c r="AC2003" t="s">
        <v>51</v>
      </c>
      <c r="AF2003" t="s">
        <v>52</v>
      </c>
      <c r="AG2003" t="s">
        <v>54</v>
      </c>
      <c r="AH2003" t="s">
        <v>55</v>
      </c>
      <c r="AK2003">
        <v>4</v>
      </c>
      <c r="AL2003">
        <v>4</v>
      </c>
      <c r="AN2003">
        <v>371</v>
      </c>
      <c r="AU2003">
        <v>944</v>
      </c>
      <c r="BB2003">
        <f>LOG(AU2003)</f>
        <v>2.9749719942980688</v>
      </c>
      <c r="BC2003">
        <v>1.4</v>
      </c>
      <c r="BF2003">
        <v>1.4</v>
      </c>
      <c r="BI2003">
        <v>573</v>
      </c>
      <c r="BJ2003">
        <v>0</v>
      </c>
      <c r="BL2003" t="s">
        <v>987</v>
      </c>
      <c r="BM2003" t="s">
        <v>253</v>
      </c>
      <c r="BN2003" t="s">
        <v>81</v>
      </c>
      <c r="BO2003" t="s">
        <v>254</v>
      </c>
      <c r="BP2003" t="s">
        <v>92</v>
      </c>
      <c r="BR2003" t="s">
        <v>63</v>
      </c>
      <c r="BT2003">
        <v>-11.461</v>
      </c>
      <c r="BU2003">
        <v>11.461</v>
      </c>
      <c r="BV2003">
        <v>2.82</v>
      </c>
      <c r="BW2003">
        <f>BV2003*SQRT(AK2003)</f>
        <v>5.64</v>
      </c>
      <c r="BX2003">
        <v>-4.3250000000000002</v>
      </c>
      <c r="BY2003">
        <v>4.3250000000000002</v>
      </c>
      <c r="BZ2003">
        <v>3</v>
      </c>
      <c r="CA2003">
        <f>BZ2003*SQRT(AL2003)</f>
        <v>6</v>
      </c>
      <c r="CB2003">
        <v>42</v>
      </c>
      <c r="CD2003">
        <v>0.97499999999999998</v>
      </c>
      <c r="CE2003">
        <v>0.54159999999999997</v>
      </c>
    </row>
    <row r="2004" spans="2:84" hidden="1" x14ac:dyDescent="0.2">
      <c r="D2004">
        <v>217</v>
      </c>
      <c r="G2004" t="s">
        <v>43</v>
      </c>
      <c r="H2004" t="s">
        <v>988</v>
      </c>
      <c r="J2004">
        <v>2013</v>
      </c>
      <c r="M2004" t="s">
        <v>67</v>
      </c>
      <c r="T2004" t="s">
        <v>68</v>
      </c>
      <c r="U2004" t="s">
        <v>266</v>
      </c>
      <c r="V2004" t="s">
        <v>437</v>
      </c>
      <c r="AC2004" t="s">
        <v>51</v>
      </c>
      <c r="AF2004" t="s">
        <v>52</v>
      </c>
      <c r="AG2004" t="s">
        <v>52</v>
      </c>
      <c r="AH2004" t="s">
        <v>64</v>
      </c>
      <c r="AK2004">
        <v>4</v>
      </c>
      <c r="AL2004">
        <v>4</v>
      </c>
      <c r="AN2004">
        <v>438</v>
      </c>
      <c r="AU2004">
        <v>1147</v>
      </c>
      <c r="BB2004">
        <f>LOG(AU2004)</f>
        <v>3.0595634179012676</v>
      </c>
      <c r="BC2004">
        <v>16</v>
      </c>
      <c r="BF2004">
        <v>25</v>
      </c>
      <c r="BI2004">
        <v>709</v>
      </c>
      <c r="BJ2004">
        <v>9</v>
      </c>
      <c r="BL2004" t="s">
        <v>989</v>
      </c>
      <c r="BM2004" t="s">
        <v>262</v>
      </c>
      <c r="BN2004" t="s">
        <v>81</v>
      </c>
      <c r="BO2004" t="s">
        <v>990</v>
      </c>
      <c r="BP2004" t="s">
        <v>92</v>
      </c>
      <c r="BR2004" t="s">
        <v>63</v>
      </c>
      <c r="BT2004">
        <v>0.10161000000000001</v>
      </c>
      <c r="BU2004">
        <v>0.10161000000000001</v>
      </c>
      <c r="BV2004">
        <v>5.7653060000000004E-3</v>
      </c>
      <c r="BW2004">
        <f>BV2004*SQRT(AK2004)</f>
        <v>1.1530612000000001E-2</v>
      </c>
      <c r="BX2004">
        <v>8.1999999999999998E-4</v>
      </c>
      <c r="BY2004">
        <v>8.1999999999999998E-4</v>
      </c>
      <c r="BZ2004">
        <v>3.0867347E-2</v>
      </c>
      <c r="CA2004">
        <f>BZ2004*SQRT(AL2004)</f>
        <v>6.1734694E-2</v>
      </c>
      <c r="CB2004">
        <v>91</v>
      </c>
      <c r="CD2004">
        <v>-4.82</v>
      </c>
      <c r="CE2004">
        <v>1417.0066999999999</v>
      </c>
    </row>
    <row r="2005" spans="2:84" s="8" customFormat="1" hidden="1" x14ac:dyDescent="0.2">
      <c r="B2005" t="str">
        <f>ROW()-1&amp;"_AltersInvert"</f>
        <v>2004_AltersInvert</v>
      </c>
      <c r="C2005" t="str">
        <f>D2005&amp;"_"&amp;
SUBSTITUTE(TRIM(V2005)," ","_")&amp;"_"&amp;
TRIM(AC2005)&amp;"_"&amp;
"CO2"&amp;TEXT(AN2005,"0.00")&amp;"_"&amp;
"pH"&amp;TEXT(AR2005,"0.00")&amp;"_"&amp;
"T"&amp;TEXT(BC2005,"0.##")</f>
        <v>58_Centrostephanus_rodgersii_EMBRYO_CO2506.00_pH8.10_T21.</v>
      </c>
      <c r="D2005" s="8">
        <v>58</v>
      </c>
      <c r="G2005" s="8" t="s">
        <v>43</v>
      </c>
      <c r="H2005" s="8" t="s">
        <v>569</v>
      </c>
      <c r="I2005" s="8" t="s">
        <v>1130</v>
      </c>
      <c r="J2005" s="8">
        <v>2014</v>
      </c>
      <c r="M2005" s="8" t="s">
        <v>67</v>
      </c>
      <c r="P2005" t="s">
        <v>1135</v>
      </c>
      <c r="R2005" s="8" t="s">
        <v>1127</v>
      </c>
      <c r="S2005" t="s">
        <v>1128</v>
      </c>
      <c r="T2005" s="8" t="s">
        <v>46</v>
      </c>
      <c r="U2005" s="8" t="s">
        <v>570</v>
      </c>
      <c r="V2005" s="8" t="s">
        <v>571</v>
      </c>
      <c r="W2005" s="8" t="str">
        <f>IF(ISNUMBER(MATCH(#REF!,{"Doryteuthis pealeii","Loligo vulgaris","Leptuca thayeri","Stylocheilus striatus","Ophryotrocha labronica"},0)),"N","Y")</f>
        <v>Y</v>
      </c>
      <c r="Z2005" s="8" t="s">
        <v>177</v>
      </c>
      <c r="AA2005" s="8" t="s">
        <v>177</v>
      </c>
      <c r="AB2005" s="8" t="s">
        <v>71</v>
      </c>
      <c r="AC2005" s="8" t="s">
        <v>195</v>
      </c>
      <c r="AD2005" s="8" t="s">
        <v>52</v>
      </c>
      <c r="AE2005" s="8" t="s">
        <v>53</v>
      </c>
      <c r="AF2005" s="8" t="s">
        <v>52</v>
      </c>
      <c r="AG2005" s="8" t="s">
        <v>54</v>
      </c>
      <c r="AH2005" s="8" t="s">
        <v>55</v>
      </c>
      <c r="AK2005" s="8">
        <v>150</v>
      </c>
      <c r="AL2005" s="8">
        <v>150</v>
      </c>
      <c r="AN2005" s="8">
        <v>506</v>
      </c>
      <c r="AO2005" s="8" t="s">
        <v>56</v>
      </c>
      <c r="AP2005" s="8" t="s">
        <v>56</v>
      </c>
      <c r="AQ2005" s="8" t="s">
        <v>118</v>
      </c>
      <c r="AR2005" s="8">
        <v>8.1</v>
      </c>
      <c r="AS2005" s="8" t="s">
        <v>56</v>
      </c>
      <c r="AT2005" s="8">
        <v>0.02</v>
      </c>
      <c r="AU2005" s="8">
        <v>1109</v>
      </c>
      <c r="AV2005" t="s">
        <v>56</v>
      </c>
      <c r="AW2005" t="s">
        <v>56</v>
      </c>
      <c r="AX2005">
        <v>7.8</v>
      </c>
      <c r="AY2005" t="s">
        <v>56</v>
      </c>
      <c r="AZ2005" t="s">
        <v>56</v>
      </c>
      <c r="BB2005" s="8">
        <f>LOG(AU2005)</f>
        <v>3.0449315461491602</v>
      </c>
      <c r="BC2005" s="8">
        <v>21</v>
      </c>
      <c r="BD2005" s="8" t="s">
        <v>56</v>
      </c>
      <c r="BE2005" s="8" t="s">
        <v>56</v>
      </c>
      <c r="BF2005" s="8">
        <v>21</v>
      </c>
      <c r="BG2005" s="8" t="s">
        <v>56</v>
      </c>
      <c r="BH2005" s="8" t="s">
        <v>56</v>
      </c>
      <c r="BI2005" s="8">
        <v>604</v>
      </c>
      <c r="BJ2005" s="8">
        <v>0</v>
      </c>
      <c r="BK2005" s="8" t="s">
        <v>572</v>
      </c>
      <c r="BL2005" s="8" t="s">
        <v>85</v>
      </c>
      <c r="BM2005" s="8" t="s">
        <v>86</v>
      </c>
      <c r="BN2005" s="8" t="s">
        <v>81</v>
      </c>
      <c r="BO2005" s="8" t="s">
        <v>82</v>
      </c>
      <c r="BP2005" s="8" t="s">
        <v>9</v>
      </c>
      <c r="BQ2005" s="8" t="s">
        <v>190</v>
      </c>
      <c r="BR2005" s="8" t="s">
        <v>84</v>
      </c>
      <c r="BT2005" s="8">
        <v>5.77</v>
      </c>
      <c r="BU2005" s="8">
        <v>94.23</v>
      </c>
      <c r="BV2005" s="8">
        <v>2.23</v>
      </c>
      <c r="BW2005" s="8">
        <f>BV2005*SQRT(AK2005)</f>
        <v>27.311810632032437</v>
      </c>
      <c r="BX2005" s="8">
        <v>13.33</v>
      </c>
      <c r="BY2005" s="8">
        <v>86.67</v>
      </c>
      <c r="BZ2005" s="8">
        <v>13.33</v>
      </c>
      <c r="CA2005" s="8">
        <f>BZ2005*SQRT(AL2005)</f>
        <v>163.25849135649881</v>
      </c>
      <c r="CB2005" s="8">
        <v>2</v>
      </c>
      <c r="CC2005" s="8">
        <v>3</v>
      </c>
      <c r="CD2005" s="8">
        <v>-8.4000000000000005E-2</v>
      </c>
      <c r="CE2005" s="8">
        <v>2.4199999999999999E-2</v>
      </c>
      <c r="CF2005" s="8" t="s">
        <v>1134</v>
      </c>
    </row>
    <row r="2006" spans="2:84" s="8" customFormat="1" hidden="1" x14ac:dyDescent="0.2">
      <c r="B2006" t="str">
        <f>ROW()-1&amp;"_AltersInvert"</f>
        <v>2005_AltersInvert</v>
      </c>
      <c r="C2006" t="str">
        <f>D2006&amp;"_"&amp;
SUBSTITUTE(TRIM(V2006)," ","_")&amp;"_"&amp;
TRIM(AC2006)&amp;"_"&amp;
"CO2"&amp;TEXT(AN2006,"0.00")&amp;"_"&amp;
"pH"&amp;TEXT(AR2006,"0.00")&amp;"_"&amp;
"T"&amp;TEXT(BC2006,"0.##")</f>
        <v>58_Centrostephanus_rodgersii_EMBRYO_CO2506.00_pH8.10_T21.</v>
      </c>
      <c r="D2006" s="8">
        <v>58</v>
      </c>
      <c r="G2006" s="8" t="s">
        <v>43</v>
      </c>
      <c r="H2006" s="8" t="s">
        <v>569</v>
      </c>
      <c r="I2006" s="8" t="s">
        <v>1130</v>
      </c>
      <c r="J2006" s="8">
        <v>2014</v>
      </c>
      <c r="M2006" s="8" t="s">
        <v>67</v>
      </c>
      <c r="P2006" t="s">
        <v>1135</v>
      </c>
      <c r="R2006" s="8" t="s">
        <v>1127</v>
      </c>
      <c r="S2006" t="s">
        <v>1128</v>
      </c>
      <c r="T2006" s="8" t="s">
        <v>46</v>
      </c>
      <c r="U2006" s="8" t="s">
        <v>570</v>
      </c>
      <c r="V2006" s="8" t="s">
        <v>571</v>
      </c>
      <c r="W2006" s="8" t="str">
        <f>IF(ISNUMBER(MATCH(V1400,{"Doryteuthis pealeii","Loligo vulgaris","Leptuca thayeri","Stylocheilus striatus","Ophryotrocha labronica"},0)),"N","Y")</f>
        <v>Y</v>
      </c>
      <c r="Z2006" s="8" t="s">
        <v>177</v>
      </c>
      <c r="AA2006" s="8" t="s">
        <v>177</v>
      </c>
      <c r="AB2006" s="8" t="s">
        <v>71</v>
      </c>
      <c r="AC2006" s="8" t="s">
        <v>195</v>
      </c>
      <c r="AD2006" s="8" t="s">
        <v>52</v>
      </c>
      <c r="AE2006" s="8" t="s">
        <v>53</v>
      </c>
      <c r="AF2006" s="8" t="s">
        <v>54</v>
      </c>
      <c r="AG2006" s="8" t="s">
        <v>52</v>
      </c>
      <c r="AH2006" s="8" t="s">
        <v>65</v>
      </c>
      <c r="AK2006" s="8">
        <v>150</v>
      </c>
      <c r="AL2006" s="8">
        <v>150</v>
      </c>
      <c r="AN2006" s="8">
        <v>506</v>
      </c>
      <c r="AO2006" s="8" t="s">
        <v>56</v>
      </c>
      <c r="AP2006" s="8" t="s">
        <v>56</v>
      </c>
      <c r="AQ2006" s="8" t="s">
        <v>118</v>
      </c>
      <c r="AR2006" s="8">
        <v>8.1</v>
      </c>
      <c r="AS2006" s="8" t="s">
        <v>56</v>
      </c>
      <c r="AT2006" s="8">
        <v>0.02</v>
      </c>
      <c r="AU2006" s="8">
        <v>511</v>
      </c>
      <c r="AV2006" t="s">
        <v>56</v>
      </c>
      <c r="AW2006" t="s">
        <v>56</v>
      </c>
      <c r="AX2006">
        <v>8.1</v>
      </c>
      <c r="AY2006" t="s">
        <v>56</v>
      </c>
      <c r="AZ2006" t="s">
        <v>56</v>
      </c>
      <c r="BB2006" s="8">
        <f>LOG(AU2006)</f>
        <v>2.7084209001347128</v>
      </c>
      <c r="BC2006" s="8">
        <v>21</v>
      </c>
      <c r="BD2006" s="8" t="s">
        <v>56</v>
      </c>
      <c r="BE2006" s="8" t="s">
        <v>56</v>
      </c>
      <c r="BF2006" s="8">
        <v>24</v>
      </c>
      <c r="BG2006" s="8" t="s">
        <v>56</v>
      </c>
      <c r="BH2006" s="8" t="s">
        <v>56</v>
      </c>
      <c r="BI2006" s="8">
        <v>6</v>
      </c>
      <c r="BJ2006" s="8">
        <v>3</v>
      </c>
      <c r="BK2006" s="8" t="s">
        <v>572</v>
      </c>
      <c r="BL2006" s="8" t="s">
        <v>85</v>
      </c>
      <c r="BM2006" s="8" t="s">
        <v>86</v>
      </c>
      <c r="BN2006" s="8" t="s">
        <v>81</v>
      </c>
      <c r="BO2006" s="8" t="s">
        <v>82</v>
      </c>
      <c r="BP2006" s="8" t="s">
        <v>9</v>
      </c>
      <c r="BQ2006" s="8" t="s">
        <v>190</v>
      </c>
      <c r="BR2006" s="8" t="s">
        <v>84</v>
      </c>
      <c r="BT2006" s="8">
        <v>5.77</v>
      </c>
      <c r="BU2006" s="8">
        <v>94.23</v>
      </c>
      <c r="BV2006" s="8">
        <v>2.23</v>
      </c>
      <c r="BW2006" s="8">
        <f>BV2006*SQRT(AK2006)</f>
        <v>27.311810632032437</v>
      </c>
      <c r="BX2006" s="8">
        <v>12.44</v>
      </c>
      <c r="BY2006" s="8">
        <v>87.56</v>
      </c>
      <c r="BZ2006" s="8">
        <v>12.44</v>
      </c>
      <c r="CA2006" s="8">
        <f>BZ2006*SQRT(AL2006)</f>
        <v>152.35826200111367</v>
      </c>
      <c r="CB2006" s="8">
        <v>2</v>
      </c>
      <c r="CC2006" s="8">
        <v>3</v>
      </c>
      <c r="CD2006" s="8">
        <v>-7.2999999999999995E-2</v>
      </c>
      <c r="CE2006" s="8">
        <v>2.07E-2</v>
      </c>
      <c r="CF2006" s="8" t="s">
        <v>1134</v>
      </c>
    </row>
    <row r="2007" spans="2:84" s="8" customFormat="1" hidden="1" x14ac:dyDescent="0.2">
      <c r="B2007" t="str">
        <f>ROW()-1&amp;"_AltersInvert"</f>
        <v>2006_AltersInvert</v>
      </c>
      <c r="C2007" t="str">
        <f>D2007&amp;"_"&amp;
SUBSTITUTE(TRIM(V2007)," ","_")&amp;"_"&amp;
TRIM(AC2007)&amp;"_"&amp;
"CO2"&amp;TEXT(AN2007,"0.00")&amp;"_"&amp;
"pH"&amp;TEXT(AR2007,"0.00")&amp;"_"&amp;
"T"&amp;TEXT(BC2007,"0.##")</f>
        <v>58_Centrostephanus_rodgersii_EMBRYO_CO2506.00_pH8.10_T21.</v>
      </c>
      <c r="D2007" s="8">
        <v>58</v>
      </c>
      <c r="G2007" s="8" t="s">
        <v>43</v>
      </c>
      <c r="H2007" s="8" t="s">
        <v>569</v>
      </c>
      <c r="I2007" s="8" t="s">
        <v>1130</v>
      </c>
      <c r="J2007" s="8">
        <v>2014</v>
      </c>
      <c r="M2007" s="8" t="s">
        <v>67</v>
      </c>
      <c r="P2007" t="s">
        <v>1135</v>
      </c>
      <c r="R2007" s="8" t="s">
        <v>1127</v>
      </c>
      <c r="S2007" t="s">
        <v>1128</v>
      </c>
      <c r="T2007" s="8" t="s">
        <v>46</v>
      </c>
      <c r="U2007" s="8" t="s">
        <v>570</v>
      </c>
      <c r="V2007" s="8" t="s">
        <v>571</v>
      </c>
      <c r="W2007" s="8" t="str">
        <f>IF(ISNUMBER(MATCH(V1401,{"Doryteuthis pealeii","Loligo vulgaris","Leptuca thayeri","Stylocheilus striatus","Ophryotrocha labronica"},0)),"N","Y")</f>
        <v>Y</v>
      </c>
      <c r="Z2007" s="8" t="s">
        <v>177</v>
      </c>
      <c r="AA2007" s="8" t="s">
        <v>177</v>
      </c>
      <c r="AB2007" s="8" t="s">
        <v>71</v>
      </c>
      <c r="AC2007" s="8" t="s">
        <v>195</v>
      </c>
      <c r="AD2007" s="8" t="s">
        <v>52</v>
      </c>
      <c r="AE2007" s="8" t="s">
        <v>53</v>
      </c>
      <c r="AF2007" s="8" t="s">
        <v>52</v>
      </c>
      <c r="AG2007" s="8" t="s">
        <v>52</v>
      </c>
      <c r="AH2007" s="8" t="s">
        <v>64</v>
      </c>
      <c r="AK2007" s="8">
        <v>150</v>
      </c>
      <c r="AL2007" s="8">
        <v>150</v>
      </c>
      <c r="AN2007" s="8">
        <v>506</v>
      </c>
      <c r="AO2007" s="8" t="s">
        <v>56</v>
      </c>
      <c r="AP2007" s="8" t="s">
        <v>56</v>
      </c>
      <c r="AQ2007" s="8" t="s">
        <v>118</v>
      </c>
      <c r="AR2007" s="8">
        <v>8.1</v>
      </c>
      <c r="AS2007" s="8" t="s">
        <v>56</v>
      </c>
      <c r="AT2007" s="8">
        <v>0.02</v>
      </c>
      <c r="AU2007" s="8">
        <v>7145</v>
      </c>
      <c r="AV2007" t="s">
        <v>56</v>
      </c>
      <c r="AW2007" t="s">
        <v>56</v>
      </c>
      <c r="AX2007">
        <v>7.04</v>
      </c>
      <c r="AY2007" t="s">
        <v>56</v>
      </c>
      <c r="AZ2007" t="s">
        <v>56</v>
      </c>
      <c r="BB2007" s="8">
        <f>LOG(AU2007)</f>
        <v>3.8540022331269892</v>
      </c>
      <c r="BC2007" s="8">
        <v>21</v>
      </c>
      <c r="BD2007" s="8" t="s">
        <v>56</v>
      </c>
      <c r="BE2007" s="8" t="s">
        <v>56</v>
      </c>
      <c r="BF2007" s="8">
        <v>24</v>
      </c>
      <c r="BG2007" s="8" t="s">
        <v>56</v>
      </c>
      <c r="BH2007" s="8" t="s">
        <v>56</v>
      </c>
      <c r="BI2007" s="8">
        <v>6640</v>
      </c>
      <c r="BJ2007" s="8">
        <v>3</v>
      </c>
      <c r="BK2007" s="8" t="s">
        <v>572</v>
      </c>
      <c r="BL2007" s="8" t="s">
        <v>85</v>
      </c>
      <c r="BM2007" s="8" t="s">
        <v>86</v>
      </c>
      <c r="BN2007" s="8" t="s">
        <v>81</v>
      </c>
      <c r="BO2007" s="8" t="s">
        <v>82</v>
      </c>
      <c r="BP2007" s="8" t="s">
        <v>9</v>
      </c>
      <c r="BQ2007" s="8" t="s">
        <v>92</v>
      </c>
      <c r="BR2007" s="8" t="s">
        <v>84</v>
      </c>
      <c r="BT2007" s="8">
        <v>5.77</v>
      </c>
      <c r="BU2007" s="8">
        <v>94.23</v>
      </c>
      <c r="BV2007" s="8">
        <v>2.23</v>
      </c>
      <c r="BW2007" s="8">
        <f>BV2007*SQRT(AK2007)</f>
        <v>27.311810632032437</v>
      </c>
      <c r="BX2007" s="8">
        <v>40.44</v>
      </c>
      <c r="BY2007" s="8">
        <v>59.56</v>
      </c>
      <c r="BZ2007" s="8">
        <v>40.44</v>
      </c>
      <c r="CA2007" s="8">
        <f>BZ2007*SQRT(AL2007)</f>
        <v>495.28682599075859</v>
      </c>
      <c r="CB2007" s="8">
        <v>2</v>
      </c>
      <c r="CC2007" s="8">
        <v>3</v>
      </c>
      <c r="CD2007" s="8">
        <v>-0.45900000000000002</v>
      </c>
      <c r="CE2007" s="8">
        <v>0.46160000000000001</v>
      </c>
      <c r="CF2007" s="8" t="s">
        <v>1134</v>
      </c>
    </row>
    <row r="2008" spans="2:84" hidden="1" x14ac:dyDescent="0.2">
      <c r="D2008">
        <v>217</v>
      </c>
      <c r="G2008" t="s">
        <v>43</v>
      </c>
      <c r="H2008" t="s">
        <v>988</v>
      </c>
      <c r="J2008">
        <v>2013</v>
      </c>
      <c r="M2008" t="s">
        <v>67</v>
      </c>
      <c r="T2008" t="s">
        <v>68</v>
      </c>
      <c r="U2008" t="s">
        <v>266</v>
      </c>
      <c r="V2008" t="s">
        <v>437</v>
      </c>
      <c r="AC2008" t="s">
        <v>51</v>
      </c>
      <c r="AF2008" t="s">
        <v>52</v>
      </c>
      <c r="AG2008" t="s">
        <v>52</v>
      </c>
      <c r="AH2008" t="s">
        <v>64</v>
      </c>
      <c r="AK2008">
        <v>4</v>
      </c>
      <c r="AL2008">
        <v>4</v>
      </c>
      <c r="AN2008">
        <v>438</v>
      </c>
      <c r="AU2008">
        <v>768</v>
      </c>
      <c r="BB2008">
        <f>LOG(AU2008)</f>
        <v>2.8853612200315122</v>
      </c>
      <c r="BC2008">
        <v>16</v>
      </c>
      <c r="BF2008">
        <v>25</v>
      </c>
      <c r="BI2008">
        <v>330</v>
      </c>
      <c r="BJ2008">
        <v>9</v>
      </c>
      <c r="BL2008" t="s">
        <v>989</v>
      </c>
      <c r="BM2008" t="s">
        <v>262</v>
      </c>
      <c r="BN2008" t="s">
        <v>81</v>
      </c>
      <c r="BO2008" t="s">
        <v>990</v>
      </c>
      <c r="BP2008" t="s">
        <v>92</v>
      </c>
      <c r="BR2008" t="s">
        <v>63</v>
      </c>
      <c r="BT2008">
        <v>0.10161000000000001</v>
      </c>
      <c r="BU2008">
        <v>0.10161000000000001</v>
      </c>
      <c r="BV2008">
        <v>5.7653060000000004E-3</v>
      </c>
      <c r="BW2008">
        <f>BV2008*SQRT(AK2008)</f>
        <v>1.1530612000000001E-2</v>
      </c>
      <c r="BX2008">
        <v>2.7449999999999999E-2</v>
      </c>
      <c r="BY2008">
        <v>2.7449999999999999E-2</v>
      </c>
      <c r="BZ2008">
        <v>6.5867349999999998E-3</v>
      </c>
      <c r="CA2008">
        <f>BZ2008*SQRT(AL2008)</f>
        <v>1.317347E-2</v>
      </c>
      <c r="CB2008">
        <v>91</v>
      </c>
      <c r="CD2008">
        <v>-1.3089999999999999</v>
      </c>
      <c r="CE2008">
        <v>6.08E-2</v>
      </c>
    </row>
    <row r="2009" spans="2:84" hidden="1" x14ac:dyDescent="0.2">
      <c r="D2009">
        <v>217</v>
      </c>
      <c r="G2009" t="s">
        <v>43</v>
      </c>
      <c r="H2009" t="s">
        <v>988</v>
      </c>
      <c r="J2009">
        <v>2013</v>
      </c>
      <c r="M2009" t="s">
        <v>67</v>
      </c>
      <c r="T2009" t="s">
        <v>68</v>
      </c>
      <c r="U2009" t="s">
        <v>266</v>
      </c>
      <c r="V2009" t="s">
        <v>437</v>
      </c>
      <c r="AC2009" t="s">
        <v>51</v>
      </c>
      <c r="AF2009" t="s">
        <v>54</v>
      </c>
      <c r="AG2009" t="s">
        <v>52</v>
      </c>
      <c r="AH2009" t="s">
        <v>65</v>
      </c>
      <c r="AK2009">
        <v>4</v>
      </c>
      <c r="AL2009">
        <v>4</v>
      </c>
      <c r="AN2009">
        <v>438</v>
      </c>
      <c r="AU2009">
        <v>427</v>
      </c>
      <c r="BB2009">
        <f>LOG(AU2009)</f>
        <v>2.6304278750250241</v>
      </c>
      <c r="BC2009">
        <v>16</v>
      </c>
      <c r="BF2009">
        <v>25</v>
      </c>
      <c r="BI2009">
        <v>-11</v>
      </c>
      <c r="BJ2009">
        <v>9</v>
      </c>
      <c r="BL2009" t="s">
        <v>989</v>
      </c>
      <c r="BM2009" t="s">
        <v>262</v>
      </c>
      <c r="BN2009" t="s">
        <v>81</v>
      </c>
      <c r="BO2009" t="s">
        <v>990</v>
      </c>
      <c r="BP2009" t="s">
        <v>92</v>
      </c>
      <c r="BR2009" t="s">
        <v>63</v>
      </c>
      <c r="BT2009">
        <v>0.10161000000000001</v>
      </c>
      <c r="BU2009">
        <v>0.10161000000000001</v>
      </c>
      <c r="BV2009">
        <v>5.7653060000000004E-3</v>
      </c>
      <c r="BW2009">
        <f>BV2009*SQRT(AK2009)</f>
        <v>1.1530612000000001E-2</v>
      </c>
      <c r="BX2009">
        <v>3.3509999999999998E-2</v>
      </c>
      <c r="BY2009">
        <v>3.3509999999999998E-2</v>
      </c>
      <c r="BZ2009">
        <v>5.561224E-3</v>
      </c>
      <c r="CA2009">
        <f>BZ2009*SQRT(AL2009)</f>
        <v>1.1122448E-2</v>
      </c>
      <c r="CB2009">
        <v>91</v>
      </c>
      <c r="CD2009">
        <v>-1.109</v>
      </c>
      <c r="CE2009">
        <v>3.0800000000000001E-2</v>
      </c>
    </row>
    <row r="2010" spans="2:84" hidden="1" x14ac:dyDescent="0.2">
      <c r="D2010">
        <v>217</v>
      </c>
      <c r="G2010" t="s">
        <v>43</v>
      </c>
      <c r="H2010" t="s">
        <v>988</v>
      </c>
      <c r="J2010">
        <v>2013</v>
      </c>
      <c r="M2010" t="s">
        <v>67</v>
      </c>
      <c r="T2010" t="s">
        <v>68</v>
      </c>
      <c r="U2010" t="s">
        <v>266</v>
      </c>
      <c r="V2010" t="s">
        <v>437</v>
      </c>
      <c r="AC2010" t="s">
        <v>51</v>
      </c>
      <c r="AF2010" t="s">
        <v>52</v>
      </c>
      <c r="AG2010" t="s">
        <v>54</v>
      </c>
      <c r="AH2010" t="s">
        <v>55</v>
      </c>
      <c r="AK2010">
        <v>4</v>
      </c>
      <c r="AL2010">
        <v>4</v>
      </c>
      <c r="AN2010">
        <v>438</v>
      </c>
      <c r="AU2010">
        <v>868</v>
      </c>
      <c r="BB2010">
        <f>LOG(AU2010)</f>
        <v>2.9385197251764921</v>
      </c>
      <c r="BC2010">
        <v>16</v>
      </c>
      <c r="BF2010">
        <v>16</v>
      </c>
      <c r="BI2010">
        <v>430</v>
      </c>
      <c r="BJ2010">
        <v>0</v>
      </c>
      <c r="BL2010" t="s">
        <v>989</v>
      </c>
      <c r="BM2010" t="s">
        <v>262</v>
      </c>
      <c r="BN2010" t="s">
        <v>81</v>
      </c>
      <c r="BO2010" t="s">
        <v>990</v>
      </c>
      <c r="BP2010" t="s">
        <v>92</v>
      </c>
      <c r="BR2010" t="s">
        <v>63</v>
      </c>
      <c r="BT2010">
        <v>0.10161000000000001</v>
      </c>
      <c r="BU2010">
        <v>0.10161000000000001</v>
      </c>
      <c r="BV2010">
        <v>5.7653060000000004E-3</v>
      </c>
      <c r="BW2010">
        <f>BV2010*SQRT(AK2010)</f>
        <v>1.1530612000000001E-2</v>
      </c>
      <c r="BX2010">
        <v>8.1009999999999999E-2</v>
      </c>
      <c r="BY2010">
        <v>8.1009999999999999E-2</v>
      </c>
      <c r="BZ2010">
        <v>1.8943878000000001E-2</v>
      </c>
      <c r="CA2010">
        <f>BZ2010*SQRT(AL2010)</f>
        <v>3.7887756000000002E-2</v>
      </c>
      <c r="CB2010">
        <v>91</v>
      </c>
      <c r="CD2010">
        <v>-0.22700000000000001</v>
      </c>
      <c r="CE2010">
        <v>5.79E-2</v>
      </c>
    </row>
    <row r="2011" spans="2:84" hidden="1" x14ac:dyDescent="0.2">
      <c r="D2011">
        <v>217</v>
      </c>
      <c r="G2011" t="s">
        <v>43</v>
      </c>
      <c r="H2011" t="s">
        <v>988</v>
      </c>
      <c r="J2011">
        <v>2013</v>
      </c>
      <c r="M2011" t="s">
        <v>67</v>
      </c>
      <c r="T2011" t="s">
        <v>68</v>
      </c>
      <c r="U2011" t="s">
        <v>266</v>
      </c>
      <c r="V2011" t="s">
        <v>437</v>
      </c>
      <c r="AC2011" t="s">
        <v>51</v>
      </c>
      <c r="AF2011" t="s">
        <v>52</v>
      </c>
      <c r="AG2011" t="s">
        <v>52</v>
      </c>
      <c r="AH2011" t="s">
        <v>64</v>
      </c>
      <c r="AK2011">
        <v>4</v>
      </c>
      <c r="AL2011">
        <v>4</v>
      </c>
      <c r="AN2011">
        <v>438</v>
      </c>
      <c r="AU2011">
        <v>1232</v>
      </c>
      <c r="BB2011">
        <f>LOG(AU2011)</f>
        <v>3.0906107078284069</v>
      </c>
      <c r="BC2011">
        <v>16</v>
      </c>
      <c r="BF2011">
        <v>20</v>
      </c>
      <c r="BI2011">
        <v>794</v>
      </c>
      <c r="BJ2011">
        <v>4</v>
      </c>
      <c r="BL2011" t="s">
        <v>989</v>
      </c>
      <c r="BM2011" t="s">
        <v>262</v>
      </c>
      <c r="BN2011" t="s">
        <v>81</v>
      </c>
      <c r="BO2011" t="s">
        <v>990</v>
      </c>
      <c r="BP2011" t="s">
        <v>92</v>
      </c>
      <c r="BR2011" t="s">
        <v>63</v>
      </c>
      <c r="BT2011">
        <v>0.10161000000000001</v>
      </c>
      <c r="BU2011">
        <v>0.10161000000000001</v>
      </c>
      <c r="BV2011">
        <v>5.7653060000000004E-3</v>
      </c>
      <c r="BW2011">
        <f>BV2011*SQRT(AK2011)</f>
        <v>1.1530612000000001E-2</v>
      </c>
      <c r="BX2011">
        <v>8.8929999999999995E-2</v>
      </c>
      <c r="BY2011">
        <v>8.8929999999999995E-2</v>
      </c>
      <c r="BZ2011">
        <v>2.1418367000000001E-2</v>
      </c>
      <c r="CA2011">
        <f>BZ2011*SQRT(AL2011)</f>
        <v>4.2836734000000001E-2</v>
      </c>
      <c r="CB2011">
        <v>91</v>
      </c>
      <c r="CD2011">
        <v>-0.13300000000000001</v>
      </c>
      <c r="CE2011">
        <v>6.1199999999999997E-2</v>
      </c>
    </row>
    <row r="2012" spans="2:84" hidden="1" x14ac:dyDescent="0.2">
      <c r="D2012">
        <v>217</v>
      </c>
      <c r="G2012" t="s">
        <v>43</v>
      </c>
      <c r="H2012" t="s">
        <v>988</v>
      </c>
      <c r="J2012">
        <v>2013</v>
      </c>
      <c r="M2012" t="s">
        <v>67</v>
      </c>
      <c r="T2012" t="s">
        <v>68</v>
      </c>
      <c r="U2012" t="s">
        <v>266</v>
      </c>
      <c r="V2012" t="s">
        <v>437</v>
      </c>
      <c r="AC2012" t="s">
        <v>51</v>
      </c>
      <c r="AF2012" t="s">
        <v>52</v>
      </c>
      <c r="AG2012" t="s">
        <v>52</v>
      </c>
      <c r="AH2012" t="s">
        <v>64</v>
      </c>
      <c r="AK2012">
        <v>4</v>
      </c>
      <c r="AL2012">
        <v>4</v>
      </c>
      <c r="AN2012">
        <v>438</v>
      </c>
      <c r="AU2012">
        <v>837</v>
      </c>
      <c r="BB2012">
        <f>LOG(AU2012)</f>
        <v>2.92272545799326</v>
      </c>
      <c r="BC2012">
        <v>16</v>
      </c>
      <c r="BF2012">
        <v>20</v>
      </c>
      <c r="BI2012">
        <v>399</v>
      </c>
      <c r="BJ2012">
        <v>4</v>
      </c>
      <c r="BL2012" t="s">
        <v>989</v>
      </c>
      <c r="BM2012" t="s">
        <v>262</v>
      </c>
      <c r="BN2012" t="s">
        <v>81</v>
      </c>
      <c r="BO2012" t="s">
        <v>990</v>
      </c>
      <c r="BP2012" t="s">
        <v>92</v>
      </c>
      <c r="BR2012" t="s">
        <v>63</v>
      </c>
      <c r="BT2012">
        <v>0.10161000000000001</v>
      </c>
      <c r="BU2012">
        <v>0.10161000000000001</v>
      </c>
      <c r="BV2012">
        <v>5.7653060000000004E-3</v>
      </c>
      <c r="BW2012">
        <f>BV2012*SQRT(AK2012)</f>
        <v>1.1530612000000001E-2</v>
      </c>
      <c r="BX2012">
        <v>9.5409999999999995E-2</v>
      </c>
      <c r="BY2012">
        <v>9.5409999999999995E-2</v>
      </c>
      <c r="BZ2012">
        <v>1.2765306000000001E-2</v>
      </c>
      <c r="CA2012">
        <f>BZ2012*SQRT(AL2012)</f>
        <v>2.5530612000000001E-2</v>
      </c>
      <c r="CB2012">
        <v>91</v>
      </c>
      <c r="CD2012">
        <v>-6.3E-2</v>
      </c>
      <c r="CE2012">
        <v>2.1100000000000001E-2</v>
      </c>
    </row>
    <row r="2013" spans="2:84" hidden="1" x14ac:dyDescent="0.2">
      <c r="D2013">
        <v>217</v>
      </c>
      <c r="G2013" t="s">
        <v>43</v>
      </c>
      <c r="H2013" t="s">
        <v>988</v>
      </c>
      <c r="J2013">
        <v>2013</v>
      </c>
      <c r="M2013" t="s">
        <v>67</v>
      </c>
      <c r="T2013" t="s">
        <v>68</v>
      </c>
      <c r="U2013" t="s">
        <v>266</v>
      </c>
      <c r="V2013" t="s">
        <v>437</v>
      </c>
      <c r="AC2013" t="s">
        <v>51</v>
      </c>
      <c r="AF2013" t="s">
        <v>52</v>
      </c>
      <c r="AG2013" t="s">
        <v>54</v>
      </c>
      <c r="AH2013" t="s">
        <v>55</v>
      </c>
      <c r="AK2013">
        <v>4</v>
      </c>
      <c r="AL2013">
        <v>4</v>
      </c>
      <c r="AN2013">
        <v>438</v>
      </c>
      <c r="AU2013">
        <v>1308</v>
      </c>
      <c r="BB2013">
        <f>LOG(AU2013)</f>
        <v>3.1166077439882485</v>
      </c>
      <c r="BC2013">
        <v>16</v>
      </c>
      <c r="BF2013">
        <v>16</v>
      </c>
      <c r="BI2013">
        <v>870</v>
      </c>
      <c r="BJ2013">
        <v>0</v>
      </c>
      <c r="BL2013" t="s">
        <v>989</v>
      </c>
      <c r="BM2013" t="s">
        <v>262</v>
      </c>
      <c r="BN2013" t="s">
        <v>81</v>
      </c>
      <c r="BO2013" t="s">
        <v>990</v>
      </c>
      <c r="BP2013" t="s">
        <v>92</v>
      </c>
      <c r="BR2013" t="s">
        <v>63</v>
      </c>
      <c r="BT2013">
        <v>0.10161000000000001</v>
      </c>
      <c r="BU2013">
        <v>0.10161000000000001</v>
      </c>
      <c r="BV2013">
        <v>5.7653060000000004E-3</v>
      </c>
      <c r="BW2013">
        <f>BV2013*SQRT(AK2013)</f>
        <v>1.1530612000000001E-2</v>
      </c>
      <c r="BX2013">
        <v>0.10642</v>
      </c>
      <c r="BY2013">
        <v>0.10642</v>
      </c>
      <c r="BZ2013">
        <v>2.1005102000000001E-2</v>
      </c>
      <c r="CA2013">
        <f>BZ2013*SQRT(AL2013)</f>
        <v>4.2010204000000002E-2</v>
      </c>
      <c r="CB2013">
        <v>91</v>
      </c>
      <c r="CD2013">
        <v>4.5999999999999999E-2</v>
      </c>
      <c r="CE2013">
        <v>4.2200000000000001E-2</v>
      </c>
    </row>
    <row r="2014" spans="2:84" hidden="1" x14ac:dyDescent="0.2">
      <c r="D2014">
        <v>217</v>
      </c>
      <c r="G2014" t="s">
        <v>43</v>
      </c>
      <c r="H2014" t="s">
        <v>988</v>
      </c>
      <c r="J2014">
        <v>2013</v>
      </c>
      <c r="M2014" t="s">
        <v>67</v>
      </c>
      <c r="T2014" t="s">
        <v>68</v>
      </c>
      <c r="U2014" t="s">
        <v>266</v>
      </c>
      <c r="V2014" t="s">
        <v>437</v>
      </c>
      <c r="AC2014" t="s">
        <v>51</v>
      </c>
      <c r="AF2014" t="s">
        <v>54</v>
      </c>
      <c r="AG2014" t="s">
        <v>52</v>
      </c>
      <c r="AH2014" t="s">
        <v>65</v>
      </c>
      <c r="AK2014">
        <v>4</v>
      </c>
      <c r="AL2014">
        <v>4</v>
      </c>
      <c r="AN2014">
        <v>438</v>
      </c>
      <c r="AU2014">
        <v>308</v>
      </c>
      <c r="BB2014">
        <f>LOG(AU2014)</f>
        <v>2.4885507165004443</v>
      </c>
      <c r="BC2014">
        <v>16</v>
      </c>
      <c r="BF2014">
        <v>20</v>
      </c>
      <c r="BI2014">
        <v>-130</v>
      </c>
      <c r="BJ2014">
        <v>4</v>
      </c>
      <c r="BL2014" t="s">
        <v>989</v>
      </c>
      <c r="BM2014" t="s">
        <v>262</v>
      </c>
      <c r="BN2014" t="s">
        <v>81</v>
      </c>
      <c r="BO2014" t="s">
        <v>990</v>
      </c>
      <c r="BP2014" t="s">
        <v>92</v>
      </c>
      <c r="BR2014" t="s">
        <v>63</v>
      </c>
      <c r="BT2014">
        <v>0.10161000000000001</v>
      </c>
      <c r="BU2014">
        <v>0.10161000000000001</v>
      </c>
      <c r="BV2014">
        <v>5.7653060000000004E-3</v>
      </c>
      <c r="BW2014">
        <f>BV2014*SQRT(AK2014)</f>
        <v>1.1530612000000001E-2</v>
      </c>
      <c r="BX2014">
        <v>0.12852</v>
      </c>
      <c r="BY2014">
        <v>0.12852</v>
      </c>
      <c r="BZ2014">
        <v>1.7295918E-2</v>
      </c>
      <c r="CA2014">
        <f>BZ2014*SQRT(AL2014)</f>
        <v>3.4591836000000001E-2</v>
      </c>
      <c r="CB2014">
        <v>91</v>
      </c>
      <c r="CD2014">
        <v>0.23499999999999999</v>
      </c>
      <c r="CE2014">
        <v>2.1299999999999999E-2</v>
      </c>
    </row>
    <row r="2015" spans="2:84" hidden="1" x14ac:dyDescent="0.2">
      <c r="D2015">
        <v>227</v>
      </c>
      <c r="G2015" t="s">
        <v>43</v>
      </c>
      <c r="H2015" t="s">
        <v>996</v>
      </c>
      <c r="J2015">
        <v>2019</v>
      </c>
      <c r="M2015" t="s">
        <v>997</v>
      </c>
      <c r="T2015" t="s">
        <v>131</v>
      </c>
      <c r="U2015" t="s">
        <v>745</v>
      </c>
      <c r="V2015" t="s">
        <v>746</v>
      </c>
      <c r="AC2015" t="s">
        <v>51</v>
      </c>
      <c r="AF2015" t="s">
        <v>52</v>
      </c>
      <c r="AG2015" t="s">
        <v>52</v>
      </c>
      <c r="AH2015" t="s">
        <v>64</v>
      </c>
      <c r="AK2015">
        <v>13</v>
      </c>
      <c r="AL2015">
        <v>11</v>
      </c>
      <c r="AN2015">
        <v>835</v>
      </c>
      <c r="AU2015">
        <v>8141</v>
      </c>
      <c r="BB2015">
        <f>LOG(AU2015)</f>
        <v>3.9106777547427054</v>
      </c>
      <c r="BC2015">
        <v>25.6</v>
      </c>
      <c r="BF2015">
        <v>30.7</v>
      </c>
      <c r="BI2015">
        <v>7306</v>
      </c>
      <c r="BJ2015">
        <v>5.0999999999999996</v>
      </c>
      <c r="BL2015" t="s">
        <v>58</v>
      </c>
      <c r="BM2015" t="s">
        <v>59</v>
      </c>
      <c r="BN2015" t="s">
        <v>60</v>
      </c>
      <c r="BO2015" t="s">
        <v>998</v>
      </c>
      <c r="BP2015" t="s">
        <v>62</v>
      </c>
      <c r="BR2015" t="s">
        <v>63</v>
      </c>
      <c r="BT2015">
        <v>0.17</v>
      </c>
      <c r="BU2015">
        <v>0.17299999999999999</v>
      </c>
      <c r="BV2015">
        <v>0.02</v>
      </c>
      <c r="BW2015">
        <f>BV2015*SQRT(AK2015)</f>
        <v>7.211102550927978E-2</v>
      </c>
      <c r="BX2015">
        <v>0.17</v>
      </c>
      <c r="BY2015">
        <v>0.17199999999999999</v>
      </c>
      <c r="BZ2015">
        <v>0.01</v>
      </c>
      <c r="CA2015">
        <f>BZ2015*SQRT(AL2015)</f>
        <v>3.3166247903553998E-2</v>
      </c>
      <c r="CB2015">
        <v>30</v>
      </c>
      <c r="CD2015">
        <v>-6.0000000000000001E-3</v>
      </c>
      <c r="CE2015">
        <v>2.1499999999999998E-2</v>
      </c>
    </row>
    <row r="2016" spans="2:84" hidden="1" x14ac:dyDescent="0.2">
      <c r="D2016">
        <v>227</v>
      </c>
      <c r="G2016" t="s">
        <v>43</v>
      </c>
      <c r="H2016" t="s">
        <v>996</v>
      </c>
      <c r="J2016">
        <v>2019</v>
      </c>
      <c r="M2016" t="s">
        <v>997</v>
      </c>
      <c r="T2016" t="s">
        <v>131</v>
      </c>
      <c r="U2016" t="s">
        <v>745</v>
      </c>
      <c r="V2016" t="s">
        <v>746</v>
      </c>
      <c r="AC2016" t="s">
        <v>51</v>
      </c>
      <c r="AF2016" t="s">
        <v>52</v>
      </c>
      <c r="AG2016" t="s">
        <v>54</v>
      </c>
      <c r="AH2016" t="s">
        <v>55</v>
      </c>
      <c r="AK2016">
        <v>13</v>
      </c>
      <c r="AL2016">
        <v>9</v>
      </c>
      <c r="AN2016">
        <v>835</v>
      </c>
      <c r="AU2016">
        <v>7690</v>
      </c>
      <c r="BB2016">
        <f>LOG(AU2016)</f>
        <v>3.885926339801431</v>
      </c>
      <c r="BC2016">
        <v>25.6</v>
      </c>
      <c r="BF2016">
        <v>26</v>
      </c>
      <c r="BI2016">
        <v>6855</v>
      </c>
      <c r="BJ2016">
        <v>0.4</v>
      </c>
      <c r="BL2016" t="s">
        <v>58</v>
      </c>
      <c r="BM2016" t="s">
        <v>59</v>
      </c>
      <c r="BN2016" t="s">
        <v>60</v>
      </c>
      <c r="BO2016" t="s">
        <v>998</v>
      </c>
      <c r="BP2016" t="s">
        <v>62</v>
      </c>
      <c r="BR2016" t="s">
        <v>63</v>
      </c>
      <c r="BT2016">
        <v>0.17</v>
      </c>
      <c r="BU2016">
        <v>0.17299999999999999</v>
      </c>
      <c r="BV2016">
        <v>0.02</v>
      </c>
      <c r="BW2016">
        <f>BV2016*SQRT(AK2016)</f>
        <v>7.211102550927978E-2</v>
      </c>
      <c r="BX2016">
        <v>0.2</v>
      </c>
      <c r="BY2016">
        <v>0.20100000000000001</v>
      </c>
      <c r="BZ2016">
        <v>0.02</v>
      </c>
      <c r="CA2016">
        <f>BZ2016*SQRT(AL2016)</f>
        <v>0.06</v>
      </c>
      <c r="CB2016">
        <v>30</v>
      </c>
      <c r="CD2016">
        <v>0.15</v>
      </c>
      <c r="CE2016">
        <v>2.53E-2</v>
      </c>
    </row>
    <row r="2017" spans="2:84" hidden="1" x14ac:dyDescent="0.2">
      <c r="D2017">
        <v>227</v>
      </c>
      <c r="G2017" t="s">
        <v>43</v>
      </c>
      <c r="H2017" t="s">
        <v>996</v>
      </c>
      <c r="J2017">
        <v>2019</v>
      </c>
      <c r="M2017" t="s">
        <v>997</v>
      </c>
      <c r="T2017" t="s">
        <v>131</v>
      </c>
      <c r="U2017" t="s">
        <v>745</v>
      </c>
      <c r="V2017" t="s">
        <v>746</v>
      </c>
      <c r="AC2017" t="s">
        <v>51</v>
      </c>
      <c r="AF2017" t="s">
        <v>54</v>
      </c>
      <c r="AG2017" t="s">
        <v>52</v>
      </c>
      <c r="AH2017" t="s">
        <v>65</v>
      </c>
      <c r="AK2017">
        <v>13</v>
      </c>
      <c r="AL2017">
        <v>13</v>
      </c>
      <c r="AN2017">
        <v>835</v>
      </c>
      <c r="AU2017">
        <v>821</v>
      </c>
      <c r="BB2017">
        <f>LOG(AU2017)</f>
        <v>2.9143431571194407</v>
      </c>
      <c r="BC2017">
        <v>25.6</v>
      </c>
      <c r="BF2017">
        <v>30.5</v>
      </c>
      <c r="BI2017">
        <v>-14</v>
      </c>
      <c r="BJ2017">
        <v>4.9000000000000004</v>
      </c>
      <c r="BL2017" t="s">
        <v>58</v>
      </c>
      <c r="BM2017" t="s">
        <v>59</v>
      </c>
      <c r="BN2017" t="s">
        <v>60</v>
      </c>
      <c r="BO2017" t="s">
        <v>998</v>
      </c>
      <c r="BP2017" t="s">
        <v>62</v>
      </c>
      <c r="BR2017" t="s">
        <v>63</v>
      </c>
      <c r="BT2017">
        <v>0.17</v>
      </c>
      <c r="BU2017">
        <v>0.17299999999999999</v>
      </c>
      <c r="BV2017">
        <v>0.02</v>
      </c>
      <c r="BW2017">
        <f>BV2017*SQRT(AK2017)</f>
        <v>7.211102550927978E-2</v>
      </c>
      <c r="BX2017">
        <v>0.26</v>
      </c>
      <c r="BY2017">
        <v>0.25900000000000001</v>
      </c>
      <c r="BZ2017">
        <v>0.05</v>
      </c>
      <c r="CA2017">
        <f>BZ2017*SQRT(AL2017)</f>
        <v>0.18027756377319948</v>
      </c>
      <c r="CB2017">
        <v>30</v>
      </c>
      <c r="CD2017">
        <v>0.40400000000000003</v>
      </c>
      <c r="CE2017">
        <v>5.04E-2</v>
      </c>
    </row>
    <row r="2018" spans="2:84" hidden="1" x14ac:dyDescent="0.2">
      <c r="D2018">
        <v>220</v>
      </c>
      <c r="G2018" t="s">
        <v>43</v>
      </c>
      <c r="H2018" t="s">
        <v>999</v>
      </c>
      <c r="J2018">
        <v>2016</v>
      </c>
      <c r="M2018" t="s">
        <v>1000</v>
      </c>
      <c r="T2018" t="s">
        <v>136</v>
      </c>
      <c r="U2018" t="s">
        <v>321</v>
      </c>
      <c r="V2018" t="s">
        <v>322</v>
      </c>
      <c r="AC2018" t="s">
        <v>51</v>
      </c>
      <c r="AF2018" t="s">
        <v>54</v>
      </c>
      <c r="AG2018" t="s">
        <v>52</v>
      </c>
      <c r="AH2018" t="s">
        <v>65</v>
      </c>
      <c r="AK2018">
        <v>12</v>
      </c>
      <c r="AL2018">
        <v>12</v>
      </c>
      <c r="AN2018">
        <v>386</v>
      </c>
      <c r="AU2018">
        <v>402</v>
      </c>
      <c r="BB2018">
        <f>LOG(AU2018)</f>
        <v>2.6042260530844699</v>
      </c>
      <c r="BC2018">
        <v>27</v>
      </c>
      <c r="BF2018">
        <v>29.9</v>
      </c>
      <c r="BI2018">
        <v>16</v>
      </c>
      <c r="BJ2018">
        <v>2.9</v>
      </c>
      <c r="BK2018" t="s">
        <v>1001</v>
      </c>
      <c r="BL2018" t="s">
        <v>1002</v>
      </c>
      <c r="BM2018" t="s">
        <v>218</v>
      </c>
      <c r="BN2018" t="s">
        <v>60</v>
      </c>
      <c r="BO2018" t="s">
        <v>1003</v>
      </c>
      <c r="BP2018" t="s">
        <v>194</v>
      </c>
      <c r="BR2018" t="s">
        <v>63</v>
      </c>
      <c r="BT2018">
        <v>0.254</v>
      </c>
      <c r="BU2018">
        <v>0.254</v>
      </c>
      <c r="BV2018">
        <v>0.03</v>
      </c>
      <c r="BW2018">
        <f>BV2018*SQRT(AK2018)</f>
        <v>0.10392304845413262</v>
      </c>
      <c r="BX2018">
        <v>0.27379999999999999</v>
      </c>
      <c r="BY2018">
        <v>0.27379999999999999</v>
      </c>
      <c r="BZ2018">
        <v>0.03</v>
      </c>
      <c r="CA2018">
        <f>BZ2018*SQRT(AL2018)</f>
        <v>0.10392304845413262</v>
      </c>
      <c r="CB2018" t="s">
        <v>56</v>
      </c>
      <c r="CD2018">
        <v>7.4999999999999997E-2</v>
      </c>
      <c r="CE2018">
        <v>2.41E-2</v>
      </c>
    </row>
    <row r="2019" spans="2:84" hidden="1" x14ac:dyDescent="0.2">
      <c r="D2019">
        <v>220</v>
      </c>
      <c r="G2019" t="s">
        <v>43</v>
      </c>
      <c r="H2019" t="s">
        <v>999</v>
      </c>
      <c r="J2019">
        <v>2016</v>
      </c>
      <c r="M2019" t="s">
        <v>1000</v>
      </c>
      <c r="T2019" t="s">
        <v>136</v>
      </c>
      <c r="U2019" t="s">
        <v>321</v>
      </c>
      <c r="V2019" t="s">
        <v>322</v>
      </c>
      <c r="AC2019" t="s">
        <v>51</v>
      </c>
      <c r="AF2019" t="s">
        <v>52</v>
      </c>
      <c r="AG2019" t="s">
        <v>54</v>
      </c>
      <c r="AH2019" t="s">
        <v>55</v>
      </c>
      <c r="AK2019">
        <v>12</v>
      </c>
      <c r="AL2019">
        <v>12</v>
      </c>
      <c r="AN2019">
        <v>386</v>
      </c>
      <c r="AU2019">
        <v>1248</v>
      </c>
      <c r="BB2019">
        <f>LOG(AU2019)</f>
        <v>3.0962145853464054</v>
      </c>
      <c r="BC2019">
        <v>27</v>
      </c>
      <c r="BF2019">
        <v>26.9</v>
      </c>
      <c r="BI2019">
        <v>862</v>
      </c>
      <c r="BJ2019">
        <v>-0.1</v>
      </c>
      <c r="BK2019" t="s">
        <v>1001</v>
      </c>
      <c r="BL2019" t="s">
        <v>1002</v>
      </c>
      <c r="BM2019" t="s">
        <v>218</v>
      </c>
      <c r="BN2019" t="s">
        <v>60</v>
      </c>
      <c r="BO2019" t="s">
        <v>1003</v>
      </c>
      <c r="BP2019" t="s">
        <v>194</v>
      </c>
      <c r="BR2019" t="s">
        <v>63</v>
      </c>
      <c r="BT2019">
        <v>0.254</v>
      </c>
      <c r="BU2019">
        <v>0.254</v>
      </c>
      <c r="BV2019">
        <v>0.03</v>
      </c>
      <c r="BW2019">
        <f>BV2019*SQRT(AK2019)</f>
        <v>0.10392304845413262</v>
      </c>
      <c r="BX2019">
        <v>0.27739999999999998</v>
      </c>
      <c r="BY2019">
        <v>0.27739999999999998</v>
      </c>
      <c r="BZ2019">
        <v>0.02</v>
      </c>
      <c r="CA2019">
        <f>BZ2019*SQRT(AL2019)</f>
        <v>6.9282032302755092E-2</v>
      </c>
      <c r="CB2019" t="s">
        <v>56</v>
      </c>
      <c r="CD2019">
        <v>8.7999999999999995E-2</v>
      </c>
      <c r="CE2019">
        <v>1.8200000000000001E-2</v>
      </c>
    </row>
    <row r="2020" spans="2:84" hidden="1" x14ac:dyDescent="0.2">
      <c r="D2020">
        <v>220</v>
      </c>
      <c r="G2020" t="s">
        <v>43</v>
      </c>
      <c r="H2020" t="s">
        <v>999</v>
      </c>
      <c r="J2020">
        <v>2016</v>
      </c>
      <c r="M2020" t="s">
        <v>1000</v>
      </c>
      <c r="T2020" t="s">
        <v>136</v>
      </c>
      <c r="U2020" t="s">
        <v>321</v>
      </c>
      <c r="V2020" t="s">
        <v>322</v>
      </c>
      <c r="AC2020" t="s">
        <v>51</v>
      </c>
      <c r="AF2020" t="s">
        <v>52</v>
      </c>
      <c r="AG2020" t="s">
        <v>52</v>
      </c>
      <c r="AH2020" t="s">
        <v>64</v>
      </c>
      <c r="AK2020">
        <v>12</v>
      </c>
      <c r="AL2020">
        <v>12</v>
      </c>
      <c r="AN2020">
        <v>386</v>
      </c>
      <c r="AU2020">
        <v>1222</v>
      </c>
      <c r="BB2020">
        <f>LOG(AU2020)</f>
        <v>3.0870712059065353</v>
      </c>
      <c r="BC2020">
        <v>27</v>
      </c>
      <c r="BF2020">
        <v>29.8</v>
      </c>
      <c r="BI2020">
        <v>836</v>
      </c>
      <c r="BJ2020">
        <v>2.8</v>
      </c>
      <c r="BK2020" t="s">
        <v>1001</v>
      </c>
      <c r="BL2020" t="s">
        <v>1002</v>
      </c>
      <c r="BM2020" t="s">
        <v>218</v>
      </c>
      <c r="BN2020" t="s">
        <v>60</v>
      </c>
      <c r="BO2020" t="s">
        <v>1003</v>
      </c>
      <c r="BP2020" t="s">
        <v>194</v>
      </c>
      <c r="BR2020" t="s">
        <v>63</v>
      </c>
      <c r="BT2020">
        <v>0.254</v>
      </c>
      <c r="BU2020">
        <v>0.254</v>
      </c>
      <c r="BV2020">
        <v>0.03</v>
      </c>
      <c r="BW2020">
        <f>BV2020*SQRT(AK2020)</f>
        <v>0.10392304845413262</v>
      </c>
      <c r="BX2020">
        <v>0.33600000000000002</v>
      </c>
      <c r="BY2020">
        <v>0.33600000000000002</v>
      </c>
      <c r="BZ2020">
        <v>0.06</v>
      </c>
      <c r="CA2020">
        <f>BZ2020*SQRT(AL2020)</f>
        <v>0.20784609690826525</v>
      </c>
      <c r="CB2020" t="s">
        <v>56</v>
      </c>
      <c r="CD2020">
        <v>0.28000000000000003</v>
      </c>
      <c r="CE2020">
        <v>4.2500000000000003E-2</v>
      </c>
    </row>
    <row r="2021" spans="2:84" hidden="1" x14ac:dyDescent="0.2">
      <c r="D2021">
        <v>213</v>
      </c>
      <c r="G2021" t="s">
        <v>43</v>
      </c>
      <c r="H2021" t="s">
        <v>1004</v>
      </c>
      <c r="J2021">
        <v>2010</v>
      </c>
      <c r="M2021" t="s">
        <v>67</v>
      </c>
      <c r="T2021" t="s">
        <v>46</v>
      </c>
      <c r="U2021" t="s">
        <v>1005</v>
      </c>
      <c r="V2021" t="s">
        <v>1006</v>
      </c>
      <c r="AC2021" t="s">
        <v>51</v>
      </c>
      <c r="AF2021" t="s">
        <v>52</v>
      </c>
      <c r="AG2021" t="s">
        <v>54</v>
      </c>
      <c r="AH2021" t="s">
        <v>55</v>
      </c>
      <c r="AK2021">
        <v>6</v>
      </c>
      <c r="AL2021">
        <v>6</v>
      </c>
      <c r="AN2021">
        <v>553</v>
      </c>
      <c r="AU2021">
        <v>1400</v>
      </c>
      <c r="BB2021">
        <f>LOG(AU2021)</f>
        <v>3.1461280356782382</v>
      </c>
      <c r="BC2021">
        <v>10.4</v>
      </c>
      <c r="BF2021">
        <v>10.8</v>
      </c>
      <c r="BI2021">
        <v>847</v>
      </c>
      <c r="BJ2021">
        <v>0.4</v>
      </c>
      <c r="BK2021" t="s">
        <v>56</v>
      </c>
      <c r="BL2021" t="s">
        <v>58</v>
      </c>
      <c r="BM2021" t="s">
        <v>59</v>
      </c>
      <c r="BN2021" t="s">
        <v>60</v>
      </c>
      <c r="BO2021" t="s">
        <v>998</v>
      </c>
      <c r="BP2021" t="s">
        <v>62</v>
      </c>
      <c r="BR2021" t="s">
        <v>63</v>
      </c>
      <c r="BT2021">
        <v>0.22</v>
      </c>
      <c r="BU2021">
        <v>0.223</v>
      </c>
      <c r="BV2021">
        <v>0.02</v>
      </c>
      <c r="BW2021">
        <f>BV2021*SQRT(AK2021)</f>
        <v>4.8989794855663557E-2</v>
      </c>
      <c r="BX2021">
        <v>0.37</v>
      </c>
      <c r="BY2021">
        <v>0.37</v>
      </c>
      <c r="BZ2021">
        <v>0.05</v>
      </c>
      <c r="CA2021">
        <f>BZ2021*SQRT(AL2021)</f>
        <v>0.1224744871391589</v>
      </c>
      <c r="CB2021">
        <v>40</v>
      </c>
      <c r="CD2021">
        <v>0.50600000000000001</v>
      </c>
      <c r="CE2021">
        <v>2.29E-2</v>
      </c>
    </row>
    <row r="2022" spans="2:84" hidden="1" x14ac:dyDescent="0.2">
      <c r="D2022">
        <v>234</v>
      </c>
      <c r="G2022" t="s">
        <v>43</v>
      </c>
      <c r="H2022" t="s">
        <v>1007</v>
      </c>
      <c r="J2022">
        <v>2018</v>
      </c>
      <c r="M2022" t="s">
        <v>802</v>
      </c>
      <c r="T2022" t="s">
        <v>103</v>
      </c>
      <c r="V2022" t="s">
        <v>1008</v>
      </c>
      <c r="AC2022" t="s">
        <v>51</v>
      </c>
      <c r="AF2022" t="s">
        <v>54</v>
      </c>
      <c r="AG2022" t="s">
        <v>52</v>
      </c>
      <c r="AH2022" t="s">
        <v>65</v>
      </c>
      <c r="AK2022">
        <v>10</v>
      </c>
      <c r="AL2022">
        <v>10</v>
      </c>
      <c r="AN2022">
        <v>667</v>
      </c>
      <c r="AU2022">
        <v>782</v>
      </c>
      <c r="BB2022">
        <f>LOG(AU2022)</f>
        <v>2.893206753059848</v>
      </c>
      <c r="BC2022">
        <v>25.8</v>
      </c>
      <c r="BF2022">
        <v>30.3</v>
      </c>
      <c r="BI2022">
        <v>115</v>
      </c>
      <c r="BJ2022">
        <v>4.5</v>
      </c>
      <c r="BL2022" t="s">
        <v>1009</v>
      </c>
      <c r="BM2022" t="s">
        <v>232</v>
      </c>
      <c r="BN2022" t="s">
        <v>81</v>
      </c>
      <c r="BO2022" t="s">
        <v>1010</v>
      </c>
      <c r="BP2022" t="s">
        <v>234</v>
      </c>
      <c r="BR2022" t="s">
        <v>63</v>
      </c>
      <c r="BT2022">
        <v>1.117749712</v>
      </c>
      <c r="BU2022">
        <v>1.11775</v>
      </c>
      <c r="BV2022">
        <v>0.239064889</v>
      </c>
      <c r="BW2022">
        <f>BV2022*SQRT(AK2022)</f>
        <v>0.75598955781533339</v>
      </c>
      <c r="BX2022">
        <v>0.386838825</v>
      </c>
      <c r="BY2022">
        <v>0.38683879999999998</v>
      </c>
      <c r="BZ2022">
        <v>0.207192079</v>
      </c>
      <c r="CA2022">
        <f>BZ2022*SQRT(AL2022)</f>
        <v>0.65519888278554206</v>
      </c>
      <c r="CB2022">
        <v>2</v>
      </c>
      <c r="CD2022">
        <v>-1.0609999999999999</v>
      </c>
      <c r="CE2022">
        <v>0.33260000000000001</v>
      </c>
    </row>
    <row r="2023" spans="2:84" hidden="1" x14ac:dyDescent="0.2">
      <c r="D2023">
        <v>213</v>
      </c>
      <c r="G2023" t="s">
        <v>43</v>
      </c>
      <c r="H2023" t="s">
        <v>1004</v>
      </c>
      <c r="J2023">
        <v>2010</v>
      </c>
      <c r="M2023" t="s">
        <v>67</v>
      </c>
      <c r="T2023" t="s">
        <v>46</v>
      </c>
      <c r="U2023" t="s">
        <v>1005</v>
      </c>
      <c r="V2023" t="s">
        <v>1006</v>
      </c>
      <c r="AC2023" t="s">
        <v>51</v>
      </c>
      <c r="AF2023" t="s">
        <v>52</v>
      </c>
      <c r="AG2023" t="s">
        <v>54</v>
      </c>
      <c r="AH2023" t="s">
        <v>55</v>
      </c>
      <c r="AK2023">
        <v>6</v>
      </c>
      <c r="AL2023">
        <v>6</v>
      </c>
      <c r="AN2023">
        <v>553</v>
      </c>
      <c r="AU2023">
        <v>2546</v>
      </c>
      <c r="BB2023">
        <f>LOG(AU2023)</f>
        <v>3.4058583993176366</v>
      </c>
      <c r="BC2023">
        <v>10.4</v>
      </c>
      <c r="BF2023">
        <v>10.3</v>
      </c>
      <c r="BI2023">
        <v>1993</v>
      </c>
      <c r="BJ2023">
        <v>-0.1</v>
      </c>
      <c r="BK2023" t="s">
        <v>56</v>
      </c>
      <c r="BL2023" t="s">
        <v>58</v>
      </c>
      <c r="BM2023" t="s">
        <v>59</v>
      </c>
      <c r="BN2023" t="s">
        <v>60</v>
      </c>
      <c r="BO2023" t="s">
        <v>998</v>
      </c>
      <c r="BP2023" t="s">
        <v>62</v>
      </c>
      <c r="BR2023" t="s">
        <v>63</v>
      </c>
      <c r="BT2023">
        <v>0.22</v>
      </c>
      <c r="BU2023">
        <v>0.223</v>
      </c>
      <c r="BV2023">
        <v>0.02</v>
      </c>
      <c r="BW2023">
        <f>BV2023*SQRT(AK2023)</f>
        <v>4.8989794855663557E-2</v>
      </c>
      <c r="BX2023">
        <v>0.4</v>
      </c>
      <c r="BY2023">
        <v>0.39600000000000002</v>
      </c>
      <c r="BZ2023">
        <v>0.06</v>
      </c>
      <c r="CA2023">
        <f>BZ2023*SQRT(AL2023)</f>
        <v>0.14696938456699066</v>
      </c>
      <c r="CB2023">
        <v>40</v>
      </c>
      <c r="CD2023">
        <v>0.57399999999999995</v>
      </c>
      <c r="CE2023">
        <v>3.2099999999999997E-2</v>
      </c>
    </row>
    <row r="2024" spans="2:84" hidden="1" x14ac:dyDescent="0.2">
      <c r="D2024">
        <v>242</v>
      </c>
      <c r="G2024" t="s">
        <v>43</v>
      </c>
      <c r="H2024" t="s">
        <v>1011</v>
      </c>
      <c r="J2024">
        <v>2021</v>
      </c>
      <c r="M2024" t="s">
        <v>872</v>
      </c>
      <c r="T2024" t="s">
        <v>68</v>
      </c>
      <c r="U2024" t="s">
        <v>1012</v>
      </c>
      <c r="V2024" t="s">
        <v>1013</v>
      </c>
      <c r="AC2024" t="s">
        <v>51</v>
      </c>
      <c r="AF2024" t="s">
        <v>52</v>
      </c>
      <c r="AG2024" t="s">
        <v>52</v>
      </c>
      <c r="AH2024" t="s">
        <v>64</v>
      </c>
      <c r="AK2024">
        <v>4</v>
      </c>
      <c r="AL2024">
        <v>4</v>
      </c>
      <c r="AN2024">
        <v>456</v>
      </c>
      <c r="AU2024">
        <v>1048</v>
      </c>
      <c r="BB2024">
        <f>LOG(AU2024)</f>
        <v>3.0203612826477078</v>
      </c>
      <c r="BC2024">
        <v>21</v>
      </c>
      <c r="BF2024">
        <v>24</v>
      </c>
      <c r="BI2024">
        <v>592</v>
      </c>
      <c r="BJ2024">
        <v>3</v>
      </c>
      <c r="BL2024" t="s">
        <v>1014</v>
      </c>
      <c r="BM2024" t="s">
        <v>365</v>
      </c>
      <c r="BN2024" t="s">
        <v>81</v>
      </c>
      <c r="BO2024" t="s">
        <v>366</v>
      </c>
      <c r="BP2024" t="s">
        <v>92</v>
      </c>
      <c r="BR2024" t="s">
        <v>63</v>
      </c>
      <c r="BT2024">
        <v>0.50314136099999995</v>
      </c>
      <c r="BU2024">
        <v>0.50314099999999995</v>
      </c>
      <c r="BV2024">
        <v>0.02</v>
      </c>
      <c r="BW2024">
        <f>BV2024*SQRT(AK2024)</f>
        <v>0.04</v>
      </c>
      <c r="BX2024">
        <v>0.483246073</v>
      </c>
      <c r="BY2024">
        <v>0.48324610000000001</v>
      </c>
      <c r="BZ2024">
        <v>0.01</v>
      </c>
      <c r="CA2024">
        <f>BZ2024*SQRT(AL2024)</f>
        <v>0.02</v>
      </c>
      <c r="CB2024">
        <v>56</v>
      </c>
      <c r="CD2024">
        <v>-0.04</v>
      </c>
      <c r="CE2024">
        <v>1.6999999999999999E-3</v>
      </c>
    </row>
    <row r="2025" spans="2:84" hidden="1" x14ac:dyDescent="0.2">
      <c r="D2025">
        <v>242</v>
      </c>
      <c r="G2025" t="s">
        <v>43</v>
      </c>
      <c r="H2025" t="s">
        <v>1011</v>
      </c>
      <c r="J2025">
        <v>2021</v>
      </c>
      <c r="M2025" t="s">
        <v>872</v>
      </c>
      <c r="T2025" t="s">
        <v>68</v>
      </c>
      <c r="U2025" t="s">
        <v>1012</v>
      </c>
      <c r="V2025" t="s">
        <v>1013</v>
      </c>
      <c r="AC2025" t="s">
        <v>51</v>
      </c>
      <c r="AF2025" t="s">
        <v>52</v>
      </c>
      <c r="AG2025" t="s">
        <v>54</v>
      </c>
      <c r="AH2025" t="s">
        <v>55</v>
      </c>
      <c r="AK2025">
        <v>4</v>
      </c>
      <c r="AL2025">
        <v>4</v>
      </c>
      <c r="AN2025">
        <v>456</v>
      </c>
      <c r="AU2025">
        <v>943</v>
      </c>
      <c r="BB2025">
        <f>LOG(AU2025)</f>
        <v>2.9745116927373285</v>
      </c>
      <c r="BC2025">
        <v>21</v>
      </c>
      <c r="BF2025">
        <v>21</v>
      </c>
      <c r="BI2025">
        <v>487</v>
      </c>
      <c r="BJ2025">
        <v>0</v>
      </c>
      <c r="BL2025" t="s">
        <v>1014</v>
      </c>
      <c r="BM2025" t="s">
        <v>365</v>
      </c>
      <c r="BN2025" t="s">
        <v>81</v>
      </c>
      <c r="BO2025" t="s">
        <v>366</v>
      </c>
      <c r="BP2025" t="s">
        <v>92</v>
      </c>
      <c r="BR2025" t="s">
        <v>63</v>
      </c>
      <c r="BT2025">
        <v>0.50314136099999995</v>
      </c>
      <c r="BU2025">
        <v>0.50314099999999995</v>
      </c>
      <c r="BV2025">
        <v>0.02</v>
      </c>
      <c r="BW2025">
        <f>BV2025*SQRT(AK2025)</f>
        <v>0.04</v>
      </c>
      <c r="BX2025">
        <v>0.50418848199999999</v>
      </c>
      <c r="BY2025">
        <v>0.50418850000000004</v>
      </c>
      <c r="BZ2025">
        <v>0.01</v>
      </c>
      <c r="CA2025">
        <f>BZ2025*SQRT(AL2025)</f>
        <v>0.02</v>
      </c>
      <c r="CB2025">
        <v>56</v>
      </c>
      <c r="CD2025">
        <v>2E-3</v>
      </c>
      <c r="CE2025">
        <v>1.6999999999999999E-3</v>
      </c>
    </row>
    <row r="2026" spans="2:84" hidden="1" x14ac:dyDescent="0.2">
      <c r="D2026">
        <v>242</v>
      </c>
      <c r="G2026" t="s">
        <v>43</v>
      </c>
      <c r="H2026" t="s">
        <v>1011</v>
      </c>
      <c r="J2026">
        <v>2021</v>
      </c>
      <c r="M2026" t="s">
        <v>872</v>
      </c>
      <c r="T2026" t="s">
        <v>68</v>
      </c>
      <c r="U2026" t="s">
        <v>1012</v>
      </c>
      <c r="V2026" t="s">
        <v>1013</v>
      </c>
      <c r="AC2026" t="s">
        <v>51</v>
      </c>
      <c r="AF2026" t="s">
        <v>54</v>
      </c>
      <c r="AG2026" t="s">
        <v>52</v>
      </c>
      <c r="AH2026" t="s">
        <v>65</v>
      </c>
      <c r="AK2026">
        <v>4</v>
      </c>
      <c r="AL2026">
        <v>4</v>
      </c>
      <c r="AN2026">
        <v>456</v>
      </c>
      <c r="AU2026">
        <v>458</v>
      </c>
      <c r="BB2026">
        <f>LOG(AU2026)</f>
        <v>2.6608654780038692</v>
      </c>
      <c r="BC2026">
        <v>21</v>
      </c>
      <c r="BF2026">
        <v>24</v>
      </c>
      <c r="BI2026">
        <v>2</v>
      </c>
      <c r="BJ2026">
        <v>3</v>
      </c>
      <c r="BL2026" t="s">
        <v>1014</v>
      </c>
      <c r="BM2026" t="s">
        <v>365</v>
      </c>
      <c r="BN2026" t="s">
        <v>81</v>
      </c>
      <c r="BO2026" t="s">
        <v>366</v>
      </c>
      <c r="BP2026" t="s">
        <v>92</v>
      </c>
      <c r="BR2026" t="s">
        <v>63</v>
      </c>
      <c r="BT2026">
        <v>0.50314136099999995</v>
      </c>
      <c r="BU2026">
        <v>0.50314099999999995</v>
      </c>
      <c r="BV2026">
        <v>0.02</v>
      </c>
      <c r="BW2026">
        <f>BV2026*SQRT(AK2026)</f>
        <v>0.04</v>
      </c>
      <c r="BX2026">
        <v>0.50837696300000002</v>
      </c>
      <c r="BY2026">
        <v>0.50837699999999997</v>
      </c>
      <c r="BZ2026">
        <v>0.01</v>
      </c>
      <c r="CA2026">
        <f>BZ2026*SQRT(AL2026)</f>
        <v>0.02</v>
      </c>
      <c r="CB2026">
        <v>56</v>
      </c>
      <c r="CD2026">
        <v>0.01</v>
      </c>
      <c r="CE2026">
        <v>1.8E-3</v>
      </c>
    </row>
    <row r="2027" spans="2:84" hidden="1" x14ac:dyDescent="0.2">
      <c r="D2027">
        <v>226</v>
      </c>
      <c r="G2027" t="s">
        <v>43</v>
      </c>
      <c r="H2027" t="s">
        <v>1015</v>
      </c>
      <c r="J2027">
        <v>2019</v>
      </c>
      <c r="M2027" t="s">
        <v>1016</v>
      </c>
      <c r="T2027" t="s">
        <v>68</v>
      </c>
      <c r="U2027" t="s">
        <v>266</v>
      </c>
      <c r="V2027" t="s">
        <v>1017</v>
      </c>
      <c r="AC2027" t="s">
        <v>51</v>
      </c>
      <c r="AF2027" t="s">
        <v>52</v>
      </c>
      <c r="AG2027" t="s">
        <v>52</v>
      </c>
      <c r="AH2027" t="s">
        <v>64</v>
      </c>
      <c r="AK2027">
        <v>8</v>
      </c>
      <c r="AL2027">
        <v>4</v>
      </c>
      <c r="AN2027">
        <v>401</v>
      </c>
      <c r="AU2027">
        <v>793</v>
      </c>
      <c r="BB2027">
        <f>LOG(AU2027)</f>
        <v>2.8992731873176036</v>
      </c>
      <c r="BC2027">
        <v>9.9</v>
      </c>
      <c r="BF2027">
        <v>25</v>
      </c>
      <c r="BI2027">
        <v>392</v>
      </c>
      <c r="BJ2027">
        <v>15.1</v>
      </c>
      <c r="BL2027" t="s">
        <v>1018</v>
      </c>
      <c r="BM2027" t="s">
        <v>98</v>
      </c>
      <c r="BN2027" t="s">
        <v>81</v>
      </c>
      <c r="BO2027" t="s">
        <v>439</v>
      </c>
      <c r="BP2027" t="s">
        <v>100</v>
      </c>
      <c r="BR2027" t="s">
        <v>63</v>
      </c>
      <c r="BT2027">
        <v>1.518367163</v>
      </c>
      <c r="BU2027">
        <v>1.518367</v>
      </c>
      <c r="BV2027">
        <v>0.12</v>
      </c>
      <c r="BW2027">
        <f>BV2027*SQRT(AK2027)</f>
        <v>0.33941125496954283</v>
      </c>
      <c r="BX2027">
        <v>0.51737935700000004</v>
      </c>
      <c r="BY2027">
        <v>0.51737940000000004</v>
      </c>
      <c r="BZ2027">
        <v>7.0000000000000007E-2</v>
      </c>
      <c r="CA2027">
        <f>BZ2027*SQRT(AL2027)</f>
        <v>0.14000000000000001</v>
      </c>
      <c r="CB2027">
        <v>3</v>
      </c>
      <c r="CD2027">
        <v>-1.077</v>
      </c>
      <c r="CE2027">
        <v>2.4799999999999999E-2</v>
      </c>
    </row>
    <row r="2028" spans="2:84" hidden="1" x14ac:dyDescent="0.2">
      <c r="D2028">
        <v>216</v>
      </c>
      <c r="G2028" t="s">
        <v>43</v>
      </c>
      <c r="H2028" t="s">
        <v>1019</v>
      </c>
      <c r="J2028">
        <v>2011</v>
      </c>
      <c r="M2028" t="s">
        <v>869</v>
      </c>
      <c r="T2028" t="s">
        <v>46</v>
      </c>
      <c r="U2028" t="s">
        <v>1005</v>
      </c>
      <c r="V2028" t="s">
        <v>1020</v>
      </c>
      <c r="AC2028" t="s">
        <v>51</v>
      </c>
      <c r="AF2028" t="s">
        <v>54</v>
      </c>
      <c r="AG2028" t="s">
        <v>52</v>
      </c>
      <c r="AH2028" t="s">
        <v>65</v>
      </c>
      <c r="AK2028">
        <v>30</v>
      </c>
      <c r="AL2028">
        <v>30</v>
      </c>
      <c r="AN2028">
        <v>259</v>
      </c>
      <c r="AU2028">
        <v>260</v>
      </c>
      <c r="BB2028">
        <f>LOG(AU2028)</f>
        <v>2.4149733479708178</v>
      </c>
      <c r="BC2028">
        <v>5</v>
      </c>
      <c r="BF2028">
        <v>8.5</v>
      </c>
      <c r="BI2028">
        <v>1</v>
      </c>
      <c r="BJ2028">
        <v>3.5</v>
      </c>
      <c r="BK2028" t="s">
        <v>56</v>
      </c>
      <c r="BL2028" t="s">
        <v>58</v>
      </c>
      <c r="BM2028" t="s">
        <v>59</v>
      </c>
      <c r="BN2028" t="s">
        <v>60</v>
      </c>
      <c r="BO2028" t="s">
        <v>998</v>
      </c>
      <c r="BP2028" t="s">
        <v>62</v>
      </c>
      <c r="BR2028" t="s">
        <v>63</v>
      </c>
      <c r="BT2028">
        <v>0.56200000000000006</v>
      </c>
      <c r="BU2028">
        <v>0.56200000000000006</v>
      </c>
      <c r="BV2028">
        <v>0.05</v>
      </c>
      <c r="BW2028">
        <f>BV2028*SQRT(AK2028)</f>
        <v>0.27386127875258309</v>
      </c>
      <c r="BX2028">
        <v>0.52200000000000002</v>
      </c>
      <c r="BY2028">
        <v>0.52200000000000002</v>
      </c>
      <c r="BZ2028">
        <v>0.10255102000000001</v>
      </c>
      <c r="CA2028">
        <f>BZ2028*SQRT(AL2028)</f>
        <v>0.56169506949163439</v>
      </c>
      <c r="CB2028">
        <v>20</v>
      </c>
      <c r="CD2028">
        <v>-7.3999999999999996E-2</v>
      </c>
      <c r="CE2028">
        <v>4.65E-2</v>
      </c>
    </row>
    <row r="2029" spans="2:84" hidden="1" x14ac:dyDescent="0.2">
      <c r="D2029">
        <v>226</v>
      </c>
      <c r="G2029" t="s">
        <v>43</v>
      </c>
      <c r="H2029" t="s">
        <v>1015</v>
      </c>
      <c r="J2029">
        <v>2019</v>
      </c>
      <c r="M2029" t="s">
        <v>1016</v>
      </c>
      <c r="T2029" t="s">
        <v>68</v>
      </c>
      <c r="U2029" t="s">
        <v>266</v>
      </c>
      <c r="V2029" t="s">
        <v>1017</v>
      </c>
      <c r="AC2029" t="s">
        <v>51</v>
      </c>
      <c r="AF2029" t="s">
        <v>52</v>
      </c>
      <c r="AG2029" t="s">
        <v>52</v>
      </c>
      <c r="AH2029" t="s">
        <v>64</v>
      </c>
      <c r="AK2029">
        <v>8</v>
      </c>
      <c r="AL2029">
        <v>6</v>
      </c>
      <c r="AN2029">
        <v>401</v>
      </c>
      <c r="AU2029">
        <v>2669</v>
      </c>
      <c r="BB2029">
        <f>LOG(AU2029)</f>
        <v>3.4263485737875077</v>
      </c>
      <c r="BC2029">
        <v>9.9</v>
      </c>
      <c r="BF2029">
        <v>24.9</v>
      </c>
      <c r="BI2029">
        <v>2268</v>
      </c>
      <c r="BJ2029">
        <v>15</v>
      </c>
      <c r="BL2029" t="s">
        <v>1018</v>
      </c>
      <c r="BM2029" t="s">
        <v>98</v>
      </c>
      <c r="BN2029" t="s">
        <v>81</v>
      </c>
      <c r="BO2029" t="s">
        <v>439</v>
      </c>
      <c r="BP2029" t="s">
        <v>100</v>
      </c>
      <c r="BR2029" t="s">
        <v>63</v>
      </c>
      <c r="BT2029">
        <v>1.518367163</v>
      </c>
      <c r="BU2029">
        <v>1.518367</v>
      </c>
      <c r="BV2029">
        <v>0.12</v>
      </c>
      <c r="BW2029">
        <f>BV2029*SQRT(AK2029)</f>
        <v>0.33941125496954283</v>
      </c>
      <c r="BX2029">
        <v>0.52478037600000005</v>
      </c>
      <c r="BY2029">
        <v>0.52478040000000004</v>
      </c>
      <c r="BZ2029">
        <v>0.1</v>
      </c>
      <c r="CA2029">
        <f>BZ2029*SQRT(AL2029)</f>
        <v>0.2449489742783178</v>
      </c>
      <c r="CB2029">
        <v>3</v>
      </c>
      <c r="CD2029">
        <v>-1.0620000000000001</v>
      </c>
      <c r="CE2029">
        <v>4.2200000000000001E-2</v>
      </c>
    </row>
    <row r="2030" spans="2:84" s="8" customFormat="1" hidden="1" x14ac:dyDescent="0.2">
      <c r="B2030" t="str">
        <f>ROW()-1&amp;"_AltersInvert"</f>
        <v>2029_AltersInvert</v>
      </c>
      <c r="C2030" t="str">
        <f>D2030&amp;"_"&amp;
SUBSTITUTE(TRIM(V2030)," ","_")&amp;"_"&amp;
TRIM(AC2030)&amp;"_"&amp;
"CO2"&amp;TEXT(AN2030,"0.00")&amp;"_"&amp;
"pH"&amp;TEXT(AR2030,"0.00")&amp;"_"&amp;
"T"&amp;TEXT(BC2030,"0.##")</f>
        <v>58_Centrostephanus_rodgersii_EMBRYO_CO2506.00_pH8.10_T21.</v>
      </c>
      <c r="D2030" s="8">
        <v>58</v>
      </c>
      <c r="G2030" s="8" t="s">
        <v>43</v>
      </c>
      <c r="H2030" s="8" t="s">
        <v>569</v>
      </c>
      <c r="I2030" s="8" t="s">
        <v>1130</v>
      </c>
      <c r="J2030" s="8">
        <v>2014</v>
      </c>
      <c r="M2030" s="8" t="s">
        <v>67</v>
      </c>
      <c r="P2030" t="s">
        <v>1135</v>
      </c>
      <c r="R2030" s="8" t="s">
        <v>1127</v>
      </c>
      <c r="S2030" t="s">
        <v>1128</v>
      </c>
      <c r="T2030" s="8" t="s">
        <v>46</v>
      </c>
      <c r="U2030" s="8" t="s">
        <v>570</v>
      </c>
      <c r="V2030" s="8" t="s">
        <v>571</v>
      </c>
      <c r="W2030" s="8" t="str">
        <f>IF(ISNUMBER(MATCH(V1424,{"Doryteuthis pealeii","Loligo vulgaris","Leptuca thayeri","Stylocheilus striatus","Ophryotrocha labronica"},0)),"N","Y")</f>
        <v>Y</v>
      </c>
      <c r="Z2030" s="8" t="s">
        <v>177</v>
      </c>
      <c r="AA2030" s="8" t="s">
        <v>177</v>
      </c>
      <c r="AB2030" s="8" t="s">
        <v>71</v>
      </c>
      <c r="AC2030" s="8" t="s">
        <v>195</v>
      </c>
      <c r="AD2030" s="8" t="s">
        <v>52</v>
      </c>
      <c r="AE2030" s="8" t="s">
        <v>53</v>
      </c>
      <c r="AF2030" s="8" t="s">
        <v>52</v>
      </c>
      <c r="AG2030" s="8" t="s">
        <v>52</v>
      </c>
      <c r="AH2030" s="8" t="s">
        <v>64</v>
      </c>
      <c r="AK2030" s="8">
        <v>150</v>
      </c>
      <c r="AL2030" s="8">
        <v>150</v>
      </c>
      <c r="AN2030" s="8">
        <v>506</v>
      </c>
      <c r="AO2030" s="8" t="s">
        <v>56</v>
      </c>
      <c r="AP2030" s="8" t="s">
        <v>56</v>
      </c>
      <c r="AQ2030" s="8" t="s">
        <v>118</v>
      </c>
      <c r="AR2030" s="8">
        <v>8.1</v>
      </c>
      <c r="AS2030" s="8" t="s">
        <v>56</v>
      </c>
      <c r="AT2030" s="8">
        <v>0.02</v>
      </c>
      <c r="AU2030" s="8">
        <v>1867</v>
      </c>
      <c r="AV2030" t="s">
        <v>56</v>
      </c>
      <c r="AW2030" t="s">
        <v>56</v>
      </c>
      <c r="AX2030">
        <v>7.6</v>
      </c>
      <c r="AY2030" t="s">
        <v>56</v>
      </c>
      <c r="AZ2030" t="s">
        <v>56</v>
      </c>
      <c r="BB2030" s="8">
        <f>LOG(AU2030)</f>
        <v>3.2711443179490782</v>
      </c>
      <c r="BC2030" s="8">
        <v>21</v>
      </c>
      <c r="BD2030" s="8" t="s">
        <v>56</v>
      </c>
      <c r="BE2030" s="8" t="s">
        <v>56</v>
      </c>
      <c r="BF2030" s="8">
        <v>24</v>
      </c>
      <c r="BG2030" s="8" t="s">
        <v>56</v>
      </c>
      <c r="BH2030" s="8" t="s">
        <v>56</v>
      </c>
      <c r="BI2030" s="8">
        <v>1361</v>
      </c>
      <c r="BJ2030" s="8">
        <v>3</v>
      </c>
      <c r="BK2030" s="8" t="s">
        <v>572</v>
      </c>
      <c r="BL2030" s="8" t="s">
        <v>85</v>
      </c>
      <c r="BM2030" s="8" t="s">
        <v>86</v>
      </c>
      <c r="BN2030" s="8" t="s">
        <v>81</v>
      </c>
      <c r="BO2030" s="8" t="s">
        <v>82</v>
      </c>
      <c r="BP2030" s="8" t="s">
        <v>9</v>
      </c>
      <c r="BQ2030" s="8" t="s">
        <v>9</v>
      </c>
      <c r="BR2030" s="8" t="s">
        <v>84</v>
      </c>
      <c r="BT2030" s="8">
        <v>5.77</v>
      </c>
      <c r="BU2030" s="8">
        <v>94.23</v>
      </c>
      <c r="BV2030" s="8">
        <v>2.23</v>
      </c>
      <c r="BW2030" s="8">
        <f>BV2030*SQRT(AK2030)</f>
        <v>27.311810632032437</v>
      </c>
      <c r="BX2030" s="8">
        <v>33.770000000000003</v>
      </c>
      <c r="BY2030" s="8">
        <v>66.23</v>
      </c>
      <c r="BZ2030" s="8">
        <v>33.770000000000003</v>
      </c>
      <c r="CA2030" s="8">
        <f>BZ2030*SQRT(AL2030)</f>
        <v>413.59634306893963</v>
      </c>
      <c r="CB2030" s="8">
        <v>2</v>
      </c>
      <c r="CC2030" s="8">
        <v>3</v>
      </c>
      <c r="CD2030" s="8">
        <v>-0.35299999999999998</v>
      </c>
      <c r="CE2030" s="8">
        <v>0.26050000000000001</v>
      </c>
      <c r="CF2030" s="8" t="s">
        <v>1134</v>
      </c>
    </row>
    <row r="2031" spans="2:84" s="8" customFormat="1" hidden="1" x14ac:dyDescent="0.2">
      <c r="B2031" t="str">
        <f>ROW()-1&amp;"_AltersInvert"</f>
        <v>2030_AltersInvert</v>
      </c>
      <c r="C2031" t="str">
        <f>D2031&amp;"_"&amp;
SUBSTITUTE(TRIM(V2031)," ","_")&amp;"_"&amp;
TRIM(AC2031)&amp;"_"&amp;
"CO2"&amp;TEXT(AN2031,"0.00")&amp;"_"&amp;
"pH"&amp;TEXT(AR2031,"0.00")&amp;"_"&amp;
"T"&amp;TEXT(BC2031,"0.##")</f>
        <v>58_Centrostephanus_rodgersii_EMBRYO_CO2506.00_pH8.10_T21.</v>
      </c>
      <c r="D2031" s="8">
        <v>58</v>
      </c>
      <c r="G2031" s="8" t="s">
        <v>43</v>
      </c>
      <c r="H2031" s="8" t="s">
        <v>569</v>
      </c>
      <c r="I2031" s="8" t="s">
        <v>1130</v>
      </c>
      <c r="J2031" s="8">
        <v>2014</v>
      </c>
      <c r="M2031" s="8" t="s">
        <v>67</v>
      </c>
      <c r="P2031" t="s">
        <v>1135</v>
      </c>
      <c r="R2031" s="8" t="s">
        <v>1127</v>
      </c>
      <c r="S2031" t="s">
        <v>1128</v>
      </c>
      <c r="T2031" s="8" t="s">
        <v>46</v>
      </c>
      <c r="U2031" s="8" t="s">
        <v>570</v>
      </c>
      <c r="V2031" s="8" t="s">
        <v>571</v>
      </c>
      <c r="W2031" s="8" t="str">
        <f>IF(ISNUMBER(MATCH(V1425,{"Doryteuthis pealeii","Loligo vulgaris","Leptuca thayeri","Stylocheilus striatus","Ophryotrocha labronica"},0)),"N","Y")</f>
        <v>Y</v>
      </c>
      <c r="Z2031" s="8" t="s">
        <v>177</v>
      </c>
      <c r="AA2031" s="8" t="s">
        <v>177</v>
      </c>
      <c r="AB2031" s="8" t="s">
        <v>71</v>
      </c>
      <c r="AC2031" s="8" t="s">
        <v>195</v>
      </c>
      <c r="AD2031" s="8" t="s">
        <v>52</v>
      </c>
      <c r="AE2031" s="8" t="s">
        <v>53</v>
      </c>
      <c r="AF2031" s="8" t="s">
        <v>52</v>
      </c>
      <c r="AG2031" s="8" t="s">
        <v>52</v>
      </c>
      <c r="AH2031" s="8" t="s">
        <v>64</v>
      </c>
      <c r="AK2031" s="8">
        <v>150</v>
      </c>
      <c r="AL2031" s="8">
        <v>150</v>
      </c>
      <c r="AN2031" s="8">
        <v>506</v>
      </c>
      <c r="AO2031" s="8" t="s">
        <v>56</v>
      </c>
      <c r="AP2031" s="8" t="s">
        <v>56</v>
      </c>
      <c r="AQ2031" s="8" t="s">
        <v>118</v>
      </c>
      <c r="AR2031" s="8">
        <v>8.1</v>
      </c>
      <c r="AS2031" s="8" t="s">
        <v>56</v>
      </c>
      <c r="AT2031" s="8">
        <v>0.02</v>
      </c>
      <c r="AU2031" s="8">
        <v>1131</v>
      </c>
      <c r="AV2031" t="s">
        <v>56</v>
      </c>
      <c r="AW2031" t="s">
        <v>56</v>
      </c>
      <c r="AX2031">
        <v>7.8</v>
      </c>
      <c r="AY2031" t="s">
        <v>56</v>
      </c>
      <c r="AZ2031" t="s">
        <v>56</v>
      </c>
      <c r="BB2031" s="8">
        <f>LOG(AU2031)</f>
        <v>3.0534626049254552</v>
      </c>
      <c r="BC2031" s="8">
        <v>21</v>
      </c>
      <c r="BD2031" s="8" t="s">
        <v>56</v>
      </c>
      <c r="BE2031" s="8" t="s">
        <v>56</v>
      </c>
      <c r="BF2031" s="8">
        <v>24</v>
      </c>
      <c r="BG2031" s="8" t="s">
        <v>56</v>
      </c>
      <c r="BH2031" s="8" t="s">
        <v>56</v>
      </c>
      <c r="BI2031" s="8">
        <v>625</v>
      </c>
      <c r="BJ2031" s="8">
        <v>3</v>
      </c>
      <c r="BK2031" s="8" t="s">
        <v>572</v>
      </c>
      <c r="BL2031" s="8" t="s">
        <v>85</v>
      </c>
      <c r="BM2031" s="8" t="s">
        <v>86</v>
      </c>
      <c r="BN2031" s="8" t="s">
        <v>81</v>
      </c>
      <c r="BO2031" s="8" t="s">
        <v>82</v>
      </c>
      <c r="BP2031" s="8" t="s">
        <v>9</v>
      </c>
      <c r="BQ2031" s="8" t="s">
        <v>9</v>
      </c>
      <c r="BR2031" s="8" t="s">
        <v>84</v>
      </c>
      <c r="BT2031" s="8">
        <v>5.77</v>
      </c>
      <c r="BU2031" s="8">
        <v>94.23</v>
      </c>
      <c r="BV2031" s="8">
        <v>2.23</v>
      </c>
      <c r="BW2031" s="8">
        <f>BV2031*SQRT(AK2031)</f>
        <v>27.311810632032437</v>
      </c>
      <c r="BX2031" s="8">
        <v>21.77</v>
      </c>
      <c r="BY2031" s="8">
        <v>78.23</v>
      </c>
      <c r="BZ2031" s="8">
        <v>21.77</v>
      </c>
      <c r="CA2031" s="8">
        <f>BZ2031*SQRT(AL2031)</f>
        <v>266.62695850194893</v>
      </c>
      <c r="CB2031" s="8">
        <v>2</v>
      </c>
      <c r="CC2031" s="8">
        <v>3</v>
      </c>
      <c r="CD2031" s="8">
        <v>-0.186</v>
      </c>
      <c r="CE2031" s="8">
        <v>7.8E-2</v>
      </c>
      <c r="CF2031" s="8" t="s">
        <v>1134</v>
      </c>
    </row>
    <row r="2032" spans="2:84" hidden="1" x14ac:dyDescent="0.2">
      <c r="D2032">
        <v>226</v>
      </c>
      <c r="G2032" t="s">
        <v>43</v>
      </c>
      <c r="H2032" t="s">
        <v>1015</v>
      </c>
      <c r="J2032">
        <v>2019</v>
      </c>
      <c r="M2032" t="s">
        <v>1016</v>
      </c>
      <c r="T2032" t="s">
        <v>68</v>
      </c>
      <c r="U2032" t="s">
        <v>266</v>
      </c>
      <c r="V2032" t="s">
        <v>1017</v>
      </c>
      <c r="AC2032" t="s">
        <v>51</v>
      </c>
      <c r="AF2032" t="s">
        <v>54</v>
      </c>
      <c r="AG2032" t="s">
        <v>52</v>
      </c>
      <c r="AH2032" t="s">
        <v>65</v>
      </c>
      <c r="AK2032">
        <v>8</v>
      </c>
      <c r="AL2032">
        <v>5</v>
      </c>
      <c r="AN2032">
        <v>401</v>
      </c>
      <c r="AU2032">
        <v>430</v>
      </c>
      <c r="BB2032">
        <f>LOG(AU2032)</f>
        <v>2.6334684555795866</v>
      </c>
      <c r="BC2032">
        <v>9.9</v>
      </c>
      <c r="BF2032">
        <v>24.7</v>
      </c>
      <c r="BI2032">
        <v>29</v>
      </c>
      <c r="BJ2032">
        <v>14.8</v>
      </c>
      <c r="BL2032" t="s">
        <v>1018</v>
      </c>
      <c r="BM2032" t="s">
        <v>98</v>
      </c>
      <c r="BN2032" t="s">
        <v>81</v>
      </c>
      <c r="BO2032" t="s">
        <v>439</v>
      </c>
      <c r="BP2032" t="s">
        <v>100</v>
      </c>
      <c r="BR2032" t="s">
        <v>63</v>
      </c>
      <c r="BT2032">
        <v>1.518367163</v>
      </c>
      <c r="BU2032">
        <v>1.518367</v>
      </c>
      <c r="BV2032">
        <v>0.12</v>
      </c>
      <c r="BW2032">
        <f>BV2032*SQRT(AK2032)</f>
        <v>0.33941125496954283</v>
      </c>
      <c r="BX2032">
        <v>0.59244253700000005</v>
      </c>
      <c r="BY2032">
        <v>0.59244249999999998</v>
      </c>
      <c r="BZ2032">
        <v>0.09</v>
      </c>
      <c r="CA2032">
        <f>BZ2032*SQRT(AL2032)</f>
        <v>0.20124611797498107</v>
      </c>
      <c r="CB2032">
        <v>3</v>
      </c>
      <c r="CD2032">
        <v>-0.94099999999999995</v>
      </c>
      <c r="CE2032">
        <v>2.8400000000000002E-2</v>
      </c>
    </row>
    <row r="2033" spans="1:84" hidden="1" x14ac:dyDescent="0.2">
      <c r="D2033">
        <v>226</v>
      </c>
      <c r="G2033" t="s">
        <v>43</v>
      </c>
      <c r="H2033" t="s">
        <v>1015</v>
      </c>
      <c r="J2033">
        <v>2019</v>
      </c>
      <c r="M2033" t="s">
        <v>1016</v>
      </c>
      <c r="T2033" t="s">
        <v>68</v>
      </c>
      <c r="U2033" t="s">
        <v>266</v>
      </c>
      <c r="V2033" t="s">
        <v>1017</v>
      </c>
      <c r="AC2033" t="s">
        <v>51</v>
      </c>
      <c r="AF2033" t="s">
        <v>52</v>
      </c>
      <c r="AG2033" t="s">
        <v>52</v>
      </c>
      <c r="AH2033" t="s">
        <v>64</v>
      </c>
      <c r="AK2033">
        <v>8</v>
      </c>
      <c r="AL2033">
        <v>5</v>
      </c>
      <c r="AN2033">
        <v>401</v>
      </c>
      <c r="AU2033">
        <v>1216</v>
      </c>
      <c r="BB2033">
        <f>LOG(AU2033)</f>
        <v>3.0849335749367159</v>
      </c>
      <c r="BC2033">
        <v>9.9</v>
      </c>
      <c r="BF2033">
        <v>23.8</v>
      </c>
      <c r="BI2033">
        <v>815</v>
      </c>
      <c r="BJ2033">
        <v>13.9</v>
      </c>
      <c r="BL2033" t="s">
        <v>1018</v>
      </c>
      <c r="BM2033" t="s">
        <v>98</v>
      </c>
      <c r="BN2033" t="s">
        <v>81</v>
      </c>
      <c r="BO2033" t="s">
        <v>439</v>
      </c>
      <c r="BP2033" t="s">
        <v>100</v>
      </c>
      <c r="BR2033" t="s">
        <v>63</v>
      </c>
      <c r="BT2033">
        <v>1.518367163</v>
      </c>
      <c r="BU2033">
        <v>1.518367</v>
      </c>
      <c r="BV2033">
        <v>0.12</v>
      </c>
      <c r="BW2033">
        <f>BV2033*SQRT(AK2033)</f>
        <v>0.33941125496954283</v>
      </c>
      <c r="BX2033">
        <v>0.61154679300000003</v>
      </c>
      <c r="BY2033">
        <v>0.61154679999999995</v>
      </c>
      <c r="BZ2033">
        <v>0.15</v>
      </c>
      <c r="CA2033">
        <f>BZ2033*SQRT(AL2033)</f>
        <v>0.33541019662496846</v>
      </c>
      <c r="CB2033">
        <v>3</v>
      </c>
      <c r="CD2033">
        <v>-0.90900000000000003</v>
      </c>
      <c r="CE2033">
        <v>6.3399999999999998E-2</v>
      </c>
    </row>
    <row r="2034" spans="1:84" s="8" customFormat="1" hidden="1" x14ac:dyDescent="0.2">
      <c r="A2034"/>
      <c r="B2034" t="str">
        <f>ROW()-1&amp;"_AltersInvert"</f>
        <v>2033_AltersInvert</v>
      </c>
      <c r="C2034" t="str">
        <f>D2034&amp;"_"&amp;
SUBSTITUTE(TRIM(V2034)," ","_")&amp;"_"&amp;
TRIM(AC2034)&amp;"_"&amp;
"CO2"&amp;TEXT(AN2034,"0.00")&amp;"_"&amp;
"pH"&amp;TEXT(AR2034,"0.00")&amp;"_"&amp;
"T"&amp;TEXT(BC2034,"0.##")</f>
        <v>191_Pandalus_Borealis_LARVA_CO2406.00_pH8.11_T6.7</v>
      </c>
      <c r="D2034">
        <v>191</v>
      </c>
      <c r="E2034"/>
      <c r="F2034"/>
      <c r="G2034" t="s">
        <v>43</v>
      </c>
      <c r="H2034" t="s">
        <v>901</v>
      </c>
      <c r="I2034"/>
      <c r="J2034">
        <v>2013</v>
      </c>
      <c r="K2034"/>
      <c r="L2034"/>
      <c r="M2034" t="s">
        <v>67</v>
      </c>
      <c r="N2034"/>
      <c r="O2034"/>
      <c r="P2034" t="s">
        <v>1135</v>
      </c>
      <c r="Q2034"/>
      <c r="R2034" t="s">
        <v>1127</v>
      </c>
      <c r="S2034" t="s">
        <v>1128</v>
      </c>
      <c r="T2034" t="s">
        <v>131</v>
      </c>
      <c r="U2034" t="s">
        <v>902</v>
      </c>
      <c r="V2034" t="s">
        <v>903</v>
      </c>
      <c r="W2034"/>
      <c r="X2034"/>
      <c r="Y2034"/>
      <c r="Z2034" t="s">
        <v>475</v>
      </c>
      <c r="AA2034" t="s">
        <v>475</v>
      </c>
      <c r="AB2034" t="s">
        <v>71</v>
      </c>
      <c r="AC2034" t="s">
        <v>72</v>
      </c>
      <c r="AD2034" t="s">
        <v>52</v>
      </c>
      <c r="AE2034" t="s">
        <v>53</v>
      </c>
      <c r="AF2034" t="s">
        <v>52</v>
      </c>
      <c r="AG2034" t="s">
        <v>54</v>
      </c>
      <c r="AH2034" t="s">
        <v>55</v>
      </c>
      <c r="AI2034"/>
      <c r="AJ2034"/>
      <c r="AK2034">
        <v>33</v>
      </c>
      <c r="AL2034">
        <v>21</v>
      </c>
      <c r="AM2034"/>
      <c r="AN2034">
        <v>406</v>
      </c>
      <c r="AO2034" t="s">
        <v>56</v>
      </c>
      <c r="AP2034" t="s">
        <v>56</v>
      </c>
      <c r="AQ2034" t="s">
        <v>57</v>
      </c>
      <c r="AR2034">
        <v>8.11</v>
      </c>
      <c r="AS2034" t="s">
        <v>56</v>
      </c>
      <c r="AT2034" t="s">
        <v>56</v>
      </c>
      <c r="AU2034">
        <v>1238</v>
      </c>
      <c r="AV2034" t="s">
        <v>56</v>
      </c>
      <c r="AW2034" t="s">
        <v>56</v>
      </c>
      <c r="AX2034">
        <v>7.65</v>
      </c>
      <c r="AY2034" t="s">
        <v>56</v>
      </c>
      <c r="AZ2034" t="s">
        <v>56</v>
      </c>
      <c r="BA2034"/>
      <c r="BB2034">
        <f>LOG(AU2034)</f>
        <v>3.0927206446840994</v>
      </c>
      <c r="BC2034">
        <v>6.7</v>
      </c>
      <c r="BD2034">
        <v>0.2</v>
      </c>
      <c r="BE2034" t="s">
        <v>56</v>
      </c>
      <c r="BF2034">
        <v>6.7</v>
      </c>
      <c r="BG2034">
        <v>0.2</v>
      </c>
      <c r="BH2034" t="s">
        <v>56</v>
      </c>
      <c r="BI2034">
        <v>832</v>
      </c>
      <c r="BJ2034">
        <v>0</v>
      </c>
      <c r="BK2034" t="s">
        <v>904</v>
      </c>
      <c r="BL2034" t="s">
        <v>905</v>
      </c>
      <c r="BM2034" t="s">
        <v>226</v>
      </c>
      <c r="BN2034" t="s">
        <v>60</v>
      </c>
      <c r="BO2034" t="s">
        <v>82</v>
      </c>
      <c r="BP2034" t="s">
        <v>9</v>
      </c>
      <c r="BQ2034" t="s">
        <v>9</v>
      </c>
      <c r="BR2034" t="s">
        <v>84</v>
      </c>
      <c r="BS2034"/>
      <c r="BT2034">
        <v>63.51</v>
      </c>
      <c r="BU2034">
        <v>63.51</v>
      </c>
      <c r="BV2034">
        <v>4.96</v>
      </c>
      <c r="BW2034">
        <f>BV2034*SQRT(AK2034)</f>
        <v>28.493030726828621</v>
      </c>
      <c r="BX2034">
        <v>14.86</v>
      </c>
      <c r="BY2034">
        <v>14.86</v>
      </c>
      <c r="BZ2034">
        <v>9.4600000000000009</v>
      </c>
      <c r="CA2034">
        <f>BZ2034*SQRT(AL2034)</f>
        <v>43.351166074282247</v>
      </c>
      <c r="CB2034">
        <v>16</v>
      </c>
      <c r="CC2034">
        <v>8</v>
      </c>
      <c r="CD2034">
        <v>-1.4530000000000001</v>
      </c>
      <c r="CE2034">
        <v>0.41139999999999999</v>
      </c>
      <c r="CF2034"/>
    </row>
    <row r="2035" spans="1:84" hidden="1" x14ac:dyDescent="0.2">
      <c r="D2035">
        <v>234</v>
      </c>
      <c r="G2035" t="s">
        <v>43</v>
      </c>
      <c r="H2035" t="s">
        <v>1007</v>
      </c>
      <c r="J2035">
        <v>2018</v>
      </c>
      <c r="M2035" t="s">
        <v>802</v>
      </c>
      <c r="T2035" t="s">
        <v>103</v>
      </c>
      <c r="V2035" t="s">
        <v>1008</v>
      </c>
      <c r="AC2035" t="s">
        <v>51</v>
      </c>
      <c r="AF2035" t="s">
        <v>52</v>
      </c>
      <c r="AG2035" t="s">
        <v>52</v>
      </c>
      <c r="AH2035" t="s">
        <v>64</v>
      </c>
      <c r="AK2035">
        <v>10</v>
      </c>
      <c r="AL2035">
        <v>10</v>
      </c>
      <c r="AN2035">
        <v>667</v>
      </c>
      <c r="AU2035">
        <v>1697</v>
      </c>
      <c r="BB2035">
        <f>LOG(AU2035)</f>
        <v>3.2296818423176759</v>
      </c>
      <c r="BC2035">
        <v>25.8</v>
      </c>
      <c r="BF2035">
        <v>30.3</v>
      </c>
      <c r="BI2035">
        <v>1030</v>
      </c>
      <c r="BJ2035">
        <v>4.5</v>
      </c>
      <c r="BL2035" t="s">
        <v>1009</v>
      </c>
      <c r="BM2035" t="s">
        <v>232</v>
      </c>
      <c r="BN2035" t="s">
        <v>81</v>
      </c>
      <c r="BO2035" t="s">
        <v>1010</v>
      </c>
      <c r="BP2035" t="s">
        <v>234</v>
      </c>
      <c r="BR2035" t="s">
        <v>63</v>
      </c>
      <c r="BT2035">
        <v>1.117749712</v>
      </c>
      <c r="BU2035">
        <v>1.11775</v>
      </c>
      <c r="BV2035">
        <v>0.239064889</v>
      </c>
      <c r="BW2035">
        <f>BV2035*SQRT(AK2035)</f>
        <v>0.75598955781533339</v>
      </c>
      <c r="BX2035">
        <v>0.625903714</v>
      </c>
      <c r="BY2035">
        <v>0.62590369999999995</v>
      </c>
      <c r="BZ2035">
        <v>0.19125567399999999</v>
      </c>
      <c r="CA2035">
        <f>BZ2035*SQRT(AL2035)</f>
        <v>0.60480354527064639</v>
      </c>
      <c r="CB2035">
        <v>2</v>
      </c>
      <c r="CD2035">
        <v>-0.57999999999999996</v>
      </c>
      <c r="CE2035">
        <v>0.1391</v>
      </c>
    </row>
    <row r="2036" spans="1:84" hidden="1" x14ac:dyDescent="0.2">
      <c r="D2036">
        <v>242</v>
      </c>
      <c r="G2036" t="s">
        <v>43</v>
      </c>
      <c r="H2036" t="s">
        <v>1011</v>
      </c>
      <c r="J2036">
        <v>2021</v>
      </c>
      <c r="M2036" t="s">
        <v>872</v>
      </c>
      <c r="T2036" t="s">
        <v>68</v>
      </c>
      <c r="U2036" t="s">
        <v>1012</v>
      </c>
      <c r="V2036" t="s">
        <v>1013</v>
      </c>
      <c r="AC2036" t="s">
        <v>51</v>
      </c>
      <c r="AF2036" t="s">
        <v>52</v>
      </c>
      <c r="AG2036" t="s">
        <v>54</v>
      </c>
      <c r="AH2036" t="s">
        <v>55</v>
      </c>
      <c r="AK2036">
        <v>4</v>
      </c>
      <c r="AL2036">
        <v>4</v>
      </c>
      <c r="AN2036">
        <v>456</v>
      </c>
      <c r="AU2036">
        <v>943</v>
      </c>
      <c r="BB2036">
        <f>LOG(AU2036)</f>
        <v>2.9745116927373285</v>
      </c>
      <c r="BC2036">
        <v>21</v>
      </c>
      <c r="BF2036">
        <v>21</v>
      </c>
      <c r="BI2036">
        <v>487</v>
      </c>
      <c r="BJ2036">
        <v>0</v>
      </c>
      <c r="BL2036" t="s">
        <v>430</v>
      </c>
      <c r="BM2036" t="s">
        <v>75</v>
      </c>
      <c r="BN2036" t="s">
        <v>60</v>
      </c>
      <c r="BO2036" t="s">
        <v>76</v>
      </c>
      <c r="BP2036" t="s">
        <v>77</v>
      </c>
      <c r="BR2036" t="s">
        <v>63</v>
      </c>
      <c r="BT2036">
        <v>0.57241255099999999</v>
      </c>
      <c r="BU2036">
        <v>0.57241299999999995</v>
      </c>
      <c r="BV2036">
        <v>0.09</v>
      </c>
      <c r="BW2036">
        <f>BV2036*SQRT(AK2036)</f>
        <v>0.18</v>
      </c>
      <c r="BX2036">
        <v>0.634827115</v>
      </c>
      <c r="BY2036">
        <v>0.63482709999999998</v>
      </c>
      <c r="BZ2036">
        <v>0.09</v>
      </c>
      <c r="CA2036">
        <f>BZ2036*SQRT(AL2036)</f>
        <v>0.18</v>
      </c>
      <c r="CB2036">
        <v>56</v>
      </c>
      <c r="CD2036">
        <v>0.10299999999999999</v>
      </c>
      <c r="CE2036">
        <v>4.9799999999999997E-2</v>
      </c>
    </row>
    <row r="2037" spans="1:84" hidden="1" x14ac:dyDescent="0.2">
      <c r="D2037">
        <v>234</v>
      </c>
      <c r="G2037" t="s">
        <v>43</v>
      </c>
      <c r="H2037" t="s">
        <v>1007</v>
      </c>
      <c r="J2037">
        <v>2018</v>
      </c>
      <c r="M2037" t="s">
        <v>802</v>
      </c>
      <c r="T2037" t="s">
        <v>103</v>
      </c>
      <c r="V2037" t="s">
        <v>1021</v>
      </c>
      <c r="AC2037" t="s">
        <v>51</v>
      </c>
      <c r="AF2037" t="s">
        <v>54</v>
      </c>
      <c r="AG2037" t="s">
        <v>52</v>
      </c>
      <c r="AH2037" t="s">
        <v>65</v>
      </c>
      <c r="AK2037">
        <v>10</v>
      </c>
      <c r="AL2037">
        <v>10</v>
      </c>
      <c r="AN2037">
        <v>667</v>
      </c>
      <c r="AU2037">
        <v>782</v>
      </c>
      <c r="BB2037">
        <f>LOG(AU2037)</f>
        <v>2.893206753059848</v>
      </c>
      <c r="BC2037">
        <v>25.8</v>
      </c>
      <c r="BF2037">
        <v>30.3</v>
      </c>
      <c r="BI2037">
        <v>115</v>
      </c>
      <c r="BJ2037">
        <v>4.5</v>
      </c>
      <c r="BL2037" t="s">
        <v>1009</v>
      </c>
      <c r="BM2037" t="s">
        <v>232</v>
      </c>
      <c r="BN2037" t="s">
        <v>81</v>
      </c>
      <c r="BO2037" t="s">
        <v>1010</v>
      </c>
      <c r="BP2037" t="s">
        <v>234</v>
      </c>
      <c r="BR2037" t="s">
        <v>63</v>
      </c>
      <c r="BT2037">
        <v>2.2867894350000002</v>
      </c>
      <c r="BU2037">
        <v>2.2867890000000002</v>
      </c>
      <c r="BV2037">
        <v>0.63749382600000004</v>
      </c>
      <c r="BW2037">
        <f>BV2037*SQRT(AK2037)</f>
        <v>2.0159324844550683</v>
      </c>
      <c r="BX2037">
        <v>0.66343987400000004</v>
      </c>
      <c r="BY2037">
        <v>0.66343989999999997</v>
      </c>
      <c r="BZ2037">
        <v>0.28687410299999999</v>
      </c>
      <c r="CA2037">
        <f>BZ2037*SQRT(AL2037)</f>
        <v>0.90717556719774273</v>
      </c>
      <c r="CB2037">
        <v>2</v>
      </c>
      <c r="CD2037">
        <v>-1.2370000000000001</v>
      </c>
      <c r="CE2037">
        <v>0.26469999999999999</v>
      </c>
    </row>
    <row r="2038" spans="1:84" hidden="1" x14ac:dyDescent="0.2">
      <c r="D2038">
        <v>234</v>
      </c>
      <c r="G2038" t="s">
        <v>43</v>
      </c>
      <c r="H2038" t="s">
        <v>1007</v>
      </c>
      <c r="J2038">
        <v>2018</v>
      </c>
      <c r="M2038" t="s">
        <v>802</v>
      </c>
      <c r="T2038" t="s">
        <v>103</v>
      </c>
      <c r="V2038" t="s">
        <v>214</v>
      </c>
      <c r="AC2038" t="s">
        <v>51</v>
      </c>
      <c r="AF2038" t="s">
        <v>52</v>
      </c>
      <c r="AG2038" t="s">
        <v>52</v>
      </c>
      <c r="AH2038" t="s">
        <v>64</v>
      </c>
      <c r="AK2038">
        <v>10</v>
      </c>
      <c r="AL2038">
        <v>10</v>
      </c>
      <c r="AN2038">
        <v>667</v>
      </c>
      <c r="AU2038">
        <v>1697</v>
      </c>
      <c r="BB2038">
        <f>LOG(AU2038)</f>
        <v>3.2296818423176759</v>
      </c>
      <c r="BC2038">
        <v>25.8</v>
      </c>
      <c r="BF2038">
        <v>30.3</v>
      </c>
      <c r="BI2038">
        <v>1030</v>
      </c>
      <c r="BJ2038">
        <v>4.5</v>
      </c>
      <c r="BL2038" t="s">
        <v>1009</v>
      </c>
      <c r="BM2038" t="s">
        <v>232</v>
      </c>
      <c r="BN2038" t="s">
        <v>81</v>
      </c>
      <c r="BO2038" t="s">
        <v>1010</v>
      </c>
      <c r="BP2038" t="s">
        <v>234</v>
      </c>
      <c r="BR2038" t="s">
        <v>63</v>
      </c>
      <c r="BT2038">
        <v>1.814323009</v>
      </c>
      <c r="BU2038">
        <v>1.8143229999999999</v>
      </c>
      <c r="BV2038">
        <v>0.31872809800000002</v>
      </c>
      <c r="BW2038">
        <f>BV2038*SQRT(AK2038)</f>
        <v>1.007906743973358</v>
      </c>
      <c r="BX2038">
        <v>0.73279239900000004</v>
      </c>
      <c r="BY2038">
        <v>0.73279240000000001</v>
      </c>
      <c r="BZ2038">
        <v>0.39850419799999998</v>
      </c>
      <c r="CA2038">
        <f>BZ2038*SQRT(AL2038)</f>
        <v>1.2601809228187166</v>
      </c>
      <c r="CB2038">
        <v>2</v>
      </c>
      <c r="CD2038">
        <v>-0.90700000000000003</v>
      </c>
      <c r="CE2038">
        <v>0.3266</v>
      </c>
    </row>
    <row r="2039" spans="1:84" hidden="1" x14ac:dyDescent="0.2">
      <c r="D2039">
        <v>234</v>
      </c>
      <c r="G2039" t="s">
        <v>43</v>
      </c>
      <c r="H2039" t="s">
        <v>1007</v>
      </c>
      <c r="J2039">
        <v>2018</v>
      </c>
      <c r="M2039" t="s">
        <v>802</v>
      </c>
      <c r="T2039" t="s">
        <v>103</v>
      </c>
      <c r="V2039" t="s">
        <v>214</v>
      </c>
      <c r="AC2039" t="s">
        <v>51</v>
      </c>
      <c r="AF2039" t="s">
        <v>54</v>
      </c>
      <c r="AG2039" t="s">
        <v>52</v>
      </c>
      <c r="AH2039" t="s">
        <v>65</v>
      </c>
      <c r="AK2039">
        <v>10</v>
      </c>
      <c r="AL2039">
        <v>10</v>
      </c>
      <c r="AN2039">
        <v>667</v>
      </c>
      <c r="AU2039">
        <v>782</v>
      </c>
      <c r="BB2039">
        <f>LOG(AU2039)</f>
        <v>2.893206753059848</v>
      </c>
      <c r="BC2039">
        <v>25.8</v>
      </c>
      <c r="BF2039">
        <v>30.3</v>
      </c>
      <c r="BI2039">
        <v>115</v>
      </c>
      <c r="BJ2039">
        <v>4.5</v>
      </c>
      <c r="BL2039" t="s">
        <v>1009</v>
      </c>
      <c r="BM2039" t="s">
        <v>232</v>
      </c>
      <c r="BN2039" t="s">
        <v>81</v>
      </c>
      <c r="BO2039" t="s">
        <v>1010</v>
      </c>
      <c r="BP2039" t="s">
        <v>234</v>
      </c>
      <c r="BR2039" t="s">
        <v>63</v>
      </c>
      <c r="BT2039">
        <v>1.814323009</v>
      </c>
      <c r="BU2039">
        <v>1.8143229999999999</v>
      </c>
      <c r="BV2039">
        <v>0.31872809800000002</v>
      </c>
      <c r="BW2039">
        <f>BV2039*SQRT(AK2039)</f>
        <v>1.007906743973358</v>
      </c>
      <c r="BX2039">
        <v>0.73281121400000004</v>
      </c>
      <c r="BY2039">
        <v>0.7328112</v>
      </c>
      <c r="BZ2039">
        <v>0.31872809800000002</v>
      </c>
      <c r="CA2039">
        <f>BZ2039*SQRT(AL2039)</f>
        <v>1.007906743973358</v>
      </c>
      <c r="CB2039">
        <v>2</v>
      </c>
      <c r="CD2039">
        <v>-0.90700000000000003</v>
      </c>
      <c r="CE2039">
        <v>0.22</v>
      </c>
    </row>
    <row r="2040" spans="1:84" hidden="1" x14ac:dyDescent="0.2">
      <c r="D2040">
        <v>214</v>
      </c>
      <c r="G2040" t="s">
        <v>43</v>
      </c>
      <c r="H2040" t="s">
        <v>1022</v>
      </c>
      <c r="J2040">
        <v>2011</v>
      </c>
      <c r="M2040" t="s">
        <v>236</v>
      </c>
      <c r="T2040" t="s">
        <v>68</v>
      </c>
      <c r="U2040" t="s">
        <v>258</v>
      </c>
      <c r="V2040" t="s">
        <v>259</v>
      </c>
      <c r="AC2040" t="s">
        <v>51</v>
      </c>
      <c r="AF2040" t="s">
        <v>52</v>
      </c>
      <c r="AG2040" t="s">
        <v>52</v>
      </c>
      <c r="AH2040" t="s">
        <v>64</v>
      </c>
      <c r="AK2040">
        <v>4</v>
      </c>
      <c r="AL2040">
        <v>4</v>
      </c>
      <c r="AN2040">
        <v>428</v>
      </c>
      <c r="AU2040">
        <v>1185</v>
      </c>
      <c r="BB2040">
        <f>LOG(AU2040)</f>
        <v>3.0737183503461227</v>
      </c>
      <c r="BC2040">
        <v>14.4</v>
      </c>
      <c r="BF2040">
        <v>20.7</v>
      </c>
      <c r="BI2040">
        <v>757</v>
      </c>
      <c r="BJ2040">
        <v>6.3</v>
      </c>
      <c r="BK2040" t="s">
        <v>56</v>
      </c>
      <c r="BL2040" t="s">
        <v>1023</v>
      </c>
      <c r="BM2040" t="s">
        <v>592</v>
      </c>
      <c r="BN2040" t="s">
        <v>81</v>
      </c>
      <c r="BO2040" t="s">
        <v>1024</v>
      </c>
      <c r="BP2040" t="s">
        <v>194</v>
      </c>
      <c r="BR2040" t="s">
        <v>63</v>
      </c>
      <c r="BT2040">
        <v>2.16</v>
      </c>
      <c r="BU2040">
        <v>2.1579999999999999</v>
      </c>
      <c r="BV2040">
        <v>0.1</v>
      </c>
      <c r="BW2040">
        <f>BV2040*SQRT(AK2040)</f>
        <v>0.2</v>
      </c>
      <c r="BX2040">
        <v>0.78</v>
      </c>
      <c r="BY2040">
        <v>0.77800000000000002</v>
      </c>
      <c r="BZ2040">
        <v>0.03</v>
      </c>
      <c r="CA2040">
        <f>BZ2040*SQRT(AL2040)</f>
        <v>0.06</v>
      </c>
      <c r="CB2040">
        <v>30</v>
      </c>
      <c r="CD2040">
        <v>-1.02</v>
      </c>
      <c r="CE2040">
        <v>3.8999999999999998E-3</v>
      </c>
    </row>
    <row r="2041" spans="1:84" hidden="1" x14ac:dyDescent="0.2">
      <c r="D2041">
        <v>218</v>
      </c>
      <c r="G2041" t="s">
        <v>43</v>
      </c>
      <c r="H2041" t="s">
        <v>1025</v>
      </c>
      <c r="J2041">
        <v>2014</v>
      </c>
      <c r="M2041" t="s">
        <v>213</v>
      </c>
      <c r="T2041" t="s">
        <v>68</v>
      </c>
      <c r="U2041" t="s">
        <v>266</v>
      </c>
      <c r="V2041" t="s">
        <v>267</v>
      </c>
      <c r="AC2041" t="s">
        <v>51</v>
      </c>
      <c r="AF2041" t="s">
        <v>52</v>
      </c>
      <c r="AG2041" t="s">
        <v>54</v>
      </c>
      <c r="AH2041" t="s">
        <v>55</v>
      </c>
      <c r="AK2041">
        <v>3</v>
      </c>
      <c r="AL2041">
        <v>3</v>
      </c>
      <c r="AN2041">
        <v>545</v>
      </c>
      <c r="AU2041">
        <v>1200</v>
      </c>
      <c r="BB2041">
        <f>LOG(AU2041)</f>
        <v>3.0791812460476247</v>
      </c>
      <c r="BC2041">
        <v>11</v>
      </c>
      <c r="BF2041">
        <v>11</v>
      </c>
      <c r="BI2041">
        <v>655</v>
      </c>
      <c r="BJ2041">
        <v>0.1</v>
      </c>
      <c r="BL2041" t="s">
        <v>1026</v>
      </c>
      <c r="BM2041" t="s">
        <v>262</v>
      </c>
      <c r="BN2041" t="s">
        <v>81</v>
      </c>
      <c r="BO2041" t="s">
        <v>1027</v>
      </c>
      <c r="BP2041" t="s">
        <v>92</v>
      </c>
      <c r="BR2041" t="s">
        <v>63</v>
      </c>
      <c r="BT2041">
        <v>0.57199999999999995</v>
      </c>
      <c r="BU2041">
        <v>0.57199999999999995</v>
      </c>
      <c r="BV2041">
        <v>6.0999999999999999E-2</v>
      </c>
      <c r="BW2041">
        <f>BV2041*SQRT(AK2041)</f>
        <v>0.10565509926170151</v>
      </c>
      <c r="BX2041">
        <v>0.78600000000000003</v>
      </c>
      <c r="BY2041">
        <v>0.78600000000000003</v>
      </c>
      <c r="BZ2041">
        <v>8.2000000000000003E-2</v>
      </c>
      <c r="CA2041">
        <f>BZ2041*SQRT(AL2041)</f>
        <v>0.14202816622064793</v>
      </c>
      <c r="CB2041">
        <v>28</v>
      </c>
      <c r="CD2041">
        <v>0.318</v>
      </c>
      <c r="CE2041">
        <v>2.23E-2</v>
      </c>
    </row>
    <row r="2042" spans="1:84" hidden="1" x14ac:dyDescent="0.2">
      <c r="D2042">
        <v>242</v>
      </c>
      <c r="G2042" t="s">
        <v>43</v>
      </c>
      <c r="H2042" t="s">
        <v>1011</v>
      </c>
      <c r="J2042">
        <v>2021</v>
      </c>
      <c r="M2042" t="s">
        <v>872</v>
      </c>
      <c r="T2042" t="s">
        <v>68</v>
      </c>
      <c r="U2042" t="s">
        <v>1012</v>
      </c>
      <c r="V2042" t="s">
        <v>1013</v>
      </c>
      <c r="AC2042" t="s">
        <v>51</v>
      </c>
      <c r="AF2042" t="s">
        <v>52</v>
      </c>
      <c r="AG2042" t="s">
        <v>52</v>
      </c>
      <c r="AH2042" t="s">
        <v>64</v>
      </c>
      <c r="AK2042">
        <v>4</v>
      </c>
      <c r="AL2042">
        <v>4</v>
      </c>
      <c r="AN2042">
        <v>456</v>
      </c>
      <c r="AU2042">
        <v>1048</v>
      </c>
      <c r="BB2042">
        <f>LOG(AU2042)</f>
        <v>3.0203612826477078</v>
      </c>
      <c r="BC2042">
        <v>21</v>
      </c>
      <c r="BF2042">
        <v>24</v>
      </c>
      <c r="BI2042">
        <v>592</v>
      </c>
      <c r="BJ2042">
        <v>3</v>
      </c>
      <c r="BL2042" t="s">
        <v>430</v>
      </c>
      <c r="BM2042" t="s">
        <v>75</v>
      </c>
      <c r="BN2042" t="s">
        <v>60</v>
      </c>
      <c r="BO2042" t="s">
        <v>76</v>
      </c>
      <c r="BP2042" t="s">
        <v>77</v>
      </c>
      <c r="BR2042" t="s">
        <v>63</v>
      </c>
      <c r="BT2042">
        <v>0.57241255099999999</v>
      </c>
      <c r="BU2042">
        <v>0.57241299999999995</v>
      </c>
      <c r="BV2042">
        <v>0.09</v>
      </c>
      <c r="BW2042">
        <f>BV2042*SQRT(AK2042)</f>
        <v>0.18</v>
      </c>
      <c r="BX2042">
        <v>0.83853807899999999</v>
      </c>
      <c r="BY2042">
        <v>0.83853809999999995</v>
      </c>
      <c r="BZ2042">
        <v>0.11</v>
      </c>
      <c r="CA2042">
        <f>BZ2042*SQRT(AL2042)</f>
        <v>0.22</v>
      </c>
      <c r="CB2042">
        <v>56</v>
      </c>
      <c r="CD2042">
        <v>0.38200000000000001</v>
      </c>
      <c r="CE2042">
        <v>4.4900000000000002E-2</v>
      </c>
    </row>
    <row r="2043" spans="1:84" hidden="1" x14ac:dyDescent="0.2">
      <c r="D2043">
        <v>218</v>
      </c>
      <c r="G2043" t="s">
        <v>43</v>
      </c>
      <c r="H2043" t="s">
        <v>1025</v>
      </c>
      <c r="J2043">
        <v>2014</v>
      </c>
      <c r="M2043" t="s">
        <v>213</v>
      </c>
      <c r="T2043" t="s">
        <v>68</v>
      </c>
      <c r="U2043" t="s">
        <v>266</v>
      </c>
      <c r="V2043" t="s">
        <v>267</v>
      </c>
      <c r="AC2043" t="s">
        <v>51</v>
      </c>
      <c r="AF2043" t="s">
        <v>52</v>
      </c>
      <c r="AG2043" t="s">
        <v>52</v>
      </c>
      <c r="AH2043" t="s">
        <v>64</v>
      </c>
      <c r="AK2043">
        <v>3</v>
      </c>
      <c r="AL2043">
        <v>3</v>
      </c>
      <c r="AN2043">
        <v>545</v>
      </c>
      <c r="AU2043">
        <v>1169</v>
      </c>
      <c r="BB2043">
        <f>LOG(AU2043)</f>
        <v>3.0678145111618402</v>
      </c>
      <c r="BC2043">
        <v>11</v>
      </c>
      <c r="BF2043">
        <v>14</v>
      </c>
      <c r="BI2043">
        <v>624</v>
      </c>
      <c r="BJ2043">
        <v>2.5</v>
      </c>
      <c r="BL2043" t="s">
        <v>1026</v>
      </c>
      <c r="BM2043" t="s">
        <v>262</v>
      </c>
      <c r="BN2043" t="s">
        <v>81</v>
      </c>
      <c r="BO2043" t="s">
        <v>1027</v>
      </c>
      <c r="BP2043" t="s">
        <v>92</v>
      </c>
      <c r="BR2043" t="s">
        <v>63</v>
      </c>
      <c r="BT2043">
        <v>0.57199999999999995</v>
      </c>
      <c r="BU2043">
        <v>0.57199999999999995</v>
      </c>
      <c r="BV2043">
        <v>6.0999999999999999E-2</v>
      </c>
      <c r="BW2043">
        <f>BV2043*SQRT(AK2043)</f>
        <v>0.10565509926170151</v>
      </c>
      <c r="BX2043">
        <v>0.84</v>
      </c>
      <c r="BY2043">
        <v>0.84</v>
      </c>
      <c r="BZ2043">
        <v>0.215</v>
      </c>
      <c r="CA2043">
        <f>BZ2043*SQRT(AL2043)</f>
        <v>0.37239092362730858</v>
      </c>
      <c r="CB2043">
        <v>28</v>
      </c>
      <c r="CD2043">
        <v>0.38400000000000001</v>
      </c>
      <c r="CE2043">
        <v>7.6899999999999996E-2</v>
      </c>
    </row>
    <row r="2044" spans="1:84" hidden="1" x14ac:dyDescent="0.2">
      <c r="D2044">
        <v>216</v>
      </c>
      <c r="G2044" t="s">
        <v>43</v>
      </c>
      <c r="H2044" t="s">
        <v>1019</v>
      </c>
      <c r="J2044">
        <v>2011</v>
      </c>
      <c r="M2044" t="s">
        <v>869</v>
      </c>
      <c r="T2044" t="s">
        <v>46</v>
      </c>
      <c r="U2044" t="s">
        <v>1005</v>
      </c>
      <c r="V2044" t="s">
        <v>1020</v>
      </c>
      <c r="AC2044" t="s">
        <v>51</v>
      </c>
      <c r="AF2044" t="s">
        <v>52</v>
      </c>
      <c r="AG2044" t="s">
        <v>54</v>
      </c>
      <c r="AH2044" t="s">
        <v>55</v>
      </c>
      <c r="AK2044">
        <v>30</v>
      </c>
      <c r="AL2044">
        <v>30</v>
      </c>
      <c r="AN2044">
        <v>259</v>
      </c>
      <c r="AU2044">
        <v>774</v>
      </c>
      <c r="BB2044">
        <f>LOG(AU2044)</f>
        <v>2.8887409606828927</v>
      </c>
      <c r="BC2044">
        <v>5</v>
      </c>
      <c r="BF2044">
        <v>5</v>
      </c>
      <c r="BI2044">
        <v>515</v>
      </c>
      <c r="BJ2044">
        <v>0</v>
      </c>
      <c r="BK2044" t="s">
        <v>56</v>
      </c>
      <c r="BL2044" t="s">
        <v>58</v>
      </c>
      <c r="BM2044" t="s">
        <v>59</v>
      </c>
      <c r="BN2044" t="s">
        <v>60</v>
      </c>
      <c r="BO2044" t="s">
        <v>998</v>
      </c>
      <c r="BP2044" t="s">
        <v>62</v>
      </c>
      <c r="BR2044" t="s">
        <v>63</v>
      </c>
      <c r="BT2044">
        <v>0.56200000000000006</v>
      </c>
      <c r="BU2044">
        <v>0.56200000000000006</v>
      </c>
      <c r="BV2044">
        <v>0.05</v>
      </c>
      <c r="BW2044">
        <f>BV2044*SQRT(AK2044)</f>
        <v>0.27386127875258309</v>
      </c>
      <c r="BX2044">
        <v>0.96199999999999997</v>
      </c>
      <c r="BY2044">
        <v>0.96199999999999997</v>
      </c>
      <c r="BZ2044">
        <v>0.33061224500000003</v>
      </c>
      <c r="CA2044">
        <f>BZ2044*SQRT(AL2044)</f>
        <v>1.8108378437392458</v>
      </c>
      <c r="CB2044">
        <v>20</v>
      </c>
      <c r="CD2044">
        <v>0.53800000000000003</v>
      </c>
      <c r="CE2044">
        <v>0.126</v>
      </c>
    </row>
    <row r="2045" spans="1:84" hidden="1" x14ac:dyDescent="0.2">
      <c r="D2045">
        <v>228</v>
      </c>
      <c r="G2045" t="s">
        <v>43</v>
      </c>
      <c r="H2045" t="s">
        <v>1028</v>
      </c>
      <c r="J2045">
        <v>2018</v>
      </c>
      <c r="M2045" t="s">
        <v>1029</v>
      </c>
      <c r="T2045" t="s">
        <v>68</v>
      </c>
      <c r="U2045" t="s">
        <v>266</v>
      </c>
      <c r="V2045" t="s">
        <v>267</v>
      </c>
      <c r="AC2045" t="s">
        <v>51</v>
      </c>
      <c r="AF2045" t="s">
        <v>54</v>
      </c>
      <c r="AG2045" t="s">
        <v>52</v>
      </c>
      <c r="AH2045" t="s">
        <v>65</v>
      </c>
      <c r="AK2045">
        <v>5</v>
      </c>
      <c r="AL2045">
        <v>5</v>
      </c>
      <c r="AN2045">
        <v>386</v>
      </c>
      <c r="AU2045">
        <v>416</v>
      </c>
      <c r="BB2045">
        <f>LOG(AU2045)</f>
        <v>2.6190933306267428</v>
      </c>
      <c r="BC2045">
        <v>10</v>
      </c>
      <c r="BF2045">
        <v>15</v>
      </c>
      <c r="BI2045">
        <v>30</v>
      </c>
      <c r="BJ2045">
        <v>5</v>
      </c>
      <c r="BK2045" t="s">
        <v>1030</v>
      </c>
      <c r="BL2045" t="s">
        <v>1031</v>
      </c>
      <c r="BM2045" t="s">
        <v>218</v>
      </c>
      <c r="BN2045" t="s">
        <v>60</v>
      </c>
      <c r="BO2045" t="s">
        <v>219</v>
      </c>
      <c r="BP2045" t="s">
        <v>194</v>
      </c>
      <c r="BR2045" t="s">
        <v>63</v>
      </c>
      <c r="BT2045">
        <v>1.798255479</v>
      </c>
      <c r="BU2045">
        <v>1.7982549999999999</v>
      </c>
      <c r="BV2045">
        <v>0.27</v>
      </c>
      <c r="BW2045">
        <f>BV2045*SQRT(AK2045)</f>
        <v>0.60373835392494324</v>
      </c>
      <c r="BX2045">
        <v>0.96750359699999999</v>
      </c>
      <c r="BY2045">
        <v>0.96750360000000002</v>
      </c>
      <c r="BZ2045">
        <v>0.1</v>
      </c>
      <c r="CA2045">
        <f>BZ2045*SQRT(AL2045)</f>
        <v>0.22360679774997899</v>
      </c>
      <c r="CB2045">
        <v>24</v>
      </c>
      <c r="CD2045">
        <v>-0.62</v>
      </c>
      <c r="CE2045">
        <v>3.4200000000000001E-2</v>
      </c>
    </row>
    <row r="2046" spans="1:84" hidden="1" x14ac:dyDescent="0.2">
      <c r="D2046">
        <v>225</v>
      </c>
      <c r="G2046" t="s">
        <v>43</v>
      </c>
      <c r="H2046" t="s">
        <v>1032</v>
      </c>
      <c r="J2046">
        <v>2021</v>
      </c>
      <c r="M2046" t="s">
        <v>265</v>
      </c>
      <c r="T2046" t="s">
        <v>103</v>
      </c>
      <c r="U2046" t="s">
        <v>534</v>
      </c>
      <c r="V2046" t="s">
        <v>1033</v>
      </c>
      <c r="AC2046" t="s">
        <v>51</v>
      </c>
      <c r="AF2046" t="s">
        <v>52</v>
      </c>
      <c r="AG2046" t="s">
        <v>52</v>
      </c>
      <c r="AH2046" t="s">
        <v>64</v>
      </c>
      <c r="AK2046">
        <v>15</v>
      </c>
      <c r="AL2046">
        <v>15</v>
      </c>
      <c r="AN2046">
        <v>520</v>
      </c>
      <c r="AU2046">
        <v>1008</v>
      </c>
      <c r="BB2046">
        <f>LOG(AU2046)</f>
        <v>3.0034605321095067</v>
      </c>
      <c r="BC2046">
        <v>27.9</v>
      </c>
      <c r="BF2046">
        <v>32</v>
      </c>
      <c r="BI2046">
        <v>488</v>
      </c>
      <c r="BJ2046">
        <v>4.0999999999999996</v>
      </c>
      <c r="BL2046" t="s">
        <v>1034</v>
      </c>
      <c r="BM2046" t="s">
        <v>262</v>
      </c>
      <c r="BN2046" t="s">
        <v>81</v>
      </c>
      <c r="BO2046" t="s">
        <v>1035</v>
      </c>
      <c r="BP2046" t="s">
        <v>92</v>
      </c>
      <c r="BR2046" t="s">
        <v>63</v>
      </c>
      <c r="BT2046">
        <v>6.9979152569999998</v>
      </c>
      <c r="BU2046">
        <v>6.9979149999999999</v>
      </c>
      <c r="BV2046">
        <v>0.79</v>
      </c>
      <c r="BW2046">
        <f>BV2046*SQRT(AK2046)</f>
        <v>3.0596568435038596</v>
      </c>
      <c r="BX2046">
        <v>0.97376472199999997</v>
      </c>
      <c r="BY2046">
        <v>0.97376470000000004</v>
      </c>
      <c r="BZ2046">
        <v>1.31</v>
      </c>
      <c r="CA2046">
        <f>BZ2046*SQRT(AL2046)</f>
        <v>5.0736081835317162</v>
      </c>
      <c r="CB2046">
        <v>28</v>
      </c>
      <c r="CD2046">
        <v>-1.972</v>
      </c>
      <c r="CE2046">
        <v>1.81</v>
      </c>
    </row>
    <row r="2047" spans="1:84" hidden="1" x14ac:dyDescent="0.2">
      <c r="D2047">
        <v>216</v>
      </c>
      <c r="G2047" t="s">
        <v>43</v>
      </c>
      <c r="H2047" t="s">
        <v>1019</v>
      </c>
      <c r="J2047">
        <v>2011</v>
      </c>
      <c r="M2047" t="s">
        <v>869</v>
      </c>
      <c r="T2047" t="s">
        <v>46</v>
      </c>
      <c r="U2047" t="s">
        <v>1005</v>
      </c>
      <c r="V2047" t="s">
        <v>1020</v>
      </c>
      <c r="AC2047" t="s">
        <v>51</v>
      </c>
      <c r="AF2047" t="s">
        <v>52</v>
      </c>
      <c r="AG2047" t="s">
        <v>52</v>
      </c>
      <c r="AH2047" t="s">
        <v>64</v>
      </c>
      <c r="AK2047">
        <v>30</v>
      </c>
      <c r="AL2047">
        <v>30</v>
      </c>
      <c r="AN2047">
        <v>259</v>
      </c>
      <c r="AU2047">
        <v>691</v>
      </c>
      <c r="BB2047">
        <f>LOG(AU2047)</f>
        <v>2.8394780473741985</v>
      </c>
      <c r="BC2047">
        <v>5</v>
      </c>
      <c r="BF2047">
        <v>8.5</v>
      </c>
      <c r="BI2047">
        <v>432</v>
      </c>
      <c r="BJ2047">
        <v>3.5</v>
      </c>
      <c r="BK2047" t="s">
        <v>56</v>
      </c>
      <c r="BL2047" t="s">
        <v>58</v>
      </c>
      <c r="BM2047" t="s">
        <v>59</v>
      </c>
      <c r="BN2047" t="s">
        <v>60</v>
      </c>
      <c r="BO2047" t="s">
        <v>998</v>
      </c>
      <c r="BP2047" t="s">
        <v>62</v>
      </c>
      <c r="BR2047" t="s">
        <v>63</v>
      </c>
      <c r="BT2047">
        <v>0.56200000000000006</v>
      </c>
      <c r="BU2047">
        <v>0.56200000000000006</v>
      </c>
      <c r="BV2047">
        <v>0.05</v>
      </c>
      <c r="BW2047">
        <f>BV2047*SQRT(AK2047)</f>
        <v>0.27386127875258309</v>
      </c>
      <c r="BX2047">
        <v>0.99399999999999999</v>
      </c>
      <c r="BY2047">
        <v>0.99399999999999999</v>
      </c>
      <c r="BZ2047">
        <v>0.13673469399999999</v>
      </c>
      <c r="CA2047">
        <f>BZ2047*SQRT(AL2047)</f>
        <v>0.7489267629736629</v>
      </c>
      <c r="CB2047">
        <v>20</v>
      </c>
      <c r="CD2047">
        <v>0.56999999999999995</v>
      </c>
      <c r="CE2047">
        <v>2.6800000000000001E-2</v>
      </c>
    </row>
    <row r="2048" spans="1:84" hidden="1" x14ac:dyDescent="0.2">
      <c r="D2048">
        <v>214</v>
      </c>
      <c r="G2048" t="s">
        <v>43</v>
      </c>
      <c r="H2048" t="s">
        <v>1022</v>
      </c>
      <c r="J2048">
        <v>2011</v>
      </c>
      <c r="M2048" t="s">
        <v>236</v>
      </c>
      <c r="T2048" t="s">
        <v>68</v>
      </c>
      <c r="U2048" t="s">
        <v>258</v>
      </c>
      <c r="V2048" t="s">
        <v>259</v>
      </c>
      <c r="AC2048" t="s">
        <v>51</v>
      </c>
      <c r="AF2048" t="s">
        <v>54</v>
      </c>
      <c r="AG2048" t="s">
        <v>52</v>
      </c>
      <c r="AH2048" t="s">
        <v>65</v>
      </c>
      <c r="AK2048">
        <v>4</v>
      </c>
      <c r="AL2048">
        <v>4</v>
      </c>
      <c r="AN2048">
        <v>428</v>
      </c>
      <c r="AU2048">
        <v>428</v>
      </c>
      <c r="BB2048">
        <f>LOG(AU2048)</f>
        <v>2.6314437690131722</v>
      </c>
      <c r="BC2048">
        <v>14.4</v>
      </c>
      <c r="BF2048">
        <v>20.9</v>
      </c>
      <c r="BI2048">
        <v>0</v>
      </c>
      <c r="BJ2048">
        <v>6.5</v>
      </c>
      <c r="BK2048" t="s">
        <v>56</v>
      </c>
      <c r="BL2048" t="s">
        <v>1023</v>
      </c>
      <c r="BM2048" t="s">
        <v>592</v>
      </c>
      <c r="BN2048" t="s">
        <v>81</v>
      </c>
      <c r="BO2048" t="s">
        <v>1024</v>
      </c>
      <c r="BP2048" t="s">
        <v>194</v>
      </c>
      <c r="BR2048" t="s">
        <v>63</v>
      </c>
      <c r="BT2048">
        <v>2.16</v>
      </c>
      <c r="BU2048">
        <v>2.1579999999999999</v>
      </c>
      <c r="BV2048">
        <v>0.1</v>
      </c>
      <c r="BW2048">
        <f>BV2048*SQRT(AK2048)</f>
        <v>0.2</v>
      </c>
      <c r="BX2048">
        <v>1.01</v>
      </c>
      <c r="BY2048">
        <v>1.014</v>
      </c>
      <c r="BZ2048">
        <v>7.0000000000000007E-2</v>
      </c>
      <c r="CA2048">
        <f>BZ2048*SQRT(AL2048)</f>
        <v>0.14000000000000001</v>
      </c>
      <c r="CB2048">
        <v>30</v>
      </c>
      <c r="CD2048">
        <v>-0.755</v>
      </c>
      <c r="CE2048">
        <v>6.3E-3</v>
      </c>
    </row>
    <row r="2049" spans="2:83" hidden="1" x14ac:dyDescent="0.2">
      <c r="D2049">
        <v>214</v>
      </c>
      <c r="G2049" t="s">
        <v>43</v>
      </c>
      <c r="H2049" t="s">
        <v>1022</v>
      </c>
      <c r="J2049">
        <v>2011</v>
      </c>
      <c r="M2049" t="s">
        <v>236</v>
      </c>
      <c r="T2049" t="s">
        <v>68</v>
      </c>
      <c r="U2049" t="s">
        <v>258</v>
      </c>
      <c r="V2049" t="s">
        <v>259</v>
      </c>
      <c r="AC2049" t="s">
        <v>51</v>
      </c>
      <c r="AF2049" t="s">
        <v>52</v>
      </c>
      <c r="AG2049" t="s">
        <v>54</v>
      </c>
      <c r="AH2049" t="s">
        <v>55</v>
      </c>
      <c r="AK2049">
        <v>4</v>
      </c>
      <c r="AL2049">
        <v>4</v>
      </c>
      <c r="AN2049">
        <v>428</v>
      </c>
      <c r="AU2049">
        <v>998</v>
      </c>
      <c r="BB2049">
        <f>LOG(AU2049)</f>
        <v>2.999130541287371</v>
      </c>
      <c r="BC2049">
        <v>14.4</v>
      </c>
      <c r="BF2049">
        <v>14.9</v>
      </c>
      <c r="BI2049">
        <v>570</v>
      </c>
      <c r="BJ2049">
        <v>0.5</v>
      </c>
      <c r="BK2049" t="s">
        <v>56</v>
      </c>
      <c r="BL2049" t="s">
        <v>1023</v>
      </c>
      <c r="BM2049" t="s">
        <v>592</v>
      </c>
      <c r="BN2049" t="s">
        <v>81</v>
      </c>
      <c r="BO2049" t="s">
        <v>1024</v>
      </c>
      <c r="BP2049" t="s">
        <v>194</v>
      </c>
      <c r="BR2049" t="s">
        <v>63</v>
      </c>
      <c r="BT2049">
        <v>2.16</v>
      </c>
      <c r="BU2049">
        <v>2.1579999999999999</v>
      </c>
      <c r="BV2049">
        <v>0.1</v>
      </c>
      <c r="BW2049">
        <f>BV2049*SQRT(AK2049)</f>
        <v>0.2</v>
      </c>
      <c r="BX2049">
        <v>1.02</v>
      </c>
      <c r="BY2049">
        <v>1.016</v>
      </c>
      <c r="BZ2049">
        <v>0.06</v>
      </c>
      <c r="CA2049">
        <f>BZ2049*SQRT(AL2049)</f>
        <v>0.12</v>
      </c>
      <c r="CB2049">
        <v>30</v>
      </c>
      <c r="CD2049">
        <v>-0.753</v>
      </c>
      <c r="CE2049">
        <v>5.7000000000000002E-3</v>
      </c>
    </row>
    <row r="2050" spans="2:83" hidden="1" x14ac:dyDescent="0.2">
      <c r="D2050">
        <v>234</v>
      </c>
      <c r="G2050" t="s">
        <v>43</v>
      </c>
      <c r="H2050" t="s">
        <v>1007</v>
      </c>
      <c r="J2050">
        <v>2018</v>
      </c>
      <c r="M2050" t="s">
        <v>802</v>
      </c>
      <c r="T2050" t="s">
        <v>103</v>
      </c>
      <c r="V2050" t="s">
        <v>1008</v>
      </c>
      <c r="AC2050" t="s">
        <v>51</v>
      </c>
      <c r="AF2050" t="s">
        <v>52</v>
      </c>
      <c r="AG2050" t="s">
        <v>54</v>
      </c>
      <c r="AH2050" t="s">
        <v>55</v>
      </c>
      <c r="AK2050">
        <v>10</v>
      </c>
      <c r="AL2050">
        <v>10</v>
      </c>
      <c r="AN2050">
        <v>667</v>
      </c>
      <c r="AU2050">
        <v>1387</v>
      </c>
      <c r="BB2050">
        <f>LOG(AU2050)</f>
        <v>3.1420764610732848</v>
      </c>
      <c r="BC2050">
        <v>25.8</v>
      </c>
      <c r="BF2050">
        <v>26.4</v>
      </c>
      <c r="BI2050">
        <v>720</v>
      </c>
      <c r="BJ2050">
        <v>0.6</v>
      </c>
      <c r="BL2050" t="s">
        <v>1009</v>
      </c>
      <c r="BM2050" t="s">
        <v>232</v>
      </c>
      <c r="BN2050" t="s">
        <v>81</v>
      </c>
      <c r="BO2050" t="s">
        <v>1010</v>
      </c>
      <c r="BP2050" t="s">
        <v>234</v>
      </c>
      <c r="BR2050" t="s">
        <v>63</v>
      </c>
      <c r="BT2050">
        <v>1.117749712</v>
      </c>
      <c r="BU2050">
        <v>1.11775</v>
      </c>
      <c r="BV2050">
        <v>0.239064889</v>
      </c>
      <c r="BW2050">
        <f>BV2050*SQRT(AK2050)</f>
        <v>0.75598955781533339</v>
      </c>
      <c r="BX2050">
        <v>1.0380676870000001</v>
      </c>
      <c r="BY2050">
        <v>1.0380677</v>
      </c>
      <c r="BZ2050">
        <v>0.22310966900000001</v>
      </c>
      <c r="CA2050">
        <f>BZ2050*SQRT(AL2050)</f>
        <v>0.70553472204626166</v>
      </c>
      <c r="CB2050">
        <v>2</v>
      </c>
      <c r="CD2050">
        <v>-7.3999999999999996E-2</v>
      </c>
      <c r="CE2050">
        <v>9.1899999999999996E-2</v>
      </c>
    </row>
    <row r="2051" spans="2:83" hidden="1" x14ac:dyDescent="0.2">
      <c r="D2051">
        <v>216</v>
      </c>
      <c r="G2051" t="s">
        <v>43</v>
      </c>
      <c r="H2051" t="s">
        <v>1019</v>
      </c>
      <c r="J2051">
        <v>2011</v>
      </c>
      <c r="M2051" t="s">
        <v>869</v>
      </c>
      <c r="T2051" t="s">
        <v>46</v>
      </c>
      <c r="U2051" t="s">
        <v>1005</v>
      </c>
      <c r="V2051" t="s">
        <v>1020</v>
      </c>
      <c r="AC2051" t="s">
        <v>51</v>
      </c>
      <c r="AF2051" t="s">
        <v>52</v>
      </c>
      <c r="AG2051" t="s">
        <v>54</v>
      </c>
      <c r="AH2051" t="s">
        <v>55</v>
      </c>
      <c r="AK2051">
        <v>30</v>
      </c>
      <c r="AL2051">
        <v>30</v>
      </c>
      <c r="AN2051">
        <v>259</v>
      </c>
      <c r="AU2051">
        <v>1788</v>
      </c>
      <c r="BB2051">
        <f>LOG(AU2051)</f>
        <v>3.2523675144598987</v>
      </c>
      <c r="BC2051">
        <v>5</v>
      </c>
      <c r="BF2051">
        <v>5</v>
      </c>
      <c r="BI2051">
        <v>1529</v>
      </c>
      <c r="BJ2051">
        <v>0</v>
      </c>
      <c r="BK2051" t="s">
        <v>56</v>
      </c>
      <c r="BL2051" t="s">
        <v>58</v>
      </c>
      <c r="BM2051" t="s">
        <v>59</v>
      </c>
      <c r="BN2051" t="s">
        <v>60</v>
      </c>
      <c r="BO2051" t="s">
        <v>998</v>
      </c>
      <c r="BP2051" t="s">
        <v>62</v>
      </c>
      <c r="BR2051" t="s">
        <v>63</v>
      </c>
      <c r="BT2051">
        <v>0.56200000000000006</v>
      </c>
      <c r="BU2051">
        <v>0.56200000000000006</v>
      </c>
      <c r="BV2051">
        <v>0.05</v>
      </c>
      <c r="BW2051">
        <f>BV2051*SQRT(AK2051)</f>
        <v>0.27386127875258309</v>
      </c>
      <c r="BX2051">
        <v>1.069</v>
      </c>
      <c r="BY2051">
        <v>1.069</v>
      </c>
      <c r="BZ2051">
        <v>0.29387755100000001</v>
      </c>
      <c r="CA2051">
        <f>BZ2051*SQRT(AL2051)</f>
        <v>1.609633638270749</v>
      </c>
      <c r="CB2051">
        <v>20</v>
      </c>
      <c r="CD2051">
        <v>0.64300000000000002</v>
      </c>
      <c r="CE2051">
        <v>8.3500000000000005E-2</v>
      </c>
    </row>
    <row r="2052" spans="2:83" hidden="1" x14ac:dyDescent="0.2">
      <c r="D2052">
        <v>242</v>
      </c>
      <c r="G2052" t="s">
        <v>43</v>
      </c>
      <c r="H2052" t="s">
        <v>1011</v>
      </c>
      <c r="J2052">
        <v>2021</v>
      </c>
      <c r="M2052" t="s">
        <v>872</v>
      </c>
      <c r="T2052" t="s">
        <v>68</v>
      </c>
      <c r="U2052" t="s">
        <v>1012</v>
      </c>
      <c r="V2052" t="s">
        <v>1013</v>
      </c>
      <c r="AC2052" t="s">
        <v>51</v>
      </c>
      <c r="AF2052" t="s">
        <v>54</v>
      </c>
      <c r="AG2052" t="s">
        <v>52</v>
      </c>
      <c r="AH2052" t="s">
        <v>65</v>
      </c>
      <c r="AK2052">
        <v>4</v>
      </c>
      <c r="AL2052">
        <v>4</v>
      </c>
      <c r="AN2052">
        <v>456</v>
      </c>
      <c r="AU2052">
        <v>458</v>
      </c>
      <c r="BB2052">
        <f>LOG(AU2052)</f>
        <v>2.6608654780038692</v>
      </c>
      <c r="BC2052">
        <v>21</v>
      </c>
      <c r="BF2052">
        <v>24</v>
      </c>
      <c r="BI2052">
        <v>2</v>
      </c>
      <c r="BJ2052">
        <v>3</v>
      </c>
      <c r="BL2052" t="s">
        <v>430</v>
      </c>
      <c r="BM2052" t="s">
        <v>75</v>
      </c>
      <c r="BN2052" t="s">
        <v>60</v>
      </c>
      <c r="BO2052" t="s">
        <v>76</v>
      </c>
      <c r="BP2052" t="s">
        <v>77</v>
      </c>
      <c r="BR2052" t="s">
        <v>63</v>
      </c>
      <c r="BT2052">
        <v>0.57241255099999999</v>
      </c>
      <c r="BU2052">
        <v>0.57241299999999995</v>
      </c>
      <c r="BV2052">
        <v>0.09</v>
      </c>
      <c r="BW2052">
        <f>BV2052*SQRT(AK2052)</f>
        <v>0.18</v>
      </c>
      <c r="BX2052">
        <v>1.108202906</v>
      </c>
      <c r="BY2052">
        <v>1.1082029</v>
      </c>
      <c r="BZ2052">
        <v>0.13</v>
      </c>
      <c r="CA2052">
        <f>BZ2052*SQRT(AL2052)</f>
        <v>0.26</v>
      </c>
      <c r="CB2052">
        <v>56</v>
      </c>
      <c r="CD2052">
        <v>0.66100000000000003</v>
      </c>
      <c r="CE2052">
        <v>4.0500000000000001E-2</v>
      </c>
    </row>
    <row r="2053" spans="2:83" hidden="1" x14ac:dyDescent="0.2">
      <c r="B2053" t="str">
        <f>ROW()-1&amp;"_AltersInvert"</f>
        <v>2052_AltersInvert</v>
      </c>
      <c r="C2053" t="str">
        <f>D2053&amp;"_"&amp;
SUBSTITUTE(TRIM(V2053)," ","_")&amp;"_"&amp;
TRIM(AC2053)&amp;"_"&amp;
"CO2"&amp;TEXT(AN2053,"0.00")&amp;"_"&amp;
"pH"&amp;TEXT(AR2053,"0.00")&amp;"_"&amp;
"T"&amp;TEXT(BC2053,"0.##")</f>
        <v>191_Pandalus_Borealis_LARVA_CO2406.00_pH8.11_T6.7</v>
      </c>
      <c r="D2053">
        <v>191</v>
      </c>
      <c r="G2053" t="s">
        <v>43</v>
      </c>
      <c r="H2053" t="s">
        <v>901</v>
      </c>
      <c r="J2053">
        <v>2013</v>
      </c>
      <c r="M2053" t="s">
        <v>67</v>
      </c>
      <c r="P2053" t="s">
        <v>1135</v>
      </c>
      <c r="R2053" t="s">
        <v>1127</v>
      </c>
      <c r="S2053" t="s">
        <v>1128</v>
      </c>
      <c r="T2053" t="s">
        <v>131</v>
      </c>
      <c r="U2053" t="s">
        <v>902</v>
      </c>
      <c r="V2053" t="s">
        <v>903</v>
      </c>
      <c r="Z2053" t="s">
        <v>475</v>
      </c>
      <c r="AA2053" t="s">
        <v>475</v>
      </c>
      <c r="AB2053" t="s">
        <v>71</v>
      </c>
      <c r="AC2053" t="s">
        <v>72</v>
      </c>
      <c r="AD2053" t="s">
        <v>52</v>
      </c>
      <c r="AE2053" t="s">
        <v>53</v>
      </c>
      <c r="AF2053" t="s">
        <v>54</v>
      </c>
      <c r="AG2053" t="s">
        <v>52</v>
      </c>
      <c r="AH2053" t="s">
        <v>65</v>
      </c>
      <c r="AK2053">
        <v>33</v>
      </c>
      <c r="AL2053">
        <v>27</v>
      </c>
      <c r="AN2053">
        <v>406</v>
      </c>
      <c r="AO2053" t="s">
        <v>56</v>
      </c>
      <c r="AP2053" t="s">
        <v>56</v>
      </c>
      <c r="AQ2053" t="s">
        <v>57</v>
      </c>
      <c r="AR2053">
        <v>8.11</v>
      </c>
      <c r="AS2053" t="s">
        <v>56</v>
      </c>
      <c r="AT2053" t="s">
        <v>56</v>
      </c>
      <c r="AU2053">
        <v>443</v>
      </c>
      <c r="AV2053" t="s">
        <v>56</v>
      </c>
      <c r="AW2053" t="s">
        <v>56</v>
      </c>
      <c r="AX2053">
        <v>8.08</v>
      </c>
      <c r="AY2053" t="s">
        <v>56</v>
      </c>
      <c r="AZ2053" t="s">
        <v>56</v>
      </c>
      <c r="BB2053">
        <f>LOG(AU2053)</f>
        <v>2.6464037262230695</v>
      </c>
      <c r="BC2053">
        <v>6.7</v>
      </c>
      <c r="BD2053">
        <v>0.2</v>
      </c>
      <c r="BE2053" t="s">
        <v>56</v>
      </c>
      <c r="BF2053">
        <v>9.5</v>
      </c>
      <c r="BG2053">
        <v>0.1</v>
      </c>
      <c r="BH2053" t="s">
        <v>56</v>
      </c>
      <c r="BI2053">
        <v>37</v>
      </c>
      <c r="BJ2053">
        <v>2.8</v>
      </c>
      <c r="BK2053" t="s">
        <v>904</v>
      </c>
      <c r="BL2053" t="s">
        <v>905</v>
      </c>
      <c r="BM2053" t="s">
        <v>226</v>
      </c>
      <c r="BN2053" t="s">
        <v>60</v>
      </c>
      <c r="BO2053" t="s">
        <v>82</v>
      </c>
      <c r="BP2053" t="s">
        <v>9</v>
      </c>
      <c r="BQ2053" t="s">
        <v>9</v>
      </c>
      <c r="BR2053" t="s">
        <v>84</v>
      </c>
      <c r="BT2053">
        <v>63.51</v>
      </c>
      <c r="BU2053">
        <v>63.51</v>
      </c>
      <c r="BV2053">
        <v>4.96</v>
      </c>
      <c r="BW2053">
        <f>BV2053*SQRT(AK2053)</f>
        <v>28.493030726828621</v>
      </c>
      <c r="BX2053">
        <v>72.92</v>
      </c>
      <c r="BY2053">
        <v>72.92</v>
      </c>
      <c r="BZ2053">
        <v>5</v>
      </c>
      <c r="CA2053">
        <f>BZ2053*SQRT(AL2053)</f>
        <v>25.98076211353316</v>
      </c>
      <c r="CB2053">
        <v>16</v>
      </c>
      <c r="CC2053">
        <v>8</v>
      </c>
      <c r="CD2053">
        <v>0.13800000000000001</v>
      </c>
      <c r="CE2053">
        <v>1.0800000000000001E-2</v>
      </c>
    </row>
    <row r="2054" spans="2:83" hidden="1" x14ac:dyDescent="0.2">
      <c r="D2054">
        <v>218</v>
      </c>
      <c r="G2054" t="s">
        <v>43</v>
      </c>
      <c r="H2054" t="s">
        <v>1025</v>
      </c>
      <c r="J2054">
        <v>2014</v>
      </c>
      <c r="M2054" t="s">
        <v>213</v>
      </c>
      <c r="T2054" t="s">
        <v>68</v>
      </c>
      <c r="U2054" t="s">
        <v>266</v>
      </c>
      <c r="V2054" t="s">
        <v>267</v>
      </c>
      <c r="AC2054" t="s">
        <v>51</v>
      </c>
      <c r="AF2054" t="s">
        <v>52</v>
      </c>
      <c r="AG2054" t="s">
        <v>52</v>
      </c>
      <c r="AH2054" t="s">
        <v>64</v>
      </c>
      <c r="AK2054">
        <v>3</v>
      </c>
      <c r="AL2054">
        <v>3</v>
      </c>
      <c r="AN2054">
        <v>545</v>
      </c>
      <c r="AU2054">
        <v>1144</v>
      </c>
      <c r="BB2054">
        <f>LOG(AU2054)</f>
        <v>3.0584260244570052</v>
      </c>
      <c r="BC2054">
        <v>11</v>
      </c>
      <c r="BF2054">
        <v>16</v>
      </c>
      <c r="BI2054">
        <v>599</v>
      </c>
      <c r="BJ2054">
        <v>4.5</v>
      </c>
      <c r="BL2054" t="s">
        <v>1026</v>
      </c>
      <c r="BM2054" t="s">
        <v>262</v>
      </c>
      <c r="BN2054" t="s">
        <v>81</v>
      </c>
      <c r="BO2054" t="s">
        <v>1027</v>
      </c>
      <c r="BP2054" t="s">
        <v>92</v>
      </c>
      <c r="BR2054" t="s">
        <v>63</v>
      </c>
      <c r="BT2054">
        <v>0.57199999999999995</v>
      </c>
      <c r="BU2054">
        <v>0.57199999999999995</v>
      </c>
      <c r="BV2054">
        <v>6.0999999999999999E-2</v>
      </c>
      <c r="BW2054">
        <f>BV2054*SQRT(AK2054)</f>
        <v>0.10565509926170151</v>
      </c>
      <c r="BX2054">
        <v>1.161</v>
      </c>
      <c r="BY2054">
        <v>1.161</v>
      </c>
      <c r="BZ2054">
        <v>0.32200000000000001</v>
      </c>
      <c r="CA2054">
        <f>BZ2054*SQRT(AL2054)</f>
        <v>0.55772036003717851</v>
      </c>
      <c r="CB2054">
        <v>28</v>
      </c>
      <c r="CD2054">
        <v>0.70799999999999996</v>
      </c>
      <c r="CE2054">
        <v>8.8300000000000003E-2</v>
      </c>
    </row>
    <row r="2055" spans="2:83" hidden="1" x14ac:dyDescent="0.2">
      <c r="D2055">
        <v>213</v>
      </c>
      <c r="G2055" t="s">
        <v>43</v>
      </c>
      <c r="H2055" t="s">
        <v>1004</v>
      </c>
      <c r="J2055">
        <v>2010</v>
      </c>
      <c r="M2055" t="s">
        <v>67</v>
      </c>
      <c r="T2055" t="s">
        <v>46</v>
      </c>
      <c r="U2055" t="s">
        <v>1005</v>
      </c>
      <c r="V2055" t="s">
        <v>1006</v>
      </c>
      <c r="AC2055" t="s">
        <v>51</v>
      </c>
      <c r="AF2055" t="s">
        <v>52</v>
      </c>
      <c r="AG2055" t="s">
        <v>54</v>
      </c>
      <c r="AH2055" t="s">
        <v>55</v>
      </c>
      <c r="AK2055">
        <v>6</v>
      </c>
      <c r="AL2055">
        <v>6</v>
      </c>
      <c r="AN2055">
        <v>553</v>
      </c>
      <c r="AU2055">
        <v>2546</v>
      </c>
      <c r="BB2055">
        <f>LOG(AU2055)</f>
        <v>3.4058583993176366</v>
      </c>
      <c r="BC2055">
        <v>10.4</v>
      </c>
      <c r="BF2055">
        <v>10.3</v>
      </c>
      <c r="BI2055">
        <v>1993</v>
      </c>
      <c r="BJ2055">
        <v>-0.1</v>
      </c>
      <c r="BK2055" t="s">
        <v>56</v>
      </c>
      <c r="BL2055" t="s">
        <v>1040</v>
      </c>
      <c r="BM2055" t="s">
        <v>478</v>
      </c>
      <c r="BN2055" t="s">
        <v>340</v>
      </c>
      <c r="BO2055" t="s">
        <v>479</v>
      </c>
      <c r="BP2055" t="s">
        <v>77</v>
      </c>
      <c r="BR2055" t="s">
        <v>63</v>
      </c>
      <c r="BT2055">
        <v>2.39</v>
      </c>
      <c r="BU2055">
        <v>2.391</v>
      </c>
      <c r="BV2055">
        <v>0.27</v>
      </c>
      <c r="BW2055">
        <f>BV2055*SQRT(AK2055)</f>
        <v>0.66136223055145804</v>
      </c>
      <c r="BX2055">
        <v>1.35</v>
      </c>
      <c r="BY2055">
        <v>1.345</v>
      </c>
      <c r="BZ2055">
        <v>0.15</v>
      </c>
      <c r="CA2055">
        <f>BZ2055*SQRT(AL2055)</f>
        <v>0.36742346141747667</v>
      </c>
      <c r="CB2055">
        <v>40</v>
      </c>
      <c r="CD2055">
        <v>-0.57499999999999996</v>
      </c>
      <c r="CE2055">
        <v>2.53E-2</v>
      </c>
    </row>
    <row r="2056" spans="2:83" hidden="1" x14ac:dyDescent="0.2">
      <c r="D2056">
        <v>226</v>
      </c>
      <c r="G2056" t="s">
        <v>43</v>
      </c>
      <c r="H2056" t="s">
        <v>1015</v>
      </c>
      <c r="J2056">
        <v>2019</v>
      </c>
      <c r="M2056" t="s">
        <v>1016</v>
      </c>
      <c r="T2056" t="s">
        <v>68</v>
      </c>
      <c r="U2056" t="s">
        <v>266</v>
      </c>
      <c r="V2056" t="s">
        <v>1017</v>
      </c>
      <c r="AC2056" t="s">
        <v>51</v>
      </c>
      <c r="AF2056" t="s">
        <v>52</v>
      </c>
      <c r="AG2056" t="s">
        <v>52</v>
      </c>
      <c r="AH2056" t="s">
        <v>64</v>
      </c>
      <c r="AK2056">
        <v>8</v>
      </c>
      <c r="AL2056">
        <v>8</v>
      </c>
      <c r="AN2056">
        <v>401</v>
      </c>
      <c r="AU2056">
        <v>1104</v>
      </c>
      <c r="BB2056">
        <f>LOG(AU2056)</f>
        <v>3.0429690733931802</v>
      </c>
      <c r="BC2056">
        <v>9.9</v>
      </c>
      <c r="BF2056">
        <v>17.899999999999999</v>
      </c>
      <c r="BI2056">
        <v>703</v>
      </c>
      <c r="BJ2056">
        <v>8</v>
      </c>
      <c r="BL2056" t="s">
        <v>1018</v>
      </c>
      <c r="BM2056" t="s">
        <v>98</v>
      </c>
      <c r="BN2056" t="s">
        <v>81</v>
      </c>
      <c r="BO2056" t="s">
        <v>439</v>
      </c>
      <c r="BP2056" t="s">
        <v>100</v>
      </c>
      <c r="BR2056" t="s">
        <v>63</v>
      </c>
      <c r="BT2056">
        <v>1.518367163</v>
      </c>
      <c r="BU2056">
        <v>1.518367</v>
      </c>
      <c r="BV2056">
        <v>0.12</v>
      </c>
      <c r="BW2056">
        <f>BV2056*SQRT(AK2056)</f>
        <v>0.33941125496954283</v>
      </c>
      <c r="BX2056">
        <v>1.3780185730000001</v>
      </c>
      <c r="BY2056">
        <v>1.3780186000000001</v>
      </c>
      <c r="BZ2056">
        <v>0.16</v>
      </c>
      <c r="CA2056">
        <f>BZ2056*SQRT(AL2056)</f>
        <v>0.45254833995939048</v>
      </c>
      <c r="CB2056">
        <v>3</v>
      </c>
      <c r="CD2056">
        <v>-9.7000000000000003E-2</v>
      </c>
      <c r="CE2056">
        <v>1.9599999999999999E-2</v>
      </c>
    </row>
    <row r="2057" spans="2:83" hidden="1" x14ac:dyDescent="0.2">
      <c r="D2057">
        <v>220</v>
      </c>
      <c r="G2057" t="s">
        <v>43</v>
      </c>
      <c r="H2057" t="s">
        <v>999</v>
      </c>
      <c r="J2057">
        <v>2016</v>
      </c>
      <c r="M2057" t="s">
        <v>1000</v>
      </c>
      <c r="T2057" t="s">
        <v>136</v>
      </c>
      <c r="U2057" t="s">
        <v>321</v>
      </c>
      <c r="V2057" t="s">
        <v>322</v>
      </c>
      <c r="AC2057" t="s">
        <v>108</v>
      </c>
      <c r="AF2057" t="s">
        <v>52</v>
      </c>
      <c r="AG2057" t="s">
        <v>54</v>
      </c>
      <c r="AH2057" t="s">
        <v>55</v>
      </c>
      <c r="AK2057">
        <v>12</v>
      </c>
      <c r="AL2057">
        <v>12</v>
      </c>
      <c r="AN2057">
        <v>386</v>
      </c>
      <c r="AU2057">
        <v>1248</v>
      </c>
      <c r="BB2057">
        <f>LOG(AU2057)</f>
        <v>3.0962145853464054</v>
      </c>
      <c r="BC2057">
        <v>27</v>
      </c>
      <c r="BF2057">
        <v>26.9</v>
      </c>
      <c r="BI2057">
        <v>862</v>
      </c>
      <c r="BJ2057">
        <v>-0.1</v>
      </c>
      <c r="BK2057" t="s">
        <v>1001</v>
      </c>
      <c r="BL2057" t="s">
        <v>262</v>
      </c>
      <c r="BM2057" t="s">
        <v>249</v>
      </c>
      <c r="BN2057" t="s">
        <v>60</v>
      </c>
      <c r="BO2057" t="s">
        <v>1041</v>
      </c>
      <c r="BP2057" t="s">
        <v>9</v>
      </c>
      <c r="BR2057" t="s">
        <v>63</v>
      </c>
      <c r="BT2057">
        <v>1.5308999999999999</v>
      </c>
      <c r="BU2057">
        <v>1.5308999999999999</v>
      </c>
      <c r="BV2057">
        <v>0.03</v>
      </c>
      <c r="BW2057">
        <f>BV2057*SQRT(AK2057)</f>
        <v>0.10392304845413262</v>
      </c>
      <c r="BX2057">
        <v>1.3955</v>
      </c>
      <c r="BY2057">
        <v>1.3955</v>
      </c>
      <c r="BZ2057">
        <v>0.02</v>
      </c>
      <c r="CA2057">
        <f>BZ2057*SQRT(AL2057)</f>
        <v>6.9282032302755092E-2</v>
      </c>
      <c r="CB2057">
        <v>7</v>
      </c>
      <c r="CD2057">
        <v>-9.2999999999999999E-2</v>
      </c>
      <c r="CE2057">
        <v>5.0000000000000001E-4</v>
      </c>
    </row>
    <row r="2058" spans="2:83" hidden="1" x14ac:dyDescent="0.2">
      <c r="D2058">
        <v>220</v>
      </c>
      <c r="G2058" t="s">
        <v>43</v>
      </c>
      <c r="H2058" t="s">
        <v>999</v>
      </c>
      <c r="J2058">
        <v>2016</v>
      </c>
      <c r="M2058" t="s">
        <v>1000</v>
      </c>
      <c r="T2058" t="s">
        <v>136</v>
      </c>
      <c r="U2058" t="s">
        <v>321</v>
      </c>
      <c r="V2058" t="s">
        <v>322</v>
      </c>
      <c r="AC2058" t="s">
        <v>108</v>
      </c>
      <c r="AF2058" t="s">
        <v>52</v>
      </c>
      <c r="AG2058" t="s">
        <v>52</v>
      </c>
      <c r="AH2058" t="s">
        <v>64</v>
      </c>
      <c r="AK2058">
        <v>12</v>
      </c>
      <c r="AL2058">
        <v>12</v>
      </c>
      <c r="AN2058">
        <v>386</v>
      </c>
      <c r="AU2058">
        <v>1222</v>
      </c>
      <c r="BB2058">
        <f>LOG(AU2058)</f>
        <v>3.0870712059065353</v>
      </c>
      <c r="BC2058">
        <v>27</v>
      </c>
      <c r="BF2058">
        <v>29.8</v>
      </c>
      <c r="BI2058">
        <v>836</v>
      </c>
      <c r="BJ2058">
        <v>2.8</v>
      </c>
      <c r="BK2058" t="s">
        <v>1001</v>
      </c>
      <c r="BL2058" t="s">
        <v>262</v>
      </c>
      <c r="BM2058" t="s">
        <v>249</v>
      </c>
      <c r="BN2058" t="s">
        <v>60</v>
      </c>
      <c r="BO2058" t="s">
        <v>1041</v>
      </c>
      <c r="BP2058" t="s">
        <v>9</v>
      </c>
      <c r="BR2058" t="s">
        <v>63</v>
      </c>
      <c r="BT2058">
        <v>1.5308999999999999</v>
      </c>
      <c r="BU2058">
        <v>1.5308999999999999</v>
      </c>
      <c r="BV2058">
        <v>0.03</v>
      </c>
      <c r="BW2058">
        <f>BV2058*SQRT(AK2058)</f>
        <v>0.10392304845413262</v>
      </c>
      <c r="BX2058">
        <v>1.4463999999999999</v>
      </c>
      <c r="BY2058">
        <v>1.4463999999999999</v>
      </c>
      <c r="BZ2058">
        <v>0.05</v>
      </c>
      <c r="CA2058">
        <f>BZ2058*SQRT(AL2058)</f>
        <v>0.17320508075688773</v>
      </c>
      <c r="CB2058">
        <v>7</v>
      </c>
      <c r="CD2058">
        <v>-5.7000000000000002E-2</v>
      </c>
      <c r="CE2058">
        <v>1.4E-3</v>
      </c>
    </row>
    <row r="2059" spans="2:83" hidden="1" x14ac:dyDescent="0.2">
      <c r="D2059">
        <v>226</v>
      </c>
      <c r="G2059" t="s">
        <v>43</v>
      </c>
      <c r="H2059" t="s">
        <v>1015</v>
      </c>
      <c r="J2059">
        <v>2019</v>
      </c>
      <c r="M2059" t="s">
        <v>1016</v>
      </c>
      <c r="T2059" t="s">
        <v>68</v>
      </c>
      <c r="U2059" t="s">
        <v>266</v>
      </c>
      <c r="V2059" t="s">
        <v>1017</v>
      </c>
      <c r="AC2059" t="s">
        <v>51</v>
      </c>
      <c r="AF2059" t="s">
        <v>54</v>
      </c>
      <c r="AG2059" t="s">
        <v>52</v>
      </c>
      <c r="AH2059" t="s">
        <v>65</v>
      </c>
      <c r="AK2059">
        <v>8</v>
      </c>
      <c r="AL2059">
        <v>6</v>
      </c>
      <c r="AN2059">
        <v>401</v>
      </c>
      <c r="AU2059">
        <v>442</v>
      </c>
      <c r="BB2059">
        <f>LOG(AU2059)</f>
        <v>2.6454222693490919</v>
      </c>
      <c r="BC2059">
        <v>9.9</v>
      </c>
      <c r="BF2059">
        <v>18.100000000000001</v>
      </c>
      <c r="BI2059">
        <v>41</v>
      </c>
      <c r="BJ2059">
        <v>8.1999999999999993</v>
      </c>
      <c r="BL2059" t="s">
        <v>1018</v>
      </c>
      <c r="BM2059" t="s">
        <v>98</v>
      </c>
      <c r="BN2059" t="s">
        <v>81</v>
      </c>
      <c r="BO2059" t="s">
        <v>439</v>
      </c>
      <c r="BP2059" t="s">
        <v>100</v>
      </c>
      <c r="BR2059" t="s">
        <v>63</v>
      </c>
      <c r="BT2059">
        <v>1.518367163</v>
      </c>
      <c r="BU2059">
        <v>1.518367</v>
      </c>
      <c r="BV2059">
        <v>0.12</v>
      </c>
      <c r="BW2059">
        <f>BV2059*SQRT(AK2059)</f>
        <v>0.33941125496954283</v>
      </c>
      <c r="BX2059">
        <v>1.4873340289999999</v>
      </c>
      <c r="BY2059">
        <v>1.4873339999999999</v>
      </c>
      <c r="BZ2059">
        <v>0.18</v>
      </c>
      <c r="CA2059">
        <f>BZ2059*SQRT(AL2059)</f>
        <v>0.44090815370097203</v>
      </c>
      <c r="CB2059">
        <v>3</v>
      </c>
      <c r="CD2059">
        <v>-2.1000000000000001E-2</v>
      </c>
      <c r="CE2059">
        <v>2.1299999999999999E-2</v>
      </c>
    </row>
    <row r="2060" spans="2:83" hidden="1" x14ac:dyDescent="0.2">
      <c r="D2060">
        <v>226</v>
      </c>
      <c r="G2060" t="s">
        <v>43</v>
      </c>
      <c r="H2060" t="s">
        <v>1015</v>
      </c>
      <c r="J2060">
        <v>2019</v>
      </c>
      <c r="M2060" t="s">
        <v>1016</v>
      </c>
      <c r="T2060" t="s">
        <v>68</v>
      </c>
      <c r="U2060" t="s">
        <v>266</v>
      </c>
      <c r="V2060" t="s">
        <v>1017</v>
      </c>
      <c r="AC2060" t="s">
        <v>51</v>
      </c>
      <c r="AF2060" t="s">
        <v>52</v>
      </c>
      <c r="AG2060" t="s">
        <v>54</v>
      </c>
      <c r="AH2060" t="s">
        <v>55</v>
      </c>
      <c r="AK2060">
        <v>8</v>
      </c>
      <c r="AL2060">
        <v>7</v>
      </c>
      <c r="AN2060">
        <v>401</v>
      </c>
      <c r="AU2060">
        <v>668</v>
      </c>
      <c r="BB2060">
        <f>LOG(AU2060)</f>
        <v>2.8247764624755458</v>
      </c>
      <c r="BC2060">
        <v>9.9</v>
      </c>
      <c r="BF2060">
        <v>10.1</v>
      </c>
      <c r="BI2060">
        <v>267</v>
      </c>
      <c r="BJ2060">
        <v>0.2</v>
      </c>
      <c r="BL2060" t="s">
        <v>1018</v>
      </c>
      <c r="BM2060" t="s">
        <v>98</v>
      </c>
      <c r="BN2060" t="s">
        <v>81</v>
      </c>
      <c r="BO2060" t="s">
        <v>439</v>
      </c>
      <c r="BP2060" t="s">
        <v>100</v>
      </c>
      <c r="BR2060" t="s">
        <v>63</v>
      </c>
      <c r="BT2060">
        <v>1.518367163</v>
      </c>
      <c r="BU2060">
        <v>1.518367</v>
      </c>
      <c r="BV2060">
        <v>0.12</v>
      </c>
      <c r="BW2060">
        <f>BV2060*SQRT(AK2060)</f>
        <v>0.33941125496954283</v>
      </c>
      <c r="BX2060">
        <v>1.507491275</v>
      </c>
      <c r="BY2060">
        <v>1.5074913000000001</v>
      </c>
      <c r="BZ2060">
        <v>0.17</v>
      </c>
      <c r="CA2060">
        <f>BZ2060*SQRT(AL2060)</f>
        <v>0.44977772288098045</v>
      </c>
      <c r="CB2060">
        <v>3</v>
      </c>
      <c r="CD2060">
        <v>-7.0000000000000001E-3</v>
      </c>
      <c r="CE2060">
        <v>1.9099999999999999E-2</v>
      </c>
    </row>
    <row r="2061" spans="2:83" hidden="1" x14ac:dyDescent="0.2">
      <c r="D2061">
        <v>226</v>
      </c>
      <c r="G2061" t="s">
        <v>43</v>
      </c>
      <c r="H2061" t="s">
        <v>1015</v>
      </c>
      <c r="J2061">
        <v>2019</v>
      </c>
      <c r="M2061" t="s">
        <v>1016</v>
      </c>
      <c r="T2061" t="s">
        <v>68</v>
      </c>
      <c r="U2061" t="s">
        <v>266</v>
      </c>
      <c r="V2061" t="s">
        <v>1017</v>
      </c>
      <c r="AC2061" t="s">
        <v>51</v>
      </c>
      <c r="AF2061" t="s">
        <v>52</v>
      </c>
      <c r="AG2061" t="s">
        <v>52</v>
      </c>
      <c r="AH2061" t="s">
        <v>64</v>
      </c>
      <c r="AK2061">
        <v>8</v>
      </c>
      <c r="AL2061">
        <v>5</v>
      </c>
      <c r="AN2061">
        <v>401</v>
      </c>
      <c r="AU2061">
        <v>861</v>
      </c>
      <c r="BB2061">
        <f>LOG(AU2061)</f>
        <v>2.935003151453655</v>
      </c>
      <c r="BC2061">
        <v>9.9</v>
      </c>
      <c r="BF2061">
        <v>17.899999999999999</v>
      </c>
      <c r="BI2061">
        <v>460</v>
      </c>
      <c r="BJ2061">
        <v>8</v>
      </c>
      <c r="BL2061" t="s">
        <v>1018</v>
      </c>
      <c r="BM2061" t="s">
        <v>98</v>
      </c>
      <c r="BN2061" t="s">
        <v>81</v>
      </c>
      <c r="BO2061" t="s">
        <v>439</v>
      </c>
      <c r="BP2061" t="s">
        <v>100</v>
      </c>
      <c r="BR2061" t="s">
        <v>63</v>
      </c>
      <c r="BT2061">
        <v>1.518367163</v>
      </c>
      <c r="BU2061">
        <v>1.518367</v>
      </c>
      <c r="BV2061">
        <v>0.12</v>
      </c>
      <c r="BW2061">
        <f>BV2061*SQRT(AK2061)</f>
        <v>0.33941125496954283</v>
      </c>
      <c r="BX2061">
        <v>1.517254001</v>
      </c>
      <c r="BY2061">
        <v>1.5172540000000001</v>
      </c>
      <c r="BZ2061">
        <v>0.21</v>
      </c>
      <c r="CA2061">
        <f>BZ2061*SQRT(AL2061)</f>
        <v>0.46957427527495582</v>
      </c>
      <c r="CB2061">
        <v>3</v>
      </c>
      <c r="CD2061">
        <v>-1E-3</v>
      </c>
      <c r="CE2061">
        <v>2.5700000000000001E-2</v>
      </c>
    </row>
    <row r="2062" spans="2:83" hidden="1" x14ac:dyDescent="0.2">
      <c r="D2062">
        <v>213</v>
      </c>
      <c r="G2062" t="s">
        <v>43</v>
      </c>
      <c r="H2062" t="s">
        <v>1004</v>
      </c>
      <c r="J2062">
        <v>2010</v>
      </c>
      <c r="M2062" t="s">
        <v>67</v>
      </c>
      <c r="T2062" t="s">
        <v>46</v>
      </c>
      <c r="U2062" t="s">
        <v>1005</v>
      </c>
      <c r="V2062" t="s">
        <v>1006</v>
      </c>
      <c r="AC2062" t="s">
        <v>51</v>
      </c>
      <c r="AF2062" t="s">
        <v>52</v>
      </c>
      <c r="AG2062" t="s">
        <v>52</v>
      </c>
      <c r="AH2062" t="s">
        <v>64</v>
      </c>
      <c r="AK2062">
        <v>6</v>
      </c>
      <c r="AL2062">
        <v>6</v>
      </c>
      <c r="AN2062">
        <v>553</v>
      </c>
      <c r="AU2062">
        <v>1282</v>
      </c>
      <c r="BB2062">
        <f>LOG(AU2062)</f>
        <v>3.1078880251827985</v>
      </c>
      <c r="BC2062">
        <v>10.4</v>
      </c>
      <c r="BF2062">
        <v>15</v>
      </c>
      <c r="BI2062">
        <v>729</v>
      </c>
      <c r="BJ2062">
        <v>4.5999999999999996</v>
      </c>
      <c r="BK2062" t="s">
        <v>56</v>
      </c>
      <c r="BL2062" t="s">
        <v>58</v>
      </c>
      <c r="BM2062" t="s">
        <v>59</v>
      </c>
      <c r="BN2062" t="s">
        <v>60</v>
      </c>
      <c r="BO2062" t="s">
        <v>998</v>
      </c>
      <c r="BP2062" t="s">
        <v>62</v>
      </c>
      <c r="BR2062" t="s">
        <v>63</v>
      </c>
      <c r="BT2062">
        <v>0.22</v>
      </c>
      <c r="BU2062">
        <v>0.223</v>
      </c>
      <c r="BV2062">
        <v>0.02</v>
      </c>
      <c r="BW2062">
        <f>BV2062*SQRT(AK2062)</f>
        <v>4.8989794855663557E-2</v>
      </c>
      <c r="BX2062">
        <v>1.52</v>
      </c>
      <c r="BY2062">
        <v>1.5189999999999999</v>
      </c>
      <c r="BZ2062">
        <v>0.33</v>
      </c>
      <c r="CA2062">
        <f>BZ2062*SQRT(AL2062)</f>
        <v>0.80833161511844875</v>
      </c>
      <c r="CB2062">
        <v>40</v>
      </c>
      <c r="CD2062">
        <v>1.919</v>
      </c>
      <c r="CE2062">
        <v>5.1299999999999998E-2</v>
      </c>
    </row>
    <row r="2063" spans="2:83" hidden="1" x14ac:dyDescent="0.2">
      <c r="D2063">
        <v>238</v>
      </c>
      <c r="G2063" t="s">
        <v>43</v>
      </c>
      <c r="H2063" t="s">
        <v>1042</v>
      </c>
      <c r="J2063">
        <v>2018</v>
      </c>
      <c r="M2063" t="s">
        <v>279</v>
      </c>
      <c r="T2063" t="s">
        <v>68</v>
      </c>
      <c r="U2063" t="s">
        <v>553</v>
      </c>
      <c r="V2063" t="s">
        <v>1043</v>
      </c>
      <c r="AC2063" t="s">
        <v>51</v>
      </c>
      <c r="AF2063" t="s">
        <v>54</v>
      </c>
      <c r="AG2063" t="s">
        <v>52</v>
      </c>
      <c r="AH2063" t="s">
        <v>65</v>
      </c>
      <c r="AK2063">
        <v>9</v>
      </c>
      <c r="AL2063">
        <v>9</v>
      </c>
      <c r="AN2063">
        <v>562</v>
      </c>
      <c r="AU2063">
        <v>561</v>
      </c>
      <c r="BB2063">
        <f>LOG(AU2063)</f>
        <v>2.7489628612561616</v>
      </c>
      <c r="BC2063">
        <v>20.9</v>
      </c>
      <c r="BF2063">
        <v>24.8</v>
      </c>
      <c r="BI2063">
        <v>-1</v>
      </c>
      <c r="BJ2063">
        <v>3.9</v>
      </c>
      <c r="BL2063" t="s">
        <v>1044</v>
      </c>
      <c r="BM2063" t="s">
        <v>1045</v>
      </c>
      <c r="BN2063" t="s">
        <v>60</v>
      </c>
      <c r="BO2063" t="s">
        <v>56</v>
      </c>
      <c r="BP2063" t="s">
        <v>194</v>
      </c>
      <c r="BR2063" t="s">
        <v>63</v>
      </c>
      <c r="BT2063">
        <v>1.7156540840000001</v>
      </c>
      <c r="BU2063">
        <v>1.715654</v>
      </c>
      <c r="BV2063">
        <v>7.0000000000000007E-2</v>
      </c>
      <c r="BW2063">
        <f>BV2063*SQRT(AK2063)</f>
        <v>0.21000000000000002</v>
      </c>
      <c r="BX2063">
        <v>1.533043054</v>
      </c>
      <c r="BY2063">
        <v>1.5330431</v>
      </c>
      <c r="BZ2063">
        <v>0.05</v>
      </c>
      <c r="CA2063">
        <f>BZ2063*SQRT(AL2063)</f>
        <v>0.15000000000000002</v>
      </c>
      <c r="CB2063">
        <v>7</v>
      </c>
      <c r="CD2063">
        <v>-0.113</v>
      </c>
      <c r="CE2063">
        <v>2.8999999999999998E-3</v>
      </c>
    </row>
    <row r="2064" spans="2:83" hidden="1" x14ac:dyDescent="0.2">
      <c r="D2064">
        <v>213</v>
      </c>
      <c r="G2064" t="s">
        <v>43</v>
      </c>
      <c r="H2064" t="s">
        <v>1004</v>
      </c>
      <c r="J2064">
        <v>2010</v>
      </c>
      <c r="M2064" t="s">
        <v>67</v>
      </c>
      <c r="T2064" t="s">
        <v>46</v>
      </c>
      <c r="U2064" t="s">
        <v>1005</v>
      </c>
      <c r="V2064" t="s">
        <v>1006</v>
      </c>
      <c r="AC2064" t="s">
        <v>51</v>
      </c>
      <c r="AF2064" t="s">
        <v>52</v>
      </c>
      <c r="AG2064" t="s">
        <v>52</v>
      </c>
      <c r="AH2064" t="s">
        <v>64</v>
      </c>
      <c r="AK2064">
        <v>6</v>
      </c>
      <c r="AL2064">
        <v>6</v>
      </c>
      <c r="AN2064">
        <v>553</v>
      </c>
      <c r="AU2064">
        <v>1282</v>
      </c>
      <c r="BB2064">
        <f>LOG(AU2064)</f>
        <v>3.1078880251827985</v>
      </c>
      <c r="BC2064">
        <v>10.4</v>
      </c>
      <c r="BF2064">
        <v>15</v>
      </c>
      <c r="BI2064">
        <v>729</v>
      </c>
      <c r="BJ2064">
        <v>4.5999999999999996</v>
      </c>
      <c r="BK2064" t="s">
        <v>56</v>
      </c>
      <c r="BL2064" t="s">
        <v>1040</v>
      </c>
      <c r="BM2064" t="s">
        <v>478</v>
      </c>
      <c r="BN2064" t="s">
        <v>340</v>
      </c>
      <c r="BO2064" t="s">
        <v>479</v>
      </c>
      <c r="BP2064" t="s">
        <v>77</v>
      </c>
      <c r="BR2064" t="s">
        <v>63</v>
      </c>
      <c r="BT2064">
        <v>2.39</v>
      </c>
      <c r="BU2064">
        <v>2.391</v>
      </c>
      <c r="BV2064">
        <v>0.27</v>
      </c>
      <c r="BW2064">
        <f>BV2064*SQRT(AK2064)</f>
        <v>0.66136223055145804</v>
      </c>
      <c r="BX2064">
        <v>1.54</v>
      </c>
      <c r="BY2064">
        <v>1.536</v>
      </c>
      <c r="BZ2064">
        <v>0.17</v>
      </c>
      <c r="CA2064">
        <f>BZ2064*SQRT(AL2064)</f>
        <v>0.41641325627314024</v>
      </c>
      <c r="CB2064">
        <v>40</v>
      </c>
      <c r="CD2064">
        <v>-0.443</v>
      </c>
      <c r="CE2064">
        <v>2.4E-2</v>
      </c>
    </row>
    <row r="2065" spans="2:84" hidden="1" x14ac:dyDescent="0.2">
      <c r="D2065">
        <v>228</v>
      </c>
      <c r="G2065" t="s">
        <v>43</v>
      </c>
      <c r="H2065" t="s">
        <v>1028</v>
      </c>
      <c r="J2065">
        <v>2018</v>
      </c>
      <c r="M2065" t="s">
        <v>1029</v>
      </c>
      <c r="T2065" t="s">
        <v>68</v>
      </c>
      <c r="U2065" t="s">
        <v>266</v>
      </c>
      <c r="V2065" t="s">
        <v>267</v>
      </c>
      <c r="AC2065" t="s">
        <v>51</v>
      </c>
      <c r="AF2065" t="s">
        <v>52</v>
      </c>
      <c r="AG2065" t="s">
        <v>52</v>
      </c>
      <c r="AH2065" t="s">
        <v>64</v>
      </c>
      <c r="AK2065">
        <v>5</v>
      </c>
      <c r="AL2065">
        <v>5</v>
      </c>
      <c r="AN2065">
        <v>386</v>
      </c>
      <c r="AU2065">
        <v>2916</v>
      </c>
      <c r="BB2065">
        <f>LOG(AU2065)</f>
        <v>3.4647875196459372</v>
      </c>
      <c r="BC2065">
        <v>10</v>
      </c>
      <c r="BF2065">
        <v>15</v>
      </c>
      <c r="BI2065">
        <v>2530</v>
      </c>
      <c r="BJ2065">
        <v>5</v>
      </c>
      <c r="BK2065" t="s">
        <v>1030</v>
      </c>
      <c r="BL2065" t="s">
        <v>1031</v>
      </c>
      <c r="BM2065" t="s">
        <v>218</v>
      </c>
      <c r="BN2065" t="s">
        <v>60</v>
      </c>
      <c r="BO2065" t="s">
        <v>219</v>
      </c>
      <c r="BP2065" t="s">
        <v>194</v>
      </c>
      <c r="BR2065" t="s">
        <v>63</v>
      </c>
      <c r="BT2065">
        <v>1.798255479</v>
      </c>
      <c r="BU2065">
        <v>1.7982549999999999</v>
      </c>
      <c r="BV2065">
        <v>0.27</v>
      </c>
      <c r="BW2065">
        <f>BV2065*SQRT(AK2065)</f>
        <v>0.60373835392494324</v>
      </c>
      <c r="BX2065">
        <v>1.536263052</v>
      </c>
      <c r="BY2065">
        <v>1.5362631</v>
      </c>
      <c r="BZ2065">
        <v>0.22</v>
      </c>
      <c r="CA2065">
        <f>BZ2065*SQRT(AL2065)</f>
        <v>0.49193495504995377</v>
      </c>
      <c r="CB2065">
        <v>24</v>
      </c>
      <c r="CD2065">
        <v>-0.157</v>
      </c>
      <c r="CE2065">
        <v>4.3900000000000002E-2</v>
      </c>
    </row>
    <row r="2066" spans="2:84" hidden="1" x14ac:dyDescent="0.2">
      <c r="D2066">
        <v>218</v>
      </c>
      <c r="G2066" t="s">
        <v>43</v>
      </c>
      <c r="H2066" t="s">
        <v>1025</v>
      </c>
      <c r="J2066">
        <v>2014</v>
      </c>
      <c r="M2066" t="s">
        <v>213</v>
      </c>
      <c r="T2066" t="s">
        <v>68</v>
      </c>
      <c r="U2066" t="s">
        <v>266</v>
      </c>
      <c r="V2066" t="s">
        <v>267</v>
      </c>
      <c r="AC2066" t="s">
        <v>51</v>
      </c>
      <c r="AF2066" t="s">
        <v>52</v>
      </c>
      <c r="AG2066" t="s">
        <v>52</v>
      </c>
      <c r="AH2066" t="s">
        <v>64</v>
      </c>
      <c r="AK2066">
        <v>3</v>
      </c>
      <c r="AL2066">
        <v>3</v>
      </c>
      <c r="AN2066">
        <v>545</v>
      </c>
      <c r="AU2066">
        <v>1251</v>
      </c>
      <c r="BB2066">
        <f>LOG(AU2066)</f>
        <v>3.0972573096934202</v>
      </c>
      <c r="BC2066">
        <v>11</v>
      </c>
      <c r="BF2066">
        <v>18</v>
      </c>
      <c r="BI2066">
        <v>706</v>
      </c>
      <c r="BJ2066">
        <v>6.7</v>
      </c>
      <c r="BL2066" t="s">
        <v>1026</v>
      </c>
      <c r="BM2066" t="s">
        <v>262</v>
      </c>
      <c r="BN2066" t="s">
        <v>81</v>
      </c>
      <c r="BO2066" t="s">
        <v>1027</v>
      </c>
      <c r="BP2066" t="s">
        <v>92</v>
      </c>
      <c r="BR2066" t="s">
        <v>63</v>
      </c>
      <c r="BT2066">
        <v>0.57199999999999995</v>
      </c>
      <c r="BU2066">
        <v>0.57199999999999995</v>
      </c>
      <c r="BV2066">
        <v>6.0999999999999999E-2</v>
      </c>
      <c r="BW2066">
        <f>BV2066*SQRT(AK2066)</f>
        <v>0.10565509926170151</v>
      </c>
      <c r="BX2066">
        <v>1.5680000000000001</v>
      </c>
      <c r="BY2066">
        <v>1.5680000000000001</v>
      </c>
      <c r="BZ2066">
        <v>0.214</v>
      </c>
      <c r="CA2066">
        <f>BZ2066*SQRT(AL2066)</f>
        <v>0.37065887281973969</v>
      </c>
      <c r="CB2066">
        <v>28</v>
      </c>
      <c r="CD2066">
        <v>1.008</v>
      </c>
      <c r="CE2066">
        <v>0.03</v>
      </c>
    </row>
    <row r="2067" spans="2:84" hidden="1" x14ac:dyDescent="0.2">
      <c r="D2067">
        <v>220</v>
      </c>
      <c r="G2067" t="s">
        <v>43</v>
      </c>
      <c r="H2067" t="s">
        <v>999</v>
      </c>
      <c r="J2067">
        <v>2016</v>
      </c>
      <c r="M2067" t="s">
        <v>1000</v>
      </c>
      <c r="T2067" t="s">
        <v>136</v>
      </c>
      <c r="U2067" t="s">
        <v>321</v>
      </c>
      <c r="V2067" t="s">
        <v>322</v>
      </c>
      <c r="AC2067" t="s">
        <v>108</v>
      </c>
      <c r="AF2067" t="s">
        <v>54</v>
      </c>
      <c r="AG2067" t="s">
        <v>52</v>
      </c>
      <c r="AH2067" t="s">
        <v>65</v>
      </c>
      <c r="AK2067">
        <v>12</v>
      </c>
      <c r="AL2067">
        <v>12</v>
      </c>
      <c r="AN2067">
        <v>386</v>
      </c>
      <c r="AU2067">
        <v>402</v>
      </c>
      <c r="BB2067">
        <f>LOG(AU2067)</f>
        <v>2.6042260530844699</v>
      </c>
      <c r="BC2067">
        <v>27</v>
      </c>
      <c r="BF2067">
        <v>29.9</v>
      </c>
      <c r="BI2067">
        <v>16</v>
      </c>
      <c r="BJ2067">
        <v>2.9</v>
      </c>
      <c r="BK2067" t="s">
        <v>1001</v>
      </c>
      <c r="BL2067" t="s">
        <v>262</v>
      </c>
      <c r="BM2067" t="s">
        <v>249</v>
      </c>
      <c r="BN2067" t="s">
        <v>60</v>
      </c>
      <c r="BO2067" t="s">
        <v>1041</v>
      </c>
      <c r="BP2067" t="s">
        <v>9</v>
      </c>
      <c r="BR2067" t="s">
        <v>63</v>
      </c>
      <c r="BT2067">
        <v>1.5308999999999999</v>
      </c>
      <c r="BU2067">
        <v>1.5308999999999999</v>
      </c>
      <c r="BV2067">
        <v>0.03</v>
      </c>
      <c r="BW2067">
        <f>BV2067*SQRT(AK2067)</f>
        <v>0.10392304845413262</v>
      </c>
      <c r="BX2067">
        <v>1.5831999999999999</v>
      </c>
      <c r="BY2067">
        <v>1.5831999999999999</v>
      </c>
      <c r="BZ2067">
        <v>0.04</v>
      </c>
      <c r="CA2067">
        <f>BZ2067*SQRT(AL2067)</f>
        <v>0.13856406460551018</v>
      </c>
      <c r="CB2067">
        <v>7</v>
      </c>
      <c r="CD2067">
        <v>3.4000000000000002E-2</v>
      </c>
      <c r="CE2067">
        <v>1E-3</v>
      </c>
    </row>
    <row r="2068" spans="2:84" hidden="1" x14ac:dyDescent="0.2">
      <c r="D2068">
        <v>218</v>
      </c>
      <c r="G2068" t="s">
        <v>43</v>
      </c>
      <c r="H2068" t="s">
        <v>1025</v>
      </c>
      <c r="J2068">
        <v>2014</v>
      </c>
      <c r="M2068" t="s">
        <v>213</v>
      </c>
      <c r="T2068" t="s">
        <v>68</v>
      </c>
      <c r="U2068" t="s">
        <v>266</v>
      </c>
      <c r="V2068" t="s">
        <v>267</v>
      </c>
      <c r="AC2068" t="s">
        <v>51</v>
      </c>
      <c r="AF2068" t="s">
        <v>54</v>
      </c>
      <c r="AG2068" t="s">
        <v>52</v>
      </c>
      <c r="AH2068" t="s">
        <v>65</v>
      </c>
      <c r="AK2068">
        <v>3</v>
      </c>
      <c r="AL2068">
        <v>3</v>
      </c>
      <c r="AN2068">
        <v>545</v>
      </c>
      <c r="AU2068">
        <v>536</v>
      </c>
      <c r="BB2068">
        <f>LOG(AU2068)</f>
        <v>2.7291647896927702</v>
      </c>
      <c r="BC2068">
        <v>11</v>
      </c>
      <c r="BF2068">
        <v>16</v>
      </c>
      <c r="BI2068">
        <v>-9</v>
      </c>
      <c r="BJ2068">
        <v>4.5999999999999996</v>
      </c>
      <c r="BL2068" t="s">
        <v>1026</v>
      </c>
      <c r="BM2068" t="s">
        <v>262</v>
      </c>
      <c r="BN2068" t="s">
        <v>81</v>
      </c>
      <c r="BO2068" t="s">
        <v>1027</v>
      </c>
      <c r="BP2068" t="s">
        <v>92</v>
      </c>
      <c r="BR2068" t="s">
        <v>63</v>
      </c>
      <c r="BT2068">
        <v>0.57199999999999995</v>
      </c>
      <c r="BU2068">
        <v>0.57199999999999995</v>
      </c>
      <c r="BV2068">
        <v>6.0999999999999999E-2</v>
      </c>
      <c r="BW2068">
        <f>BV2068*SQRT(AK2068)</f>
        <v>0.10565509926170151</v>
      </c>
      <c r="BX2068">
        <v>1.601</v>
      </c>
      <c r="BY2068">
        <v>1.601</v>
      </c>
      <c r="BZ2068">
        <v>0.245</v>
      </c>
      <c r="CA2068">
        <f>BZ2068*SQRT(AL2068)</f>
        <v>0.42435244785437493</v>
      </c>
      <c r="CB2068">
        <v>28</v>
      </c>
      <c r="CD2068">
        <v>1.0289999999999999</v>
      </c>
      <c r="CE2068">
        <v>3.4799999999999998E-2</v>
      </c>
    </row>
    <row r="2069" spans="2:84" hidden="1" x14ac:dyDescent="0.2">
      <c r="D2069">
        <v>218</v>
      </c>
      <c r="G2069" t="s">
        <v>43</v>
      </c>
      <c r="H2069" t="s">
        <v>1025</v>
      </c>
      <c r="J2069">
        <v>2014</v>
      </c>
      <c r="M2069" t="s">
        <v>213</v>
      </c>
      <c r="T2069" t="s">
        <v>68</v>
      </c>
      <c r="U2069" t="s">
        <v>266</v>
      </c>
      <c r="V2069" t="s">
        <v>267</v>
      </c>
      <c r="AC2069" t="s">
        <v>51</v>
      </c>
      <c r="AF2069" t="s">
        <v>54</v>
      </c>
      <c r="AG2069" t="s">
        <v>52</v>
      </c>
      <c r="AH2069" t="s">
        <v>65</v>
      </c>
      <c r="AK2069">
        <v>3</v>
      </c>
      <c r="AL2069">
        <v>3</v>
      </c>
      <c r="AN2069">
        <v>545</v>
      </c>
      <c r="AU2069">
        <v>516</v>
      </c>
      <c r="BB2069">
        <f>LOG(AU2069)</f>
        <v>2.7126497016272113</v>
      </c>
      <c r="BC2069">
        <v>11</v>
      </c>
      <c r="BF2069">
        <v>14</v>
      </c>
      <c r="BI2069">
        <v>-29</v>
      </c>
      <c r="BJ2069">
        <v>2.7</v>
      </c>
      <c r="BL2069" t="s">
        <v>1026</v>
      </c>
      <c r="BM2069" t="s">
        <v>262</v>
      </c>
      <c r="BN2069" t="s">
        <v>81</v>
      </c>
      <c r="BO2069" t="s">
        <v>1027</v>
      </c>
      <c r="BP2069" t="s">
        <v>92</v>
      </c>
      <c r="BR2069" t="s">
        <v>63</v>
      </c>
      <c r="BT2069">
        <v>0.57199999999999995</v>
      </c>
      <c r="BU2069">
        <v>0.57199999999999995</v>
      </c>
      <c r="BV2069">
        <v>6.0999999999999999E-2</v>
      </c>
      <c r="BW2069">
        <f>BV2069*SQRT(AK2069)</f>
        <v>0.10565509926170151</v>
      </c>
      <c r="BX2069">
        <v>1.613</v>
      </c>
      <c r="BY2069">
        <v>1.613</v>
      </c>
      <c r="BZ2069">
        <v>0.10199999999999999</v>
      </c>
      <c r="CA2069">
        <f>BZ2069*SQRT(AL2069)</f>
        <v>0.17666918237202547</v>
      </c>
      <c r="CB2069">
        <v>28</v>
      </c>
      <c r="CD2069">
        <v>1.0369999999999999</v>
      </c>
      <c r="CE2069">
        <v>1.54E-2</v>
      </c>
    </row>
    <row r="2070" spans="2:84" hidden="1" x14ac:dyDescent="0.2">
      <c r="D2070">
        <v>218</v>
      </c>
      <c r="G2070" t="s">
        <v>43</v>
      </c>
      <c r="H2070" t="s">
        <v>1025</v>
      </c>
      <c r="J2070">
        <v>2014</v>
      </c>
      <c r="M2070" t="s">
        <v>213</v>
      </c>
      <c r="T2070" t="s">
        <v>68</v>
      </c>
      <c r="U2070" t="s">
        <v>266</v>
      </c>
      <c r="V2070" t="s">
        <v>267</v>
      </c>
      <c r="AC2070" t="s">
        <v>51</v>
      </c>
      <c r="AF2070" t="s">
        <v>54</v>
      </c>
      <c r="AG2070" t="s">
        <v>52</v>
      </c>
      <c r="AH2070" t="s">
        <v>65</v>
      </c>
      <c r="AK2070">
        <v>3</v>
      </c>
      <c r="AL2070">
        <v>3</v>
      </c>
      <c r="AN2070">
        <v>545</v>
      </c>
      <c r="AU2070">
        <v>497</v>
      </c>
      <c r="BB2070">
        <f>LOG(AU2070)</f>
        <v>2.6963563887333319</v>
      </c>
      <c r="BC2070">
        <v>11</v>
      </c>
      <c r="BF2070">
        <v>23</v>
      </c>
      <c r="BI2070">
        <v>-48</v>
      </c>
      <c r="BJ2070">
        <v>12.1</v>
      </c>
      <c r="BL2070" t="s">
        <v>1026</v>
      </c>
      <c r="BM2070" t="s">
        <v>262</v>
      </c>
      <c r="BN2070" t="s">
        <v>81</v>
      </c>
      <c r="BO2070" t="s">
        <v>1027</v>
      </c>
      <c r="BP2070" t="s">
        <v>92</v>
      </c>
      <c r="BR2070" t="s">
        <v>63</v>
      </c>
      <c r="BT2070">
        <v>0.57199999999999995</v>
      </c>
      <c r="BU2070">
        <v>0.57199999999999995</v>
      </c>
      <c r="BV2070">
        <v>6.0999999999999999E-2</v>
      </c>
      <c r="BW2070">
        <f>BV2070*SQRT(AK2070)</f>
        <v>0.10565509926170151</v>
      </c>
      <c r="BX2070">
        <v>1.621</v>
      </c>
      <c r="BY2070">
        <v>1.621</v>
      </c>
      <c r="BZ2070">
        <v>9.1999999999999998E-2</v>
      </c>
      <c r="CA2070">
        <f>BZ2070*SQRT(AL2070)</f>
        <v>0.1593486742963367</v>
      </c>
      <c r="CB2070">
        <v>28</v>
      </c>
      <c r="CD2070">
        <v>1.042</v>
      </c>
      <c r="CE2070">
        <v>1.46E-2</v>
      </c>
    </row>
    <row r="2071" spans="2:84" hidden="1" x14ac:dyDescent="0.2">
      <c r="B2071" t="str">
        <f>ROW()-1&amp;"_AltersInvert"</f>
        <v>2070_AltersInvert</v>
      </c>
      <c r="C2071" t="str">
        <f>D2071&amp;"_"&amp;
SUBSTITUTE(TRIM(V2071)," ","_")&amp;"_"&amp;
TRIM(AC2071)&amp;"_"&amp;
"CO2"&amp;TEXT(AN2071,"0.00")&amp;"_"&amp;
"pH"&amp;TEXT(AR2071,"0.00")&amp;"_"&amp;
"T"&amp;TEXT(BC2071,"0.##")</f>
        <v>191_Pandalus_Borealis_LARVA_CO2406.00_pH8.11_T6.7</v>
      </c>
      <c r="D2071">
        <v>191</v>
      </c>
      <c r="G2071" t="s">
        <v>43</v>
      </c>
      <c r="H2071" t="s">
        <v>901</v>
      </c>
      <c r="J2071">
        <v>2013</v>
      </c>
      <c r="M2071" t="s">
        <v>67</v>
      </c>
      <c r="P2071" t="s">
        <v>1135</v>
      </c>
      <c r="R2071" t="s">
        <v>1127</v>
      </c>
      <c r="S2071" t="s">
        <v>1128</v>
      </c>
      <c r="T2071" t="s">
        <v>131</v>
      </c>
      <c r="U2071" t="s">
        <v>902</v>
      </c>
      <c r="V2071" t="s">
        <v>903</v>
      </c>
      <c r="Z2071" t="s">
        <v>475</v>
      </c>
      <c r="AA2071" t="s">
        <v>475</v>
      </c>
      <c r="AB2071" t="s">
        <v>71</v>
      </c>
      <c r="AC2071" t="s">
        <v>72</v>
      </c>
      <c r="AD2071" t="s">
        <v>52</v>
      </c>
      <c r="AE2071" t="s">
        <v>53</v>
      </c>
      <c r="AF2071" t="s">
        <v>52</v>
      </c>
      <c r="AG2071" t="s">
        <v>52</v>
      </c>
      <c r="AH2071" t="s">
        <v>64</v>
      </c>
      <c r="AK2071">
        <v>33</v>
      </c>
      <c r="AL2071">
        <v>24</v>
      </c>
      <c r="AN2071">
        <v>406</v>
      </c>
      <c r="AO2071" t="s">
        <v>56</v>
      </c>
      <c r="AP2071" t="s">
        <v>56</v>
      </c>
      <c r="AQ2071" t="s">
        <v>57</v>
      </c>
      <c r="AR2071">
        <v>8.11</v>
      </c>
      <c r="AS2071" t="s">
        <v>56</v>
      </c>
      <c r="AT2071" t="s">
        <v>56</v>
      </c>
      <c r="AU2071">
        <v>1449</v>
      </c>
      <c r="AV2071" t="s">
        <v>56</v>
      </c>
      <c r="AW2071" t="s">
        <v>56</v>
      </c>
      <c r="AX2071">
        <v>7.6</v>
      </c>
      <c r="AY2071" t="s">
        <v>56</v>
      </c>
      <c r="AZ2071" t="s">
        <v>56</v>
      </c>
      <c r="BB2071">
        <f>LOG(AU2071)</f>
        <v>3.1610683854711747</v>
      </c>
      <c r="BC2071">
        <v>6.7</v>
      </c>
      <c r="BD2071">
        <v>0.2</v>
      </c>
      <c r="BE2071" t="s">
        <v>56</v>
      </c>
      <c r="BF2071">
        <v>9.5</v>
      </c>
      <c r="BG2071">
        <v>0.1</v>
      </c>
      <c r="BH2071" t="s">
        <v>56</v>
      </c>
      <c r="BI2071">
        <v>1043</v>
      </c>
      <c r="BJ2071">
        <v>2.8</v>
      </c>
      <c r="BK2071" t="s">
        <v>904</v>
      </c>
      <c r="BL2071" t="s">
        <v>905</v>
      </c>
      <c r="BM2071" t="s">
        <v>226</v>
      </c>
      <c r="BN2071" t="s">
        <v>60</v>
      </c>
      <c r="BO2071" t="s">
        <v>82</v>
      </c>
      <c r="BP2071" t="s">
        <v>9</v>
      </c>
      <c r="BQ2071" t="s">
        <v>9</v>
      </c>
      <c r="BR2071" t="s">
        <v>84</v>
      </c>
      <c r="BT2071">
        <v>63.51</v>
      </c>
      <c r="BU2071">
        <v>63.51</v>
      </c>
      <c r="BV2071">
        <v>4.96</v>
      </c>
      <c r="BW2071">
        <f>BV2071*SQRT(AK2071)</f>
        <v>28.493030726828621</v>
      </c>
      <c r="BX2071">
        <v>63.96</v>
      </c>
      <c r="BY2071">
        <v>63.96</v>
      </c>
      <c r="BZ2071">
        <v>9.91</v>
      </c>
      <c r="CA2071">
        <f>BZ2071*SQRT(AL2071)</f>
        <v>48.548886701962587</v>
      </c>
      <c r="CB2071">
        <v>16</v>
      </c>
      <c r="CC2071">
        <v>8</v>
      </c>
      <c r="CD2071">
        <v>7.0000000000000001E-3</v>
      </c>
      <c r="CE2071">
        <v>3.0099999999999998E-2</v>
      </c>
    </row>
    <row r="2072" spans="2:84" hidden="1" x14ac:dyDescent="0.2">
      <c r="D2072">
        <v>238</v>
      </c>
      <c r="G2072" t="s">
        <v>43</v>
      </c>
      <c r="H2072" t="s">
        <v>1042</v>
      </c>
      <c r="J2072">
        <v>2018</v>
      </c>
      <c r="M2072" t="s">
        <v>279</v>
      </c>
      <c r="T2072" t="s">
        <v>68</v>
      </c>
      <c r="U2072" t="s">
        <v>553</v>
      </c>
      <c r="V2072" t="s">
        <v>1043</v>
      </c>
      <c r="AC2072" t="s">
        <v>51</v>
      </c>
      <c r="AF2072" t="s">
        <v>52</v>
      </c>
      <c r="AG2072" t="s">
        <v>52</v>
      </c>
      <c r="AH2072" t="s">
        <v>64</v>
      </c>
      <c r="AK2072">
        <v>9</v>
      </c>
      <c r="AL2072">
        <v>9</v>
      </c>
      <c r="AN2072">
        <v>562</v>
      </c>
      <c r="AU2072">
        <v>992</v>
      </c>
      <c r="BB2072">
        <f>LOG(AU2072)</f>
        <v>2.9965116721541785</v>
      </c>
      <c r="BC2072">
        <v>20.9</v>
      </c>
      <c r="BF2072">
        <v>25</v>
      </c>
      <c r="BI2072">
        <v>430</v>
      </c>
      <c r="BJ2072">
        <v>4.0999999999999996</v>
      </c>
      <c r="BL2072" t="s">
        <v>1044</v>
      </c>
      <c r="BM2072" t="s">
        <v>1045</v>
      </c>
      <c r="BN2072" t="s">
        <v>60</v>
      </c>
      <c r="BO2072" t="s">
        <v>56</v>
      </c>
      <c r="BP2072" t="s">
        <v>194</v>
      </c>
      <c r="BR2072" t="s">
        <v>63</v>
      </c>
      <c r="BT2072">
        <v>1.7156540840000001</v>
      </c>
      <c r="BU2072">
        <v>1.715654</v>
      </c>
      <c r="BV2072">
        <v>7.0000000000000007E-2</v>
      </c>
      <c r="BW2072">
        <f>BV2072*SQRT(AK2072)</f>
        <v>0.21000000000000002</v>
      </c>
      <c r="BX2072">
        <v>1.63340957</v>
      </c>
      <c r="BY2072">
        <v>1.6334096</v>
      </c>
      <c r="BZ2072">
        <v>0.06</v>
      </c>
      <c r="CA2072">
        <f>BZ2072*SQRT(AL2072)</f>
        <v>0.18</v>
      </c>
      <c r="CB2072">
        <v>7</v>
      </c>
      <c r="CD2072">
        <v>-4.9000000000000002E-2</v>
      </c>
      <c r="CE2072">
        <v>3.0000000000000001E-3</v>
      </c>
    </row>
    <row r="2073" spans="2:84" hidden="1" x14ac:dyDescent="0.2">
      <c r="D2073">
        <v>216</v>
      </c>
      <c r="G2073" t="s">
        <v>43</v>
      </c>
      <c r="H2073" t="s">
        <v>1019</v>
      </c>
      <c r="J2073">
        <v>2011</v>
      </c>
      <c r="M2073" t="s">
        <v>869</v>
      </c>
      <c r="T2073" t="s">
        <v>46</v>
      </c>
      <c r="U2073" t="s">
        <v>1005</v>
      </c>
      <c r="V2073" t="s">
        <v>1020</v>
      </c>
      <c r="AC2073" t="s">
        <v>51</v>
      </c>
      <c r="AF2073" t="s">
        <v>52</v>
      </c>
      <c r="AG2073" t="s">
        <v>52</v>
      </c>
      <c r="AH2073" t="s">
        <v>64</v>
      </c>
      <c r="AK2073">
        <v>30</v>
      </c>
      <c r="AL2073">
        <v>30</v>
      </c>
      <c r="AN2073">
        <v>259</v>
      </c>
      <c r="AU2073">
        <v>1883</v>
      </c>
      <c r="BB2073">
        <f>LOG(AU2073)</f>
        <v>3.274850320016665</v>
      </c>
      <c r="BC2073">
        <v>5</v>
      </c>
      <c r="BF2073">
        <v>8.5</v>
      </c>
      <c r="BI2073">
        <v>1624</v>
      </c>
      <c r="BJ2073">
        <v>3.5</v>
      </c>
      <c r="BK2073" t="s">
        <v>56</v>
      </c>
      <c r="BL2073" t="s">
        <v>58</v>
      </c>
      <c r="BM2073" t="s">
        <v>59</v>
      </c>
      <c r="BN2073" t="s">
        <v>60</v>
      </c>
      <c r="BO2073" t="s">
        <v>998</v>
      </c>
      <c r="BP2073" t="s">
        <v>62</v>
      </c>
      <c r="BR2073" t="s">
        <v>63</v>
      </c>
      <c r="BT2073">
        <v>0.56200000000000006</v>
      </c>
      <c r="BU2073">
        <v>0.56200000000000006</v>
      </c>
      <c r="BV2073">
        <v>0.05</v>
      </c>
      <c r="BW2073">
        <f>BV2073*SQRT(AK2073)</f>
        <v>0.27386127875258309</v>
      </c>
      <c r="BX2073">
        <v>1.6459999999999999</v>
      </c>
      <c r="BY2073">
        <v>1.6459999999999999</v>
      </c>
      <c r="BZ2073">
        <v>0.22602040800000001</v>
      </c>
      <c r="CA2073">
        <f>BZ2073*SQRT(AL2073)</f>
        <v>1.2379647591812111</v>
      </c>
      <c r="CB2073">
        <v>20</v>
      </c>
      <c r="CD2073">
        <v>1.075</v>
      </c>
      <c r="CE2073">
        <v>2.6800000000000001E-2</v>
      </c>
    </row>
    <row r="2074" spans="2:84" hidden="1" x14ac:dyDescent="0.2">
      <c r="D2074">
        <v>226</v>
      </c>
      <c r="G2074" t="s">
        <v>43</v>
      </c>
      <c r="H2074" t="s">
        <v>1015</v>
      </c>
      <c r="J2074">
        <v>2019</v>
      </c>
      <c r="M2074" t="s">
        <v>1016</v>
      </c>
      <c r="T2074" t="s">
        <v>68</v>
      </c>
      <c r="U2074" t="s">
        <v>266</v>
      </c>
      <c r="V2074" t="s">
        <v>1017</v>
      </c>
      <c r="AC2074" t="s">
        <v>51</v>
      </c>
      <c r="AF2074" t="s">
        <v>52</v>
      </c>
      <c r="AG2074" t="s">
        <v>54</v>
      </c>
      <c r="AH2074" t="s">
        <v>55</v>
      </c>
      <c r="AK2074">
        <v>8</v>
      </c>
      <c r="AL2074">
        <v>7</v>
      </c>
      <c r="AN2074">
        <v>401</v>
      </c>
      <c r="AU2074">
        <v>1456</v>
      </c>
      <c r="BB2074">
        <f>LOG(AU2074)</f>
        <v>3.1631613749770184</v>
      </c>
      <c r="BC2074">
        <v>9.9</v>
      </c>
      <c r="BF2074">
        <v>10.3</v>
      </c>
      <c r="BI2074">
        <v>1055</v>
      </c>
      <c r="BJ2074">
        <v>0.4</v>
      </c>
      <c r="BL2074" t="s">
        <v>1018</v>
      </c>
      <c r="BM2074" t="s">
        <v>98</v>
      </c>
      <c r="BN2074" t="s">
        <v>81</v>
      </c>
      <c r="BO2074" t="s">
        <v>439</v>
      </c>
      <c r="BP2074" t="s">
        <v>100</v>
      </c>
      <c r="BR2074" t="s">
        <v>63</v>
      </c>
      <c r="BT2074">
        <v>1.518367163</v>
      </c>
      <c r="BU2074">
        <v>1.518367</v>
      </c>
      <c r="BV2074">
        <v>0.12</v>
      </c>
      <c r="BW2074">
        <f>BV2074*SQRT(AK2074)</f>
        <v>0.33941125496954283</v>
      </c>
      <c r="BX2074">
        <v>1.64830619</v>
      </c>
      <c r="BY2074">
        <v>1.6483061999999999</v>
      </c>
      <c r="BZ2074">
        <v>0.2</v>
      </c>
      <c r="CA2074">
        <f>BZ2074*SQRT(AL2074)</f>
        <v>0.52915026221291817</v>
      </c>
      <c r="CB2074">
        <v>3</v>
      </c>
      <c r="CD2074">
        <v>8.2000000000000003E-2</v>
      </c>
      <c r="CE2074">
        <v>2.1899999999999999E-2</v>
      </c>
    </row>
    <row r="2075" spans="2:84" hidden="1" x14ac:dyDescent="0.2">
      <c r="B2075" t="str">
        <f>ROW()-1&amp;"_AltersInvert"</f>
        <v>2074_AltersInvert</v>
      </c>
      <c r="C2075" t="str">
        <f>D2075&amp;"_"&amp;
SUBSTITUTE(TRIM(V2075)," ","_")&amp;"_"&amp;
TRIM(AC2075)&amp;"_"&amp;
"CO2"&amp;TEXT(AN2075,"0.00")&amp;"_"&amp;
"pH"&amp;TEXT(AR2075,"0.00")&amp;"_"&amp;
"T"&amp;TEXT(BC2075,"0.##")</f>
        <v>76_Haliotis_coccoradiata_LARVA_CO2342.00_pH8.20_T20.</v>
      </c>
      <c r="D2075">
        <v>76</v>
      </c>
      <c r="G2075" t="s">
        <v>43</v>
      </c>
      <c r="H2075" t="s">
        <v>668</v>
      </c>
      <c r="J2075">
        <v>2011</v>
      </c>
      <c r="M2075" t="s">
        <v>174</v>
      </c>
      <c r="P2075" t="s">
        <v>1135</v>
      </c>
      <c r="R2075" t="s">
        <v>1127</v>
      </c>
      <c r="S2075" t="s">
        <v>1128</v>
      </c>
      <c r="T2075" t="s">
        <v>68</v>
      </c>
      <c r="U2075" t="s">
        <v>669</v>
      </c>
      <c r="V2075" t="s">
        <v>670</v>
      </c>
      <c r="Z2075" t="s">
        <v>106</v>
      </c>
      <c r="AA2075" t="s">
        <v>107</v>
      </c>
      <c r="AB2075" t="s">
        <v>71</v>
      </c>
      <c r="AC2075" t="s">
        <v>72</v>
      </c>
      <c r="AD2075" t="s">
        <v>52</v>
      </c>
      <c r="AE2075" t="s">
        <v>53</v>
      </c>
      <c r="AF2075" t="s">
        <v>52</v>
      </c>
      <c r="AG2075" t="s">
        <v>54</v>
      </c>
      <c r="AH2075" t="s">
        <v>55</v>
      </c>
      <c r="AK2075">
        <v>10</v>
      </c>
      <c r="AL2075">
        <v>10</v>
      </c>
      <c r="AN2075">
        <v>342</v>
      </c>
      <c r="AO2075">
        <v>36</v>
      </c>
      <c r="AP2075" t="s">
        <v>56</v>
      </c>
      <c r="AQ2075" t="s">
        <v>57</v>
      </c>
      <c r="AR2075">
        <v>8.1999999999999993</v>
      </c>
      <c r="AS2075" t="s">
        <v>56</v>
      </c>
      <c r="AT2075" t="s">
        <v>56</v>
      </c>
      <c r="AU2075">
        <v>1783</v>
      </c>
      <c r="AV2075">
        <v>13</v>
      </c>
      <c r="AW2075" t="s">
        <v>56</v>
      </c>
      <c r="AX2075">
        <v>7.6</v>
      </c>
      <c r="AY2075" t="s">
        <v>56</v>
      </c>
      <c r="AZ2075" t="s">
        <v>56</v>
      </c>
      <c r="BB2075">
        <f>LOG(AU2075)</f>
        <v>3.2511513431753545</v>
      </c>
      <c r="BC2075">
        <v>20</v>
      </c>
      <c r="BD2075" t="s">
        <v>56</v>
      </c>
      <c r="BE2075" t="s">
        <v>56</v>
      </c>
      <c r="BF2075">
        <v>20</v>
      </c>
      <c r="BG2075" t="s">
        <v>56</v>
      </c>
      <c r="BH2075" t="s">
        <v>56</v>
      </c>
      <c r="BI2075">
        <v>1441</v>
      </c>
      <c r="BJ2075">
        <v>0</v>
      </c>
      <c r="BK2075" t="s">
        <v>56</v>
      </c>
      <c r="BL2075" t="s">
        <v>671</v>
      </c>
      <c r="BM2075" t="s">
        <v>86</v>
      </c>
      <c r="BN2075" t="s">
        <v>81</v>
      </c>
      <c r="BO2075" t="s">
        <v>82</v>
      </c>
      <c r="BP2075" t="s">
        <v>9</v>
      </c>
      <c r="BQ2075" t="s">
        <v>194</v>
      </c>
      <c r="BR2075" t="s">
        <v>84</v>
      </c>
      <c r="BT2075">
        <v>59.7</v>
      </c>
      <c r="BU2075">
        <v>59.7</v>
      </c>
      <c r="BV2075">
        <v>9.9</v>
      </c>
      <c r="BW2075">
        <f>BV2075*SQRT(AK2075)</f>
        <v>31.306548835666959</v>
      </c>
      <c r="BX2075">
        <v>23</v>
      </c>
      <c r="BY2075">
        <v>23</v>
      </c>
      <c r="BZ2075">
        <v>7.2</v>
      </c>
      <c r="CA2075">
        <f>BZ2075*SQRT(AL2075)</f>
        <v>22.768399153212332</v>
      </c>
      <c r="CB2075">
        <v>1</v>
      </c>
      <c r="CC2075" t="s">
        <v>56</v>
      </c>
      <c r="CD2075">
        <v>-0.95399999999999996</v>
      </c>
      <c r="CE2075">
        <v>0.1255</v>
      </c>
      <c r="CF2075" s="8"/>
    </row>
    <row r="2076" spans="2:84" hidden="1" x14ac:dyDescent="0.2">
      <c r="D2076">
        <v>234</v>
      </c>
      <c r="G2076" t="s">
        <v>43</v>
      </c>
      <c r="H2076" t="s">
        <v>1007</v>
      </c>
      <c r="J2076">
        <v>2018</v>
      </c>
      <c r="M2076" t="s">
        <v>802</v>
      </c>
      <c r="T2076" t="s">
        <v>103</v>
      </c>
      <c r="V2076" t="s">
        <v>1021</v>
      </c>
      <c r="AC2076" t="s">
        <v>51</v>
      </c>
      <c r="AF2076" t="s">
        <v>52</v>
      </c>
      <c r="AG2076" t="s">
        <v>52</v>
      </c>
      <c r="AH2076" t="s">
        <v>64</v>
      </c>
      <c r="AK2076">
        <v>10</v>
      </c>
      <c r="AL2076">
        <v>10</v>
      </c>
      <c r="AN2076">
        <v>667</v>
      </c>
      <c r="AU2076">
        <v>1697</v>
      </c>
      <c r="BB2076">
        <f>LOG(AU2076)</f>
        <v>3.2296818423176759</v>
      </c>
      <c r="BC2076">
        <v>25.8</v>
      </c>
      <c r="BF2076">
        <v>30.3</v>
      </c>
      <c r="BI2076">
        <v>1030</v>
      </c>
      <c r="BJ2076">
        <v>4.5</v>
      </c>
      <c r="BL2076" t="s">
        <v>1009</v>
      </c>
      <c r="BM2076" t="s">
        <v>232</v>
      </c>
      <c r="BN2076" t="s">
        <v>81</v>
      </c>
      <c r="BO2076" t="s">
        <v>1010</v>
      </c>
      <c r="BP2076" t="s">
        <v>234</v>
      </c>
      <c r="BR2076" t="s">
        <v>63</v>
      </c>
      <c r="BT2076">
        <v>2.2867894350000002</v>
      </c>
      <c r="BU2076">
        <v>2.2867890000000002</v>
      </c>
      <c r="BV2076">
        <v>0.63749382600000004</v>
      </c>
      <c r="BW2076">
        <f>BV2076*SQRT(AK2076)</f>
        <v>2.0159324844550683</v>
      </c>
      <c r="BX2076">
        <v>1.715204967</v>
      </c>
      <c r="BY2076">
        <v>1.7152050000000001</v>
      </c>
      <c r="BZ2076">
        <v>0.350638538</v>
      </c>
      <c r="CA2076">
        <f>BZ2076*SQRT(AL2076)</f>
        <v>1.1088164155115015</v>
      </c>
      <c r="CB2076">
        <v>2</v>
      </c>
      <c r="CD2076">
        <v>-0.28799999999999998</v>
      </c>
      <c r="CE2076">
        <v>0.1195</v>
      </c>
    </row>
    <row r="2077" spans="2:84" hidden="1" x14ac:dyDescent="0.2">
      <c r="D2077">
        <v>213</v>
      </c>
      <c r="G2077" t="s">
        <v>43</v>
      </c>
      <c r="H2077" t="s">
        <v>1004</v>
      </c>
      <c r="J2077">
        <v>2010</v>
      </c>
      <c r="M2077" t="s">
        <v>67</v>
      </c>
      <c r="T2077" t="s">
        <v>46</v>
      </c>
      <c r="U2077" t="s">
        <v>1005</v>
      </c>
      <c r="V2077" t="s">
        <v>1006</v>
      </c>
      <c r="AC2077" t="s">
        <v>51</v>
      </c>
      <c r="AF2077" t="s">
        <v>52</v>
      </c>
      <c r="AG2077" t="s">
        <v>52</v>
      </c>
      <c r="AH2077" t="s">
        <v>64</v>
      </c>
      <c r="AK2077">
        <v>6</v>
      </c>
      <c r="AL2077">
        <v>6</v>
      </c>
      <c r="AN2077">
        <v>553</v>
      </c>
      <c r="AU2077">
        <v>2275</v>
      </c>
      <c r="BB2077">
        <f>LOG(AU2077)</f>
        <v>3.3569814009931314</v>
      </c>
      <c r="BC2077">
        <v>10.4</v>
      </c>
      <c r="BF2077">
        <v>14.8</v>
      </c>
      <c r="BI2077">
        <v>1722</v>
      </c>
      <c r="BJ2077">
        <v>4.4000000000000004</v>
      </c>
      <c r="BK2077" t="s">
        <v>56</v>
      </c>
      <c r="BL2077" t="s">
        <v>1040</v>
      </c>
      <c r="BM2077" t="s">
        <v>478</v>
      </c>
      <c r="BN2077" t="s">
        <v>340</v>
      </c>
      <c r="BO2077" t="s">
        <v>479</v>
      </c>
      <c r="BP2077" t="s">
        <v>77</v>
      </c>
      <c r="BR2077" t="s">
        <v>63</v>
      </c>
      <c r="BT2077">
        <v>2.39</v>
      </c>
      <c r="BU2077">
        <v>2.391</v>
      </c>
      <c r="BV2077">
        <v>0.27</v>
      </c>
      <c r="BW2077">
        <f>BV2077*SQRT(AK2077)</f>
        <v>0.66136223055145804</v>
      </c>
      <c r="BX2077">
        <v>1.74</v>
      </c>
      <c r="BY2077">
        <v>1.738</v>
      </c>
      <c r="BZ2077">
        <v>0.14000000000000001</v>
      </c>
      <c r="CA2077">
        <f>BZ2077*SQRT(AL2077)</f>
        <v>0.34292856398964494</v>
      </c>
      <c r="CB2077">
        <v>40</v>
      </c>
      <c r="CD2077">
        <v>-0.31900000000000001</v>
      </c>
      <c r="CE2077">
        <v>1.9199999999999998E-2</v>
      </c>
    </row>
    <row r="2078" spans="2:84" hidden="1" x14ac:dyDescent="0.2">
      <c r="D2078">
        <v>226</v>
      </c>
      <c r="G2078" t="s">
        <v>43</v>
      </c>
      <c r="H2078" t="s">
        <v>1015</v>
      </c>
      <c r="J2078">
        <v>2019</v>
      </c>
      <c r="M2078" t="s">
        <v>1016</v>
      </c>
      <c r="T2078" t="s">
        <v>68</v>
      </c>
      <c r="U2078" t="s">
        <v>266</v>
      </c>
      <c r="V2078" t="s">
        <v>1017</v>
      </c>
      <c r="AC2078" t="s">
        <v>51</v>
      </c>
      <c r="AF2078" t="s">
        <v>52</v>
      </c>
      <c r="AG2078" t="s">
        <v>52</v>
      </c>
      <c r="AH2078" t="s">
        <v>64</v>
      </c>
      <c r="AK2078">
        <v>8</v>
      </c>
      <c r="AL2078">
        <v>8</v>
      </c>
      <c r="AN2078">
        <v>401</v>
      </c>
      <c r="AU2078">
        <v>2339</v>
      </c>
      <c r="BB2078">
        <f>LOG(AU2078)</f>
        <v>3.3690302218091532</v>
      </c>
      <c r="BC2078">
        <v>9.9</v>
      </c>
      <c r="BF2078">
        <v>17.899999999999999</v>
      </c>
      <c r="BI2078">
        <v>1938</v>
      </c>
      <c r="BJ2078">
        <v>8</v>
      </c>
      <c r="BL2078" t="s">
        <v>1018</v>
      </c>
      <c r="BM2078" t="s">
        <v>98</v>
      </c>
      <c r="BN2078" t="s">
        <v>81</v>
      </c>
      <c r="BO2078" t="s">
        <v>439</v>
      </c>
      <c r="BP2078" t="s">
        <v>100</v>
      </c>
      <c r="BR2078" t="s">
        <v>63</v>
      </c>
      <c r="BT2078">
        <v>1.518367163</v>
      </c>
      <c r="BU2078">
        <v>1.518367</v>
      </c>
      <c r="BV2078">
        <v>0.12</v>
      </c>
      <c r="BW2078">
        <f>BV2078*SQRT(AK2078)</f>
        <v>0.33941125496954283</v>
      </c>
      <c r="BX2078">
        <v>1.7405481570000001</v>
      </c>
      <c r="BY2078">
        <v>1.7405482000000001</v>
      </c>
      <c r="BZ2078">
        <v>0.18</v>
      </c>
      <c r="CA2078">
        <f>BZ2078*SQRT(AL2078)</f>
        <v>0.50911688245431419</v>
      </c>
      <c r="CB2078">
        <v>3</v>
      </c>
      <c r="CD2078">
        <v>0.13700000000000001</v>
      </c>
      <c r="CE2078">
        <v>1.7299999999999999E-2</v>
      </c>
    </row>
    <row r="2079" spans="2:84" hidden="1" x14ac:dyDescent="0.2">
      <c r="B2079" t="str">
        <f>ROW()-1&amp;"_AltersInvert"</f>
        <v>2078_AltersInvert</v>
      </c>
      <c r="C2079" t="str">
        <f>D2079&amp;"_"&amp;
SUBSTITUTE(TRIM(V2079)," ","_")&amp;"_"&amp;
TRIM(AC2079)&amp;"_"&amp;
"CO2"&amp;TEXT(AN2079,"0.00")&amp;"_"&amp;
"pH"&amp;TEXT(AR2079,"0.00")&amp;"_"&amp;
"T"&amp;TEXT(BC2079,"0.##")</f>
        <v>76_Haliotis_coccoradiata_LARVA_CO2342.00_pH8.20_T20.</v>
      </c>
      <c r="D2079">
        <v>76</v>
      </c>
      <c r="G2079" t="s">
        <v>43</v>
      </c>
      <c r="H2079" t="s">
        <v>668</v>
      </c>
      <c r="J2079">
        <v>2011</v>
      </c>
      <c r="M2079" t="s">
        <v>174</v>
      </c>
      <c r="P2079" t="s">
        <v>1135</v>
      </c>
      <c r="R2079" t="s">
        <v>1127</v>
      </c>
      <c r="S2079" t="s">
        <v>1128</v>
      </c>
      <c r="T2079" t="s">
        <v>68</v>
      </c>
      <c r="U2079" t="s">
        <v>669</v>
      </c>
      <c r="V2079" t="s">
        <v>670</v>
      </c>
      <c r="Z2079" t="s">
        <v>106</v>
      </c>
      <c r="AA2079" t="s">
        <v>107</v>
      </c>
      <c r="AB2079" t="s">
        <v>71</v>
      </c>
      <c r="AC2079" t="s">
        <v>72</v>
      </c>
      <c r="AD2079" t="s">
        <v>52</v>
      </c>
      <c r="AE2079" t="s">
        <v>53</v>
      </c>
      <c r="AF2079" t="s">
        <v>52</v>
      </c>
      <c r="AG2079" t="s">
        <v>54</v>
      </c>
      <c r="AH2079" t="s">
        <v>55</v>
      </c>
      <c r="AK2079">
        <v>10</v>
      </c>
      <c r="AL2079">
        <v>10</v>
      </c>
      <c r="AN2079">
        <v>342</v>
      </c>
      <c r="AO2079">
        <v>36</v>
      </c>
      <c r="AP2079" t="s">
        <v>56</v>
      </c>
      <c r="AQ2079" t="s">
        <v>57</v>
      </c>
      <c r="AR2079">
        <v>8.1999999999999993</v>
      </c>
      <c r="AS2079" t="s">
        <v>56</v>
      </c>
      <c r="AT2079" t="s">
        <v>56</v>
      </c>
      <c r="AU2079">
        <v>1084</v>
      </c>
      <c r="AV2079">
        <v>7</v>
      </c>
      <c r="AW2079" t="s">
        <v>56</v>
      </c>
      <c r="AX2079">
        <v>7.8</v>
      </c>
      <c r="AY2079" t="s">
        <v>56</v>
      </c>
      <c r="AZ2079" t="s">
        <v>56</v>
      </c>
      <c r="BB2079">
        <f>LOG(AU2079)</f>
        <v>3.0350292822023683</v>
      </c>
      <c r="BC2079">
        <v>20</v>
      </c>
      <c r="BD2079" t="s">
        <v>56</v>
      </c>
      <c r="BE2079" t="s">
        <v>56</v>
      </c>
      <c r="BF2079">
        <v>20</v>
      </c>
      <c r="BG2079" t="s">
        <v>56</v>
      </c>
      <c r="BH2079" t="s">
        <v>56</v>
      </c>
      <c r="BI2079">
        <v>742</v>
      </c>
      <c r="BJ2079">
        <v>0</v>
      </c>
      <c r="BK2079" t="s">
        <v>56</v>
      </c>
      <c r="BL2079" t="s">
        <v>671</v>
      </c>
      <c r="BM2079" t="s">
        <v>86</v>
      </c>
      <c r="BN2079" t="s">
        <v>81</v>
      </c>
      <c r="BO2079" t="s">
        <v>82</v>
      </c>
      <c r="BP2079" t="s">
        <v>9</v>
      </c>
      <c r="BQ2079" t="s">
        <v>194</v>
      </c>
      <c r="BR2079" t="s">
        <v>84</v>
      </c>
      <c r="BT2079">
        <v>59.7</v>
      </c>
      <c r="BU2079">
        <v>59.7</v>
      </c>
      <c r="BV2079">
        <v>9.9</v>
      </c>
      <c r="BW2079">
        <f>BV2079*SQRT(AK2079)</f>
        <v>31.306548835666959</v>
      </c>
      <c r="BX2079">
        <v>28.2</v>
      </c>
      <c r="BY2079">
        <v>28.2</v>
      </c>
      <c r="BZ2079">
        <v>8.8000000000000007</v>
      </c>
      <c r="CA2079">
        <f>BZ2079*SQRT(AL2079)</f>
        <v>27.828043409481744</v>
      </c>
      <c r="CB2079">
        <v>1</v>
      </c>
      <c r="CC2079" t="s">
        <v>56</v>
      </c>
      <c r="CD2079">
        <v>-0.75</v>
      </c>
      <c r="CE2079">
        <v>0.1249</v>
      </c>
      <c r="CF2079" s="8"/>
    </row>
    <row r="2080" spans="2:84" hidden="1" x14ac:dyDescent="0.2">
      <c r="D2080">
        <v>238</v>
      </c>
      <c r="G2080" t="s">
        <v>43</v>
      </c>
      <c r="H2080" t="s">
        <v>1042</v>
      </c>
      <c r="J2080">
        <v>2018</v>
      </c>
      <c r="M2080" t="s">
        <v>279</v>
      </c>
      <c r="T2080" t="s">
        <v>68</v>
      </c>
      <c r="U2080" t="s">
        <v>553</v>
      </c>
      <c r="V2080" t="s">
        <v>1043</v>
      </c>
      <c r="AC2080" t="s">
        <v>51</v>
      </c>
      <c r="AF2080" t="s">
        <v>52</v>
      </c>
      <c r="AG2080" t="s">
        <v>54</v>
      </c>
      <c r="AH2080" t="s">
        <v>55</v>
      </c>
      <c r="AK2080">
        <v>9</v>
      </c>
      <c r="AL2080">
        <v>9</v>
      </c>
      <c r="AN2080">
        <v>562</v>
      </c>
      <c r="AU2080">
        <v>1008</v>
      </c>
      <c r="BB2080">
        <f>LOG(AU2080)</f>
        <v>3.0034605321095067</v>
      </c>
      <c r="BC2080">
        <v>20.9</v>
      </c>
      <c r="BF2080">
        <v>20.6</v>
      </c>
      <c r="BI2080">
        <v>446</v>
      </c>
      <c r="BJ2080">
        <v>-0.3</v>
      </c>
      <c r="BL2080" t="s">
        <v>1044</v>
      </c>
      <c r="BM2080" t="s">
        <v>1045</v>
      </c>
      <c r="BN2080" t="s">
        <v>60</v>
      </c>
      <c r="BO2080" t="s">
        <v>56</v>
      </c>
      <c r="BP2080" t="s">
        <v>194</v>
      </c>
      <c r="BR2080" t="s">
        <v>63</v>
      </c>
      <c r="BT2080">
        <v>1.7156540840000001</v>
      </c>
      <c r="BU2080">
        <v>1.715654</v>
      </c>
      <c r="BV2080">
        <v>7.0000000000000007E-2</v>
      </c>
      <c r="BW2080">
        <f>BV2080*SQRT(AK2080)</f>
        <v>0.21000000000000002</v>
      </c>
      <c r="BX2080">
        <v>1.7653941580000001</v>
      </c>
      <c r="BY2080">
        <v>1.7653942</v>
      </c>
      <c r="BZ2080">
        <v>0.09</v>
      </c>
      <c r="CA2080">
        <f>BZ2080*SQRT(AL2080)</f>
        <v>0.27</v>
      </c>
      <c r="CB2080">
        <v>7</v>
      </c>
      <c r="CD2080">
        <v>2.9000000000000001E-2</v>
      </c>
      <c r="CE2080">
        <v>4.4999999999999997E-3</v>
      </c>
    </row>
    <row r="2081" spans="2:84" hidden="1" x14ac:dyDescent="0.2">
      <c r="D2081">
        <v>213</v>
      </c>
      <c r="G2081" t="s">
        <v>43</v>
      </c>
      <c r="H2081" t="s">
        <v>1004</v>
      </c>
      <c r="J2081">
        <v>2010</v>
      </c>
      <c r="M2081" t="s">
        <v>67</v>
      </c>
      <c r="T2081" t="s">
        <v>46</v>
      </c>
      <c r="U2081" t="s">
        <v>1005</v>
      </c>
      <c r="V2081" t="s">
        <v>1006</v>
      </c>
      <c r="AC2081" t="s">
        <v>51</v>
      </c>
      <c r="AF2081" t="s">
        <v>54</v>
      </c>
      <c r="AG2081" t="s">
        <v>52</v>
      </c>
      <c r="AH2081" t="s">
        <v>65</v>
      </c>
      <c r="AK2081">
        <v>6</v>
      </c>
      <c r="AL2081">
        <v>6</v>
      </c>
      <c r="AN2081">
        <v>553</v>
      </c>
      <c r="AU2081">
        <v>594</v>
      </c>
      <c r="BB2081">
        <f>LOG(AU2081)</f>
        <v>2.7737864449811935</v>
      </c>
      <c r="BC2081">
        <v>10.4</v>
      </c>
      <c r="BF2081">
        <v>15.2</v>
      </c>
      <c r="BI2081">
        <v>41</v>
      </c>
      <c r="BJ2081">
        <v>4.8</v>
      </c>
      <c r="BK2081" t="s">
        <v>56</v>
      </c>
      <c r="BL2081" t="s">
        <v>58</v>
      </c>
      <c r="BM2081" t="s">
        <v>59</v>
      </c>
      <c r="BN2081" t="s">
        <v>60</v>
      </c>
      <c r="BO2081" t="s">
        <v>998</v>
      </c>
      <c r="BP2081" t="s">
        <v>62</v>
      </c>
      <c r="BR2081" t="s">
        <v>63</v>
      </c>
      <c r="BT2081">
        <v>0.22</v>
      </c>
      <c r="BU2081">
        <v>0.223</v>
      </c>
      <c r="BV2081">
        <v>0.02</v>
      </c>
      <c r="BW2081">
        <f>BV2081*SQRT(AK2081)</f>
        <v>4.8989794855663557E-2</v>
      </c>
      <c r="BX2081">
        <v>1.83</v>
      </c>
      <c r="BY2081">
        <v>1.8260000000000001</v>
      </c>
      <c r="BZ2081">
        <v>0.27</v>
      </c>
      <c r="CA2081">
        <f>BZ2081*SQRT(AL2081)</f>
        <v>0.66136223055145804</v>
      </c>
      <c r="CB2081">
        <v>40</v>
      </c>
      <c r="CD2081">
        <v>2.1030000000000002</v>
      </c>
      <c r="CE2081">
        <v>2.7799999999999998E-2</v>
      </c>
    </row>
    <row r="2082" spans="2:84" hidden="1" x14ac:dyDescent="0.2">
      <c r="B2082" t="str">
        <f>ROW()-1&amp;"_AltersInvert"</f>
        <v>2081_AltersInvert</v>
      </c>
      <c r="C2082" t="str">
        <f>D2082&amp;"_"&amp;
SUBSTITUTE(TRIM(V2082)," ","_")&amp;"_"&amp;
TRIM(AC2082)&amp;"_"&amp;
"CO2"&amp;TEXT(AN2082,"0.00")&amp;"_"&amp;
"pH"&amp;TEXT(AR2082,"0.00")&amp;"_"&amp;
"T"&amp;TEXT(BC2082,"0.##")</f>
        <v>76_Haliotis_coccoradiata_LARVA_CO2342.00_pH8.20_T20.</v>
      </c>
      <c r="D2082">
        <v>76</v>
      </c>
      <c r="G2082" t="s">
        <v>43</v>
      </c>
      <c r="H2082" t="s">
        <v>668</v>
      </c>
      <c r="J2082">
        <v>2011</v>
      </c>
      <c r="M2082" t="s">
        <v>174</v>
      </c>
      <c r="P2082" t="s">
        <v>1135</v>
      </c>
      <c r="R2082" t="s">
        <v>1127</v>
      </c>
      <c r="S2082" t="s">
        <v>1128</v>
      </c>
      <c r="T2082" t="s">
        <v>68</v>
      </c>
      <c r="U2082" t="s">
        <v>669</v>
      </c>
      <c r="V2082" t="s">
        <v>670</v>
      </c>
      <c r="Z2082" t="s">
        <v>106</v>
      </c>
      <c r="AA2082" t="s">
        <v>107</v>
      </c>
      <c r="AB2082" t="s">
        <v>71</v>
      </c>
      <c r="AC2082" t="s">
        <v>72</v>
      </c>
      <c r="AD2082" t="s">
        <v>52</v>
      </c>
      <c r="AE2082" t="s">
        <v>53</v>
      </c>
      <c r="AF2082" t="s">
        <v>54</v>
      </c>
      <c r="AG2082" t="s">
        <v>52</v>
      </c>
      <c r="AH2082" t="s">
        <v>65</v>
      </c>
      <c r="AK2082">
        <v>10</v>
      </c>
      <c r="AL2082">
        <v>10</v>
      </c>
      <c r="AN2082">
        <v>342</v>
      </c>
      <c r="AO2082">
        <v>36</v>
      </c>
      <c r="AP2082" t="s">
        <v>56</v>
      </c>
      <c r="AQ2082" t="s">
        <v>57</v>
      </c>
      <c r="AR2082">
        <v>8.1999999999999993</v>
      </c>
      <c r="AS2082" t="s">
        <v>56</v>
      </c>
      <c r="AT2082" t="s">
        <v>56</v>
      </c>
      <c r="AU2082">
        <v>342</v>
      </c>
      <c r="AV2082">
        <v>36</v>
      </c>
      <c r="AW2082" t="s">
        <v>56</v>
      </c>
      <c r="AX2082">
        <v>8.1999999999999993</v>
      </c>
      <c r="AY2082" t="s">
        <v>56</v>
      </c>
      <c r="AZ2082" t="s">
        <v>56</v>
      </c>
      <c r="BB2082">
        <f>LOG(AU2082)</f>
        <v>2.5340261060561349</v>
      </c>
      <c r="BC2082">
        <v>20</v>
      </c>
      <c r="BD2082" t="s">
        <v>56</v>
      </c>
      <c r="BE2082" t="s">
        <v>56</v>
      </c>
      <c r="BF2082">
        <v>24</v>
      </c>
      <c r="BG2082" t="s">
        <v>56</v>
      </c>
      <c r="BH2082" t="s">
        <v>56</v>
      </c>
      <c r="BI2082">
        <v>0</v>
      </c>
      <c r="BJ2082">
        <v>4</v>
      </c>
      <c r="BK2082" t="s">
        <v>56</v>
      </c>
      <c r="BL2082" t="s">
        <v>671</v>
      </c>
      <c r="BM2082" t="s">
        <v>86</v>
      </c>
      <c r="BN2082" t="s">
        <v>81</v>
      </c>
      <c r="BO2082" t="s">
        <v>82</v>
      </c>
      <c r="BP2082" t="s">
        <v>9</v>
      </c>
      <c r="BQ2082" t="s">
        <v>194</v>
      </c>
      <c r="BR2082" t="s">
        <v>84</v>
      </c>
      <c r="BT2082">
        <v>59.7</v>
      </c>
      <c r="BU2082">
        <v>59.7</v>
      </c>
      <c r="BV2082">
        <v>9.9</v>
      </c>
      <c r="BW2082">
        <f>BV2082*SQRT(AK2082)</f>
        <v>31.306548835666959</v>
      </c>
      <c r="BX2082">
        <v>22.6</v>
      </c>
      <c r="BY2082">
        <v>22.6</v>
      </c>
      <c r="BZ2082">
        <v>10.8</v>
      </c>
      <c r="CA2082">
        <f>BZ2082*SQRT(AL2082)</f>
        <v>34.1525987298185</v>
      </c>
      <c r="CB2082">
        <v>1</v>
      </c>
      <c r="CC2082" t="s">
        <v>56</v>
      </c>
      <c r="CD2082">
        <v>-0.97099999999999997</v>
      </c>
      <c r="CE2082">
        <v>0.25590000000000002</v>
      </c>
      <c r="CF2082" s="8"/>
    </row>
    <row r="2083" spans="2:84" hidden="1" x14ac:dyDescent="0.2">
      <c r="D2083">
        <v>218</v>
      </c>
      <c r="G2083" t="s">
        <v>43</v>
      </c>
      <c r="H2083" t="s">
        <v>1025</v>
      </c>
      <c r="J2083">
        <v>2014</v>
      </c>
      <c r="M2083" t="s">
        <v>213</v>
      </c>
      <c r="T2083" t="s">
        <v>68</v>
      </c>
      <c r="U2083" t="s">
        <v>266</v>
      </c>
      <c r="V2083" t="s">
        <v>267</v>
      </c>
      <c r="AC2083" t="s">
        <v>51</v>
      </c>
      <c r="AF2083" t="s">
        <v>54</v>
      </c>
      <c r="AG2083" t="s">
        <v>52</v>
      </c>
      <c r="AH2083" t="s">
        <v>65</v>
      </c>
      <c r="AK2083">
        <v>3</v>
      </c>
      <c r="AL2083">
        <v>3</v>
      </c>
      <c r="AN2083">
        <v>545</v>
      </c>
      <c r="AU2083">
        <v>539</v>
      </c>
      <c r="BB2083">
        <f>LOG(AU2083)</f>
        <v>2.7315887651867388</v>
      </c>
      <c r="BC2083">
        <v>11</v>
      </c>
      <c r="BF2083">
        <v>18</v>
      </c>
      <c r="BI2083">
        <v>-6</v>
      </c>
      <c r="BJ2083">
        <v>6.3</v>
      </c>
      <c r="BL2083" t="s">
        <v>1026</v>
      </c>
      <c r="BM2083" t="s">
        <v>262</v>
      </c>
      <c r="BN2083" t="s">
        <v>81</v>
      </c>
      <c r="BO2083" t="s">
        <v>1027</v>
      </c>
      <c r="BP2083" t="s">
        <v>92</v>
      </c>
      <c r="BR2083" t="s">
        <v>63</v>
      </c>
      <c r="BT2083">
        <v>0.57199999999999995</v>
      </c>
      <c r="BU2083">
        <v>0.57199999999999995</v>
      </c>
      <c r="BV2083">
        <v>6.0999999999999999E-2</v>
      </c>
      <c r="BW2083">
        <f>BV2083*SQRT(AK2083)</f>
        <v>0.10565509926170151</v>
      </c>
      <c r="BX2083">
        <v>1.855</v>
      </c>
      <c r="BY2083">
        <v>1.855</v>
      </c>
      <c r="BZ2083">
        <v>0.16800000000000001</v>
      </c>
      <c r="CA2083">
        <f>BZ2083*SQRT(AL2083)</f>
        <v>0.2909845356715714</v>
      </c>
      <c r="CB2083">
        <v>28</v>
      </c>
      <c r="CD2083">
        <v>1.177</v>
      </c>
      <c r="CE2083">
        <v>1.9599999999999999E-2</v>
      </c>
    </row>
    <row r="2084" spans="2:84" hidden="1" x14ac:dyDescent="0.2">
      <c r="B2084" t="str">
        <f>ROW()-1&amp;"_AltersInvert"</f>
        <v>2083_AltersInvert</v>
      </c>
      <c r="C2084" t="str">
        <f>D2084&amp;"_"&amp;
SUBSTITUTE(TRIM(V2084)," ","_")&amp;"_"&amp;
TRIM(AC2084)&amp;"_"&amp;
"CO2"&amp;TEXT(AN2084,"0.00")&amp;"_"&amp;
"pH"&amp;TEXT(AR2084,"0.00")&amp;"_"&amp;
"T"&amp;TEXT(BC2084,"0.##")</f>
        <v>76_Haliotis_coccoradiata_LARVA_CO2342.00_pH8.20_T20.</v>
      </c>
      <c r="D2084">
        <v>76</v>
      </c>
      <c r="G2084" t="s">
        <v>43</v>
      </c>
      <c r="H2084" t="s">
        <v>668</v>
      </c>
      <c r="J2084">
        <v>2011</v>
      </c>
      <c r="M2084" t="s">
        <v>174</v>
      </c>
      <c r="P2084" t="s">
        <v>1135</v>
      </c>
      <c r="R2084" t="s">
        <v>1127</v>
      </c>
      <c r="S2084" t="s">
        <v>1128</v>
      </c>
      <c r="T2084" t="s">
        <v>68</v>
      </c>
      <c r="U2084" t="s">
        <v>669</v>
      </c>
      <c r="V2084" t="s">
        <v>670</v>
      </c>
      <c r="Z2084" t="s">
        <v>106</v>
      </c>
      <c r="AA2084" t="s">
        <v>107</v>
      </c>
      <c r="AB2084" t="s">
        <v>71</v>
      </c>
      <c r="AC2084" t="s">
        <v>72</v>
      </c>
      <c r="AD2084" t="s">
        <v>52</v>
      </c>
      <c r="AE2084" t="s">
        <v>53</v>
      </c>
      <c r="AF2084" t="s">
        <v>54</v>
      </c>
      <c r="AG2084" t="s">
        <v>52</v>
      </c>
      <c r="AH2084" t="s">
        <v>65</v>
      </c>
      <c r="AK2084">
        <v>10</v>
      </c>
      <c r="AL2084">
        <v>10</v>
      </c>
      <c r="AN2084">
        <v>342</v>
      </c>
      <c r="AO2084">
        <v>36</v>
      </c>
      <c r="AP2084" t="s">
        <v>56</v>
      </c>
      <c r="AQ2084" t="s">
        <v>57</v>
      </c>
      <c r="AR2084">
        <v>8.1999999999999993</v>
      </c>
      <c r="AS2084" t="s">
        <v>56</v>
      </c>
      <c r="AT2084" t="s">
        <v>56</v>
      </c>
      <c r="AU2084">
        <v>342</v>
      </c>
      <c r="AV2084">
        <v>36</v>
      </c>
      <c r="AW2084" t="s">
        <v>56</v>
      </c>
      <c r="AX2084">
        <v>8.1999999999999993</v>
      </c>
      <c r="AY2084" t="s">
        <v>56</v>
      </c>
      <c r="AZ2084" t="s">
        <v>56</v>
      </c>
      <c r="BB2084">
        <f>LOG(AU2084)</f>
        <v>2.5340261060561349</v>
      </c>
      <c r="BC2084">
        <v>20</v>
      </c>
      <c r="BD2084" t="s">
        <v>56</v>
      </c>
      <c r="BE2084" t="s">
        <v>56</v>
      </c>
      <c r="BF2084">
        <v>22</v>
      </c>
      <c r="BG2084" t="s">
        <v>56</v>
      </c>
      <c r="BH2084" t="s">
        <v>56</v>
      </c>
      <c r="BI2084">
        <v>0</v>
      </c>
      <c r="BJ2084">
        <v>2</v>
      </c>
      <c r="BK2084" t="s">
        <v>56</v>
      </c>
      <c r="BL2084" t="s">
        <v>671</v>
      </c>
      <c r="BM2084" t="s">
        <v>86</v>
      </c>
      <c r="BN2084" t="s">
        <v>81</v>
      </c>
      <c r="BO2084" t="s">
        <v>82</v>
      </c>
      <c r="BP2084" t="s">
        <v>9</v>
      </c>
      <c r="BQ2084" t="s">
        <v>194</v>
      </c>
      <c r="BR2084" t="s">
        <v>84</v>
      </c>
      <c r="BT2084">
        <v>59.7</v>
      </c>
      <c r="BU2084">
        <v>59.7</v>
      </c>
      <c r="BV2084">
        <v>9.9</v>
      </c>
      <c r="BW2084">
        <f>BV2084*SQRT(AK2084)</f>
        <v>31.306548835666959</v>
      </c>
      <c r="BX2084">
        <v>37</v>
      </c>
      <c r="BY2084">
        <v>37</v>
      </c>
      <c r="BZ2084">
        <v>7.1</v>
      </c>
      <c r="CA2084">
        <f>BZ2084*SQRT(AL2084)</f>
        <v>22.452171387195495</v>
      </c>
      <c r="CB2084">
        <v>1</v>
      </c>
      <c r="CC2084" t="s">
        <v>56</v>
      </c>
      <c r="CD2084">
        <v>-0.47799999999999998</v>
      </c>
      <c r="CE2084">
        <v>6.4299999999999996E-2</v>
      </c>
      <c r="CF2084" s="8"/>
    </row>
    <row r="2085" spans="2:84" hidden="1" x14ac:dyDescent="0.2">
      <c r="B2085" t="str">
        <f>ROW()-1&amp;"_AltersInvert"</f>
        <v>2084_AltersInvert</v>
      </c>
      <c r="C2085" t="str">
        <f>D2085&amp;"_"&amp;
SUBSTITUTE(TRIM(V2085)," ","_")&amp;"_"&amp;
TRIM(AC2085)&amp;"_"&amp;
"CO2"&amp;TEXT(AN2085,"0.00")&amp;"_"&amp;
"pH"&amp;TEXT(AR2085,"0.00")&amp;"_"&amp;
"T"&amp;TEXT(BC2085,"0.##")</f>
        <v>76_Haliotis_coccoradiata_LARVA_CO2342.00_pH8.20_T20.</v>
      </c>
      <c r="D2085">
        <v>76</v>
      </c>
      <c r="G2085" t="s">
        <v>43</v>
      </c>
      <c r="H2085" t="s">
        <v>668</v>
      </c>
      <c r="J2085">
        <v>2011</v>
      </c>
      <c r="M2085" t="s">
        <v>174</v>
      </c>
      <c r="P2085" t="s">
        <v>1135</v>
      </c>
      <c r="R2085" t="s">
        <v>1127</v>
      </c>
      <c r="S2085" t="s">
        <v>1128</v>
      </c>
      <c r="T2085" t="s">
        <v>68</v>
      </c>
      <c r="U2085" t="s">
        <v>669</v>
      </c>
      <c r="V2085" t="s">
        <v>670</v>
      </c>
      <c r="Z2085" t="s">
        <v>106</v>
      </c>
      <c r="AA2085" t="s">
        <v>107</v>
      </c>
      <c r="AB2085" t="s">
        <v>71</v>
      </c>
      <c r="AC2085" t="s">
        <v>72</v>
      </c>
      <c r="AD2085" t="s">
        <v>52</v>
      </c>
      <c r="AE2085" t="s">
        <v>53</v>
      </c>
      <c r="AF2085" t="s">
        <v>52</v>
      </c>
      <c r="AG2085" t="s">
        <v>52</v>
      </c>
      <c r="AH2085" t="s">
        <v>64</v>
      </c>
      <c r="AK2085">
        <v>10</v>
      </c>
      <c r="AL2085">
        <v>10</v>
      </c>
      <c r="AN2085">
        <v>342</v>
      </c>
      <c r="AO2085">
        <v>36</v>
      </c>
      <c r="AP2085" t="s">
        <v>56</v>
      </c>
      <c r="AQ2085" t="s">
        <v>57</v>
      </c>
      <c r="AR2085">
        <v>8.1999999999999993</v>
      </c>
      <c r="AS2085" t="s">
        <v>56</v>
      </c>
      <c r="AT2085" t="s">
        <v>56</v>
      </c>
      <c r="AU2085">
        <v>1817</v>
      </c>
      <c r="AV2085">
        <v>13</v>
      </c>
      <c r="AW2085" t="s">
        <v>56</v>
      </c>
      <c r="AX2085">
        <v>7.6</v>
      </c>
      <c r="AY2085" t="s">
        <v>56</v>
      </c>
      <c r="AZ2085" t="s">
        <v>56</v>
      </c>
      <c r="BB2085">
        <f>LOG(AU2085)</f>
        <v>3.2593549273080344</v>
      </c>
      <c r="BC2085">
        <v>20</v>
      </c>
      <c r="BD2085" t="s">
        <v>56</v>
      </c>
      <c r="BE2085" t="s">
        <v>56</v>
      </c>
      <c r="BF2085">
        <v>22</v>
      </c>
      <c r="BG2085" t="s">
        <v>56</v>
      </c>
      <c r="BH2085" t="s">
        <v>56</v>
      </c>
      <c r="BI2085">
        <v>1475</v>
      </c>
      <c r="BJ2085">
        <v>2</v>
      </c>
      <c r="BK2085" t="s">
        <v>56</v>
      </c>
      <c r="BL2085" t="s">
        <v>671</v>
      </c>
      <c r="BM2085" t="s">
        <v>86</v>
      </c>
      <c r="BN2085" t="s">
        <v>81</v>
      </c>
      <c r="BO2085" t="s">
        <v>82</v>
      </c>
      <c r="BP2085" t="s">
        <v>9</v>
      </c>
      <c r="BQ2085" t="s">
        <v>194</v>
      </c>
      <c r="BR2085" t="s">
        <v>84</v>
      </c>
      <c r="BT2085">
        <v>59.7</v>
      </c>
      <c r="BU2085">
        <v>59.7</v>
      </c>
      <c r="BV2085">
        <v>9.9</v>
      </c>
      <c r="BW2085">
        <f>BV2085*SQRT(AK2085)</f>
        <v>31.306548835666959</v>
      </c>
      <c r="BX2085">
        <v>0.4</v>
      </c>
      <c r="BY2085">
        <v>0.4</v>
      </c>
      <c r="BZ2085">
        <v>0.7</v>
      </c>
      <c r="CA2085">
        <f>BZ2085*SQRT(AL2085)</f>
        <v>2.2135943621178655</v>
      </c>
      <c r="CB2085">
        <v>1</v>
      </c>
      <c r="CC2085" t="s">
        <v>56</v>
      </c>
      <c r="CD2085">
        <v>-5.0060000000000002</v>
      </c>
      <c r="CE2085">
        <v>3.09</v>
      </c>
      <c r="CF2085" s="8"/>
    </row>
    <row r="2086" spans="2:84" hidden="1" x14ac:dyDescent="0.2">
      <c r="D2086">
        <v>234</v>
      </c>
      <c r="G2086" t="s">
        <v>43</v>
      </c>
      <c r="H2086" t="s">
        <v>1007</v>
      </c>
      <c r="J2086">
        <v>2018</v>
      </c>
      <c r="M2086" t="s">
        <v>802</v>
      </c>
      <c r="T2086" t="s">
        <v>103</v>
      </c>
      <c r="V2086" t="s">
        <v>214</v>
      </c>
      <c r="AC2086" t="s">
        <v>51</v>
      </c>
      <c r="AF2086" t="s">
        <v>52</v>
      </c>
      <c r="AG2086" t="s">
        <v>54</v>
      </c>
      <c r="AH2086" t="s">
        <v>55</v>
      </c>
      <c r="AK2086">
        <v>10</v>
      </c>
      <c r="AL2086">
        <v>10</v>
      </c>
      <c r="AN2086">
        <v>667</v>
      </c>
      <c r="AU2086">
        <v>1387</v>
      </c>
      <c r="BB2086">
        <f>LOG(AU2086)</f>
        <v>3.1420764610732848</v>
      </c>
      <c r="BC2086">
        <v>25.8</v>
      </c>
      <c r="BF2086">
        <v>26.4</v>
      </c>
      <c r="BI2086">
        <v>720</v>
      </c>
      <c r="BJ2086">
        <v>0.6</v>
      </c>
      <c r="BL2086" t="s">
        <v>1009</v>
      </c>
      <c r="BM2086" t="s">
        <v>232</v>
      </c>
      <c r="BN2086" t="s">
        <v>81</v>
      </c>
      <c r="BO2086" t="s">
        <v>1010</v>
      </c>
      <c r="BP2086" t="s">
        <v>234</v>
      </c>
      <c r="BR2086" t="s">
        <v>63</v>
      </c>
      <c r="BT2086">
        <v>1.814323009</v>
      </c>
      <c r="BU2086">
        <v>1.8143229999999999</v>
      </c>
      <c r="BV2086">
        <v>0.31872809800000002</v>
      </c>
      <c r="BW2086">
        <f>BV2086*SQRT(AK2086)</f>
        <v>1.007906743973358</v>
      </c>
      <c r="BX2086">
        <v>1.9099038079999999</v>
      </c>
      <c r="BY2086">
        <v>1.9099037999999999</v>
      </c>
      <c r="BZ2086">
        <v>0.22314729899999999</v>
      </c>
      <c r="CA2086">
        <f>BZ2086*SQRT(AL2086)</f>
        <v>0.70565371855461378</v>
      </c>
      <c r="CB2086">
        <v>2</v>
      </c>
      <c r="CD2086">
        <v>5.0999999999999997E-2</v>
      </c>
      <c r="CE2086">
        <v>4.4499999999999998E-2</v>
      </c>
    </row>
    <row r="2087" spans="2:84" hidden="1" x14ac:dyDescent="0.2">
      <c r="D2087">
        <v>229</v>
      </c>
      <c r="G2087" t="s">
        <v>43</v>
      </c>
      <c r="H2087" t="s">
        <v>1050</v>
      </c>
      <c r="J2087">
        <v>2019</v>
      </c>
      <c r="M2087" t="s">
        <v>997</v>
      </c>
      <c r="T2087" t="s">
        <v>68</v>
      </c>
      <c r="V2087" t="s">
        <v>556</v>
      </c>
      <c r="AC2087" t="s">
        <v>51</v>
      </c>
      <c r="AF2087" t="s">
        <v>54</v>
      </c>
      <c r="AG2087" t="s">
        <v>52</v>
      </c>
      <c r="AH2087" t="s">
        <v>65</v>
      </c>
      <c r="AK2087">
        <v>5</v>
      </c>
      <c r="AL2087">
        <v>5</v>
      </c>
      <c r="AN2087">
        <v>362</v>
      </c>
      <c r="AU2087">
        <v>454</v>
      </c>
      <c r="BB2087">
        <f>LOG(AU2087)</f>
        <v>2.6570558528571038</v>
      </c>
      <c r="BC2087">
        <v>9</v>
      </c>
      <c r="BF2087">
        <v>12</v>
      </c>
      <c r="BI2087">
        <v>92</v>
      </c>
      <c r="BJ2087">
        <v>3.3</v>
      </c>
      <c r="BL2087" t="s">
        <v>962</v>
      </c>
      <c r="BM2087" t="s">
        <v>365</v>
      </c>
      <c r="BN2087" t="s">
        <v>81</v>
      </c>
      <c r="BO2087" t="s">
        <v>56</v>
      </c>
      <c r="BP2087" t="s">
        <v>92</v>
      </c>
      <c r="BR2087" t="s">
        <v>63</v>
      </c>
      <c r="BT2087">
        <v>3.1491803279999999</v>
      </c>
      <c r="BU2087">
        <v>3.1491799999999999</v>
      </c>
      <c r="BV2087">
        <v>0.43</v>
      </c>
      <c r="BW2087">
        <f>BV2087*SQRT(AK2087)</f>
        <v>0.96150923032490965</v>
      </c>
      <c r="BX2087">
        <v>1.919672131</v>
      </c>
      <c r="BY2087">
        <v>1.9196721000000001</v>
      </c>
      <c r="BZ2087">
        <v>0.28999999999999998</v>
      </c>
      <c r="CA2087">
        <f>BZ2087*SQRT(AL2087)</f>
        <v>0.64845971347493903</v>
      </c>
      <c r="CB2087">
        <v>74</v>
      </c>
      <c r="CD2087">
        <v>-0.495</v>
      </c>
      <c r="CE2087">
        <v>4.1000000000000002E-2</v>
      </c>
    </row>
    <row r="2088" spans="2:84" hidden="1" x14ac:dyDescent="0.2">
      <c r="D2088">
        <v>218</v>
      </c>
      <c r="G2088" t="s">
        <v>43</v>
      </c>
      <c r="H2088" t="s">
        <v>1025</v>
      </c>
      <c r="J2088">
        <v>2014</v>
      </c>
      <c r="M2088" t="s">
        <v>213</v>
      </c>
      <c r="T2088" t="s">
        <v>68</v>
      </c>
      <c r="U2088" t="s">
        <v>266</v>
      </c>
      <c r="V2088" t="s">
        <v>267</v>
      </c>
      <c r="AC2088" t="s">
        <v>51</v>
      </c>
      <c r="AF2088" t="s">
        <v>52</v>
      </c>
      <c r="AG2088" t="s">
        <v>52</v>
      </c>
      <c r="AH2088" t="s">
        <v>64</v>
      </c>
      <c r="AK2088">
        <v>3</v>
      </c>
      <c r="AL2088">
        <v>3</v>
      </c>
      <c r="AN2088">
        <v>545</v>
      </c>
      <c r="AU2088">
        <v>1102</v>
      </c>
      <c r="BB2088">
        <f>LOG(AU2088)</f>
        <v>3.0421815945157662</v>
      </c>
      <c r="BC2088">
        <v>11</v>
      </c>
      <c r="BF2088">
        <v>23</v>
      </c>
      <c r="BI2088">
        <v>557</v>
      </c>
      <c r="BJ2088">
        <v>12.1</v>
      </c>
      <c r="BL2088" t="s">
        <v>1026</v>
      </c>
      <c r="BM2088" t="s">
        <v>262</v>
      </c>
      <c r="BN2088" t="s">
        <v>81</v>
      </c>
      <c r="BO2088" t="s">
        <v>1027</v>
      </c>
      <c r="BP2088" t="s">
        <v>92</v>
      </c>
      <c r="BR2088" t="s">
        <v>63</v>
      </c>
      <c r="BT2088">
        <v>0.57199999999999995</v>
      </c>
      <c r="BU2088">
        <v>0.57199999999999995</v>
      </c>
      <c r="BV2088">
        <v>6.0999999999999999E-2</v>
      </c>
      <c r="BW2088">
        <f>BV2088*SQRT(AK2088)</f>
        <v>0.10565509926170151</v>
      </c>
      <c r="BX2088">
        <v>1.958</v>
      </c>
      <c r="BY2088">
        <v>1.958</v>
      </c>
      <c r="BZ2088">
        <v>0.215</v>
      </c>
      <c r="CA2088">
        <f>BZ2088*SQRT(AL2088)</f>
        <v>0.37239092362730858</v>
      </c>
      <c r="CB2088">
        <v>28</v>
      </c>
      <c r="CD2088">
        <v>1.2310000000000001</v>
      </c>
      <c r="CE2088">
        <v>2.3400000000000001E-2</v>
      </c>
    </row>
    <row r="2089" spans="2:84" hidden="1" x14ac:dyDescent="0.2">
      <c r="D2089">
        <v>218</v>
      </c>
      <c r="G2089" t="s">
        <v>43</v>
      </c>
      <c r="H2089" t="s">
        <v>1025</v>
      </c>
      <c r="J2089">
        <v>2014</v>
      </c>
      <c r="M2089" t="s">
        <v>213</v>
      </c>
      <c r="T2089" t="s">
        <v>68</v>
      </c>
      <c r="U2089" t="s">
        <v>266</v>
      </c>
      <c r="V2089" t="s">
        <v>267</v>
      </c>
      <c r="AC2089" t="s">
        <v>51</v>
      </c>
      <c r="AF2089" t="s">
        <v>52</v>
      </c>
      <c r="AG2089" t="s">
        <v>52</v>
      </c>
      <c r="AH2089" t="s">
        <v>64</v>
      </c>
      <c r="AK2089">
        <v>3</v>
      </c>
      <c r="AL2089">
        <v>3</v>
      </c>
      <c r="AN2089">
        <v>545</v>
      </c>
      <c r="AU2089">
        <v>1219</v>
      </c>
      <c r="BB2089">
        <f>LOG(AU2089)</f>
        <v>3.0860037056183818</v>
      </c>
      <c r="BC2089">
        <v>11</v>
      </c>
      <c r="BF2089">
        <v>20</v>
      </c>
      <c r="BI2089">
        <v>674</v>
      </c>
      <c r="BJ2089">
        <v>8.5</v>
      </c>
      <c r="BL2089" t="s">
        <v>1026</v>
      </c>
      <c r="BM2089" t="s">
        <v>262</v>
      </c>
      <c r="BN2089" t="s">
        <v>81</v>
      </c>
      <c r="BO2089" t="s">
        <v>1027</v>
      </c>
      <c r="BP2089" t="s">
        <v>92</v>
      </c>
      <c r="BR2089" t="s">
        <v>63</v>
      </c>
      <c r="BT2089">
        <v>0.57199999999999995</v>
      </c>
      <c r="BU2089">
        <v>0.57199999999999995</v>
      </c>
      <c r="BV2089">
        <v>6.0999999999999999E-2</v>
      </c>
      <c r="BW2089">
        <f>BV2089*SQRT(AK2089)</f>
        <v>0.10565509926170151</v>
      </c>
      <c r="BX2089">
        <v>1.99</v>
      </c>
      <c r="BY2089">
        <v>1.99</v>
      </c>
      <c r="BZ2089">
        <v>0.14299999999999999</v>
      </c>
      <c r="CA2089">
        <f>BZ2089*SQRT(AL2089)</f>
        <v>0.24768326548234942</v>
      </c>
      <c r="CB2089">
        <v>28</v>
      </c>
      <c r="CD2089">
        <v>1.2470000000000001</v>
      </c>
      <c r="CE2089">
        <v>1.6500000000000001E-2</v>
      </c>
    </row>
    <row r="2090" spans="2:84" hidden="1" x14ac:dyDescent="0.2">
      <c r="D2090">
        <v>213</v>
      </c>
      <c r="G2090" t="s">
        <v>43</v>
      </c>
      <c r="H2090" t="s">
        <v>1004</v>
      </c>
      <c r="J2090">
        <v>2010</v>
      </c>
      <c r="M2090" t="s">
        <v>67</v>
      </c>
      <c r="T2090" t="s">
        <v>46</v>
      </c>
      <c r="U2090" t="s">
        <v>1005</v>
      </c>
      <c r="V2090" t="s">
        <v>1006</v>
      </c>
      <c r="AC2090" t="s">
        <v>51</v>
      </c>
      <c r="AF2090" t="s">
        <v>52</v>
      </c>
      <c r="AG2090" t="s">
        <v>52</v>
      </c>
      <c r="AH2090" t="s">
        <v>64</v>
      </c>
      <c r="AK2090">
        <v>6</v>
      </c>
      <c r="AL2090">
        <v>6</v>
      </c>
      <c r="AN2090">
        <v>553</v>
      </c>
      <c r="AU2090">
        <v>2275</v>
      </c>
      <c r="BB2090">
        <f>LOG(AU2090)</f>
        <v>3.3569814009931314</v>
      </c>
      <c r="BC2090">
        <v>10.4</v>
      </c>
      <c r="BF2090">
        <v>14.8</v>
      </c>
      <c r="BI2090">
        <v>1722</v>
      </c>
      <c r="BJ2090">
        <v>4.4000000000000004</v>
      </c>
      <c r="BK2090" t="s">
        <v>56</v>
      </c>
      <c r="BL2090" t="s">
        <v>58</v>
      </c>
      <c r="BM2090" t="s">
        <v>59</v>
      </c>
      <c r="BN2090" t="s">
        <v>60</v>
      </c>
      <c r="BO2090" t="s">
        <v>998</v>
      </c>
      <c r="BP2090" t="s">
        <v>62</v>
      </c>
      <c r="BR2090" t="s">
        <v>63</v>
      </c>
      <c r="BT2090">
        <v>0.22</v>
      </c>
      <c r="BU2090">
        <v>0.223</v>
      </c>
      <c r="BV2090">
        <v>0.02</v>
      </c>
      <c r="BW2090">
        <f>BV2090*SQRT(AK2090)</f>
        <v>4.8989794855663557E-2</v>
      </c>
      <c r="BX2090">
        <v>2</v>
      </c>
      <c r="BY2090">
        <v>2.004</v>
      </c>
      <c r="BZ2090">
        <v>0.24</v>
      </c>
      <c r="CA2090">
        <f>BZ2090*SQRT(AL2090)</f>
        <v>0.58787753826796263</v>
      </c>
      <c r="CB2090">
        <v>40</v>
      </c>
      <c r="CD2090">
        <v>2.1960000000000002</v>
      </c>
      <c r="CE2090">
        <v>2.0199999999999999E-2</v>
      </c>
    </row>
    <row r="2091" spans="2:84" hidden="1" x14ac:dyDescent="0.2">
      <c r="D2091">
        <v>226</v>
      </c>
      <c r="G2091" t="s">
        <v>43</v>
      </c>
      <c r="H2091" t="s">
        <v>1015</v>
      </c>
      <c r="J2091">
        <v>2019</v>
      </c>
      <c r="M2091" t="s">
        <v>1016</v>
      </c>
      <c r="T2091" t="s">
        <v>68</v>
      </c>
      <c r="U2091" t="s">
        <v>266</v>
      </c>
      <c r="V2091" t="s">
        <v>1017</v>
      </c>
      <c r="AC2091" t="s">
        <v>51</v>
      </c>
      <c r="AF2091" t="s">
        <v>52</v>
      </c>
      <c r="AG2091" t="s">
        <v>54</v>
      </c>
      <c r="AH2091" t="s">
        <v>55</v>
      </c>
      <c r="AK2091">
        <v>8</v>
      </c>
      <c r="AL2091">
        <v>8</v>
      </c>
      <c r="AN2091">
        <v>401</v>
      </c>
      <c r="AU2091">
        <v>2830</v>
      </c>
      <c r="BB2091">
        <f>LOG(AU2091)</f>
        <v>3.4517864355242902</v>
      </c>
      <c r="BC2091">
        <v>9.9</v>
      </c>
      <c r="BF2091">
        <v>10.3</v>
      </c>
      <c r="BI2091">
        <v>2429</v>
      </c>
      <c r="BJ2091">
        <v>0.4</v>
      </c>
      <c r="BL2091" t="s">
        <v>1018</v>
      </c>
      <c r="BM2091" t="s">
        <v>98</v>
      </c>
      <c r="BN2091" t="s">
        <v>81</v>
      </c>
      <c r="BO2091" t="s">
        <v>439</v>
      </c>
      <c r="BP2091" t="s">
        <v>100</v>
      </c>
      <c r="BR2091" t="s">
        <v>63</v>
      </c>
      <c r="BT2091">
        <v>1.518367163</v>
      </c>
      <c r="BU2091">
        <v>1.518367</v>
      </c>
      <c r="BV2091">
        <v>0.12</v>
      </c>
      <c r="BW2091">
        <f>BV2091*SQRT(AK2091)</f>
        <v>0.33941125496954283</v>
      </c>
      <c r="BX2091">
        <v>2.011001244</v>
      </c>
      <c r="BY2091">
        <v>2.0110011999999999</v>
      </c>
      <c r="BZ2091">
        <v>0.23</v>
      </c>
      <c r="CA2091">
        <f>BZ2091*SQRT(AL2091)</f>
        <v>0.65053823869162375</v>
      </c>
      <c r="CB2091">
        <v>3</v>
      </c>
      <c r="CD2091">
        <v>0.28100000000000003</v>
      </c>
      <c r="CE2091">
        <v>1.9300000000000001E-2</v>
      </c>
    </row>
    <row r="2092" spans="2:84" hidden="1" x14ac:dyDescent="0.2">
      <c r="B2092" t="str">
        <f>ROW()-1&amp;"_AltersInvert"</f>
        <v>2091_AltersInvert</v>
      </c>
      <c r="C2092" t="str">
        <f>D2092&amp;"_"&amp;
SUBSTITUTE(TRIM(V2092)," ","_")&amp;"_"&amp;
TRIM(AC2092)&amp;"_"&amp;
"CO2"&amp;TEXT(AN2092,"0.00")&amp;"_"&amp;
"pH"&amp;TEXT(AR2092,"0.00")&amp;"_"&amp;
"T"&amp;TEXT(BC2092,"0.##")</f>
        <v>76_Haliotis_coccoradiata_LARVA_CO2342.00_pH8.20_T20.</v>
      </c>
      <c r="D2092">
        <v>76</v>
      </c>
      <c r="G2092" t="s">
        <v>43</v>
      </c>
      <c r="H2092" t="s">
        <v>668</v>
      </c>
      <c r="J2092">
        <v>2011</v>
      </c>
      <c r="M2092" t="s">
        <v>174</v>
      </c>
      <c r="P2092" t="s">
        <v>1135</v>
      </c>
      <c r="R2092" t="s">
        <v>1127</v>
      </c>
      <c r="S2092" t="s">
        <v>1128</v>
      </c>
      <c r="T2092" t="s">
        <v>68</v>
      </c>
      <c r="U2092" t="s">
        <v>669</v>
      </c>
      <c r="V2092" t="s">
        <v>670</v>
      </c>
      <c r="Z2092" t="s">
        <v>106</v>
      </c>
      <c r="AA2092" t="s">
        <v>107</v>
      </c>
      <c r="AB2092" t="s">
        <v>71</v>
      </c>
      <c r="AC2092" t="s">
        <v>72</v>
      </c>
      <c r="AD2092" t="s">
        <v>52</v>
      </c>
      <c r="AE2092" t="s">
        <v>53</v>
      </c>
      <c r="AF2092" t="s">
        <v>52</v>
      </c>
      <c r="AG2092" t="s">
        <v>52</v>
      </c>
      <c r="AH2092" t="s">
        <v>64</v>
      </c>
      <c r="AK2092">
        <v>10</v>
      </c>
      <c r="AL2092">
        <v>10</v>
      </c>
      <c r="AN2092">
        <v>342</v>
      </c>
      <c r="AO2092">
        <v>36</v>
      </c>
      <c r="AP2092" t="s">
        <v>56</v>
      </c>
      <c r="AQ2092" t="s">
        <v>57</v>
      </c>
      <c r="AR2092">
        <v>8.1999999999999993</v>
      </c>
      <c r="AS2092" t="s">
        <v>56</v>
      </c>
      <c r="AT2092" t="s">
        <v>56</v>
      </c>
      <c r="AU2092">
        <v>1851</v>
      </c>
      <c r="AV2092">
        <v>13</v>
      </c>
      <c r="AW2092" t="s">
        <v>56</v>
      </c>
      <c r="AX2092">
        <v>7.6</v>
      </c>
      <c r="AY2092" t="s">
        <v>56</v>
      </c>
      <c r="AZ2092" t="s">
        <v>56</v>
      </c>
      <c r="BB2092">
        <f>LOG(AU2092)</f>
        <v>3.2674064187529042</v>
      </c>
      <c r="BC2092">
        <v>20</v>
      </c>
      <c r="BD2092" t="s">
        <v>56</v>
      </c>
      <c r="BE2092" t="s">
        <v>56</v>
      </c>
      <c r="BF2092">
        <v>24</v>
      </c>
      <c r="BG2092" t="s">
        <v>56</v>
      </c>
      <c r="BH2092" t="s">
        <v>56</v>
      </c>
      <c r="BI2092">
        <v>1509</v>
      </c>
      <c r="BJ2092">
        <v>4</v>
      </c>
      <c r="BK2092" t="s">
        <v>56</v>
      </c>
      <c r="BL2092" t="s">
        <v>671</v>
      </c>
      <c r="BM2092" t="s">
        <v>86</v>
      </c>
      <c r="BN2092" t="s">
        <v>81</v>
      </c>
      <c r="BO2092" t="s">
        <v>82</v>
      </c>
      <c r="BP2092" t="s">
        <v>9</v>
      </c>
      <c r="BQ2092" t="s">
        <v>194</v>
      </c>
      <c r="BR2092" t="s">
        <v>84</v>
      </c>
      <c r="BT2092">
        <v>59.7</v>
      </c>
      <c r="BU2092">
        <v>59.7</v>
      </c>
      <c r="BV2092">
        <v>9.9</v>
      </c>
      <c r="BW2092">
        <f>BV2092*SQRT(AK2092)</f>
        <v>31.306548835666959</v>
      </c>
      <c r="BX2092">
        <v>1.1000000000000001</v>
      </c>
      <c r="BY2092">
        <v>1.1000000000000001</v>
      </c>
      <c r="BZ2092">
        <v>0.4</v>
      </c>
      <c r="CA2092">
        <f>BZ2092*SQRT(AL2092)</f>
        <v>1.264911064067352</v>
      </c>
      <c r="CB2092">
        <v>1</v>
      </c>
      <c r="CC2092" t="s">
        <v>56</v>
      </c>
      <c r="CD2092">
        <v>-3.9940000000000002</v>
      </c>
      <c r="CE2092">
        <v>0.15970000000000001</v>
      </c>
      <c r="CF2092" s="8"/>
    </row>
    <row r="2093" spans="2:84" hidden="1" x14ac:dyDescent="0.2">
      <c r="D2093">
        <v>213</v>
      </c>
      <c r="G2093" t="s">
        <v>43</v>
      </c>
      <c r="H2093" t="s">
        <v>1004</v>
      </c>
      <c r="J2093">
        <v>2010</v>
      </c>
      <c r="M2093" t="s">
        <v>67</v>
      </c>
      <c r="T2093" t="s">
        <v>46</v>
      </c>
      <c r="U2093" t="s">
        <v>1005</v>
      </c>
      <c r="V2093" t="s">
        <v>1006</v>
      </c>
      <c r="AC2093" t="s">
        <v>51</v>
      </c>
      <c r="AF2093" t="s">
        <v>52</v>
      </c>
      <c r="AG2093" t="s">
        <v>54</v>
      </c>
      <c r="AH2093" t="s">
        <v>55</v>
      </c>
      <c r="AK2093">
        <v>6</v>
      </c>
      <c r="AL2093">
        <v>6</v>
      </c>
      <c r="AN2093">
        <v>553</v>
      </c>
      <c r="AU2093">
        <v>1400</v>
      </c>
      <c r="BB2093">
        <f>LOG(AU2093)</f>
        <v>3.1461280356782382</v>
      </c>
      <c r="BC2093">
        <v>10.4</v>
      </c>
      <c r="BF2093">
        <v>10.8</v>
      </c>
      <c r="BI2093">
        <v>847</v>
      </c>
      <c r="BJ2093">
        <v>0.4</v>
      </c>
      <c r="BK2093" t="s">
        <v>56</v>
      </c>
      <c r="BL2093" t="s">
        <v>1040</v>
      </c>
      <c r="BM2093" t="s">
        <v>478</v>
      </c>
      <c r="BN2093" t="s">
        <v>340</v>
      </c>
      <c r="BO2093" t="s">
        <v>479</v>
      </c>
      <c r="BP2093" t="s">
        <v>77</v>
      </c>
      <c r="BR2093" t="s">
        <v>63</v>
      </c>
      <c r="BT2093">
        <v>2.39</v>
      </c>
      <c r="BU2093">
        <v>2.391</v>
      </c>
      <c r="BV2093">
        <v>0.27</v>
      </c>
      <c r="BW2093">
        <f>BV2093*SQRT(AK2093)</f>
        <v>0.66136223055145804</v>
      </c>
      <c r="BX2093">
        <v>2.08</v>
      </c>
      <c r="BY2093">
        <v>2.0830000000000002</v>
      </c>
      <c r="BZ2093">
        <v>0.33</v>
      </c>
      <c r="CA2093">
        <f>BZ2093*SQRT(AL2093)</f>
        <v>0.80833161511844875</v>
      </c>
      <c r="CB2093">
        <v>40</v>
      </c>
      <c r="CD2093">
        <v>-0.13800000000000001</v>
      </c>
      <c r="CE2093">
        <v>3.7999999999999999E-2</v>
      </c>
    </row>
    <row r="2094" spans="2:84" hidden="1" x14ac:dyDescent="0.2">
      <c r="D2094">
        <v>213</v>
      </c>
      <c r="G2094" t="s">
        <v>43</v>
      </c>
      <c r="H2094" t="s">
        <v>1004</v>
      </c>
      <c r="J2094">
        <v>2010</v>
      </c>
      <c r="M2094" t="s">
        <v>67</v>
      </c>
      <c r="T2094" t="s">
        <v>46</v>
      </c>
      <c r="U2094" t="s">
        <v>1005</v>
      </c>
      <c r="V2094" t="s">
        <v>1006</v>
      </c>
      <c r="AC2094" t="s">
        <v>51</v>
      </c>
      <c r="AF2094" t="s">
        <v>54</v>
      </c>
      <c r="AG2094" t="s">
        <v>52</v>
      </c>
      <c r="AH2094" t="s">
        <v>65</v>
      </c>
      <c r="AK2094">
        <v>6</v>
      </c>
      <c r="AL2094">
        <v>6</v>
      </c>
      <c r="AN2094">
        <v>553</v>
      </c>
      <c r="AU2094">
        <v>594</v>
      </c>
      <c r="BB2094">
        <f>LOG(AU2094)</f>
        <v>2.7737864449811935</v>
      </c>
      <c r="BC2094">
        <v>10.4</v>
      </c>
      <c r="BF2094">
        <v>15.2</v>
      </c>
      <c r="BI2094">
        <v>41</v>
      </c>
      <c r="BJ2094">
        <v>4.8</v>
      </c>
      <c r="BK2094" t="s">
        <v>56</v>
      </c>
      <c r="BL2094" t="s">
        <v>1040</v>
      </c>
      <c r="BM2094" t="s">
        <v>478</v>
      </c>
      <c r="BN2094" t="s">
        <v>340</v>
      </c>
      <c r="BO2094" t="s">
        <v>479</v>
      </c>
      <c r="BP2094" t="s">
        <v>77</v>
      </c>
      <c r="BR2094" t="s">
        <v>63</v>
      </c>
      <c r="BT2094">
        <v>2.39</v>
      </c>
      <c r="BU2094">
        <v>2.391</v>
      </c>
      <c r="BV2094">
        <v>0.27</v>
      </c>
      <c r="BW2094">
        <f>BV2094*SQRT(AK2094)</f>
        <v>0.66136223055145804</v>
      </c>
      <c r="BX2094">
        <v>2.19</v>
      </c>
      <c r="BY2094">
        <v>2.1930000000000001</v>
      </c>
      <c r="BZ2094">
        <v>0.28999999999999998</v>
      </c>
      <c r="CA2094">
        <f>BZ2094*SQRT(AL2094)</f>
        <v>0.7103520254071215</v>
      </c>
      <c r="CB2094">
        <v>40</v>
      </c>
      <c r="CD2094">
        <v>-8.5999999999999993E-2</v>
      </c>
      <c r="CE2094">
        <v>3.0200000000000001E-2</v>
      </c>
    </row>
    <row r="2095" spans="2:84" hidden="1" x14ac:dyDescent="0.2">
      <c r="D2095">
        <v>231</v>
      </c>
      <c r="G2095" t="s">
        <v>43</v>
      </c>
      <c r="H2095" t="s">
        <v>1051</v>
      </c>
      <c r="J2095">
        <v>2018</v>
      </c>
      <c r="T2095" t="s">
        <v>103</v>
      </c>
      <c r="V2095" t="s">
        <v>1052</v>
      </c>
      <c r="AC2095" t="s">
        <v>51</v>
      </c>
      <c r="AF2095" t="s">
        <v>52</v>
      </c>
      <c r="AG2095" t="s">
        <v>52</v>
      </c>
      <c r="AH2095" t="s">
        <v>64</v>
      </c>
      <c r="AK2095">
        <v>6</v>
      </c>
      <c r="AL2095">
        <v>6</v>
      </c>
      <c r="AN2095">
        <v>466</v>
      </c>
      <c r="AU2095">
        <v>1063</v>
      </c>
      <c r="BB2095">
        <f>LOG(AU2095)</f>
        <v>3.0265332645232967</v>
      </c>
      <c r="BC2095">
        <v>19</v>
      </c>
      <c r="BF2095">
        <v>26</v>
      </c>
      <c r="BI2095">
        <v>597</v>
      </c>
      <c r="BJ2095">
        <v>7</v>
      </c>
      <c r="BL2095" t="s">
        <v>881</v>
      </c>
      <c r="BM2095" t="s">
        <v>339</v>
      </c>
      <c r="BN2095" t="s">
        <v>340</v>
      </c>
      <c r="BO2095" t="s">
        <v>882</v>
      </c>
      <c r="BP2095" t="s">
        <v>194</v>
      </c>
      <c r="BR2095" t="s">
        <v>63</v>
      </c>
      <c r="BT2095">
        <v>1.66</v>
      </c>
      <c r="BU2095">
        <v>1.6642399999999999</v>
      </c>
      <c r="BV2095">
        <v>0.31</v>
      </c>
      <c r="BW2095">
        <f>BV2095*SQRT(AK2095)</f>
        <v>0.75934182026278518</v>
      </c>
      <c r="BX2095">
        <v>2.21</v>
      </c>
      <c r="BY2095">
        <v>2.2082655</v>
      </c>
      <c r="BZ2095">
        <v>0.59</v>
      </c>
      <c r="CA2095">
        <f>BZ2095*SQRT(AL2095)</f>
        <v>1.4451989482420748</v>
      </c>
      <c r="CB2095">
        <v>60</v>
      </c>
      <c r="CD2095">
        <v>-0.28299999999999997</v>
      </c>
      <c r="CE2095">
        <v>0.1057</v>
      </c>
    </row>
    <row r="2096" spans="2:84" hidden="1" x14ac:dyDescent="0.2">
      <c r="D2096">
        <v>228</v>
      </c>
      <c r="G2096" t="s">
        <v>43</v>
      </c>
      <c r="H2096" t="s">
        <v>1028</v>
      </c>
      <c r="J2096">
        <v>2018</v>
      </c>
      <c r="M2096" t="s">
        <v>1029</v>
      </c>
      <c r="T2096" t="s">
        <v>68</v>
      </c>
      <c r="U2096" t="s">
        <v>266</v>
      </c>
      <c r="V2096" t="s">
        <v>267</v>
      </c>
      <c r="AC2096" t="s">
        <v>51</v>
      </c>
      <c r="AF2096" t="s">
        <v>52</v>
      </c>
      <c r="AG2096" t="s">
        <v>54</v>
      </c>
      <c r="AH2096" t="s">
        <v>55</v>
      </c>
      <c r="AK2096">
        <v>5</v>
      </c>
      <c r="AL2096">
        <v>5</v>
      </c>
      <c r="AN2096">
        <v>386</v>
      </c>
      <c r="AU2096">
        <v>2882</v>
      </c>
      <c r="BB2096">
        <f>LOG(AU2096)</f>
        <v>3.4596939764779706</v>
      </c>
      <c r="BC2096">
        <v>10</v>
      </c>
      <c r="BF2096">
        <v>11</v>
      </c>
      <c r="BI2096">
        <v>2496</v>
      </c>
      <c r="BJ2096">
        <v>0.5</v>
      </c>
      <c r="BK2096" t="s">
        <v>1030</v>
      </c>
      <c r="BL2096" t="s">
        <v>1031</v>
      </c>
      <c r="BM2096" t="s">
        <v>218</v>
      </c>
      <c r="BN2096" t="s">
        <v>60</v>
      </c>
      <c r="BO2096" t="s">
        <v>219</v>
      </c>
      <c r="BP2096" t="s">
        <v>194</v>
      </c>
      <c r="BR2096" t="s">
        <v>63</v>
      </c>
      <c r="BT2096">
        <v>1.798255479</v>
      </c>
      <c r="BU2096">
        <v>1.7982549999999999</v>
      </c>
      <c r="BV2096">
        <v>0.27</v>
      </c>
      <c r="BW2096">
        <f>BV2096*SQRT(AK2096)</f>
        <v>0.60373835392494324</v>
      </c>
      <c r="BX2096">
        <v>2.2694918340000001</v>
      </c>
      <c r="BY2096">
        <v>2.2694917999999999</v>
      </c>
      <c r="BZ2096">
        <v>0.48</v>
      </c>
      <c r="CA2096">
        <f>BZ2096*SQRT(AL2096)</f>
        <v>1.0733126291998991</v>
      </c>
      <c r="CB2096">
        <v>24</v>
      </c>
      <c r="CD2096">
        <v>0.23300000000000001</v>
      </c>
      <c r="CE2096">
        <v>6.6500000000000004E-2</v>
      </c>
    </row>
    <row r="2097" spans="2:84" hidden="1" x14ac:dyDescent="0.2">
      <c r="D2097">
        <v>231</v>
      </c>
      <c r="G2097" t="s">
        <v>43</v>
      </c>
      <c r="H2097" t="s">
        <v>1051</v>
      </c>
      <c r="J2097">
        <v>2018</v>
      </c>
      <c r="T2097" t="s">
        <v>103</v>
      </c>
      <c r="V2097" t="s">
        <v>1052</v>
      </c>
      <c r="AC2097" t="s">
        <v>51</v>
      </c>
      <c r="AF2097" t="s">
        <v>54</v>
      </c>
      <c r="AG2097" t="s">
        <v>52</v>
      </c>
      <c r="AH2097" t="s">
        <v>65</v>
      </c>
      <c r="AK2097">
        <v>6</v>
      </c>
      <c r="AL2097">
        <v>6</v>
      </c>
      <c r="AN2097">
        <v>466</v>
      </c>
      <c r="AU2097">
        <v>433</v>
      </c>
      <c r="BB2097">
        <f>LOG(AU2097)</f>
        <v>2.6364878963533656</v>
      </c>
      <c r="BC2097">
        <v>19</v>
      </c>
      <c r="BF2097">
        <v>25</v>
      </c>
      <c r="BI2097">
        <v>-33</v>
      </c>
      <c r="BJ2097">
        <v>6</v>
      </c>
      <c r="BL2097" t="s">
        <v>881</v>
      </c>
      <c r="BM2097" t="s">
        <v>339</v>
      </c>
      <c r="BN2097" t="s">
        <v>340</v>
      </c>
      <c r="BO2097" t="s">
        <v>882</v>
      </c>
      <c r="BP2097" t="s">
        <v>194</v>
      </c>
      <c r="BR2097" t="s">
        <v>63</v>
      </c>
      <c r="BT2097">
        <v>1.66</v>
      </c>
      <c r="BU2097">
        <v>1.6642399999999999</v>
      </c>
      <c r="BV2097">
        <v>0.31</v>
      </c>
      <c r="BW2097">
        <f>BV2097*SQRT(AK2097)</f>
        <v>0.75934182026278518</v>
      </c>
      <c r="BX2097">
        <v>2.2799999999999998</v>
      </c>
      <c r="BY2097">
        <v>2.2823818</v>
      </c>
      <c r="BZ2097">
        <v>0.34</v>
      </c>
      <c r="CA2097">
        <f>BZ2097*SQRT(AL2097)</f>
        <v>0.83282651254628048</v>
      </c>
      <c r="CB2097">
        <v>60</v>
      </c>
      <c r="CD2097">
        <v>-0.316</v>
      </c>
      <c r="CE2097">
        <v>5.6500000000000002E-2</v>
      </c>
    </row>
    <row r="2098" spans="2:84" hidden="1" x14ac:dyDescent="0.2">
      <c r="B2098" t="str">
        <f>ROW()-1&amp;"_AltersInvert"</f>
        <v>2097_AltersInvert</v>
      </c>
      <c r="C2098" t="str">
        <f>D2098&amp;"_"&amp;
SUBSTITUTE(TRIM(V2098)," ","_")&amp;"_"&amp;
TRIM(AC2098)&amp;"_"&amp;
"CO2"&amp;TEXT(AN2098,"0.00")&amp;"_"&amp;
"pH"&amp;TEXT(AR2098,"0.00")&amp;"_"&amp;
"T"&amp;TEXT(BC2098,"0.##")</f>
        <v>76_Haliotis_coccoradiata_LARVA_CO2342.00_pH8.20_T20.</v>
      </c>
      <c r="D2098">
        <v>76</v>
      </c>
      <c r="G2098" t="s">
        <v>43</v>
      </c>
      <c r="H2098" t="s">
        <v>668</v>
      </c>
      <c r="J2098">
        <v>2011</v>
      </c>
      <c r="M2098" t="s">
        <v>174</v>
      </c>
      <c r="P2098" t="s">
        <v>1135</v>
      </c>
      <c r="R2098" t="s">
        <v>1127</v>
      </c>
      <c r="S2098" t="s">
        <v>1128</v>
      </c>
      <c r="T2098" t="s">
        <v>68</v>
      </c>
      <c r="U2098" t="s">
        <v>669</v>
      </c>
      <c r="V2098" t="s">
        <v>670</v>
      </c>
      <c r="Z2098" t="s">
        <v>106</v>
      </c>
      <c r="AA2098" t="s">
        <v>107</v>
      </c>
      <c r="AB2098" t="s">
        <v>71</v>
      </c>
      <c r="AC2098" t="s">
        <v>72</v>
      </c>
      <c r="AD2098" t="s">
        <v>52</v>
      </c>
      <c r="AE2098" t="s">
        <v>53</v>
      </c>
      <c r="AF2098" t="s">
        <v>52</v>
      </c>
      <c r="AG2098" t="s">
        <v>52</v>
      </c>
      <c r="AH2098" t="s">
        <v>64</v>
      </c>
      <c r="AK2098">
        <v>10</v>
      </c>
      <c r="AL2098">
        <v>10</v>
      </c>
      <c r="AN2098">
        <v>342</v>
      </c>
      <c r="AO2098">
        <v>36</v>
      </c>
      <c r="AP2098" t="s">
        <v>56</v>
      </c>
      <c r="AQ2098" t="s">
        <v>57</v>
      </c>
      <c r="AR2098">
        <v>8.1999999999999993</v>
      </c>
      <c r="AS2098" t="s">
        <v>56</v>
      </c>
      <c r="AT2098" t="s">
        <v>56</v>
      </c>
      <c r="AU2098">
        <v>1121</v>
      </c>
      <c r="AV2098">
        <v>8</v>
      </c>
      <c r="AW2098" t="s">
        <v>56</v>
      </c>
      <c r="AX2098">
        <v>7.8</v>
      </c>
      <c r="AY2098" t="s">
        <v>56</v>
      </c>
      <c r="AZ2098" t="s">
        <v>56</v>
      </c>
      <c r="BB2098">
        <f>LOG(AU2098)</f>
        <v>3.0496056125949731</v>
      </c>
      <c r="BC2098">
        <v>20</v>
      </c>
      <c r="BD2098" t="s">
        <v>56</v>
      </c>
      <c r="BE2098" t="s">
        <v>56</v>
      </c>
      <c r="BF2098">
        <v>24</v>
      </c>
      <c r="BG2098" t="s">
        <v>56</v>
      </c>
      <c r="BH2098" t="s">
        <v>56</v>
      </c>
      <c r="BI2098">
        <v>779</v>
      </c>
      <c r="BJ2098">
        <v>4</v>
      </c>
      <c r="BK2098" t="s">
        <v>56</v>
      </c>
      <c r="BL2098" t="s">
        <v>671</v>
      </c>
      <c r="BM2098" t="s">
        <v>86</v>
      </c>
      <c r="BN2098" t="s">
        <v>81</v>
      </c>
      <c r="BO2098" t="s">
        <v>82</v>
      </c>
      <c r="BP2098" t="s">
        <v>9</v>
      </c>
      <c r="BQ2098" t="s">
        <v>194</v>
      </c>
      <c r="BR2098" t="s">
        <v>84</v>
      </c>
      <c r="BT2098">
        <v>59.7</v>
      </c>
      <c r="BU2098">
        <v>59.7</v>
      </c>
      <c r="BV2098">
        <v>9.9</v>
      </c>
      <c r="BW2098">
        <f>BV2098*SQRT(AK2098)</f>
        <v>31.306548835666959</v>
      </c>
      <c r="BX2098">
        <v>5.9</v>
      </c>
      <c r="BY2098">
        <v>5.9</v>
      </c>
      <c r="BZ2098">
        <v>3.2</v>
      </c>
      <c r="CA2098">
        <f>BZ2098*SQRT(AL2098)</f>
        <v>10.119288512538816</v>
      </c>
      <c r="CB2098">
        <v>1</v>
      </c>
      <c r="CC2098" t="s">
        <v>56</v>
      </c>
      <c r="CD2098">
        <v>-2.3140000000000001</v>
      </c>
      <c r="CE2098">
        <v>0.32169999999999999</v>
      </c>
      <c r="CF2098" s="8"/>
    </row>
    <row r="2099" spans="2:84" hidden="1" x14ac:dyDescent="0.2">
      <c r="D2099">
        <v>229</v>
      </c>
      <c r="G2099" t="s">
        <v>43</v>
      </c>
      <c r="H2099" t="s">
        <v>1050</v>
      </c>
      <c r="J2099">
        <v>2019</v>
      </c>
      <c r="M2099" t="s">
        <v>997</v>
      </c>
      <c r="T2099" t="s">
        <v>68</v>
      </c>
      <c r="V2099" t="s">
        <v>556</v>
      </c>
      <c r="AC2099" t="s">
        <v>51</v>
      </c>
      <c r="AF2099" t="s">
        <v>52</v>
      </c>
      <c r="AG2099" t="s">
        <v>52</v>
      </c>
      <c r="AH2099" t="s">
        <v>64</v>
      </c>
      <c r="AK2099">
        <v>5</v>
      </c>
      <c r="AL2099">
        <v>5</v>
      </c>
      <c r="AN2099">
        <v>362</v>
      </c>
      <c r="AU2099">
        <v>946</v>
      </c>
      <c r="BB2099">
        <f>LOG(AU2099)</f>
        <v>2.9758911364017928</v>
      </c>
      <c r="BC2099">
        <v>9</v>
      </c>
      <c r="BF2099">
        <v>12</v>
      </c>
      <c r="BI2099">
        <v>584</v>
      </c>
      <c r="BJ2099">
        <v>3.3</v>
      </c>
      <c r="BL2099" t="s">
        <v>962</v>
      </c>
      <c r="BM2099" t="s">
        <v>365</v>
      </c>
      <c r="BN2099" t="s">
        <v>81</v>
      </c>
      <c r="BO2099" t="s">
        <v>56</v>
      </c>
      <c r="BP2099" t="s">
        <v>92</v>
      </c>
      <c r="BR2099" t="s">
        <v>63</v>
      </c>
      <c r="BT2099">
        <v>3.1491803279999999</v>
      </c>
      <c r="BU2099">
        <v>3.1491799999999999</v>
      </c>
      <c r="BV2099">
        <v>0.43</v>
      </c>
      <c r="BW2099">
        <f>BV2099*SQRT(AK2099)</f>
        <v>0.96150923032490965</v>
      </c>
      <c r="BX2099">
        <v>2.4360655740000001</v>
      </c>
      <c r="BY2099">
        <v>2.4360656000000001</v>
      </c>
      <c r="BZ2099">
        <v>0.2</v>
      </c>
      <c r="CA2099">
        <f>BZ2099*SQRT(AL2099)</f>
        <v>0.44721359549995798</v>
      </c>
      <c r="CB2099">
        <v>74</v>
      </c>
      <c r="CD2099">
        <v>-0.25700000000000001</v>
      </c>
      <c r="CE2099">
        <v>2.5399999999999999E-2</v>
      </c>
    </row>
    <row r="2100" spans="2:84" hidden="1" x14ac:dyDescent="0.2">
      <c r="D2100">
        <v>218</v>
      </c>
      <c r="G2100" t="s">
        <v>43</v>
      </c>
      <c r="H2100" t="s">
        <v>1025</v>
      </c>
      <c r="J2100">
        <v>2014</v>
      </c>
      <c r="M2100" t="s">
        <v>213</v>
      </c>
      <c r="T2100" t="s">
        <v>68</v>
      </c>
      <c r="U2100" t="s">
        <v>266</v>
      </c>
      <c r="V2100" t="s">
        <v>267</v>
      </c>
      <c r="AC2100" t="s">
        <v>51</v>
      </c>
      <c r="AF2100" t="s">
        <v>54</v>
      </c>
      <c r="AG2100" t="s">
        <v>52</v>
      </c>
      <c r="AH2100" t="s">
        <v>65</v>
      </c>
      <c r="AK2100">
        <v>3</v>
      </c>
      <c r="AL2100">
        <v>3</v>
      </c>
      <c r="AN2100">
        <v>545</v>
      </c>
      <c r="AU2100">
        <v>553</v>
      </c>
      <c r="BB2100">
        <f>LOG(AU2100)</f>
        <v>2.7427251313046983</v>
      </c>
      <c r="BC2100">
        <v>11</v>
      </c>
      <c r="BF2100">
        <v>20</v>
      </c>
      <c r="BI2100">
        <v>8</v>
      </c>
      <c r="BJ2100">
        <v>8.4</v>
      </c>
      <c r="BL2100" t="s">
        <v>1026</v>
      </c>
      <c r="BM2100" t="s">
        <v>262</v>
      </c>
      <c r="BN2100" t="s">
        <v>81</v>
      </c>
      <c r="BO2100" t="s">
        <v>1027</v>
      </c>
      <c r="BP2100" t="s">
        <v>92</v>
      </c>
      <c r="BR2100" t="s">
        <v>63</v>
      </c>
      <c r="BT2100">
        <v>0.57199999999999995</v>
      </c>
      <c r="BU2100">
        <v>0.57199999999999995</v>
      </c>
      <c r="BV2100">
        <v>6.0999999999999999E-2</v>
      </c>
      <c r="BW2100">
        <f>BV2100*SQRT(AK2100)</f>
        <v>0.10565509926170151</v>
      </c>
      <c r="BX2100">
        <v>2.4809999999999999</v>
      </c>
      <c r="BY2100">
        <v>2.4809999999999999</v>
      </c>
      <c r="BZ2100">
        <v>0.25600000000000001</v>
      </c>
      <c r="CA2100">
        <f>BZ2100*SQRT(AL2100)</f>
        <v>0.44340500673763256</v>
      </c>
      <c r="CB2100">
        <v>28</v>
      </c>
      <c r="CD2100">
        <v>1.4670000000000001</v>
      </c>
      <c r="CE2100">
        <v>2.1999999999999999E-2</v>
      </c>
    </row>
    <row r="2101" spans="2:84" hidden="1" x14ac:dyDescent="0.2">
      <c r="D2101">
        <v>229</v>
      </c>
      <c r="G2101" t="s">
        <v>43</v>
      </c>
      <c r="H2101" t="s">
        <v>1050</v>
      </c>
      <c r="J2101">
        <v>2019</v>
      </c>
      <c r="M2101" t="s">
        <v>997</v>
      </c>
      <c r="T2101" t="s">
        <v>68</v>
      </c>
      <c r="V2101" t="s">
        <v>556</v>
      </c>
      <c r="AC2101" t="s">
        <v>51</v>
      </c>
      <c r="AF2101" t="s">
        <v>52</v>
      </c>
      <c r="AG2101" t="s">
        <v>54</v>
      </c>
      <c r="AH2101" t="s">
        <v>55</v>
      </c>
      <c r="AK2101">
        <v>5</v>
      </c>
      <c r="AL2101">
        <v>5</v>
      </c>
      <c r="AN2101">
        <v>362</v>
      </c>
      <c r="AU2101">
        <v>2639</v>
      </c>
      <c r="BB2101">
        <f>LOG(AU2101)</f>
        <v>3.4214393902200495</v>
      </c>
      <c r="BC2101">
        <v>9</v>
      </c>
      <c r="BF2101">
        <v>9</v>
      </c>
      <c r="BI2101">
        <v>2277</v>
      </c>
      <c r="BJ2101">
        <v>-0.1</v>
      </c>
      <c r="BL2101" t="s">
        <v>962</v>
      </c>
      <c r="BM2101" t="s">
        <v>365</v>
      </c>
      <c r="BN2101" t="s">
        <v>81</v>
      </c>
      <c r="BO2101" t="s">
        <v>56</v>
      </c>
      <c r="BP2101" t="s">
        <v>92</v>
      </c>
      <c r="BR2101" t="s">
        <v>63</v>
      </c>
      <c r="BT2101">
        <v>3.1491803279999999</v>
      </c>
      <c r="BU2101">
        <v>3.1491799999999999</v>
      </c>
      <c r="BV2101">
        <v>0.43</v>
      </c>
      <c r="BW2101">
        <f>BV2101*SQRT(AK2101)</f>
        <v>0.96150923032490965</v>
      </c>
      <c r="BX2101">
        <v>2.5590163929999998</v>
      </c>
      <c r="BY2101">
        <v>2.5590164</v>
      </c>
      <c r="BZ2101">
        <v>0.24</v>
      </c>
      <c r="CA2101">
        <f>BZ2101*SQRT(AL2101)</f>
        <v>0.53665631459994956</v>
      </c>
      <c r="CB2101">
        <v>74</v>
      </c>
      <c r="CD2101">
        <v>-0.20799999999999999</v>
      </c>
      <c r="CE2101">
        <v>2.7400000000000001E-2</v>
      </c>
    </row>
    <row r="2102" spans="2:84" hidden="1" x14ac:dyDescent="0.2">
      <c r="D2102">
        <v>231</v>
      </c>
      <c r="G2102" t="s">
        <v>43</v>
      </c>
      <c r="H2102" t="s">
        <v>1051</v>
      </c>
      <c r="J2102">
        <v>2018</v>
      </c>
      <c r="T2102" t="s">
        <v>103</v>
      </c>
      <c r="V2102" t="s">
        <v>1052</v>
      </c>
      <c r="AC2102" t="s">
        <v>51</v>
      </c>
      <c r="AF2102" t="s">
        <v>52</v>
      </c>
      <c r="AG2102" t="s">
        <v>54</v>
      </c>
      <c r="AH2102" t="s">
        <v>55</v>
      </c>
      <c r="AK2102">
        <v>6</v>
      </c>
      <c r="AL2102">
        <v>6</v>
      </c>
      <c r="AN2102">
        <v>466</v>
      </c>
      <c r="AU2102">
        <v>1023</v>
      </c>
      <c r="BB2102">
        <f>LOG(AU2102)</f>
        <v>3.0098756337121602</v>
      </c>
      <c r="BC2102">
        <v>19</v>
      </c>
      <c r="BF2102">
        <v>19</v>
      </c>
      <c r="BI2102">
        <v>557</v>
      </c>
      <c r="BJ2102">
        <v>0</v>
      </c>
      <c r="BL2102" t="s">
        <v>881</v>
      </c>
      <c r="BM2102" t="s">
        <v>339</v>
      </c>
      <c r="BN2102" t="s">
        <v>340</v>
      </c>
      <c r="BO2102" t="s">
        <v>882</v>
      </c>
      <c r="BP2102" t="s">
        <v>194</v>
      </c>
      <c r="BR2102" t="s">
        <v>63</v>
      </c>
      <c r="BT2102">
        <v>1.66</v>
      </c>
      <c r="BU2102">
        <v>1.6642399999999999</v>
      </c>
      <c r="BV2102">
        <v>0.31</v>
      </c>
      <c r="BW2102">
        <f>BV2102*SQRT(AK2102)</f>
        <v>0.75934182026278518</v>
      </c>
      <c r="BX2102">
        <v>2.62</v>
      </c>
      <c r="BY2102">
        <v>2.6197564999999998</v>
      </c>
      <c r="BZ2102">
        <v>0.51</v>
      </c>
      <c r="CA2102">
        <f>BZ2102*SQRT(AL2102)</f>
        <v>1.2492397688194208</v>
      </c>
      <c r="CB2102">
        <v>60</v>
      </c>
      <c r="CD2102">
        <v>-0.45400000000000001</v>
      </c>
      <c r="CE2102">
        <v>7.1300000000000002E-2</v>
      </c>
    </row>
    <row r="2103" spans="2:84" hidden="1" x14ac:dyDescent="0.2">
      <c r="D2103">
        <v>214</v>
      </c>
      <c r="G2103" t="s">
        <v>43</v>
      </c>
      <c r="H2103" t="s">
        <v>1022</v>
      </c>
      <c r="J2103">
        <v>2011</v>
      </c>
      <c r="M2103" t="s">
        <v>236</v>
      </c>
      <c r="T2103" t="s">
        <v>68</v>
      </c>
      <c r="U2103" t="s">
        <v>258</v>
      </c>
      <c r="V2103" t="s">
        <v>259</v>
      </c>
      <c r="AC2103" t="s">
        <v>51</v>
      </c>
      <c r="AF2103" t="s">
        <v>52</v>
      </c>
      <c r="AG2103" t="s">
        <v>54</v>
      </c>
      <c r="AH2103" t="s">
        <v>55</v>
      </c>
      <c r="AK2103">
        <v>6</v>
      </c>
      <c r="AL2103">
        <v>6</v>
      </c>
      <c r="AN2103">
        <v>428</v>
      </c>
      <c r="AU2103">
        <v>998</v>
      </c>
      <c r="BB2103">
        <f>LOG(AU2103)</f>
        <v>2.999130541287371</v>
      </c>
      <c r="BC2103">
        <v>14.4</v>
      </c>
      <c r="BF2103">
        <v>14.9</v>
      </c>
      <c r="BI2103">
        <v>570</v>
      </c>
      <c r="BJ2103">
        <v>0.5</v>
      </c>
      <c r="BK2103" t="s">
        <v>56</v>
      </c>
      <c r="BL2103" t="s">
        <v>58</v>
      </c>
      <c r="BM2103" t="s">
        <v>59</v>
      </c>
      <c r="BN2103" t="s">
        <v>60</v>
      </c>
      <c r="BO2103" t="s">
        <v>1053</v>
      </c>
      <c r="BP2103" t="s">
        <v>62</v>
      </c>
      <c r="BR2103" t="s">
        <v>63</v>
      </c>
      <c r="BT2103">
        <v>3.86</v>
      </c>
      <c r="BU2103">
        <v>3.863</v>
      </c>
      <c r="BV2103">
        <v>0.18</v>
      </c>
      <c r="BW2103">
        <f>BV2103*SQRT(AK2103)</f>
        <v>0.44090815370097203</v>
      </c>
      <c r="BX2103">
        <v>2.64</v>
      </c>
      <c r="BY2103">
        <v>2.64</v>
      </c>
      <c r="BZ2103">
        <v>0.17</v>
      </c>
      <c r="CA2103">
        <f>BZ2103*SQRT(AL2103)</f>
        <v>0.41641325627314024</v>
      </c>
      <c r="CB2103">
        <v>30</v>
      </c>
      <c r="CD2103">
        <v>-0.38100000000000001</v>
      </c>
      <c r="CE2103">
        <v>6.3E-3</v>
      </c>
    </row>
    <row r="2104" spans="2:84" hidden="1" x14ac:dyDescent="0.2">
      <c r="D2104">
        <v>229</v>
      </c>
      <c r="G2104" t="s">
        <v>43</v>
      </c>
      <c r="H2104" t="s">
        <v>1050</v>
      </c>
      <c r="J2104">
        <v>2019</v>
      </c>
      <c r="M2104" t="s">
        <v>997</v>
      </c>
      <c r="T2104" t="s">
        <v>68</v>
      </c>
      <c r="V2104" t="s">
        <v>556</v>
      </c>
      <c r="AC2104" t="s">
        <v>51</v>
      </c>
      <c r="AF2104" t="s">
        <v>52</v>
      </c>
      <c r="AG2104" t="s">
        <v>52</v>
      </c>
      <c r="AH2104" t="s">
        <v>64</v>
      </c>
      <c r="AK2104">
        <v>5</v>
      </c>
      <c r="AL2104">
        <v>5</v>
      </c>
      <c r="AN2104">
        <v>362</v>
      </c>
      <c r="AU2104">
        <v>2750</v>
      </c>
      <c r="BB2104">
        <f>LOG(AU2104)</f>
        <v>3.4393326938302629</v>
      </c>
      <c r="BC2104">
        <v>9</v>
      </c>
      <c r="BF2104">
        <v>12</v>
      </c>
      <c r="BI2104">
        <v>2388</v>
      </c>
      <c r="BJ2104">
        <v>3.1</v>
      </c>
      <c r="BL2104" t="s">
        <v>962</v>
      </c>
      <c r="BM2104" t="s">
        <v>365</v>
      </c>
      <c r="BN2104" t="s">
        <v>81</v>
      </c>
      <c r="BO2104" t="s">
        <v>56</v>
      </c>
      <c r="BP2104" t="s">
        <v>92</v>
      </c>
      <c r="BR2104" t="s">
        <v>63</v>
      </c>
      <c r="BT2104">
        <v>3.1491803279999999</v>
      </c>
      <c r="BU2104">
        <v>3.1491799999999999</v>
      </c>
      <c r="BV2104">
        <v>0.43</v>
      </c>
      <c r="BW2104">
        <f>BV2104*SQRT(AK2104)</f>
        <v>0.96150923032490965</v>
      </c>
      <c r="BX2104">
        <v>2.6721311480000001</v>
      </c>
      <c r="BY2104">
        <v>2.6721311000000001</v>
      </c>
      <c r="BZ2104">
        <v>0.28000000000000003</v>
      </c>
      <c r="CA2104">
        <f>BZ2104*SQRT(AL2104)</f>
        <v>0.62609903369994124</v>
      </c>
      <c r="CB2104">
        <v>74</v>
      </c>
      <c r="CD2104">
        <v>-0.16400000000000001</v>
      </c>
      <c r="CE2104">
        <v>2.9899999999999999E-2</v>
      </c>
    </row>
    <row r="2105" spans="2:84" hidden="1" x14ac:dyDescent="0.2">
      <c r="D2105">
        <v>229</v>
      </c>
      <c r="G2105" t="s">
        <v>43</v>
      </c>
      <c r="H2105" t="s">
        <v>1050</v>
      </c>
      <c r="J2105">
        <v>2019</v>
      </c>
      <c r="M2105" t="s">
        <v>997</v>
      </c>
      <c r="T2105" t="s">
        <v>68</v>
      </c>
      <c r="V2105" t="s">
        <v>556</v>
      </c>
      <c r="AC2105" t="s">
        <v>51</v>
      </c>
      <c r="AF2105" t="s">
        <v>52</v>
      </c>
      <c r="AG2105" t="s">
        <v>54</v>
      </c>
      <c r="AH2105" t="s">
        <v>55</v>
      </c>
      <c r="AK2105">
        <v>5</v>
      </c>
      <c r="AL2105">
        <v>5</v>
      </c>
      <c r="AN2105">
        <v>362</v>
      </c>
      <c r="AU2105">
        <v>860</v>
      </c>
      <c r="BB2105">
        <f>LOG(AU2105)</f>
        <v>2.9344984512435679</v>
      </c>
      <c r="BC2105">
        <v>9</v>
      </c>
      <c r="BF2105">
        <v>9</v>
      </c>
      <c r="BI2105">
        <v>498</v>
      </c>
      <c r="BJ2105">
        <v>0</v>
      </c>
      <c r="BL2105" t="s">
        <v>962</v>
      </c>
      <c r="BM2105" t="s">
        <v>365</v>
      </c>
      <c r="BN2105" t="s">
        <v>81</v>
      </c>
      <c r="BO2105" t="s">
        <v>56</v>
      </c>
      <c r="BP2105" t="s">
        <v>92</v>
      </c>
      <c r="BR2105" t="s">
        <v>63</v>
      </c>
      <c r="BT2105">
        <v>3.1491803279999999</v>
      </c>
      <c r="BU2105">
        <v>3.1491799999999999</v>
      </c>
      <c r="BV2105">
        <v>0.43</v>
      </c>
      <c r="BW2105">
        <f>BV2105*SQRT(AK2105)</f>
        <v>0.96150923032490965</v>
      </c>
      <c r="BX2105">
        <v>2.8885245899999998</v>
      </c>
      <c r="BY2105">
        <v>2.8885246000000002</v>
      </c>
      <c r="BZ2105">
        <v>0.22</v>
      </c>
      <c r="CA2105">
        <f>BZ2105*SQRT(AL2105)</f>
        <v>0.49193495504995377</v>
      </c>
      <c r="CB2105">
        <v>74</v>
      </c>
      <c r="CD2105">
        <v>-8.5999999999999993E-2</v>
      </c>
      <c r="CE2105">
        <v>2.4799999999999999E-2</v>
      </c>
    </row>
    <row r="2106" spans="2:84" hidden="1" x14ac:dyDescent="0.2">
      <c r="D2106">
        <v>218</v>
      </c>
      <c r="G2106" t="s">
        <v>43</v>
      </c>
      <c r="H2106" t="s">
        <v>1025</v>
      </c>
      <c r="J2106">
        <v>2014</v>
      </c>
      <c r="M2106" t="s">
        <v>213</v>
      </c>
      <c r="T2106" t="s">
        <v>68</v>
      </c>
      <c r="U2106" t="s">
        <v>266</v>
      </c>
      <c r="V2106" t="s">
        <v>267</v>
      </c>
      <c r="AC2106" t="s">
        <v>51</v>
      </c>
      <c r="AF2106" t="s">
        <v>52</v>
      </c>
      <c r="AG2106" t="s">
        <v>54</v>
      </c>
      <c r="AH2106" t="s">
        <v>55</v>
      </c>
      <c r="AK2106">
        <v>3</v>
      </c>
      <c r="AL2106">
        <v>3</v>
      </c>
      <c r="AN2106">
        <v>545</v>
      </c>
      <c r="AU2106">
        <v>1200</v>
      </c>
      <c r="BB2106">
        <f>LOG(AU2106)</f>
        <v>3.0791812460476247</v>
      </c>
      <c r="BC2106">
        <v>11</v>
      </c>
      <c r="BF2106">
        <v>11</v>
      </c>
      <c r="BI2106">
        <v>655</v>
      </c>
      <c r="BJ2106">
        <v>0.1</v>
      </c>
      <c r="BL2106" t="s">
        <v>1054</v>
      </c>
      <c r="BM2106" t="s">
        <v>75</v>
      </c>
      <c r="BN2106" t="s">
        <v>60</v>
      </c>
      <c r="BO2106" t="s">
        <v>76</v>
      </c>
      <c r="BP2106" t="s">
        <v>77</v>
      </c>
      <c r="BR2106" t="s">
        <v>63</v>
      </c>
      <c r="BT2106">
        <v>2.9039999999999999</v>
      </c>
      <c r="BU2106">
        <v>2.9039999999999999</v>
      </c>
      <c r="BV2106">
        <v>0.16900000000000001</v>
      </c>
      <c r="BW2106">
        <f>BV2106*SQRT(AK2106)</f>
        <v>0.29271658647914028</v>
      </c>
      <c r="BX2106">
        <v>2.9319999999999999</v>
      </c>
      <c r="BY2106">
        <v>2.9319999999999999</v>
      </c>
      <c r="BZ2106">
        <v>7.1999999999999995E-2</v>
      </c>
      <c r="CA2106">
        <f>BZ2106*SQRT(AL2106)</f>
        <v>0.12470765814495915</v>
      </c>
      <c r="CB2106">
        <v>19</v>
      </c>
      <c r="CD2106">
        <v>0.01</v>
      </c>
      <c r="CE2106">
        <v>4.0000000000000001E-3</v>
      </c>
    </row>
    <row r="2107" spans="2:84" hidden="1" x14ac:dyDescent="0.2">
      <c r="B2107" t="str">
        <f>ROW()-1&amp;"_AltersInvert"</f>
        <v>2106_AltersInvert</v>
      </c>
      <c r="C2107" t="str">
        <f>D2107&amp;"_"&amp;
SUBSTITUTE(TRIM(V2107)," ","_")&amp;"_"&amp;
TRIM(AC2107)&amp;"_"&amp;
"CO2"&amp;TEXT(AN2107,"0.00")&amp;"_"&amp;
"pH"&amp;TEXT(AR2107,"0.00")&amp;"_"&amp;
"T"&amp;TEXT(BC2107,"0.##")</f>
        <v>76_Haliotis_coccoradiata_LARVA_CO2342.00_pH8.20_T20.</v>
      </c>
      <c r="D2107">
        <v>76</v>
      </c>
      <c r="G2107" t="s">
        <v>43</v>
      </c>
      <c r="H2107" t="s">
        <v>668</v>
      </c>
      <c r="J2107">
        <v>2011</v>
      </c>
      <c r="M2107" t="s">
        <v>174</v>
      </c>
      <c r="P2107" t="s">
        <v>1135</v>
      </c>
      <c r="R2107" t="s">
        <v>1127</v>
      </c>
      <c r="S2107" t="s">
        <v>1128</v>
      </c>
      <c r="T2107" t="s">
        <v>68</v>
      </c>
      <c r="U2107" t="s">
        <v>669</v>
      </c>
      <c r="V2107" t="s">
        <v>670</v>
      </c>
      <c r="Z2107" t="s">
        <v>106</v>
      </c>
      <c r="AA2107" t="s">
        <v>107</v>
      </c>
      <c r="AB2107" t="s">
        <v>71</v>
      </c>
      <c r="AC2107" t="s">
        <v>72</v>
      </c>
      <c r="AD2107" t="s">
        <v>52</v>
      </c>
      <c r="AE2107" t="s">
        <v>53</v>
      </c>
      <c r="AF2107" t="s">
        <v>52</v>
      </c>
      <c r="AG2107" t="s">
        <v>52</v>
      </c>
      <c r="AH2107" t="s">
        <v>64</v>
      </c>
      <c r="AK2107">
        <v>10</v>
      </c>
      <c r="AL2107">
        <v>10</v>
      </c>
      <c r="AN2107">
        <v>342</v>
      </c>
      <c r="AO2107">
        <v>36</v>
      </c>
      <c r="AP2107" t="s">
        <v>56</v>
      </c>
      <c r="AQ2107" t="s">
        <v>57</v>
      </c>
      <c r="AR2107">
        <v>8.1999999999999993</v>
      </c>
      <c r="AS2107" t="s">
        <v>56</v>
      </c>
      <c r="AT2107" t="s">
        <v>56</v>
      </c>
      <c r="AU2107">
        <v>1102</v>
      </c>
      <c r="AV2107">
        <v>8</v>
      </c>
      <c r="AW2107" t="s">
        <v>56</v>
      </c>
      <c r="AX2107">
        <v>7.8</v>
      </c>
      <c r="AY2107" t="s">
        <v>56</v>
      </c>
      <c r="AZ2107" t="s">
        <v>56</v>
      </c>
      <c r="BB2107">
        <f>LOG(AU2107)</f>
        <v>3.0421815945157662</v>
      </c>
      <c r="BC2107">
        <v>20</v>
      </c>
      <c r="BD2107" t="s">
        <v>56</v>
      </c>
      <c r="BE2107" t="s">
        <v>56</v>
      </c>
      <c r="BF2107">
        <v>22</v>
      </c>
      <c r="BG2107" t="s">
        <v>56</v>
      </c>
      <c r="BH2107" t="s">
        <v>56</v>
      </c>
      <c r="BI2107">
        <v>760</v>
      </c>
      <c r="BJ2107">
        <v>2</v>
      </c>
      <c r="BK2107" t="s">
        <v>56</v>
      </c>
      <c r="BL2107" t="s">
        <v>671</v>
      </c>
      <c r="BM2107" t="s">
        <v>86</v>
      </c>
      <c r="BN2107" t="s">
        <v>81</v>
      </c>
      <c r="BO2107" t="s">
        <v>82</v>
      </c>
      <c r="BP2107" t="s">
        <v>9</v>
      </c>
      <c r="BQ2107" t="s">
        <v>194</v>
      </c>
      <c r="BR2107" t="s">
        <v>84</v>
      </c>
      <c r="BT2107">
        <v>59.7</v>
      </c>
      <c r="BU2107">
        <v>59.7</v>
      </c>
      <c r="BV2107">
        <v>9.9</v>
      </c>
      <c r="BW2107">
        <f>BV2107*SQRT(AK2107)</f>
        <v>31.306548835666959</v>
      </c>
      <c r="BX2107">
        <v>16.3</v>
      </c>
      <c r="BY2107">
        <v>16.3</v>
      </c>
      <c r="BZ2107">
        <v>7.1</v>
      </c>
      <c r="CA2107">
        <f>BZ2107*SQRT(AL2107)</f>
        <v>22.452171387195495</v>
      </c>
      <c r="CB2107">
        <v>1</v>
      </c>
      <c r="CC2107" t="s">
        <v>56</v>
      </c>
      <c r="CD2107">
        <v>-1.298</v>
      </c>
      <c r="CE2107">
        <v>0.2172</v>
      </c>
      <c r="CF2107" s="8"/>
    </row>
    <row r="2108" spans="2:84" hidden="1" x14ac:dyDescent="0.2">
      <c r="D2108">
        <v>234</v>
      </c>
      <c r="G2108" t="s">
        <v>43</v>
      </c>
      <c r="H2108" t="s">
        <v>1007</v>
      </c>
      <c r="J2108">
        <v>2018</v>
      </c>
      <c r="M2108" t="s">
        <v>802</v>
      </c>
      <c r="T2108" t="s">
        <v>103</v>
      </c>
      <c r="V2108" t="s">
        <v>1021</v>
      </c>
      <c r="AC2108" t="s">
        <v>51</v>
      </c>
      <c r="AF2108" t="s">
        <v>52</v>
      </c>
      <c r="AG2108" t="s">
        <v>54</v>
      </c>
      <c r="AH2108" t="s">
        <v>55</v>
      </c>
      <c r="AK2108">
        <v>10</v>
      </c>
      <c r="AL2108">
        <v>10</v>
      </c>
      <c r="AN2108">
        <v>667</v>
      </c>
      <c r="AU2108">
        <v>1387</v>
      </c>
      <c r="BB2108">
        <f>LOG(AU2108)</f>
        <v>3.1420764610732848</v>
      </c>
      <c r="BC2108">
        <v>25.8</v>
      </c>
      <c r="BF2108">
        <v>26.4</v>
      </c>
      <c r="BI2108">
        <v>720</v>
      </c>
      <c r="BJ2108">
        <v>0.6</v>
      </c>
      <c r="BL2108" t="s">
        <v>1009</v>
      </c>
      <c r="BM2108" t="s">
        <v>232</v>
      </c>
      <c r="BN2108" t="s">
        <v>81</v>
      </c>
      <c r="BO2108" t="s">
        <v>1010</v>
      </c>
      <c r="BP2108" t="s">
        <v>234</v>
      </c>
      <c r="BR2108" t="s">
        <v>63</v>
      </c>
      <c r="BT2108">
        <v>2.2867894350000002</v>
      </c>
      <c r="BU2108">
        <v>2.2867890000000002</v>
      </c>
      <c r="BV2108">
        <v>0.63749382600000004</v>
      </c>
      <c r="BW2108">
        <f>BV2108*SQRT(AK2108)</f>
        <v>2.0159324844550683</v>
      </c>
      <c r="BX2108">
        <v>3.16331052</v>
      </c>
      <c r="BY2108">
        <v>3.1633105000000001</v>
      </c>
      <c r="BZ2108">
        <v>0.33468331800000001</v>
      </c>
      <c r="CA2108">
        <f>BZ2108*SQRT(AL2108)</f>
        <v>1.0583615797424297</v>
      </c>
      <c r="CB2108">
        <v>2</v>
      </c>
      <c r="CD2108">
        <v>0.32400000000000001</v>
      </c>
      <c r="CE2108">
        <v>8.8900000000000007E-2</v>
      </c>
    </row>
    <row r="2109" spans="2:84" hidden="1" x14ac:dyDescent="0.2">
      <c r="B2109" t="str">
        <f>ROW()-1&amp;"_AltersInvert"</f>
        <v>2108_AltersInvert</v>
      </c>
      <c r="C2109" t="str">
        <f>D2109&amp;"_"&amp;
SUBSTITUTE(TRIM(V2109)," ","_")&amp;"_"&amp;
TRIM(AC2109)&amp;"_"&amp;
"CO2"&amp;TEXT(AN2109,"0.00")&amp;"_"&amp;
"pH"&amp;TEXT(AR2109,"0.00")&amp;"_"&amp;
"T"&amp;TEXT(BC2109,"0.##")</f>
        <v>224_Stylocheilus_striatus_LARVA_CO2420.00_pH0.00_T27.</v>
      </c>
      <c r="D2109">
        <v>224</v>
      </c>
      <c r="G2109" t="s">
        <v>43</v>
      </c>
      <c r="H2109" t="s">
        <v>1061</v>
      </c>
      <c r="J2109">
        <v>2017</v>
      </c>
      <c r="M2109" t="s">
        <v>67</v>
      </c>
      <c r="P2109" t="s">
        <v>1135</v>
      </c>
      <c r="R2109" t="s">
        <v>1127</v>
      </c>
      <c r="S2109" t="s">
        <v>1128</v>
      </c>
      <c r="T2109" t="s">
        <v>68</v>
      </c>
      <c r="U2109" t="s">
        <v>496</v>
      </c>
      <c r="V2109" t="s">
        <v>497</v>
      </c>
      <c r="AC2109" t="s">
        <v>72</v>
      </c>
      <c r="AF2109" t="s">
        <v>52</v>
      </c>
      <c r="AG2109" t="s">
        <v>54</v>
      </c>
      <c r="AH2109" t="s">
        <v>55</v>
      </c>
      <c r="AK2109">
        <v>440</v>
      </c>
      <c r="AL2109">
        <v>440</v>
      </c>
      <c r="AN2109">
        <v>420</v>
      </c>
      <c r="AU2109">
        <v>1113</v>
      </c>
      <c r="BB2109">
        <f>LOG(AU2109)</f>
        <v>3.0464951643347082</v>
      </c>
      <c r="BC2109">
        <v>27</v>
      </c>
      <c r="BF2109">
        <v>27</v>
      </c>
      <c r="BI2109">
        <v>693</v>
      </c>
      <c r="BJ2109">
        <v>0</v>
      </c>
      <c r="BL2109" t="s">
        <v>89</v>
      </c>
      <c r="BM2109" t="s">
        <v>90</v>
      </c>
      <c r="BN2109" t="s">
        <v>81</v>
      </c>
      <c r="BO2109" t="s">
        <v>91</v>
      </c>
      <c r="BP2109" t="s">
        <v>92</v>
      </c>
      <c r="BQ2109" t="s">
        <v>92</v>
      </c>
      <c r="BR2109" t="s">
        <v>63</v>
      </c>
      <c r="BT2109">
        <v>106.8775852</v>
      </c>
      <c r="BU2109">
        <v>106.877585</v>
      </c>
      <c r="BV2109">
        <v>1.64</v>
      </c>
      <c r="BW2109">
        <f>BV2109*SQRT(AK2109)</f>
        <v>34.400930219980971</v>
      </c>
      <c r="BX2109">
        <v>85.270436680000003</v>
      </c>
      <c r="BY2109">
        <v>85.270436700000005</v>
      </c>
      <c r="BZ2109">
        <v>3.53</v>
      </c>
      <c r="CA2109">
        <f>BZ2109*SQRT(AL2109)</f>
        <v>74.045904680812697</v>
      </c>
      <c r="CB2109">
        <v>3</v>
      </c>
      <c r="CD2109">
        <v>-0.22600000000000001</v>
      </c>
      <c r="CE2109">
        <v>1.9E-3</v>
      </c>
    </row>
    <row r="2110" spans="2:84" hidden="1" x14ac:dyDescent="0.2">
      <c r="D2110">
        <v>214</v>
      </c>
      <c r="G2110" t="s">
        <v>43</v>
      </c>
      <c r="H2110" t="s">
        <v>1022</v>
      </c>
      <c r="J2110">
        <v>2011</v>
      </c>
      <c r="M2110" t="s">
        <v>236</v>
      </c>
      <c r="T2110" t="s">
        <v>68</v>
      </c>
      <c r="U2110" t="s">
        <v>258</v>
      </c>
      <c r="V2110" t="s">
        <v>259</v>
      </c>
      <c r="AC2110" t="s">
        <v>51</v>
      </c>
      <c r="AF2110" t="s">
        <v>52</v>
      </c>
      <c r="AG2110" t="s">
        <v>52</v>
      </c>
      <c r="AH2110" t="s">
        <v>64</v>
      </c>
      <c r="AK2110">
        <v>6</v>
      </c>
      <c r="AL2110">
        <v>6</v>
      </c>
      <c r="AN2110">
        <v>428</v>
      </c>
      <c r="AU2110">
        <v>1185</v>
      </c>
      <c r="BB2110">
        <f>LOG(AU2110)</f>
        <v>3.0737183503461227</v>
      </c>
      <c r="BC2110">
        <v>14.4</v>
      </c>
      <c r="BF2110">
        <v>20.7</v>
      </c>
      <c r="BI2110">
        <v>757</v>
      </c>
      <c r="BJ2110">
        <v>6.3</v>
      </c>
      <c r="BK2110" t="s">
        <v>56</v>
      </c>
      <c r="BL2110" t="s">
        <v>58</v>
      </c>
      <c r="BM2110" t="s">
        <v>59</v>
      </c>
      <c r="BN2110" t="s">
        <v>60</v>
      </c>
      <c r="BO2110" t="s">
        <v>1053</v>
      </c>
      <c r="BP2110" t="s">
        <v>62</v>
      </c>
      <c r="BR2110" t="s">
        <v>63</v>
      </c>
      <c r="BT2110">
        <v>3.86</v>
      </c>
      <c r="BU2110">
        <v>3.863</v>
      </c>
      <c r="BV2110">
        <v>0.18</v>
      </c>
      <c r="BW2110">
        <f>BV2110*SQRT(AK2110)</f>
        <v>0.44090815370097203</v>
      </c>
      <c r="BX2110">
        <v>3.18</v>
      </c>
      <c r="BY2110">
        <v>3.1840000000000002</v>
      </c>
      <c r="BZ2110">
        <v>0.18</v>
      </c>
      <c r="CA2110">
        <f>BZ2110*SQRT(AL2110)</f>
        <v>0.44090815370097203</v>
      </c>
      <c r="CB2110">
        <v>30</v>
      </c>
      <c r="CD2110">
        <v>-0.193</v>
      </c>
      <c r="CE2110">
        <v>5.3E-3</v>
      </c>
    </row>
    <row r="2111" spans="2:84" hidden="1" x14ac:dyDescent="0.2">
      <c r="B2111" t="str">
        <f>ROW()-1&amp;"_AltersInvert"</f>
        <v>2110_AltersInvert</v>
      </c>
      <c r="C2111" t="str">
        <f>D2111&amp;"_"&amp;
SUBSTITUTE(TRIM(V2111)," ","_")&amp;"_"&amp;
TRIM(AC2111)&amp;"_"&amp;
"CO2"&amp;TEXT(AN2111,"0.00")&amp;"_"&amp;
"pH"&amp;TEXT(AR2111,"0.00")&amp;"_"&amp;
"T"&amp;TEXT(BC2111,"0.##")</f>
        <v>224_Stylocheilus_striatus_LARVA_CO2420.00_pH0.00_T27.</v>
      </c>
      <c r="D2111">
        <v>224</v>
      </c>
      <c r="G2111" t="s">
        <v>43</v>
      </c>
      <c r="H2111" t="s">
        <v>1061</v>
      </c>
      <c r="J2111">
        <v>2017</v>
      </c>
      <c r="M2111" t="s">
        <v>67</v>
      </c>
      <c r="P2111" t="s">
        <v>1135</v>
      </c>
      <c r="R2111" t="s">
        <v>1127</v>
      </c>
      <c r="S2111" t="s">
        <v>1128</v>
      </c>
      <c r="T2111" t="s">
        <v>68</v>
      </c>
      <c r="U2111" t="s">
        <v>496</v>
      </c>
      <c r="V2111" t="s">
        <v>497</v>
      </c>
      <c r="AC2111" t="s">
        <v>72</v>
      </c>
      <c r="AF2111" t="s">
        <v>54</v>
      </c>
      <c r="AG2111" t="s">
        <v>52</v>
      </c>
      <c r="AH2111" t="s">
        <v>65</v>
      </c>
      <c r="AK2111">
        <v>440</v>
      </c>
      <c r="AL2111">
        <v>440</v>
      </c>
      <c r="AN2111">
        <v>420</v>
      </c>
      <c r="AU2111">
        <v>420</v>
      </c>
      <c r="BB2111">
        <f>LOG(AU2111)</f>
        <v>2.6232492903979003</v>
      </c>
      <c r="BC2111">
        <v>27</v>
      </c>
      <c r="BF2111">
        <v>31</v>
      </c>
      <c r="BI2111">
        <v>0</v>
      </c>
      <c r="BJ2111">
        <v>4</v>
      </c>
      <c r="BL2111" t="s">
        <v>89</v>
      </c>
      <c r="BM2111" t="s">
        <v>90</v>
      </c>
      <c r="BN2111" t="s">
        <v>81</v>
      </c>
      <c r="BO2111" t="s">
        <v>91</v>
      </c>
      <c r="BP2111" t="s">
        <v>92</v>
      </c>
      <c r="BQ2111" t="s">
        <v>92</v>
      </c>
      <c r="BR2111" t="s">
        <v>63</v>
      </c>
      <c r="BT2111">
        <v>106.8775852</v>
      </c>
      <c r="BU2111">
        <v>106.877585</v>
      </c>
      <c r="BV2111">
        <v>1.64</v>
      </c>
      <c r="BW2111">
        <f>BV2111*SQRT(AK2111)</f>
        <v>34.400930219980971</v>
      </c>
      <c r="BX2111">
        <v>85.769315779999999</v>
      </c>
      <c r="BY2111">
        <v>85.769315800000001</v>
      </c>
      <c r="BZ2111">
        <v>2.39</v>
      </c>
      <c r="CA2111">
        <f>BZ2111*SQRT(AL2111)</f>
        <v>50.133062942533243</v>
      </c>
      <c r="CB2111">
        <v>3</v>
      </c>
      <c r="CD2111">
        <v>-0.22</v>
      </c>
      <c r="CE2111">
        <v>1E-3</v>
      </c>
    </row>
    <row r="2112" spans="2:84" hidden="1" x14ac:dyDescent="0.2">
      <c r="D2112">
        <v>234</v>
      </c>
      <c r="G2112" t="s">
        <v>43</v>
      </c>
      <c r="H2112" t="s">
        <v>1007</v>
      </c>
      <c r="J2112">
        <v>2018</v>
      </c>
      <c r="M2112" t="s">
        <v>802</v>
      </c>
      <c r="T2112" t="s">
        <v>103</v>
      </c>
      <c r="V2112" t="s">
        <v>1008</v>
      </c>
      <c r="AC2112" t="s">
        <v>51</v>
      </c>
      <c r="AF2112" t="s">
        <v>54</v>
      </c>
      <c r="AG2112" t="s">
        <v>52</v>
      </c>
      <c r="AH2112" t="s">
        <v>65</v>
      </c>
      <c r="AK2112">
        <v>10</v>
      </c>
      <c r="AL2112">
        <v>10</v>
      </c>
      <c r="AN2112">
        <v>667</v>
      </c>
      <c r="AU2112">
        <v>782</v>
      </c>
      <c r="BB2112">
        <f>LOG(AU2112)</f>
        <v>2.893206753059848</v>
      </c>
      <c r="BC2112">
        <v>25.8</v>
      </c>
      <c r="BF2112">
        <v>30.3</v>
      </c>
      <c r="BI2112">
        <v>115</v>
      </c>
      <c r="BJ2112">
        <v>4.5</v>
      </c>
      <c r="BL2112" t="s">
        <v>1055</v>
      </c>
      <c r="BM2112" t="s">
        <v>59</v>
      </c>
      <c r="BN2112" t="s">
        <v>60</v>
      </c>
      <c r="BO2112" t="s">
        <v>998</v>
      </c>
      <c r="BP2112" t="s">
        <v>62</v>
      </c>
      <c r="BR2112" t="s">
        <v>63</v>
      </c>
      <c r="BT2112">
        <v>2.7025385759999998</v>
      </c>
      <c r="BU2112">
        <v>2.7025389999999998</v>
      </c>
      <c r="BV2112">
        <v>0.20915878500000001</v>
      </c>
      <c r="BW2112">
        <f>BV2112*SQRT(AK2112)</f>
        <v>0.6614181532334612</v>
      </c>
      <c r="BX2112">
        <v>3.1893479340000002</v>
      </c>
      <c r="BY2112">
        <v>3.1893479</v>
      </c>
      <c r="BZ2112">
        <v>0.229965157</v>
      </c>
      <c r="CA2112">
        <f>BZ2112*SQRT(AL2112)</f>
        <v>0.72721367859821406</v>
      </c>
      <c r="CB2112">
        <v>2</v>
      </c>
      <c r="CD2112">
        <v>0.16600000000000001</v>
      </c>
      <c r="CE2112">
        <v>1.12E-2</v>
      </c>
    </row>
    <row r="2113" spans="1:84" hidden="1" x14ac:dyDescent="0.2">
      <c r="D2113">
        <v>214</v>
      </c>
      <c r="G2113" t="s">
        <v>43</v>
      </c>
      <c r="H2113" t="s">
        <v>1022</v>
      </c>
      <c r="J2113">
        <v>2011</v>
      </c>
      <c r="M2113" t="s">
        <v>236</v>
      </c>
      <c r="T2113" t="s">
        <v>68</v>
      </c>
      <c r="U2113" t="s">
        <v>258</v>
      </c>
      <c r="V2113" t="s">
        <v>259</v>
      </c>
      <c r="AC2113" t="s">
        <v>51</v>
      </c>
      <c r="AF2113" t="s">
        <v>54</v>
      </c>
      <c r="AG2113" t="s">
        <v>52</v>
      </c>
      <c r="AH2113" t="s">
        <v>65</v>
      </c>
      <c r="AK2113">
        <v>6</v>
      </c>
      <c r="AL2113">
        <v>6</v>
      </c>
      <c r="AN2113">
        <v>428</v>
      </c>
      <c r="AU2113">
        <v>428</v>
      </c>
      <c r="BB2113">
        <f>LOG(AU2113)</f>
        <v>2.6314437690131722</v>
      </c>
      <c r="BC2113">
        <v>14.4</v>
      </c>
      <c r="BF2113">
        <v>20.9</v>
      </c>
      <c r="BI2113">
        <v>0</v>
      </c>
      <c r="BJ2113">
        <v>6.5</v>
      </c>
      <c r="BK2113" t="s">
        <v>56</v>
      </c>
      <c r="BL2113" t="s">
        <v>58</v>
      </c>
      <c r="BM2113" t="s">
        <v>59</v>
      </c>
      <c r="BN2113" t="s">
        <v>60</v>
      </c>
      <c r="BO2113" t="s">
        <v>1053</v>
      </c>
      <c r="BP2113" t="s">
        <v>62</v>
      </c>
      <c r="BR2113" t="s">
        <v>63</v>
      </c>
      <c r="BT2113">
        <v>3.86</v>
      </c>
      <c r="BU2113">
        <v>3.863</v>
      </c>
      <c r="BV2113">
        <v>0.18</v>
      </c>
      <c r="BW2113">
        <f>BV2113*SQRT(AK2113)</f>
        <v>0.44090815370097203</v>
      </c>
      <c r="BX2113">
        <v>3.25</v>
      </c>
      <c r="BY2113">
        <v>3.2509999999999999</v>
      </c>
      <c r="BZ2113">
        <v>0.2</v>
      </c>
      <c r="CA2113">
        <f>BZ2113*SQRT(AL2113)</f>
        <v>0.4898979485566356</v>
      </c>
      <c r="CB2113">
        <v>30</v>
      </c>
      <c r="CD2113">
        <v>-0.17199999999999999</v>
      </c>
      <c r="CE2113">
        <v>6.1000000000000004E-3</v>
      </c>
    </row>
    <row r="2114" spans="1:84" hidden="1" x14ac:dyDescent="0.2">
      <c r="D2114">
        <v>218</v>
      </c>
      <c r="G2114" t="s">
        <v>43</v>
      </c>
      <c r="H2114" t="s">
        <v>1025</v>
      </c>
      <c r="J2114">
        <v>2014</v>
      </c>
      <c r="M2114" t="s">
        <v>213</v>
      </c>
      <c r="T2114" t="s">
        <v>68</v>
      </c>
      <c r="U2114" t="s">
        <v>266</v>
      </c>
      <c r="V2114" t="s">
        <v>267</v>
      </c>
      <c r="AC2114" t="s">
        <v>51</v>
      </c>
      <c r="AF2114" t="s">
        <v>52</v>
      </c>
      <c r="AG2114" t="s">
        <v>52</v>
      </c>
      <c r="AH2114" t="s">
        <v>64</v>
      </c>
      <c r="AK2114">
        <v>3</v>
      </c>
      <c r="AL2114">
        <v>3</v>
      </c>
      <c r="AN2114">
        <v>545</v>
      </c>
      <c r="AU2114">
        <v>1169</v>
      </c>
      <c r="BB2114">
        <f>LOG(AU2114)</f>
        <v>3.0678145111618402</v>
      </c>
      <c r="BC2114">
        <v>11</v>
      </c>
      <c r="BF2114">
        <v>14</v>
      </c>
      <c r="BI2114">
        <v>624</v>
      </c>
      <c r="BJ2114">
        <v>2.5</v>
      </c>
      <c r="BL2114" t="s">
        <v>1054</v>
      </c>
      <c r="BM2114" t="s">
        <v>75</v>
      </c>
      <c r="BN2114" t="s">
        <v>60</v>
      </c>
      <c r="BO2114" t="s">
        <v>76</v>
      </c>
      <c r="BP2114" t="s">
        <v>77</v>
      </c>
      <c r="BR2114" t="s">
        <v>63</v>
      </c>
      <c r="BT2114">
        <v>2.9039999999999999</v>
      </c>
      <c r="BU2114">
        <v>2.9039999999999999</v>
      </c>
      <c r="BV2114">
        <v>0.16900000000000001</v>
      </c>
      <c r="BW2114">
        <f>BV2114*SQRT(AK2114)</f>
        <v>0.29271658647914028</v>
      </c>
      <c r="BX2114">
        <v>3.3090000000000002</v>
      </c>
      <c r="BY2114">
        <v>3.3090000000000002</v>
      </c>
      <c r="BZ2114">
        <v>0.16300000000000001</v>
      </c>
      <c r="CA2114">
        <f>BZ2114*SQRT(AL2114)</f>
        <v>0.28232428163372697</v>
      </c>
      <c r="CB2114">
        <v>19</v>
      </c>
      <c r="CD2114">
        <v>0.13100000000000001</v>
      </c>
      <c r="CE2114">
        <v>5.7999999999999996E-3</v>
      </c>
    </row>
    <row r="2115" spans="1:84" hidden="1" x14ac:dyDescent="0.2">
      <c r="D2115">
        <v>218</v>
      </c>
      <c r="G2115" t="s">
        <v>43</v>
      </c>
      <c r="H2115" t="s">
        <v>1025</v>
      </c>
      <c r="J2115">
        <v>2014</v>
      </c>
      <c r="M2115" t="s">
        <v>213</v>
      </c>
      <c r="T2115" t="s">
        <v>68</v>
      </c>
      <c r="U2115" t="s">
        <v>266</v>
      </c>
      <c r="V2115" t="s">
        <v>267</v>
      </c>
      <c r="AC2115" t="s">
        <v>51</v>
      </c>
      <c r="AF2115" t="s">
        <v>52</v>
      </c>
      <c r="AG2115" t="s">
        <v>52</v>
      </c>
      <c r="AH2115" t="s">
        <v>64</v>
      </c>
      <c r="AK2115">
        <v>3</v>
      </c>
      <c r="AL2115">
        <v>3</v>
      </c>
      <c r="AN2115">
        <v>545</v>
      </c>
      <c r="AU2115">
        <v>1144</v>
      </c>
      <c r="BB2115">
        <f>LOG(AU2115)</f>
        <v>3.0584260244570052</v>
      </c>
      <c r="BC2115">
        <v>11</v>
      </c>
      <c r="BF2115">
        <v>16</v>
      </c>
      <c r="BI2115">
        <v>599</v>
      </c>
      <c r="BJ2115">
        <v>4.5</v>
      </c>
      <c r="BL2115" t="s">
        <v>1054</v>
      </c>
      <c r="BM2115" t="s">
        <v>75</v>
      </c>
      <c r="BN2115" t="s">
        <v>60</v>
      </c>
      <c r="BO2115" t="s">
        <v>76</v>
      </c>
      <c r="BP2115" t="s">
        <v>77</v>
      </c>
      <c r="BR2115" t="s">
        <v>63</v>
      </c>
      <c r="BT2115">
        <v>2.9039999999999999</v>
      </c>
      <c r="BU2115">
        <v>2.9039999999999999</v>
      </c>
      <c r="BV2115">
        <v>0.16900000000000001</v>
      </c>
      <c r="BW2115">
        <f>BV2115*SQRT(AK2115)</f>
        <v>0.29271658647914028</v>
      </c>
      <c r="BX2115">
        <v>3.3370000000000002</v>
      </c>
      <c r="BY2115">
        <v>3.3370000000000002</v>
      </c>
      <c r="BZ2115">
        <v>0.19500000000000001</v>
      </c>
      <c r="CA2115">
        <f>BZ2115*SQRT(AL2115)</f>
        <v>0.33774990747593109</v>
      </c>
      <c r="CB2115">
        <v>19</v>
      </c>
      <c r="CD2115">
        <v>0.13900000000000001</v>
      </c>
      <c r="CE2115">
        <v>6.7999999999999996E-3</v>
      </c>
    </row>
    <row r="2116" spans="1:84" hidden="1" x14ac:dyDescent="0.2">
      <c r="D2116">
        <v>218</v>
      </c>
      <c r="G2116" t="s">
        <v>43</v>
      </c>
      <c r="H2116" t="s">
        <v>1025</v>
      </c>
      <c r="J2116">
        <v>2014</v>
      </c>
      <c r="M2116" t="s">
        <v>213</v>
      </c>
      <c r="T2116" t="s">
        <v>68</v>
      </c>
      <c r="U2116" t="s">
        <v>266</v>
      </c>
      <c r="V2116" t="s">
        <v>267</v>
      </c>
      <c r="AC2116" t="s">
        <v>51</v>
      </c>
      <c r="AF2116" t="s">
        <v>54</v>
      </c>
      <c r="AG2116" t="s">
        <v>52</v>
      </c>
      <c r="AH2116" t="s">
        <v>65</v>
      </c>
      <c r="AK2116">
        <v>3</v>
      </c>
      <c r="AL2116">
        <v>3</v>
      </c>
      <c r="AN2116">
        <v>545</v>
      </c>
      <c r="AU2116">
        <v>516</v>
      </c>
      <c r="BB2116">
        <f>LOG(AU2116)</f>
        <v>2.7126497016272113</v>
      </c>
      <c r="BC2116">
        <v>11</v>
      </c>
      <c r="BF2116">
        <v>14</v>
      </c>
      <c r="BI2116">
        <v>-29</v>
      </c>
      <c r="BJ2116">
        <v>2.7</v>
      </c>
      <c r="BL2116" t="s">
        <v>1054</v>
      </c>
      <c r="BM2116" t="s">
        <v>75</v>
      </c>
      <c r="BN2116" t="s">
        <v>60</v>
      </c>
      <c r="BO2116" t="s">
        <v>76</v>
      </c>
      <c r="BP2116" t="s">
        <v>77</v>
      </c>
      <c r="BR2116" t="s">
        <v>63</v>
      </c>
      <c r="BT2116">
        <v>2.9039999999999999</v>
      </c>
      <c r="BU2116">
        <v>2.9039999999999999</v>
      </c>
      <c r="BV2116">
        <v>0.16900000000000001</v>
      </c>
      <c r="BW2116">
        <f>BV2116*SQRT(AK2116)</f>
        <v>0.29271658647914028</v>
      </c>
      <c r="BX2116">
        <v>3.355</v>
      </c>
      <c r="BY2116">
        <v>3.355</v>
      </c>
      <c r="BZ2116">
        <v>0.26400000000000001</v>
      </c>
      <c r="CA2116">
        <f>BZ2116*SQRT(AL2116)</f>
        <v>0.45726141319818359</v>
      </c>
      <c r="CB2116">
        <v>19</v>
      </c>
      <c r="CD2116">
        <v>0.14399999999999999</v>
      </c>
      <c r="CE2116">
        <v>9.5999999999999992E-3</v>
      </c>
    </row>
    <row r="2117" spans="1:84" hidden="1" x14ac:dyDescent="0.2">
      <c r="D2117">
        <v>218</v>
      </c>
      <c r="G2117" t="s">
        <v>43</v>
      </c>
      <c r="H2117" t="s">
        <v>1025</v>
      </c>
      <c r="J2117">
        <v>2014</v>
      </c>
      <c r="M2117" t="s">
        <v>213</v>
      </c>
      <c r="T2117" t="s">
        <v>68</v>
      </c>
      <c r="U2117" t="s">
        <v>266</v>
      </c>
      <c r="V2117" t="s">
        <v>267</v>
      </c>
      <c r="AC2117" t="s">
        <v>51</v>
      </c>
      <c r="AF2117" t="s">
        <v>52</v>
      </c>
      <c r="AG2117" t="s">
        <v>52</v>
      </c>
      <c r="AH2117" t="s">
        <v>64</v>
      </c>
      <c r="AK2117">
        <v>3</v>
      </c>
      <c r="AL2117">
        <v>3</v>
      </c>
      <c r="AN2117">
        <v>545</v>
      </c>
      <c r="AU2117">
        <v>1251</v>
      </c>
      <c r="BB2117">
        <f>LOG(AU2117)</f>
        <v>3.0972573096934202</v>
      </c>
      <c r="BC2117">
        <v>11</v>
      </c>
      <c r="BF2117">
        <v>18</v>
      </c>
      <c r="BI2117">
        <v>706</v>
      </c>
      <c r="BJ2117">
        <v>6.7</v>
      </c>
      <c r="BL2117" t="s">
        <v>1054</v>
      </c>
      <c r="BM2117" t="s">
        <v>75</v>
      </c>
      <c r="BN2117" t="s">
        <v>60</v>
      </c>
      <c r="BO2117" t="s">
        <v>76</v>
      </c>
      <c r="BP2117" t="s">
        <v>77</v>
      </c>
      <c r="BR2117" t="s">
        <v>63</v>
      </c>
      <c r="BT2117">
        <v>2.9039999999999999</v>
      </c>
      <c r="BU2117">
        <v>2.9039999999999999</v>
      </c>
      <c r="BV2117">
        <v>0.16900000000000001</v>
      </c>
      <c r="BW2117">
        <f>BV2117*SQRT(AK2117)</f>
        <v>0.29271658647914028</v>
      </c>
      <c r="BX2117">
        <v>3.3860000000000001</v>
      </c>
      <c r="BY2117">
        <v>3.3860000000000001</v>
      </c>
      <c r="BZ2117">
        <v>0.23200000000000001</v>
      </c>
      <c r="CA2117">
        <f>BZ2117*SQRT(AL2117)</f>
        <v>0.40183578735597952</v>
      </c>
      <c r="CB2117">
        <v>19</v>
      </c>
      <c r="CD2117">
        <v>0.154</v>
      </c>
      <c r="CE2117">
        <v>8.0999999999999996E-3</v>
      </c>
    </row>
    <row r="2118" spans="1:84" hidden="1" x14ac:dyDescent="0.2">
      <c r="D2118">
        <v>218</v>
      </c>
      <c r="G2118" t="s">
        <v>43</v>
      </c>
      <c r="H2118" t="s">
        <v>1025</v>
      </c>
      <c r="J2118">
        <v>2014</v>
      </c>
      <c r="M2118" t="s">
        <v>213</v>
      </c>
      <c r="T2118" t="s">
        <v>68</v>
      </c>
      <c r="U2118" t="s">
        <v>266</v>
      </c>
      <c r="V2118" t="s">
        <v>267</v>
      </c>
      <c r="AC2118" t="s">
        <v>51</v>
      </c>
      <c r="AF2118" t="s">
        <v>54</v>
      </c>
      <c r="AG2118" t="s">
        <v>52</v>
      </c>
      <c r="AH2118" t="s">
        <v>65</v>
      </c>
      <c r="AK2118">
        <v>3</v>
      </c>
      <c r="AL2118">
        <v>3</v>
      </c>
      <c r="AN2118">
        <v>545</v>
      </c>
      <c r="AU2118">
        <v>536</v>
      </c>
      <c r="BB2118">
        <f>LOG(AU2118)</f>
        <v>2.7291647896927702</v>
      </c>
      <c r="BC2118">
        <v>11</v>
      </c>
      <c r="BF2118">
        <v>16</v>
      </c>
      <c r="BI2118">
        <v>-9</v>
      </c>
      <c r="BJ2118">
        <v>4.5999999999999996</v>
      </c>
      <c r="BL2118" t="s">
        <v>1054</v>
      </c>
      <c r="BM2118" t="s">
        <v>75</v>
      </c>
      <c r="BN2118" t="s">
        <v>60</v>
      </c>
      <c r="BO2118" t="s">
        <v>76</v>
      </c>
      <c r="BP2118" t="s">
        <v>77</v>
      </c>
      <c r="BR2118" t="s">
        <v>63</v>
      </c>
      <c r="BT2118">
        <v>2.9039999999999999</v>
      </c>
      <c r="BU2118">
        <v>2.9039999999999999</v>
      </c>
      <c r="BV2118">
        <v>0.16900000000000001</v>
      </c>
      <c r="BW2118">
        <f>BV2118*SQRT(AK2118)</f>
        <v>0.29271658647914028</v>
      </c>
      <c r="BX2118">
        <v>3.4550000000000001</v>
      </c>
      <c r="BY2118">
        <v>3.4550000000000001</v>
      </c>
      <c r="BZ2118">
        <v>0.16</v>
      </c>
      <c r="CA2118">
        <f>BZ2118*SQRT(AL2118)</f>
        <v>0.27712812921102037</v>
      </c>
      <c r="CB2118">
        <v>19</v>
      </c>
      <c r="CD2118">
        <v>0.17399999999999999</v>
      </c>
      <c r="CE2118">
        <v>5.4999999999999997E-3</v>
      </c>
    </row>
    <row r="2119" spans="1:84" hidden="1" x14ac:dyDescent="0.2">
      <c r="D2119">
        <v>239</v>
      </c>
      <c r="G2119" t="s">
        <v>43</v>
      </c>
      <c r="H2119" t="s">
        <v>1056</v>
      </c>
      <c r="J2119">
        <v>2017</v>
      </c>
      <c r="M2119" t="s">
        <v>94</v>
      </c>
      <c r="T2119" t="s">
        <v>131</v>
      </c>
      <c r="U2119" t="s">
        <v>1057</v>
      </c>
      <c r="V2119" t="s">
        <v>1058</v>
      </c>
      <c r="AC2119" t="s">
        <v>108</v>
      </c>
      <c r="AF2119" t="s">
        <v>52</v>
      </c>
      <c r="AG2119" t="s">
        <v>52</v>
      </c>
      <c r="AH2119" t="s">
        <v>64</v>
      </c>
      <c r="AK2119">
        <v>20</v>
      </c>
      <c r="AL2119">
        <v>13</v>
      </c>
      <c r="AN2119">
        <v>491</v>
      </c>
      <c r="AU2119">
        <v>955</v>
      </c>
      <c r="BB2119">
        <f>LOG(AU2119)</f>
        <v>2.9800033715837464</v>
      </c>
      <c r="BC2119">
        <v>8</v>
      </c>
      <c r="BF2119">
        <v>12</v>
      </c>
      <c r="BI2119">
        <v>464</v>
      </c>
      <c r="BJ2119">
        <v>4</v>
      </c>
      <c r="BL2119" t="s">
        <v>1059</v>
      </c>
      <c r="BM2119" t="s">
        <v>262</v>
      </c>
      <c r="BN2119" t="s">
        <v>81</v>
      </c>
      <c r="BO2119" t="s">
        <v>56</v>
      </c>
      <c r="BP2119" t="s">
        <v>92</v>
      </c>
      <c r="BR2119" t="s">
        <v>63</v>
      </c>
      <c r="BT2119">
        <v>6.1475409839999999</v>
      </c>
      <c r="BU2119">
        <v>6.1475410000000004</v>
      </c>
      <c r="BV2119">
        <v>1.0928961749999999</v>
      </c>
      <c r="BW2119">
        <f>BV2119*SQRT(AK2119)</f>
        <v>4.8875802792990122</v>
      </c>
      <c r="BX2119">
        <v>3.4836065569999999</v>
      </c>
      <c r="BY2119">
        <v>3.4836065999999999</v>
      </c>
      <c r="BZ2119">
        <v>1.71</v>
      </c>
      <c r="CA2119">
        <f>BZ2119*SQRT(AL2119)</f>
        <v>6.1654926810434212</v>
      </c>
      <c r="CB2119">
        <v>184</v>
      </c>
      <c r="CD2119">
        <v>-0.56799999999999995</v>
      </c>
      <c r="CE2119">
        <v>0.27189999999999998</v>
      </c>
    </row>
    <row r="2120" spans="1:84" hidden="1" x14ac:dyDescent="0.2">
      <c r="B2120" t="str">
        <f>ROW()-1&amp;"_AltersInvert"</f>
        <v>2119_AltersInvert</v>
      </c>
      <c r="C2120" t="str">
        <f>D2120&amp;"_"&amp;
SUBSTITUTE(TRIM(V2120)," ","_")&amp;"_"&amp;
TRIM(AC2120)&amp;"_"&amp;
"CO2"&amp;TEXT(AN2120,"0.00")&amp;"_"&amp;
"pH"&amp;TEXT(AR2120,"0.00")&amp;"_"&amp;
"T"&amp;TEXT(BC2120,"0.##")</f>
        <v>224_Stylocheilus_striatus_LARVA_CO2420.00_pH0.00_T27.</v>
      </c>
      <c r="D2120">
        <v>224</v>
      </c>
      <c r="G2120" t="s">
        <v>43</v>
      </c>
      <c r="H2120" t="s">
        <v>1061</v>
      </c>
      <c r="J2120">
        <v>2017</v>
      </c>
      <c r="M2120" t="s">
        <v>67</v>
      </c>
      <c r="P2120" t="s">
        <v>1135</v>
      </c>
      <c r="R2120" t="s">
        <v>1127</v>
      </c>
      <c r="S2120" t="s">
        <v>1128</v>
      </c>
      <c r="T2120" t="s">
        <v>68</v>
      </c>
      <c r="U2120" t="s">
        <v>496</v>
      </c>
      <c r="V2120" t="s">
        <v>497</v>
      </c>
      <c r="AC2120" t="s">
        <v>72</v>
      </c>
      <c r="AF2120" t="s">
        <v>52</v>
      </c>
      <c r="AG2120" t="s">
        <v>52</v>
      </c>
      <c r="AH2120" t="s">
        <v>64</v>
      </c>
      <c r="AK2120">
        <v>440</v>
      </c>
      <c r="AL2120">
        <v>440</v>
      </c>
      <c r="AN2120">
        <v>420</v>
      </c>
      <c r="AU2120">
        <v>1113</v>
      </c>
      <c r="BB2120">
        <f>LOG(AU2120)</f>
        <v>3.0464951643347082</v>
      </c>
      <c r="BC2120">
        <v>27</v>
      </c>
      <c r="BF2120">
        <v>31</v>
      </c>
      <c r="BI2120">
        <v>693</v>
      </c>
      <c r="BJ2120">
        <v>4</v>
      </c>
      <c r="BL2120" t="s">
        <v>89</v>
      </c>
      <c r="BM2120" t="s">
        <v>90</v>
      </c>
      <c r="BN2120" t="s">
        <v>81</v>
      </c>
      <c r="BO2120" t="s">
        <v>91</v>
      </c>
      <c r="BP2120" t="s">
        <v>92</v>
      </c>
      <c r="BQ2120" t="s">
        <v>92</v>
      </c>
      <c r="BR2120" t="s">
        <v>63</v>
      </c>
      <c r="BT2120">
        <v>106.8775852</v>
      </c>
      <c r="BU2120">
        <v>106.877585</v>
      </c>
      <c r="BV2120">
        <v>1.64</v>
      </c>
      <c r="BW2120">
        <f>BV2120*SQRT(AK2120)</f>
        <v>34.400930219980971</v>
      </c>
      <c r="BX2120">
        <v>71.779861699999998</v>
      </c>
      <c r="BY2120">
        <v>71.779861699999998</v>
      </c>
      <c r="BZ2120">
        <v>9.1300000000000008</v>
      </c>
      <c r="CA2120">
        <f>BZ2120*SQRT(AL2120)</f>
        <v>191.5124956758697</v>
      </c>
      <c r="CB2120">
        <v>3</v>
      </c>
      <c r="CD2120">
        <v>-0.39800000000000002</v>
      </c>
      <c r="CE2120">
        <v>1.6400000000000001E-2</v>
      </c>
    </row>
    <row r="2121" spans="1:84" hidden="1" x14ac:dyDescent="0.2">
      <c r="D2121">
        <v>218</v>
      </c>
      <c r="G2121" t="s">
        <v>43</v>
      </c>
      <c r="H2121" t="s">
        <v>1025</v>
      </c>
      <c r="J2121">
        <v>2014</v>
      </c>
      <c r="M2121" t="s">
        <v>213</v>
      </c>
      <c r="T2121" t="s">
        <v>68</v>
      </c>
      <c r="U2121" t="s">
        <v>266</v>
      </c>
      <c r="V2121" t="s">
        <v>267</v>
      </c>
      <c r="AC2121" t="s">
        <v>51</v>
      </c>
      <c r="AF2121" t="s">
        <v>52</v>
      </c>
      <c r="AG2121" t="s">
        <v>52</v>
      </c>
      <c r="AH2121" t="s">
        <v>64</v>
      </c>
      <c r="AK2121">
        <v>3</v>
      </c>
      <c r="AL2121">
        <v>3</v>
      </c>
      <c r="AN2121">
        <v>545</v>
      </c>
      <c r="AU2121">
        <v>1219</v>
      </c>
      <c r="BB2121">
        <f>LOG(AU2121)</f>
        <v>3.0860037056183818</v>
      </c>
      <c r="BC2121">
        <v>11</v>
      </c>
      <c r="BF2121">
        <v>20</v>
      </c>
      <c r="BI2121">
        <v>674</v>
      </c>
      <c r="BJ2121">
        <v>8.5</v>
      </c>
      <c r="BL2121" t="s">
        <v>1054</v>
      </c>
      <c r="BM2121" t="s">
        <v>75</v>
      </c>
      <c r="BN2121" t="s">
        <v>60</v>
      </c>
      <c r="BO2121" t="s">
        <v>76</v>
      </c>
      <c r="BP2121" t="s">
        <v>77</v>
      </c>
      <c r="BR2121" t="s">
        <v>63</v>
      </c>
      <c r="BT2121">
        <v>2.9039999999999999</v>
      </c>
      <c r="BU2121">
        <v>2.9039999999999999</v>
      </c>
      <c r="BV2121">
        <v>0.16900000000000001</v>
      </c>
      <c r="BW2121">
        <f>BV2121*SQRT(AK2121)</f>
        <v>0.29271658647914028</v>
      </c>
      <c r="BX2121">
        <v>3.6110000000000002</v>
      </c>
      <c r="BY2121">
        <v>3.6110000000000002</v>
      </c>
      <c r="BZ2121">
        <v>2.9000000000000001E-2</v>
      </c>
      <c r="CA2121">
        <f>BZ2121*SQRT(AL2121)</f>
        <v>5.022947341949744E-2</v>
      </c>
      <c r="CB2121">
        <v>19</v>
      </c>
      <c r="CD2121">
        <v>0.218</v>
      </c>
      <c r="CE2121">
        <v>3.5000000000000001E-3</v>
      </c>
    </row>
    <row r="2122" spans="1:84" hidden="1" x14ac:dyDescent="0.2">
      <c r="D2122">
        <v>218</v>
      </c>
      <c r="G2122" t="s">
        <v>43</v>
      </c>
      <c r="H2122" t="s">
        <v>1025</v>
      </c>
      <c r="J2122">
        <v>2014</v>
      </c>
      <c r="M2122" t="s">
        <v>213</v>
      </c>
      <c r="T2122" t="s">
        <v>68</v>
      </c>
      <c r="U2122" t="s">
        <v>266</v>
      </c>
      <c r="V2122" t="s">
        <v>267</v>
      </c>
      <c r="AC2122" t="s">
        <v>51</v>
      </c>
      <c r="AF2122" t="s">
        <v>54</v>
      </c>
      <c r="AG2122" t="s">
        <v>52</v>
      </c>
      <c r="AH2122" t="s">
        <v>65</v>
      </c>
      <c r="AK2122">
        <v>3</v>
      </c>
      <c r="AL2122">
        <v>3</v>
      </c>
      <c r="AN2122">
        <v>545</v>
      </c>
      <c r="AU2122">
        <v>553</v>
      </c>
      <c r="BB2122">
        <f>LOG(AU2122)</f>
        <v>2.7427251313046983</v>
      </c>
      <c r="BC2122">
        <v>11</v>
      </c>
      <c r="BF2122">
        <v>20</v>
      </c>
      <c r="BI2122">
        <v>8</v>
      </c>
      <c r="BJ2122">
        <v>8.4</v>
      </c>
      <c r="BL2122" t="s">
        <v>1054</v>
      </c>
      <c r="BM2122" t="s">
        <v>75</v>
      </c>
      <c r="BN2122" t="s">
        <v>60</v>
      </c>
      <c r="BO2122" t="s">
        <v>76</v>
      </c>
      <c r="BP2122" t="s">
        <v>77</v>
      </c>
      <c r="BR2122" t="s">
        <v>63</v>
      </c>
      <c r="BT2122">
        <v>2.9039999999999999</v>
      </c>
      <c r="BU2122">
        <v>2.9039999999999999</v>
      </c>
      <c r="BV2122">
        <v>0.16900000000000001</v>
      </c>
      <c r="BW2122">
        <f>BV2122*SQRT(AK2122)</f>
        <v>0.29271658647914028</v>
      </c>
      <c r="BX2122">
        <v>3.6120000000000001</v>
      </c>
      <c r="BY2122">
        <v>3.6120000000000001</v>
      </c>
      <c r="BZ2122">
        <v>0.23499999999999999</v>
      </c>
      <c r="CA2122">
        <f>BZ2122*SQRT(AL2122)</f>
        <v>0.40703193977868612</v>
      </c>
      <c r="CB2122">
        <v>19</v>
      </c>
      <c r="CD2122">
        <v>0.218</v>
      </c>
      <c r="CE2122">
        <v>7.6E-3</v>
      </c>
    </row>
    <row r="2123" spans="1:84" hidden="1" x14ac:dyDescent="0.2">
      <c r="D2123">
        <v>218</v>
      </c>
      <c r="G2123" t="s">
        <v>43</v>
      </c>
      <c r="H2123" t="s">
        <v>1025</v>
      </c>
      <c r="J2123">
        <v>2014</v>
      </c>
      <c r="M2123" t="s">
        <v>213</v>
      </c>
      <c r="T2123" t="s">
        <v>68</v>
      </c>
      <c r="U2123" t="s">
        <v>266</v>
      </c>
      <c r="V2123" t="s">
        <v>267</v>
      </c>
      <c r="AC2123" t="s">
        <v>51</v>
      </c>
      <c r="AF2123" t="s">
        <v>54</v>
      </c>
      <c r="AG2123" t="s">
        <v>52</v>
      </c>
      <c r="AH2123" t="s">
        <v>65</v>
      </c>
      <c r="AK2123">
        <v>3</v>
      </c>
      <c r="AL2123">
        <v>3</v>
      </c>
      <c r="AN2123">
        <v>545</v>
      </c>
      <c r="AU2123">
        <v>497</v>
      </c>
      <c r="BB2123">
        <f>LOG(AU2123)</f>
        <v>2.6963563887333319</v>
      </c>
      <c r="BC2123">
        <v>11</v>
      </c>
      <c r="BF2123">
        <v>23</v>
      </c>
      <c r="BI2123">
        <v>-48</v>
      </c>
      <c r="BJ2123">
        <v>12.1</v>
      </c>
      <c r="BL2123" t="s">
        <v>1054</v>
      </c>
      <c r="BM2123" t="s">
        <v>75</v>
      </c>
      <c r="BN2123" t="s">
        <v>60</v>
      </c>
      <c r="BO2123" t="s">
        <v>76</v>
      </c>
      <c r="BP2123" t="s">
        <v>77</v>
      </c>
      <c r="BR2123" t="s">
        <v>63</v>
      </c>
      <c r="BT2123">
        <v>2.9039999999999999</v>
      </c>
      <c r="BU2123">
        <v>2.9039999999999999</v>
      </c>
      <c r="BV2123">
        <v>0.16900000000000001</v>
      </c>
      <c r="BW2123">
        <f>BV2123*SQRT(AK2123)</f>
        <v>0.29271658647914028</v>
      </c>
      <c r="BX2123">
        <v>3.6280000000000001</v>
      </c>
      <c r="BY2123">
        <v>3.6280000000000001</v>
      </c>
      <c r="BZ2123">
        <v>0.26400000000000001</v>
      </c>
      <c r="CA2123">
        <f>BZ2123*SQRT(AL2123)</f>
        <v>0.45726141319818359</v>
      </c>
      <c r="CB2123">
        <v>19</v>
      </c>
      <c r="CD2123">
        <v>0.223</v>
      </c>
      <c r="CE2123">
        <v>8.6999999999999994E-3</v>
      </c>
    </row>
    <row r="2124" spans="1:84" hidden="1" x14ac:dyDescent="0.2">
      <c r="D2124">
        <v>223</v>
      </c>
      <c r="G2124" t="s">
        <v>43</v>
      </c>
      <c r="H2124" t="s">
        <v>986</v>
      </c>
      <c r="J2124">
        <v>2016</v>
      </c>
      <c r="M2124" t="s">
        <v>94</v>
      </c>
      <c r="T2124" t="s">
        <v>68</v>
      </c>
      <c r="U2124" t="s">
        <v>548</v>
      </c>
      <c r="V2124" t="s">
        <v>549</v>
      </c>
      <c r="AC2124" t="s">
        <v>51</v>
      </c>
      <c r="AF2124" t="s">
        <v>52</v>
      </c>
      <c r="AG2124" t="s">
        <v>52</v>
      </c>
      <c r="AH2124" t="s">
        <v>64</v>
      </c>
      <c r="AK2124">
        <v>4</v>
      </c>
      <c r="AL2124">
        <v>4</v>
      </c>
      <c r="AN2124">
        <v>371</v>
      </c>
      <c r="AU2124">
        <v>922</v>
      </c>
      <c r="BB2124">
        <f>LOG(AU2124)</f>
        <v>2.9647309210536292</v>
      </c>
      <c r="BC2124">
        <v>1.4</v>
      </c>
      <c r="BF2124">
        <v>3.4</v>
      </c>
      <c r="BI2124">
        <v>551</v>
      </c>
      <c r="BJ2124">
        <v>2</v>
      </c>
      <c r="BL2124" t="s">
        <v>987</v>
      </c>
      <c r="BM2124" t="s">
        <v>253</v>
      </c>
      <c r="BN2124" t="s">
        <v>81</v>
      </c>
      <c r="BO2124" t="s">
        <v>254</v>
      </c>
      <c r="BP2124" t="s">
        <v>92</v>
      </c>
      <c r="BR2124" t="s">
        <v>63</v>
      </c>
      <c r="BT2124">
        <v>4.4240000000000004</v>
      </c>
      <c r="BU2124">
        <v>4.4240000000000004</v>
      </c>
      <c r="BV2124">
        <v>1.52</v>
      </c>
      <c r="BW2124">
        <f>BV2124*SQRT(AK2124)</f>
        <v>3.04</v>
      </c>
      <c r="BX2124">
        <v>3.641</v>
      </c>
      <c r="BY2124">
        <v>3.641</v>
      </c>
      <c r="BZ2124">
        <v>1.75</v>
      </c>
      <c r="CA2124">
        <f>BZ2124*SQRT(AL2124)</f>
        <v>3.5</v>
      </c>
      <c r="CB2124">
        <v>42</v>
      </c>
      <c r="CD2124">
        <v>-0.19500000000000001</v>
      </c>
      <c r="CE2124">
        <v>0.34949999999999998</v>
      </c>
    </row>
    <row r="2125" spans="1:84" hidden="1" x14ac:dyDescent="0.2">
      <c r="B2125" t="str">
        <f>ROW()-1&amp;"_AltersInvert"</f>
        <v>2124_AltersInvert</v>
      </c>
      <c r="C2125" t="str">
        <f>D2125&amp;"_"&amp;
SUBSTITUTE(TRIM(V2125)," ","_")&amp;"_"&amp;
TRIM(AC2125)&amp;"_"&amp;
"CO2"&amp;TEXT(AN2125,"0.00")&amp;"_"&amp;
"pH"&amp;TEXT(AR2125,"0.00")&amp;"_"&amp;
"T"&amp;TEXT(BC2125,"0.##")</f>
        <v>36_Porites_panamensis_POSTLARVA_CO2546.00_pH8.08_T28.9</v>
      </c>
      <c r="D2125">
        <v>36</v>
      </c>
      <c r="G2125" t="s">
        <v>43</v>
      </c>
      <c r="H2125" t="s">
        <v>413</v>
      </c>
      <c r="J2125">
        <v>2011</v>
      </c>
      <c r="M2125" t="s">
        <v>45</v>
      </c>
      <c r="P2125" t="s">
        <v>1135</v>
      </c>
      <c r="R2125" t="s">
        <v>1127</v>
      </c>
      <c r="S2125" t="s">
        <v>1128</v>
      </c>
      <c r="T2125" t="s">
        <v>103</v>
      </c>
      <c r="U2125" t="s">
        <v>414</v>
      </c>
      <c r="V2125" t="s">
        <v>415</v>
      </c>
      <c r="Z2125" t="s">
        <v>106</v>
      </c>
      <c r="AA2125" t="s">
        <v>107</v>
      </c>
      <c r="AB2125" t="s">
        <v>50</v>
      </c>
      <c r="AC2125" t="s">
        <v>416</v>
      </c>
      <c r="AD2125" t="s">
        <v>52</v>
      </c>
      <c r="AE2125" t="s">
        <v>53</v>
      </c>
      <c r="AF2125" t="s">
        <v>52</v>
      </c>
      <c r="AG2125" t="s">
        <v>54</v>
      </c>
      <c r="AH2125" t="s">
        <v>55</v>
      </c>
      <c r="AK2125">
        <v>27</v>
      </c>
      <c r="AL2125">
        <v>5</v>
      </c>
      <c r="AN2125">
        <v>546</v>
      </c>
      <c r="AO2125" t="s">
        <v>56</v>
      </c>
      <c r="AP2125">
        <v>83</v>
      </c>
      <c r="AQ2125" t="s">
        <v>57</v>
      </c>
      <c r="AR2125">
        <v>8.08</v>
      </c>
      <c r="AS2125" t="s">
        <v>56</v>
      </c>
      <c r="AT2125" t="s">
        <v>56</v>
      </c>
      <c r="AU2125">
        <v>926</v>
      </c>
      <c r="AV2125" t="s">
        <v>56</v>
      </c>
      <c r="AW2125">
        <v>120</v>
      </c>
      <c r="AX2125">
        <v>7.83</v>
      </c>
      <c r="AY2125" t="s">
        <v>56</v>
      </c>
      <c r="AZ2125" t="s">
        <v>56</v>
      </c>
      <c r="BB2125">
        <f>LOG(AU2125)</f>
        <v>2.9666109866819341</v>
      </c>
      <c r="BC2125">
        <v>28.9</v>
      </c>
      <c r="BD2125" t="s">
        <v>56</v>
      </c>
      <c r="BE2125" t="s">
        <v>56</v>
      </c>
      <c r="BF2125">
        <v>28.9</v>
      </c>
      <c r="BG2125" t="s">
        <v>56</v>
      </c>
      <c r="BH2125" t="s">
        <v>56</v>
      </c>
      <c r="BI2125">
        <v>380</v>
      </c>
      <c r="BJ2125">
        <v>0</v>
      </c>
      <c r="BK2125" t="s">
        <v>56</v>
      </c>
      <c r="BL2125" t="s">
        <v>419</v>
      </c>
      <c r="BM2125" t="s">
        <v>419</v>
      </c>
      <c r="BN2125" t="s">
        <v>60</v>
      </c>
      <c r="BO2125" t="s">
        <v>418</v>
      </c>
      <c r="BP2125" t="s">
        <v>92</v>
      </c>
      <c r="BQ2125" t="s">
        <v>92</v>
      </c>
      <c r="BR2125" t="s">
        <v>63</v>
      </c>
      <c r="BT2125">
        <v>79</v>
      </c>
      <c r="BU2125">
        <v>79</v>
      </c>
      <c r="BV2125">
        <v>6.8</v>
      </c>
      <c r="BW2125">
        <f>BV2125*SQRT(AK2125)</f>
        <v>35.333836474405096</v>
      </c>
      <c r="BX2125">
        <v>72.099999999999994</v>
      </c>
      <c r="BY2125">
        <v>72.099999999999994</v>
      </c>
      <c r="BZ2125">
        <v>8.1999999999999993</v>
      </c>
      <c r="CA2125">
        <f>BZ2125*SQRT(AL2125)</f>
        <v>18.335757415498275</v>
      </c>
      <c r="CB2125">
        <v>13</v>
      </c>
      <c r="CC2125">
        <v>5</v>
      </c>
      <c r="CD2125">
        <v>-9.0999999999999998E-2</v>
      </c>
      <c r="CE2125">
        <v>2.0299999999999999E-2</v>
      </c>
    </row>
    <row r="2126" spans="1:84" hidden="1" x14ac:dyDescent="0.2">
      <c r="D2126">
        <v>230</v>
      </c>
      <c r="G2126" t="s">
        <v>43</v>
      </c>
      <c r="H2126" t="s">
        <v>1060</v>
      </c>
      <c r="J2126">
        <v>2018</v>
      </c>
      <c r="M2126" t="s">
        <v>657</v>
      </c>
      <c r="T2126" t="s">
        <v>103</v>
      </c>
      <c r="U2126" t="s">
        <v>201</v>
      </c>
      <c r="V2126" t="s">
        <v>214</v>
      </c>
      <c r="AC2126" t="s">
        <v>108</v>
      </c>
      <c r="AF2126" t="s">
        <v>52</v>
      </c>
      <c r="AG2126" t="s">
        <v>54</v>
      </c>
      <c r="AH2126" t="s">
        <v>55</v>
      </c>
      <c r="AK2126">
        <v>4</v>
      </c>
      <c r="AL2126">
        <v>4</v>
      </c>
      <c r="AN2126">
        <v>498</v>
      </c>
      <c r="AU2126">
        <v>1142</v>
      </c>
      <c r="BB2126">
        <f>LOG(AU2126)</f>
        <v>3.0576661039098294</v>
      </c>
      <c r="BC2126">
        <v>29</v>
      </c>
      <c r="BF2126">
        <v>29</v>
      </c>
      <c r="BI2126">
        <v>644</v>
      </c>
      <c r="BJ2126">
        <v>0</v>
      </c>
      <c r="BL2126" t="s">
        <v>232</v>
      </c>
      <c r="BM2126" t="s">
        <v>232</v>
      </c>
      <c r="BN2126" t="s">
        <v>81</v>
      </c>
      <c r="BO2126" t="s">
        <v>1010</v>
      </c>
      <c r="BP2126" t="s">
        <v>234</v>
      </c>
      <c r="BR2126" t="s">
        <v>63</v>
      </c>
      <c r="BT2126">
        <v>3.733333333</v>
      </c>
      <c r="BU2126">
        <v>3.733333</v>
      </c>
      <c r="BV2126">
        <v>0.24</v>
      </c>
      <c r="BW2126">
        <f>BV2126*SQRT(AK2126)</f>
        <v>0.48</v>
      </c>
      <c r="BX2126">
        <v>3.6484848479999998</v>
      </c>
      <c r="BY2126">
        <v>3.6484847999999999</v>
      </c>
      <c r="BZ2126">
        <v>0.28000000000000003</v>
      </c>
      <c r="CA2126">
        <f>BZ2126*SQRT(AL2126)</f>
        <v>0.56000000000000005</v>
      </c>
      <c r="CB2126">
        <v>21</v>
      </c>
      <c r="CD2126">
        <v>-2.3E-2</v>
      </c>
      <c r="CE2126">
        <v>1.01E-2</v>
      </c>
    </row>
    <row r="2127" spans="1:84" hidden="1" x14ac:dyDescent="0.2">
      <c r="B2127" t="str">
        <f>ROW()-1&amp;"_AltersInvert"</f>
        <v>2126_AltersInvert</v>
      </c>
      <c r="C2127" t="str">
        <f>D2127&amp;"_"&amp;
SUBSTITUTE(TRIM(V2127)," ","_")&amp;"_"&amp;
TRIM(AC2127)&amp;"_"&amp;
"CO2"&amp;TEXT(AN2127,"0.00")&amp;"_"&amp;
"pH"&amp;TEXT(AR2127,"0.00")&amp;"_"&amp;
"T"&amp;TEXT(BC2127,"0.##")</f>
        <v>36_Porites_panamensis_POSTLARVA_CO2546.00_pH8.08_T28.9</v>
      </c>
      <c r="D2127">
        <v>36</v>
      </c>
      <c r="G2127" t="s">
        <v>43</v>
      </c>
      <c r="H2127" t="s">
        <v>413</v>
      </c>
      <c r="J2127">
        <v>2011</v>
      </c>
      <c r="M2127" t="s">
        <v>45</v>
      </c>
      <c r="P2127" t="s">
        <v>1135</v>
      </c>
      <c r="R2127" t="s">
        <v>1127</v>
      </c>
      <c r="S2127" t="s">
        <v>1128</v>
      </c>
      <c r="T2127" t="s">
        <v>103</v>
      </c>
      <c r="U2127" t="s">
        <v>414</v>
      </c>
      <c r="V2127" t="s">
        <v>415</v>
      </c>
      <c r="Z2127" t="s">
        <v>106</v>
      </c>
      <c r="AA2127" t="s">
        <v>107</v>
      </c>
      <c r="AB2127" t="s">
        <v>50</v>
      </c>
      <c r="AC2127" t="s">
        <v>416</v>
      </c>
      <c r="AD2127" t="s">
        <v>52</v>
      </c>
      <c r="AE2127" t="s">
        <v>53</v>
      </c>
      <c r="AF2127" t="s">
        <v>54</v>
      </c>
      <c r="AG2127" t="s">
        <v>52</v>
      </c>
      <c r="AH2127" t="s">
        <v>65</v>
      </c>
      <c r="AK2127">
        <v>27</v>
      </c>
      <c r="AL2127">
        <v>5</v>
      </c>
      <c r="AN2127">
        <v>546</v>
      </c>
      <c r="AO2127" t="s">
        <v>56</v>
      </c>
      <c r="AP2127">
        <v>83</v>
      </c>
      <c r="AQ2127" t="s">
        <v>57</v>
      </c>
      <c r="AR2127">
        <v>8.08</v>
      </c>
      <c r="AS2127" t="s">
        <v>56</v>
      </c>
      <c r="AT2127" t="s">
        <v>56</v>
      </c>
      <c r="AU2127">
        <v>540</v>
      </c>
      <c r="AV2127" t="s">
        <v>56</v>
      </c>
      <c r="AW2127">
        <v>85</v>
      </c>
      <c r="AX2127">
        <v>8.0399999999999991</v>
      </c>
      <c r="AY2127" t="s">
        <v>56</v>
      </c>
      <c r="AZ2127" t="s">
        <v>56</v>
      </c>
      <c r="BB2127">
        <f>LOG(AU2127)</f>
        <v>2.7323937598229686</v>
      </c>
      <c r="BC2127">
        <v>28.9</v>
      </c>
      <c r="BD2127" t="s">
        <v>56</v>
      </c>
      <c r="BE2127" t="s">
        <v>56</v>
      </c>
      <c r="BF2127">
        <v>29.9</v>
      </c>
      <c r="BG2127" t="s">
        <v>56</v>
      </c>
      <c r="BH2127" t="s">
        <v>56</v>
      </c>
      <c r="BI2127">
        <v>-6</v>
      </c>
      <c r="BJ2127">
        <v>1</v>
      </c>
      <c r="BK2127" t="s">
        <v>56</v>
      </c>
      <c r="BL2127" t="s">
        <v>419</v>
      </c>
      <c r="BM2127" t="s">
        <v>419</v>
      </c>
      <c r="BN2127" t="s">
        <v>60</v>
      </c>
      <c r="BO2127" t="s">
        <v>418</v>
      </c>
      <c r="BP2127" t="s">
        <v>92</v>
      </c>
      <c r="BQ2127" t="s">
        <v>92</v>
      </c>
      <c r="BR2127" t="s">
        <v>63</v>
      </c>
      <c r="BT2127">
        <v>79</v>
      </c>
      <c r="BU2127">
        <v>79</v>
      </c>
      <c r="BV2127">
        <v>6.8</v>
      </c>
      <c r="BW2127">
        <f>BV2127*SQRT(AK2127)</f>
        <v>35.333836474405096</v>
      </c>
      <c r="BX2127">
        <v>85.8</v>
      </c>
      <c r="BY2127">
        <v>85.8</v>
      </c>
      <c r="BZ2127">
        <v>9</v>
      </c>
      <c r="CA2127">
        <f>BZ2127*SQRT(AL2127)</f>
        <v>20.124611797498108</v>
      </c>
      <c r="CB2127">
        <v>5</v>
      </c>
      <c r="CC2127">
        <v>5</v>
      </c>
      <c r="CD2127">
        <v>8.3000000000000004E-2</v>
      </c>
      <c r="CE2127">
        <v>1.84E-2</v>
      </c>
    </row>
    <row r="2128" spans="1:84" s="8" customFormat="1" hidden="1" x14ac:dyDescent="0.2">
      <c r="A2128"/>
      <c r="B2128" t="str">
        <f>ROW()-1&amp;"_AltersInvert"</f>
        <v>2127_AltersInvert</v>
      </c>
      <c r="C2128" t="str">
        <f>D2128&amp;"_"&amp;
SUBSTITUTE(TRIM(V2128)," ","_")&amp;"_"&amp;
TRIM(AC2128)&amp;"_"&amp;
"CO2"&amp;TEXT(AN2128,"0.00")&amp;"_"&amp;
"pH"&amp;TEXT(AR2128,"0.00")&amp;"_"&amp;
"T"&amp;TEXT(BC2128,"0.##")</f>
        <v>36_Porites_panamensis_POSTLARVA_CO2546.00_pH8.08_T28.9</v>
      </c>
      <c r="D2128">
        <v>36</v>
      </c>
      <c r="E2128"/>
      <c r="F2128"/>
      <c r="G2128" t="s">
        <v>43</v>
      </c>
      <c r="H2128" t="s">
        <v>413</v>
      </c>
      <c r="I2128"/>
      <c r="J2128">
        <v>2011</v>
      </c>
      <c r="K2128"/>
      <c r="L2128"/>
      <c r="M2128" t="s">
        <v>45</v>
      </c>
      <c r="N2128"/>
      <c r="O2128"/>
      <c r="P2128" t="s">
        <v>1135</v>
      </c>
      <c r="Q2128"/>
      <c r="R2128" t="s">
        <v>1127</v>
      </c>
      <c r="S2128" t="s">
        <v>1128</v>
      </c>
      <c r="T2128" t="s">
        <v>103</v>
      </c>
      <c r="U2128" t="s">
        <v>414</v>
      </c>
      <c r="V2128" t="s">
        <v>415</v>
      </c>
      <c r="W2128"/>
      <c r="X2128"/>
      <c r="Y2128"/>
      <c r="Z2128" t="s">
        <v>106</v>
      </c>
      <c r="AA2128" t="s">
        <v>107</v>
      </c>
      <c r="AB2128" t="s">
        <v>50</v>
      </c>
      <c r="AC2128" t="s">
        <v>416</v>
      </c>
      <c r="AD2128" t="s">
        <v>52</v>
      </c>
      <c r="AE2128" t="s">
        <v>53</v>
      </c>
      <c r="AF2128" t="s">
        <v>52</v>
      </c>
      <c r="AG2128" t="s">
        <v>52</v>
      </c>
      <c r="AH2128" t="s">
        <v>64</v>
      </c>
      <c r="AI2128"/>
      <c r="AJ2128"/>
      <c r="AK2128">
        <v>27</v>
      </c>
      <c r="AL2128">
        <v>5</v>
      </c>
      <c r="AM2128"/>
      <c r="AN2128">
        <v>546</v>
      </c>
      <c r="AO2128" t="s">
        <v>56</v>
      </c>
      <c r="AP2128">
        <v>83</v>
      </c>
      <c r="AQ2128" t="s">
        <v>57</v>
      </c>
      <c r="AR2128">
        <v>8.08</v>
      </c>
      <c r="AS2128" t="s">
        <v>56</v>
      </c>
      <c r="AT2128" t="s">
        <v>56</v>
      </c>
      <c r="AU2128">
        <v>1006</v>
      </c>
      <c r="AV2128" t="s">
        <v>56</v>
      </c>
      <c r="AW2128">
        <v>140</v>
      </c>
      <c r="AX2128">
        <v>7.81</v>
      </c>
      <c r="AY2128" t="s">
        <v>56</v>
      </c>
      <c r="AZ2128" t="s">
        <v>56</v>
      </c>
      <c r="BA2128"/>
      <c r="BB2128">
        <f>LOG(AU2128)</f>
        <v>3.0025979807199086</v>
      </c>
      <c r="BC2128">
        <v>28.9</v>
      </c>
      <c r="BD2128" t="s">
        <v>56</v>
      </c>
      <c r="BE2128" t="s">
        <v>56</v>
      </c>
      <c r="BF2128">
        <v>29.9</v>
      </c>
      <c r="BG2128" t="s">
        <v>56</v>
      </c>
      <c r="BH2128" t="s">
        <v>56</v>
      </c>
      <c r="BI2128">
        <v>460</v>
      </c>
      <c r="BJ2128">
        <v>1</v>
      </c>
      <c r="BK2128" t="s">
        <v>56</v>
      </c>
      <c r="BL2128" t="s">
        <v>419</v>
      </c>
      <c r="BM2128" t="s">
        <v>419</v>
      </c>
      <c r="BN2128" t="s">
        <v>60</v>
      </c>
      <c r="BO2128" t="s">
        <v>418</v>
      </c>
      <c r="BP2128" t="s">
        <v>92</v>
      </c>
      <c r="BQ2128" t="s">
        <v>92</v>
      </c>
      <c r="BR2128" t="s">
        <v>63</v>
      </c>
      <c r="BS2128"/>
      <c r="BT2128">
        <v>79</v>
      </c>
      <c r="BU2128">
        <v>79</v>
      </c>
      <c r="BV2128">
        <v>6.8</v>
      </c>
      <c r="BW2128">
        <f>BV2128*SQRT(AK2128)</f>
        <v>35.333836474405096</v>
      </c>
      <c r="BX2128">
        <v>49.4</v>
      </c>
      <c r="BY2128">
        <v>49.4</v>
      </c>
      <c r="BZ2128">
        <v>6.2</v>
      </c>
      <c r="CA2128">
        <f>BZ2128*SQRT(AL2128)</f>
        <v>13.863621460498697</v>
      </c>
      <c r="CB2128">
        <v>13</v>
      </c>
      <c r="CC2128">
        <v>5</v>
      </c>
      <c r="CD2128">
        <v>-0.46899999999999997</v>
      </c>
      <c r="CE2128">
        <v>2.3199999999999998E-2</v>
      </c>
      <c r="CF2128"/>
    </row>
    <row r="2129" spans="1:84" hidden="1" x14ac:dyDescent="0.2">
      <c r="D2129">
        <v>234</v>
      </c>
      <c r="G2129" t="s">
        <v>43</v>
      </c>
      <c r="H2129" t="s">
        <v>1007</v>
      </c>
      <c r="J2129">
        <v>2018</v>
      </c>
      <c r="M2129" t="s">
        <v>802</v>
      </c>
      <c r="T2129" t="s">
        <v>103</v>
      </c>
      <c r="V2129" t="s">
        <v>1008</v>
      </c>
      <c r="AC2129" t="s">
        <v>51</v>
      </c>
      <c r="AF2129" t="s">
        <v>52</v>
      </c>
      <c r="AG2129" t="s">
        <v>52</v>
      </c>
      <c r="AH2129" t="s">
        <v>64</v>
      </c>
      <c r="AK2129">
        <v>10</v>
      </c>
      <c r="AL2129">
        <v>10</v>
      </c>
      <c r="AN2129">
        <v>667</v>
      </c>
      <c r="AU2129">
        <v>1697</v>
      </c>
      <c r="BB2129">
        <f>LOG(AU2129)</f>
        <v>3.2296818423176759</v>
      </c>
      <c r="BC2129">
        <v>25.8</v>
      </c>
      <c r="BF2129">
        <v>30.3</v>
      </c>
      <c r="BI2129">
        <v>1030</v>
      </c>
      <c r="BJ2129">
        <v>4.5</v>
      </c>
      <c r="BL2129" t="s">
        <v>1055</v>
      </c>
      <c r="BM2129" t="s">
        <v>59</v>
      </c>
      <c r="BN2129" t="s">
        <v>60</v>
      </c>
      <c r="BO2129" t="s">
        <v>998</v>
      </c>
      <c r="BP2129" t="s">
        <v>62</v>
      </c>
      <c r="BR2129" t="s">
        <v>63</v>
      </c>
      <c r="BT2129">
        <v>2.7025385759999998</v>
      </c>
      <c r="BU2129">
        <v>2.7025389999999998</v>
      </c>
      <c r="BV2129">
        <v>0.20915878500000001</v>
      </c>
      <c r="BW2129">
        <f>BV2129*SQRT(AK2129)</f>
        <v>0.6614181532334612</v>
      </c>
      <c r="BX2129">
        <v>3.6701841709999998</v>
      </c>
      <c r="BY2129">
        <v>3.6701842</v>
      </c>
      <c r="BZ2129">
        <v>8.3623692999999999E-2</v>
      </c>
      <c r="CA2129">
        <f>BZ2129*SQRT(AL2129)</f>
        <v>0.26444133623467891</v>
      </c>
      <c r="CB2129">
        <v>2</v>
      </c>
      <c r="CD2129">
        <v>0.30599999999999999</v>
      </c>
      <c r="CE2129">
        <v>6.4999999999999997E-3</v>
      </c>
    </row>
    <row r="2130" spans="1:84" hidden="1" x14ac:dyDescent="0.2">
      <c r="D2130">
        <v>234</v>
      </c>
      <c r="G2130" t="s">
        <v>43</v>
      </c>
      <c r="H2130" t="s">
        <v>1007</v>
      </c>
      <c r="J2130">
        <v>2018</v>
      </c>
      <c r="M2130" t="s">
        <v>802</v>
      </c>
      <c r="T2130" t="s">
        <v>103</v>
      </c>
      <c r="V2130" t="s">
        <v>1008</v>
      </c>
      <c r="AC2130" t="s">
        <v>51</v>
      </c>
      <c r="AF2130" t="s">
        <v>52</v>
      </c>
      <c r="AG2130" t="s">
        <v>54</v>
      </c>
      <c r="AH2130" t="s">
        <v>55</v>
      </c>
      <c r="AK2130">
        <v>10</v>
      </c>
      <c r="AL2130">
        <v>10</v>
      </c>
      <c r="AN2130">
        <v>667</v>
      </c>
      <c r="AU2130">
        <v>1387</v>
      </c>
      <c r="BB2130">
        <f>LOG(AU2130)</f>
        <v>3.1420764610732848</v>
      </c>
      <c r="BC2130">
        <v>25.8</v>
      </c>
      <c r="BF2130">
        <v>26.4</v>
      </c>
      <c r="BI2130">
        <v>720</v>
      </c>
      <c r="BJ2130">
        <v>0.6</v>
      </c>
      <c r="BL2130" t="s">
        <v>1055</v>
      </c>
      <c r="BM2130" t="s">
        <v>59</v>
      </c>
      <c r="BN2130" t="s">
        <v>60</v>
      </c>
      <c r="BO2130" t="s">
        <v>998</v>
      </c>
      <c r="BP2130" t="s">
        <v>62</v>
      </c>
      <c r="BR2130" t="s">
        <v>63</v>
      </c>
      <c r="BT2130">
        <v>2.7025385759999998</v>
      </c>
      <c r="BU2130">
        <v>2.7025389999999998</v>
      </c>
      <c r="BV2130">
        <v>0.20915878500000001</v>
      </c>
      <c r="BW2130">
        <f>BV2130*SQRT(AK2130)</f>
        <v>0.6614181532334612</v>
      </c>
      <c r="BX2130">
        <v>3.7270283719999999</v>
      </c>
      <c r="BY2130">
        <v>3.7270284</v>
      </c>
      <c r="BZ2130">
        <v>0.12543554000000001</v>
      </c>
      <c r="CA2130">
        <f>BZ2130*SQRT(AL2130)</f>
        <v>0.3966620059331572</v>
      </c>
      <c r="CB2130">
        <v>2</v>
      </c>
      <c r="CD2130">
        <v>0.32100000000000001</v>
      </c>
      <c r="CE2130">
        <v>7.1000000000000004E-3</v>
      </c>
    </row>
    <row r="2131" spans="1:84" hidden="1" x14ac:dyDescent="0.2">
      <c r="D2131">
        <v>218</v>
      </c>
      <c r="G2131" t="s">
        <v>43</v>
      </c>
      <c r="H2131" t="s">
        <v>1025</v>
      </c>
      <c r="J2131">
        <v>2014</v>
      </c>
      <c r="M2131" t="s">
        <v>213</v>
      </c>
      <c r="T2131" t="s">
        <v>68</v>
      </c>
      <c r="U2131" t="s">
        <v>266</v>
      </c>
      <c r="V2131" t="s">
        <v>267</v>
      </c>
      <c r="AC2131" t="s">
        <v>51</v>
      </c>
      <c r="AF2131" t="s">
        <v>54</v>
      </c>
      <c r="AG2131" t="s">
        <v>52</v>
      </c>
      <c r="AH2131" t="s">
        <v>65</v>
      </c>
      <c r="AK2131">
        <v>3</v>
      </c>
      <c r="AL2131">
        <v>3</v>
      </c>
      <c r="AN2131">
        <v>545</v>
      </c>
      <c r="AU2131">
        <v>539</v>
      </c>
      <c r="BB2131">
        <f>LOG(AU2131)</f>
        <v>2.7315887651867388</v>
      </c>
      <c r="BC2131">
        <v>11</v>
      </c>
      <c r="BF2131">
        <v>18</v>
      </c>
      <c r="BI2131">
        <v>-6</v>
      </c>
      <c r="BJ2131">
        <v>6.3</v>
      </c>
      <c r="BL2131" t="s">
        <v>1054</v>
      </c>
      <c r="BM2131" t="s">
        <v>75</v>
      </c>
      <c r="BN2131" t="s">
        <v>60</v>
      </c>
      <c r="BO2131" t="s">
        <v>76</v>
      </c>
      <c r="BP2131" t="s">
        <v>77</v>
      </c>
      <c r="BR2131" t="s">
        <v>63</v>
      </c>
      <c r="BT2131">
        <v>2.9039999999999999</v>
      </c>
      <c r="BU2131">
        <v>2.9039999999999999</v>
      </c>
      <c r="BV2131">
        <v>0.16900000000000001</v>
      </c>
      <c r="BW2131">
        <f>BV2131*SQRT(AK2131)</f>
        <v>0.29271658647914028</v>
      </c>
      <c r="BX2131">
        <v>3.7429999999999999</v>
      </c>
      <c r="BY2131">
        <v>3.7429999999999999</v>
      </c>
      <c r="BZ2131">
        <v>0.21199999999999999</v>
      </c>
      <c r="CA2131">
        <f>BZ2131*SQRT(AL2131)</f>
        <v>0.36719477120460198</v>
      </c>
      <c r="CB2131">
        <v>19</v>
      </c>
      <c r="CD2131">
        <v>0.254</v>
      </c>
      <c r="CE2131">
        <v>6.6E-3</v>
      </c>
    </row>
    <row r="2132" spans="1:84" hidden="1" x14ac:dyDescent="0.2">
      <c r="D2132">
        <v>225</v>
      </c>
      <c r="G2132" t="s">
        <v>43</v>
      </c>
      <c r="H2132" t="s">
        <v>1032</v>
      </c>
      <c r="J2132">
        <v>2021</v>
      </c>
      <c r="M2132" t="s">
        <v>265</v>
      </c>
      <c r="T2132" t="s">
        <v>103</v>
      </c>
      <c r="U2132" t="s">
        <v>534</v>
      </c>
      <c r="V2132" t="s">
        <v>1033</v>
      </c>
      <c r="AC2132" t="s">
        <v>51</v>
      </c>
      <c r="AF2132" t="s">
        <v>52</v>
      </c>
      <c r="AG2132" t="s">
        <v>54</v>
      </c>
      <c r="AH2132" t="s">
        <v>55</v>
      </c>
      <c r="AK2132">
        <v>15</v>
      </c>
      <c r="AL2132">
        <v>15</v>
      </c>
      <c r="AN2132">
        <v>520</v>
      </c>
      <c r="AU2132">
        <v>1049</v>
      </c>
      <c r="BB2132">
        <f>LOG(AU2132)</f>
        <v>3.020775488193558</v>
      </c>
      <c r="BC2132">
        <v>27.9</v>
      </c>
      <c r="BF2132">
        <v>27.9</v>
      </c>
      <c r="BI2132">
        <v>529</v>
      </c>
      <c r="BJ2132">
        <v>0</v>
      </c>
      <c r="BL2132" t="s">
        <v>1034</v>
      </c>
      <c r="BM2132" t="s">
        <v>262</v>
      </c>
      <c r="BN2132" t="s">
        <v>81</v>
      </c>
      <c r="BO2132" t="s">
        <v>1035</v>
      </c>
      <c r="BP2132" t="s">
        <v>92</v>
      </c>
      <c r="BR2132" t="s">
        <v>63</v>
      </c>
      <c r="BT2132">
        <v>6.9979152569999998</v>
      </c>
      <c r="BU2132">
        <v>6.9979149999999999</v>
      </c>
      <c r="BV2132">
        <v>0.79</v>
      </c>
      <c r="BW2132">
        <f>BV2132*SQRT(AK2132)</f>
        <v>3.0596568435038596</v>
      </c>
      <c r="BX2132">
        <v>3.7945173950000002</v>
      </c>
      <c r="BY2132">
        <v>3.7945174000000002</v>
      </c>
      <c r="BZ2132">
        <v>0.94</v>
      </c>
      <c r="CA2132">
        <f>BZ2132*SQRT(AL2132)</f>
        <v>3.6406043454349719</v>
      </c>
      <c r="CB2132">
        <v>28</v>
      </c>
      <c r="CD2132">
        <v>-0.61199999999999999</v>
      </c>
      <c r="CE2132">
        <v>7.4499999999999997E-2</v>
      </c>
    </row>
    <row r="2133" spans="1:84" hidden="1" x14ac:dyDescent="0.2">
      <c r="D2133">
        <v>218</v>
      </c>
      <c r="G2133" t="s">
        <v>43</v>
      </c>
      <c r="H2133" t="s">
        <v>1025</v>
      </c>
      <c r="J2133">
        <v>2014</v>
      </c>
      <c r="M2133" t="s">
        <v>213</v>
      </c>
      <c r="T2133" t="s">
        <v>68</v>
      </c>
      <c r="U2133" t="s">
        <v>266</v>
      </c>
      <c r="V2133" t="s">
        <v>267</v>
      </c>
      <c r="AC2133" t="s">
        <v>51</v>
      </c>
      <c r="AF2133" t="s">
        <v>52</v>
      </c>
      <c r="AG2133" t="s">
        <v>52</v>
      </c>
      <c r="AH2133" t="s">
        <v>64</v>
      </c>
      <c r="AK2133">
        <v>3</v>
      </c>
      <c r="AL2133">
        <v>3</v>
      </c>
      <c r="AN2133">
        <v>545</v>
      </c>
      <c r="AU2133">
        <v>1102</v>
      </c>
      <c r="BB2133">
        <f>LOG(AU2133)</f>
        <v>3.0421815945157662</v>
      </c>
      <c r="BC2133">
        <v>11</v>
      </c>
      <c r="BF2133">
        <v>23</v>
      </c>
      <c r="BI2133">
        <v>557</v>
      </c>
      <c r="BJ2133">
        <v>12.1</v>
      </c>
      <c r="BL2133" t="s">
        <v>1054</v>
      </c>
      <c r="BM2133" t="s">
        <v>75</v>
      </c>
      <c r="BN2133" t="s">
        <v>60</v>
      </c>
      <c r="BO2133" t="s">
        <v>76</v>
      </c>
      <c r="BP2133" t="s">
        <v>77</v>
      </c>
      <c r="BR2133" t="s">
        <v>63</v>
      </c>
      <c r="BT2133">
        <v>2.9039999999999999</v>
      </c>
      <c r="BU2133">
        <v>2.9039999999999999</v>
      </c>
      <c r="BV2133">
        <v>0.16900000000000001</v>
      </c>
      <c r="BW2133">
        <f>BV2133*SQRT(AK2133)</f>
        <v>0.29271658647914028</v>
      </c>
      <c r="BX2133">
        <v>3.8420000000000001</v>
      </c>
      <c r="BY2133">
        <v>3.8420000000000001</v>
      </c>
      <c r="BZ2133">
        <v>0.26400000000000001</v>
      </c>
      <c r="CA2133">
        <f>BZ2133*SQRT(AL2133)</f>
        <v>0.45726141319818359</v>
      </c>
      <c r="CB2133">
        <v>19</v>
      </c>
      <c r="CD2133">
        <v>0.28000000000000003</v>
      </c>
      <c r="CE2133">
        <v>8.0999999999999996E-3</v>
      </c>
    </row>
    <row r="2134" spans="1:84" hidden="1" x14ac:dyDescent="0.2">
      <c r="A2134" s="8"/>
      <c r="B2134" t="str">
        <f>ROW()-1&amp;"_AltersInvert"</f>
        <v>2133_AltersInvert</v>
      </c>
      <c r="C2134" t="str">
        <f>D2134&amp;"_"&amp;
SUBSTITUTE(TRIM(V2134)," ","_")&amp;"_"&amp;
TRIM(AC2134)&amp;"_"&amp;
"CO2"&amp;TEXT(AN2134,"0.00")&amp;"_"&amp;
"pH"&amp;TEXT(AR2134,"0.00")&amp;"_"&amp;
"T"&amp;TEXT(BC2134,"0.##")</f>
        <v>58_Centrostephanus_rodgersii_EMBRYO_CO2506.00_pH8.10_T21.</v>
      </c>
      <c r="D2134" s="8">
        <v>58</v>
      </c>
      <c r="E2134" s="8"/>
      <c r="F2134" s="8"/>
      <c r="G2134" s="8" t="s">
        <v>43</v>
      </c>
      <c r="H2134" s="8" t="s">
        <v>569</v>
      </c>
      <c r="I2134" s="8" t="s">
        <v>1130</v>
      </c>
      <c r="J2134" s="8">
        <v>2014</v>
      </c>
      <c r="K2134" s="8"/>
      <c r="L2134" s="8"/>
      <c r="M2134" s="8" t="s">
        <v>67</v>
      </c>
      <c r="N2134" s="8"/>
      <c r="O2134" s="8"/>
      <c r="P2134" t="s">
        <v>1135</v>
      </c>
      <c r="Q2134" s="8"/>
      <c r="R2134" s="8" t="s">
        <v>1127</v>
      </c>
      <c r="S2134" t="s">
        <v>1128</v>
      </c>
      <c r="T2134" s="8" t="s">
        <v>46</v>
      </c>
      <c r="U2134" s="8" t="s">
        <v>570</v>
      </c>
      <c r="V2134" s="8" t="s">
        <v>571</v>
      </c>
      <c r="W2134" s="8" t="str">
        <f>IF(ISNUMBER(MATCH(#REF!,{"Doryteuthis pealeii","Loligo vulgaris","Leptuca thayeri","Stylocheilus striatus","Ophryotrocha labronica"},0)),"N","Y")</f>
        <v>Y</v>
      </c>
      <c r="X2134" s="8"/>
      <c r="Y2134" s="8"/>
      <c r="Z2134" s="8" t="s">
        <v>177</v>
      </c>
      <c r="AA2134" s="8" t="s">
        <v>177</v>
      </c>
      <c r="AB2134" s="8" t="s">
        <v>71</v>
      </c>
      <c r="AC2134" s="8" t="s">
        <v>195</v>
      </c>
      <c r="AD2134" s="8" t="s">
        <v>52</v>
      </c>
      <c r="AE2134" s="8" t="s">
        <v>53</v>
      </c>
      <c r="AF2134" s="8" t="s">
        <v>52</v>
      </c>
      <c r="AG2134" s="8" t="s">
        <v>54</v>
      </c>
      <c r="AH2134" s="8" t="s">
        <v>55</v>
      </c>
      <c r="AI2134" s="8"/>
      <c r="AJ2134" s="8"/>
      <c r="AK2134" s="8">
        <v>200</v>
      </c>
      <c r="AL2134" s="8">
        <v>200</v>
      </c>
      <c r="AM2134" s="8"/>
      <c r="AN2134" s="8">
        <v>506</v>
      </c>
      <c r="AO2134" s="8" t="s">
        <v>56</v>
      </c>
      <c r="AP2134" s="8" t="s">
        <v>56</v>
      </c>
      <c r="AQ2134" s="8" t="s">
        <v>118</v>
      </c>
      <c r="AR2134" s="8">
        <v>8.1</v>
      </c>
      <c r="AS2134" s="8" t="s">
        <v>56</v>
      </c>
      <c r="AT2134" s="8">
        <v>0.02</v>
      </c>
      <c r="AU2134" s="8">
        <v>6957</v>
      </c>
      <c r="AV2134" t="s">
        <v>56</v>
      </c>
      <c r="AW2134" t="s">
        <v>56</v>
      </c>
      <c r="AX2134">
        <v>7.04</v>
      </c>
      <c r="AY2134" t="s">
        <v>56</v>
      </c>
      <c r="AZ2134" t="s">
        <v>56</v>
      </c>
      <c r="BA2134" s="8"/>
      <c r="BB2134" s="8">
        <f>LOG(AU2134)</f>
        <v>3.8424220033576497</v>
      </c>
      <c r="BC2134" s="8">
        <v>21</v>
      </c>
      <c r="BD2134" s="8" t="s">
        <v>56</v>
      </c>
      <c r="BE2134" s="8" t="s">
        <v>56</v>
      </c>
      <c r="BF2134" s="8">
        <v>21</v>
      </c>
      <c r="BG2134" s="8" t="s">
        <v>56</v>
      </c>
      <c r="BH2134" s="8" t="s">
        <v>56</v>
      </c>
      <c r="BI2134" s="8">
        <v>6451</v>
      </c>
      <c r="BJ2134" s="8">
        <v>0</v>
      </c>
      <c r="BK2134" s="8" t="s">
        <v>572</v>
      </c>
      <c r="BL2134" s="8" t="s">
        <v>473</v>
      </c>
      <c r="BM2134" s="8" t="s">
        <v>473</v>
      </c>
      <c r="BN2134" s="8" t="s">
        <v>81</v>
      </c>
      <c r="BO2134" s="8" t="s">
        <v>82</v>
      </c>
      <c r="BP2134" s="8" t="s">
        <v>190</v>
      </c>
      <c r="BQ2134" s="8" t="s">
        <v>190</v>
      </c>
      <c r="BR2134" s="8" t="s">
        <v>84</v>
      </c>
      <c r="BS2134" s="8"/>
      <c r="BT2134" s="8">
        <v>81.94</v>
      </c>
      <c r="BU2134" s="8">
        <v>81.944444000000004</v>
      </c>
      <c r="BV2134" s="8">
        <v>3.03</v>
      </c>
      <c r="BW2134" s="8">
        <f>BV2134*SQRT(AK2134)</f>
        <v>42.850670939904781</v>
      </c>
      <c r="BX2134" s="8">
        <v>6.69</v>
      </c>
      <c r="BY2134" s="8">
        <v>6.6919192000000001</v>
      </c>
      <c r="BZ2134" s="8">
        <v>3.03</v>
      </c>
      <c r="CA2134" s="8">
        <f>BZ2134*SQRT(AL2134)</f>
        <v>42.850670939904781</v>
      </c>
      <c r="CB2134" s="8">
        <v>1</v>
      </c>
      <c r="CC2134" s="8">
        <v>4</v>
      </c>
      <c r="CD2134" s="8">
        <v>-2.5049999999999999</v>
      </c>
      <c r="CE2134" s="8">
        <v>0.2064</v>
      </c>
      <c r="CF2134" s="8" t="s">
        <v>1134</v>
      </c>
    </row>
    <row r="2135" spans="1:84" hidden="1" x14ac:dyDescent="0.2">
      <c r="D2135">
        <v>234</v>
      </c>
      <c r="G2135" t="s">
        <v>43</v>
      </c>
      <c r="H2135" t="s">
        <v>1007</v>
      </c>
      <c r="J2135">
        <v>2018</v>
      </c>
      <c r="M2135" t="s">
        <v>802</v>
      </c>
      <c r="T2135" t="s">
        <v>103</v>
      </c>
      <c r="V2135" t="s">
        <v>1021</v>
      </c>
      <c r="AC2135" t="s">
        <v>51</v>
      </c>
      <c r="AF2135" t="s">
        <v>54</v>
      </c>
      <c r="AG2135" t="s">
        <v>52</v>
      </c>
      <c r="AH2135" t="s">
        <v>65</v>
      </c>
      <c r="AK2135">
        <v>10</v>
      </c>
      <c r="AL2135">
        <v>10</v>
      </c>
      <c r="AN2135">
        <v>667</v>
      </c>
      <c r="AU2135">
        <v>782</v>
      </c>
      <c r="BB2135">
        <f>LOG(AU2135)</f>
        <v>2.893206753059848</v>
      </c>
      <c r="BC2135">
        <v>25.8</v>
      </c>
      <c r="BF2135">
        <v>30.3</v>
      </c>
      <c r="BI2135">
        <v>115</v>
      </c>
      <c r="BJ2135">
        <v>4.5</v>
      </c>
      <c r="BL2135" t="s">
        <v>1055</v>
      </c>
      <c r="BM2135" t="s">
        <v>59</v>
      </c>
      <c r="BN2135" t="s">
        <v>60</v>
      </c>
      <c r="BO2135" t="s">
        <v>998</v>
      </c>
      <c r="BP2135" t="s">
        <v>62</v>
      </c>
      <c r="BR2135" t="s">
        <v>63</v>
      </c>
      <c r="BT2135">
        <v>3.5954206069999999</v>
      </c>
      <c r="BU2135">
        <v>3.595421</v>
      </c>
      <c r="BV2135">
        <v>0.459830762</v>
      </c>
      <c r="BW2135">
        <f>BV2135*SQRT(AK2135)</f>
        <v>1.4541125461308031</v>
      </c>
      <c r="BX2135">
        <v>4.0612244899999999</v>
      </c>
      <c r="BY2135">
        <v>4.0612244999999998</v>
      </c>
      <c r="BZ2135">
        <v>0.20910900900000001</v>
      </c>
      <c r="CA2135">
        <f>BZ2135*SQRT(AL2135)</f>
        <v>0.66126074770064869</v>
      </c>
      <c r="CB2135">
        <v>2</v>
      </c>
      <c r="CD2135">
        <v>0.122</v>
      </c>
      <c r="CE2135">
        <v>1.9E-2</v>
      </c>
    </row>
    <row r="2136" spans="1:84" hidden="1" x14ac:dyDescent="0.2">
      <c r="D2136">
        <v>234</v>
      </c>
      <c r="G2136" t="s">
        <v>43</v>
      </c>
      <c r="H2136" t="s">
        <v>1007</v>
      </c>
      <c r="J2136">
        <v>2018</v>
      </c>
      <c r="M2136" t="s">
        <v>802</v>
      </c>
      <c r="T2136" t="s">
        <v>103</v>
      </c>
      <c r="V2136" t="s">
        <v>214</v>
      </c>
      <c r="AC2136" t="s">
        <v>51</v>
      </c>
      <c r="AF2136" t="s">
        <v>54</v>
      </c>
      <c r="AG2136" t="s">
        <v>52</v>
      </c>
      <c r="AH2136" t="s">
        <v>65</v>
      </c>
      <c r="AK2136">
        <v>10</v>
      </c>
      <c r="AL2136">
        <v>10</v>
      </c>
      <c r="AN2136">
        <v>667</v>
      </c>
      <c r="AU2136">
        <v>782</v>
      </c>
      <c r="BB2136">
        <f>LOG(AU2136)</f>
        <v>2.893206753059848</v>
      </c>
      <c r="BC2136">
        <v>25.8</v>
      </c>
      <c r="BF2136">
        <v>30.3</v>
      </c>
      <c r="BI2136">
        <v>115</v>
      </c>
      <c r="BJ2136">
        <v>4.5</v>
      </c>
      <c r="BL2136" t="s">
        <v>1055</v>
      </c>
      <c r="BM2136" t="s">
        <v>59</v>
      </c>
      <c r="BN2136" t="s">
        <v>60</v>
      </c>
      <c r="BO2136" t="s">
        <v>998</v>
      </c>
      <c r="BP2136" t="s">
        <v>62</v>
      </c>
      <c r="BR2136" t="s">
        <v>63</v>
      </c>
      <c r="BT2136">
        <v>2.9409656549999998</v>
      </c>
      <c r="BU2136">
        <v>2.940966</v>
      </c>
      <c r="BV2136">
        <v>0.27177700300000002</v>
      </c>
      <c r="BW2136">
        <f>BV2136*SQRT(AK2136)</f>
        <v>0.85943434513441475</v>
      </c>
      <c r="BX2136">
        <v>4.1382777500000003</v>
      </c>
      <c r="BY2136">
        <v>4.1382778</v>
      </c>
      <c r="BZ2136">
        <v>0.18820308599999999</v>
      </c>
      <c r="CA2136">
        <f>BZ2136*SQRT(AL2136)</f>
        <v>0.59515041443254824</v>
      </c>
      <c r="CB2136">
        <v>2</v>
      </c>
      <c r="CD2136">
        <v>0.34200000000000003</v>
      </c>
      <c r="CE2136">
        <v>1.06E-2</v>
      </c>
    </row>
    <row r="2137" spans="1:84" hidden="1" x14ac:dyDescent="0.2">
      <c r="A2137" s="8"/>
      <c r="B2137" t="str">
        <f>ROW()-1&amp;"_AltersInvert"</f>
        <v>2136_AltersInvert</v>
      </c>
      <c r="C2137" t="str">
        <f>D2137&amp;"_"&amp;
SUBSTITUTE(TRIM(V2137)," ","_")&amp;"_"&amp;
TRIM(AC2137)&amp;"_"&amp;
"CO2"&amp;TEXT(AN2137,"0.00")&amp;"_"&amp;
"pH"&amp;TEXT(AR2137,"0.00")&amp;"_"&amp;
"T"&amp;TEXT(BC2137,"0.##")</f>
        <v>58_Centrostephanus_rodgersii_EMBRYO_CO2468.00_pH8.10_T14.</v>
      </c>
      <c r="D2137" s="8">
        <v>58</v>
      </c>
      <c r="E2137" s="8"/>
      <c r="F2137" s="8"/>
      <c r="G2137" s="8" t="s">
        <v>43</v>
      </c>
      <c r="H2137" s="8" t="s">
        <v>569</v>
      </c>
      <c r="I2137" s="8" t="s">
        <v>1130</v>
      </c>
      <c r="J2137" s="8">
        <v>2014</v>
      </c>
      <c r="K2137" s="8"/>
      <c r="L2137" s="8"/>
      <c r="M2137" s="8" t="s">
        <v>67</v>
      </c>
      <c r="N2137" s="8"/>
      <c r="O2137" s="8"/>
      <c r="P2137" t="s">
        <v>1135</v>
      </c>
      <c r="Q2137" s="8"/>
      <c r="R2137" s="8" t="s">
        <v>1127</v>
      </c>
      <c r="S2137" t="s">
        <v>1128</v>
      </c>
      <c r="T2137" s="8" t="s">
        <v>46</v>
      </c>
      <c r="U2137" s="8" t="s">
        <v>570</v>
      </c>
      <c r="V2137" s="8" t="s">
        <v>571</v>
      </c>
      <c r="W2137" s="8" t="str">
        <f>IF(ISNUMBER(MATCH(#REF!,{"Doryteuthis pealeii","Loligo vulgaris","Leptuca thayeri","Stylocheilus striatus","Ophryotrocha labronica"},0)),"N","Y")</f>
        <v>Y</v>
      </c>
      <c r="X2137" s="8"/>
      <c r="Y2137" s="8"/>
      <c r="Z2137" s="8" t="s">
        <v>177</v>
      </c>
      <c r="AA2137" s="8" t="s">
        <v>177</v>
      </c>
      <c r="AB2137" s="8" t="s">
        <v>71</v>
      </c>
      <c r="AC2137" s="8" t="s">
        <v>195</v>
      </c>
      <c r="AD2137" s="8" t="s">
        <v>52</v>
      </c>
      <c r="AE2137" s="8" t="s">
        <v>53</v>
      </c>
      <c r="AF2137" s="8" t="s">
        <v>52</v>
      </c>
      <c r="AG2137" s="8" t="s">
        <v>54</v>
      </c>
      <c r="AH2137" s="8" t="s">
        <v>55</v>
      </c>
      <c r="AI2137" s="8"/>
      <c r="AJ2137" s="8"/>
      <c r="AK2137" s="8">
        <v>200</v>
      </c>
      <c r="AL2137" s="8">
        <v>200</v>
      </c>
      <c r="AM2137" s="8"/>
      <c r="AN2137" s="8">
        <v>468</v>
      </c>
      <c r="AO2137" s="8" t="s">
        <v>56</v>
      </c>
      <c r="AP2137" s="8" t="s">
        <v>56</v>
      </c>
      <c r="AQ2137" s="8" t="s">
        <v>118</v>
      </c>
      <c r="AR2137" s="8">
        <v>8.1</v>
      </c>
      <c r="AS2137" s="8" t="s">
        <v>56</v>
      </c>
      <c r="AT2137" s="8">
        <v>0.02</v>
      </c>
      <c r="AU2137" s="8">
        <v>6238</v>
      </c>
      <c r="AV2137" t="s">
        <v>56</v>
      </c>
      <c r="AW2137" t="s">
        <v>56</v>
      </c>
      <c r="AX2137">
        <v>7.04</v>
      </c>
      <c r="AY2137" t="s">
        <v>56</v>
      </c>
      <c r="AZ2137" t="s">
        <v>56</v>
      </c>
      <c r="BA2137" s="8"/>
      <c r="BB2137" s="8">
        <f>LOG(AU2137)</f>
        <v>3.7950453704211249</v>
      </c>
      <c r="BC2137" s="8">
        <v>14</v>
      </c>
      <c r="BD2137" s="8" t="s">
        <v>56</v>
      </c>
      <c r="BE2137" s="8" t="s">
        <v>56</v>
      </c>
      <c r="BF2137" s="8">
        <v>14</v>
      </c>
      <c r="BG2137" s="8" t="s">
        <v>56</v>
      </c>
      <c r="BH2137" s="8" t="s">
        <v>56</v>
      </c>
      <c r="BI2137" s="8">
        <v>5769</v>
      </c>
      <c r="BJ2137" s="8">
        <v>0</v>
      </c>
      <c r="BK2137" s="8" t="s">
        <v>574</v>
      </c>
      <c r="BL2137" s="8" t="s">
        <v>473</v>
      </c>
      <c r="BM2137" s="8" t="s">
        <v>473</v>
      </c>
      <c r="BN2137" s="8" t="s">
        <v>81</v>
      </c>
      <c r="BO2137" s="8" t="s">
        <v>82</v>
      </c>
      <c r="BP2137" s="8" t="s">
        <v>190</v>
      </c>
      <c r="BQ2137" s="8" t="s">
        <v>190</v>
      </c>
      <c r="BR2137" s="8" t="s">
        <v>84</v>
      </c>
      <c r="BS2137" s="8"/>
      <c r="BT2137" s="8">
        <v>97.98</v>
      </c>
      <c r="BU2137" s="8">
        <v>97.979798000000002</v>
      </c>
      <c r="BV2137" s="8">
        <v>3.03</v>
      </c>
      <c r="BW2137" s="8">
        <f>BV2137*SQRT(AK2137)</f>
        <v>42.850670939904781</v>
      </c>
      <c r="BX2137" s="8">
        <v>21.97</v>
      </c>
      <c r="BY2137" s="8">
        <v>21.969697</v>
      </c>
      <c r="BZ2137" s="8">
        <v>4.29</v>
      </c>
      <c r="CA2137" s="8">
        <f>BZ2137*SQRT(AL2137)</f>
        <v>60.669761825805779</v>
      </c>
      <c r="CB2137" s="8">
        <v>1</v>
      </c>
      <c r="CC2137" s="8">
        <v>4</v>
      </c>
      <c r="CD2137" s="8">
        <v>-1.4950000000000001</v>
      </c>
      <c r="CE2137" s="8">
        <v>3.9100000000000003E-2</v>
      </c>
      <c r="CF2137" s="8" t="s">
        <v>1134</v>
      </c>
    </row>
    <row r="2138" spans="1:84" hidden="1" x14ac:dyDescent="0.2">
      <c r="A2138" s="8"/>
      <c r="B2138" t="str">
        <f>ROW()-1&amp;"_AltersInvert"</f>
        <v>2137_AltersInvert</v>
      </c>
      <c r="C2138" t="str">
        <f>D2138&amp;"_"&amp;
SUBSTITUTE(TRIM(V2138)," ","_")&amp;"_"&amp;
TRIM(AC2138)&amp;"_"&amp;
"CO2"&amp;TEXT(AN2138,"0.00")&amp;"_"&amp;
"pH"&amp;TEXT(AR2138,"0.00")&amp;"_"&amp;
"T"&amp;TEXT(BC2138,"0.##")</f>
        <v>58_Centrostephanus_rodgersii_EMBRYO_CO2468.00_pH8.10_T14.</v>
      </c>
      <c r="D2138" s="8">
        <v>58</v>
      </c>
      <c r="E2138" s="8"/>
      <c r="F2138" s="8"/>
      <c r="G2138" s="8" t="s">
        <v>43</v>
      </c>
      <c r="H2138" s="8" t="s">
        <v>569</v>
      </c>
      <c r="I2138" s="8" t="s">
        <v>1130</v>
      </c>
      <c r="J2138" s="8">
        <v>2014</v>
      </c>
      <c r="K2138" s="8"/>
      <c r="L2138" s="8"/>
      <c r="M2138" s="8" t="s">
        <v>67</v>
      </c>
      <c r="N2138" s="8"/>
      <c r="O2138" s="8"/>
      <c r="P2138" t="s">
        <v>1135</v>
      </c>
      <c r="Q2138" s="8"/>
      <c r="R2138" s="8" t="s">
        <v>1127</v>
      </c>
      <c r="S2138" t="s">
        <v>1128</v>
      </c>
      <c r="T2138" s="8" t="s">
        <v>46</v>
      </c>
      <c r="U2138" s="8" t="s">
        <v>570</v>
      </c>
      <c r="V2138" s="8" t="s">
        <v>571</v>
      </c>
      <c r="W2138" s="8" t="str">
        <f>IF(ISNUMBER(MATCH(#REF!,{"Doryteuthis pealeii","Loligo vulgaris","Leptuca thayeri","Stylocheilus striatus","Ophryotrocha labronica"},0)),"N","Y")</f>
        <v>Y</v>
      </c>
      <c r="X2138" s="8"/>
      <c r="Y2138" s="8"/>
      <c r="Z2138" s="8" t="s">
        <v>177</v>
      </c>
      <c r="AA2138" s="8" t="s">
        <v>177</v>
      </c>
      <c r="AB2138" s="8" t="s">
        <v>71</v>
      </c>
      <c r="AC2138" s="8" t="s">
        <v>195</v>
      </c>
      <c r="AD2138" s="8" t="s">
        <v>52</v>
      </c>
      <c r="AE2138" s="8" t="s">
        <v>53</v>
      </c>
      <c r="AF2138" s="8" t="s">
        <v>52</v>
      </c>
      <c r="AG2138" s="8" t="s">
        <v>54</v>
      </c>
      <c r="AH2138" s="8" t="s">
        <v>55</v>
      </c>
      <c r="AI2138" s="8"/>
      <c r="AJ2138" s="8"/>
      <c r="AK2138" s="8">
        <v>200</v>
      </c>
      <c r="AL2138" s="8">
        <v>200</v>
      </c>
      <c r="AM2138" s="8"/>
      <c r="AN2138" s="8">
        <v>468</v>
      </c>
      <c r="AO2138" s="8" t="s">
        <v>56</v>
      </c>
      <c r="AP2138" s="8" t="s">
        <v>56</v>
      </c>
      <c r="AQ2138" s="8" t="s">
        <v>118</v>
      </c>
      <c r="AR2138" s="8">
        <v>8.1</v>
      </c>
      <c r="AS2138" s="8" t="s">
        <v>56</v>
      </c>
      <c r="AT2138" s="8">
        <v>0.02</v>
      </c>
      <c r="AU2138" s="8">
        <v>1652</v>
      </c>
      <c r="AV2138" t="s">
        <v>56</v>
      </c>
      <c r="AW2138" t="s">
        <v>56</v>
      </c>
      <c r="AX2138">
        <v>7.6</v>
      </c>
      <c r="AY2138" t="s">
        <v>56</v>
      </c>
      <c r="AZ2138" t="s">
        <v>56</v>
      </c>
      <c r="BA2138" s="8"/>
      <c r="BB2138" s="8">
        <f>LOG(AU2138)</f>
        <v>3.2180100429843632</v>
      </c>
      <c r="BC2138" s="8">
        <v>14</v>
      </c>
      <c r="BD2138" s="8" t="s">
        <v>56</v>
      </c>
      <c r="BE2138" s="8" t="s">
        <v>56</v>
      </c>
      <c r="BF2138" s="8">
        <v>14</v>
      </c>
      <c r="BG2138" s="8" t="s">
        <v>56</v>
      </c>
      <c r="BH2138" s="8" t="s">
        <v>56</v>
      </c>
      <c r="BI2138" s="8">
        <v>1183</v>
      </c>
      <c r="BJ2138" s="8">
        <v>0</v>
      </c>
      <c r="BK2138" s="8" t="s">
        <v>574</v>
      </c>
      <c r="BL2138" s="8" t="s">
        <v>473</v>
      </c>
      <c r="BM2138" s="8" t="s">
        <v>473</v>
      </c>
      <c r="BN2138" s="8" t="s">
        <v>81</v>
      </c>
      <c r="BO2138" s="8" t="s">
        <v>82</v>
      </c>
      <c r="BP2138" s="8" t="s">
        <v>190</v>
      </c>
      <c r="BQ2138" s="8" t="s">
        <v>83</v>
      </c>
      <c r="BR2138" s="8" t="s">
        <v>84</v>
      </c>
      <c r="BS2138" s="8"/>
      <c r="BT2138" s="8">
        <v>97.98</v>
      </c>
      <c r="BU2138" s="8">
        <v>97.979798000000002</v>
      </c>
      <c r="BV2138" s="8">
        <v>3.03</v>
      </c>
      <c r="BW2138" s="8">
        <f>BV2138*SQRT(AK2138)</f>
        <v>42.850670939904781</v>
      </c>
      <c r="BX2138" s="8">
        <v>78.03</v>
      </c>
      <c r="BY2138" s="8">
        <v>78.030303000000004</v>
      </c>
      <c r="BZ2138" s="8">
        <v>7.58</v>
      </c>
      <c r="CA2138" s="8">
        <f>BZ2138*SQRT(AL2138)</f>
        <v>107.19738802788061</v>
      </c>
      <c r="CB2138" s="8">
        <v>1</v>
      </c>
      <c r="CC2138" s="8">
        <v>4</v>
      </c>
      <c r="CD2138" s="8">
        <v>-0.22800000000000001</v>
      </c>
      <c r="CE2138" s="8">
        <v>1.04E-2</v>
      </c>
      <c r="CF2138" s="8" t="s">
        <v>1134</v>
      </c>
    </row>
    <row r="2139" spans="1:84" hidden="1" x14ac:dyDescent="0.2">
      <c r="D2139">
        <v>234</v>
      </c>
      <c r="G2139" t="s">
        <v>43</v>
      </c>
      <c r="H2139" t="s">
        <v>1007</v>
      </c>
      <c r="J2139">
        <v>2018</v>
      </c>
      <c r="M2139" t="s">
        <v>802</v>
      </c>
      <c r="T2139" t="s">
        <v>103</v>
      </c>
      <c r="V2139" t="s">
        <v>214</v>
      </c>
      <c r="AC2139" t="s">
        <v>51</v>
      </c>
      <c r="AF2139" t="s">
        <v>52</v>
      </c>
      <c r="AG2139" t="s">
        <v>54</v>
      </c>
      <c r="AH2139" t="s">
        <v>55</v>
      </c>
      <c r="AK2139">
        <v>10</v>
      </c>
      <c r="AL2139">
        <v>10</v>
      </c>
      <c r="AN2139">
        <v>667</v>
      </c>
      <c r="AU2139">
        <v>1387</v>
      </c>
      <c r="BB2139">
        <f>LOG(AU2139)</f>
        <v>3.1420764610732848</v>
      </c>
      <c r="BC2139">
        <v>25.8</v>
      </c>
      <c r="BF2139">
        <v>26.4</v>
      </c>
      <c r="BI2139">
        <v>720</v>
      </c>
      <c r="BJ2139">
        <v>0.6</v>
      </c>
      <c r="BL2139" t="s">
        <v>1055</v>
      </c>
      <c r="BM2139" t="s">
        <v>59</v>
      </c>
      <c r="BN2139" t="s">
        <v>60</v>
      </c>
      <c r="BO2139" t="s">
        <v>998</v>
      </c>
      <c r="BP2139" t="s">
        <v>62</v>
      </c>
      <c r="BR2139" t="s">
        <v>63</v>
      </c>
      <c r="BT2139">
        <v>2.9409656549999998</v>
      </c>
      <c r="BU2139">
        <v>2.940966</v>
      </c>
      <c r="BV2139">
        <v>0.27177700300000002</v>
      </c>
      <c r="BW2139">
        <f>BV2139*SQRT(AK2139)</f>
        <v>0.85943434513441475</v>
      </c>
      <c r="BX2139">
        <v>4.3833250369999996</v>
      </c>
      <c r="BY2139">
        <v>4.3833250000000001</v>
      </c>
      <c r="BZ2139">
        <v>0.31378795399999998</v>
      </c>
      <c r="CA2139">
        <f>BZ2139*SQRT(AL2139)</f>
        <v>0.99228463696414304</v>
      </c>
      <c r="CB2139">
        <v>2</v>
      </c>
      <c r="CD2139">
        <v>0.39900000000000002</v>
      </c>
      <c r="CE2139">
        <v>1.37E-2</v>
      </c>
    </row>
    <row r="2140" spans="1:84" hidden="1" x14ac:dyDescent="0.2">
      <c r="A2140" s="8"/>
      <c r="B2140" t="str">
        <f>ROW()-1&amp;"_AltersInvert"</f>
        <v>2139_AltersInvert</v>
      </c>
      <c r="C2140" t="str">
        <f>D2140&amp;"_"&amp;
SUBSTITUTE(TRIM(V2140)," ","_")&amp;"_"&amp;
TRIM(AC2140)&amp;"_"&amp;
"CO2"&amp;TEXT(AN2140,"0.00")&amp;"_"&amp;
"pH"&amp;TEXT(AR2140,"0.00")&amp;"_"&amp;
"T"&amp;TEXT(BC2140,"0.##")</f>
        <v>58_Centrostephanus_rodgersii_EMBRYO_CO2506.00_pH8.10_T21.</v>
      </c>
      <c r="D2140" s="8">
        <v>58</v>
      </c>
      <c r="E2140" s="8"/>
      <c r="F2140" s="8"/>
      <c r="G2140" s="8" t="s">
        <v>43</v>
      </c>
      <c r="H2140" s="8" t="s">
        <v>569</v>
      </c>
      <c r="I2140" s="8" t="s">
        <v>1130</v>
      </c>
      <c r="J2140" s="8">
        <v>2014</v>
      </c>
      <c r="K2140" s="8"/>
      <c r="L2140" s="8"/>
      <c r="M2140" s="8" t="s">
        <v>67</v>
      </c>
      <c r="N2140" s="8"/>
      <c r="O2140" s="8"/>
      <c r="P2140" t="s">
        <v>1135</v>
      </c>
      <c r="Q2140" s="8"/>
      <c r="R2140" s="8" t="s">
        <v>1127</v>
      </c>
      <c r="S2140" t="s">
        <v>1128</v>
      </c>
      <c r="T2140" s="8" t="s">
        <v>46</v>
      </c>
      <c r="U2140" s="8" t="s">
        <v>570</v>
      </c>
      <c r="V2140" s="8" t="s">
        <v>571</v>
      </c>
      <c r="W2140" s="8" t="str">
        <f>IF(ISNUMBER(MATCH(#REF!,{"Doryteuthis pealeii","Loligo vulgaris","Leptuca thayeri","Stylocheilus striatus","Ophryotrocha labronica"},0)),"N","Y")</f>
        <v>Y</v>
      </c>
      <c r="X2140" s="8"/>
      <c r="Y2140" s="8"/>
      <c r="Z2140" s="8" t="s">
        <v>177</v>
      </c>
      <c r="AA2140" s="8" t="s">
        <v>177</v>
      </c>
      <c r="AB2140" s="8" t="s">
        <v>71</v>
      </c>
      <c r="AC2140" s="8" t="s">
        <v>195</v>
      </c>
      <c r="AD2140" s="8" t="s">
        <v>52</v>
      </c>
      <c r="AE2140" s="8" t="s">
        <v>53</v>
      </c>
      <c r="AF2140" s="8" t="s">
        <v>52</v>
      </c>
      <c r="AG2140" s="8" t="s">
        <v>54</v>
      </c>
      <c r="AH2140" s="8" t="s">
        <v>55</v>
      </c>
      <c r="AI2140" s="8"/>
      <c r="AJ2140" s="8"/>
      <c r="AK2140" s="8">
        <v>200</v>
      </c>
      <c r="AL2140" s="8">
        <v>200</v>
      </c>
      <c r="AM2140" s="8"/>
      <c r="AN2140" s="8">
        <v>506</v>
      </c>
      <c r="AO2140" s="8" t="s">
        <v>56</v>
      </c>
      <c r="AP2140" s="8" t="s">
        <v>56</v>
      </c>
      <c r="AQ2140" s="8" t="s">
        <v>118</v>
      </c>
      <c r="AR2140" s="8">
        <v>8.1</v>
      </c>
      <c r="AS2140" s="8" t="s">
        <v>56</v>
      </c>
      <c r="AT2140" s="8">
        <v>0.02</v>
      </c>
      <c r="AU2140" s="8">
        <v>1825</v>
      </c>
      <c r="AV2140" t="s">
        <v>56</v>
      </c>
      <c r="AW2140" t="s">
        <v>56</v>
      </c>
      <c r="AX2140">
        <v>7.6</v>
      </c>
      <c r="AY2140" t="s">
        <v>56</v>
      </c>
      <c r="AZ2140" t="s">
        <v>56</v>
      </c>
      <c r="BA2140" s="8"/>
      <c r="BB2140" s="8">
        <f>LOG(AU2140)</f>
        <v>3.2612628687924934</v>
      </c>
      <c r="BC2140" s="8">
        <v>21</v>
      </c>
      <c r="BD2140" s="8" t="s">
        <v>56</v>
      </c>
      <c r="BE2140" s="8" t="s">
        <v>56</v>
      </c>
      <c r="BF2140" s="8">
        <v>21</v>
      </c>
      <c r="BG2140" s="8" t="s">
        <v>56</v>
      </c>
      <c r="BH2140" s="8" t="s">
        <v>56</v>
      </c>
      <c r="BI2140" s="8">
        <v>1320</v>
      </c>
      <c r="BJ2140" s="8">
        <v>0</v>
      </c>
      <c r="BK2140" s="8" t="s">
        <v>572</v>
      </c>
      <c r="BL2140" s="8" t="s">
        <v>473</v>
      </c>
      <c r="BM2140" s="8" t="s">
        <v>473</v>
      </c>
      <c r="BN2140" s="8" t="s">
        <v>81</v>
      </c>
      <c r="BO2140" s="8" t="s">
        <v>82</v>
      </c>
      <c r="BP2140" s="8" t="s">
        <v>190</v>
      </c>
      <c r="BQ2140" s="8" t="s">
        <v>9</v>
      </c>
      <c r="BR2140" s="8" t="s">
        <v>84</v>
      </c>
      <c r="BS2140" s="8"/>
      <c r="BT2140" s="8">
        <v>81.94</v>
      </c>
      <c r="BU2140" s="8">
        <v>81.944444000000004</v>
      </c>
      <c r="BV2140" s="8">
        <v>3.03</v>
      </c>
      <c r="BW2140" s="8">
        <f>BV2140*SQRT(AK2140)</f>
        <v>42.850670939904781</v>
      </c>
      <c r="BX2140" s="8">
        <v>67.42</v>
      </c>
      <c r="BY2140" s="8">
        <v>67.424242399999997</v>
      </c>
      <c r="BZ2140" s="8">
        <v>5.3</v>
      </c>
      <c r="CA2140" s="8">
        <f>BZ2140*SQRT(AL2140)</f>
        <v>74.953318805774032</v>
      </c>
      <c r="CB2140" s="8">
        <v>1</v>
      </c>
      <c r="CC2140" s="8">
        <v>4</v>
      </c>
      <c r="CD2140" s="8">
        <v>-0.19500000000000001</v>
      </c>
      <c r="CE2140" s="8">
        <v>7.6E-3</v>
      </c>
      <c r="CF2140" s="8" t="s">
        <v>1134</v>
      </c>
    </row>
    <row r="2141" spans="1:84" hidden="1" x14ac:dyDescent="0.2">
      <c r="A2141" s="8"/>
      <c r="B2141" t="str">
        <f>ROW()-1&amp;"_AltersInvert"</f>
        <v>2140_AltersInvert</v>
      </c>
      <c r="C2141" t="str">
        <f>D2141&amp;"_"&amp;
SUBSTITUTE(TRIM(V2141)," ","_")&amp;"_"&amp;
TRIM(AC2141)&amp;"_"&amp;
"CO2"&amp;TEXT(AN2141,"0.00")&amp;"_"&amp;
"pH"&amp;TEXT(AR2141,"0.00")&amp;"_"&amp;
"T"&amp;TEXT(BC2141,"0.##")</f>
        <v>58_Centrostephanus_rodgersii_EMBRYO_CO2468.00_pH8.10_T14.</v>
      </c>
      <c r="D2141" s="8">
        <v>58</v>
      </c>
      <c r="E2141" s="8"/>
      <c r="F2141" s="8"/>
      <c r="G2141" s="8" t="s">
        <v>43</v>
      </c>
      <c r="H2141" s="8" t="s">
        <v>569</v>
      </c>
      <c r="I2141" s="8" t="s">
        <v>1130</v>
      </c>
      <c r="J2141" s="8">
        <v>2014</v>
      </c>
      <c r="K2141" s="8"/>
      <c r="L2141" s="8"/>
      <c r="M2141" s="8" t="s">
        <v>67</v>
      </c>
      <c r="N2141" s="8"/>
      <c r="O2141" s="8"/>
      <c r="P2141" t="s">
        <v>1135</v>
      </c>
      <c r="Q2141" s="8"/>
      <c r="R2141" s="8" t="s">
        <v>1127</v>
      </c>
      <c r="S2141" t="s">
        <v>1128</v>
      </c>
      <c r="T2141" s="8" t="s">
        <v>46</v>
      </c>
      <c r="U2141" s="8" t="s">
        <v>570</v>
      </c>
      <c r="V2141" s="8" t="s">
        <v>571</v>
      </c>
      <c r="W2141" s="8" t="str">
        <f>IF(ISNUMBER(MATCH(#REF!,{"Doryteuthis pealeii","Loligo vulgaris","Leptuca thayeri","Stylocheilus striatus","Ophryotrocha labronica"},0)),"N","Y")</f>
        <v>Y</v>
      </c>
      <c r="X2141" s="8"/>
      <c r="Y2141" s="8"/>
      <c r="Z2141" s="8" t="s">
        <v>177</v>
      </c>
      <c r="AA2141" s="8" t="s">
        <v>177</v>
      </c>
      <c r="AB2141" s="8" t="s">
        <v>71</v>
      </c>
      <c r="AC2141" s="8" t="s">
        <v>195</v>
      </c>
      <c r="AD2141" s="8" t="s">
        <v>52</v>
      </c>
      <c r="AE2141" s="8" t="s">
        <v>53</v>
      </c>
      <c r="AF2141" s="8" t="s">
        <v>52</v>
      </c>
      <c r="AG2141" s="8" t="s">
        <v>54</v>
      </c>
      <c r="AH2141" s="8" t="s">
        <v>55</v>
      </c>
      <c r="AI2141" s="8"/>
      <c r="AJ2141" s="8"/>
      <c r="AK2141" s="8">
        <v>200</v>
      </c>
      <c r="AL2141" s="8">
        <v>200</v>
      </c>
      <c r="AM2141" s="8"/>
      <c r="AN2141" s="8">
        <v>468</v>
      </c>
      <c r="AO2141" s="8" t="s">
        <v>56</v>
      </c>
      <c r="AP2141" s="8" t="s">
        <v>56</v>
      </c>
      <c r="AQ2141" s="8" t="s">
        <v>118</v>
      </c>
      <c r="AR2141" s="8">
        <v>8.1</v>
      </c>
      <c r="AS2141" s="8" t="s">
        <v>56</v>
      </c>
      <c r="AT2141" s="8">
        <v>0.02</v>
      </c>
      <c r="AU2141" s="8">
        <v>1011</v>
      </c>
      <c r="AV2141" t="s">
        <v>56</v>
      </c>
      <c r="AW2141" t="s">
        <v>56</v>
      </c>
      <c r="AX2141">
        <v>7.8</v>
      </c>
      <c r="AY2141" t="s">
        <v>56</v>
      </c>
      <c r="AZ2141" t="s">
        <v>56</v>
      </c>
      <c r="BA2141" s="8"/>
      <c r="BB2141" s="8">
        <f>LOG(AU2141)</f>
        <v>3.0047511555910011</v>
      </c>
      <c r="BC2141" s="8">
        <v>14</v>
      </c>
      <c r="BD2141" s="8" t="s">
        <v>56</v>
      </c>
      <c r="BE2141" s="8" t="s">
        <v>56</v>
      </c>
      <c r="BF2141" s="8">
        <v>14</v>
      </c>
      <c r="BG2141" s="8" t="s">
        <v>56</v>
      </c>
      <c r="BH2141" s="8" t="s">
        <v>56</v>
      </c>
      <c r="BI2141" s="8">
        <v>542</v>
      </c>
      <c r="BJ2141" s="8">
        <v>0</v>
      </c>
      <c r="BK2141" s="8" t="s">
        <v>574</v>
      </c>
      <c r="BL2141" s="8" t="s">
        <v>473</v>
      </c>
      <c r="BM2141" s="8" t="s">
        <v>473</v>
      </c>
      <c r="BN2141" s="8" t="s">
        <v>81</v>
      </c>
      <c r="BO2141" s="8" t="s">
        <v>82</v>
      </c>
      <c r="BP2141" s="8" t="s">
        <v>190</v>
      </c>
      <c r="BQ2141" s="8" t="s">
        <v>190</v>
      </c>
      <c r="BR2141" s="8" t="s">
        <v>84</v>
      </c>
      <c r="BS2141" s="8"/>
      <c r="BT2141" s="8">
        <v>97.98</v>
      </c>
      <c r="BU2141" s="8">
        <v>97.979798000000002</v>
      </c>
      <c r="BV2141" s="8">
        <v>3.03</v>
      </c>
      <c r="BW2141" s="8">
        <f>BV2141*SQRT(AK2141)</f>
        <v>42.850670939904781</v>
      </c>
      <c r="BX2141" s="8">
        <v>95.45</v>
      </c>
      <c r="BY2141" s="8">
        <v>95.454545499999995</v>
      </c>
      <c r="BZ2141" s="8">
        <v>3.41</v>
      </c>
      <c r="CA2141" s="8">
        <f>BZ2141*SQRT(AL2141)</f>
        <v>48.224682476922546</v>
      </c>
      <c r="CB2141" s="8">
        <v>1</v>
      </c>
      <c r="CC2141" s="8">
        <v>4</v>
      </c>
      <c r="CD2141" s="8">
        <v>-2.5999999999999999E-2</v>
      </c>
      <c r="CE2141" s="8">
        <v>2.2000000000000001E-3</v>
      </c>
      <c r="CF2141" s="8" t="s">
        <v>1134</v>
      </c>
    </row>
    <row r="2142" spans="1:84" hidden="1" x14ac:dyDescent="0.2">
      <c r="D2142">
        <v>223</v>
      </c>
      <c r="G2142" t="s">
        <v>43</v>
      </c>
      <c r="H2142" t="s">
        <v>986</v>
      </c>
      <c r="J2142">
        <v>2016</v>
      </c>
      <c r="M2142" t="s">
        <v>94</v>
      </c>
      <c r="T2142" t="s">
        <v>68</v>
      </c>
      <c r="U2142" t="s">
        <v>548</v>
      </c>
      <c r="V2142" t="s">
        <v>549</v>
      </c>
      <c r="AC2142" t="s">
        <v>51</v>
      </c>
      <c r="AF2142" t="s">
        <v>54</v>
      </c>
      <c r="AG2142" t="s">
        <v>52</v>
      </c>
      <c r="AH2142" t="s">
        <v>65</v>
      </c>
      <c r="AK2142">
        <v>4</v>
      </c>
      <c r="AL2142">
        <v>4</v>
      </c>
      <c r="AN2142">
        <v>371</v>
      </c>
      <c r="AU2142">
        <v>455</v>
      </c>
      <c r="BB2142">
        <f>LOG(AU2142)</f>
        <v>2.6580113966571126</v>
      </c>
      <c r="BC2142">
        <v>1.4</v>
      </c>
      <c r="BF2142">
        <v>3.4</v>
      </c>
      <c r="BI2142">
        <v>84</v>
      </c>
      <c r="BJ2142">
        <v>2</v>
      </c>
      <c r="BL2142" t="s">
        <v>987</v>
      </c>
      <c r="BM2142" t="s">
        <v>253</v>
      </c>
      <c r="BN2142" t="s">
        <v>81</v>
      </c>
      <c r="BO2142" t="s">
        <v>254</v>
      </c>
      <c r="BP2142" t="s">
        <v>92</v>
      </c>
      <c r="BR2142" t="s">
        <v>63</v>
      </c>
      <c r="BT2142">
        <v>4.4240000000000004</v>
      </c>
      <c r="BU2142">
        <v>4.4240000000000004</v>
      </c>
      <c r="BV2142">
        <v>1.52</v>
      </c>
      <c r="BW2142">
        <f>BV2142*SQRT(AK2142)</f>
        <v>3.04</v>
      </c>
      <c r="BX2142">
        <v>4.4930000000000003</v>
      </c>
      <c r="BY2142">
        <v>4.4930000000000003</v>
      </c>
      <c r="BZ2142">
        <v>0.92</v>
      </c>
      <c r="CA2142">
        <f>BZ2142*SQRT(AL2142)</f>
        <v>1.84</v>
      </c>
      <c r="CB2142">
        <v>42</v>
      </c>
      <c r="CD2142">
        <v>1.4999999999999999E-2</v>
      </c>
      <c r="CE2142">
        <v>0.1603</v>
      </c>
    </row>
    <row r="2143" spans="1:84" hidden="1" x14ac:dyDescent="0.2">
      <c r="A2143" s="8"/>
      <c r="B2143" t="str">
        <f>ROW()-1&amp;"_AltersInvert"</f>
        <v>2142_AltersInvert</v>
      </c>
      <c r="C2143" t="str">
        <f>D2143&amp;"_"&amp;
SUBSTITUTE(TRIM(V2143)," ","_")&amp;"_"&amp;
TRIM(AC2143)&amp;"_"&amp;
"CO2"&amp;TEXT(AN2143,"0.00")&amp;"_"&amp;
"pH"&amp;TEXT(AR2143,"0.00")&amp;"_"&amp;
"T"&amp;TEXT(BC2143,"0.##")</f>
        <v>58_Centrostephanus_rodgersii_EMBRYO_CO2506.00_pH8.10_T21.</v>
      </c>
      <c r="D2143" s="8">
        <v>58</v>
      </c>
      <c r="E2143" s="8"/>
      <c r="F2143" s="8"/>
      <c r="G2143" s="8" t="s">
        <v>43</v>
      </c>
      <c r="H2143" s="8" t="s">
        <v>569</v>
      </c>
      <c r="I2143" s="8" t="s">
        <v>1130</v>
      </c>
      <c r="J2143" s="8">
        <v>2014</v>
      </c>
      <c r="K2143" s="8"/>
      <c r="L2143" s="8"/>
      <c r="M2143" s="8" t="s">
        <v>67</v>
      </c>
      <c r="N2143" s="8"/>
      <c r="O2143" s="8"/>
      <c r="P2143" t="s">
        <v>1135</v>
      </c>
      <c r="Q2143" s="8"/>
      <c r="R2143" s="8" t="s">
        <v>1127</v>
      </c>
      <c r="S2143" t="s">
        <v>1128</v>
      </c>
      <c r="T2143" s="8" t="s">
        <v>46</v>
      </c>
      <c r="U2143" s="8" t="s">
        <v>570</v>
      </c>
      <c r="V2143" s="8" t="s">
        <v>571</v>
      </c>
      <c r="W2143" s="8" t="str">
        <f>IF(ISNUMBER(MATCH(#REF!,{"Doryteuthis pealeii","Loligo vulgaris","Leptuca thayeri","Stylocheilus striatus","Ophryotrocha labronica"},0)),"N","Y")</f>
        <v>Y</v>
      </c>
      <c r="X2143" s="8"/>
      <c r="Y2143" s="8"/>
      <c r="Z2143" s="8" t="s">
        <v>177</v>
      </c>
      <c r="AA2143" s="8" t="s">
        <v>177</v>
      </c>
      <c r="AB2143" s="8" t="s">
        <v>71</v>
      </c>
      <c r="AC2143" s="8" t="s">
        <v>195</v>
      </c>
      <c r="AD2143" s="8" t="s">
        <v>52</v>
      </c>
      <c r="AE2143" s="8" t="s">
        <v>53</v>
      </c>
      <c r="AF2143" s="8" t="s">
        <v>52</v>
      </c>
      <c r="AG2143" s="8" t="s">
        <v>54</v>
      </c>
      <c r="AH2143" s="8" t="s">
        <v>55</v>
      </c>
      <c r="AI2143" s="8"/>
      <c r="AJ2143" s="8"/>
      <c r="AK2143" s="8">
        <v>200</v>
      </c>
      <c r="AL2143" s="8">
        <v>200</v>
      </c>
      <c r="AM2143" s="8"/>
      <c r="AN2143" s="8">
        <v>506</v>
      </c>
      <c r="AO2143" s="8" t="s">
        <v>56</v>
      </c>
      <c r="AP2143" s="8" t="s">
        <v>56</v>
      </c>
      <c r="AQ2143" s="8" t="s">
        <v>118</v>
      </c>
      <c r="AR2143" s="8">
        <v>8.1</v>
      </c>
      <c r="AS2143" s="8" t="s">
        <v>56</v>
      </c>
      <c r="AT2143" s="8">
        <v>0.02</v>
      </c>
      <c r="AU2143" s="8">
        <v>1109</v>
      </c>
      <c r="AV2143" t="s">
        <v>56</v>
      </c>
      <c r="AW2143" t="s">
        <v>56</v>
      </c>
      <c r="AX2143">
        <v>7.8</v>
      </c>
      <c r="AY2143" t="s">
        <v>56</v>
      </c>
      <c r="AZ2143" t="s">
        <v>56</v>
      </c>
      <c r="BA2143" s="8"/>
      <c r="BB2143" s="8">
        <f>LOG(AU2143)</f>
        <v>3.0449315461491602</v>
      </c>
      <c r="BC2143" s="8">
        <v>21</v>
      </c>
      <c r="BD2143" s="8" t="s">
        <v>56</v>
      </c>
      <c r="BE2143" s="8" t="s">
        <v>56</v>
      </c>
      <c r="BF2143" s="8">
        <v>21</v>
      </c>
      <c r="BG2143" s="8" t="s">
        <v>56</v>
      </c>
      <c r="BH2143" s="8" t="s">
        <v>56</v>
      </c>
      <c r="BI2143" s="8">
        <v>604</v>
      </c>
      <c r="BJ2143" s="8">
        <v>0</v>
      </c>
      <c r="BK2143" s="8" t="s">
        <v>572</v>
      </c>
      <c r="BL2143" s="8" t="s">
        <v>473</v>
      </c>
      <c r="BM2143" s="8" t="s">
        <v>473</v>
      </c>
      <c r="BN2143" s="8" t="s">
        <v>81</v>
      </c>
      <c r="BO2143" s="8" t="s">
        <v>82</v>
      </c>
      <c r="BP2143" s="8" t="s">
        <v>190</v>
      </c>
      <c r="BQ2143" s="8" t="s">
        <v>83</v>
      </c>
      <c r="BR2143" s="8" t="s">
        <v>84</v>
      </c>
      <c r="BS2143" s="8"/>
      <c r="BT2143" s="8">
        <v>81.94</v>
      </c>
      <c r="BU2143" s="8">
        <v>81.944444000000004</v>
      </c>
      <c r="BV2143" s="8">
        <v>3.03</v>
      </c>
      <c r="BW2143" s="8">
        <f>BV2143*SQRT(AK2143)</f>
        <v>42.850670939904781</v>
      </c>
      <c r="BX2143" s="8">
        <v>80.180000000000007</v>
      </c>
      <c r="BY2143" s="8">
        <v>80.176767699999999</v>
      </c>
      <c r="BZ2143" s="8">
        <v>3.66</v>
      </c>
      <c r="CA2143" s="8">
        <f>BZ2143*SQRT(AL2143)</f>
        <v>51.760216382855283</v>
      </c>
      <c r="CB2143" s="8">
        <v>1</v>
      </c>
      <c r="CC2143" s="8">
        <v>4</v>
      </c>
      <c r="CD2143" s="8">
        <v>-2.1999999999999999E-2</v>
      </c>
      <c r="CE2143" s="8">
        <v>3.5000000000000001E-3</v>
      </c>
      <c r="CF2143" s="8" t="s">
        <v>1134</v>
      </c>
    </row>
    <row r="2144" spans="1:84" hidden="1" x14ac:dyDescent="0.2">
      <c r="D2144">
        <v>234</v>
      </c>
      <c r="G2144" t="s">
        <v>43</v>
      </c>
      <c r="H2144" t="s">
        <v>1007</v>
      </c>
      <c r="J2144">
        <v>2018</v>
      </c>
      <c r="M2144" t="s">
        <v>802</v>
      </c>
      <c r="T2144" t="s">
        <v>103</v>
      </c>
      <c r="V2144" t="s">
        <v>214</v>
      </c>
      <c r="AC2144" t="s">
        <v>51</v>
      </c>
      <c r="AF2144" t="s">
        <v>52</v>
      </c>
      <c r="AG2144" t="s">
        <v>52</v>
      </c>
      <c r="AH2144" t="s">
        <v>64</v>
      </c>
      <c r="AK2144">
        <v>10</v>
      </c>
      <c r="AL2144">
        <v>10</v>
      </c>
      <c r="AN2144">
        <v>667</v>
      </c>
      <c r="AU2144">
        <v>1697</v>
      </c>
      <c r="BB2144">
        <f>LOG(AU2144)</f>
        <v>3.2296818423176759</v>
      </c>
      <c r="BC2144">
        <v>25.8</v>
      </c>
      <c r="BF2144">
        <v>30.3</v>
      </c>
      <c r="BI2144">
        <v>1030</v>
      </c>
      <c r="BJ2144">
        <v>4.5</v>
      </c>
      <c r="BL2144" t="s">
        <v>1055</v>
      </c>
      <c r="BM2144" t="s">
        <v>59</v>
      </c>
      <c r="BN2144" t="s">
        <v>60</v>
      </c>
      <c r="BO2144" t="s">
        <v>998</v>
      </c>
      <c r="BP2144" t="s">
        <v>62</v>
      </c>
      <c r="BR2144" t="s">
        <v>63</v>
      </c>
      <c r="BT2144">
        <v>2.9409656549999998</v>
      </c>
      <c r="BU2144">
        <v>2.940966</v>
      </c>
      <c r="BV2144">
        <v>0.27177700300000002</v>
      </c>
      <c r="BW2144">
        <f>BV2144*SQRT(AK2144)</f>
        <v>0.85943434513441475</v>
      </c>
      <c r="BX2144">
        <v>4.5564459929999996</v>
      </c>
      <c r="BY2144">
        <v>4.5564460000000002</v>
      </c>
      <c r="BZ2144">
        <v>0.230014933</v>
      </c>
      <c r="CA2144">
        <f>BZ2144*SQRT(AL2144)</f>
        <v>0.72737108413102658</v>
      </c>
      <c r="CB2144">
        <v>2</v>
      </c>
      <c r="CD2144">
        <v>0.438</v>
      </c>
      <c r="CE2144">
        <v>1.11E-2</v>
      </c>
    </row>
    <row r="2145" spans="1:84" hidden="1" x14ac:dyDescent="0.2">
      <c r="D2145">
        <v>230</v>
      </c>
      <c r="G2145" t="s">
        <v>43</v>
      </c>
      <c r="H2145" t="s">
        <v>1060</v>
      </c>
      <c r="J2145">
        <v>2018</v>
      </c>
      <c r="M2145" t="s">
        <v>657</v>
      </c>
      <c r="T2145" t="s">
        <v>103</v>
      </c>
      <c r="U2145" t="s">
        <v>201</v>
      </c>
      <c r="V2145" t="s">
        <v>214</v>
      </c>
      <c r="AC2145" t="s">
        <v>108</v>
      </c>
      <c r="AF2145" t="s">
        <v>54</v>
      </c>
      <c r="AG2145" t="s">
        <v>52</v>
      </c>
      <c r="AH2145" t="s">
        <v>64</v>
      </c>
      <c r="AK2145">
        <v>4</v>
      </c>
      <c r="AL2145">
        <v>4</v>
      </c>
      <c r="AN2145">
        <v>498</v>
      </c>
      <c r="AU2145">
        <v>1174</v>
      </c>
      <c r="BB2145">
        <f>LOG(AU2145)</f>
        <v>3.0696680969115957</v>
      </c>
      <c r="BC2145">
        <v>29</v>
      </c>
      <c r="BF2145">
        <v>30.7</v>
      </c>
      <c r="BI2145">
        <v>676</v>
      </c>
      <c r="BJ2145">
        <v>1.7</v>
      </c>
      <c r="BL2145" t="s">
        <v>232</v>
      </c>
      <c r="BM2145" t="s">
        <v>232</v>
      </c>
      <c r="BN2145" t="s">
        <v>81</v>
      </c>
      <c r="BO2145" t="s">
        <v>1010</v>
      </c>
      <c r="BP2145" t="s">
        <v>234</v>
      </c>
      <c r="BR2145" t="s">
        <v>63</v>
      </c>
      <c r="BT2145">
        <v>3.733333333</v>
      </c>
      <c r="BU2145">
        <v>3.733333</v>
      </c>
      <c r="BV2145">
        <v>0.24</v>
      </c>
      <c r="BW2145">
        <f>BV2145*SQRT(AK2145)</f>
        <v>0.48</v>
      </c>
      <c r="BX2145">
        <v>4.6121212119999999</v>
      </c>
      <c r="BY2145">
        <v>4.6121211999999998</v>
      </c>
      <c r="BZ2145">
        <v>0.19</v>
      </c>
      <c r="CA2145">
        <f>BZ2145*SQRT(AL2145)</f>
        <v>0.38</v>
      </c>
      <c r="CB2145">
        <v>21</v>
      </c>
      <c r="CD2145">
        <v>0.21099999999999999</v>
      </c>
      <c r="CE2145">
        <v>6.0000000000000001E-3</v>
      </c>
    </row>
    <row r="2146" spans="1:84" hidden="1" x14ac:dyDescent="0.2">
      <c r="D2146">
        <v>239</v>
      </c>
      <c r="G2146" t="s">
        <v>43</v>
      </c>
      <c r="H2146" t="s">
        <v>1056</v>
      </c>
      <c r="J2146">
        <v>2017</v>
      </c>
      <c r="M2146" t="s">
        <v>94</v>
      </c>
      <c r="T2146" t="s">
        <v>131</v>
      </c>
      <c r="U2146" t="s">
        <v>1057</v>
      </c>
      <c r="V2146" t="s">
        <v>1058</v>
      </c>
      <c r="AC2146" t="s">
        <v>108</v>
      </c>
      <c r="AF2146" t="s">
        <v>52</v>
      </c>
      <c r="AG2146" t="s">
        <v>54</v>
      </c>
      <c r="AH2146" t="s">
        <v>55</v>
      </c>
      <c r="AK2146">
        <v>20</v>
      </c>
      <c r="AL2146">
        <v>19</v>
      </c>
      <c r="AN2146">
        <v>491</v>
      </c>
      <c r="AU2146">
        <v>826</v>
      </c>
      <c r="BB2146">
        <f>LOG(AU2146)</f>
        <v>2.9169800473203824</v>
      </c>
      <c r="BC2146">
        <v>8</v>
      </c>
      <c r="BF2146">
        <v>8</v>
      </c>
      <c r="BI2146">
        <v>335</v>
      </c>
      <c r="BJ2146">
        <v>0</v>
      </c>
      <c r="BL2146" t="s">
        <v>1059</v>
      </c>
      <c r="BM2146" t="s">
        <v>262</v>
      </c>
      <c r="BN2146" t="s">
        <v>81</v>
      </c>
      <c r="BO2146" t="s">
        <v>56</v>
      </c>
      <c r="BP2146" t="s">
        <v>92</v>
      </c>
      <c r="BR2146" t="s">
        <v>63</v>
      </c>
      <c r="BT2146">
        <v>6.1475409839999999</v>
      </c>
      <c r="BU2146">
        <v>6.1475410000000004</v>
      </c>
      <c r="BV2146">
        <v>1.0928961749999999</v>
      </c>
      <c r="BW2146">
        <f>BV2146*SQRT(AK2146)</f>
        <v>4.8875802792990122</v>
      </c>
      <c r="BX2146">
        <v>4.6448087429999996</v>
      </c>
      <c r="BY2146">
        <v>4.6448086999999996</v>
      </c>
      <c r="BZ2146">
        <v>1.0900000000000001</v>
      </c>
      <c r="CA2146">
        <f>BZ2146*SQRT(AL2146)</f>
        <v>4.7511998484593354</v>
      </c>
      <c r="CB2146">
        <v>184</v>
      </c>
      <c r="CD2146">
        <v>-0.28000000000000003</v>
      </c>
      <c r="CE2146">
        <v>8.6999999999999994E-2</v>
      </c>
    </row>
    <row r="2147" spans="1:84" hidden="1" x14ac:dyDescent="0.2">
      <c r="D2147">
        <v>225</v>
      </c>
      <c r="G2147" t="s">
        <v>43</v>
      </c>
      <c r="H2147" t="s">
        <v>1032</v>
      </c>
      <c r="J2147">
        <v>2021</v>
      </c>
      <c r="M2147" t="s">
        <v>265</v>
      </c>
      <c r="T2147" t="s">
        <v>103</v>
      </c>
      <c r="U2147" t="s">
        <v>534</v>
      </c>
      <c r="V2147" t="s">
        <v>1033</v>
      </c>
      <c r="AC2147" t="s">
        <v>51</v>
      </c>
      <c r="AF2147" t="s">
        <v>54</v>
      </c>
      <c r="AG2147" t="s">
        <v>52</v>
      </c>
      <c r="AH2147" t="s">
        <v>65</v>
      </c>
      <c r="AK2147">
        <v>15</v>
      </c>
      <c r="AL2147">
        <v>15</v>
      </c>
      <c r="AN2147">
        <v>520</v>
      </c>
      <c r="AU2147">
        <v>526</v>
      </c>
      <c r="BB2147">
        <f>LOG(AU2147)</f>
        <v>2.7209857441537393</v>
      </c>
      <c r="BC2147">
        <v>27.9</v>
      </c>
      <c r="BF2147">
        <v>32</v>
      </c>
      <c r="BI2147">
        <v>6</v>
      </c>
      <c r="BJ2147">
        <v>4.0999999999999996</v>
      </c>
      <c r="BL2147" t="s">
        <v>1034</v>
      </c>
      <c r="BM2147" t="s">
        <v>262</v>
      </c>
      <c r="BN2147" t="s">
        <v>81</v>
      </c>
      <c r="BO2147" t="s">
        <v>1035</v>
      </c>
      <c r="BP2147" t="s">
        <v>92</v>
      </c>
      <c r="BR2147" t="s">
        <v>63</v>
      </c>
      <c r="BT2147">
        <v>6.9979152569999998</v>
      </c>
      <c r="BU2147">
        <v>6.9979149999999999</v>
      </c>
      <c r="BV2147">
        <v>0.79</v>
      </c>
      <c r="BW2147">
        <f>BV2147*SQRT(AK2147)</f>
        <v>3.0596568435038596</v>
      </c>
      <c r="BX2147">
        <v>4.6743739</v>
      </c>
      <c r="BY2147">
        <v>4.6743739</v>
      </c>
      <c r="BZ2147">
        <v>0.39</v>
      </c>
      <c r="CA2147">
        <f>BZ2147*SQRT(AL2147)</f>
        <v>1.5104635050208928</v>
      </c>
      <c r="CB2147">
        <v>28</v>
      </c>
      <c r="CD2147">
        <v>-0.40400000000000003</v>
      </c>
      <c r="CE2147">
        <v>1.9800000000000002E-2</v>
      </c>
    </row>
    <row r="2148" spans="1:84" hidden="1" x14ac:dyDescent="0.2">
      <c r="D2148">
        <v>230</v>
      </c>
      <c r="G2148" t="s">
        <v>43</v>
      </c>
      <c r="H2148" t="s">
        <v>1060</v>
      </c>
      <c r="J2148">
        <v>2018</v>
      </c>
      <c r="M2148" t="s">
        <v>657</v>
      </c>
      <c r="T2148" t="s">
        <v>103</v>
      </c>
      <c r="U2148" t="s">
        <v>201</v>
      </c>
      <c r="V2148" t="s">
        <v>214</v>
      </c>
      <c r="AC2148" t="s">
        <v>108</v>
      </c>
      <c r="AF2148" t="s">
        <v>54</v>
      </c>
      <c r="AG2148" t="s">
        <v>52</v>
      </c>
      <c r="AH2148" t="s">
        <v>65</v>
      </c>
      <c r="AK2148">
        <v>4</v>
      </c>
      <c r="AL2148">
        <v>4</v>
      </c>
      <c r="AN2148">
        <v>498</v>
      </c>
      <c r="AU2148">
        <v>483</v>
      </c>
      <c r="BB2148">
        <f>LOG(AU2148)</f>
        <v>2.6839471307515121</v>
      </c>
      <c r="BC2148">
        <v>29</v>
      </c>
      <c r="BF2148">
        <v>30.6</v>
      </c>
      <c r="BI2148">
        <v>-15</v>
      </c>
      <c r="BJ2148">
        <v>1.6</v>
      </c>
      <c r="BL2148" t="s">
        <v>232</v>
      </c>
      <c r="BM2148" t="s">
        <v>232</v>
      </c>
      <c r="BN2148" t="s">
        <v>81</v>
      </c>
      <c r="BO2148" t="s">
        <v>1010</v>
      </c>
      <c r="BP2148" t="s">
        <v>234</v>
      </c>
      <c r="BR2148" t="s">
        <v>63</v>
      </c>
      <c r="BT2148">
        <v>3.733333333</v>
      </c>
      <c r="BU2148">
        <v>3.733333</v>
      </c>
      <c r="BV2148">
        <v>0.24</v>
      </c>
      <c r="BW2148">
        <f>BV2148*SQRT(AK2148)</f>
        <v>0.48</v>
      </c>
      <c r="BX2148">
        <v>4.6848484849999998</v>
      </c>
      <c r="BY2148">
        <v>4.6848485000000002</v>
      </c>
      <c r="BZ2148">
        <v>0.28999999999999998</v>
      </c>
      <c r="CA2148">
        <f>BZ2148*SQRT(AL2148)</f>
        <v>0.57999999999999996</v>
      </c>
      <c r="CB2148">
        <v>21</v>
      </c>
      <c r="CD2148">
        <v>0.22700000000000001</v>
      </c>
      <c r="CE2148">
        <v>8.0999999999999996E-3</v>
      </c>
    </row>
    <row r="2149" spans="1:84" hidden="1" x14ac:dyDescent="0.2">
      <c r="D2149">
        <v>234</v>
      </c>
      <c r="G2149" t="s">
        <v>43</v>
      </c>
      <c r="H2149" t="s">
        <v>1007</v>
      </c>
      <c r="J2149">
        <v>2018</v>
      </c>
      <c r="M2149" t="s">
        <v>802</v>
      </c>
      <c r="T2149" t="s">
        <v>103</v>
      </c>
      <c r="V2149" t="s">
        <v>1021</v>
      </c>
      <c r="AC2149" t="s">
        <v>51</v>
      </c>
      <c r="AF2149" t="s">
        <v>52</v>
      </c>
      <c r="AG2149" t="s">
        <v>52</v>
      </c>
      <c r="AH2149" t="s">
        <v>64</v>
      </c>
      <c r="AK2149">
        <v>10</v>
      </c>
      <c r="AL2149">
        <v>10</v>
      </c>
      <c r="AN2149">
        <v>667</v>
      </c>
      <c r="AU2149">
        <v>1697</v>
      </c>
      <c r="BB2149">
        <f>LOG(AU2149)</f>
        <v>3.2296818423176759</v>
      </c>
      <c r="BC2149">
        <v>25.8</v>
      </c>
      <c r="BF2149">
        <v>30.3</v>
      </c>
      <c r="BI2149">
        <v>1030</v>
      </c>
      <c r="BJ2149">
        <v>4.5</v>
      </c>
      <c r="BL2149" t="s">
        <v>1055</v>
      </c>
      <c r="BM2149" t="s">
        <v>59</v>
      </c>
      <c r="BN2149" t="s">
        <v>60</v>
      </c>
      <c r="BO2149" t="s">
        <v>998</v>
      </c>
      <c r="BP2149" t="s">
        <v>62</v>
      </c>
      <c r="BR2149" t="s">
        <v>63</v>
      </c>
      <c r="BT2149">
        <v>3.5954206069999999</v>
      </c>
      <c r="BU2149">
        <v>3.595421</v>
      </c>
      <c r="BV2149">
        <v>0.459830762</v>
      </c>
      <c r="BW2149">
        <f>BV2149*SQRT(AK2149)</f>
        <v>1.4541125461308031</v>
      </c>
      <c r="BX2149">
        <v>4.9809855650000001</v>
      </c>
      <c r="BY2149">
        <v>4.9809856000000003</v>
      </c>
      <c r="BZ2149">
        <v>0.418168243</v>
      </c>
      <c r="CA2149">
        <f>BZ2149*SQRT(AL2149)</f>
        <v>1.3223640930307623</v>
      </c>
      <c r="CB2149">
        <v>2</v>
      </c>
      <c r="CD2149">
        <v>0.32600000000000001</v>
      </c>
      <c r="CE2149">
        <v>2.3400000000000001E-2</v>
      </c>
    </row>
    <row r="2150" spans="1:84" hidden="1" x14ac:dyDescent="0.2">
      <c r="A2150" s="8"/>
      <c r="B2150" t="str">
        <f>ROW()-1&amp;"_AltersInvert"</f>
        <v>2149_AltersInvert</v>
      </c>
      <c r="C2150" t="str">
        <f>D2150&amp;"_"&amp;
SUBSTITUTE(TRIM(V2150)," ","_")&amp;"_"&amp;
TRIM(AC2150)&amp;"_"&amp;
"CO2"&amp;TEXT(AN2150,"0.00")&amp;"_"&amp;
"pH"&amp;TEXT(AR2150,"0.00")&amp;"_"&amp;
"T"&amp;TEXT(BC2150,"0.##")</f>
        <v>58_Centrostephanus_rodgersii_EMBRYO_CO2468.00_pH8.10_T14.</v>
      </c>
      <c r="D2150" s="8">
        <v>58</v>
      </c>
      <c r="E2150" s="8"/>
      <c r="F2150" s="8"/>
      <c r="G2150" s="8" t="s">
        <v>43</v>
      </c>
      <c r="H2150" s="8" t="s">
        <v>569</v>
      </c>
      <c r="I2150" s="8" t="s">
        <v>1130</v>
      </c>
      <c r="J2150" s="8">
        <v>2014</v>
      </c>
      <c r="K2150" s="8"/>
      <c r="L2150" s="8"/>
      <c r="M2150" s="8" t="s">
        <v>67</v>
      </c>
      <c r="N2150" s="8"/>
      <c r="O2150" s="8"/>
      <c r="P2150" t="s">
        <v>1135</v>
      </c>
      <c r="Q2150" s="8"/>
      <c r="R2150" s="8" t="s">
        <v>1127</v>
      </c>
      <c r="S2150" t="s">
        <v>1128</v>
      </c>
      <c r="T2150" s="8" t="s">
        <v>46</v>
      </c>
      <c r="U2150" s="8" t="s">
        <v>570</v>
      </c>
      <c r="V2150" s="8" t="s">
        <v>571</v>
      </c>
      <c r="W2150" s="8" t="str">
        <f>IF(ISNUMBER(MATCH(V1544,{"Doryteuthis pealeii","Loligo vulgaris","Leptuca thayeri","Stylocheilus striatus","Ophryotrocha labronica"},0)),"N","Y")</f>
        <v>Y</v>
      </c>
      <c r="X2150" s="8"/>
      <c r="Y2150" s="8"/>
      <c r="Z2150" s="8" t="s">
        <v>177</v>
      </c>
      <c r="AA2150" s="8" t="s">
        <v>177</v>
      </c>
      <c r="AB2150" s="8" t="s">
        <v>71</v>
      </c>
      <c r="AC2150" s="8" t="s">
        <v>195</v>
      </c>
      <c r="AD2150" s="8" t="s">
        <v>52</v>
      </c>
      <c r="AE2150" s="8" t="s">
        <v>53</v>
      </c>
      <c r="AF2150" s="8" t="s">
        <v>54</v>
      </c>
      <c r="AG2150" s="8" t="s">
        <v>52</v>
      </c>
      <c r="AH2150" s="8" t="s">
        <v>65</v>
      </c>
      <c r="AI2150" s="8"/>
      <c r="AJ2150" s="8"/>
      <c r="AK2150" s="8">
        <v>200</v>
      </c>
      <c r="AL2150" s="8">
        <v>200</v>
      </c>
      <c r="AM2150" s="8"/>
      <c r="AN2150" s="8">
        <v>468</v>
      </c>
      <c r="AO2150" s="8" t="s">
        <v>56</v>
      </c>
      <c r="AP2150" s="8" t="s">
        <v>56</v>
      </c>
      <c r="AQ2150" s="8" t="s">
        <v>118</v>
      </c>
      <c r="AR2150" s="8">
        <v>8.1</v>
      </c>
      <c r="AS2150" s="8" t="s">
        <v>56</v>
      </c>
      <c r="AT2150" s="8">
        <v>0.02</v>
      </c>
      <c r="AU2150" s="8">
        <v>478</v>
      </c>
      <c r="AV2150" t="s">
        <v>56</v>
      </c>
      <c r="AW2150" t="s">
        <v>56</v>
      </c>
      <c r="AX2150">
        <v>8.1</v>
      </c>
      <c r="AY2150" t="s">
        <v>56</v>
      </c>
      <c r="AZ2150" t="s">
        <v>56</v>
      </c>
      <c r="BA2150" s="8"/>
      <c r="BB2150" s="8">
        <f>LOG(AU2150)</f>
        <v>2.6794278966121188</v>
      </c>
      <c r="BC2150" s="8">
        <v>14</v>
      </c>
      <c r="BD2150" s="8" t="s">
        <v>56</v>
      </c>
      <c r="BE2150" s="8" t="s">
        <v>56</v>
      </c>
      <c r="BF2150" s="8">
        <v>17</v>
      </c>
      <c r="BG2150" s="8" t="s">
        <v>56</v>
      </c>
      <c r="BH2150" s="8" t="s">
        <v>56</v>
      </c>
      <c r="BI2150" s="8">
        <v>10</v>
      </c>
      <c r="BJ2150" s="8">
        <v>3</v>
      </c>
      <c r="BK2150" s="8" t="s">
        <v>574</v>
      </c>
      <c r="BL2150" s="8" t="s">
        <v>473</v>
      </c>
      <c r="BM2150" s="8" t="s">
        <v>473</v>
      </c>
      <c r="BN2150" s="8" t="s">
        <v>81</v>
      </c>
      <c r="BO2150" s="8" t="s">
        <v>82</v>
      </c>
      <c r="BP2150" s="8" t="s">
        <v>190</v>
      </c>
      <c r="BQ2150" s="8" t="s">
        <v>190</v>
      </c>
      <c r="BR2150" s="8" t="s">
        <v>84</v>
      </c>
      <c r="BS2150" s="8"/>
      <c r="BT2150" s="8">
        <v>97.98</v>
      </c>
      <c r="BU2150" s="8">
        <v>97.979798000000002</v>
      </c>
      <c r="BV2150" s="8">
        <v>3.03</v>
      </c>
      <c r="BW2150" s="8">
        <f>BV2150*SQRT(AK2150)</f>
        <v>42.850670939904781</v>
      </c>
      <c r="BX2150" s="8">
        <v>97.22</v>
      </c>
      <c r="BY2150" s="8">
        <v>97.222222200000004</v>
      </c>
      <c r="BZ2150" s="8">
        <v>1.89</v>
      </c>
      <c r="CA2150" s="8">
        <f>BZ2150*SQRT(AL2150)</f>
        <v>26.728636328851497</v>
      </c>
      <c r="CB2150" s="8">
        <v>1</v>
      </c>
      <c r="CC2150" s="8">
        <v>4</v>
      </c>
      <c r="CD2150" s="8">
        <v>-8.0000000000000002E-3</v>
      </c>
      <c r="CE2150" s="8">
        <v>1.2999999999999999E-3</v>
      </c>
      <c r="CF2150" s="8" t="s">
        <v>1134</v>
      </c>
    </row>
    <row r="2151" spans="1:84" hidden="1" x14ac:dyDescent="0.2">
      <c r="D2151">
        <v>242</v>
      </c>
      <c r="G2151" t="s">
        <v>43</v>
      </c>
      <c r="H2151" t="s">
        <v>1011</v>
      </c>
      <c r="J2151">
        <v>2021</v>
      </c>
      <c r="M2151" t="s">
        <v>872</v>
      </c>
      <c r="T2151" t="s">
        <v>68</v>
      </c>
      <c r="U2151" t="s">
        <v>1012</v>
      </c>
      <c r="V2151" t="s">
        <v>1013</v>
      </c>
      <c r="AC2151" t="s">
        <v>51</v>
      </c>
      <c r="AF2151" t="s">
        <v>52</v>
      </c>
      <c r="AG2151" t="s">
        <v>54</v>
      </c>
      <c r="AH2151" t="s">
        <v>55</v>
      </c>
      <c r="AK2151">
        <v>4</v>
      </c>
      <c r="AL2151">
        <v>4</v>
      </c>
      <c r="AN2151">
        <v>456</v>
      </c>
      <c r="AU2151">
        <v>943</v>
      </c>
      <c r="BB2151">
        <f>LOG(AU2151)</f>
        <v>2.9745116927373285</v>
      </c>
      <c r="BC2151">
        <v>21</v>
      </c>
      <c r="BF2151">
        <v>21</v>
      </c>
      <c r="BI2151">
        <v>487</v>
      </c>
      <c r="BJ2151">
        <v>0</v>
      </c>
      <c r="BL2151" t="s">
        <v>58</v>
      </c>
      <c r="BM2151" t="s">
        <v>59</v>
      </c>
      <c r="BN2151" t="s">
        <v>60</v>
      </c>
      <c r="BO2151" t="s">
        <v>1065</v>
      </c>
      <c r="BP2151" t="s">
        <v>62</v>
      </c>
      <c r="BR2151" t="s">
        <v>63</v>
      </c>
      <c r="BT2151">
        <v>7.0329463380000004</v>
      </c>
      <c r="BU2151">
        <v>7.0329459999999999</v>
      </c>
      <c r="BV2151">
        <v>1.21</v>
      </c>
      <c r="BW2151">
        <f>BV2151*SQRT(AK2151)</f>
        <v>2.42</v>
      </c>
      <c r="BX2151">
        <v>5.09372092</v>
      </c>
      <c r="BY2151">
        <v>5.0937209000000001</v>
      </c>
      <c r="BZ2151">
        <v>1.01</v>
      </c>
      <c r="CA2151">
        <f>BZ2151*SQRT(AL2151)</f>
        <v>2.02</v>
      </c>
      <c r="CB2151">
        <v>56</v>
      </c>
      <c r="CD2151">
        <v>-0.32300000000000001</v>
      </c>
      <c r="CE2151">
        <v>6.88E-2</v>
      </c>
    </row>
    <row r="2152" spans="1:84" hidden="1" x14ac:dyDescent="0.2">
      <c r="D2152">
        <v>234</v>
      </c>
      <c r="G2152" t="s">
        <v>43</v>
      </c>
      <c r="H2152" t="s">
        <v>1007</v>
      </c>
      <c r="J2152">
        <v>2018</v>
      </c>
      <c r="M2152" t="s">
        <v>802</v>
      </c>
      <c r="T2152" t="s">
        <v>103</v>
      </c>
      <c r="V2152" t="s">
        <v>1021</v>
      </c>
      <c r="AC2152" t="s">
        <v>51</v>
      </c>
      <c r="AF2152" t="s">
        <v>52</v>
      </c>
      <c r="AG2152" t="s">
        <v>54</v>
      </c>
      <c r="AH2152" t="s">
        <v>55</v>
      </c>
      <c r="AK2152">
        <v>10</v>
      </c>
      <c r="AL2152">
        <v>10</v>
      </c>
      <c r="AN2152">
        <v>667</v>
      </c>
      <c r="AU2152">
        <v>1387</v>
      </c>
      <c r="BB2152">
        <f>LOG(AU2152)</f>
        <v>3.1420764610732848</v>
      </c>
      <c r="BC2152">
        <v>25.8</v>
      </c>
      <c r="BF2152">
        <v>26.4</v>
      </c>
      <c r="BI2152">
        <v>720</v>
      </c>
      <c r="BJ2152">
        <v>0.6</v>
      </c>
      <c r="BL2152" t="s">
        <v>1055</v>
      </c>
      <c r="BM2152" t="s">
        <v>59</v>
      </c>
      <c r="BN2152" t="s">
        <v>60</v>
      </c>
      <c r="BO2152" t="s">
        <v>998</v>
      </c>
      <c r="BP2152" t="s">
        <v>62</v>
      </c>
      <c r="BR2152" t="s">
        <v>63</v>
      </c>
      <c r="BT2152">
        <v>3.5954206069999999</v>
      </c>
      <c r="BU2152">
        <v>3.595421</v>
      </c>
      <c r="BV2152">
        <v>0.459830762</v>
      </c>
      <c r="BW2152">
        <f>BV2152*SQRT(AK2152)</f>
        <v>1.4541125461308031</v>
      </c>
      <c r="BX2152">
        <v>5.3306122450000002</v>
      </c>
      <c r="BY2152">
        <v>5.3306122</v>
      </c>
      <c r="BZ2152">
        <v>0.27177700300000002</v>
      </c>
      <c r="CA2152">
        <f>BZ2152*SQRT(AL2152)</f>
        <v>0.85943434513441475</v>
      </c>
      <c r="CB2152">
        <v>2</v>
      </c>
      <c r="CD2152">
        <v>0.39400000000000002</v>
      </c>
      <c r="CE2152">
        <v>1.9E-2</v>
      </c>
    </row>
    <row r="2153" spans="1:84" hidden="1" x14ac:dyDescent="0.2">
      <c r="D2153">
        <v>239</v>
      </c>
      <c r="G2153" t="s">
        <v>43</v>
      </c>
      <c r="H2153" t="s">
        <v>1056</v>
      </c>
      <c r="J2153">
        <v>2017</v>
      </c>
      <c r="M2153" t="s">
        <v>94</v>
      </c>
      <c r="T2153" t="s">
        <v>131</v>
      </c>
      <c r="U2153" t="s">
        <v>1057</v>
      </c>
      <c r="V2153" t="s">
        <v>1058</v>
      </c>
      <c r="AC2153" t="s">
        <v>108</v>
      </c>
      <c r="AF2153" t="s">
        <v>54</v>
      </c>
      <c r="AG2153" t="s">
        <v>52</v>
      </c>
      <c r="AH2153" t="s">
        <v>65</v>
      </c>
      <c r="AK2153">
        <v>20</v>
      </c>
      <c r="AL2153">
        <v>19</v>
      </c>
      <c r="AN2153">
        <v>491</v>
      </c>
      <c r="AU2153">
        <v>538</v>
      </c>
      <c r="BB2153">
        <f>LOG(AU2153)</f>
        <v>2.7307822756663893</v>
      </c>
      <c r="BC2153">
        <v>8</v>
      </c>
      <c r="BF2153">
        <v>10</v>
      </c>
      <c r="BI2153">
        <v>47</v>
      </c>
      <c r="BJ2153">
        <v>2</v>
      </c>
      <c r="BL2153" t="s">
        <v>1059</v>
      </c>
      <c r="BM2153" t="s">
        <v>262</v>
      </c>
      <c r="BN2153" t="s">
        <v>81</v>
      </c>
      <c r="BO2153" t="s">
        <v>56</v>
      </c>
      <c r="BP2153" t="s">
        <v>92</v>
      </c>
      <c r="BR2153" t="s">
        <v>63</v>
      </c>
      <c r="BT2153">
        <v>6.1475409839999999</v>
      </c>
      <c r="BU2153">
        <v>6.1475410000000004</v>
      </c>
      <c r="BV2153">
        <v>1.0928961749999999</v>
      </c>
      <c r="BW2153">
        <f>BV2153*SQRT(AK2153)</f>
        <v>4.8875802792990122</v>
      </c>
      <c r="BX2153">
        <v>5.8060109290000002</v>
      </c>
      <c r="BY2153">
        <v>5.8060109000000004</v>
      </c>
      <c r="BZ2153">
        <v>1.3</v>
      </c>
      <c r="CA2153">
        <f>BZ2153*SQRT(AL2153)</f>
        <v>5.6665686266028761</v>
      </c>
      <c r="CB2153">
        <v>184</v>
      </c>
      <c r="CD2153">
        <v>-5.7000000000000002E-2</v>
      </c>
      <c r="CE2153">
        <v>8.1600000000000006E-2</v>
      </c>
    </row>
    <row r="2154" spans="1:84" hidden="1" x14ac:dyDescent="0.2">
      <c r="D2154">
        <v>229</v>
      </c>
      <c r="G2154" t="s">
        <v>43</v>
      </c>
      <c r="H2154" t="s">
        <v>1050</v>
      </c>
      <c r="J2154">
        <v>2019</v>
      </c>
      <c r="M2154" t="s">
        <v>997</v>
      </c>
      <c r="T2154" t="s">
        <v>68</v>
      </c>
      <c r="V2154" t="s">
        <v>556</v>
      </c>
      <c r="AC2154" t="s">
        <v>51</v>
      </c>
      <c r="AF2154" t="s">
        <v>52</v>
      </c>
      <c r="AG2154" t="s">
        <v>54</v>
      </c>
      <c r="AH2154" t="s">
        <v>55</v>
      </c>
      <c r="AK2154">
        <v>5</v>
      </c>
      <c r="AL2154">
        <v>5</v>
      </c>
      <c r="AN2154">
        <v>362</v>
      </c>
      <c r="AU2154">
        <v>860</v>
      </c>
      <c r="BB2154">
        <f>LOG(AU2154)</f>
        <v>2.9344984512435679</v>
      </c>
      <c r="BC2154">
        <v>9</v>
      </c>
      <c r="BF2154">
        <v>9</v>
      </c>
      <c r="BI2154">
        <v>498</v>
      </c>
      <c r="BJ2154">
        <v>0</v>
      </c>
      <c r="BL2154" t="s">
        <v>232</v>
      </c>
      <c r="BM2154" t="s">
        <v>232</v>
      </c>
      <c r="BN2154" t="s">
        <v>81</v>
      </c>
      <c r="BO2154" t="s">
        <v>1010</v>
      </c>
      <c r="BP2154" t="s">
        <v>234</v>
      </c>
      <c r="BR2154" t="s">
        <v>63</v>
      </c>
      <c r="BT2154">
        <v>3.45148901</v>
      </c>
      <c r="BU2154">
        <v>3.451489</v>
      </c>
      <c r="BV2154">
        <v>2.0699999999999998</v>
      </c>
      <c r="BW2154">
        <f>BV2154*SQRT(AK2154)</f>
        <v>4.6286607134245648</v>
      </c>
      <c r="BX2154">
        <v>6.0662110330000001</v>
      </c>
      <c r="BY2154">
        <v>6.066211</v>
      </c>
      <c r="BZ2154">
        <v>2.2599999999999998</v>
      </c>
      <c r="CA2154">
        <f>BZ2154*SQRT(AL2154)</f>
        <v>5.0535136291495242</v>
      </c>
      <c r="CB2154">
        <v>60</v>
      </c>
      <c r="CD2154">
        <v>0.56399999999999995</v>
      </c>
      <c r="CE2154">
        <v>0.49730000000000002</v>
      </c>
    </row>
    <row r="2155" spans="1:84" hidden="1" x14ac:dyDescent="0.2">
      <c r="A2155" s="8"/>
      <c r="B2155" t="str">
        <f>ROW()-1&amp;"_AltersInvert"</f>
        <v>2154_AltersInvert</v>
      </c>
      <c r="C2155" t="str">
        <f>D2155&amp;"_"&amp;
SUBSTITUTE(TRIM(V2155)," ","_")&amp;"_"&amp;
TRIM(AC2155)&amp;"_"&amp;
"CO2"&amp;TEXT(AN2155,"0.00")&amp;"_"&amp;
"pH"&amp;TEXT(AR2155,"0.00")&amp;"_"&amp;
"T"&amp;TEXT(BC2155,"0.##")</f>
        <v>58_Centrostephanus_rodgersii_EMBRYO_CO2506.00_pH8.10_T21.</v>
      </c>
      <c r="D2155" s="8">
        <v>58</v>
      </c>
      <c r="E2155" s="8"/>
      <c r="F2155" s="8"/>
      <c r="G2155" s="8" t="s">
        <v>43</v>
      </c>
      <c r="H2155" s="8" t="s">
        <v>569</v>
      </c>
      <c r="I2155" s="8" t="s">
        <v>1130</v>
      </c>
      <c r="J2155" s="8">
        <v>2014</v>
      </c>
      <c r="K2155" s="8"/>
      <c r="L2155" s="8"/>
      <c r="M2155" s="8" t="s">
        <v>67</v>
      </c>
      <c r="N2155" s="8"/>
      <c r="O2155" s="8"/>
      <c r="P2155" t="s">
        <v>1135</v>
      </c>
      <c r="Q2155" s="8"/>
      <c r="R2155" s="8" t="s">
        <v>1127</v>
      </c>
      <c r="S2155" t="s">
        <v>1128</v>
      </c>
      <c r="T2155" s="8" t="s">
        <v>46</v>
      </c>
      <c r="U2155" s="8" t="s">
        <v>570</v>
      </c>
      <c r="V2155" s="8" t="s">
        <v>571</v>
      </c>
      <c r="W2155" s="8" t="str">
        <f>IF(ISNUMBER(MATCH(V1549,{"Doryteuthis pealeii","Loligo vulgaris","Leptuca thayeri","Stylocheilus striatus","Ophryotrocha labronica"},0)),"N","Y")</f>
        <v>Y</v>
      </c>
      <c r="X2155" s="8"/>
      <c r="Y2155" s="8"/>
      <c r="Z2155" s="8" t="s">
        <v>177</v>
      </c>
      <c r="AA2155" s="8" t="s">
        <v>177</v>
      </c>
      <c r="AB2155" s="8" t="s">
        <v>71</v>
      </c>
      <c r="AC2155" s="8" t="s">
        <v>195</v>
      </c>
      <c r="AD2155" s="8" t="s">
        <v>52</v>
      </c>
      <c r="AE2155" s="8" t="s">
        <v>53</v>
      </c>
      <c r="AF2155" s="8" t="s">
        <v>54</v>
      </c>
      <c r="AG2155" s="8" t="s">
        <v>52</v>
      </c>
      <c r="AH2155" s="8" t="s">
        <v>65</v>
      </c>
      <c r="AI2155" s="8"/>
      <c r="AJ2155" s="8"/>
      <c r="AK2155" s="8">
        <v>200</v>
      </c>
      <c r="AL2155" s="8">
        <v>200</v>
      </c>
      <c r="AM2155" s="8"/>
      <c r="AN2155" s="8">
        <v>506</v>
      </c>
      <c r="AO2155" s="8" t="s">
        <v>56</v>
      </c>
      <c r="AP2155" s="8" t="s">
        <v>56</v>
      </c>
      <c r="AQ2155" s="8" t="s">
        <v>118</v>
      </c>
      <c r="AR2155" s="8">
        <v>8.1</v>
      </c>
      <c r="AS2155" s="8" t="s">
        <v>56</v>
      </c>
      <c r="AT2155" s="8">
        <v>0.02</v>
      </c>
      <c r="AU2155" s="8">
        <v>511</v>
      </c>
      <c r="AV2155" t="s">
        <v>56</v>
      </c>
      <c r="AW2155" t="s">
        <v>56</v>
      </c>
      <c r="AX2155">
        <v>8.1</v>
      </c>
      <c r="AY2155" t="s">
        <v>56</v>
      </c>
      <c r="AZ2155" t="s">
        <v>56</v>
      </c>
      <c r="BA2155" s="8"/>
      <c r="BB2155" s="8">
        <f>LOG(AU2155)</f>
        <v>2.7084209001347128</v>
      </c>
      <c r="BC2155" s="8">
        <v>21</v>
      </c>
      <c r="BD2155" s="8" t="s">
        <v>56</v>
      </c>
      <c r="BE2155" s="8" t="s">
        <v>56</v>
      </c>
      <c r="BF2155" s="8">
        <v>24</v>
      </c>
      <c r="BG2155" s="8" t="s">
        <v>56</v>
      </c>
      <c r="BH2155" s="8" t="s">
        <v>56</v>
      </c>
      <c r="BI2155" s="8">
        <v>6</v>
      </c>
      <c r="BJ2155" s="8">
        <v>3</v>
      </c>
      <c r="BK2155" s="8" t="s">
        <v>572</v>
      </c>
      <c r="BL2155" s="8" t="s">
        <v>473</v>
      </c>
      <c r="BM2155" s="8" t="s">
        <v>473</v>
      </c>
      <c r="BN2155" s="8" t="s">
        <v>81</v>
      </c>
      <c r="BO2155" s="8" t="s">
        <v>82</v>
      </c>
      <c r="BP2155" s="8" t="s">
        <v>190</v>
      </c>
      <c r="BQ2155" s="8" t="s">
        <v>190</v>
      </c>
      <c r="BR2155" s="8" t="s">
        <v>84</v>
      </c>
      <c r="BS2155" s="8"/>
      <c r="BT2155" s="8">
        <v>81.94</v>
      </c>
      <c r="BU2155" s="8">
        <v>81.944444000000004</v>
      </c>
      <c r="BV2155" s="8">
        <v>3.03</v>
      </c>
      <c r="BW2155" s="8">
        <f>BV2155*SQRT(AK2155)</f>
        <v>42.850670939904781</v>
      </c>
      <c r="BX2155" s="8">
        <v>90.15</v>
      </c>
      <c r="BY2155" s="8">
        <v>90.151515200000006</v>
      </c>
      <c r="BZ2155" s="8">
        <v>4.8</v>
      </c>
      <c r="CA2155" s="8">
        <f>BZ2155*SQRT(AL2155)</f>
        <v>67.882250993908556</v>
      </c>
      <c r="CB2155" s="8">
        <v>1</v>
      </c>
      <c r="CC2155" s="8">
        <v>4</v>
      </c>
      <c r="CD2155" s="8">
        <v>9.5000000000000001E-2</v>
      </c>
      <c r="CE2155" s="8">
        <v>4.1999999999999997E-3</v>
      </c>
      <c r="CF2155" s="8" t="s">
        <v>1134</v>
      </c>
    </row>
    <row r="2156" spans="1:84" hidden="1" x14ac:dyDescent="0.2">
      <c r="A2156" s="8"/>
      <c r="B2156" t="str">
        <f>ROW()-1&amp;"_AltersInvert"</f>
        <v>2155_AltersInvert</v>
      </c>
      <c r="C2156" t="str">
        <f>D2156&amp;"_"&amp;
SUBSTITUTE(TRIM(V2156)," ","_")&amp;"_"&amp;
TRIM(AC2156)&amp;"_"&amp;
"CO2"&amp;TEXT(AN2156,"0.00")&amp;"_"&amp;
"pH"&amp;TEXT(AR2156,"0.00")&amp;"_"&amp;
"T"&amp;TEXT(BC2156,"0.##")</f>
        <v>58_Centrostephanus_rodgersii_EMBRYO_CO2506.00_pH8.10_T21.</v>
      </c>
      <c r="D2156" s="8">
        <v>58</v>
      </c>
      <c r="E2156" s="8"/>
      <c r="F2156" s="8"/>
      <c r="G2156" s="8" t="s">
        <v>43</v>
      </c>
      <c r="H2156" s="8" t="s">
        <v>569</v>
      </c>
      <c r="I2156" s="8" t="s">
        <v>1130</v>
      </c>
      <c r="J2156" s="8">
        <v>2014</v>
      </c>
      <c r="K2156" s="8"/>
      <c r="L2156" s="8"/>
      <c r="M2156" s="8" t="s">
        <v>67</v>
      </c>
      <c r="N2156" s="8"/>
      <c r="O2156" s="8"/>
      <c r="P2156" t="s">
        <v>1135</v>
      </c>
      <c r="Q2156" s="8"/>
      <c r="R2156" s="8" t="s">
        <v>1127</v>
      </c>
      <c r="S2156" t="s">
        <v>1128</v>
      </c>
      <c r="T2156" s="8" t="s">
        <v>46</v>
      </c>
      <c r="U2156" s="8" t="s">
        <v>570</v>
      </c>
      <c r="V2156" s="8" t="s">
        <v>571</v>
      </c>
      <c r="W2156" s="8" t="str">
        <f>IF(ISNUMBER(MATCH(V1550,{"Doryteuthis pealeii","Loligo vulgaris","Leptuca thayeri","Stylocheilus striatus","Ophryotrocha labronica"},0)),"N","Y")</f>
        <v>Y</v>
      </c>
      <c r="X2156" s="8"/>
      <c r="Y2156" s="8"/>
      <c r="Z2156" s="8" t="s">
        <v>177</v>
      </c>
      <c r="AA2156" s="8" t="s">
        <v>177</v>
      </c>
      <c r="AB2156" s="8" t="s">
        <v>71</v>
      </c>
      <c r="AC2156" s="8" t="s">
        <v>195</v>
      </c>
      <c r="AD2156" s="8" t="s">
        <v>52</v>
      </c>
      <c r="AE2156" s="8" t="s">
        <v>53</v>
      </c>
      <c r="AF2156" s="8" t="s">
        <v>52</v>
      </c>
      <c r="AG2156" s="8" t="s">
        <v>52</v>
      </c>
      <c r="AH2156" s="8" t="s">
        <v>64</v>
      </c>
      <c r="AI2156" s="8"/>
      <c r="AJ2156" s="8"/>
      <c r="AK2156" s="8">
        <v>200</v>
      </c>
      <c r="AL2156" s="8">
        <v>200</v>
      </c>
      <c r="AM2156" s="8"/>
      <c r="AN2156" s="8">
        <v>506</v>
      </c>
      <c r="AO2156" s="8" t="s">
        <v>56</v>
      </c>
      <c r="AP2156" s="8" t="s">
        <v>56</v>
      </c>
      <c r="AQ2156" s="8" t="s">
        <v>118</v>
      </c>
      <c r="AR2156" s="8">
        <v>8.1</v>
      </c>
      <c r="AS2156" s="8" t="s">
        <v>56</v>
      </c>
      <c r="AT2156" s="8">
        <v>0.02</v>
      </c>
      <c r="AU2156" s="8">
        <v>7145</v>
      </c>
      <c r="AV2156" t="s">
        <v>56</v>
      </c>
      <c r="AW2156" t="s">
        <v>56</v>
      </c>
      <c r="AX2156">
        <v>7.04</v>
      </c>
      <c r="AY2156" t="s">
        <v>56</v>
      </c>
      <c r="AZ2156" t="s">
        <v>56</v>
      </c>
      <c r="BA2156" s="8"/>
      <c r="BB2156" s="8">
        <f>LOG(AU2156)</f>
        <v>3.8540022331269892</v>
      </c>
      <c r="BC2156" s="8">
        <v>21</v>
      </c>
      <c r="BD2156" s="8" t="s">
        <v>56</v>
      </c>
      <c r="BE2156" s="8" t="s">
        <v>56</v>
      </c>
      <c r="BF2156" s="8">
        <v>24</v>
      </c>
      <c r="BG2156" s="8" t="s">
        <v>56</v>
      </c>
      <c r="BH2156" s="8" t="s">
        <v>56</v>
      </c>
      <c r="BI2156" s="8">
        <v>6640</v>
      </c>
      <c r="BJ2156" s="8">
        <v>3</v>
      </c>
      <c r="BK2156" s="8" t="s">
        <v>572</v>
      </c>
      <c r="BL2156" s="8" t="s">
        <v>473</v>
      </c>
      <c r="BM2156" s="8" t="s">
        <v>473</v>
      </c>
      <c r="BN2156" s="8" t="s">
        <v>81</v>
      </c>
      <c r="BO2156" s="8" t="s">
        <v>82</v>
      </c>
      <c r="BP2156" s="8" t="s">
        <v>190</v>
      </c>
      <c r="BQ2156" s="8" t="s">
        <v>190</v>
      </c>
      <c r="BR2156" s="8" t="s">
        <v>84</v>
      </c>
      <c r="BS2156" s="8"/>
      <c r="BT2156" s="8">
        <v>81.94</v>
      </c>
      <c r="BU2156" s="8">
        <v>81.944444000000004</v>
      </c>
      <c r="BV2156" s="8">
        <v>3.03</v>
      </c>
      <c r="BW2156" s="8">
        <f>BV2156*SQRT(AK2156)</f>
        <v>42.850670939904781</v>
      </c>
      <c r="BX2156" s="8">
        <v>7.58</v>
      </c>
      <c r="BY2156" s="8">
        <v>7.5757576000000002</v>
      </c>
      <c r="BZ2156" s="8">
        <v>1.64</v>
      </c>
      <c r="CA2156" s="8">
        <f>BZ2156*SQRT(AL2156)</f>
        <v>23.193102422918759</v>
      </c>
      <c r="CB2156" s="8">
        <v>1</v>
      </c>
      <c r="CC2156" s="8">
        <v>4</v>
      </c>
      <c r="CD2156" s="8">
        <v>-2.3809999999999998</v>
      </c>
      <c r="CE2156" s="8">
        <v>4.8300000000000003E-2</v>
      </c>
      <c r="CF2156" s="8" t="s">
        <v>1134</v>
      </c>
    </row>
    <row r="2157" spans="1:84" hidden="1" x14ac:dyDescent="0.2">
      <c r="D2157">
        <v>239</v>
      </c>
      <c r="G2157" t="s">
        <v>43</v>
      </c>
      <c r="H2157" t="s">
        <v>1056</v>
      </c>
      <c r="J2157">
        <v>2017</v>
      </c>
      <c r="M2157" t="s">
        <v>94</v>
      </c>
      <c r="T2157" t="s">
        <v>131</v>
      </c>
      <c r="U2157" t="s">
        <v>1057</v>
      </c>
      <c r="V2157" t="s">
        <v>1058</v>
      </c>
      <c r="AC2157" t="s">
        <v>108</v>
      </c>
      <c r="AF2157" t="s">
        <v>52</v>
      </c>
      <c r="AG2157" t="s">
        <v>52</v>
      </c>
      <c r="AH2157" t="s">
        <v>64</v>
      </c>
      <c r="AK2157">
        <v>20</v>
      </c>
      <c r="AL2157">
        <v>19</v>
      </c>
      <c r="AN2157">
        <v>491</v>
      </c>
      <c r="AU2157">
        <v>896</v>
      </c>
      <c r="BB2157">
        <f>LOG(AU2157)</f>
        <v>2.9523080096621253</v>
      </c>
      <c r="BC2157">
        <v>8</v>
      </c>
      <c r="BF2157">
        <v>10</v>
      </c>
      <c r="BI2157">
        <v>405</v>
      </c>
      <c r="BJ2157">
        <v>2</v>
      </c>
      <c r="BL2157" t="s">
        <v>1059</v>
      </c>
      <c r="BM2157" t="s">
        <v>262</v>
      </c>
      <c r="BN2157" t="s">
        <v>81</v>
      </c>
      <c r="BO2157" t="s">
        <v>56</v>
      </c>
      <c r="BP2157" t="s">
        <v>92</v>
      </c>
      <c r="BR2157" t="s">
        <v>63</v>
      </c>
      <c r="BT2157">
        <v>6.1475409839999999</v>
      </c>
      <c r="BU2157">
        <v>6.1475410000000004</v>
      </c>
      <c r="BV2157">
        <v>1.0928961749999999</v>
      </c>
      <c r="BW2157">
        <f>BV2157*SQRT(AK2157)</f>
        <v>4.8875802792990122</v>
      </c>
      <c r="BX2157">
        <v>6.4890710379999996</v>
      </c>
      <c r="BY2157">
        <v>6.489071</v>
      </c>
      <c r="BZ2157">
        <v>0.89</v>
      </c>
      <c r="CA2157">
        <f>BZ2157*SQRT(AL2157)</f>
        <v>3.8794200597512001</v>
      </c>
      <c r="CB2157">
        <v>184</v>
      </c>
      <c r="CD2157">
        <v>5.3999999999999999E-2</v>
      </c>
      <c r="CE2157">
        <v>5.0299999999999997E-2</v>
      </c>
    </row>
    <row r="2158" spans="1:84" hidden="1" x14ac:dyDescent="0.2">
      <c r="A2158" s="8"/>
      <c r="B2158" t="str">
        <f>ROW()-1&amp;"_AltersInvert"</f>
        <v>2157_AltersInvert</v>
      </c>
      <c r="C2158" t="str">
        <f>D2158&amp;"_"&amp;
SUBSTITUTE(TRIM(V2158)," ","_")&amp;"_"&amp;
TRIM(AC2158)&amp;"_"&amp;
"CO2"&amp;TEXT(AN2158,"0.00")&amp;"_"&amp;
"pH"&amp;TEXT(AR2158,"0.00")&amp;"_"&amp;
"T"&amp;TEXT(BC2158,"0.##")</f>
        <v>58_Centrostephanus_rodgersii_EMBRYO_CO2468.00_pH8.10_T14.</v>
      </c>
      <c r="D2158" s="8">
        <v>58</v>
      </c>
      <c r="E2158" s="8"/>
      <c r="F2158" s="8"/>
      <c r="G2158" s="8" t="s">
        <v>43</v>
      </c>
      <c r="H2158" s="8" t="s">
        <v>569</v>
      </c>
      <c r="I2158" s="8" t="s">
        <v>1130</v>
      </c>
      <c r="J2158" s="8">
        <v>2014</v>
      </c>
      <c r="K2158" s="8"/>
      <c r="L2158" s="8"/>
      <c r="M2158" s="8" t="s">
        <v>67</v>
      </c>
      <c r="N2158" s="8"/>
      <c r="O2158" s="8"/>
      <c r="P2158" t="s">
        <v>1135</v>
      </c>
      <c r="Q2158" s="8"/>
      <c r="R2158" s="8" t="s">
        <v>1127</v>
      </c>
      <c r="S2158" t="s">
        <v>1128</v>
      </c>
      <c r="T2158" s="8" t="s">
        <v>46</v>
      </c>
      <c r="U2158" s="8" t="s">
        <v>570</v>
      </c>
      <c r="V2158" s="8" t="s">
        <v>571</v>
      </c>
      <c r="W2158" s="8" t="str">
        <f>IF(ISNUMBER(MATCH(V1552,{"Doryteuthis pealeii","Loligo vulgaris","Leptuca thayeri","Stylocheilus striatus","Ophryotrocha labronica"},0)),"N","Y")</f>
        <v>Y</v>
      </c>
      <c r="X2158" s="8"/>
      <c r="Y2158" s="8"/>
      <c r="Z2158" s="8" t="s">
        <v>177</v>
      </c>
      <c r="AA2158" s="8" t="s">
        <v>177</v>
      </c>
      <c r="AB2158" s="8" t="s">
        <v>71</v>
      </c>
      <c r="AC2158" s="8" t="s">
        <v>195</v>
      </c>
      <c r="AD2158" s="8" t="s">
        <v>52</v>
      </c>
      <c r="AE2158" s="8" t="s">
        <v>53</v>
      </c>
      <c r="AF2158" s="8" t="s">
        <v>52</v>
      </c>
      <c r="AG2158" s="8" t="s">
        <v>52</v>
      </c>
      <c r="AH2158" s="8" t="s">
        <v>64</v>
      </c>
      <c r="AI2158" s="8"/>
      <c r="AJ2158" s="8"/>
      <c r="AK2158" s="8">
        <v>200</v>
      </c>
      <c r="AL2158" s="8">
        <v>200</v>
      </c>
      <c r="AM2158" s="8"/>
      <c r="AN2158" s="8">
        <v>468</v>
      </c>
      <c r="AO2158" s="8" t="s">
        <v>56</v>
      </c>
      <c r="AP2158" s="8" t="s">
        <v>56</v>
      </c>
      <c r="AQ2158" s="8" t="s">
        <v>118</v>
      </c>
      <c r="AR2158" s="8">
        <v>8.1</v>
      </c>
      <c r="AS2158" s="8" t="s">
        <v>56</v>
      </c>
      <c r="AT2158" s="8">
        <v>0.02</v>
      </c>
      <c r="AU2158" s="8">
        <v>6451</v>
      </c>
      <c r="AV2158" t="s">
        <v>56</v>
      </c>
      <c r="AW2158" t="s">
        <v>56</v>
      </c>
      <c r="AX2158">
        <v>7.04</v>
      </c>
      <c r="AY2158" t="s">
        <v>56</v>
      </c>
      <c r="AZ2158" t="s">
        <v>56</v>
      </c>
      <c r="BA2158" s="8"/>
      <c r="BB2158" s="8">
        <f>LOG(AU2158)</f>
        <v>3.8096270418940499</v>
      </c>
      <c r="BC2158" s="8">
        <v>14</v>
      </c>
      <c r="BD2158" s="8" t="s">
        <v>56</v>
      </c>
      <c r="BE2158" s="8" t="s">
        <v>56</v>
      </c>
      <c r="BF2158" s="8">
        <v>17</v>
      </c>
      <c r="BG2158" s="8" t="s">
        <v>56</v>
      </c>
      <c r="BH2158" s="8" t="s">
        <v>56</v>
      </c>
      <c r="BI2158" s="8">
        <v>5983</v>
      </c>
      <c r="BJ2158" s="8">
        <v>3</v>
      </c>
      <c r="BK2158" s="8" t="s">
        <v>574</v>
      </c>
      <c r="BL2158" s="8" t="s">
        <v>473</v>
      </c>
      <c r="BM2158" s="8" t="s">
        <v>473</v>
      </c>
      <c r="BN2158" s="8" t="s">
        <v>81</v>
      </c>
      <c r="BO2158" s="8" t="s">
        <v>82</v>
      </c>
      <c r="BP2158" s="8" t="s">
        <v>190</v>
      </c>
      <c r="BQ2158" s="8" t="s">
        <v>9</v>
      </c>
      <c r="BR2158" s="8" t="s">
        <v>84</v>
      </c>
      <c r="BS2158" s="8"/>
      <c r="BT2158" s="8">
        <v>97.98</v>
      </c>
      <c r="BU2158" s="8">
        <v>97.979798000000002</v>
      </c>
      <c r="BV2158" s="8">
        <v>3.03</v>
      </c>
      <c r="BW2158" s="8">
        <f>BV2158*SQRT(AK2158)</f>
        <v>42.850670939904781</v>
      </c>
      <c r="BX2158" s="8">
        <v>27.27</v>
      </c>
      <c r="BY2158" s="8">
        <v>27.2727273</v>
      </c>
      <c r="BZ2158" s="8">
        <v>6.06</v>
      </c>
      <c r="CA2158" s="8">
        <f>BZ2158*SQRT(AL2158)</f>
        <v>85.701341879809561</v>
      </c>
      <c r="CB2158" s="8">
        <v>1</v>
      </c>
      <c r="CC2158" s="8">
        <v>4</v>
      </c>
      <c r="CD2158" s="8">
        <v>-1.2789999999999999</v>
      </c>
      <c r="CE2158" s="8">
        <v>5.0299999999999997E-2</v>
      </c>
      <c r="CF2158" s="8" t="s">
        <v>1134</v>
      </c>
    </row>
    <row r="2159" spans="1:84" hidden="1" x14ac:dyDescent="0.2">
      <c r="D2159">
        <v>229</v>
      </c>
      <c r="G2159" t="s">
        <v>43</v>
      </c>
      <c r="H2159" t="s">
        <v>1050</v>
      </c>
      <c r="J2159">
        <v>2019</v>
      </c>
      <c r="M2159" t="s">
        <v>997</v>
      </c>
      <c r="T2159" t="s">
        <v>68</v>
      </c>
      <c r="V2159" t="s">
        <v>556</v>
      </c>
      <c r="AC2159" t="s">
        <v>51</v>
      </c>
      <c r="AF2159" t="s">
        <v>52</v>
      </c>
      <c r="AG2159" t="s">
        <v>54</v>
      </c>
      <c r="AH2159" t="s">
        <v>55</v>
      </c>
      <c r="AK2159">
        <v>5</v>
      </c>
      <c r="AL2159">
        <v>5</v>
      </c>
      <c r="AN2159">
        <v>362</v>
      </c>
      <c r="AU2159">
        <v>2639</v>
      </c>
      <c r="BB2159">
        <f>LOG(AU2159)</f>
        <v>3.4214393902200495</v>
      </c>
      <c r="BC2159">
        <v>9</v>
      </c>
      <c r="BF2159">
        <v>9</v>
      </c>
      <c r="BI2159">
        <v>2277</v>
      </c>
      <c r="BJ2159">
        <v>-0.1</v>
      </c>
      <c r="BL2159" t="s">
        <v>55</v>
      </c>
      <c r="BM2159" t="s">
        <v>1067</v>
      </c>
      <c r="BN2159" t="s">
        <v>60</v>
      </c>
      <c r="BO2159" t="s">
        <v>56</v>
      </c>
      <c r="BP2159" t="s">
        <v>194</v>
      </c>
      <c r="BR2159" t="s">
        <v>63</v>
      </c>
      <c r="BT2159">
        <v>7.7921684420000004</v>
      </c>
      <c r="BU2159">
        <v>7.7921680000000002</v>
      </c>
      <c r="BV2159">
        <v>0.08</v>
      </c>
      <c r="BW2159">
        <f>BV2159*SQRT(AK2159)</f>
        <v>0.17888543819998318</v>
      </c>
      <c r="BX2159">
        <v>7.1716975700000001</v>
      </c>
      <c r="BY2159">
        <v>7.1716975999999999</v>
      </c>
      <c r="BZ2159">
        <v>0.09</v>
      </c>
      <c r="CA2159">
        <f>BZ2159*SQRT(AL2159)</f>
        <v>0.20124611797498107</v>
      </c>
      <c r="CB2159">
        <v>74</v>
      </c>
      <c r="CD2159">
        <v>-8.3000000000000004E-2</v>
      </c>
      <c r="CE2159">
        <v>2.9999999999999997E-4</v>
      </c>
    </row>
    <row r="2160" spans="1:84" hidden="1" x14ac:dyDescent="0.2">
      <c r="D2160">
        <v>229</v>
      </c>
      <c r="G2160" t="s">
        <v>43</v>
      </c>
      <c r="H2160" t="s">
        <v>1050</v>
      </c>
      <c r="J2160">
        <v>2019</v>
      </c>
      <c r="M2160" t="s">
        <v>997</v>
      </c>
      <c r="T2160" t="s">
        <v>68</v>
      </c>
      <c r="V2160" t="s">
        <v>556</v>
      </c>
      <c r="AC2160" t="s">
        <v>51</v>
      </c>
      <c r="AF2160" t="s">
        <v>52</v>
      </c>
      <c r="AG2160" t="s">
        <v>52</v>
      </c>
      <c r="AH2160" t="s">
        <v>64</v>
      </c>
      <c r="AK2160">
        <v>5</v>
      </c>
      <c r="AL2160">
        <v>5</v>
      </c>
      <c r="AN2160">
        <v>362</v>
      </c>
      <c r="AU2160">
        <v>2750</v>
      </c>
      <c r="BB2160">
        <f>LOG(AU2160)</f>
        <v>3.4393326938302629</v>
      </c>
      <c r="BC2160">
        <v>9</v>
      </c>
      <c r="BF2160">
        <v>12</v>
      </c>
      <c r="BI2160">
        <v>2388</v>
      </c>
      <c r="BJ2160">
        <v>3.1</v>
      </c>
      <c r="BL2160" t="s">
        <v>55</v>
      </c>
      <c r="BM2160" t="s">
        <v>1067</v>
      </c>
      <c r="BN2160" t="s">
        <v>60</v>
      </c>
      <c r="BO2160" t="s">
        <v>56</v>
      </c>
      <c r="BP2160" t="s">
        <v>194</v>
      </c>
      <c r="BR2160" t="s">
        <v>63</v>
      </c>
      <c r="BT2160">
        <v>7.7921684420000004</v>
      </c>
      <c r="BU2160">
        <v>7.7921680000000002</v>
      </c>
      <c r="BV2160">
        <v>0.08</v>
      </c>
      <c r="BW2160">
        <f>BV2160*SQRT(AK2160)</f>
        <v>0.17888543819998318</v>
      </c>
      <c r="BX2160">
        <v>7.2324676649999997</v>
      </c>
      <c r="BY2160">
        <v>7.2324676999999999</v>
      </c>
      <c r="BZ2160">
        <v>0.14000000000000001</v>
      </c>
      <c r="CA2160">
        <f>BZ2160*SQRT(AL2160)</f>
        <v>0.31304951684997062</v>
      </c>
      <c r="CB2160">
        <v>74</v>
      </c>
      <c r="CD2160">
        <v>-7.4999999999999997E-2</v>
      </c>
      <c r="CE2160">
        <v>5.0000000000000001E-4</v>
      </c>
    </row>
    <row r="2161" spans="1:84" hidden="1" x14ac:dyDescent="0.2">
      <c r="D2161">
        <v>229</v>
      </c>
      <c r="G2161" t="s">
        <v>43</v>
      </c>
      <c r="H2161" t="s">
        <v>1050</v>
      </c>
      <c r="J2161">
        <v>2019</v>
      </c>
      <c r="M2161" t="s">
        <v>997</v>
      </c>
      <c r="T2161" t="s">
        <v>68</v>
      </c>
      <c r="V2161" t="s">
        <v>556</v>
      </c>
      <c r="AC2161" t="s">
        <v>51</v>
      </c>
      <c r="AF2161" t="s">
        <v>54</v>
      </c>
      <c r="AG2161" t="s">
        <v>52</v>
      </c>
      <c r="AH2161" t="s">
        <v>65</v>
      </c>
      <c r="AK2161">
        <v>5</v>
      </c>
      <c r="AL2161">
        <v>5</v>
      </c>
      <c r="AN2161">
        <v>362</v>
      </c>
      <c r="AU2161">
        <v>454</v>
      </c>
      <c r="BB2161">
        <f>LOG(AU2161)</f>
        <v>2.6570558528571038</v>
      </c>
      <c r="BC2161">
        <v>9</v>
      </c>
      <c r="BF2161">
        <v>12</v>
      </c>
      <c r="BI2161">
        <v>92</v>
      </c>
      <c r="BJ2161">
        <v>3.3</v>
      </c>
      <c r="BL2161" t="s">
        <v>55</v>
      </c>
      <c r="BM2161" t="s">
        <v>1067</v>
      </c>
      <c r="BN2161" t="s">
        <v>60</v>
      </c>
      <c r="BO2161" t="s">
        <v>56</v>
      </c>
      <c r="BP2161" t="s">
        <v>194</v>
      </c>
      <c r="BR2161" t="s">
        <v>63</v>
      </c>
      <c r="BT2161">
        <v>7.7921684420000004</v>
      </c>
      <c r="BU2161">
        <v>7.7921680000000002</v>
      </c>
      <c r="BV2161">
        <v>0.08</v>
      </c>
      <c r="BW2161">
        <f>BV2161*SQRT(AK2161)</f>
        <v>0.17888543819998318</v>
      </c>
      <c r="BX2161">
        <v>7.357403057</v>
      </c>
      <c r="BY2161">
        <v>7.3574031</v>
      </c>
      <c r="BZ2161">
        <v>0.23</v>
      </c>
      <c r="CA2161">
        <f>BZ2161*SQRT(AL2161)</f>
        <v>0.51429563482495166</v>
      </c>
      <c r="CB2161">
        <v>74</v>
      </c>
      <c r="CD2161">
        <v>-5.7000000000000002E-2</v>
      </c>
      <c r="CE2161">
        <v>1E-3</v>
      </c>
    </row>
    <row r="2162" spans="1:84" hidden="1" x14ac:dyDescent="0.2">
      <c r="D2162">
        <v>223</v>
      </c>
      <c r="G2162" t="s">
        <v>43</v>
      </c>
      <c r="H2162" t="s">
        <v>986</v>
      </c>
      <c r="J2162">
        <v>2016</v>
      </c>
      <c r="M2162" t="s">
        <v>94</v>
      </c>
      <c r="T2162" t="s">
        <v>68</v>
      </c>
      <c r="U2162" t="s">
        <v>548</v>
      </c>
      <c r="V2162" t="s">
        <v>549</v>
      </c>
      <c r="AC2162" t="s">
        <v>51</v>
      </c>
      <c r="AF2162" t="s">
        <v>52</v>
      </c>
      <c r="AG2162" t="s">
        <v>54</v>
      </c>
      <c r="AH2162" t="s">
        <v>55</v>
      </c>
      <c r="AK2162">
        <v>4</v>
      </c>
      <c r="AL2162">
        <v>4</v>
      </c>
      <c r="AN2162">
        <v>371</v>
      </c>
      <c r="AU2162">
        <v>944</v>
      </c>
      <c r="BB2162">
        <f>LOG(AU2162)</f>
        <v>2.9749719942980688</v>
      </c>
      <c r="BC2162">
        <v>1.4</v>
      </c>
      <c r="BF2162">
        <v>1.4</v>
      </c>
      <c r="BI2162">
        <v>573</v>
      </c>
      <c r="BJ2162">
        <v>0</v>
      </c>
      <c r="BL2162" t="s">
        <v>987</v>
      </c>
      <c r="BM2162" t="s">
        <v>253</v>
      </c>
      <c r="BN2162" t="s">
        <v>81</v>
      </c>
      <c r="BO2162" t="s">
        <v>254</v>
      </c>
      <c r="BP2162" t="s">
        <v>92</v>
      </c>
      <c r="BR2162" t="s">
        <v>63</v>
      </c>
      <c r="BT2162">
        <v>4.4240000000000004</v>
      </c>
      <c r="BU2162">
        <v>4.4240000000000004</v>
      </c>
      <c r="BV2162">
        <v>1.52</v>
      </c>
      <c r="BW2162">
        <f>BV2162*SQRT(AK2162)</f>
        <v>3.04</v>
      </c>
      <c r="BX2162">
        <v>7.4189999999999996</v>
      </c>
      <c r="BY2162">
        <v>7.4189999999999996</v>
      </c>
      <c r="BZ2162">
        <v>1.48</v>
      </c>
      <c r="CA2162">
        <f>BZ2162*SQRT(AL2162)</f>
        <v>2.96</v>
      </c>
      <c r="CB2162">
        <v>42</v>
      </c>
      <c r="CD2162">
        <v>0.51700000000000002</v>
      </c>
      <c r="CE2162">
        <v>0.15770000000000001</v>
      </c>
    </row>
    <row r="2163" spans="1:84" hidden="1" x14ac:dyDescent="0.2">
      <c r="D2163">
        <v>229</v>
      </c>
      <c r="G2163" t="s">
        <v>43</v>
      </c>
      <c r="H2163" t="s">
        <v>1050</v>
      </c>
      <c r="J2163">
        <v>2019</v>
      </c>
      <c r="M2163" t="s">
        <v>997</v>
      </c>
      <c r="T2163" t="s">
        <v>68</v>
      </c>
      <c r="V2163" t="s">
        <v>556</v>
      </c>
      <c r="AC2163" t="s">
        <v>51</v>
      </c>
      <c r="AF2163" t="s">
        <v>52</v>
      </c>
      <c r="AG2163" t="s">
        <v>52</v>
      </c>
      <c r="AH2163" t="s">
        <v>64</v>
      </c>
      <c r="AK2163">
        <v>5</v>
      </c>
      <c r="AL2163">
        <v>5</v>
      </c>
      <c r="AN2163">
        <v>362</v>
      </c>
      <c r="AU2163">
        <v>946</v>
      </c>
      <c r="BB2163">
        <f>LOG(AU2163)</f>
        <v>2.9758911364017928</v>
      </c>
      <c r="BC2163">
        <v>9</v>
      </c>
      <c r="BF2163">
        <v>12</v>
      </c>
      <c r="BI2163">
        <v>584</v>
      </c>
      <c r="BJ2163">
        <v>3.3</v>
      </c>
      <c r="BL2163" t="s">
        <v>55</v>
      </c>
      <c r="BM2163" t="s">
        <v>1067</v>
      </c>
      <c r="BN2163" t="s">
        <v>60</v>
      </c>
      <c r="BO2163" t="s">
        <v>56</v>
      </c>
      <c r="BP2163" t="s">
        <v>194</v>
      </c>
      <c r="BR2163" t="s">
        <v>63</v>
      </c>
      <c r="BT2163">
        <v>7.7921684420000004</v>
      </c>
      <c r="BU2163">
        <v>7.7921680000000002</v>
      </c>
      <c r="BV2163">
        <v>0.08</v>
      </c>
      <c r="BW2163">
        <f>BV2163*SQRT(AK2163)</f>
        <v>0.17888543819998318</v>
      </c>
      <c r="BX2163">
        <v>7.5735384689999998</v>
      </c>
      <c r="BY2163">
        <v>7.5735384999999997</v>
      </c>
      <c r="BZ2163">
        <v>0.43</v>
      </c>
      <c r="CA2163">
        <f>BZ2163*SQRT(AL2163)</f>
        <v>0.96150923032490965</v>
      </c>
      <c r="CB2163">
        <v>74</v>
      </c>
      <c r="CD2163">
        <v>-2.8000000000000001E-2</v>
      </c>
      <c r="CE2163">
        <v>3.3E-3</v>
      </c>
    </row>
    <row r="2164" spans="1:84" hidden="1" x14ac:dyDescent="0.2">
      <c r="D2164">
        <v>229</v>
      </c>
      <c r="G2164" t="s">
        <v>43</v>
      </c>
      <c r="H2164" t="s">
        <v>1050</v>
      </c>
      <c r="J2164">
        <v>2019</v>
      </c>
      <c r="M2164" t="s">
        <v>997</v>
      </c>
      <c r="T2164" t="s">
        <v>68</v>
      </c>
      <c r="V2164" t="s">
        <v>556</v>
      </c>
      <c r="AC2164" t="s">
        <v>51</v>
      </c>
      <c r="AF2164" t="s">
        <v>52</v>
      </c>
      <c r="AG2164" t="s">
        <v>54</v>
      </c>
      <c r="AH2164" t="s">
        <v>55</v>
      </c>
      <c r="AK2164">
        <v>5</v>
      </c>
      <c r="AL2164">
        <v>5</v>
      </c>
      <c r="AN2164">
        <v>362</v>
      </c>
      <c r="AU2164">
        <v>860</v>
      </c>
      <c r="BB2164">
        <f>LOG(AU2164)</f>
        <v>2.9344984512435679</v>
      </c>
      <c r="BC2164">
        <v>9</v>
      </c>
      <c r="BF2164">
        <v>9</v>
      </c>
      <c r="BI2164">
        <v>498</v>
      </c>
      <c r="BJ2164">
        <v>0</v>
      </c>
      <c r="BL2164" t="s">
        <v>55</v>
      </c>
      <c r="BM2164" t="s">
        <v>1067</v>
      </c>
      <c r="BN2164" t="s">
        <v>60</v>
      </c>
      <c r="BO2164" t="s">
        <v>56</v>
      </c>
      <c r="BP2164" t="s">
        <v>194</v>
      </c>
      <c r="BR2164" t="s">
        <v>63</v>
      </c>
      <c r="BT2164">
        <v>7.7921684420000004</v>
      </c>
      <c r="BU2164">
        <v>7.7921680000000002</v>
      </c>
      <c r="BV2164">
        <v>0.08</v>
      </c>
      <c r="BW2164">
        <f>BV2164*SQRT(AK2164)</f>
        <v>0.17888543819998318</v>
      </c>
      <c r="BX2164">
        <v>7.6165402359999996</v>
      </c>
      <c r="BY2164">
        <v>7.6165402000000002</v>
      </c>
      <c r="BZ2164">
        <v>7.0000000000000007E-2</v>
      </c>
      <c r="CA2164">
        <f>BZ2164*SQRT(AL2164)</f>
        <v>0.15652475842498531</v>
      </c>
      <c r="CB2164">
        <v>74</v>
      </c>
      <c r="CD2164">
        <v>-2.3E-2</v>
      </c>
      <c r="CE2164">
        <v>2.0000000000000001E-4</v>
      </c>
    </row>
    <row r="2165" spans="1:84" hidden="1" x14ac:dyDescent="0.2">
      <c r="D2165">
        <v>239</v>
      </c>
      <c r="G2165" t="s">
        <v>43</v>
      </c>
      <c r="H2165" t="s">
        <v>1056</v>
      </c>
      <c r="J2165">
        <v>2017</v>
      </c>
      <c r="M2165" t="s">
        <v>94</v>
      </c>
      <c r="T2165" t="s">
        <v>131</v>
      </c>
      <c r="U2165" t="s">
        <v>1057</v>
      </c>
      <c r="V2165" t="s">
        <v>1058</v>
      </c>
      <c r="AC2165" t="s">
        <v>108</v>
      </c>
      <c r="AF2165" t="s">
        <v>54</v>
      </c>
      <c r="AG2165" t="s">
        <v>52</v>
      </c>
      <c r="AH2165" t="s">
        <v>65</v>
      </c>
      <c r="AK2165">
        <v>20</v>
      </c>
      <c r="AL2165">
        <v>22</v>
      </c>
      <c r="AN2165">
        <v>491</v>
      </c>
      <c r="AU2165">
        <v>587</v>
      </c>
      <c r="BB2165">
        <f>LOG(AU2165)</f>
        <v>2.7686381012476144</v>
      </c>
      <c r="BC2165">
        <v>8</v>
      </c>
      <c r="BF2165">
        <v>12</v>
      </c>
      <c r="BI2165">
        <v>96</v>
      </c>
      <c r="BJ2165">
        <v>4</v>
      </c>
      <c r="BL2165" t="s">
        <v>1059</v>
      </c>
      <c r="BM2165" t="s">
        <v>262</v>
      </c>
      <c r="BN2165" t="s">
        <v>81</v>
      </c>
      <c r="BO2165" t="s">
        <v>56</v>
      </c>
      <c r="BP2165" t="s">
        <v>92</v>
      </c>
      <c r="BR2165" t="s">
        <v>63</v>
      </c>
      <c r="BT2165">
        <v>6.1475409839999999</v>
      </c>
      <c r="BU2165">
        <v>6.1475410000000004</v>
      </c>
      <c r="BV2165">
        <v>1.0928961749999999</v>
      </c>
      <c r="BW2165">
        <f>BV2165*SQRT(AK2165)</f>
        <v>4.8875802792990122</v>
      </c>
      <c r="BX2165">
        <v>7.9234972680000002</v>
      </c>
      <c r="BY2165">
        <v>7.9234973000000002</v>
      </c>
      <c r="BZ2165">
        <v>0.96</v>
      </c>
      <c r="CA2165">
        <f>BZ2165*SQRT(AL2165)</f>
        <v>4.5027991294304925</v>
      </c>
      <c r="CB2165">
        <v>184</v>
      </c>
      <c r="CD2165">
        <v>0.254</v>
      </c>
      <c r="CE2165">
        <v>4.6199999999999998E-2</v>
      </c>
    </row>
    <row r="2166" spans="1:84" s="8" customFormat="1" hidden="1" x14ac:dyDescent="0.2">
      <c r="B2166" t="str">
        <f>ROW()-1&amp;"_AltersInvert"</f>
        <v>2165_AltersInvert</v>
      </c>
      <c r="C2166" t="str">
        <f>D2166&amp;"_"&amp;
SUBSTITUTE(TRIM(V2166)," ","_")&amp;"_"&amp;
TRIM(AC2166)&amp;"_"&amp;
"CO2"&amp;TEXT(AN2166,"0.00")&amp;"_"&amp;
"pH"&amp;TEXT(AR2166,"0.00")&amp;"_"&amp;
"T"&amp;TEXT(BC2166,"0.##")</f>
        <v>58_Centrostephanus_rodgersii_EMBRYO_CO2506.00_pH8.10_T21.</v>
      </c>
      <c r="D2166" s="8">
        <v>58</v>
      </c>
      <c r="G2166" s="8" t="s">
        <v>43</v>
      </c>
      <c r="H2166" s="8" t="s">
        <v>569</v>
      </c>
      <c r="I2166" s="8" t="s">
        <v>1130</v>
      </c>
      <c r="J2166" s="8">
        <v>2014</v>
      </c>
      <c r="M2166" s="8" t="s">
        <v>67</v>
      </c>
      <c r="P2166" t="s">
        <v>1135</v>
      </c>
      <c r="R2166" s="8" t="s">
        <v>1127</v>
      </c>
      <c r="S2166" t="s">
        <v>1128</v>
      </c>
      <c r="T2166" s="8" t="s">
        <v>46</v>
      </c>
      <c r="U2166" s="8" t="s">
        <v>570</v>
      </c>
      <c r="V2166" s="8" t="s">
        <v>571</v>
      </c>
      <c r="W2166" s="8" t="str">
        <f>IF(ISNUMBER(MATCH(V1560,{"Doryteuthis pealeii","Loligo vulgaris","Leptuca thayeri","Stylocheilus striatus","Ophryotrocha labronica"},0)),"N","Y")</f>
        <v>Y</v>
      </c>
      <c r="Z2166" s="8" t="s">
        <v>177</v>
      </c>
      <c r="AA2166" s="8" t="s">
        <v>177</v>
      </c>
      <c r="AB2166" s="8" t="s">
        <v>71</v>
      </c>
      <c r="AC2166" s="8" t="s">
        <v>195</v>
      </c>
      <c r="AD2166" s="8" t="s">
        <v>52</v>
      </c>
      <c r="AE2166" s="8" t="s">
        <v>53</v>
      </c>
      <c r="AF2166" s="8" t="s">
        <v>52</v>
      </c>
      <c r="AG2166" s="8" t="s">
        <v>52</v>
      </c>
      <c r="AH2166" s="8" t="s">
        <v>64</v>
      </c>
      <c r="AK2166" s="8">
        <v>200</v>
      </c>
      <c r="AL2166" s="8">
        <v>200</v>
      </c>
      <c r="AN2166" s="8">
        <v>506</v>
      </c>
      <c r="AO2166" s="8" t="s">
        <v>56</v>
      </c>
      <c r="AP2166" s="8" t="s">
        <v>56</v>
      </c>
      <c r="AQ2166" s="8" t="s">
        <v>118</v>
      </c>
      <c r="AR2166" s="8">
        <v>8.1</v>
      </c>
      <c r="AS2166" s="8" t="s">
        <v>56</v>
      </c>
      <c r="AT2166" s="8">
        <v>0.02</v>
      </c>
      <c r="AU2166" s="8">
        <v>1867</v>
      </c>
      <c r="AV2166" t="s">
        <v>56</v>
      </c>
      <c r="AW2166" t="s">
        <v>56</v>
      </c>
      <c r="AX2166">
        <v>7.6</v>
      </c>
      <c r="AY2166" t="s">
        <v>56</v>
      </c>
      <c r="AZ2166" t="s">
        <v>56</v>
      </c>
      <c r="BB2166" s="8">
        <f>LOG(AU2166)</f>
        <v>3.2711443179490782</v>
      </c>
      <c r="BC2166" s="8">
        <v>21</v>
      </c>
      <c r="BD2166" s="8" t="s">
        <v>56</v>
      </c>
      <c r="BE2166" s="8" t="s">
        <v>56</v>
      </c>
      <c r="BF2166" s="8">
        <v>24</v>
      </c>
      <c r="BG2166" s="8" t="s">
        <v>56</v>
      </c>
      <c r="BH2166" s="8" t="s">
        <v>56</v>
      </c>
      <c r="BI2166" s="8">
        <v>1361</v>
      </c>
      <c r="BJ2166" s="8">
        <v>3</v>
      </c>
      <c r="BK2166" s="8" t="s">
        <v>572</v>
      </c>
      <c r="BL2166" s="8" t="s">
        <v>473</v>
      </c>
      <c r="BM2166" s="8" t="s">
        <v>473</v>
      </c>
      <c r="BN2166" s="8" t="s">
        <v>81</v>
      </c>
      <c r="BO2166" s="8" t="s">
        <v>82</v>
      </c>
      <c r="BP2166" s="8" t="s">
        <v>190</v>
      </c>
      <c r="BQ2166" s="8" t="s">
        <v>190</v>
      </c>
      <c r="BR2166" s="8" t="s">
        <v>84</v>
      </c>
      <c r="BT2166" s="8">
        <v>81.94</v>
      </c>
      <c r="BU2166" s="8">
        <v>81.944444000000004</v>
      </c>
      <c r="BV2166" s="8">
        <v>3.03</v>
      </c>
      <c r="BW2166" s="8">
        <f>BV2166*SQRT(AK2166)</f>
        <v>42.850670939904781</v>
      </c>
      <c r="BX2166" s="8">
        <v>68.69</v>
      </c>
      <c r="BY2166" s="8">
        <v>68.686868700000005</v>
      </c>
      <c r="BZ2166" s="8">
        <v>5.43</v>
      </c>
      <c r="CA2166" s="8">
        <f>BZ2166*SQRT(AL2166)</f>
        <v>76.791796436859059</v>
      </c>
      <c r="CB2166" s="8">
        <v>1</v>
      </c>
      <c r="CC2166" s="8">
        <v>4</v>
      </c>
      <c r="CD2166" s="8">
        <v>-0.17599999999999999</v>
      </c>
      <c r="CE2166" s="8">
        <v>7.6E-3</v>
      </c>
      <c r="CF2166" s="8" t="s">
        <v>1134</v>
      </c>
    </row>
    <row r="2167" spans="1:84" hidden="1" x14ac:dyDescent="0.2">
      <c r="D2167">
        <v>242</v>
      </c>
      <c r="G2167" t="s">
        <v>43</v>
      </c>
      <c r="H2167" t="s">
        <v>1011</v>
      </c>
      <c r="J2167">
        <v>2021</v>
      </c>
      <c r="M2167" t="s">
        <v>872</v>
      </c>
      <c r="T2167" t="s">
        <v>68</v>
      </c>
      <c r="U2167" t="s">
        <v>1012</v>
      </c>
      <c r="V2167" t="s">
        <v>1013</v>
      </c>
      <c r="AC2167" t="s">
        <v>51</v>
      </c>
      <c r="AF2167" t="s">
        <v>54</v>
      </c>
      <c r="AG2167" t="s">
        <v>52</v>
      </c>
      <c r="AH2167" t="s">
        <v>65</v>
      </c>
      <c r="AK2167">
        <v>4</v>
      </c>
      <c r="AL2167">
        <v>4</v>
      </c>
      <c r="AN2167">
        <v>456</v>
      </c>
      <c r="AU2167">
        <v>458</v>
      </c>
      <c r="BB2167">
        <f>LOG(AU2167)</f>
        <v>2.6608654780038692</v>
      </c>
      <c r="BC2167">
        <v>21</v>
      </c>
      <c r="BF2167">
        <v>24</v>
      </c>
      <c r="BI2167">
        <v>2</v>
      </c>
      <c r="BJ2167">
        <v>3</v>
      </c>
      <c r="BL2167" t="s">
        <v>58</v>
      </c>
      <c r="BM2167" t="s">
        <v>59</v>
      </c>
      <c r="BN2167" t="s">
        <v>60</v>
      </c>
      <c r="BO2167" t="s">
        <v>1065</v>
      </c>
      <c r="BP2167" t="s">
        <v>62</v>
      </c>
      <c r="BR2167" t="s">
        <v>63</v>
      </c>
      <c r="BT2167">
        <v>7.0329463380000004</v>
      </c>
      <c r="BU2167">
        <v>7.0329459999999999</v>
      </c>
      <c r="BV2167">
        <v>1.21</v>
      </c>
      <c r="BW2167">
        <f>BV2167*SQRT(AK2167)</f>
        <v>2.42</v>
      </c>
      <c r="BX2167">
        <v>9.0004209690000003</v>
      </c>
      <c r="BY2167">
        <v>9.0004209999999993</v>
      </c>
      <c r="BZ2167">
        <v>1.92</v>
      </c>
      <c r="CA2167">
        <f>BZ2167*SQRT(AL2167)</f>
        <v>3.84</v>
      </c>
      <c r="CB2167">
        <v>56</v>
      </c>
      <c r="CD2167">
        <v>0.247</v>
      </c>
      <c r="CE2167">
        <v>7.4999999999999997E-2</v>
      </c>
    </row>
    <row r="2168" spans="1:84" hidden="1" x14ac:dyDescent="0.2">
      <c r="D2168">
        <v>229</v>
      </c>
      <c r="G2168" t="s">
        <v>43</v>
      </c>
      <c r="H2168" t="s">
        <v>1050</v>
      </c>
      <c r="J2168">
        <v>2019</v>
      </c>
      <c r="M2168" t="s">
        <v>997</v>
      </c>
      <c r="T2168" t="s">
        <v>68</v>
      </c>
      <c r="V2168" t="s">
        <v>556</v>
      </c>
      <c r="AC2168" t="s">
        <v>51</v>
      </c>
      <c r="AF2168" t="s">
        <v>52</v>
      </c>
      <c r="AG2168" t="s">
        <v>52</v>
      </c>
      <c r="AH2168" t="s">
        <v>64</v>
      </c>
      <c r="AK2168">
        <v>5</v>
      </c>
      <c r="AL2168">
        <v>5</v>
      </c>
      <c r="AN2168">
        <v>362</v>
      </c>
      <c r="AU2168">
        <v>2750</v>
      </c>
      <c r="BB2168">
        <f>LOG(AU2168)</f>
        <v>3.4393326938302629</v>
      </c>
      <c r="BC2168">
        <v>9</v>
      </c>
      <c r="BF2168">
        <v>12</v>
      </c>
      <c r="BI2168">
        <v>2388</v>
      </c>
      <c r="BJ2168">
        <v>3.1</v>
      </c>
      <c r="BL2168" t="s">
        <v>232</v>
      </c>
      <c r="BM2168" t="s">
        <v>232</v>
      </c>
      <c r="BN2168" t="s">
        <v>81</v>
      </c>
      <c r="BO2168" t="s">
        <v>1010</v>
      </c>
      <c r="BP2168" t="s">
        <v>234</v>
      </c>
      <c r="BR2168" t="s">
        <v>63</v>
      </c>
      <c r="BT2168">
        <v>3.45148901</v>
      </c>
      <c r="BU2168">
        <v>3.451489</v>
      </c>
      <c r="BV2168">
        <v>2.0699999999999998</v>
      </c>
      <c r="BW2168">
        <f>BV2168*SQRT(AK2168)</f>
        <v>4.6286607134245648</v>
      </c>
      <c r="BX2168">
        <v>9.293707543</v>
      </c>
      <c r="BY2168">
        <v>9.2937075</v>
      </c>
      <c r="BZ2168">
        <v>7.87</v>
      </c>
      <c r="CA2168">
        <f>BZ2168*SQRT(AL2168)</f>
        <v>17.597854982923344</v>
      </c>
      <c r="CB2168">
        <v>60</v>
      </c>
      <c r="CD2168">
        <v>0.99099999999999999</v>
      </c>
      <c r="CE2168">
        <v>1.0750999999999999</v>
      </c>
    </row>
    <row r="2169" spans="1:84" hidden="1" x14ac:dyDescent="0.2">
      <c r="A2169" s="8"/>
      <c r="B2169" t="str">
        <f>ROW()-1&amp;"_AltersInvert"</f>
        <v>2168_AltersInvert</v>
      </c>
      <c r="C2169" t="str">
        <f>D2169&amp;"_"&amp;
SUBSTITUTE(TRIM(V2169)," ","_")&amp;"_"&amp;
TRIM(AC2169)&amp;"_"&amp;
"CO2"&amp;TEXT(AN2169,"0.00")&amp;"_"&amp;
"pH"&amp;TEXT(AR2169,"0.00")&amp;"_"&amp;
"T"&amp;TEXT(BC2169,"0.##")</f>
        <v>58_Centrostephanus_rodgersii_EMBRYO_CO2468.00_pH8.10_T14.</v>
      </c>
      <c r="D2169" s="8">
        <v>58</v>
      </c>
      <c r="E2169" s="8"/>
      <c r="F2169" s="8"/>
      <c r="G2169" s="8" t="s">
        <v>43</v>
      </c>
      <c r="H2169" s="8" t="s">
        <v>569</v>
      </c>
      <c r="I2169" s="8" t="s">
        <v>1130</v>
      </c>
      <c r="J2169" s="8">
        <v>2014</v>
      </c>
      <c r="K2169" s="8"/>
      <c r="L2169" s="8"/>
      <c r="M2169" s="8" t="s">
        <v>67</v>
      </c>
      <c r="N2169" s="8"/>
      <c r="O2169" s="8"/>
      <c r="P2169" t="s">
        <v>1135</v>
      </c>
      <c r="Q2169" s="8"/>
      <c r="R2169" s="8" t="s">
        <v>1127</v>
      </c>
      <c r="S2169" t="s">
        <v>1128</v>
      </c>
      <c r="T2169" s="8" t="s">
        <v>46</v>
      </c>
      <c r="U2169" s="8" t="s">
        <v>570</v>
      </c>
      <c r="V2169" s="8" t="s">
        <v>571</v>
      </c>
      <c r="W2169" s="8" t="str">
        <f>IF(ISNUMBER(MATCH(V1563,{"Doryteuthis pealeii","Loligo vulgaris","Leptuca thayeri","Stylocheilus striatus","Ophryotrocha labronica"},0)),"N","Y")</f>
        <v>Y</v>
      </c>
      <c r="X2169" s="8"/>
      <c r="Y2169" s="8"/>
      <c r="Z2169" s="8" t="s">
        <v>177</v>
      </c>
      <c r="AA2169" s="8" t="s">
        <v>177</v>
      </c>
      <c r="AB2169" s="8" t="s">
        <v>71</v>
      </c>
      <c r="AC2169" s="8" t="s">
        <v>195</v>
      </c>
      <c r="AD2169" s="8" t="s">
        <v>52</v>
      </c>
      <c r="AE2169" s="8" t="s">
        <v>53</v>
      </c>
      <c r="AF2169" s="8" t="s">
        <v>52</v>
      </c>
      <c r="AG2169" s="8" t="s">
        <v>52</v>
      </c>
      <c r="AH2169" s="8" t="s">
        <v>64</v>
      </c>
      <c r="AI2169" s="8"/>
      <c r="AJ2169" s="8"/>
      <c r="AK2169" s="8">
        <v>200</v>
      </c>
      <c r="AL2169" s="8">
        <v>200</v>
      </c>
      <c r="AM2169" s="8"/>
      <c r="AN2169" s="8">
        <v>468</v>
      </c>
      <c r="AO2169" s="8" t="s">
        <v>56</v>
      </c>
      <c r="AP2169" s="8" t="s">
        <v>56</v>
      </c>
      <c r="AQ2169" s="8" t="s">
        <v>118</v>
      </c>
      <c r="AR2169" s="8">
        <v>8.1</v>
      </c>
      <c r="AS2169" s="8" t="s">
        <v>56</v>
      </c>
      <c r="AT2169" s="8">
        <v>0.02</v>
      </c>
      <c r="AU2169" s="8">
        <v>1702</v>
      </c>
      <c r="AV2169" t="s">
        <v>56</v>
      </c>
      <c r="AW2169" t="s">
        <v>56</v>
      </c>
      <c r="AX2169">
        <v>7.6</v>
      </c>
      <c r="AY2169" t="s">
        <v>56</v>
      </c>
      <c r="AZ2169" t="s">
        <v>56</v>
      </c>
      <c r="BA2169" s="8"/>
      <c r="BB2169" s="8">
        <f>LOG(AU2169)</f>
        <v>3.2309595557485689</v>
      </c>
      <c r="BC2169" s="8">
        <v>14</v>
      </c>
      <c r="BD2169" s="8" t="s">
        <v>56</v>
      </c>
      <c r="BE2169" s="8" t="s">
        <v>56</v>
      </c>
      <c r="BF2169" s="8">
        <v>17</v>
      </c>
      <c r="BG2169" s="8" t="s">
        <v>56</v>
      </c>
      <c r="BH2169" s="8" t="s">
        <v>56</v>
      </c>
      <c r="BI2169" s="8">
        <v>1233</v>
      </c>
      <c r="BJ2169" s="8">
        <v>3</v>
      </c>
      <c r="BK2169" s="8" t="s">
        <v>574</v>
      </c>
      <c r="BL2169" s="8" t="s">
        <v>473</v>
      </c>
      <c r="BM2169" s="8" t="s">
        <v>473</v>
      </c>
      <c r="BN2169" s="8" t="s">
        <v>81</v>
      </c>
      <c r="BO2169" s="8" t="s">
        <v>82</v>
      </c>
      <c r="BP2169" s="8" t="s">
        <v>190</v>
      </c>
      <c r="BQ2169" s="8" t="s">
        <v>190</v>
      </c>
      <c r="BR2169" s="8" t="s">
        <v>84</v>
      </c>
      <c r="BS2169" s="8"/>
      <c r="BT2169" s="8">
        <v>97.98</v>
      </c>
      <c r="BU2169" s="8">
        <v>97.979798000000002</v>
      </c>
      <c r="BV2169" s="8">
        <v>3.03</v>
      </c>
      <c r="BW2169" s="8">
        <f>BV2169*SQRT(AK2169)</f>
        <v>42.850670939904781</v>
      </c>
      <c r="BX2169" s="8">
        <v>85.86</v>
      </c>
      <c r="BY2169" s="8">
        <v>85.858585899999994</v>
      </c>
      <c r="BZ2169" s="8">
        <v>5.81</v>
      </c>
      <c r="CA2169" s="8">
        <f>BZ2169*SQRT(AL2169)</f>
        <v>82.165807973876824</v>
      </c>
      <c r="CB2169" s="8">
        <v>1</v>
      </c>
      <c r="CC2169" s="8">
        <v>4</v>
      </c>
      <c r="CD2169" s="8">
        <v>-0.13200000000000001</v>
      </c>
      <c r="CE2169" s="8">
        <v>5.4999999999999997E-3</v>
      </c>
      <c r="CF2169" s="8" t="s">
        <v>1134</v>
      </c>
    </row>
    <row r="2170" spans="1:84" x14ac:dyDescent="0.2">
      <c r="D2170">
        <v>241</v>
      </c>
      <c r="G2170" t="s">
        <v>43</v>
      </c>
      <c r="H2170" t="s">
        <v>1068</v>
      </c>
      <c r="J2170">
        <v>2017</v>
      </c>
      <c r="M2170" t="s">
        <v>869</v>
      </c>
      <c r="T2170" t="s">
        <v>68</v>
      </c>
      <c r="U2170" t="s">
        <v>1069</v>
      </c>
      <c r="V2170" t="s">
        <v>1070</v>
      </c>
      <c r="AC2170" t="s">
        <v>51</v>
      </c>
      <c r="AF2170" t="s">
        <v>54</v>
      </c>
      <c r="AG2170" t="s">
        <v>52</v>
      </c>
      <c r="AH2170" t="s">
        <v>65</v>
      </c>
      <c r="AK2170">
        <v>3</v>
      </c>
      <c r="AL2170">
        <v>3</v>
      </c>
      <c r="AN2170">
        <v>409</v>
      </c>
      <c r="AU2170">
        <v>350</v>
      </c>
      <c r="BB2170">
        <f>LOG(AU2170)</f>
        <v>2.5440680443502757</v>
      </c>
      <c r="BC2170">
        <v>2</v>
      </c>
      <c r="BF2170">
        <v>7</v>
      </c>
      <c r="BI2170">
        <v>-59</v>
      </c>
      <c r="BJ2170">
        <v>5</v>
      </c>
      <c r="BL2170" t="s">
        <v>58</v>
      </c>
      <c r="BM2170" t="s">
        <v>59</v>
      </c>
      <c r="BN2170" t="s">
        <v>60</v>
      </c>
      <c r="BO2170" t="s">
        <v>998</v>
      </c>
      <c r="BP2170" t="s">
        <v>62</v>
      </c>
      <c r="BR2170" t="s">
        <v>63</v>
      </c>
      <c r="BT2170">
        <v>16.149999999999999</v>
      </c>
      <c r="BU2170">
        <v>16.149999999999999</v>
      </c>
      <c r="BV2170">
        <v>1.32</v>
      </c>
      <c r="BW2170">
        <f>BV2170*SQRT(AK2170)</f>
        <v>2.2863070659909179</v>
      </c>
      <c r="BX2170">
        <v>9.91</v>
      </c>
      <c r="BY2170">
        <v>9.91</v>
      </c>
      <c r="BZ2170">
        <v>3.52</v>
      </c>
      <c r="CA2170">
        <f>BZ2170*SQRT(AL2170)</f>
        <v>6.0968188426424481</v>
      </c>
      <c r="CB2170">
        <v>9</v>
      </c>
      <c r="CD2170">
        <v>-0.48799999999999999</v>
      </c>
      <c r="CE2170">
        <v>0.13289999999999999</v>
      </c>
    </row>
    <row r="2171" spans="1:84" x14ac:dyDescent="0.2">
      <c r="D2171">
        <v>241</v>
      </c>
      <c r="G2171" t="s">
        <v>43</v>
      </c>
      <c r="H2171" t="s">
        <v>1068</v>
      </c>
      <c r="J2171">
        <v>2017</v>
      </c>
      <c r="M2171" t="s">
        <v>869</v>
      </c>
      <c r="T2171" t="s">
        <v>68</v>
      </c>
      <c r="U2171" t="s">
        <v>1069</v>
      </c>
      <c r="V2171" t="s">
        <v>1070</v>
      </c>
      <c r="AC2171" t="s">
        <v>51</v>
      </c>
      <c r="AF2171" t="s">
        <v>52</v>
      </c>
      <c r="AG2171" t="s">
        <v>52</v>
      </c>
      <c r="AH2171" t="s">
        <v>64</v>
      </c>
      <c r="AK2171">
        <v>3</v>
      </c>
      <c r="AL2171">
        <v>3</v>
      </c>
      <c r="AN2171">
        <v>409</v>
      </c>
      <c r="AU2171">
        <v>880</v>
      </c>
      <c r="BB2171">
        <f>LOG(AU2171)</f>
        <v>2.9444826721501687</v>
      </c>
      <c r="BC2171">
        <v>2</v>
      </c>
      <c r="BF2171">
        <v>7</v>
      </c>
      <c r="BI2171">
        <v>471</v>
      </c>
      <c r="BJ2171">
        <v>5</v>
      </c>
      <c r="BL2171" t="s">
        <v>58</v>
      </c>
      <c r="BM2171" t="s">
        <v>59</v>
      </c>
      <c r="BN2171" t="s">
        <v>60</v>
      </c>
      <c r="BO2171" t="s">
        <v>998</v>
      </c>
      <c r="BP2171" t="s">
        <v>62</v>
      </c>
      <c r="BR2171" t="s">
        <v>63</v>
      </c>
      <c r="BT2171">
        <v>16.149999999999999</v>
      </c>
      <c r="BU2171">
        <v>16.149999999999999</v>
      </c>
      <c r="BV2171">
        <v>1.32</v>
      </c>
      <c r="BW2171">
        <f>BV2171*SQRT(AK2171)</f>
        <v>2.2863070659909179</v>
      </c>
      <c r="BX2171">
        <v>11.01</v>
      </c>
      <c r="BY2171">
        <v>11.01</v>
      </c>
      <c r="BZ2171">
        <v>1.33</v>
      </c>
      <c r="CA2171">
        <f>BZ2171*SQRT(AL2171)</f>
        <v>2.3036275740666068</v>
      </c>
      <c r="CB2171">
        <v>9</v>
      </c>
      <c r="CD2171">
        <v>-0.38300000000000001</v>
      </c>
      <c r="CE2171">
        <v>2.1299999999999999E-2</v>
      </c>
    </row>
    <row r="2172" spans="1:84" s="8" customFormat="1" hidden="1" x14ac:dyDescent="0.2">
      <c r="B2172" t="str">
        <f>ROW()-1&amp;"_AltersInvert"</f>
        <v>2171_AltersInvert</v>
      </c>
      <c r="C2172" t="str">
        <f>D2172&amp;"_"&amp;
SUBSTITUTE(TRIM(V2172)," ","_")&amp;"_"&amp;
TRIM(AC2172)&amp;"_"&amp;
"CO2"&amp;TEXT(AN2172,"0.00")&amp;"_"&amp;
"pH"&amp;TEXT(AR2172,"0.00")&amp;"_"&amp;
"T"&amp;TEXT(BC2172,"0.##")</f>
        <v>58_Centrostephanus_rodgersii_EMBRYO_CO2506.00_pH8.10_T21.</v>
      </c>
      <c r="D2172" s="8">
        <v>58</v>
      </c>
      <c r="G2172" s="8" t="s">
        <v>43</v>
      </c>
      <c r="H2172" s="8" t="s">
        <v>569</v>
      </c>
      <c r="I2172" s="8" t="s">
        <v>1130</v>
      </c>
      <c r="J2172" s="8">
        <v>2014</v>
      </c>
      <c r="M2172" s="8" t="s">
        <v>67</v>
      </c>
      <c r="P2172" t="s">
        <v>1135</v>
      </c>
      <c r="R2172" s="8" t="s">
        <v>1127</v>
      </c>
      <c r="S2172" t="s">
        <v>1128</v>
      </c>
      <c r="T2172" s="8" t="s">
        <v>46</v>
      </c>
      <c r="U2172" s="8" t="s">
        <v>570</v>
      </c>
      <c r="V2172" s="8" t="s">
        <v>571</v>
      </c>
      <c r="W2172" s="8" t="str">
        <f>IF(ISNUMBER(MATCH(V1566,{"Doryteuthis pealeii","Loligo vulgaris","Leptuca thayeri","Stylocheilus striatus","Ophryotrocha labronica"},0)),"N","Y")</f>
        <v>Y</v>
      </c>
      <c r="Z2172" s="8" t="s">
        <v>177</v>
      </c>
      <c r="AA2172" s="8" t="s">
        <v>177</v>
      </c>
      <c r="AB2172" s="8" t="s">
        <v>71</v>
      </c>
      <c r="AC2172" s="8" t="s">
        <v>195</v>
      </c>
      <c r="AD2172" s="8" t="s">
        <v>52</v>
      </c>
      <c r="AE2172" s="8" t="s">
        <v>53</v>
      </c>
      <c r="AF2172" s="8" t="s">
        <v>52</v>
      </c>
      <c r="AG2172" s="8" t="s">
        <v>52</v>
      </c>
      <c r="AH2172" s="8" t="s">
        <v>64</v>
      </c>
      <c r="AK2172" s="8">
        <v>200</v>
      </c>
      <c r="AL2172" s="8">
        <v>200</v>
      </c>
      <c r="AN2172" s="8">
        <v>506</v>
      </c>
      <c r="AO2172" s="8" t="s">
        <v>56</v>
      </c>
      <c r="AP2172" s="8" t="s">
        <v>56</v>
      </c>
      <c r="AQ2172" s="8" t="s">
        <v>118</v>
      </c>
      <c r="AR2172" s="8">
        <v>8.1</v>
      </c>
      <c r="AS2172" s="8" t="s">
        <v>56</v>
      </c>
      <c r="AT2172" s="8">
        <v>0.02</v>
      </c>
      <c r="AU2172" s="8">
        <v>1131</v>
      </c>
      <c r="AV2172" t="s">
        <v>56</v>
      </c>
      <c r="AW2172" t="s">
        <v>56</v>
      </c>
      <c r="AX2172">
        <v>7.8</v>
      </c>
      <c r="AY2172" t="s">
        <v>56</v>
      </c>
      <c r="AZ2172" t="s">
        <v>56</v>
      </c>
      <c r="BB2172" s="8">
        <f>LOG(AU2172)</f>
        <v>3.0534626049254552</v>
      </c>
      <c r="BC2172" s="8">
        <v>21</v>
      </c>
      <c r="BD2172" s="8" t="s">
        <v>56</v>
      </c>
      <c r="BE2172" s="8" t="s">
        <v>56</v>
      </c>
      <c r="BF2172" s="8">
        <v>24</v>
      </c>
      <c r="BG2172" s="8" t="s">
        <v>56</v>
      </c>
      <c r="BH2172" s="8" t="s">
        <v>56</v>
      </c>
      <c r="BI2172" s="8">
        <v>625</v>
      </c>
      <c r="BJ2172" s="8">
        <v>3</v>
      </c>
      <c r="BK2172" s="8" t="s">
        <v>572</v>
      </c>
      <c r="BL2172" s="8" t="s">
        <v>473</v>
      </c>
      <c r="BM2172" s="8" t="s">
        <v>473</v>
      </c>
      <c r="BN2172" s="8" t="s">
        <v>81</v>
      </c>
      <c r="BO2172" s="8" t="s">
        <v>82</v>
      </c>
      <c r="BP2172" s="8" t="s">
        <v>190</v>
      </c>
      <c r="BQ2172" s="8" t="s">
        <v>83</v>
      </c>
      <c r="BR2172" s="8" t="s">
        <v>84</v>
      </c>
      <c r="BT2172" s="8">
        <v>81.94</v>
      </c>
      <c r="BU2172" s="8">
        <v>81.944444000000004</v>
      </c>
      <c r="BV2172" s="8">
        <v>3.03</v>
      </c>
      <c r="BW2172" s="8">
        <f>BV2172*SQRT(AK2172)</f>
        <v>42.850670939904781</v>
      </c>
      <c r="BX2172" s="8">
        <v>80.81</v>
      </c>
      <c r="BY2172" s="8">
        <v>80.808080799999999</v>
      </c>
      <c r="BZ2172" s="8">
        <v>4.04</v>
      </c>
      <c r="CA2172" s="8">
        <f>BZ2172*SQRT(AL2172)</f>
        <v>57.134227919873041</v>
      </c>
      <c r="CB2172" s="8">
        <v>1</v>
      </c>
      <c r="CC2172" s="8">
        <v>4</v>
      </c>
      <c r="CD2172" s="8">
        <v>-1.4E-2</v>
      </c>
      <c r="CE2172" s="8">
        <v>3.8999999999999998E-3</v>
      </c>
      <c r="CF2172" s="8" t="s">
        <v>1134</v>
      </c>
    </row>
    <row r="2173" spans="1:84" hidden="1" x14ac:dyDescent="0.2">
      <c r="D2173">
        <v>242</v>
      </c>
      <c r="G2173" t="s">
        <v>43</v>
      </c>
      <c r="H2173" t="s">
        <v>1011</v>
      </c>
      <c r="J2173">
        <v>2021</v>
      </c>
      <c r="M2173" t="s">
        <v>872</v>
      </c>
      <c r="T2173" t="s">
        <v>68</v>
      </c>
      <c r="U2173" t="s">
        <v>1012</v>
      </c>
      <c r="V2173" t="s">
        <v>1013</v>
      </c>
      <c r="AC2173" t="s">
        <v>51</v>
      </c>
      <c r="AF2173" t="s">
        <v>52</v>
      </c>
      <c r="AG2173" t="s">
        <v>52</v>
      </c>
      <c r="AH2173" t="s">
        <v>64</v>
      </c>
      <c r="AK2173">
        <v>4</v>
      </c>
      <c r="AL2173">
        <v>4</v>
      </c>
      <c r="AN2173">
        <v>456</v>
      </c>
      <c r="AU2173">
        <v>1048</v>
      </c>
      <c r="BB2173">
        <f>LOG(AU2173)</f>
        <v>3.0203612826477078</v>
      </c>
      <c r="BC2173">
        <v>21</v>
      </c>
      <c r="BF2173">
        <v>24</v>
      </c>
      <c r="BI2173">
        <v>592</v>
      </c>
      <c r="BJ2173">
        <v>3</v>
      </c>
      <c r="BL2173" t="s">
        <v>58</v>
      </c>
      <c r="BM2173" t="s">
        <v>59</v>
      </c>
      <c r="BN2173" t="s">
        <v>60</v>
      </c>
      <c r="BO2173" t="s">
        <v>1065</v>
      </c>
      <c r="BP2173" t="s">
        <v>62</v>
      </c>
      <c r="BR2173" t="s">
        <v>63</v>
      </c>
      <c r="BT2173">
        <v>7.0329463380000004</v>
      </c>
      <c r="BU2173">
        <v>7.0329459999999999</v>
      </c>
      <c r="BV2173">
        <v>1.21</v>
      </c>
      <c r="BW2173">
        <f>BV2173*SQRT(AK2173)</f>
        <v>2.42</v>
      </c>
      <c r="BX2173">
        <v>12.50830859</v>
      </c>
      <c r="BY2173">
        <v>12.508308599999999</v>
      </c>
      <c r="BZ2173">
        <v>1.81</v>
      </c>
      <c r="CA2173">
        <f>BZ2173*SQRT(AL2173)</f>
        <v>3.62</v>
      </c>
      <c r="CB2173">
        <v>56</v>
      </c>
      <c r="CD2173">
        <v>0.57599999999999996</v>
      </c>
      <c r="CE2173">
        <v>5.0599999999999999E-2</v>
      </c>
    </row>
    <row r="2174" spans="1:84" x14ac:dyDescent="0.2">
      <c r="D2174">
        <v>241</v>
      </c>
      <c r="G2174" t="s">
        <v>43</v>
      </c>
      <c r="H2174" t="s">
        <v>1068</v>
      </c>
      <c r="J2174">
        <v>2017</v>
      </c>
      <c r="M2174" t="s">
        <v>869</v>
      </c>
      <c r="T2174" t="s">
        <v>68</v>
      </c>
      <c r="U2174" t="s">
        <v>1069</v>
      </c>
      <c r="V2174" t="s">
        <v>1071</v>
      </c>
      <c r="AC2174" t="s">
        <v>51</v>
      </c>
      <c r="AF2174" t="s">
        <v>52</v>
      </c>
      <c r="AG2174" t="s">
        <v>52</v>
      </c>
      <c r="AH2174" t="s">
        <v>64</v>
      </c>
      <c r="AK2174">
        <v>3</v>
      </c>
      <c r="AL2174">
        <v>3</v>
      </c>
      <c r="AN2174">
        <v>409</v>
      </c>
      <c r="AU2174">
        <v>1005</v>
      </c>
      <c r="BB2174">
        <f>LOG(AU2174)</f>
        <v>3.0021660617565078</v>
      </c>
      <c r="BC2174">
        <v>2</v>
      </c>
      <c r="BF2174">
        <v>5</v>
      </c>
      <c r="BI2174">
        <v>596</v>
      </c>
      <c r="BJ2174">
        <v>3</v>
      </c>
      <c r="BL2174" t="s">
        <v>58</v>
      </c>
      <c r="BM2174" t="s">
        <v>59</v>
      </c>
      <c r="BN2174" t="s">
        <v>60</v>
      </c>
      <c r="BO2174" t="s">
        <v>998</v>
      </c>
      <c r="BP2174" t="s">
        <v>62</v>
      </c>
      <c r="BR2174" t="s">
        <v>63</v>
      </c>
      <c r="BT2174">
        <v>15.01</v>
      </c>
      <c r="BU2174">
        <v>15.01</v>
      </c>
      <c r="BV2174">
        <v>1.78</v>
      </c>
      <c r="BW2174">
        <f>BV2174*SQRT(AK2174)</f>
        <v>3.0830504374726013</v>
      </c>
      <c r="BX2174">
        <v>12.6</v>
      </c>
      <c r="BY2174">
        <v>12.6</v>
      </c>
      <c r="BZ2174">
        <v>0.95</v>
      </c>
      <c r="CA2174">
        <f>BZ2174*SQRT(AL2174)</f>
        <v>1.6454482671904334</v>
      </c>
      <c r="CB2174">
        <v>9</v>
      </c>
      <c r="CD2174">
        <v>-0.17499999999999999</v>
      </c>
      <c r="CE2174">
        <v>1.9800000000000002E-2</v>
      </c>
    </row>
    <row r="2175" spans="1:84" hidden="1" x14ac:dyDescent="0.2">
      <c r="D2175">
        <v>229</v>
      </c>
      <c r="G2175" t="s">
        <v>43</v>
      </c>
      <c r="H2175" t="s">
        <v>1050</v>
      </c>
      <c r="J2175">
        <v>2019</v>
      </c>
      <c r="M2175" t="s">
        <v>997</v>
      </c>
      <c r="T2175" t="s">
        <v>68</v>
      </c>
      <c r="V2175" t="s">
        <v>556</v>
      </c>
      <c r="AC2175" t="s">
        <v>51</v>
      </c>
      <c r="AF2175" t="s">
        <v>52</v>
      </c>
      <c r="AG2175" t="s">
        <v>54</v>
      </c>
      <c r="AH2175" t="s">
        <v>55</v>
      </c>
      <c r="AK2175">
        <v>5</v>
      </c>
      <c r="AL2175">
        <v>5</v>
      </c>
      <c r="AN2175">
        <v>362</v>
      </c>
      <c r="AU2175">
        <v>2639</v>
      </c>
      <c r="BB2175">
        <f>LOG(AU2175)</f>
        <v>3.4214393902200495</v>
      </c>
      <c r="BC2175">
        <v>9</v>
      </c>
      <c r="BF2175">
        <v>9</v>
      </c>
      <c r="BI2175">
        <v>2277</v>
      </c>
      <c r="BJ2175">
        <v>-0.1</v>
      </c>
      <c r="BL2175" t="s">
        <v>232</v>
      </c>
      <c r="BM2175" t="s">
        <v>232</v>
      </c>
      <c r="BN2175" t="s">
        <v>81</v>
      </c>
      <c r="BO2175" t="s">
        <v>1010</v>
      </c>
      <c r="BP2175" t="s">
        <v>234</v>
      </c>
      <c r="BR2175" t="s">
        <v>63</v>
      </c>
      <c r="BT2175">
        <v>3.45148901</v>
      </c>
      <c r="BU2175">
        <v>3.451489</v>
      </c>
      <c r="BV2175">
        <v>2.0699999999999998</v>
      </c>
      <c r="BW2175">
        <f>BV2175*SQRT(AK2175)</f>
        <v>4.6286607134245648</v>
      </c>
      <c r="BX2175">
        <v>13.71847232</v>
      </c>
      <c r="BY2175">
        <v>13.7184723</v>
      </c>
      <c r="BZ2175">
        <v>7.08</v>
      </c>
      <c r="CA2175">
        <f>BZ2175*SQRT(AL2175)</f>
        <v>15.831361280698513</v>
      </c>
      <c r="CB2175">
        <v>60</v>
      </c>
      <c r="CD2175">
        <v>1.38</v>
      </c>
      <c r="CE2175">
        <v>0.62470000000000003</v>
      </c>
    </row>
    <row r="2176" spans="1:84" hidden="1" x14ac:dyDescent="0.2">
      <c r="A2176" s="8"/>
      <c r="B2176" t="str">
        <f>ROW()-1&amp;"_AltersInvert"</f>
        <v>2175_AltersInvert</v>
      </c>
      <c r="C2176" t="str">
        <f>D2176&amp;"_"&amp;
SUBSTITUTE(TRIM(V2176)," ","_")&amp;"_"&amp;
TRIM(AC2176)&amp;"_"&amp;
"CO2"&amp;TEXT(AN2176,"0.00")&amp;"_"&amp;
"pH"&amp;TEXT(AR2176,"0.00")&amp;"_"&amp;
"T"&amp;TEXT(BC2176,"0.##")</f>
        <v>58_Centrostephanus_rodgersii_EMBRYO_CO2468.00_pH8.10_T14.</v>
      </c>
      <c r="D2176" s="8">
        <v>58</v>
      </c>
      <c r="E2176" s="8"/>
      <c r="F2176" s="8"/>
      <c r="G2176" s="8" t="s">
        <v>43</v>
      </c>
      <c r="H2176" s="8" t="s">
        <v>569</v>
      </c>
      <c r="I2176" s="8" t="s">
        <v>1130</v>
      </c>
      <c r="J2176" s="8">
        <v>2014</v>
      </c>
      <c r="K2176" s="8"/>
      <c r="L2176" s="8"/>
      <c r="M2176" s="8" t="s">
        <v>67</v>
      </c>
      <c r="N2176" s="8"/>
      <c r="O2176" s="8"/>
      <c r="P2176" t="s">
        <v>1135</v>
      </c>
      <c r="Q2176" s="8"/>
      <c r="R2176" s="8" t="s">
        <v>1127</v>
      </c>
      <c r="S2176" t="s">
        <v>1128</v>
      </c>
      <c r="T2176" s="8" t="s">
        <v>46</v>
      </c>
      <c r="U2176" s="8" t="s">
        <v>570</v>
      </c>
      <c r="V2176" s="8" t="s">
        <v>571</v>
      </c>
      <c r="W2176" s="8" t="str">
        <f>IF(ISNUMBER(MATCH(V1570,{"Doryteuthis pealeii","Loligo vulgaris","Leptuca thayeri","Stylocheilus striatus","Ophryotrocha labronica"},0)),"N","Y")</f>
        <v>Y</v>
      </c>
      <c r="X2176" s="8"/>
      <c r="Y2176" s="8"/>
      <c r="Z2176" s="8" t="s">
        <v>177</v>
      </c>
      <c r="AA2176" s="8" t="s">
        <v>177</v>
      </c>
      <c r="AB2176" s="8" t="s">
        <v>71</v>
      </c>
      <c r="AC2176" s="8" t="s">
        <v>195</v>
      </c>
      <c r="AD2176" s="8" t="s">
        <v>52</v>
      </c>
      <c r="AE2176" s="8" t="s">
        <v>53</v>
      </c>
      <c r="AF2176" s="8" t="s">
        <v>52</v>
      </c>
      <c r="AG2176" s="8" t="s">
        <v>52</v>
      </c>
      <c r="AH2176" s="8" t="s">
        <v>64</v>
      </c>
      <c r="AI2176" s="8"/>
      <c r="AJ2176" s="8"/>
      <c r="AK2176" s="8">
        <v>200</v>
      </c>
      <c r="AL2176" s="8">
        <v>200</v>
      </c>
      <c r="AM2176" s="8"/>
      <c r="AN2176" s="8">
        <v>468</v>
      </c>
      <c r="AO2176" s="8" t="s">
        <v>56</v>
      </c>
      <c r="AP2176" s="8" t="s">
        <v>56</v>
      </c>
      <c r="AQ2176" s="8" t="s">
        <v>118</v>
      </c>
      <c r="AR2176" s="8">
        <v>8.1</v>
      </c>
      <c r="AS2176" s="8" t="s">
        <v>56</v>
      </c>
      <c r="AT2176" s="8">
        <v>0.02</v>
      </c>
      <c r="AU2176" s="8">
        <v>1038</v>
      </c>
      <c r="AV2176" t="s">
        <v>56</v>
      </c>
      <c r="AW2176" t="s">
        <v>56</v>
      </c>
      <c r="AX2176">
        <v>7.8</v>
      </c>
      <c r="AY2176" t="s">
        <v>56</v>
      </c>
      <c r="AZ2176" t="s">
        <v>56</v>
      </c>
      <c r="BA2176" s="8"/>
      <c r="BB2176" s="8">
        <f>LOG(AU2176)</f>
        <v>3.0161973535124389</v>
      </c>
      <c r="BC2176" s="8">
        <v>14</v>
      </c>
      <c r="BD2176" s="8" t="s">
        <v>56</v>
      </c>
      <c r="BE2176" s="8" t="s">
        <v>56</v>
      </c>
      <c r="BF2176" s="8">
        <v>17</v>
      </c>
      <c r="BG2176" s="8" t="s">
        <v>56</v>
      </c>
      <c r="BH2176" s="8" t="s">
        <v>56</v>
      </c>
      <c r="BI2176" s="8">
        <v>570</v>
      </c>
      <c r="BJ2176" s="8">
        <v>3</v>
      </c>
      <c r="BK2176" s="8" t="s">
        <v>574</v>
      </c>
      <c r="BL2176" s="8" t="s">
        <v>473</v>
      </c>
      <c r="BM2176" s="8" t="s">
        <v>473</v>
      </c>
      <c r="BN2176" s="8" t="s">
        <v>81</v>
      </c>
      <c r="BO2176" s="8" t="s">
        <v>82</v>
      </c>
      <c r="BP2176" s="8" t="s">
        <v>190</v>
      </c>
      <c r="BQ2176" s="8" t="s">
        <v>190</v>
      </c>
      <c r="BR2176" s="8" t="s">
        <v>84</v>
      </c>
      <c r="BS2176" s="8"/>
      <c r="BT2176" s="8">
        <v>97.98</v>
      </c>
      <c r="BU2176" s="8">
        <v>97.979798000000002</v>
      </c>
      <c r="BV2176" s="8">
        <v>3.03</v>
      </c>
      <c r="BW2176" s="8">
        <f>BV2176*SQRT(AK2176)</f>
        <v>42.850670939904781</v>
      </c>
      <c r="BX2176" s="8">
        <v>96.72</v>
      </c>
      <c r="BY2176" s="8">
        <v>96.717171699999994</v>
      </c>
      <c r="BZ2176" s="8">
        <v>5.18</v>
      </c>
      <c r="CA2176" s="8">
        <f>BZ2176*SQRT(AL2176)</f>
        <v>73.256262530926321</v>
      </c>
      <c r="CB2176" s="8">
        <v>1</v>
      </c>
      <c r="CC2176" s="8">
        <v>4</v>
      </c>
      <c r="CD2176" s="8">
        <v>-1.2999999999999999E-2</v>
      </c>
      <c r="CE2176" s="8">
        <v>3.8E-3</v>
      </c>
      <c r="CF2176" s="8" t="s">
        <v>1134</v>
      </c>
    </row>
    <row r="2177" spans="1:84" x14ac:dyDescent="0.2">
      <c r="D2177">
        <v>241</v>
      </c>
      <c r="G2177" t="s">
        <v>43</v>
      </c>
      <c r="H2177" t="s">
        <v>1068</v>
      </c>
      <c r="J2177">
        <v>2017</v>
      </c>
      <c r="M2177" t="s">
        <v>869</v>
      </c>
      <c r="T2177" t="s">
        <v>68</v>
      </c>
      <c r="U2177" t="s">
        <v>1069</v>
      </c>
      <c r="V2177" t="s">
        <v>1071</v>
      </c>
      <c r="AC2177" t="s">
        <v>51</v>
      </c>
      <c r="AF2177" t="s">
        <v>54</v>
      </c>
      <c r="AG2177" t="s">
        <v>52</v>
      </c>
      <c r="AH2177" t="s">
        <v>65</v>
      </c>
      <c r="AK2177">
        <v>3</v>
      </c>
      <c r="AL2177">
        <v>3</v>
      </c>
      <c r="AN2177">
        <v>409</v>
      </c>
      <c r="AU2177">
        <v>350</v>
      </c>
      <c r="BB2177">
        <f>LOG(AU2177)</f>
        <v>2.5440680443502757</v>
      </c>
      <c r="BC2177">
        <v>2</v>
      </c>
      <c r="BF2177">
        <v>7</v>
      </c>
      <c r="BI2177">
        <v>-59</v>
      </c>
      <c r="BJ2177">
        <v>5</v>
      </c>
      <c r="BL2177" t="s">
        <v>58</v>
      </c>
      <c r="BM2177" t="s">
        <v>59</v>
      </c>
      <c r="BN2177" t="s">
        <v>60</v>
      </c>
      <c r="BO2177" t="s">
        <v>998</v>
      </c>
      <c r="BP2177" t="s">
        <v>62</v>
      </c>
      <c r="BR2177" t="s">
        <v>63</v>
      </c>
      <c r="BT2177">
        <v>15.01</v>
      </c>
      <c r="BU2177">
        <v>15.01</v>
      </c>
      <c r="BV2177">
        <v>1.78</v>
      </c>
      <c r="BW2177">
        <f>BV2177*SQRT(AK2177)</f>
        <v>3.0830504374726013</v>
      </c>
      <c r="BX2177">
        <v>14.36</v>
      </c>
      <c r="BY2177">
        <v>14.36</v>
      </c>
      <c r="BZ2177">
        <v>1.64</v>
      </c>
      <c r="CA2177">
        <f>BZ2177*SQRT(AL2177)</f>
        <v>2.8405633244129582</v>
      </c>
      <c r="CB2177">
        <v>9</v>
      </c>
      <c r="CD2177">
        <v>-4.3999999999999997E-2</v>
      </c>
      <c r="CE2177">
        <v>2.7099999999999999E-2</v>
      </c>
    </row>
    <row r="2178" spans="1:84" x14ac:dyDescent="0.2">
      <c r="D2178">
        <v>241</v>
      </c>
      <c r="G2178" t="s">
        <v>43</v>
      </c>
      <c r="H2178" t="s">
        <v>1068</v>
      </c>
      <c r="J2178">
        <v>2017</v>
      </c>
      <c r="M2178" t="s">
        <v>869</v>
      </c>
      <c r="T2178" t="s">
        <v>68</v>
      </c>
      <c r="U2178" t="s">
        <v>1069</v>
      </c>
      <c r="V2178" t="s">
        <v>1071</v>
      </c>
      <c r="AC2178" t="s">
        <v>51</v>
      </c>
      <c r="AF2178" t="s">
        <v>54</v>
      </c>
      <c r="AG2178" t="s">
        <v>52</v>
      </c>
      <c r="AH2178" t="s">
        <v>65</v>
      </c>
      <c r="AK2178">
        <v>3</v>
      </c>
      <c r="AL2178">
        <v>3</v>
      </c>
      <c r="AN2178">
        <v>409</v>
      </c>
      <c r="AU2178">
        <v>409</v>
      </c>
      <c r="BB2178">
        <f>LOG(AU2178)</f>
        <v>2.6117233080073419</v>
      </c>
      <c r="BC2178">
        <v>2</v>
      </c>
      <c r="BF2178">
        <v>5</v>
      </c>
      <c r="BI2178">
        <v>0</v>
      </c>
      <c r="BJ2178">
        <v>3</v>
      </c>
      <c r="BL2178" t="s">
        <v>58</v>
      </c>
      <c r="BM2178" t="s">
        <v>59</v>
      </c>
      <c r="BN2178" t="s">
        <v>60</v>
      </c>
      <c r="BO2178" t="s">
        <v>998</v>
      </c>
      <c r="BP2178" t="s">
        <v>62</v>
      </c>
      <c r="BR2178" t="s">
        <v>63</v>
      </c>
      <c r="BT2178">
        <v>15.01</v>
      </c>
      <c r="BU2178">
        <v>15.01</v>
      </c>
      <c r="BV2178">
        <v>1.78</v>
      </c>
      <c r="BW2178">
        <f>BV2178*SQRT(AK2178)</f>
        <v>3.0830504374726013</v>
      </c>
      <c r="BX2178">
        <v>14.98</v>
      </c>
      <c r="BY2178">
        <v>14.98</v>
      </c>
      <c r="BZ2178">
        <v>2.8</v>
      </c>
      <c r="CA2178">
        <f>BZ2178*SQRT(AL2178)</f>
        <v>4.8497422611928558</v>
      </c>
      <c r="CB2178">
        <v>9</v>
      </c>
      <c r="CD2178">
        <v>-2E-3</v>
      </c>
      <c r="CE2178">
        <v>4.9000000000000002E-2</v>
      </c>
    </row>
    <row r="2179" spans="1:84" hidden="1" x14ac:dyDescent="0.2">
      <c r="A2179" s="8"/>
      <c r="B2179" t="str">
        <f>ROW()-1&amp;"_AltersInvert"</f>
        <v>2178_AltersInvert</v>
      </c>
      <c r="C2179" t="str">
        <f>D2179&amp;"_"&amp;
SUBSTITUTE(TRIM(V2179)," ","_")&amp;"_"&amp;
TRIM(AC2179)&amp;"_"&amp;
"CO2"&amp;TEXT(AN2179,"0.00")&amp;"_"&amp;
"pH"&amp;TEXT(AR2179,"0.00")&amp;"_"&amp;
"T"&amp;TEXT(BC2179,"0.##")</f>
        <v>58_Centrostephanus_rodgersii_EMBRYO_CO2468.00_pH8.10_T14.</v>
      </c>
      <c r="D2179" s="8">
        <v>58</v>
      </c>
      <c r="E2179" s="8"/>
      <c r="F2179" s="8"/>
      <c r="G2179" s="8" t="s">
        <v>43</v>
      </c>
      <c r="H2179" s="8" t="s">
        <v>569</v>
      </c>
      <c r="I2179" s="8" t="s">
        <v>1130</v>
      </c>
      <c r="J2179" s="8">
        <v>2014</v>
      </c>
      <c r="K2179" s="8"/>
      <c r="L2179" s="8"/>
      <c r="M2179" s="8" t="s">
        <v>67</v>
      </c>
      <c r="N2179" s="8"/>
      <c r="O2179" s="8"/>
      <c r="P2179" t="s">
        <v>1135</v>
      </c>
      <c r="Q2179" s="8"/>
      <c r="R2179" s="8" t="s">
        <v>1127</v>
      </c>
      <c r="S2179" t="s">
        <v>1128</v>
      </c>
      <c r="T2179" s="8" t="s">
        <v>46</v>
      </c>
      <c r="U2179" s="8" t="s">
        <v>570</v>
      </c>
      <c r="V2179" s="8" t="s">
        <v>571</v>
      </c>
      <c r="W2179" s="8" t="str">
        <f>IF(ISNUMBER(MATCH(#REF!,{"Doryteuthis pealeii","Loligo vulgaris","Leptuca thayeri","Stylocheilus striatus","Ophryotrocha labronica"},0)),"N","Y")</f>
        <v>Y</v>
      </c>
      <c r="X2179" s="8"/>
      <c r="Y2179" s="8"/>
      <c r="Z2179" s="8" t="s">
        <v>177</v>
      </c>
      <c r="AA2179" s="8" t="s">
        <v>177</v>
      </c>
      <c r="AB2179" s="8" t="s">
        <v>71</v>
      </c>
      <c r="AC2179" s="8" t="s">
        <v>195</v>
      </c>
      <c r="AD2179" s="8" t="s">
        <v>52</v>
      </c>
      <c r="AE2179" s="8" t="s">
        <v>53</v>
      </c>
      <c r="AF2179" s="8" t="s">
        <v>52</v>
      </c>
      <c r="AG2179" s="8" t="s">
        <v>54</v>
      </c>
      <c r="AH2179" s="8" t="s">
        <v>55</v>
      </c>
      <c r="AI2179" s="8"/>
      <c r="AJ2179" s="8"/>
      <c r="AK2179" s="8">
        <v>150</v>
      </c>
      <c r="AL2179" s="8">
        <v>150</v>
      </c>
      <c r="AM2179" s="8"/>
      <c r="AN2179" s="8">
        <v>468</v>
      </c>
      <c r="AO2179" s="8" t="s">
        <v>56</v>
      </c>
      <c r="AP2179" s="8" t="s">
        <v>56</v>
      </c>
      <c r="AQ2179" s="8" t="s">
        <v>118</v>
      </c>
      <c r="AR2179" s="8">
        <v>8.1</v>
      </c>
      <c r="AS2179" s="8" t="s">
        <v>56</v>
      </c>
      <c r="AT2179" s="8">
        <v>0.02</v>
      </c>
      <c r="AU2179" s="8">
        <v>1652</v>
      </c>
      <c r="AV2179" t="s">
        <v>56</v>
      </c>
      <c r="AW2179" t="s">
        <v>56</v>
      </c>
      <c r="AX2179">
        <v>7.6</v>
      </c>
      <c r="AY2179" t="s">
        <v>56</v>
      </c>
      <c r="AZ2179" t="s">
        <v>56</v>
      </c>
      <c r="BA2179" s="8"/>
      <c r="BB2179" s="8">
        <f>LOG(AU2179)</f>
        <v>3.2180100429843632</v>
      </c>
      <c r="BC2179" s="8">
        <v>14</v>
      </c>
      <c r="BD2179" s="8" t="s">
        <v>56</v>
      </c>
      <c r="BE2179" s="8" t="s">
        <v>56</v>
      </c>
      <c r="BF2179" s="8">
        <v>14</v>
      </c>
      <c r="BG2179" s="8" t="s">
        <v>56</v>
      </c>
      <c r="BH2179" s="8" t="s">
        <v>56</v>
      </c>
      <c r="BI2179" s="8">
        <v>1183</v>
      </c>
      <c r="BJ2179" s="8">
        <v>0</v>
      </c>
      <c r="BK2179" s="8" t="s">
        <v>574</v>
      </c>
      <c r="BL2179" s="8" t="s">
        <v>85</v>
      </c>
      <c r="BM2179" s="8" t="s">
        <v>86</v>
      </c>
      <c r="BN2179" s="8" t="s">
        <v>81</v>
      </c>
      <c r="BO2179" s="8" t="s">
        <v>82</v>
      </c>
      <c r="BP2179" s="8" t="s">
        <v>9</v>
      </c>
      <c r="BQ2179" s="8" t="s">
        <v>194</v>
      </c>
      <c r="BR2179" s="8" t="s">
        <v>84</v>
      </c>
      <c r="BS2179" s="8"/>
      <c r="BT2179" s="8">
        <v>6.22</v>
      </c>
      <c r="BU2179" s="8">
        <v>93.78</v>
      </c>
      <c r="BV2179" s="8">
        <v>3.55</v>
      </c>
      <c r="BW2179" s="8">
        <f>BV2179*SQRT(AK2179)</f>
        <v>43.478442934401407</v>
      </c>
      <c r="BX2179" s="8">
        <v>23.55</v>
      </c>
      <c r="BY2179" s="8">
        <v>76.45</v>
      </c>
      <c r="BZ2179" s="8">
        <v>23.55</v>
      </c>
      <c r="CA2179" s="8">
        <f>BZ2179*SQRT(AL2179)</f>
        <v>288.42741721271921</v>
      </c>
      <c r="CB2179" s="8">
        <v>2</v>
      </c>
      <c r="CC2179" s="8">
        <v>3</v>
      </c>
      <c r="CD2179" s="8">
        <v>-0.20399999999999999</v>
      </c>
      <c r="CE2179" s="8">
        <v>9.6299999999999997E-2</v>
      </c>
      <c r="CF2179" s="8" t="s">
        <v>1134</v>
      </c>
    </row>
    <row r="2180" spans="1:84" x14ac:dyDescent="0.2">
      <c r="D2180">
        <v>241</v>
      </c>
      <c r="G2180" t="s">
        <v>43</v>
      </c>
      <c r="H2180" t="s">
        <v>1068</v>
      </c>
      <c r="J2180">
        <v>2017</v>
      </c>
      <c r="M2180" t="s">
        <v>869</v>
      </c>
      <c r="T2180" t="s">
        <v>68</v>
      </c>
      <c r="U2180" t="s">
        <v>1069</v>
      </c>
      <c r="V2180" t="s">
        <v>1070</v>
      </c>
      <c r="AC2180" t="s">
        <v>51</v>
      </c>
      <c r="AF2180" t="s">
        <v>52</v>
      </c>
      <c r="AG2180" t="s">
        <v>52</v>
      </c>
      <c r="AH2180" t="s">
        <v>64</v>
      </c>
      <c r="AK2180">
        <v>3</v>
      </c>
      <c r="AL2180">
        <v>3</v>
      </c>
      <c r="AN2180">
        <v>409</v>
      </c>
      <c r="AU2180">
        <v>1005</v>
      </c>
      <c r="BB2180">
        <f>LOG(AU2180)</f>
        <v>3.0021660617565078</v>
      </c>
      <c r="BC2180">
        <v>2</v>
      </c>
      <c r="BF2180">
        <v>5</v>
      </c>
      <c r="BI2180">
        <v>596</v>
      </c>
      <c r="BJ2180">
        <v>3</v>
      </c>
      <c r="BL2180" t="s">
        <v>58</v>
      </c>
      <c r="BM2180" t="s">
        <v>59</v>
      </c>
      <c r="BN2180" t="s">
        <v>60</v>
      </c>
      <c r="BO2180" t="s">
        <v>998</v>
      </c>
      <c r="BP2180" t="s">
        <v>62</v>
      </c>
      <c r="BR2180" t="s">
        <v>63</v>
      </c>
      <c r="BT2180">
        <v>16.149999999999999</v>
      </c>
      <c r="BU2180">
        <v>16.149999999999999</v>
      </c>
      <c r="BV2180">
        <v>1.32</v>
      </c>
      <c r="BW2180">
        <f>BV2180*SQRT(AK2180)</f>
        <v>2.2863070659909179</v>
      </c>
      <c r="BX2180">
        <v>15.9</v>
      </c>
      <c r="BY2180">
        <v>15.9</v>
      </c>
      <c r="BZ2180">
        <v>1.55</v>
      </c>
      <c r="CA2180">
        <f>BZ2180*SQRT(AL2180)</f>
        <v>2.6846787517317598</v>
      </c>
      <c r="CB2180">
        <v>9</v>
      </c>
      <c r="CD2180">
        <v>-1.6E-2</v>
      </c>
      <c r="CE2180">
        <v>1.6199999999999999E-2</v>
      </c>
    </row>
    <row r="2181" spans="1:84" x14ac:dyDescent="0.2">
      <c r="D2181">
        <v>241</v>
      </c>
      <c r="G2181" t="s">
        <v>43</v>
      </c>
      <c r="H2181" t="s">
        <v>1068</v>
      </c>
      <c r="J2181">
        <v>2017</v>
      </c>
      <c r="M2181" t="s">
        <v>869</v>
      </c>
      <c r="T2181" t="s">
        <v>68</v>
      </c>
      <c r="U2181" t="s">
        <v>1069</v>
      </c>
      <c r="V2181" t="s">
        <v>1071</v>
      </c>
      <c r="AC2181" t="s">
        <v>51</v>
      </c>
      <c r="AF2181" t="s">
        <v>52</v>
      </c>
      <c r="AG2181" t="s">
        <v>52</v>
      </c>
      <c r="AH2181" t="s">
        <v>64</v>
      </c>
      <c r="AK2181">
        <v>3</v>
      </c>
      <c r="AL2181">
        <v>3</v>
      </c>
      <c r="AN2181">
        <v>409</v>
      </c>
      <c r="AU2181">
        <v>729</v>
      </c>
      <c r="BB2181">
        <f>LOG(AU2181)</f>
        <v>2.8627275283179747</v>
      </c>
      <c r="BC2181">
        <v>2</v>
      </c>
      <c r="BF2181">
        <v>5</v>
      </c>
      <c r="BI2181">
        <v>320</v>
      </c>
      <c r="BJ2181">
        <v>3</v>
      </c>
      <c r="BL2181" t="s">
        <v>58</v>
      </c>
      <c r="BM2181" t="s">
        <v>59</v>
      </c>
      <c r="BN2181" t="s">
        <v>60</v>
      </c>
      <c r="BO2181" t="s">
        <v>998</v>
      </c>
      <c r="BP2181" t="s">
        <v>62</v>
      </c>
      <c r="BR2181" t="s">
        <v>63</v>
      </c>
      <c r="BT2181">
        <v>15.01</v>
      </c>
      <c r="BU2181">
        <v>15.01</v>
      </c>
      <c r="BV2181">
        <v>1.78</v>
      </c>
      <c r="BW2181">
        <f>BV2181*SQRT(AK2181)</f>
        <v>3.0830504374726013</v>
      </c>
      <c r="BX2181">
        <v>16.2</v>
      </c>
      <c r="BY2181">
        <v>16.2</v>
      </c>
      <c r="BZ2181">
        <v>1.95</v>
      </c>
      <c r="CA2181">
        <f>BZ2181*SQRT(AL2181)</f>
        <v>3.3774990747593105</v>
      </c>
      <c r="CB2181">
        <v>9</v>
      </c>
      <c r="CD2181">
        <v>7.5999999999999998E-2</v>
      </c>
      <c r="CE2181">
        <v>2.8500000000000001E-2</v>
      </c>
    </row>
    <row r="2182" spans="1:84" x14ac:dyDescent="0.2">
      <c r="D2182">
        <v>241</v>
      </c>
      <c r="G2182" t="s">
        <v>43</v>
      </c>
      <c r="H2182" t="s">
        <v>1068</v>
      </c>
      <c r="J2182">
        <v>2017</v>
      </c>
      <c r="M2182" t="s">
        <v>869</v>
      </c>
      <c r="T2182" t="s">
        <v>68</v>
      </c>
      <c r="U2182" t="s">
        <v>1069</v>
      </c>
      <c r="V2182" t="s">
        <v>1070</v>
      </c>
      <c r="AC2182" t="s">
        <v>51</v>
      </c>
      <c r="AF2182" t="s">
        <v>52</v>
      </c>
      <c r="AG2182" t="s">
        <v>54</v>
      </c>
      <c r="AH2182" t="s">
        <v>55</v>
      </c>
      <c r="AK2182">
        <v>3</v>
      </c>
      <c r="AL2182">
        <v>3</v>
      </c>
      <c r="AN2182">
        <v>409</v>
      </c>
      <c r="AU2182">
        <v>1015</v>
      </c>
      <c r="BB2182">
        <f>LOG(AU2182)</f>
        <v>3.0064660422492318</v>
      </c>
      <c r="BC2182">
        <v>2</v>
      </c>
      <c r="BF2182">
        <v>2</v>
      </c>
      <c r="BI2182">
        <v>606</v>
      </c>
      <c r="BJ2182">
        <v>0</v>
      </c>
      <c r="BL2182" t="s">
        <v>58</v>
      </c>
      <c r="BM2182" t="s">
        <v>59</v>
      </c>
      <c r="BN2182" t="s">
        <v>60</v>
      </c>
      <c r="BO2182" t="s">
        <v>998</v>
      </c>
      <c r="BP2182" t="s">
        <v>62</v>
      </c>
      <c r="BR2182" t="s">
        <v>63</v>
      </c>
      <c r="BT2182">
        <v>16.149999999999999</v>
      </c>
      <c r="BU2182">
        <v>16.149999999999999</v>
      </c>
      <c r="BV2182">
        <v>1.32</v>
      </c>
      <c r="BW2182">
        <f>BV2182*SQRT(AK2182)</f>
        <v>2.2863070659909179</v>
      </c>
      <c r="BX2182">
        <v>16.62</v>
      </c>
      <c r="BY2182">
        <v>16.62</v>
      </c>
      <c r="BZ2182">
        <v>1.19</v>
      </c>
      <c r="CA2182">
        <f>BZ2182*SQRT(AL2182)</f>
        <v>2.0611404610069637</v>
      </c>
      <c r="CB2182">
        <v>9</v>
      </c>
      <c r="CD2182">
        <v>2.9000000000000001E-2</v>
      </c>
      <c r="CE2182">
        <v>1.18E-2</v>
      </c>
    </row>
    <row r="2183" spans="1:84" x14ac:dyDescent="0.2">
      <c r="D2183">
        <v>241</v>
      </c>
      <c r="G2183" t="s">
        <v>43</v>
      </c>
      <c r="H2183" t="s">
        <v>1068</v>
      </c>
      <c r="J2183">
        <v>2017</v>
      </c>
      <c r="M2183" t="s">
        <v>869</v>
      </c>
      <c r="T2183" t="s">
        <v>68</v>
      </c>
      <c r="U2183" t="s">
        <v>1069</v>
      </c>
      <c r="V2183" t="s">
        <v>1070</v>
      </c>
      <c r="AC2183" t="s">
        <v>51</v>
      </c>
      <c r="AF2183" t="s">
        <v>54</v>
      </c>
      <c r="AG2183" t="s">
        <v>52</v>
      </c>
      <c r="AH2183" t="s">
        <v>65</v>
      </c>
      <c r="AK2183">
        <v>3</v>
      </c>
      <c r="AL2183">
        <v>3</v>
      </c>
      <c r="AN2183">
        <v>409</v>
      </c>
      <c r="AU2183">
        <v>409</v>
      </c>
      <c r="BB2183">
        <f>LOG(AU2183)</f>
        <v>2.6117233080073419</v>
      </c>
      <c r="BC2183">
        <v>2</v>
      </c>
      <c r="BF2183">
        <v>5</v>
      </c>
      <c r="BI2183">
        <v>0</v>
      </c>
      <c r="BJ2183">
        <v>3</v>
      </c>
      <c r="BL2183" t="s">
        <v>58</v>
      </c>
      <c r="BM2183" t="s">
        <v>59</v>
      </c>
      <c r="BN2183" t="s">
        <v>60</v>
      </c>
      <c r="BO2183" t="s">
        <v>998</v>
      </c>
      <c r="BP2183" t="s">
        <v>62</v>
      </c>
      <c r="BR2183" t="s">
        <v>63</v>
      </c>
      <c r="BT2183">
        <v>16.149999999999999</v>
      </c>
      <c r="BU2183">
        <v>16.149999999999999</v>
      </c>
      <c r="BV2183">
        <v>1.32</v>
      </c>
      <c r="BW2183">
        <f>BV2183*SQRT(AK2183)</f>
        <v>2.2863070659909179</v>
      </c>
      <c r="BX2183">
        <v>16.88</v>
      </c>
      <c r="BY2183">
        <v>16.88</v>
      </c>
      <c r="BZ2183">
        <v>2.66</v>
      </c>
      <c r="CA2183">
        <f>BZ2183*SQRT(AL2183)</f>
        <v>4.6072551481332136</v>
      </c>
      <c r="CB2183">
        <v>9</v>
      </c>
      <c r="CD2183">
        <v>4.3999999999999997E-2</v>
      </c>
      <c r="CE2183">
        <v>3.15E-2</v>
      </c>
    </row>
    <row r="2184" spans="1:84" hidden="1" x14ac:dyDescent="0.2">
      <c r="A2184" s="8"/>
      <c r="B2184" t="str">
        <f>ROW()-1&amp;"_AltersInvert"</f>
        <v>2183_AltersInvert</v>
      </c>
      <c r="C2184" t="str">
        <f>D2184&amp;"_"&amp;
SUBSTITUTE(TRIM(V2184)," ","_")&amp;"_"&amp;
TRIM(AC2184)&amp;"_"&amp;
"CO2"&amp;TEXT(AN2184,"0.00")&amp;"_"&amp;
"pH"&amp;TEXT(AR2184,"0.00")&amp;"_"&amp;
"T"&amp;TEXT(BC2184,"0.##")</f>
        <v>58_Centrostephanus_rodgersii_EMBRYO_CO2468.00_pH8.10_T14.</v>
      </c>
      <c r="D2184" s="8">
        <v>58</v>
      </c>
      <c r="E2184" s="8"/>
      <c r="F2184" s="8"/>
      <c r="G2184" s="8" t="s">
        <v>43</v>
      </c>
      <c r="H2184" s="8" t="s">
        <v>569</v>
      </c>
      <c r="I2184" s="8" t="s">
        <v>1130</v>
      </c>
      <c r="J2184" s="8">
        <v>2014</v>
      </c>
      <c r="K2184" s="8"/>
      <c r="L2184" s="8"/>
      <c r="M2184" s="8" t="s">
        <v>67</v>
      </c>
      <c r="N2184" s="8"/>
      <c r="O2184" s="8"/>
      <c r="P2184" t="s">
        <v>1135</v>
      </c>
      <c r="Q2184" s="8"/>
      <c r="R2184" s="8" t="s">
        <v>1127</v>
      </c>
      <c r="S2184" t="s">
        <v>1128</v>
      </c>
      <c r="T2184" s="8" t="s">
        <v>46</v>
      </c>
      <c r="U2184" s="8" t="s">
        <v>570</v>
      </c>
      <c r="V2184" s="8" t="s">
        <v>571</v>
      </c>
      <c r="W2184" s="8" t="str">
        <f>IF(ISNUMBER(MATCH(#REF!,{"Doryteuthis pealeii","Loligo vulgaris","Leptuca thayeri","Stylocheilus striatus","Ophryotrocha labronica"},0)),"N","Y")</f>
        <v>Y</v>
      </c>
      <c r="X2184" s="8"/>
      <c r="Y2184" s="8"/>
      <c r="Z2184" s="8" t="s">
        <v>177</v>
      </c>
      <c r="AA2184" s="8" t="s">
        <v>177</v>
      </c>
      <c r="AB2184" s="8" t="s">
        <v>71</v>
      </c>
      <c r="AC2184" s="8" t="s">
        <v>195</v>
      </c>
      <c r="AD2184" s="8" t="s">
        <v>52</v>
      </c>
      <c r="AE2184" s="8" t="s">
        <v>53</v>
      </c>
      <c r="AF2184" s="8" t="s">
        <v>52</v>
      </c>
      <c r="AG2184" s="8" t="s">
        <v>54</v>
      </c>
      <c r="AH2184" s="8" t="s">
        <v>55</v>
      </c>
      <c r="AI2184" s="8"/>
      <c r="AJ2184" s="8"/>
      <c r="AK2184" s="8">
        <v>150</v>
      </c>
      <c r="AL2184" s="8">
        <v>150</v>
      </c>
      <c r="AM2184" s="8"/>
      <c r="AN2184" s="8">
        <v>468</v>
      </c>
      <c r="AO2184" s="8" t="s">
        <v>56</v>
      </c>
      <c r="AP2184" s="8" t="s">
        <v>56</v>
      </c>
      <c r="AQ2184" s="8" t="s">
        <v>118</v>
      </c>
      <c r="AR2184" s="8">
        <v>8.1</v>
      </c>
      <c r="AS2184" s="8" t="s">
        <v>56</v>
      </c>
      <c r="AT2184" s="8">
        <v>0.02</v>
      </c>
      <c r="AU2184" s="8">
        <v>6238</v>
      </c>
      <c r="AV2184" t="s">
        <v>56</v>
      </c>
      <c r="AW2184" t="s">
        <v>56</v>
      </c>
      <c r="AX2184">
        <v>7.04</v>
      </c>
      <c r="AY2184" t="s">
        <v>56</v>
      </c>
      <c r="AZ2184" t="s">
        <v>56</v>
      </c>
      <c r="BA2184" s="8"/>
      <c r="BB2184" s="8">
        <f>LOG(AU2184)</f>
        <v>3.7950453704211249</v>
      </c>
      <c r="BC2184" s="8">
        <v>14</v>
      </c>
      <c r="BD2184" s="8" t="s">
        <v>56</v>
      </c>
      <c r="BE2184" s="8" t="s">
        <v>56</v>
      </c>
      <c r="BF2184" s="8">
        <v>14</v>
      </c>
      <c r="BG2184" s="8" t="s">
        <v>56</v>
      </c>
      <c r="BH2184" s="8" t="s">
        <v>56</v>
      </c>
      <c r="BI2184" s="8">
        <v>5769</v>
      </c>
      <c r="BJ2184" s="8">
        <v>0</v>
      </c>
      <c r="BK2184" s="8" t="s">
        <v>574</v>
      </c>
      <c r="BL2184" s="8" t="s">
        <v>85</v>
      </c>
      <c r="BM2184" s="8" t="s">
        <v>86</v>
      </c>
      <c r="BN2184" s="8" t="s">
        <v>81</v>
      </c>
      <c r="BO2184" s="8" t="s">
        <v>82</v>
      </c>
      <c r="BP2184" s="8" t="s">
        <v>9</v>
      </c>
      <c r="BQ2184" s="8" t="s">
        <v>9</v>
      </c>
      <c r="BR2184" s="8" t="s">
        <v>84</v>
      </c>
      <c r="BS2184" s="8"/>
      <c r="BT2184" s="8">
        <v>6.22</v>
      </c>
      <c r="BU2184" s="8">
        <v>93.78</v>
      </c>
      <c r="BV2184" s="8">
        <v>3.55</v>
      </c>
      <c r="BW2184" s="8">
        <f>BV2184*SQRT(AK2184)</f>
        <v>43.478442934401407</v>
      </c>
      <c r="BX2184" s="8">
        <v>21.77</v>
      </c>
      <c r="BY2184" s="8">
        <v>78.23</v>
      </c>
      <c r="BZ2184" s="8">
        <v>21.77</v>
      </c>
      <c r="CA2184" s="8">
        <f>BZ2184*SQRT(AL2184)</f>
        <v>266.62695850194893</v>
      </c>
      <c r="CB2184" s="8">
        <v>2</v>
      </c>
      <c r="CC2184" s="8">
        <v>3</v>
      </c>
      <c r="CD2184" s="8">
        <v>-0.18099999999999999</v>
      </c>
      <c r="CE2184" s="8">
        <v>7.8899999999999998E-2</v>
      </c>
      <c r="CF2184" s="8" t="s">
        <v>1134</v>
      </c>
    </row>
    <row r="2185" spans="1:84" x14ac:dyDescent="0.2">
      <c r="D2185">
        <v>241</v>
      </c>
      <c r="G2185" t="s">
        <v>43</v>
      </c>
      <c r="H2185" t="s">
        <v>1068</v>
      </c>
      <c r="J2185">
        <v>2017</v>
      </c>
      <c r="M2185" t="s">
        <v>869</v>
      </c>
      <c r="T2185" t="s">
        <v>68</v>
      </c>
      <c r="U2185" t="s">
        <v>1069</v>
      </c>
      <c r="V2185" t="s">
        <v>1071</v>
      </c>
      <c r="AC2185" t="s">
        <v>51</v>
      </c>
      <c r="AF2185" t="s">
        <v>52</v>
      </c>
      <c r="AG2185" t="s">
        <v>54</v>
      </c>
      <c r="AH2185" t="s">
        <v>55</v>
      </c>
      <c r="AK2185">
        <v>3</v>
      </c>
      <c r="AL2185">
        <v>3</v>
      </c>
      <c r="AN2185">
        <v>409</v>
      </c>
      <c r="AU2185">
        <v>1015</v>
      </c>
      <c r="BB2185">
        <f>LOG(AU2185)</f>
        <v>3.0064660422492318</v>
      </c>
      <c r="BC2185">
        <v>2</v>
      </c>
      <c r="BF2185">
        <v>2</v>
      </c>
      <c r="BI2185">
        <v>606</v>
      </c>
      <c r="BJ2185">
        <v>0</v>
      </c>
      <c r="BL2185" t="s">
        <v>58</v>
      </c>
      <c r="BM2185" t="s">
        <v>59</v>
      </c>
      <c r="BN2185" t="s">
        <v>60</v>
      </c>
      <c r="BO2185" t="s">
        <v>998</v>
      </c>
      <c r="BP2185" t="s">
        <v>62</v>
      </c>
      <c r="BR2185" t="s">
        <v>63</v>
      </c>
      <c r="BT2185">
        <v>15.01</v>
      </c>
      <c r="BU2185">
        <v>15.01</v>
      </c>
      <c r="BV2185">
        <v>1.78</v>
      </c>
      <c r="BW2185">
        <f>BV2185*SQRT(AK2185)</f>
        <v>3.0830504374726013</v>
      </c>
      <c r="BX2185">
        <v>18.100000000000001</v>
      </c>
      <c r="BY2185">
        <v>18.100000000000001</v>
      </c>
      <c r="BZ2185">
        <v>2.92</v>
      </c>
      <c r="CA2185">
        <f>BZ2185*SQRT(AL2185)</f>
        <v>5.0575883581011212</v>
      </c>
      <c r="CB2185">
        <v>9</v>
      </c>
      <c r="CD2185">
        <v>0.187</v>
      </c>
      <c r="CE2185">
        <v>0.04</v>
      </c>
    </row>
    <row r="2186" spans="1:84" hidden="1" x14ac:dyDescent="0.2">
      <c r="D2186">
        <v>229</v>
      </c>
      <c r="G2186" t="s">
        <v>43</v>
      </c>
      <c r="H2186" t="s">
        <v>1050</v>
      </c>
      <c r="J2186">
        <v>2019</v>
      </c>
      <c r="M2186" t="s">
        <v>997</v>
      </c>
      <c r="T2186" t="s">
        <v>68</v>
      </c>
      <c r="V2186" t="s">
        <v>556</v>
      </c>
      <c r="AC2186" t="s">
        <v>51</v>
      </c>
      <c r="AF2186" t="s">
        <v>52</v>
      </c>
      <c r="AG2186" t="s">
        <v>52</v>
      </c>
      <c r="AH2186" t="s">
        <v>64</v>
      </c>
      <c r="AK2186">
        <v>5</v>
      </c>
      <c r="AL2186">
        <v>5</v>
      </c>
      <c r="AN2186">
        <v>362</v>
      </c>
      <c r="AU2186">
        <v>946</v>
      </c>
      <c r="BB2186">
        <f>LOG(AU2186)</f>
        <v>2.9758911364017928</v>
      </c>
      <c r="BC2186">
        <v>9</v>
      </c>
      <c r="BF2186">
        <v>12</v>
      </c>
      <c r="BI2186">
        <v>584</v>
      </c>
      <c r="BJ2186">
        <v>3.3</v>
      </c>
      <c r="BL2186" t="s">
        <v>232</v>
      </c>
      <c r="BM2186" t="s">
        <v>232</v>
      </c>
      <c r="BN2186" t="s">
        <v>81</v>
      </c>
      <c r="BO2186" t="s">
        <v>1010</v>
      </c>
      <c r="BP2186" t="s">
        <v>234</v>
      </c>
      <c r="BR2186" t="s">
        <v>63</v>
      </c>
      <c r="BT2186">
        <v>3.45148901</v>
      </c>
      <c r="BU2186">
        <v>3.451489</v>
      </c>
      <c r="BV2186">
        <v>2.0699999999999998</v>
      </c>
      <c r="BW2186">
        <f>BV2186*SQRT(AK2186)</f>
        <v>4.6286607134245648</v>
      </c>
      <c r="BX2186">
        <v>18.264362429999998</v>
      </c>
      <c r="BY2186">
        <v>18.2643624</v>
      </c>
      <c r="BZ2186">
        <v>8.2100000000000009</v>
      </c>
      <c r="CA2186">
        <f>BZ2186*SQRT(AL2186)</f>
        <v>18.358118095273277</v>
      </c>
      <c r="CB2186">
        <v>60</v>
      </c>
      <c r="CD2186">
        <v>1.6659999999999999</v>
      </c>
      <c r="CE2186">
        <v>0.56040000000000001</v>
      </c>
    </row>
    <row r="2187" spans="1:84" hidden="1" x14ac:dyDescent="0.2">
      <c r="A2187" s="8"/>
      <c r="B2187" t="str">
        <f>ROW()-1&amp;"_AltersInvert"</f>
        <v>2186_AltersInvert</v>
      </c>
      <c r="C2187" t="str">
        <f>D2187&amp;"_"&amp;
SUBSTITUTE(TRIM(V2187)," ","_")&amp;"_"&amp;
TRIM(AC2187)&amp;"_"&amp;
"CO2"&amp;TEXT(AN2187,"0.00")&amp;"_"&amp;
"pH"&amp;TEXT(AR2187,"0.00")&amp;"_"&amp;
"T"&amp;TEXT(BC2187,"0.##")</f>
        <v>58_Centrostephanus_rodgersii_EMBRYO_CO2468.00_pH8.10_T14.</v>
      </c>
      <c r="D2187" s="8">
        <v>58</v>
      </c>
      <c r="E2187" s="8"/>
      <c r="F2187" s="8"/>
      <c r="G2187" s="8" t="s">
        <v>43</v>
      </c>
      <c r="H2187" s="8" t="s">
        <v>569</v>
      </c>
      <c r="I2187" s="8" t="s">
        <v>1130</v>
      </c>
      <c r="J2187" s="8">
        <v>2014</v>
      </c>
      <c r="K2187" s="8"/>
      <c r="L2187" s="8"/>
      <c r="M2187" s="8" t="s">
        <v>67</v>
      </c>
      <c r="N2187" s="8"/>
      <c r="O2187" s="8"/>
      <c r="P2187" t="s">
        <v>1135</v>
      </c>
      <c r="Q2187" s="8"/>
      <c r="R2187" s="8" t="s">
        <v>1127</v>
      </c>
      <c r="S2187" t="s">
        <v>1128</v>
      </c>
      <c r="T2187" s="8" t="s">
        <v>46</v>
      </c>
      <c r="U2187" s="8" t="s">
        <v>570</v>
      </c>
      <c r="V2187" s="8" t="s">
        <v>571</v>
      </c>
      <c r="W2187" s="8" t="str">
        <f>IF(ISNUMBER(MATCH(#REF!,{"Doryteuthis pealeii","Loligo vulgaris","Leptuca thayeri","Stylocheilus striatus","Ophryotrocha labronica"},0)),"N","Y")</f>
        <v>Y</v>
      </c>
      <c r="X2187" s="8"/>
      <c r="Y2187" s="8"/>
      <c r="Z2187" s="8" t="s">
        <v>177</v>
      </c>
      <c r="AA2187" s="8" t="s">
        <v>177</v>
      </c>
      <c r="AB2187" s="8" t="s">
        <v>71</v>
      </c>
      <c r="AC2187" s="8" t="s">
        <v>195</v>
      </c>
      <c r="AD2187" s="8" t="s">
        <v>52</v>
      </c>
      <c r="AE2187" s="8" t="s">
        <v>53</v>
      </c>
      <c r="AF2187" s="8" t="s">
        <v>52</v>
      </c>
      <c r="AG2187" s="8" t="s">
        <v>54</v>
      </c>
      <c r="AH2187" s="8" t="s">
        <v>55</v>
      </c>
      <c r="AI2187" s="8"/>
      <c r="AJ2187" s="8"/>
      <c r="AK2187" s="8">
        <v>150</v>
      </c>
      <c r="AL2187" s="8">
        <v>150</v>
      </c>
      <c r="AM2187" s="8"/>
      <c r="AN2187" s="8">
        <v>468</v>
      </c>
      <c r="AO2187" s="8" t="s">
        <v>56</v>
      </c>
      <c r="AP2187" s="8" t="s">
        <v>56</v>
      </c>
      <c r="AQ2187" s="8" t="s">
        <v>118</v>
      </c>
      <c r="AR2187" s="8">
        <v>8.1</v>
      </c>
      <c r="AS2187" s="8" t="s">
        <v>56</v>
      </c>
      <c r="AT2187" s="8">
        <v>0.02</v>
      </c>
      <c r="AU2187" s="8">
        <v>1011</v>
      </c>
      <c r="AV2187" t="s">
        <v>56</v>
      </c>
      <c r="AW2187" t="s">
        <v>56</v>
      </c>
      <c r="AX2187">
        <v>7.8</v>
      </c>
      <c r="AY2187" t="s">
        <v>56</v>
      </c>
      <c r="AZ2187" t="s">
        <v>56</v>
      </c>
      <c r="BA2187" s="8"/>
      <c r="BB2187" s="8">
        <f>LOG(AU2187)</f>
        <v>3.0047511555910011</v>
      </c>
      <c r="BC2187" s="8">
        <v>14</v>
      </c>
      <c r="BD2187" s="8" t="s">
        <v>56</v>
      </c>
      <c r="BE2187" s="8" t="s">
        <v>56</v>
      </c>
      <c r="BF2187" s="8">
        <v>14</v>
      </c>
      <c r="BG2187" s="8" t="s">
        <v>56</v>
      </c>
      <c r="BH2187" s="8" t="s">
        <v>56</v>
      </c>
      <c r="BI2187" s="8">
        <v>542</v>
      </c>
      <c r="BJ2187" s="8">
        <v>0</v>
      </c>
      <c r="BK2187" s="8" t="s">
        <v>574</v>
      </c>
      <c r="BL2187" s="8" t="s">
        <v>85</v>
      </c>
      <c r="BM2187" s="8" t="s">
        <v>86</v>
      </c>
      <c r="BN2187" s="8" t="s">
        <v>81</v>
      </c>
      <c r="BO2187" s="8" t="s">
        <v>82</v>
      </c>
      <c r="BP2187" s="8" t="s">
        <v>9</v>
      </c>
      <c r="BQ2187" s="8" t="s">
        <v>9</v>
      </c>
      <c r="BR2187" s="8" t="s">
        <v>84</v>
      </c>
      <c r="BS2187" s="8"/>
      <c r="BT2187" s="8">
        <v>6.22</v>
      </c>
      <c r="BU2187" s="8">
        <v>93.78</v>
      </c>
      <c r="BV2187" s="8">
        <v>3.55</v>
      </c>
      <c r="BW2187" s="8">
        <f>BV2187*SQRT(AK2187)</f>
        <v>43.478442934401407</v>
      </c>
      <c r="BX2187" s="8">
        <v>14.22</v>
      </c>
      <c r="BY2187" s="8">
        <v>85.78</v>
      </c>
      <c r="BZ2187" s="8">
        <v>14.22</v>
      </c>
      <c r="CA2187" s="8">
        <f>BZ2187*SQRT(AL2187)</f>
        <v>174.15872071188397</v>
      </c>
      <c r="CB2187" s="8">
        <v>2</v>
      </c>
      <c r="CC2187" s="8">
        <v>3</v>
      </c>
      <c r="CD2187" s="8">
        <v>-8.8999999999999996E-2</v>
      </c>
      <c r="CE2187" s="8">
        <v>2.8899999999999999E-2</v>
      </c>
      <c r="CF2187" s="8" t="s">
        <v>1134</v>
      </c>
    </row>
    <row r="2188" spans="1:84" x14ac:dyDescent="0.2">
      <c r="D2188">
        <v>241</v>
      </c>
      <c r="G2188" t="s">
        <v>43</v>
      </c>
      <c r="H2188" t="s">
        <v>1068</v>
      </c>
      <c r="J2188">
        <v>2017</v>
      </c>
      <c r="M2188" t="s">
        <v>869</v>
      </c>
      <c r="T2188" t="s">
        <v>68</v>
      </c>
      <c r="U2188" t="s">
        <v>1069</v>
      </c>
      <c r="V2188" t="s">
        <v>1071</v>
      </c>
      <c r="AC2188" t="s">
        <v>51</v>
      </c>
      <c r="AF2188" t="s">
        <v>52</v>
      </c>
      <c r="AG2188" t="s">
        <v>54</v>
      </c>
      <c r="AH2188" t="s">
        <v>55</v>
      </c>
      <c r="AK2188">
        <v>3</v>
      </c>
      <c r="AL2188">
        <v>3</v>
      </c>
      <c r="AN2188">
        <v>409</v>
      </c>
      <c r="AU2188">
        <v>741</v>
      </c>
      <c r="BB2188">
        <f>LOG(AU2188)</f>
        <v>2.869818207979328</v>
      </c>
      <c r="BC2188">
        <v>2</v>
      </c>
      <c r="BF2188">
        <v>2</v>
      </c>
      <c r="BI2188">
        <v>332</v>
      </c>
      <c r="BJ2188">
        <v>0</v>
      </c>
      <c r="BL2188" t="s">
        <v>58</v>
      </c>
      <c r="BM2188" t="s">
        <v>59</v>
      </c>
      <c r="BN2188" t="s">
        <v>60</v>
      </c>
      <c r="BO2188" t="s">
        <v>998</v>
      </c>
      <c r="BP2188" t="s">
        <v>62</v>
      </c>
      <c r="BR2188" t="s">
        <v>63</v>
      </c>
      <c r="BT2188">
        <v>15.01</v>
      </c>
      <c r="BU2188">
        <v>15.01</v>
      </c>
      <c r="BV2188">
        <v>1.78</v>
      </c>
      <c r="BW2188">
        <f>BV2188*SQRT(AK2188)</f>
        <v>3.0830504374726013</v>
      </c>
      <c r="BX2188">
        <v>18.78</v>
      </c>
      <c r="BY2188">
        <v>18.78</v>
      </c>
      <c r="BZ2188">
        <v>3.15</v>
      </c>
      <c r="CA2188">
        <f>BZ2188*SQRT(AL2188)</f>
        <v>5.4559600438419631</v>
      </c>
      <c r="CB2188">
        <v>9</v>
      </c>
      <c r="CD2188">
        <v>0.224</v>
      </c>
      <c r="CE2188">
        <v>4.2200000000000001E-2</v>
      </c>
    </row>
    <row r="2189" spans="1:84" hidden="1" x14ac:dyDescent="0.2">
      <c r="D2189">
        <v>229</v>
      </c>
      <c r="G2189" t="s">
        <v>43</v>
      </c>
      <c r="H2189" t="s">
        <v>1050</v>
      </c>
      <c r="J2189">
        <v>2019</v>
      </c>
      <c r="M2189" t="s">
        <v>997</v>
      </c>
      <c r="T2189" t="s">
        <v>68</v>
      </c>
      <c r="V2189" t="s">
        <v>556</v>
      </c>
      <c r="AC2189" t="s">
        <v>51</v>
      </c>
      <c r="AF2189" t="s">
        <v>54</v>
      </c>
      <c r="AG2189" t="s">
        <v>52</v>
      </c>
      <c r="AH2189" t="s">
        <v>65</v>
      </c>
      <c r="AK2189">
        <v>5</v>
      </c>
      <c r="AL2189">
        <v>5</v>
      </c>
      <c r="AN2189">
        <v>362</v>
      </c>
      <c r="AU2189">
        <v>454</v>
      </c>
      <c r="BB2189">
        <f>LOG(AU2189)</f>
        <v>2.6570558528571038</v>
      </c>
      <c r="BC2189">
        <v>9</v>
      </c>
      <c r="BF2189">
        <v>12</v>
      </c>
      <c r="BI2189">
        <v>92</v>
      </c>
      <c r="BJ2189">
        <v>3.3</v>
      </c>
      <c r="BL2189" t="s">
        <v>232</v>
      </c>
      <c r="BM2189" t="s">
        <v>232</v>
      </c>
      <c r="BN2189" t="s">
        <v>81</v>
      </c>
      <c r="BO2189" t="s">
        <v>1010</v>
      </c>
      <c r="BP2189" t="s">
        <v>234</v>
      </c>
      <c r="BR2189" t="s">
        <v>63</v>
      </c>
      <c r="BT2189">
        <v>3.45148901</v>
      </c>
      <c r="BU2189">
        <v>3.451489</v>
      </c>
      <c r="BV2189">
        <v>2.0699999999999998</v>
      </c>
      <c r="BW2189">
        <f>BV2189*SQRT(AK2189)</f>
        <v>4.6286607134245648</v>
      </c>
      <c r="BX2189">
        <v>18.994144439999999</v>
      </c>
      <c r="BY2189">
        <v>18.9941444</v>
      </c>
      <c r="BZ2189">
        <v>9.44</v>
      </c>
      <c r="CA2189">
        <f>BZ2189*SQRT(AL2189)</f>
        <v>21.108481707598013</v>
      </c>
      <c r="CB2189">
        <v>60</v>
      </c>
      <c r="CD2189">
        <v>1.7050000000000001</v>
      </c>
      <c r="CE2189">
        <v>0.60529999999999995</v>
      </c>
    </row>
    <row r="2190" spans="1:84" x14ac:dyDescent="0.2">
      <c r="D2190">
        <v>241</v>
      </c>
      <c r="G2190" t="s">
        <v>43</v>
      </c>
      <c r="H2190" t="s">
        <v>1068</v>
      </c>
      <c r="J2190">
        <v>2017</v>
      </c>
      <c r="M2190" t="s">
        <v>869</v>
      </c>
      <c r="T2190" t="s">
        <v>68</v>
      </c>
      <c r="U2190" t="s">
        <v>1069</v>
      </c>
      <c r="V2190" t="s">
        <v>1071</v>
      </c>
      <c r="AC2190" t="s">
        <v>51</v>
      </c>
      <c r="AF2190" t="s">
        <v>52</v>
      </c>
      <c r="AG2190" t="s">
        <v>52</v>
      </c>
      <c r="AH2190" t="s">
        <v>64</v>
      </c>
      <c r="AK2190">
        <v>3</v>
      </c>
      <c r="AL2190">
        <v>3</v>
      </c>
      <c r="AN2190">
        <v>409</v>
      </c>
      <c r="AU2190">
        <v>880</v>
      </c>
      <c r="BB2190">
        <f>LOG(AU2190)</f>
        <v>2.9444826721501687</v>
      </c>
      <c r="BC2190">
        <v>2</v>
      </c>
      <c r="BF2190">
        <v>7</v>
      </c>
      <c r="BI2190">
        <v>471</v>
      </c>
      <c r="BJ2190">
        <v>5</v>
      </c>
      <c r="BL2190" t="s">
        <v>58</v>
      </c>
      <c r="BM2190" t="s">
        <v>59</v>
      </c>
      <c r="BN2190" t="s">
        <v>60</v>
      </c>
      <c r="BO2190" t="s">
        <v>998</v>
      </c>
      <c r="BP2190" t="s">
        <v>62</v>
      </c>
      <c r="BR2190" t="s">
        <v>63</v>
      </c>
      <c r="BT2190">
        <v>15.01</v>
      </c>
      <c r="BU2190">
        <v>15.01</v>
      </c>
      <c r="BV2190">
        <v>1.78</v>
      </c>
      <c r="BW2190">
        <f>BV2190*SQRT(AK2190)</f>
        <v>3.0830504374726013</v>
      </c>
      <c r="BX2190">
        <v>19.79</v>
      </c>
      <c r="BY2190">
        <v>19.79</v>
      </c>
      <c r="BZ2190">
        <v>1.6</v>
      </c>
      <c r="CA2190">
        <f>BZ2190*SQRT(AL2190)</f>
        <v>2.7712812921102037</v>
      </c>
      <c r="CB2190">
        <v>9</v>
      </c>
      <c r="CD2190">
        <v>0.27600000000000002</v>
      </c>
      <c r="CE2190">
        <v>2.06E-2</v>
      </c>
    </row>
    <row r="2191" spans="1:84" hidden="1" x14ac:dyDescent="0.2">
      <c r="A2191" s="8"/>
      <c r="B2191" t="str">
        <f>ROW()-1&amp;"_AltersInvert"</f>
        <v>2190_AltersInvert</v>
      </c>
      <c r="C2191" t="str">
        <f>D2191&amp;"_"&amp;
SUBSTITUTE(TRIM(V2191)," ","_")&amp;"_"&amp;
TRIM(AC2191)&amp;"_"&amp;
"CO2"&amp;TEXT(AN2191,"0.00")&amp;"_"&amp;
"pH"&amp;TEXT(AR2191,"0.00")&amp;"_"&amp;
"T"&amp;TEXT(BC2191,"0.##")</f>
        <v>58_Centrostephanus_rodgersii_EMBRYO_CO2468.00_pH8.10_T14.</v>
      </c>
      <c r="D2191" s="8">
        <v>58</v>
      </c>
      <c r="E2191" s="8"/>
      <c r="F2191" s="8"/>
      <c r="G2191" s="8" t="s">
        <v>43</v>
      </c>
      <c r="H2191" s="8" t="s">
        <v>569</v>
      </c>
      <c r="I2191" s="8" t="s">
        <v>1130</v>
      </c>
      <c r="J2191" s="8">
        <v>2014</v>
      </c>
      <c r="K2191" s="8"/>
      <c r="L2191" s="8"/>
      <c r="M2191" s="8" t="s">
        <v>67</v>
      </c>
      <c r="N2191" s="8"/>
      <c r="O2191" s="8"/>
      <c r="P2191" t="s">
        <v>1135</v>
      </c>
      <c r="Q2191" s="8"/>
      <c r="R2191" s="8" t="s">
        <v>1127</v>
      </c>
      <c r="S2191" t="s">
        <v>1128</v>
      </c>
      <c r="T2191" s="8" t="s">
        <v>46</v>
      </c>
      <c r="U2191" s="8" t="s">
        <v>570</v>
      </c>
      <c r="V2191" s="8" t="s">
        <v>571</v>
      </c>
      <c r="W2191" s="8" t="str">
        <f>IF(ISNUMBER(MATCH(V1585,{"Doryteuthis pealeii","Loligo vulgaris","Leptuca thayeri","Stylocheilus striatus","Ophryotrocha labronica"},0)),"N","Y")</f>
        <v>Y</v>
      </c>
      <c r="X2191" s="8"/>
      <c r="Y2191" s="8"/>
      <c r="Z2191" s="8" t="s">
        <v>177</v>
      </c>
      <c r="AA2191" s="8" t="s">
        <v>177</v>
      </c>
      <c r="AB2191" s="8" t="s">
        <v>71</v>
      </c>
      <c r="AC2191" s="8" t="s">
        <v>195</v>
      </c>
      <c r="AD2191" s="8" t="s">
        <v>52</v>
      </c>
      <c r="AE2191" s="8" t="s">
        <v>53</v>
      </c>
      <c r="AF2191" s="8" t="s">
        <v>54</v>
      </c>
      <c r="AG2191" s="8" t="s">
        <v>52</v>
      </c>
      <c r="AH2191" s="8" t="s">
        <v>65</v>
      </c>
      <c r="AI2191" s="8"/>
      <c r="AJ2191" s="8"/>
      <c r="AK2191" s="8">
        <v>150</v>
      </c>
      <c r="AL2191" s="8">
        <v>150</v>
      </c>
      <c r="AM2191" s="8"/>
      <c r="AN2191" s="8">
        <v>468</v>
      </c>
      <c r="AO2191" s="8" t="s">
        <v>56</v>
      </c>
      <c r="AP2191" s="8" t="s">
        <v>56</v>
      </c>
      <c r="AQ2191" s="8" t="s">
        <v>118</v>
      </c>
      <c r="AR2191" s="8">
        <v>8.1</v>
      </c>
      <c r="AS2191" s="8" t="s">
        <v>56</v>
      </c>
      <c r="AT2191" s="8">
        <v>0.02</v>
      </c>
      <c r="AU2191" s="8">
        <v>478</v>
      </c>
      <c r="AV2191" t="s">
        <v>56</v>
      </c>
      <c r="AW2191" t="s">
        <v>56</v>
      </c>
      <c r="AX2191">
        <v>8.1</v>
      </c>
      <c r="AY2191" t="s">
        <v>56</v>
      </c>
      <c r="AZ2191" t="s">
        <v>56</v>
      </c>
      <c r="BA2191" s="8"/>
      <c r="BB2191" s="8">
        <f>LOG(AU2191)</f>
        <v>2.6794278966121188</v>
      </c>
      <c r="BC2191" s="8">
        <v>14</v>
      </c>
      <c r="BD2191" s="8" t="s">
        <v>56</v>
      </c>
      <c r="BE2191" s="8" t="s">
        <v>56</v>
      </c>
      <c r="BF2191" s="8">
        <v>17</v>
      </c>
      <c r="BG2191" s="8" t="s">
        <v>56</v>
      </c>
      <c r="BH2191" s="8" t="s">
        <v>56</v>
      </c>
      <c r="BI2191" s="8">
        <v>10</v>
      </c>
      <c r="BJ2191" s="8">
        <v>3</v>
      </c>
      <c r="BK2191" s="8" t="s">
        <v>574</v>
      </c>
      <c r="BL2191" s="8" t="s">
        <v>85</v>
      </c>
      <c r="BM2191" s="8" t="s">
        <v>86</v>
      </c>
      <c r="BN2191" s="8" t="s">
        <v>81</v>
      </c>
      <c r="BO2191" s="8" t="s">
        <v>82</v>
      </c>
      <c r="BP2191" s="8" t="s">
        <v>9</v>
      </c>
      <c r="BQ2191" s="8" t="s">
        <v>190</v>
      </c>
      <c r="BR2191" s="8" t="s">
        <v>84</v>
      </c>
      <c r="BS2191" s="8"/>
      <c r="BT2191" s="8">
        <v>6.22</v>
      </c>
      <c r="BU2191" s="8">
        <v>93.78</v>
      </c>
      <c r="BV2191" s="8">
        <v>3.55</v>
      </c>
      <c r="BW2191" s="8">
        <f>BV2191*SQRT(AK2191)</f>
        <v>43.478442934401407</v>
      </c>
      <c r="BX2191" s="8">
        <v>9.33</v>
      </c>
      <c r="BY2191" s="8">
        <v>90.67</v>
      </c>
      <c r="BZ2191" s="8">
        <v>9.33</v>
      </c>
      <c r="CA2191" s="8">
        <f>BZ2191*SQRT(AL2191)</f>
        <v>114.26869650083526</v>
      </c>
      <c r="CB2191" s="8">
        <v>2</v>
      </c>
      <c r="CC2191" s="8">
        <v>3</v>
      </c>
      <c r="CD2191" s="8">
        <v>-3.4000000000000002E-2</v>
      </c>
      <c r="CE2191" s="8">
        <v>1.2E-2</v>
      </c>
      <c r="CF2191" s="8" t="s">
        <v>1134</v>
      </c>
    </row>
    <row r="2192" spans="1:84" hidden="1" x14ac:dyDescent="0.2">
      <c r="A2192" s="8"/>
      <c r="B2192" t="str">
        <f>ROW()-1&amp;"_AltersInvert"</f>
        <v>2191_AltersInvert</v>
      </c>
      <c r="C2192" t="str">
        <f>D2192&amp;"_"&amp;
SUBSTITUTE(TRIM(V2192)," ","_")&amp;"_"&amp;
TRIM(AC2192)&amp;"_"&amp;
"CO2"&amp;TEXT(AN2192,"0.00")&amp;"_"&amp;
"pH"&amp;TEXT(AR2192,"0.00")&amp;"_"&amp;
"T"&amp;TEXT(BC2192,"0.##")</f>
        <v>58_Centrostephanus_rodgersii_EMBRYO_CO2468.00_pH8.10_T14.</v>
      </c>
      <c r="D2192" s="8">
        <v>58</v>
      </c>
      <c r="E2192" s="8"/>
      <c r="F2192" s="8"/>
      <c r="G2192" s="8" t="s">
        <v>43</v>
      </c>
      <c r="H2192" s="8" t="s">
        <v>569</v>
      </c>
      <c r="I2192" s="8" t="s">
        <v>1130</v>
      </c>
      <c r="J2192" s="8">
        <v>2014</v>
      </c>
      <c r="K2192" s="8"/>
      <c r="L2192" s="8"/>
      <c r="M2192" s="8" t="s">
        <v>67</v>
      </c>
      <c r="N2192" s="8"/>
      <c r="O2192" s="8"/>
      <c r="P2192" t="s">
        <v>1135</v>
      </c>
      <c r="Q2192" s="8"/>
      <c r="R2192" s="8" t="s">
        <v>1127</v>
      </c>
      <c r="S2192" t="s">
        <v>1128</v>
      </c>
      <c r="T2192" s="8" t="s">
        <v>46</v>
      </c>
      <c r="U2192" s="8" t="s">
        <v>570</v>
      </c>
      <c r="V2192" s="8" t="s">
        <v>571</v>
      </c>
      <c r="W2192" s="8" t="str">
        <f>IF(ISNUMBER(MATCH(V1586,{"Doryteuthis pealeii","Loligo vulgaris","Leptuca thayeri","Stylocheilus striatus","Ophryotrocha labronica"},0)),"N","Y")</f>
        <v>Y</v>
      </c>
      <c r="X2192" s="8"/>
      <c r="Y2192" s="8"/>
      <c r="Z2192" s="8" t="s">
        <v>177</v>
      </c>
      <c r="AA2192" s="8" t="s">
        <v>177</v>
      </c>
      <c r="AB2192" s="8" t="s">
        <v>71</v>
      </c>
      <c r="AC2192" s="8" t="s">
        <v>195</v>
      </c>
      <c r="AD2192" s="8" t="s">
        <v>52</v>
      </c>
      <c r="AE2192" s="8" t="s">
        <v>53</v>
      </c>
      <c r="AF2192" s="8" t="s">
        <v>52</v>
      </c>
      <c r="AG2192" s="8" t="s">
        <v>52</v>
      </c>
      <c r="AH2192" s="8" t="s">
        <v>64</v>
      </c>
      <c r="AI2192" s="8"/>
      <c r="AJ2192" s="8"/>
      <c r="AK2192" s="8">
        <v>150</v>
      </c>
      <c r="AL2192" s="8">
        <v>150</v>
      </c>
      <c r="AM2192" s="8"/>
      <c r="AN2192" s="8">
        <v>468</v>
      </c>
      <c r="AO2192" s="8" t="s">
        <v>56</v>
      </c>
      <c r="AP2192" s="8" t="s">
        <v>56</v>
      </c>
      <c r="AQ2192" s="8" t="s">
        <v>118</v>
      </c>
      <c r="AR2192" s="8">
        <v>8.1</v>
      </c>
      <c r="AS2192" s="8" t="s">
        <v>56</v>
      </c>
      <c r="AT2192" s="8">
        <v>0.02</v>
      </c>
      <c r="AU2192" s="8">
        <v>6451</v>
      </c>
      <c r="AV2192" t="s">
        <v>56</v>
      </c>
      <c r="AW2192" t="s">
        <v>56</v>
      </c>
      <c r="AX2192">
        <v>7.04</v>
      </c>
      <c r="AY2192" t="s">
        <v>56</v>
      </c>
      <c r="AZ2192" t="s">
        <v>56</v>
      </c>
      <c r="BA2192" s="8"/>
      <c r="BB2192" s="8">
        <f>LOG(AU2192)</f>
        <v>3.8096270418940499</v>
      </c>
      <c r="BC2192" s="8">
        <v>14</v>
      </c>
      <c r="BD2192" s="8" t="s">
        <v>56</v>
      </c>
      <c r="BE2192" s="8" t="s">
        <v>56</v>
      </c>
      <c r="BF2192" s="8">
        <v>17</v>
      </c>
      <c r="BG2192" s="8" t="s">
        <v>56</v>
      </c>
      <c r="BH2192" s="8" t="s">
        <v>56</v>
      </c>
      <c r="BI2192" s="8">
        <v>5983</v>
      </c>
      <c r="BJ2192" s="8">
        <v>3</v>
      </c>
      <c r="BK2192" s="8" t="s">
        <v>574</v>
      </c>
      <c r="BL2192" s="8" t="s">
        <v>85</v>
      </c>
      <c r="BM2192" s="8" t="s">
        <v>86</v>
      </c>
      <c r="BN2192" s="8" t="s">
        <v>81</v>
      </c>
      <c r="BO2192" s="8" t="s">
        <v>82</v>
      </c>
      <c r="BP2192" s="8" t="s">
        <v>9</v>
      </c>
      <c r="BQ2192" s="8" t="s">
        <v>194</v>
      </c>
      <c r="BR2192" s="8" t="s">
        <v>84</v>
      </c>
      <c r="BS2192" s="8"/>
      <c r="BT2192" s="8">
        <v>6.22</v>
      </c>
      <c r="BU2192" s="8">
        <v>93.78</v>
      </c>
      <c r="BV2192" s="8">
        <v>3.55</v>
      </c>
      <c r="BW2192" s="8">
        <f>BV2192*SQRT(AK2192)</f>
        <v>43.478442934401407</v>
      </c>
      <c r="BX2192" s="8">
        <v>29.77</v>
      </c>
      <c r="BY2192" s="8">
        <v>70.23</v>
      </c>
      <c r="BZ2192" s="8">
        <v>29.77</v>
      </c>
      <c r="CA2192" s="8">
        <f>BZ2192*SQRT(AL2192)</f>
        <v>364.60654821327603</v>
      </c>
      <c r="CB2192" s="8">
        <v>2</v>
      </c>
      <c r="CC2192" s="8">
        <v>3</v>
      </c>
      <c r="CD2192" s="8">
        <v>-0.28899999999999998</v>
      </c>
      <c r="CE2192" s="8">
        <v>0.18110000000000001</v>
      </c>
      <c r="CF2192" s="8" t="s">
        <v>1134</v>
      </c>
    </row>
    <row r="2193" spans="1:84" hidden="1" x14ac:dyDescent="0.2">
      <c r="A2193" s="8"/>
      <c r="B2193" t="str">
        <f>ROW()-1&amp;"_AltersInvert"</f>
        <v>2192_AltersInvert</v>
      </c>
      <c r="C2193" t="str">
        <f>D2193&amp;"_"&amp;
SUBSTITUTE(TRIM(V2193)," ","_")&amp;"_"&amp;
TRIM(AC2193)&amp;"_"&amp;
"CO2"&amp;TEXT(AN2193,"0.00")&amp;"_"&amp;
"pH"&amp;TEXT(AR2193,"0.00")&amp;"_"&amp;
"T"&amp;TEXT(BC2193,"0.##")</f>
        <v>58_Centrostephanus_rodgersii_EMBRYO_CO2468.00_pH8.10_T14.</v>
      </c>
      <c r="D2193" s="8">
        <v>58</v>
      </c>
      <c r="E2193" s="8"/>
      <c r="F2193" s="8"/>
      <c r="G2193" s="8" t="s">
        <v>43</v>
      </c>
      <c r="H2193" s="8" t="s">
        <v>569</v>
      </c>
      <c r="I2193" s="8" t="s">
        <v>1130</v>
      </c>
      <c r="J2193" s="8">
        <v>2014</v>
      </c>
      <c r="K2193" s="8"/>
      <c r="L2193" s="8"/>
      <c r="M2193" s="8" t="s">
        <v>67</v>
      </c>
      <c r="N2193" s="8"/>
      <c r="O2193" s="8"/>
      <c r="P2193" t="s">
        <v>1135</v>
      </c>
      <c r="Q2193" s="8"/>
      <c r="R2193" s="8" t="s">
        <v>1127</v>
      </c>
      <c r="S2193" t="s">
        <v>1128</v>
      </c>
      <c r="T2193" s="8" t="s">
        <v>46</v>
      </c>
      <c r="U2193" s="8" t="s">
        <v>570</v>
      </c>
      <c r="V2193" s="8" t="s">
        <v>571</v>
      </c>
      <c r="W2193" s="8" t="str">
        <f>IF(ISNUMBER(MATCH(V1587,{"Doryteuthis pealeii","Loligo vulgaris","Leptuca thayeri","Stylocheilus striatus","Ophryotrocha labronica"},0)),"N","Y")</f>
        <v>Y</v>
      </c>
      <c r="X2193" s="8"/>
      <c r="Y2193" s="8"/>
      <c r="Z2193" s="8" t="s">
        <v>177</v>
      </c>
      <c r="AA2193" s="8" t="s">
        <v>177</v>
      </c>
      <c r="AB2193" s="8" t="s">
        <v>71</v>
      </c>
      <c r="AC2193" s="8" t="s">
        <v>195</v>
      </c>
      <c r="AD2193" s="8" t="s">
        <v>52</v>
      </c>
      <c r="AE2193" s="8" t="s">
        <v>53</v>
      </c>
      <c r="AF2193" s="8" t="s">
        <v>52</v>
      </c>
      <c r="AG2193" s="8" t="s">
        <v>52</v>
      </c>
      <c r="AH2193" s="8" t="s">
        <v>64</v>
      </c>
      <c r="AI2193" s="8"/>
      <c r="AJ2193" s="8"/>
      <c r="AK2193" s="8">
        <v>150</v>
      </c>
      <c r="AL2193" s="8">
        <v>150</v>
      </c>
      <c r="AM2193" s="8"/>
      <c r="AN2193" s="8">
        <v>468</v>
      </c>
      <c r="AO2193" s="8" t="s">
        <v>56</v>
      </c>
      <c r="AP2193" s="8" t="s">
        <v>56</v>
      </c>
      <c r="AQ2193" s="8" t="s">
        <v>118</v>
      </c>
      <c r="AR2193" s="8">
        <v>8.1</v>
      </c>
      <c r="AS2193" s="8" t="s">
        <v>56</v>
      </c>
      <c r="AT2193" s="8">
        <v>0.02</v>
      </c>
      <c r="AU2193" s="8">
        <v>1702</v>
      </c>
      <c r="AV2193" t="s">
        <v>56</v>
      </c>
      <c r="AW2193" t="s">
        <v>56</v>
      </c>
      <c r="AX2193">
        <v>7.6</v>
      </c>
      <c r="AY2193" t="s">
        <v>56</v>
      </c>
      <c r="AZ2193" t="s">
        <v>56</v>
      </c>
      <c r="BA2193" s="8"/>
      <c r="BB2193" s="8">
        <f>LOG(AU2193)</f>
        <v>3.2309595557485689</v>
      </c>
      <c r="BC2193" s="8">
        <v>14</v>
      </c>
      <c r="BD2193" s="8" t="s">
        <v>56</v>
      </c>
      <c r="BE2193" s="8" t="s">
        <v>56</v>
      </c>
      <c r="BF2193" s="8">
        <v>17</v>
      </c>
      <c r="BG2193" s="8" t="s">
        <v>56</v>
      </c>
      <c r="BH2193" s="8" t="s">
        <v>56</v>
      </c>
      <c r="BI2193" s="8">
        <v>1233</v>
      </c>
      <c r="BJ2193" s="8">
        <v>3</v>
      </c>
      <c r="BK2193" s="8" t="s">
        <v>574</v>
      </c>
      <c r="BL2193" s="8" t="s">
        <v>85</v>
      </c>
      <c r="BM2193" s="8" t="s">
        <v>86</v>
      </c>
      <c r="BN2193" s="8" t="s">
        <v>81</v>
      </c>
      <c r="BO2193" s="8" t="s">
        <v>82</v>
      </c>
      <c r="BP2193" s="8" t="s">
        <v>9</v>
      </c>
      <c r="BQ2193" s="8" t="s">
        <v>9</v>
      </c>
      <c r="BR2193" s="8" t="s">
        <v>84</v>
      </c>
      <c r="BS2193" s="8"/>
      <c r="BT2193" s="8">
        <v>6.22</v>
      </c>
      <c r="BU2193" s="8">
        <v>93.78</v>
      </c>
      <c r="BV2193" s="8">
        <v>3.55</v>
      </c>
      <c r="BW2193" s="8">
        <f>BV2193*SQRT(AK2193)</f>
        <v>43.478442934401407</v>
      </c>
      <c r="BX2193" s="8">
        <v>27.1</v>
      </c>
      <c r="BY2193" s="8">
        <v>72.900000000000006</v>
      </c>
      <c r="BZ2193" s="8">
        <v>27.1</v>
      </c>
      <c r="CA2193" s="8">
        <f>BZ2193*SQRT(AL2193)</f>
        <v>331.90586014712062</v>
      </c>
      <c r="CB2193" s="8">
        <v>2</v>
      </c>
      <c r="CC2193" s="8">
        <v>3</v>
      </c>
      <c r="CD2193" s="8">
        <v>-0.252</v>
      </c>
      <c r="CE2193" s="8">
        <v>0.1396</v>
      </c>
      <c r="CF2193" s="8" t="s">
        <v>1134</v>
      </c>
    </row>
    <row r="2194" spans="1:84" hidden="1" x14ac:dyDescent="0.2">
      <c r="A2194" s="8"/>
      <c r="B2194" t="str">
        <f>ROW()-1&amp;"_AltersInvert"</f>
        <v>2193_AltersInvert</v>
      </c>
      <c r="C2194" t="str">
        <f>D2194&amp;"_"&amp;
SUBSTITUTE(TRIM(V2194)," ","_")&amp;"_"&amp;
TRIM(AC2194)&amp;"_"&amp;
"CO2"&amp;TEXT(AN2194,"0.00")&amp;"_"&amp;
"pH"&amp;TEXT(AR2194,"0.00")&amp;"_"&amp;
"T"&amp;TEXT(BC2194,"0.##")</f>
        <v>58_Centrostephanus_rodgersii_EMBRYO_CO2468.00_pH8.10_T14.</v>
      </c>
      <c r="D2194" s="8">
        <v>58</v>
      </c>
      <c r="E2194" s="8"/>
      <c r="F2194" s="8"/>
      <c r="G2194" s="8" t="s">
        <v>43</v>
      </c>
      <c r="H2194" s="8" t="s">
        <v>569</v>
      </c>
      <c r="I2194" s="8" t="s">
        <v>1130</v>
      </c>
      <c r="J2194" s="8">
        <v>2014</v>
      </c>
      <c r="K2194" s="8"/>
      <c r="L2194" s="8"/>
      <c r="M2194" s="8" t="s">
        <v>67</v>
      </c>
      <c r="N2194" s="8"/>
      <c r="O2194" s="8"/>
      <c r="P2194" t="s">
        <v>1135</v>
      </c>
      <c r="Q2194" s="8"/>
      <c r="R2194" s="8" t="s">
        <v>1127</v>
      </c>
      <c r="S2194" t="s">
        <v>1128</v>
      </c>
      <c r="T2194" s="8" t="s">
        <v>46</v>
      </c>
      <c r="U2194" s="8" t="s">
        <v>570</v>
      </c>
      <c r="V2194" s="8" t="s">
        <v>571</v>
      </c>
      <c r="W2194" s="8" t="str">
        <f>IF(ISNUMBER(MATCH(V1588,{"Doryteuthis pealeii","Loligo vulgaris","Leptuca thayeri","Stylocheilus striatus","Ophryotrocha labronica"},0)),"N","Y")</f>
        <v>Y</v>
      </c>
      <c r="X2194" s="8"/>
      <c r="Y2194" s="8"/>
      <c r="Z2194" s="8" t="s">
        <v>177</v>
      </c>
      <c r="AA2194" s="8" t="s">
        <v>177</v>
      </c>
      <c r="AB2194" s="8" t="s">
        <v>71</v>
      </c>
      <c r="AC2194" s="8" t="s">
        <v>195</v>
      </c>
      <c r="AD2194" s="8" t="s">
        <v>52</v>
      </c>
      <c r="AE2194" s="8" t="s">
        <v>53</v>
      </c>
      <c r="AF2194" s="8" t="s">
        <v>52</v>
      </c>
      <c r="AG2194" s="8" t="s">
        <v>52</v>
      </c>
      <c r="AH2194" s="8" t="s">
        <v>64</v>
      </c>
      <c r="AI2194" s="8"/>
      <c r="AJ2194" s="8"/>
      <c r="AK2194" s="8">
        <v>150</v>
      </c>
      <c r="AL2194" s="8">
        <v>150</v>
      </c>
      <c r="AM2194" s="8"/>
      <c r="AN2194" s="8">
        <v>468</v>
      </c>
      <c r="AO2194" s="8" t="s">
        <v>56</v>
      </c>
      <c r="AP2194" s="8" t="s">
        <v>56</v>
      </c>
      <c r="AQ2194" s="8" t="s">
        <v>118</v>
      </c>
      <c r="AR2194" s="8">
        <v>8.1</v>
      </c>
      <c r="AS2194" s="8" t="s">
        <v>56</v>
      </c>
      <c r="AT2194" s="8">
        <v>0.02</v>
      </c>
      <c r="AU2194" s="8">
        <v>1038</v>
      </c>
      <c r="AV2194" t="s">
        <v>56</v>
      </c>
      <c r="AW2194" t="s">
        <v>56</v>
      </c>
      <c r="AX2194">
        <v>7.8</v>
      </c>
      <c r="AY2194" t="s">
        <v>56</v>
      </c>
      <c r="AZ2194" t="s">
        <v>56</v>
      </c>
      <c r="BA2194" s="8"/>
      <c r="BB2194" s="8">
        <f>LOG(AU2194)</f>
        <v>3.0161973535124389</v>
      </c>
      <c r="BC2194" s="8">
        <v>14</v>
      </c>
      <c r="BD2194" s="8" t="s">
        <v>56</v>
      </c>
      <c r="BE2194" s="8" t="s">
        <v>56</v>
      </c>
      <c r="BF2194" s="8">
        <v>17</v>
      </c>
      <c r="BG2194" s="8" t="s">
        <v>56</v>
      </c>
      <c r="BH2194" s="8" t="s">
        <v>56</v>
      </c>
      <c r="BI2194" s="8">
        <v>570</v>
      </c>
      <c r="BJ2194" s="8">
        <v>3</v>
      </c>
      <c r="BK2194" s="8" t="s">
        <v>574</v>
      </c>
      <c r="BL2194" s="8" t="s">
        <v>85</v>
      </c>
      <c r="BM2194" s="8" t="s">
        <v>86</v>
      </c>
      <c r="BN2194" s="8" t="s">
        <v>81</v>
      </c>
      <c r="BO2194" s="8" t="s">
        <v>82</v>
      </c>
      <c r="BP2194" s="8" t="s">
        <v>9</v>
      </c>
      <c r="BQ2194" s="8" t="s">
        <v>190</v>
      </c>
      <c r="BR2194" s="8" t="s">
        <v>84</v>
      </c>
      <c r="BS2194" s="8"/>
      <c r="BT2194" s="8">
        <v>6.22</v>
      </c>
      <c r="BU2194" s="8">
        <v>93.78</v>
      </c>
      <c r="BV2194" s="8">
        <v>3.55</v>
      </c>
      <c r="BW2194" s="8">
        <f>BV2194*SQRT(AK2194)</f>
        <v>43.478442934401407</v>
      </c>
      <c r="BX2194" s="8">
        <v>18.66</v>
      </c>
      <c r="BY2194" s="8">
        <v>81.34</v>
      </c>
      <c r="BZ2194" s="8">
        <v>18.66</v>
      </c>
      <c r="CA2194" s="8">
        <f>BZ2194*SQRT(AL2194)</f>
        <v>228.53739300167052</v>
      </c>
      <c r="CB2194" s="8">
        <v>2</v>
      </c>
      <c r="CC2194" s="8">
        <v>3</v>
      </c>
      <c r="CD2194" s="8">
        <v>-0.14199999999999999</v>
      </c>
      <c r="CE2194" s="8">
        <v>5.4100000000000002E-2</v>
      </c>
      <c r="CF2194" s="8" t="s">
        <v>1134</v>
      </c>
    </row>
    <row r="2195" spans="1:84" s="8" customFormat="1" hidden="1" x14ac:dyDescent="0.2">
      <c r="A2195"/>
      <c r="B2195" t="str">
        <f>ROW()-1&amp;"_AltersInvert"</f>
        <v>2194_AltersInvert</v>
      </c>
      <c r="C2195" t="str">
        <f>D2195&amp;"_"&amp;
SUBSTITUTE(TRIM(V2195)," ","_")&amp;"_"&amp;
TRIM(AC2195)&amp;"_"&amp;
"CO2"&amp;TEXT(AN2195,"0.00")&amp;"_"&amp;
"pH"&amp;TEXT(AR2195,"0.00")&amp;"_"&amp;
"T"&amp;TEXT(BC2195,"0.##")</f>
        <v>63_Heliocidaris_tuberculata_LARVA_CO2338.00_pH8.08_T20.</v>
      </c>
      <c r="D2195">
        <v>63</v>
      </c>
      <c r="E2195"/>
      <c r="F2195"/>
      <c r="G2195" t="s">
        <v>43</v>
      </c>
      <c r="H2195" t="s">
        <v>604</v>
      </c>
      <c r="I2195"/>
      <c r="J2195">
        <v>2013</v>
      </c>
      <c r="K2195"/>
      <c r="L2195"/>
      <c r="M2195" t="s">
        <v>45</v>
      </c>
      <c r="N2195"/>
      <c r="O2195"/>
      <c r="P2195" t="s">
        <v>1135</v>
      </c>
      <c r="Q2195"/>
      <c r="R2195" t="s">
        <v>1127</v>
      </c>
      <c r="S2195" t="s">
        <v>1128</v>
      </c>
      <c r="T2195" t="s">
        <v>46</v>
      </c>
      <c r="U2195" t="s">
        <v>605</v>
      </c>
      <c r="V2195" t="s">
        <v>606</v>
      </c>
      <c r="W2195"/>
      <c r="X2195"/>
      <c r="Y2195"/>
      <c r="Z2195" t="s">
        <v>49</v>
      </c>
      <c r="AA2195" t="s">
        <v>49</v>
      </c>
      <c r="AB2195" t="s">
        <v>71</v>
      </c>
      <c r="AC2195" t="s">
        <v>72</v>
      </c>
      <c r="AD2195" t="s">
        <v>52</v>
      </c>
      <c r="AE2195" t="s">
        <v>53</v>
      </c>
      <c r="AF2195" t="s">
        <v>52</v>
      </c>
      <c r="AG2195" t="s">
        <v>54</v>
      </c>
      <c r="AH2195" t="s">
        <v>55</v>
      </c>
      <c r="AI2195"/>
      <c r="AJ2195"/>
      <c r="AK2195">
        <v>8</v>
      </c>
      <c r="AL2195">
        <v>8</v>
      </c>
      <c r="AM2195"/>
      <c r="AN2195">
        <v>338</v>
      </c>
      <c r="AO2195">
        <v>1</v>
      </c>
      <c r="AP2195" t="s">
        <v>56</v>
      </c>
      <c r="AQ2195" t="s">
        <v>118</v>
      </c>
      <c r="AR2195">
        <v>8.08</v>
      </c>
      <c r="AS2195">
        <v>0.02</v>
      </c>
      <c r="AT2195" t="s">
        <v>56</v>
      </c>
      <c r="AU2195">
        <v>2054</v>
      </c>
      <c r="AV2195">
        <v>7</v>
      </c>
      <c r="AW2195" t="s">
        <v>56</v>
      </c>
      <c r="AX2195">
        <v>7.44</v>
      </c>
      <c r="AY2195">
        <v>0.02</v>
      </c>
      <c r="AZ2195" t="s">
        <v>56</v>
      </c>
      <c r="BA2195"/>
      <c r="BB2195">
        <f>LOG(AU2195)</f>
        <v>3.3126004392612596</v>
      </c>
      <c r="BC2195">
        <v>20</v>
      </c>
      <c r="BD2195" t="s">
        <v>56</v>
      </c>
      <c r="BE2195" t="s">
        <v>56</v>
      </c>
      <c r="BF2195">
        <v>20</v>
      </c>
      <c r="BG2195" t="s">
        <v>56</v>
      </c>
      <c r="BH2195" t="s">
        <v>56</v>
      </c>
      <c r="BI2195">
        <v>1716</v>
      </c>
      <c r="BJ2195">
        <v>0</v>
      </c>
      <c r="BK2195" t="s">
        <v>56</v>
      </c>
      <c r="BL2195" t="s">
        <v>262</v>
      </c>
      <c r="BM2195" t="s">
        <v>262</v>
      </c>
      <c r="BN2195" t="s">
        <v>81</v>
      </c>
      <c r="BO2195" t="s">
        <v>91</v>
      </c>
      <c r="BP2195" t="s">
        <v>92</v>
      </c>
      <c r="BQ2195" t="s">
        <v>92</v>
      </c>
      <c r="BR2195" t="s">
        <v>63</v>
      </c>
      <c r="BS2195"/>
      <c r="BT2195">
        <v>377.16</v>
      </c>
      <c r="BU2195">
        <v>377.16</v>
      </c>
      <c r="BV2195">
        <v>15.77</v>
      </c>
      <c r="BW2195">
        <f>BV2195*SQRT(AK2195)</f>
        <v>44.604295757247421</v>
      </c>
      <c r="BX2195">
        <v>289.25</v>
      </c>
      <c r="BY2195">
        <v>289.25</v>
      </c>
      <c r="BZ2195">
        <v>11.05</v>
      </c>
      <c r="CA2195">
        <f>BZ2195*SQRT(AL2195)</f>
        <v>31.254119728445406</v>
      </c>
      <c r="CB2195">
        <v>3</v>
      </c>
      <c r="CC2195">
        <v>8</v>
      </c>
      <c r="CD2195">
        <v>-0.26500000000000001</v>
      </c>
      <c r="CE2195">
        <v>3.2000000000000002E-3</v>
      </c>
    </row>
    <row r="2196" spans="1:84" hidden="1" x14ac:dyDescent="0.2">
      <c r="D2196">
        <v>230</v>
      </c>
      <c r="G2196" t="s">
        <v>43</v>
      </c>
      <c r="H2196" t="s">
        <v>1060</v>
      </c>
      <c r="J2196">
        <v>2018</v>
      </c>
      <c r="M2196" t="s">
        <v>657</v>
      </c>
      <c r="T2196" t="s">
        <v>103</v>
      </c>
      <c r="U2196" t="s">
        <v>201</v>
      </c>
      <c r="V2196" t="s">
        <v>214</v>
      </c>
      <c r="AC2196" t="s">
        <v>108</v>
      </c>
      <c r="AF2196" t="s">
        <v>52</v>
      </c>
      <c r="AG2196" t="s">
        <v>54</v>
      </c>
      <c r="AH2196" t="s">
        <v>55</v>
      </c>
      <c r="AK2196">
        <v>4</v>
      </c>
      <c r="AL2196">
        <v>4</v>
      </c>
      <c r="AN2196">
        <v>498</v>
      </c>
      <c r="AU2196">
        <v>1142</v>
      </c>
      <c r="BB2196">
        <f>LOG(AU2196)</f>
        <v>3.0576661039098294</v>
      </c>
      <c r="BC2196">
        <v>29</v>
      </c>
      <c r="BF2196">
        <v>29</v>
      </c>
      <c r="BI2196">
        <v>644</v>
      </c>
      <c r="BJ2196">
        <v>0</v>
      </c>
      <c r="BL2196" t="s">
        <v>92</v>
      </c>
      <c r="BM2196" t="s">
        <v>262</v>
      </c>
      <c r="BN2196" t="s">
        <v>81</v>
      </c>
      <c r="BO2196" t="s">
        <v>1035</v>
      </c>
      <c r="BP2196" t="s">
        <v>92</v>
      </c>
      <c r="BR2196" t="s">
        <v>63</v>
      </c>
      <c r="BT2196">
        <v>36.31084353</v>
      </c>
      <c r="BU2196">
        <v>36.310844000000003</v>
      </c>
      <c r="BV2196">
        <v>3.23</v>
      </c>
      <c r="BW2196">
        <f>BV2196*SQRT(AK2196)</f>
        <v>6.46</v>
      </c>
      <c r="BX2196">
        <v>27.03</v>
      </c>
      <c r="BY2196">
        <v>27.027811</v>
      </c>
      <c r="BZ2196">
        <v>2.2200000000000002</v>
      </c>
      <c r="CA2196">
        <f>BZ2196*SQRT(AL2196)</f>
        <v>4.4400000000000004</v>
      </c>
      <c r="CB2196">
        <v>21</v>
      </c>
      <c r="CD2196">
        <v>-0.29499999999999998</v>
      </c>
      <c r="CE2196">
        <v>1.47E-2</v>
      </c>
    </row>
    <row r="2197" spans="1:84" hidden="1" x14ac:dyDescent="0.2">
      <c r="B2197" t="str">
        <f>ROW()-1&amp;"_AltersInvert"</f>
        <v>2196_AltersInvert</v>
      </c>
      <c r="C2197" t="str">
        <f>D2197&amp;"_"&amp;
SUBSTITUTE(TRIM(V2197)," ","_")&amp;"_"&amp;
TRIM(AC2197)&amp;"_"&amp;
"CO2"&amp;TEXT(AN2197,"0.00")&amp;"_"&amp;
"pH"&amp;TEXT(AR2197,"0.00")&amp;"_"&amp;
"T"&amp;TEXT(BC2197,"0.##")</f>
        <v>63_Heliocidaris_tuberculata_LARVA_CO2338.00_pH8.08_T20.</v>
      </c>
      <c r="D2197">
        <v>63</v>
      </c>
      <c r="G2197" t="s">
        <v>43</v>
      </c>
      <c r="H2197" t="s">
        <v>604</v>
      </c>
      <c r="J2197">
        <v>2013</v>
      </c>
      <c r="M2197" t="s">
        <v>45</v>
      </c>
      <c r="P2197" t="s">
        <v>1135</v>
      </c>
      <c r="R2197" t="s">
        <v>1127</v>
      </c>
      <c r="S2197" t="s">
        <v>1128</v>
      </c>
      <c r="T2197" t="s">
        <v>46</v>
      </c>
      <c r="U2197" t="s">
        <v>605</v>
      </c>
      <c r="V2197" t="s">
        <v>606</v>
      </c>
      <c r="Z2197" t="s">
        <v>49</v>
      </c>
      <c r="AA2197" t="s">
        <v>49</v>
      </c>
      <c r="AB2197" t="s">
        <v>71</v>
      </c>
      <c r="AC2197" t="s">
        <v>72</v>
      </c>
      <c r="AD2197" t="s">
        <v>52</v>
      </c>
      <c r="AE2197" t="s">
        <v>53</v>
      </c>
      <c r="AF2197" t="s">
        <v>52</v>
      </c>
      <c r="AG2197" t="s">
        <v>54</v>
      </c>
      <c r="AH2197" t="s">
        <v>55</v>
      </c>
      <c r="AK2197">
        <v>8</v>
      </c>
      <c r="AL2197">
        <v>8</v>
      </c>
      <c r="AN2197">
        <v>338</v>
      </c>
      <c r="AO2197">
        <v>1</v>
      </c>
      <c r="AP2197" t="s">
        <v>56</v>
      </c>
      <c r="AQ2197" t="s">
        <v>118</v>
      </c>
      <c r="AR2197">
        <v>8.08</v>
      </c>
      <c r="AS2197">
        <v>0.02</v>
      </c>
      <c r="AT2197" t="s">
        <v>56</v>
      </c>
      <c r="AU2197">
        <v>1257</v>
      </c>
      <c r="AV2197">
        <v>4</v>
      </c>
      <c r="AW2197" t="s">
        <v>56</v>
      </c>
      <c r="AX2197">
        <v>7.62</v>
      </c>
      <c r="AY2197">
        <v>0.02</v>
      </c>
      <c r="AZ2197" t="s">
        <v>56</v>
      </c>
      <c r="BB2197">
        <f>LOG(AU2197)</f>
        <v>3.0993352776859577</v>
      </c>
      <c r="BC2197">
        <v>20</v>
      </c>
      <c r="BD2197" t="s">
        <v>56</v>
      </c>
      <c r="BE2197" t="s">
        <v>56</v>
      </c>
      <c r="BF2197">
        <v>20</v>
      </c>
      <c r="BG2197" t="s">
        <v>56</v>
      </c>
      <c r="BH2197" t="s">
        <v>56</v>
      </c>
      <c r="BI2197">
        <v>919</v>
      </c>
      <c r="BJ2197">
        <v>0</v>
      </c>
      <c r="BK2197" t="s">
        <v>56</v>
      </c>
      <c r="BL2197" t="s">
        <v>262</v>
      </c>
      <c r="BM2197" t="s">
        <v>262</v>
      </c>
      <c r="BN2197" t="s">
        <v>81</v>
      </c>
      <c r="BO2197" t="s">
        <v>91</v>
      </c>
      <c r="BP2197" t="s">
        <v>92</v>
      </c>
      <c r="BQ2197" t="s">
        <v>92</v>
      </c>
      <c r="BR2197" t="s">
        <v>63</v>
      </c>
      <c r="BT2197">
        <v>377.16</v>
      </c>
      <c r="BU2197">
        <v>377.16</v>
      </c>
      <c r="BV2197">
        <v>15.77</v>
      </c>
      <c r="BW2197">
        <f>BV2197*SQRT(AK2197)</f>
        <v>44.604295757247421</v>
      </c>
      <c r="BX2197">
        <v>325.39</v>
      </c>
      <c r="BY2197">
        <v>325.39</v>
      </c>
      <c r="BZ2197">
        <v>9.4700000000000006</v>
      </c>
      <c r="CA2197">
        <f>BZ2197*SQRT(AL2197)</f>
        <v>26.785204871346423</v>
      </c>
      <c r="CB2197">
        <v>3</v>
      </c>
      <c r="CC2197">
        <v>8</v>
      </c>
      <c r="CD2197">
        <v>-0.14799999999999999</v>
      </c>
      <c r="CE2197">
        <v>2.5999999999999999E-3</v>
      </c>
      <c r="CF2197" s="8"/>
    </row>
    <row r="2198" spans="1:84" x14ac:dyDescent="0.2">
      <c r="D2198">
        <v>241</v>
      </c>
      <c r="G2198" t="s">
        <v>43</v>
      </c>
      <c r="H2198" t="s">
        <v>1068</v>
      </c>
      <c r="J2198">
        <v>2017</v>
      </c>
      <c r="M2198" t="s">
        <v>869</v>
      </c>
      <c r="T2198" t="s">
        <v>68</v>
      </c>
      <c r="U2198" t="s">
        <v>1069</v>
      </c>
      <c r="V2198" t="s">
        <v>1071</v>
      </c>
      <c r="AC2198" t="s">
        <v>51</v>
      </c>
      <c r="AF2198" t="s">
        <v>52</v>
      </c>
      <c r="AG2198" t="s">
        <v>52</v>
      </c>
      <c r="AH2198" t="s">
        <v>64</v>
      </c>
      <c r="AK2198">
        <v>3</v>
      </c>
      <c r="AL2198">
        <v>3</v>
      </c>
      <c r="AN2198">
        <v>409</v>
      </c>
      <c r="AU2198">
        <v>675</v>
      </c>
      <c r="BB2198">
        <f>LOG(AU2198)</f>
        <v>2.8293037728310249</v>
      </c>
      <c r="BC2198">
        <v>2</v>
      </c>
      <c r="BF2198">
        <v>7</v>
      </c>
      <c r="BI2198">
        <v>266</v>
      </c>
      <c r="BJ2198">
        <v>5</v>
      </c>
      <c r="BL2198" t="s">
        <v>58</v>
      </c>
      <c r="BM2198" t="s">
        <v>59</v>
      </c>
      <c r="BN2198" t="s">
        <v>60</v>
      </c>
      <c r="BO2198" t="s">
        <v>998</v>
      </c>
      <c r="BP2198" t="s">
        <v>62</v>
      </c>
      <c r="BR2198" t="s">
        <v>63</v>
      </c>
      <c r="BT2198">
        <v>15.01</v>
      </c>
      <c r="BU2198">
        <v>15.01</v>
      </c>
      <c r="BV2198">
        <v>1.78</v>
      </c>
      <c r="BW2198">
        <f>BV2198*SQRT(AK2198)</f>
        <v>3.0830504374726013</v>
      </c>
      <c r="BX2198">
        <v>27.96</v>
      </c>
      <c r="BY2198">
        <v>27.96</v>
      </c>
      <c r="BZ2198">
        <v>1.5</v>
      </c>
      <c r="CA2198">
        <f>BZ2198*SQRT(AL2198)</f>
        <v>2.598076211353316</v>
      </c>
      <c r="CB2198">
        <v>9</v>
      </c>
      <c r="CD2198">
        <v>0.622</v>
      </c>
      <c r="CE2198">
        <v>1.6899999999999998E-2</v>
      </c>
    </row>
    <row r="2199" spans="1:84" hidden="1" x14ac:dyDescent="0.2">
      <c r="B2199" t="str">
        <f>ROW()-1&amp;"_AltersInvert"</f>
        <v>2198_AltersInvert</v>
      </c>
      <c r="C2199" t="str">
        <f>D2199&amp;"_"&amp;
SUBSTITUTE(TRIM(V2199)," ","_")&amp;"_"&amp;
TRIM(AC2199)&amp;"_"&amp;
"CO2"&amp;TEXT(AN2199,"0.00")&amp;"_"&amp;
"pH"&amp;TEXT(AR2199,"0.00")&amp;"_"&amp;
"T"&amp;TEXT(BC2199,"0.##")</f>
        <v>63_Heliocidaris_tuberculata_LARVA_CO2338.00_pH8.08_T20.</v>
      </c>
      <c r="D2199">
        <v>63</v>
      </c>
      <c r="G2199" t="s">
        <v>43</v>
      </c>
      <c r="H2199" t="s">
        <v>604</v>
      </c>
      <c r="J2199">
        <v>2013</v>
      </c>
      <c r="M2199" t="s">
        <v>45</v>
      </c>
      <c r="P2199" t="s">
        <v>1135</v>
      </c>
      <c r="R2199" t="s">
        <v>1127</v>
      </c>
      <c r="S2199" t="s">
        <v>1128</v>
      </c>
      <c r="T2199" t="s">
        <v>46</v>
      </c>
      <c r="U2199" t="s">
        <v>605</v>
      </c>
      <c r="V2199" t="s">
        <v>606</v>
      </c>
      <c r="Z2199" t="s">
        <v>49</v>
      </c>
      <c r="AA2199" t="s">
        <v>49</v>
      </c>
      <c r="AB2199" t="s">
        <v>71</v>
      </c>
      <c r="AC2199" t="s">
        <v>72</v>
      </c>
      <c r="AD2199" t="s">
        <v>52</v>
      </c>
      <c r="AE2199" t="s">
        <v>53</v>
      </c>
      <c r="AF2199" t="s">
        <v>52</v>
      </c>
      <c r="AG2199" t="s">
        <v>54</v>
      </c>
      <c r="AH2199" t="s">
        <v>55</v>
      </c>
      <c r="AK2199">
        <v>8</v>
      </c>
      <c r="AL2199">
        <v>8</v>
      </c>
      <c r="AN2199">
        <v>338</v>
      </c>
      <c r="AO2199">
        <v>1</v>
      </c>
      <c r="AP2199" t="s">
        <v>56</v>
      </c>
      <c r="AQ2199" t="s">
        <v>118</v>
      </c>
      <c r="AR2199">
        <v>8.08</v>
      </c>
      <c r="AS2199">
        <v>0.02</v>
      </c>
      <c r="AT2199" t="s">
        <v>56</v>
      </c>
      <c r="AU2199">
        <v>757</v>
      </c>
      <c r="AV2199">
        <v>3</v>
      </c>
      <c r="AW2199" t="s">
        <v>56</v>
      </c>
      <c r="AX2199">
        <v>7.8</v>
      </c>
      <c r="AY2199">
        <v>0.01</v>
      </c>
      <c r="AZ2199" t="s">
        <v>56</v>
      </c>
      <c r="BB2199">
        <f>LOG(AU2199)</f>
        <v>2.8790958795000727</v>
      </c>
      <c r="BC2199">
        <v>20</v>
      </c>
      <c r="BD2199" t="s">
        <v>56</v>
      </c>
      <c r="BE2199" t="s">
        <v>56</v>
      </c>
      <c r="BF2199">
        <v>20</v>
      </c>
      <c r="BG2199" t="s">
        <v>56</v>
      </c>
      <c r="BH2199" t="s">
        <v>56</v>
      </c>
      <c r="BI2199">
        <v>419</v>
      </c>
      <c r="BJ2199">
        <v>0</v>
      </c>
      <c r="BK2199" t="s">
        <v>56</v>
      </c>
      <c r="BL2199" t="s">
        <v>262</v>
      </c>
      <c r="BM2199" t="s">
        <v>262</v>
      </c>
      <c r="BN2199" t="s">
        <v>81</v>
      </c>
      <c r="BO2199" t="s">
        <v>91</v>
      </c>
      <c r="BP2199" t="s">
        <v>92</v>
      </c>
      <c r="BQ2199" t="s">
        <v>92</v>
      </c>
      <c r="BR2199" t="s">
        <v>63</v>
      </c>
      <c r="BT2199">
        <v>377.16</v>
      </c>
      <c r="BU2199">
        <v>377.16</v>
      </c>
      <c r="BV2199">
        <v>15.77</v>
      </c>
      <c r="BW2199">
        <f>BV2199*SQRT(AK2199)</f>
        <v>44.604295757247421</v>
      </c>
      <c r="BX2199">
        <v>352.06</v>
      </c>
      <c r="BY2199">
        <v>352.06</v>
      </c>
      <c r="BZ2199">
        <v>11.05</v>
      </c>
      <c r="CA2199">
        <f>BZ2199*SQRT(AL2199)</f>
        <v>31.254119728445406</v>
      </c>
      <c r="CB2199">
        <v>3</v>
      </c>
      <c r="CC2199">
        <v>8</v>
      </c>
      <c r="CD2199">
        <v>-6.9000000000000006E-2</v>
      </c>
      <c r="CE2199">
        <v>2.7000000000000001E-3</v>
      </c>
      <c r="CF2199" s="8"/>
    </row>
    <row r="2200" spans="1:84" hidden="1" x14ac:dyDescent="0.2">
      <c r="B2200" t="str">
        <f>ROW()-1&amp;"_AltersInvert"</f>
        <v>2199_AltersInvert</v>
      </c>
      <c r="C2200" t="str">
        <f>D2200&amp;"_"&amp;
SUBSTITUTE(TRIM(V2200)," ","_")&amp;"_"&amp;
TRIM(AC2200)&amp;"_"&amp;
"CO2"&amp;TEXT(AN2200,"0.00")&amp;"_"&amp;
"pH"&amp;TEXT(AR2200,"0.00")&amp;"_"&amp;
"T"&amp;TEXT(BC2200,"0.##")</f>
        <v>63_Heliocidaris_tuberculata_LARVA_CO2338.00_pH8.08_T20.</v>
      </c>
      <c r="D2200">
        <v>63</v>
      </c>
      <c r="G2200" t="s">
        <v>43</v>
      </c>
      <c r="H2200" t="s">
        <v>604</v>
      </c>
      <c r="J2200">
        <v>2013</v>
      </c>
      <c r="M2200" t="s">
        <v>45</v>
      </c>
      <c r="P2200" t="s">
        <v>1135</v>
      </c>
      <c r="R2200" t="s">
        <v>1127</v>
      </c>
      <c r="S2200" t="s">
        <v>1128</v>
      </c>
      <c r="T2200" t="s">
        <v>46</v>
      </c>
      <c r="U2200" t="s">
        <v>605</v>
      </c>
      <c r="V2200" t="s">
        <v>606</v>
      </c>
      <c r="Z2200" t="s">
        <v>49</v>
      </c>
      <c r="AA2200" t="s">
        <v>49</v>
      </c>
      <c r="AB2200" t="s">
        <v>71</v>
      </c>
      <c r="AC2200" t="s">
        <v>72</v>
      </c>
      <c r="AD2200" t="s">
        <v>52</v>
      </c>
      <c r="AE2200" t="s">
        <v>53</v>
      </c>
      <c r="AF2200" t="s">
        <v>54</v>
      </c>
      <c r="AG2200" t="s">
        <v>52</v>
      </c>
      <c r="AH2200" t="s">
        <v>65</v>
      </c>
      <c r="AK2200">
        <v>8</v>
      </c>
      <c r="AL2200">
        <v>8</v>
      </c>
      <c r="AN2200">
        <v>338</v>
      </c>
      <c r="AO2200">
        <v>1</v>
      </c>
      <c r="AP2200" t="s">
        <v>56</v>
      </c>
      <c r="AQ2200" t="s">
        <v>118</v>
      </c>
      <c r="AR2200">
        <v>8.08</v>
      </c>
      <c r="AS2200">
        <v>0.02</v>
      </c>
      <c r="AT2200" t="s">
        <v>56</v>
      </c>
      <c r="AU2200">
        <v>335</v>
      </c>
      <c r="AV2200">
        <v>1</v>
      </c>
      <c r="AW2200" t="s">
        <v>56</v>
      </c>
      <c r="AX2200">
        <v>8.0399999999999991</v>
      </c>
      <c r="AY2200">
        <v>0.02</v>
      </c>
      <c r="AZ2200" t="s">
        <v>56</v>
      </c>
      <c r="BB2200">
        <f>LOG(AU2200)</f>
        <v>2.5250448070368452</v>
      </c>
      <c r="BC2200">
        <v>20</v>
      </c>
      <c r="BD2200" t="s">
        <v>56</v>
      </c>
      <c r="BE2200" t="s">
        <v>56</v>
      </c>
      <c r="BF2200">
        <v>24</v>
      </c>
      <c r="BG2200" t="s">
        <v>56</v>
      </c>
      <c r="BH2200" t="s">
        <v>56</v>
      </c>
      <c r="BI2200">
        <v>-4</v>
      </c>
      <c r="BJ2200">
        <v>4</v>
      </c>
      <c r="BK2200" t="s">
        <v>56</v>
      </c>
      <c r="BL2200" t="s">
        <v>262</v>
      </c>
      <c r="BM2200" t="s">
        <v>262</v>
      </c>
      <c r="BN2200" t="s">
        <v>81</v>
      </c>
      <c r="BO2200" t="s">
        <v>91</v>
      </c>
      <c r="BP2200" t="s">
        <v>92</v>
      </c>
      <c r="BQ2200" t="s">
        <v>92</v>
      </c>
      <c r="BR2200" t="s">
        <v>63</v>
      </c>
      <c r="BT2200">
        <v>377.16</v>
      </c>
      <c r="BU2200">
        <v>377.16</v>
      </c>
      <c r="BV2200">
        <v>15.77</v>
      </c>
      <c r="BW2200">
        <f>BV2200*SQRT(AK2200)</f>
        <v>44.604295757247421</v>
      </c>
      <c r="BX2200">
        <v>475.74</v>
      </c>
      <c r="BY2200">
        <v>475.74</v>
      </c>
      <c r="BZ2200">
        <v>6.31</v>
      </c>
      <c r="CA2200">
        <f>BZ2200*SQRT(AL2200)</f>
        <v>17.847375157148459</v>
      </c>
      <c r="CB2200">
        <v>3</v>
      </c>
      <c r="CC2200">
        <v>8</v>
      </c>
      <c r="CD2200">
        <v>0.23200000000000001</v>
      </c>
      <c r="CE2200">
        <v>1.9E-3</v>
      </c>
      <c r="CF2200" s="8"/>
    </row>
    <row r="2201" spans="1:84" hidden="1" x14ac:dyDescent="0.2">
      <c r="B2201" t="str">
        <f>ROW()-1&amp;"_AltersInvert"</f>
        <v>2200_AltersInvert</v>
      </c>
      <c r="C2201" t="str">
        <f>D2201&amp;"_"&amp;
SUBSTITUTE(TRIM(V2201)," ","_")&amp;"_"&amp;
TRIM(AC2201)&amp;"_"&amp;
"CO2"&amp;TEXT(AN2201,"0.00")&amp;"_"&amp;
"pH"&amp;TEXT(AR2201,"0.00")&amp;"_"&amp;
"T"&amp;TEXT(BC2201,"0.##")</f>
        <v>63_Heliocidaris_tuberculata_LARVA_CO2338.00_pH8.08_T20.</v>
      </c>
      <c r="D2201">
        <v>63</v>
      </c>
      <c r="G2201" t="s">
        <v>43</v>
      </c>
      <c r="H2201" t="s">
        <v>604</v>
      </c>
      <c r="J2201">
        <v>2013</v>
      </c>
      <c r="M2201" t="s">
        <v>45</v>
      </c>
      <c r="P2201" t="s">
        <v>1135</v>
      </c>
      <c r="R2201" t="s">
        <v>1127</v>
      </c>
      <c r="S2201" t="s">
        <v>1128</v>
      </c>
      <c r="T2201" t="s">
        <v>46</v>
      </c>
      <c r="U2201" t="s">
        <v>605</v>
      </c>
      <c r="V2201" t="s">
        <v>606</v>
      </c>
      <c r="Z2201" t="s">
        <v>49</v>
      </c>
      <c r="AA2201" t="s">
        <v>49</v>
      </c>
      <c r="AB2201" t="s">
        <v>71</v>
      </c>
      <c r="AC2201" t="s">
        <v>72</v>
      </c>
      <c r="AD2201" t="s">
        <v>52</v>
      </c>
      <c r="AE2201" t="s">
        <v>53</v>
      </c>
      <c r="AF2201" t="s">
        <v>52</v>
      </c>
      <c r="AG2201" t="s">
        <v>52</v>
      </c>
      <c r="AH2201" t="s">
        <v>64</v>
      </c>
      <c r="AK2201">
        <v>8</v>
      </c>
      <c r="AL2201">
        <v>8</v>
      </c>
      <c r="AN2201">
        <v>338</v>
      </c>
      <c r="AO2201">
        <v>1</v>
      </c>
      <c r="AP2201" t="s">
        <v>56</v>
      </c>
      <c r="AQ2201" t="s">
        <v>118</v>
      </c>
      <c r="AR2201">
        <v>8.08</v>
      </c>
      <c r="AS2201">
        <v>0.02</v>
      </c>
      <c r="AT2201" t="s">
        <v>56</v>
      </c>
      <c r="AU2201">
        <v>1274</v>
      </c>
      <c r="AV2201">
        <v>4</v>
      </c>
      <c r="AW2201" t="s">
        <v>56</v>
      </c>
      <c r="AX2201">
        <v>7.59</v>
      </c>
      <c r="AY2201">
        <v>0.01</v>
      </c>
      <c r="AZ2201" t="s">
        <v>56</v>
      </c>
      <c r="BB2201">
        <f>LOG(AU2201)</f>
        <v>3.1051694279993316</v>
      </c>
      <c r="BC2201">
        <v>20</v>
      </c>
      <c r="BD2201" t="s">
        <v>56</v>
      </c>
      <c r="BE2201" t="s">
        <v>56</v>
      </c>
      <c r="BF2201">
        <v>24</v>
      </c>
      <c r="BG2201" t="s">
        <v>56</v>
      </c>
      <c r="BH2201" t="s">
        <v>56</v>
      </c>
      <c r="BI2201">
        <v>936</v>
      </c>
      <c r="BJ2201">
        <v>4</v>
      </c>
      <c r="BK2201" t="s">
        <v>56</v>
      </c>
      <c r="BL2201" t="s">
        <v>262</v>
      </c>
      <c r="BM2201" t="s">
        <v>262</v>
      </c>
      <c r="BN2201" t="s">
        <v>81</v>
      </c>
      <c r="BO2201" t="s">
        <v>91</v>
      </c>
      <c r="BP2201" t="s">
        <v>92</v>
      </c>
      <c r="BQ2201" t="s">
        <v>92</v>
      </c>
      <c r="BR2201" t="s">
        <v>63</v>
      </c>
      <c r="BT2201">
        <v>377.16</v>
      </c>
      <c r="BU2201">
        <v>377.16</v>
      </c>
      <c r="BV2201">
        <v>15.77</v>
      </c>
      <c r="BW2201">
        <f>BV2201*SQRT(AK2201)</f>
        <v>44.604295757247421</v>
      </c>
      <c r="BX2201">
        <v>439.74</v>
      </c>
      <c r="BY2201">
        <v>439.74</v>
      </c>
      <c r="BZ2201">
        <v>9.4600000000000009</v>
      </c>
      <c r="CA2201">
        <f>BZ2201*SQRT(AL2201)</f>
        <v>26.756920600098962</v>
      </c>
      <c r="CB2201">
        <v>3</v>
      </c>
      <c r="CC2201">
        <v>8</v>
      </c>
      <c r="CD2201">
        <v>0.154</v>
      </c>
      <c r="CE2201">
        <v>2.2000000000000001E-3</v>
      </c>
      <c r="CF2201" s="8"/>
    </row>
    <row r="2202" spans="1:84" hidden="1" x14ac:dyDescent="0.2">
      <c r="B2202" t="str">
        <f>ROW()-1&amp;"_AltersInvert"</f>
        <v>2201_AltersInvert</v>
      </c>
      <c r="C2202" t="str">
        <f>D2202&amp;"_"&amp;
SUBSTITUTE(TRIM(V2202)," ","_")&amp;"_"&amp;
TRIM(AC2202)&amp;"_"&amp;
"CO2"&amp;TEXT(AN2202,"0.00")&amp;"_"&amp;
"pH"&amp;TEXT(AR2202,"0.00")&amp;"_"&amp;
"T"&amp;TEXT(BC2202,"0.##")</f>
        <v>63_Heliocidaris_tuberculata_LARVA_CO2338.00_pH8.08_T20.</v>
      </c>
      <c r="D2202">
        <v>63</v>
      </c>
      <c r="G2202" t="s">
        <v>43</v>
      </c>
      <c r="H2202" t="s">
        <v>604</v>
      </c>
      <c r="J2202">
        <v>2013</v>
      </c>
      <c r="M2202" t="s">
        <v>45</v>
      </c>
      <c r="P2202" t="s">
        <v>1135</v>
      </c>
      <c r="R2202" t="s">
        <v>1127</v>
      </c>
      <c r="S2202" t="s">
        <v>1128</v>
      </c>
      <c r="T2202" t="s">
        <v>46</v>
      </c>
      <c r="U2202" t="s">
        <v>605</v>
      </c>
      <c r="V2202" t="s">
        <v>606</v>
      </c>
      <c r="Z2202" t="s">
        <v>49</v>
      </c>
      <c r="AA2202" t="s">
        <v>49</v>
      </c>
      <c r="AB2202" t="s">
        <v>71</v>
      </c>
      <c r="AC2202" t="s">
        <v>72</v>
      </c>
      <c r="AD2202" t="s">
        <v>52</v>
      </c>
      <c r="AE2202" t="s">
        <v>53</v>
      </c>
      <c r="AF2202" t="s">
        <v>52</v>
      </c>
      <c r="AG2202" t="s">
        <v>52</v>
      </c>
      <c r="AH2202" t="s">
        <v>64</v>
      </c>
      <c r="AK2202">
        <v>8</v>
      </c>
      <c r="AL2202">
        <v>8</v>
      </c>
      <c r="AN2202">
        <v>338</v>
      </c>
      <c r="AO2202">
        <v>1</v>
      </c>
      <c r="AP2202" t="s">
        <v>56</v>
      </c>
      <c r="AQ2202" t="s">
        <v>118</v>
      </c>
      <c r="AR2202">
        <v>8.08</v>
      </c>
      <c r="AS2202">
        <v>0.02</v>
      </c>
      <c r="AT2202" t="s">
        <v>56</v>
      </c>
      <c r="AU2202">
        <v>2092</v>
      </c>
      <c r="AV2202">
        <v>7</v>
      </c>
      <c r="AW2202" t="s">
        <v>56</v>
      </c>
      <c r="AX2202">
        <v>7.44</v>
      </c>
      <c r="AY2202">
        <v>0.02</v>
      </c>
      <c r="AZ2202" t="s">
        <v>56</v>
      </c>
      <c r="BB2202">
        <f>LOG(AU2202)</f>
        <v>3.3205616801952367</v>
      </c>
      <c r="BC2202">
        <v>20</v>
      </c>
      <c r="BD2202" t="s">
        <v>56</v>
      </c>
      <c r="BE2202" t="s">
        <v>56</v>
      </c>
      <c r="BF2202">
        <v>24</v>
      </c>
      <c r="BG2202" t="s">
        <v>56</v>
      </c>
      <c r="BH2202" t="s">
        <v>56</v>
      </c>
      <c r="BI2202">
        <v>1753</v>
      </c>
      <c r="BJ2202">
        <v>4</v>
      </c>
      <c r="BK2202" t="s">
        <v>56</v>
      </c>
      <c r="BL2202" t="s">
        <v>262</v>
      </c>
      <c r="BM2202" t="s">
        <v>262</v>
      </c>
      <c r="BN2202" t="s">
        <v>81</v>
      </c>
      <c r="BO2202" t="s">
        <v>91</v>
      </c>
      <c r="BP2202" t="s">
        <v>92</v>
      </c>
      <c r="BQ2202" t="s">
        <v>92</v>
      </c>
      <c r="BR2202" t="s">
        <v>63</v>
      </c>
      <c r="BT2202">
        <v>377.16</v>
      </c>
      <c r="BU2202">
        <v>377.16</v>
      </c>
      <c r="BV2202">
        <v>15.77</v>
      </c>
      <c r="BW2202">
        <f>BV2202*SQRT(AK2202)</f>
        <v>44.604295757247421</v>
      </c>
      <c r="BX2202">
        <v>439.89</v>
      </c>
      <c r="BY2202">
        <v>439.89</v>
      </c>
      <c r="BZ2202">
        <v>15.77</v>
      </c>
      <c r="CA2202">
        <f>BZ2202*SQRT(AL2202)</f>
        <v>44.604295757247421</v>
      </c>
      <c r="CB2202">
        <v>3</v>
      </c>
      <c r="CC2202">
        <v>8</v>
      </c>
      <c r="CD2202">
        <v>0.154</v>
      </c>
      <c r="CE2202">
        <v>3.0000000000000001E-3</v>
      </c>
      <c r="CF2202" s="8"/>
    </row>
    <row r="2203" spans="1:84" hidden="1" x14ac:dyDescent="0.2">
      <c r="B2203" t="str">
        <f>ROW()-1&amp;"_AltersInvert"</f>
        <v>2202_AltersInvert</v>
      </c>
      <c r="C2203" t="str">
        <f>D2203&amp;"_"&amp;
SUBSTITUTE(TRIM(V2203)," ","_")&amp;"_"&amp;
TRIM(AC2203)&amp;"_"&amp;
"CO2"&amp;TEXT(AN2203,"0.00")&amp;"_"&amp;
"pH"&amp;TEXT(AR2203,"0.00")&amp;"_"&amp;
"T"&amp;TEXT(BC2203,"0.##")</f>
        <v>63_Heliocidaris_tuberculata_LARVA_CO2338.00_pH8.08_T20.</v>
      </c>
      <c r="D2203">
        <v>63</v>
      </c>
      <c r="G2203" t="s">
        <v>43</v>
      </c>
      <c r="H2203" t="s">
        <v>604</v>
      </c>
      <c r="J2203">
        <v>2013</v>
      </c>
      <c r="M2203" t="s">
        <v>45</v>
      </c>
      <c r="P2203" t="s">
        <v>1135</v>
      </c>
      <c r="R2203" t="s">
        <v>1127</v>
      </c>
      <c r="S2203" t="s">
        <v>1128</v>
      </c>
      <c r="T2203" t="s">
        <v>46</v>
      </c>
      <c r="U2203" t="s">
        <v>605</v>
      </c>
      <c r="V2203" t="s">
        <v>606</v>
      </c>
      <c r="Z2203" t="s">
        <v>49</v>
      </c>
      <c r="AA2203" t="s">
        <v>49</v>
      </c>
      <c r="AB2203" t="s">
        <v>71</v>
      </c>
      <c r="AC2203" t="s">
        <v>72</v>
      </c>
      <c r="AD2203" t="s">
        <v>52</v>
      </c>
      <c r="AE2203" t="s">
        <v>53</v>
      </c>
      <c r="AF2203" t="s">
        <v>52</v>
      </c>
      <c r="AG2203" t="s">
        <v>52</v>
      </c>
      <c r="AH2203" t="s">
        <v>64</v>
      </c>
      <c r="AK2203">
        <v>8</v>
      </c>
      <c r="AL2203">
        <v>8</v>
      </c>
      <c r="AN2203">
        <v>338</v>
      </c>
      <c r="AO2203">
        <v>1</v>
      </c>
      <c r="AP2203" t="s">
        <v>56</v>
      </c>
      <c r="AQ2203" t="s">
        <v>118</v>
      </c>
      <c r="AR2203">
        <v>8.08</v>
      </c>
      <c r="AS2203">
        <v>0.02</v>
      </c>
      <c r="AT2203" t="s">
        <v>56</v>
      </c>
      <c r="AU2203">
        <v>762</v>
      </c>
      <c r="AV2203">
        <v>3</v>
      </c>
      <c r="AW2203" t="s">
        <v>56</v>
      </c>
      <c r="AX2203">
        <v>7.77</v>
      </c>
      <c r="AY2203">
        <v>0.02</v>
      </c>
      <c r="AZ2203" t="s">
        <v>56</v>
      </c>
      <c r="BB2203">
        <f>LOG(AU2203)</f>
        <v>2.8819549713396007</v>
      </c>
      <c r="BC2203">
        <v>20</v>
      </c>
      <c r="BD2203" t="s">
        <v>56</v>
      </c>
      <c r="BE2203" t="s">
        <v>56</v>
      </c>
      <c r="BF2203">
        <v>24</v>
      </c>
      <c r="BG2203" t="s">
        <v>56</v>
      </c>
      <c r="BH2203" t="s">
        <v>56</v>
      </c>
      <c r="BI2203">
        <v>424</v>
      </c>
      <c r="BJ2203">
        <v>4</v>
      </c>
      <c r="BK2203" t="s">
        <v>56</v>
      </c>
      <c r="BL2203" t="s">
        <v>262</v>
      </c>
      <c r="BM2203" t="s">
        <v>262</v>
      </c>
      <c r="BN2203" t="s">
        <v>81</v>
      </c>
      <c r="BO2203" t="s">
        <v>91</v>
      </c>
      <c r="BP2203" t="s">
        <v>92</v>
      </c>
      <c r="BQ2203" t="s">
        <v>92</v>
      </c>
      <c r="BR2203" t="s">
        <v>63</v>
      </c>
      <c r="BT2203">
        <v>377.16</v>
      </c>
      <c r="BU2203">
        <v>377.16</v>
      </c>
      <c r="BV2203">
        <v>15.77</v>
      </c>
      <c r="BW2203">
        <f>BV2203*SQRT(AK2203)</f>
        <v>44.604295757247421</v>
      </c>
      <c r="BX2203">
        <v>460.1</v>
      </c>
      <c r="BY2203">
        <v>460.1</v>
      </c>
      <c r="BZ2203">
        <v>12.62</v>
      </c>
      <c r="CA2203">
        <f>BZ2203*SQRT(AL2203)</f>
        <v>35.694750314296918</v>
      </c>
      <c r="CB2203">
        <v>3</v>
      </c>
      <c r="CC2203">
        <v>8</v>
      </c>
      <c r="CD2203">
        <v>0.19900000000000001</v>
      </c>
      <c r="CE2203">
        <v>2.5000000000000001E-3</v>
      </c>
      <c r="CF2203" s="8"/>
    </row>
    <row r="2204" spans="1:84" hidden="1" x14ac:dyDescent="0.2">
      <c r="B2204" t="str">
        <f>ROW()-1&amp;"_AltersInvert"</f>
        <v>2203_AltersInvert</v>
      </c>
      <c r="C2204" t="str">
        <f>D2204&amp;"_"&amp;
SUBSTITUTE(TRIM(V2204)," ","_")&amp;"_"&amp;
TRIM(AC2204)&amp;"_"&amp;
"CO2"&amp;TEXT(AN2204,"0.00")&amp;"_"&amp;
"pH"&amp;TEXT(AR2204,"0.00")&amp;"_"&amp;
"T"&amp;TEXT(BC2204,"0.##")</f>
        <v>37_Tripneustes_gratilla_LARVA_CO2448.00_pH8.13_T23.5</v>
      </c>
      <c r="D2204">
        <v>37</v>
      </c>
      <c r="G2204" t="s">
        <v>43</v>
      </c>
      <c r="H2204" t="s">
        <v>421</v>
      </c>
      <c r="J2204">
        <v>2010</v>
      </c>
      <c r="M2204" t="s">
        <v>213</v>
      </c>
      <c r="P2204" t="s">
        <v>1135</v>
      </c>
      <c r="R2204" t="s">
        <v>1127</v>
      </c>
      <c r="S2204" t="s">
        <v>1128</v>
      </c>
      <c r="T2204" t="s">
        <v>46</v>
      </c>
      <c r="U2204" t="s">
        <v>422</v>
      </c>
      <c r="V2204" t="s">
        <v>423</v>
      </c>
      <c r="Z2204" t="s">
        <v>106</v>
      </c>
      <c r="AA2204" t="s">
        <v>107</v>
      </c>
      <c r="AB2204" t="s">
        <v>71</v>
      </c>
      <c r="AC2204" t="s">
        <v>72</v>
      </c>
      <c r="AD2204" t="s">
        <v>52</v>
      </c>
      <c r="AE2204" t="s">
        <v>53</v>
      </c>
      <c r="AF2204" t="s">
        <v>52</v>
      </c>
      <c r="AG2204" t="s">
        <v>54</v>
      </c>
      <c r="AH2204" t="s">
        <v>55</v>
      </c>
      <c r="AK2204">
        <v>35</v>
      </c>
      <c r="AL2204">
        <v>35</v>
      </c>
      <c r="AN2204">
        <v>448</v>
      </c>
      <c r="AO2204">
        <v>3</v>
      </c>
      <c r="AP2204" t="s">
        <v>56</v>
      </c>
      <c r="AQ2204" t="s">
        <v>57</v>
      </c>
      <c r="AR2204">
        <v>8.1300000000000008</v>
      </c>
      <c r="AS2204">
        <v>0</v>
      </c>
      <c r="AT2204" t="s">
        <v>56</v>
      </c>
      <c r="AU2204">
        <v>1886</v>
      </c>
      <c r="AV2204">
        <v>13</v>
      </c>
      <c r="AW2204" t="s">
        <v>56</v>
      </c>
      <c r="AX2204">
        <v>7.61</v>
      </c>
      <c r="AY2204">
        <v>0</v>
      </c>
      <c r="AZ2204" t="s">
        <v>56</v>
      </c>
      <c r="BB2204">
        <f>LOG(AU2204)</f>
        <v>3.2755416884013098</v>
      </c>
      <c r="BC2204">
        <v>23.5</v>
      </c>
      <c r="BD2204">
        <v>0</v>
      </c>
      <c r="BE2204" t="s">
        <v>56</v>
      </c>
      <c r="BF2204">
        <v>23.5</v>
      </c>
      <c r="BG2204">
        <v>0</v>
      </c>
      <c r="BH2204" t="s">
        <v>56</v>
      </c>
      <c r="BI2204">
        <v>1438</v>
      </c>
      <c r="BJ2204">
        <v>0</v>
      </c>
      <c r="BK2204" t="s">
        <v>56</v>
      </c>
      <c r="BL2204" t="s">
        <v>425</v>
      </c>
      <c r="BM2204" t="s">
        <v>262</v>
      </c>
      <c r="BN2204" t="s">
        <v>81</v>
      </c>
      <c r="BO2204" t="s">
        <v>91</v>
      </c>
      <c r="BP2204" t="s">
        <v>92</v>
      </c>
      <c r="BQ2204" t="s">
        <v>92</v>
      </c>
      <c r="BR2204" t="s">
        <v>63</v>
      </c>
      <c r="BT2204">
        <v>138.66999999999999</v>
      </c>
      <c r="BU2204">
        <v>138.66999999999999</v>
      </c>
      <c r="BV2204">
        <v>8</v>
      </c>
      <c r="BW2204">
        <f>BV2204*SQRT(AK2204)</f>
        <v>47.328638264796929</v>
      </c>
      <c r="BX2204">
        <v>110.67</v>
      </c>
      <c r="BY2204">
        <v>110.67</v>
      </c>
      <c r="BZ2204">
        <v>6.66</v>
      </c>
      <c r="CA2204">
        <f>BZ2204*SQRT(AL2204)</f>
        <v>39.401091355443441</v>
      </c>
      <c r="CB2204">
        <v>5</v>
      </c>
      <c r="CC2204">
        <v>3</v>
      </c>
      <c r="CD2204">
        <v>-0.22600000000000001</v>
      </c>
      <c r="CE2204">
        <v>6.8999999999999999E-3</v>
      </c>
    </row>
    <row r="2205" spans="1:84" hidden="1" x14ac:dyDescent="0.2">
      <c r="B2205" t="str">
        <f>ROW()-1&amp;"_AltersInvert"</f>
        <v>2204_AltersInvert</v>
      </c>
      <c r="C2205" t="str">
        <f>D2205&amp;"_"&amp;
SUBSTITUTE(TRIM(V2205)," ","_")&amp;"_"&amp;
TRIM(AC2205)&amp;"_"&amp;
"CO2"&amp;TEXT(AN2205,"0.00")&amp;"_"&amp;
"pH"&amp;TEXT(AR2205,"0.00")&amp;"_"&amp;
"T"&amp;TEXT(BC2205,"0.##")</f>
        <v>37_Tripneustes_gratilla_LARVA_CO2448.00_pH8.13_T23.5</v>
      </c>
      <c r="D2205">
        <v>37</v>
      </c>
      <c r="G2205" t="s">
        <v>43</v>
      </c>
      <c r="H2205" t="s">
        <v>421</v>
      </c>
      <c r="J2205">
        <v>2010</v>
      </c>
      <c r="M2205" t="s">
        <v>213</v>
      </c>
      <c r="P2205" t="s">
        <v>1135</v>
      </c>
      <c r="R2205" t="s">
        <v>1127</v>
      </c>
      <c r="S2205" t="s">
        <v>1128</v>
      </c>
      <c r="T2205" t="s">
        <v>46</v>
      </c>
      <c r="U2205" t="s">
        <v>422</v>
      </c>
      <c r="V2205" t="s">
        <v>423</v>
      </c>
      <c r="Z2205" t="s">
        <v>106</v>
      </c>
      <c r="AA2205" t="s">
        <v>107</v>
      </c>
      <c r="AB2205" t="s">
        <v>71</v>
      </c>
      <c r="AC2205" t="s">
        <v>72</v>
      </c>
      <c r="AD2205" t="s">
        <v>52</v>
      </c>
      <c r="AE2205" t="s">
        <v>53</v>
      </c>
      <c r="AF2205" t="s">
        <v>52</v>
      </c>
      <c r="AG2205" t="s">
        <v>54</v>
      </c>
      <c r="AH2205" t="s">
        <v>55</v>
      </c>
      <c r="AK2205">
        <v>35</v>
      </c>
      <c r="AL2205">
        <v>35</v>
      </c>
      <c r="AN2205">
        <v>448</v>
      </c>
      <c r="AO2205">
        <v>3</v>
      </c>
      <c r="AP2205" t="s">
        <v>56</v>
      </c>
      <c r="AQ2205" t="s">
        <v>57</v>
      </c>
      <c r="AR2205">
        <v>8.1300000000000008</v>
      </c>
      <c r="AS2205">
        <v>0</v>
      </c>
      <c r="AT2205" t="s">
        <v>56</v>
      </c>
      <c r="AU2205">
        <v>1142</v>
      </c>
      <c r="AV2205">
        <v>8</v>
      </c>
      <c r="AW2205" t="s">
        <v>56</v>
      </c>
      <c r="AX2205">
        <v>7.8</v>
      </c>
      <c r="AY2205">
        <v>0.01</v>
      </c>
      <c r="AZ2205" t="s">
        <v>56</v>
      </c>
      <c r="BB2205">
        <f>LOG(AU2205)</f>
        <v>3.0576661039098294</v>
      </c>
      <c r="BC2205">
        <v>23.5</v>
      </c>
      <c r="BD2205">
        <v>0</v>
      </c>
      <c r="BE2205" t="s">
        <v>56</v>
      </c>
      <c r="BF2205">
        <v>23.5</v>
      </c>
      <c r="BG2205">
        <v>0</v>
      </c>
      <c r="BH2205" t="s">
        <v>56</v>
      </c>
      <c r="BI2205">
        <v>694</v>
      </c>
      <c r="BJ2205">
        <v>0</v>
      </c>
      <c r="BK2205" t="s">
        <v>56</v>
      </c>
      <c r="BL2205" t="s">
        <v>425</v>
      </c>
      <c r="BM2205" t="s">
        <v>262</v>
      </c>
      <c r="BN2205" t="s">
        <v>81</v>
      </c>
      <c r="BO2205" t="s">
        <v>91</v>
      </c>
      <c r="BP2205" t="s">
        <v>92</v>
      </c>
      <c r="BQ2205" t="s">
        <v>92</v>
      </c>
      <c r="BR2205" t="s">
        <v>63</v>
      </c>
      <c r="BT2205">
        <v>138.66999999999999</v>
      </c>
      <c r="BU2205">
        <v>138.66999999999999</v>
      </c>
      <c r="BV2205">
        <v>8</v>
      </c>
      <c r="BW2205">
        <f>BV2205*SQRT(AK2205)</f>
        <v>47.328638264796929</v>
      </c>
      <c r="BX2205">
        <v>119.33</v>
      </c>
      <c r="BY2205">
        <v>119.33</v>
      </c>
      <c r="BZ2205">
        <v>6</v>
      </c>
      <c r="CA2205">
        <f>BZ2205*SQRT(AL2205)</f>
        <v>35.496478698597699</v>
      </c>
      <c r="CB2205">
        <v>5</v>
      </c>
      <c r="CC2205">
        <v>3</v>
      </c>
      <c r="CD2205">
        <v>-0.15</v>
      </c>
      <c r="CE2205">
        <v>5.8999999999999999E-3</v>
      </c>
    </row>
    <row r="2206" spans="1:84" hidden="1" x14ac:dyDescent="0.2">
      <c r="B2206" t="str">
        <f>ROW()-1&amp;"_AltersInvert"</f>
        <v>2205_AltersInvert</v>
      </c>
      <c r="C2206" t="str">
        <f>D2206&amp;"_"&amp;
SUBSTITUTE(TRIM(V2206)," ","_")&amp;"_"&amp;
TRIM(AC2206)&amp;"_"&amp;
"CO2"&amp;TEXT(AN2206,"0.00")&amp;"_"&amp;
"pH"&amp;TEXT(AR2206,"0.00")&amp;"_"&amp;
"T"&amp;TEXT(BC2206,"0.##")</f>
        <v>37_Tripneustes_gratilla_LARVA_CO2448.00_pH8.13_T23.5</v>
      </c>
      <c r="D2206">
        <v>37</v>
      </c>
      <c r="G2206" t="s">
        <v>43</v>
      </c>
      <c r="H2206" t="s">
        <v>421</v>
      </c>
      <c r="J2206">
        <v>2010</v>
      </c>
      <c r="M2206" t="s">
        <v>213</v>
      </c>
      <c r="P2206" t="s">
        <v>1135</v>
      </c>
      <c r="R2206" t="s">
        <v>1127</v>
      </c>
      <c r="S2206" t="s">
        <v>1128</v>
      </c>
      <c r="T2206" t="s">
        <v>46</v>
      </c>
      <c r="U2206" t="s">
        <v>422</v>
      </c>
      <c r="V2206" t="s">
        <v>423</v>
      </c>
      <c r="Z2206" t="s">
        <v>106</v>
      </c>
      <c r="AA2206" t="s">
        <v>107</v>
      </c>
      <c r="AB2206" t="s">
        <v>71</v>
      </c>
      <c r="AC2206" t="s">
        <v>72</v>
      </c>
      <c r="AD2206" t="s">
        <v>52</v>
      </c>
      <c r="AE2206" t="s">
        <v>53</v>
      </c>
      <c r="AF2206" t="s">
        <v>54</v>
      </c>
      <c r="AG2206" t="s">
        <v>52</v>
      </c>
      <c r="AH2206" t="s">
        <v>65</v>
      </c>
      <c r="AK2206">
        <v>35</v>
      </c>
      <c r="AL2206">
        <v>35</v>
      </c>
      <c r="AN2206">
        <v>448</v>
      </c>
      <c r="AO2206">
        <v>3</v>
      </c>
      <c r="AP2206" t="s">
        <v>56</v>
      </c>
      <c r="AQ2206" t="s">
        <v>57</v>
      </c>
      <c r="AR2206">
        <v>8.1300000000000008</v>
      </c>
      <c r="AS2206">
        <v>0</v>
      </c>
      <c r="AT2206" t="s">
        <v>56</v>
      </c>
      <c r="AU2206">
        <v>455</v>
      </c>
      <c r="AV2206">
        <v>3</v>
      </c>
      <c r="AW2206" t="s">
        <v>56</v>
      </c>
      <c r="AX2206">
        <v>8.1300000000000008</v>
      </c>
      <c r="AY2206">
        <v>0</v>
      </c>
      <c r="AZ2206" t="s">
        <v>56</v>
      </c>
      <c r="BB2206">
        <f>LOG(AU2206)</f>
        <v>2.6580113966571126</v>
      </c>
      <c r="BC2206">
        <v>23.5</v>
      </c>
      <c r="BD2206">
        <v>0</v>
      </c>
      <c r="BE2206" t="s">
        <v>56</v>
      </c>
      <c r="BF2206">
        <v>26.1</v>
      </c>
      <c r="BG2206">
        <v>0.1</v>
      </c>
      <c r="BH2206" t="s">
        <v>56</v>
      </c>
      <c r="BI2206">
        <v>7</v>
      </c>
      <c r="BJ2206">
        <v>2.6</v>
      </c>
      <c r="BK2206" t="s">
        <v>56</v>
      </c>
      <c r="BL2206" t="s">
        <v>425</v>
      </c>
      <c r="BM2206" t="s">
        <v>262</v>
      </c>
      <c r="BN2206" t="s">
        <v>81</v>
      </c>
      <c r="BO2206" t="s">
        <v>91</v>
      </c>
      <c r="BP2206" t="s">
        <v>92</v>
      </c>
      <c r="BQ2206" t="s">
        <v>92</v>
      </c>
      <c r="BR2206" t="s">
        <v>63</v>
      </c>
      <c r="BT2206">
        <v>138.66999999999999</v>
      </c>
      <c r="BU2206">
        <v>138.66999999999999</v>
      </c>
      <c r="BV2206">
        <v>8</v>
      </c>
      <c r="BW2206">
        <f>BV2206*SQRT(AK2206)</f>
        <v>47.328638264796929</v>
      </c>
      <c r="BX2206">
        <v>178.67</v>
      </c>
      <c r="BY2206">
        <v>178.67</v>
      </c>
      <c r="BZ2206">
        <v>4</v>
      </c>
      <c r="CA2206">
        <f>BZ2206*SQRT(AL2206)</f>
        <v>23.664319132398465</v>
      </c>
      <c r="CB2206">
        <v>5</v>
      </c>
      <c r="CC2206">
        <v>3</v>
      </c>
      <c r="CD2206">
        <v>0.253</v>
      </c>
      <c r="CE2206">
        <v>3.8E-3</v>
      </c>
    </row>
    <row r="2207" spans="1:84" hidden="1" x14ac:dyDescent="0.2">
      <c r="B2207" t="str">
        <f>ROW()-1&amp;"_AltersInvert"</f>
        <v>2206_AltersInvert</v>
      </c>
      <c r="C2207" t="str">
        <f>D2207&amp;"_"&amp;
SUBSTITUTE(TRIM(V2207)," ","_")&amp;"_"&amp;
TRIM(AC2207)&amp;"_"&amp;
"CO2"&amp;TEXT(AN2207,"0.00")&amp;"_"&amp;
"pH"&amp;TEXT(AR2207,"0.00")&amp;"_"&amp;
"T"&amp;TEXT(BC2207,"0.##")</f>
        <v>37_Tripneustes_gratilla_LARVA_CO2448.00_pH8.13_T23.5</v>
      </c>
      <c r="D2207">
        <v>37</v>
      </c>
      <c r="G2207" t="s">
        <v>43</v>
      </c>
      <c r="H2207" t="s">
        <v>421</v>
      </c>
      <c r="J2207">
        <v>2010</v>
      </c>
      <c r="M2207" t="s">
        <v>213</v>
      </c>
      <c r="P2207" t="s">
        <v>1135</v>
      </c>
      <c r="R2207" t="s">
        <v>1127</v>
      </c>
      <c r="S2207" t="s">
        <v>1128</v>
      </c>
      <c r="T2207" t="s">
        <v>46</v>
      </c>
      <c r="U2207" t="s">
        <v>422</v>
      </c>
      <c r="V2207" t="s">
        <v>423</v>
      </c>
      <c r="Z2207" t="s">
        <v>106</v>
      </c>
      <c r="AA2207" t="s">
        <v>107</v>
      </c>
      <c r="AB2207" t="s">
        <v>71</v>
      </c>
      <c r="AC2207" t="s">
        <v>72</v>
      </c>
      <c r="AD2207" t="s">
        <v>52</v>
      </c>
      <c r="AE2207" t="s">
        <v>53</v>
      </c>
      <c r="AF2207" t="s">
        <v>52</v>
      </c>
      <c r="AG2207" t="s">
        <v>52</v>
      </c>
      <c r="AH2207" t="s">
        <v>64</v>
      </c>
      <c r="AK2207">
        <v>35</v>
      </c>
      <c r="AL2207">
        <v>35</v>
      </c>
      <c r="AN2207">
        <v>448</v>
      </c>
      <c r="AO2207">
        <v>3</v>
      </c>
      <c r="AP2207" t="s">
        <v>56</v>
      </c>
      <c r="AQ2207" t="s">
        <v>57</v>
      </c>
      <c r="AR2207">
        <v>8.1300000000000008</v>
      </c>
      <c r="AS2207">
        <v>0</v>
      </c>
      <c r="AT2207" t="s">
        <v>56</v>
      </c>
      <c r="AU2207">
        <v>1169</v>
      </c>
      <c r="AV2207">
        <v>8</v>
      </c>
      <c r="AW2207" t="s">
        <v>56</v>
      </c>
      <c r="AX2207">
        <v>7.8</v>
      </c>
      <c r="AY2207">
        <v>0.01</v>
      </c>
      <c r="AZ2207" t="s">
        <v>56</v>
      </c>
      <c r="BB2207">
        <f>LOG(AU2207)</f>
        <v>3.0678145111618402</v>
      </c>
      <c r="BC2207">
        <v>23.5</v>
      </c>
      <c r="BD2207">
        <v>0</v>
      </c>
      <c r="BE2207" t="s">
        <v>56</v>
      </c>
      <c r="BF2207">
        <v>26.1</v>
      </c>
      <c r="BG2207">
        <v>0.1</v>
      </c>
      <c r="BH2207" t="s">
        <v>56</v>
      </c>
      <c r="BI2207">
        <v>721</v>
      </c>
      <c r="BJ2207">
        <v>2.6</v>
      </c>
      <c r="BK2207" t="s">
        <v>56</v>
      </c>
      <c r="BL2207" t="s">
        <v>425</v>
      </c>
      <c r="BM2207" t="s">
        <v>262</v>
      </c>
      <c r="BN2207" t="s">
        <v>81</v>
      </c>
      <c r="BO2207" t="s">
        <v>91</v>
      </c>
      <c r="BP2207" t="s">
        <v>92</v>
      </c>
      <c r="BQ2207" t="s">
        <v>92</v>
      </c>
      <c r="BR2207" t="s">
        <v>63</v>
      </c>
      <c r="BT2207">
        <v>138.66999999999999</v>
      </c>
      <c r="BU2207">
        <v>138.66999999999999</v>
      </c>
      <c r="BV2207">
        <v>8</v>
      </c>
      <c r="BW2207">
        <f>BV2207*SQRT(AK2207)</f>
        <v>47.328638264796929</v>
      </c>
      <c r="BX2207">
        <v>137.33000000000001</v>
      </c>
      <c r="BY2207">
        <v>137.33000000000001</v>
      </c>
      <c r="BZ2207">
        <v>4</v>
      </c>
      <c r="CA2207">
        <f>BZ2207*SQRT(AL2207)</f>
        <v>23.664319132398465</v>
      </c>
      <c r="CB2207">
        <v>5</v>
      </c>
      <c r="CC2207">
        <v>3</v>
      </c>
      <c r="CD2207">
        <v>-0.01</v>
      </c>
      <c r="CE2207">
        <v>4.1999999999999997E-3</v>
      </c>
    </row>
    <row r="2208" spans="1:84" hidden="1" x14ac:dyDescent="0.2">
      <c r="B2208" t="str">
        <f>ROW()-1&amp;"_AltersInvert"</f>
        <v>2207_AltersInvert</v>
      </c>
      <c r="C2208" t="str">
        <f>D2208&amp;"_"&amp;
SUBSTITUTE(TRIM(V2208)," ","_")&amp;"_"&amp;
TRIM(AC2208)&amp;"_"&amp;
"CO2"&amp;TEXT(AN2208,"0.00")&amp;"_"&amp;
"pH"&amp;TEXT(AR2208,"0.00")&amp;"_"&amp;
"T"&amp;TEXT(BC2208,"0.##")</f>
        <v>37_Tripneustes_gratilla_LARVA_CO2448.00_pH8.13_T23.5</v>
      </c>
      <c r="D2208">
        <v>37</v>
      </c>
      <c r="G2208" t="s">
        <v>43</v>
      </c>
      <c r="H2208" t="s">
        <v>421</v>
      </c>
      <c r="J2208">
        <v>2010</v>
      </c>
      <c r="M2208" t="s">
        <v>213</v>
      </c>
      <c r="P2208" t="s">
        <v>1135</v>
      </c>
      <c r="R2208" t="s">
        <v>1127</v>
      </c>
      <c r="S2208" t="s">
        <v>1128</v>
      </c>
      <c r="T2208" t="s">
        <v>46</v>
      </c>
      <c r="U2208" t="s">
        <v>422</v>
      </c>
      <c r="V2208" t="s">
        <v>423</v>
      </c>
      <c r="Z2208" t="s">
        <v>106</v>
      </c>
      <c r="AA2208" t="s">
        <v>107</v>
      </c>
      <c r="AB2208" t="s">
        <v>71</v>
      </c>
      <c r="AC2208" t="s">
        <v>72</v>
      </c>
      <c r="AD2208" t="s">
        <v>52</v>
      </c>
      <c r="AE2208" t="s">
        <v>53</v>
      </c>
      <c r="AF2208" t="s">
        <v>52</v>
      </c>
      <c r="AG2208" t="s">
        <v>52</v>
      </c>
      <c r="AH2208" t="s">
        <v>64</v>
      </c>
      <c r="AK2208">
        <v>35</v>
      </c>
      <c r="AL2208">
        <v>35</v>
      </c>
      <c r="AN2208">
        <v>448</v>
      </c>
      <c r="AO2208">
        <v>3</v>
      </c>
      <c r="AP2208" t="s">
        <v>56</v>
      </c>
      <c r="AQ2208" t="s">
        <v>57</v>
      </c>
      <c r="AR2208">
        <v>8.1300000000000008</v>
      </c>
      <c r="AS2208">
        <v>0</v>
      </c>
      <c r="AT2208" t="s">
        <v>56</v>
      </c>
      <c r="AU2208">
        <v>1938</v>
      </c>
      <c r="AV2208">
        <v>14</v>
      </c>
      <c r="AW2208" t="s">
        <v>56</v>
      </c>
      <c r="AX2208">
        <v>7.61</v>
      </c>
      <c r="AY2208">
        <v>0</v>
      </c>
      <c r="AZ2208" t="s">
        <v>56</v>
      </c>
      <c r="BB2208">
        <f>LOG(AU2208)</f>
        <v>3.2873537727147464</v>
      </c>
      <c r="BC2208">
        <v>23.5</v>
      </c>
      <c r="BD2208">
        <v>0</v>
      </c>
      <c r="BE2208" t="s">
        <v>56</v>
      </c>
      <c r="BF2208">
        <v>26.1</v>
      </c>
      <c r="BG2208">
        <v>0.1</v>
      </c>
      <c r="BH2208" t="s">
        <v>56</v>
      </c>
      <c r="BI2208">
        <v>1490</v>
      </c>
      <c r="BJ2208">
        <v>2.6</v>
      </c>
      <c r="BK2208" t="s">
        <v>56</v>
      </c>
      <c r="BL2208" t="s">
        <v>425</v>
      </c>
      <c r="BM2208" t="s">
        <v>262</v>
      </c>
      <c r="BN2208" t="s">
        <v>81</v>
      </c>
      <c r="BO2208" t="s">
        <v>91</v>
      </c>
      <c r="BP2208" t="s">
        <v>92</v>
      </c>
      <c r="BQ2208" t="s">
        <v>92</v>
      </c>
      <c r="BR2208" t="s">
        <v>63</v>
      </c>
      <c r="BT2208">
        <v>138.66999999999999</v>
      </c>
      <c r="BU2208">
        <v>138.66999999999999</v>
      </c>
      <c r="BV2208">
        <v>8</v>
      </c>
      <c r="BW2208">
        <f>BV2208*SQRT(AK2208)</f>
        <v>47.328638264796929</v>
      </c>
      <c r="BX2208">
        <v>138.66999999999999</v>
      </c>
      <c r="BY2208">
        <v>138.66999999999999</v>
      </c>
      <c r="BZ2208">
        <v>5.33</v>
      </c>
      <c r="CA2208">
        <f>BZ2208*SQRT(AL2208)</f>
        <v>31.532705243920955</v>
      </c>
      <c r="CB2208">
        <v>5</v>
      </c>
      <c r="CC2208">
        <v>3</v>
      </c>
      <c r="CD2208">
        <v>0</v>
      </c>
      <c r="CE2208">
        <v>4.7999999999999996E-3</v>
      </c>
    </row>
    <row r="2209" spans="1:84" hidden="1" x14ac:dyDescent="0.2">
      <c r="B2209" t="str">
        <f>ROW()-1&amp;"_AltersInvert"</f>
        <v>2208_AltersInvert</v>
      </c>
      <c r="C2209" t="str">
        <f>D2209&amp;"_"&amp;
SUBSTITUTE(TRIM(V2209)," ","_")&amp;"_"&amp;
TRIM(AC2209)&amp;"_"&amp;
"CO2"&amp;TEXT(AN2209,"0.00")&amp;"_"&amp;
"pH"&amp;TEXT(AR2209,"0.00")&amp;"_"&amp;
"T"&amp;TEXT(BC2209,"0.##")</f>
        <v>2_Ostrea_angasi_LARVA_CO2388.00_pH8.20_T26.</v>
      </c>
      <c r="D2209">
        <v>2</v>
      </c>
      <c r="G2209" t="s">
        <v>43</v>
      </c>
      <c r="H2209" t="s">
        <v>66</v>
      </c>
      <c r="J2209">
        <v>2016</v>
      </c>
      <c r="M2209" t="s">
        <v>67</v>
      </c>
      <c r="P2209" t="s">
        <v>1135</v>
      </c>
      <c r="R2209" t="s">
        <v>1127</v>
      </c>
      <c r="S2209" t="s">
        <v>1128</v>
      </c>
      <c r="T2209" t="s">
        <v>68</v>
      </c>
      <c r="U2209" t="s">
        <v>69</v>
      </c>
      <c r="V2209" t="s">
        <v>70</v>
      </c>
      <c r="Z2209" t="s">
        <v>49</v>
      </c>
      <c r="AA2209" t="s">
        <v>49</v>
      </c>
      <c r="AB2209" t="s">
        <v>71</v>
      </c>
      <c r="AC2209" t="s">
        <v>72</v>
      </c>
      <c r="AD2209" t="s">
        <v>52</v>
      </c>
      <c r="AE2209" t="s">
        <v>53</v>
      </c>
      <c r="AF2209" t="s">
        <v>52</v>
      </c>
      <c r="AG2209" t="s">
        <v>54</v>
      </c>
      <c r="AH2209" t="s">
        <v>55</v>
      </c>
      <c r="AK2209">
        <v>90</v>
      </c>
      <c r="AL2209">
        <v>90</v>
      </c>
      <c r="AN2209">
        <v>388</v>
      </c>
      <c r="AO2209">
        <v>7</v>
      </c>
      <c r="AP2209" t="s">
        <v>56</v>
      </c>
      <c r="AQ2209" t="s">
        <v>57</v>
      </c>
      <c r="AR2209">
        <v>8.1999999999999993</v>
      </c>
      <c r="AS2209" t="s">
        <v>56</v>
      </c>
      <c r="AT2209" t="s">
        <v>56</v>
      </c>
      <c r="AU2209">
        <v>1158</v>
      </c>
      <c r="AV2209">
        <v>20</v>
      </c>
      <c r="AW2209" t="s">
        <v>56</v>
      </c>
      <c r="AX2209">
        <v>7.79</v>
      </c>
      <c r="AY2209" t="s">
        <v>56</v>
      </c>
      <c r="AZ2209" t="s">
        <v>56</v>
      </c>
      <c r="BB2209">
        <f>LOG(AU2209)</f>
        <v>3.0637085593914173</v>
      </c>
      <c r="BC2209">
        <v>26</v>
      </c>
      <c r="BD2209" t="s">
        <v>56</v>
      </c>
      <c r="BE2209" t="s">
        <v>56</v>
      </c>
      <c r="BF2209">
        <v>26</v>
      </c>
      <c r="BG2209" t="s">
        <v>56</v>
      </c>
      <c r="BH2209" t="s">
        <v>56</v>
      </c>
      <c r="BI2209">
        <v>770</v>
      </c>
      <c r="BJ2209">
        <v>0</v>
      </c>
      <c r="BK2209" t="s">
        <v>78</v>
      </c>
      <c r="BL2209" t="s">
        <v>89</v>
      </c>
      <c r="BM2209" t="s">
        <v>90</v>
      </c>
      <c r="BN2209" t="s">
        <v>81</v>
      </c>
      <c r="BO2209" t="s">
        <v>91</v>
      </c>
      <c r="BP2209" t="s">
        <v>92</v>
      </c>
      <c r="BQ2209" t="s">
        <v>92</v>
      </c>
      <c r="BR2209" t="s">
        <v>63</v>
      </c>
      <c r="BT2209">
        <v>292.33</v>
      </c>
      <c r="BU2209">
        <v>292.32505600000002</v>
      </c>
      <c r="BV2209">
        <v>5.53</v>
      </c>
      <c r="BW2209">
        <f>BV2209*SQRT(AK2209)</f>
        <v>52.462186382193416</v>
      </c>
      <c r="BX2209">
        <v>275.68</v>
      </c>
      <c r="BY2209">
        <v>275.6849315</v>
      </c>
      <c r="BZ2209">
        <v>4.79</v>
      </c>
      <c r="CA2209">
        <f>BZ2209*SQRT(AL2209)</f>
        <v>45.441929976619612</v>
      </c>
      <c r="CB2209">
        <v>4</v>
      </c>
      <c r="CC2209">
        <v>3</v>
      </c>
      <c r="CD2209">
        <v>-5.8999999999999997E-2</v>
      </c>
      <c r="CE2209">
        <v>6.9999999999999999E-4</v>
      </c>
    </row>
    <row r="2210" spans="1:84" hidden="1" x14ac:dyDescent="0.2">
      <c r="B2210" t="str">
        <f>ROW()-1&amp;"_AltersInvert"</f>
        <v>2209_AltersInvert</v>
      </c>
      <c r="C2210" t="str">
        <f>D2210&amp;"_"&amp;
SUBSTITUTE(TRIM(V2210)," ","_")&amp;"_"&amp;
TRIM(AC2210)&amp;"_"&amp;
"CO2"&amp;TEXT(AN2210,"0.00")&amp;"_"&amp;
"pH"&amp;TEXT(AR2210,"0.00")&amp;"_"&amp;
"T"&amp;TEXT(BC2210,"0.##")</f>
        <v>2_Ostrea_angasi_LARVA_CO2388.00_pH8.20_T26.</v>
      </c>
      <c r="D2210">
        <v>2</v>
      </c>
      <c r="G2210" t="s">
        <v>43</v>
      </c>
      <c r="H2210" t="s">
        <v>66</v>
      </c>
      <c r="J2210">
        <v>2016</v>
      </c>
      <c r="M2210" t="s">
        <v>67</v>
      </c>
      <c r="P2210" t="s">
        <v>1135</v>
      </c>
      <c r="R2210" t="s">
        <v>1127</v>
      </c>
      <c r="S2210" t="s">
        <v>1128</v>
      </c>
      <c r="T2210" t="s">
        <v>68</v>
      </c>
      <c r="U2210" t="s">
        <v>69</v>
      </c>
      <c r="V2210" t="s">
        <v>70</v>
      </c>
      <c r="Z2210" t="s">
        <v>49</v>
      </c>
      <c r="AA2210" t="s">
        <v>49</v>
      </c>
      <c r="AB2210" t="s">
        <v>71</v>
      </c>
      <c r="AC2210" t="s">
        <v>72</v>
      </c>
      <c r="AD2210" t="s">
        <v>52</v>
      </c>
      <c r="AE2210" t="s">
        <v>53</v>
      </c>
      <c r="AF2210" t="s">
        <v>54</v>
      </c>
      <c r="AG2210" t="s">
        <v>52</v>
      </c>
      <c r="AH2210" t="s">
        <v>65</v>
      </c>
      <c r="AK2210">
        <v>90</v>
      </c>
      <c r="AL2210">
        <v>90</v>
      </c>
      <c r="AN2210">
        <v>388</v>
      </c>
      <c r="AO2210">
        <v>7</v>
      </c>
      <c r="AP2210" t="s">
        <v>56</v>
      </c>
      <c r="AQ2210" t="s">
        <v>57</v>
      </c>
      <c r="AR2210">
        <v>8.1999999999999993</v>
      </c>
      <c r="AS2210" t="s">
        <v>56</v>
      </c>
      <c r="AT2210" t="s">
        <v>56</v>
      </c>
      <c r="AU2210">
        <v>394</v>
      </c>
      <c r="AV2210">
        <v>7</v>
      </c>
      <c r="AW2210" t="s">
        <v>56</v>
      </c>
      <c r="AX2210">
        <v>8.1999999999999993</v>
      </c>
      <c r="AY2210" t="s">
        <v>56</v>
      </c>
      <c r="AZ2210" t="s">
        <v>56</v>
      </c>
      <c r="BB2210">
        <f>LOG(AU2210)</f>
        <v>2.5954962218255742</v>
      </c>
      <c r="BC2210">
        <v>26</v>
      </c>
      <c r="BD2210" t="s">
        <v>56</v>
      </c>
      <c r="BE2210" t="s">
        <v>56</v>
      </c>
      <c r="BF2210">
        <v>30</v>
      </c>
      <c r="BG2210" t="s">
        <v>56</v>
      </c>
      <c r="BH2210" t="s">
        <v>56</v>
      </c>
      <c r="BI2210">
        <v>6</v>
      </c>
      <c r="BJ2210">
        <v>4</v>
      </c>
      <c r="BK2210" t="s">
        <v>78</v>
      </c>
      <c r="BL2210" t="s">
        <v>89</v>
      </c>
      <c r="BM2210" t="s">
        <v>90</v>
      </c>
      <c r="BN2210" t="s">
        <v>81</v>
      </c>
      <c r="BO2210" t="s">
        <v>91</v>
      </c>
      <c r="BP2210" t="s">
        <v>92</v>
      </c>
      <c r="BQ2210" t="s">
        <v>92</v>
      </c>
      <c r="BR2210" t="s">
        <v>63</v>
      </c>
      <c r="BT2210">
        <v>292.33</v>
      </c>
      <c r="BU2210">
        <v>292.32505600000002</v>
      </c>
      <c r="BV2210">
        <v>5.53</v>
      </c>
      <c r="BW2210">
        <f>BV2210*SQRT(AK2210)</f>
        <v>52.462186382193416</v>
      </c>
      <c r="BX2210">
        <v>292.33</v>
      </c>
      <c r="BY2210">
        <v>292.32505639999999</v>
      </c>
      <c r="BZ2210">
        <v>6.32</v>
      </c>
      <c r="CA2210">
        <f>BZ2210*SQRT(AL2210)</f>
        <v>59.956784436792475</v>
      </c>
      <c r="CB2210">
        <v>4</v>
      </c>
      <c r="CC2210">
        <v>3</v>
      </c>
      <c r="CD2210">
        <v>0</v>
      </c>
      <c r="CE2210">
        <v>8.0000000000000004E-4</v>
      </c>
    </row>
    <row r="2211" spans="1:84" s="8" customFormat="1" hidden="1" x14ac:dyDescent="0.2">
      <c r="A2211"/>
      <c r="B2211" t="str">
        <f>ROW()-1&amp;"_AltersInvert"</f>
        <v>2210_AltersInvert</v>
      </c>
      <c r="C2211" t="str">
        <f>D2211&amp;"_"&amp;
SUBSTITUTE(TRIM(V2211)," ","_")&amp;"_"&amp;
TRIM(AC2211)&amp;"_"&amp;
"CO2"&amp;TEXT(AN2211,"0.00")&amp;"_"&amp;
"pH"&amp;TEXT(AR2211,"0.00")&amp;"_"&amp;
"T"&amp;TEXT(BC2211,"0.##")</f>
        <v>2_Ostrea_angasi_LARVA_CO2388.00_pH8.20_T26.</v>
      </c>
      <c r="D2211">
        <v>2</v>
      </c>
      <c r="E2211"/>
      <c r="F2211"/>
      <c r="G2211" t="s">
        <v>43</v>
      </c>
      <c r="H2211" t="s">
        <v>66</v>
      </c>
      <c r="I2211"/>
      <c r="J2211">
        <v>2016</v>
      </c>
      <c r="K2211"/>
      <c r="L2211"/>
      <c r="M2211" t="s">
        <v>67</v>
      </c>
      <c r="N2211"/>
      <c r="O2211"/>
      <c r="P2211" t="s">
        <v>1135</v>
      </c>
      <c r="Q2211"/>
      <c r="R2211" t="s">
        <v>1127</v>
      </c>
      <c r="S2211" t="s">
        <v>1128</v>
      </c>
      <c r="T2211" t="s">
        <v>68</v>
      </c>
      <c r="U2211" t="s">
        <v>69</v>
      </c>
      <c r="V2211" t="s">
        <v>70</v>
      </c>
      <c r="W2211"/>
      <c r="X2211"/>
      <c r="Y2211"/>
      <c r="Z2211" t="s">
        <v>49</v>
      </c>
      <c r="AA2211" t="s">
        <v>49</v>
      </c>
      <c r="AB2211" t="s">
        <v>71</v>
      </c>
      <c r="AC2211" t="s">
        <v>72</v>
      </c>
      <c r="AD2211" t="s">
        <v>52</v>
      </c>
      <c r="AE2211" t="s">
        <v>53</v>
      </c>
      <c r="AF2211" t="s">
        <v>52</v>
      </c>
      <c r="AG2211" t="s">
        <v>52</v>
      </c>
      <c r="AH2211" t="s">
        <v>64</v>
      </c>
      <c r="AI2211"/>
      <c r="AJ2211"/>
      <c r="AK2211">
        <v>90</v>
      </c>
      <c r="AL2211">
        <v>90</v>
      </c>
      <c r="AM2211"/>
      <c r="AN2211">
        <v>388</v>
      </c>
      <c r="AO2211">
        <v>7</v>
      </c>
      <c r="AP2211" t="s">
        <v>56</v>
      </c>
      <c r="AQ2211" t="s">
        <v>57</v>
      </c>
      <c r="AR2211">
        <v>8.1999999999999993</v>
      </c>
      <c r="AS2211" t="s">
        <v>56</v>
      </c>
      <c r="AT2211" t="s">
        <v>56</v>
      </c>
      <c r="AU2211">
        <v>1194</v>
      </c>
      <c r="AV2211">
        <v>20</v>
      </c>
      <c r="AW2211" t="s">
        <v>56</v>
      </c>
      <c r="AX2211">
        <v>7.79</v>
      </c>
      <c r="AY2211" t="s">
        <v>56</v>
      </c>
      <c r="AZ2211" t="s">
        <v>56</v>
      </c>
      <c r="BA2211"/>
      <c r="BB2211">
        <f>LOG(AU2211)</f>
        <v>3.0770043267933502</v>
      </c>
      <c r="BC2211">
        <v>26</v>
      </c>
      <c r="BD2211" t="s">
        <v>56</v>
      </c>
      <c r="BE2211" t="s">
        <v>56</v>
      </c>
      <c r="BF2211">
        <v>30</v>
      </c>
      <c r="BG2211" t="s">
        <v>56</v>
      </c>
      <c r="BH2211" t="s">
        <v>56</v>
      </c>
      <c r="BI2211">
        <v>805</v>
      </c>
      <c r="BJ2211">
        <v>4</v>
      </c>
      <c r="BK2211" t="s">
        <v>78</v>
      </c>
      <c r="BL2211" t="s">
        <v>89</v>
      </c>
      <c r="BM2211" t="s">
        <v>90</v>
      </c>
      <c r="BN2211" t="s">
        <v>81</v>
      </c>
      <c r="BO2211" t="s">
        <v>91</v>
      </c>
      <c r="BP2211" t="s">
        <v>92</v>
      </c>
      <c r="BQ2211" t="s">
        <v>92</v>
      </c>
      <c r="BR2211" t="s">
        <v>63</v>
      </c>
      <c r="BS2211"/>
      <c r="BT2211">
        <v>292.33</v>
      </c>
      <c r="BU2211">
        <v>292.32505600000002</v>
      </c>
      <c r="BV2211">
        <v>5.53</v>
      </c>
      <c r="BW2211">
        <f>BV2211*SQRT(AK2211)</f>
        <v>52.462186382193416</v>
      </c>
      <c r="BX2211">
        <v>286.07</v>
      </c>
      <c r="BY2211">
        <v>286.07305939999998</v>
      </c>
      <c r="BZ2211">
        <v>2.4</v>
      </c>
      <c r="CA2211">
        <f>BZ2211*SQRT(AL2211)</f>
        <v>22.768399153212332</v>
      </c>
      <c r="CB2211">
        <v>4</v>
      </c>
      <c r="CC2211">
        <v>3</v>
      </c>
      <c r="CD2211">
        <v>-2.1999999999999999E-2</v>
      </c>
      <c r="CE2211">
        <v>4.0000000000000002E-4</v>
      </c>
      <c r="CF2211"/>
    </row>
    <row r="2212" spans="1:84" s="8" customFormat="1" hidden="1" x14ac:dyDescent="0.2">
      <c r="B2212" t="str">
        <f>ROW()-1&amp;"_AltersInvert"</f>
        <v>2211_AltersInvert</v>
      </c>
      <c r="C2212" t="str">
        <f>D2212&amp;"_"&amp;
SUBSTITUTE(TRIM(V2212)," ","_")&amp;"_"&amp;
TRIM(AC2212)&amp;"_"&amp;
"CO2"&amp;TEXT(AN2212,"0.00")&amp;"_"&amp;
"pH"&amp;TEXT(AR2212,"0.00")&amp;"_"&amp;
"T"&amp;TEXT(BC2212,"0.##")</f>
        <v>58_Centrostephanus_rodgersii_EMBRYO_CO2506.00_pH8.10_T21.</v>
      </c>
      <c r="D2212" s="8">
        <v>58</v>
      </c>
      <c r="G2212" s="8" t="s">
        <v>43</v>
      </c>
      <c r="H2212" s="8" t="s">
        <v>569</v>
      </c>
      <c r="I2212" s="8" t="s">
        <v>1130</v>
      </c>
      <c r="J2212" s="8">
        <v>2014</v>
      </c>
      <c r="M2212" s="8" t="s">
        <v>67</v>
      </c>
      <c r="P2212" t="s">
        <v>1135</v>
      </c>
      <c r="R2212" s="8" t="s">
        <v>1127</v>
      </c>
      <c r="S2212" t="s">
        <v>1128</v>
      </c>
      <c r="T2212" s="8" t="s">
        <v>46</v>
      </c>
      <c r="U2212" s="8" t="s">
        <v>570</v>
      </c>
      <c r="V2212" s="8" t="s">
        <v>571</v>
      </c>
      <c r="W2212" s="8" t="str">
        <f>IF(ISNUMBER(MATCH(#REF!,{"Doryteuthis pealeii","Loligo vulgaris","Leptuca thayeri","Stylocheilus striatus","Ophryotrocha labronica"},0)),"N","Y")</f>
        <v>Y</v>
      </c>
      <c r="Z2212" s="8" t="s">
        <v>177</v>
      </c>
      <c r="AA2212" s="8" t="s">
        <v>177</v>
      </c>
      <c r="AB2212" s="8" t="s">
        <v>71</v>
      </c>
      <c r="AC2212" s="8" t="s">
        <v>195</v>
      </c>
      <c r="AD2212" s="8" t="s">
        <v>52</v>
      </c>
      <c r="AE2212" s="8" t="s">
        <v>53</v>
      </c>
      <c r="AF2212" s="8" t="s">
        <v>52</v>
      </c>
      <c r="AG2212" s="8" t="s">
        <v>54</v>
      </c>
      <c r="AH2212" s="8" t="s">
        <v>55</v>
      </c>
      <c r="AK2212" s="8">
        <v>150</v>
      </c>
      <c r="AL2212" s="8">
        <v>150</v>
      </c>
      <c r="AN2212" s="8">
        <v>506</v>
      </c>
      <c r="AO2212" s="8" t="s">
        <v>56</v>
      </c>
      <c r="AP2212" s="8" t="s">
        <v>56</v>
      </c>
      <c r="AQ2212" s="8" t="s">
        <v>118</v>
      </c>
      <c r="AR2212" s="8">
        <v>8.1</v>
      </c>
      <c r="AS2212" s="8" t="s">
        <v>56</v>
      </c>
      <c r="AT2212" s="8">
        <v>0.02</v>
      </c>
      <c r="AU2212" s="8">
        <v>6957</v>
      </c>
      <c r="AV2212" t="s">
        <v>56</v>
      </c>
      <c r="AW2212" t="s">
        <v>56</v>
      </c>
      <c r="AX2212">
        <v>7.04</v>
      </c>
      <c r="AY2212" t="s">
        <v>56</v>
      </c>
      <c r="AZ2212" t="s">
        <v>56</v>
      </c>
      <c r="BB2212" s="8">
        <f>LOG(AU2212)</f>
        <v>3.8424220033576497</v>
      </c>
      <c r="BC2212" s="8">
        <v>21</v>
      </c>
      <c r="BD2212" s="8" t="s">
        <v>56</v>
      </c>
      <c r="BE2212" s="8" t="s">
        <v>56</v>
      </c>
      <c r="BF2212" s="8">
        <v>21</v>
      </c>
      <c r="BG2212" s="8" t="s">
        <v>56</v>
      </c>
      <c r="BH2212" s="8" t="s">
        <v>56</v>
      </c>
      <c r="BI2212" s="8">
        <v>6451</v>
      </c>
      <c r="BJ2212" s="8">
        <v>0</v>
      </c>
      <c r="BK2212" s="8" t="s">
        <v>572</v>
      </c>
      <c r="BL2212" s="8" t="s">
        <v>573</v>
      </c>
      <c r="BM2212" s="8" t="s">
        <v>226</v>
      </c>
      <c r="BN2212" s="8" t="s">
        <v>60</v>
      </c>
      <c r="BO2212" s="8" t="s">
        <v>82</v>
      </c>
      <c r="BP2212" s="8" t="s">
        <v>9</v>
      </c>
      <c r="BQ2212" s="8" t="s">
        <v>190</v>
      </c>
      <c r="BR2212" s="8" t="s">
        <v>84</v>
      </c>
      <c r="BT2212" s="8">
        <v>79.55</v>
      </c>
      <c r="BU2212" s="8">
        <v>79.55</v>
      </c>
      <c r="BV2212" s="8">
        <v>4.8899999999999997</v>
      </c>
      <c r="BW2212" s="8">
        <f>BV2212*SQRT(AK2212)</f>
        <v>59.890024211048697</v>
      </c>
      <c r="BX2212" s="8">
        <v>0.88</v>
      </c>
      <c r="BY2212" s="8">
        <v>0.88</v>
      </c>
      <c r="BZ2212" s="8">
        <v>1.34</v>
      </c>
      <c r="CA2212" s="8">
        <f>BZ2212*SQRT(AL2212)</f>
        <v>16.411581276647293</v>
      </c>
      <c r="CB2212" s="8">
        <v>2</v>
      </c>
      <c r="CC2212" s="8">
        <v>3</v>
      </c>
      <c r="CD2212" s="8">
        <v>-4.5039999999999996</v>
      </c>
      <c r="CE2212" s="8">
        <v>2.3224999999999998</v>
      </c>
      <c r="CF2212" s="8" t="s">
        <v>1134</v>
      </c>
    </row>
    <row r="2213" spans="1:84" hidden="1" x14ac:dyDescent="0.2">
      <c r="D2213">
        <v>230</v>
      </c>
      <c r="G2213" t="s">
        <v>43</v>
      </c>
      <c r="H2213" t="s">
        <v>1060</v>
      </c>
      <c r="J2213">
        <v>2018</v>
      </c>
      <c r="M2213" t="s">
        <v>657</v>
      </c>
      <c r="T2213" t="s">
        <v>103</v>
      </c>
      <c r="U2213" t="s">
        <v>201</v>
      </c>
      <c r="V2213" t="s">
        <v>214</v>
      </c>
      <c r="AC2213" t="s">
        <v>108</v>
      </c>
      <c r="AF2213" t="s">
        <v>54</v>
      </c>
      <c r="AG2213" t="s">
        <v>52</v>
      </c>
      <c r="AH2213" t="s">
        <v>64</v>
      </c>
      <c r="AK2213">
        <v>4</v>
      </c>
      <c r="AL2213">
        <v>4</v>
      </c>
      <c r="AN2213">
        <v>498</v>
      </c>
      <c r="AU2213">
        <v>1174</v>
      </c>
      <c r="BB2213">
        <f>LOG(AU2213)</f>
        <v>3.0696680969115957</v>
      </c>
      <c r="BC2213">
        <v>29</v>
      </c>
      <c r="BF2213">
        <v>30.7</v>
      </c>
      <c r="BI2213">
        <v>676</v>
      </c>
      <c r="BJ2213">
        <v>1.7</v>
      </c>
      <c r="BL2213" t="s">
        <v>92</v>
      </c>
      <c r="BM2213" t="s">
        <v>262</v>
      </c>
      <c r="BN2213" t="s">
        <v>81</v>
      </c>
      <c r="BO2213" t="s">
        <v>1035</v>
      </c>
      <c r="BP2213" t="s">
        <v>92</v>
      </c>
      <c r="BR2213" t="s">
        <v>63</v>
      </c>
      <c r="BT2213">
        <v>36.31084353</v>
      </c>
      <c r="BU2213">
        <v>36.310844000000003</v>
      </c>
      <c r="BV2213">
        <v>3.23</v>
      </c>
      <c r="BW2213">
        <f>BV2213*SQRT(AK2213)</f>
        <v>6.46</v>
      </c>
      <c r="BX2213">
        <v>40.9</v>
      </c>
      <c r="BY2213">
        <v>40.895090600000003</v>
      </c>
      <c r="BZ2213">
        <v>4.53</v>
      </c>
      <c r="CA2213">
        <f>BZ2213*SQRT(AL2213)</f>
        <v>9.06</v>
      </c>
      <c r="CB2213">
        <v>21</v>
      </c>
      <c r="CD2213">
        <v>0.11899999999999999</v>
      </c>
      <c r="CE2213">
        <v>2.0199999999999999E-2</v>
      </c>
    </row>
    <row r="2214" spans="1:84" hidden="1" x14ac:dyDescent="0.2">
      <c r="A2214" s="8"/>
      <c r="B2214" t="str">
        <f>ROW()-1&amp;"_AltersInvert"</f>
        <v>2213_AltersInvert</v>
      </c>
      <c r="C2214" t="str">
        <f>D2214&amp;"_"&amp;
SUBSTITUTE(TRIM(V2214)," ","_")&amp;"_"&amp;
TRIM(AC2214)&amp;"_"&amp;
"CO2"&amp;TEXT(AN2214,"0.00")&amp;"_"&amp;
"pH"&amp;TEXT(AR2214,"0.00")&amp;"_"&amp;
"T"&amp;TEXT(BC2214,"0.##")</f>
        <v>58_Centrostephanus_rodgersii_EMBRYO_CO2506.00_pH8.10_T21.</v>
      </c>
      <c r="D2214" s="8">
        <v>58</v>
      </c>
      <c r="E2214" s="8"/>
      <c r="F2214" s="8"/>
      <c r="G2214" s="8" t="s">
        <v>43</v>
      </c>
      <c r="H2214" s="8" t="s">
        <v>569</v>
      </c>
      <c r="I2214" s="8" t="s">
        <v>1130</v>
      </c>
      <c r="J2214" s="8">
        <v>2014</v>
      </c>
      <c r="K2214" s="8"/>
      <c r="L2214" s="8"/>
      <c r="M2214" s="8" t="s">
        <v>67</v>
      </c>
      <c r="N2214" s="8"/>
      <c r="O2214" s="8"/>
      <c r="P2214" t="s">
        <v>1135</v>
      </c>
      <c r="Q2214" s="8"/>
      <c r="R2214" s="8" t="s">
        <v>1127</v>
      </c>
      <c r="S2214" t="s">
        <v>1128</v>
      </c>
      <c r="T2214" s="8" t="s">
        <v>46</v>
      </c>
      <c r="U2214" s="8" t="s">
        <v>570</v>
      </c>
      <c r="V2214" s="8" t="s">
        <v>571</v>
      </c>
      <c r="W2214" s="8" t="str">
        <f>IF(ISNUMBER(MATCH(#REF!,{"Doryteuthis pealeii","Loligo vulgaris","Leptuca thayeri","Stylocheilus striatus","Ophryotrocha labronica"},0)),"N","Y")</f>
        <v>Y</v>
      </c>
      <c r="X2214" s="8"/>
      <c r="Y2214" s="8"/>
      <c r="Z2214" s="8" t="s">
        <v>177</v>
      </c>
      <c r="AA2214" s="8" t="s">
        <v>177</v>
      </c>
      <c r="AB2214" s="8" t="s">
        <v>71</v>
      </c>
      <c r="AC2214" s="8" t="s">
        <v>195</v>
      </c>
      <c r="AD2214" s="8" t="s">
        <v>52</v>
      </c>
      <c r="AE2214" s="8" t="s">
        <v>53</v>
      </c>
      <c r="AF2214" s="8" t="s">
        <v>52</v>
      </c>
      <c r="AG2214" s="8" t="s">
        <v>54</v>
      </c>
      <c r="AH2214" s="8" t="s">
        <v>55</v>
      </c>
      <c r="AI2214" s="8"/>
      <c r="AJ2214" s="8"/>
      <c r="AK2214" s="8">
        <v>150</v>
      </c>
      <c r="AL2214" s="8">
        <v>150</v>
      </c>
      <c r="AM2214" s="8"/>
      <c r="AN2214" s="8">
        <v>506</v>
      </c>
      <c r="AO2214" s="8" t="s">
        <v>56</v>
      </c>
      <c r="AP2214" s="8" t="s">
        <v>56</v>
      </c>
      <c r="AQ2214" s="8" t="s">
        <v>118</v>
      </c>
      <c r="AR2214" s="8">
        <v>8.1</v>
      </c>
      <c r="AS2214" s="8" t="s">
        <v>56</v>
      </c>
      <c r="AT2214" s="8">
        <v>0.02</v>
      </c>
      <c r="AU2214" s="8">
        <v>1825</v>
      </c>
      <c r="AV2214" t="s">
        <v>56</v>
      </c>
      <c r="AW2214" t="s">
        <v>56</v>
      </c>
      <c r="AX2214">
        <v>7.6</v>
      </c>
      <c r="AY2214" t="s">
        <v>56</v>
      </c>
      <c r="AZ2214" t="s">
        <v>56</v>
      </c>
      <c r="BA2214" s="8"/>
      <c r="BB2214" s="8">
        <f>LOG(AU2214)</f>
        <v>3.2612628687924934</v>
      </c>
      <c r="BC2214" s="8">
        <v>21</v>
      </c>
      <c r="BD2214" s="8" t="s">
        <v>56</v>
      </c>
      <c r="BE2214" s="8" t="s">
        <v>56</v>
      </c>
      <c r="BF2214" s="8">
        <v>21</v>
      </c>
      <c r="BG2214" s="8" t="s">
        <v>56</v>
      </c>
      <c r="BH2214" s="8" t="s">
        <v>56</v>
      </c>
      <c r="BI2214" s="8">
        <v>1320</v>
      </c>
      <c r="BJ2214" s="8">
        <v>0</v>
      </c>
      <c r="BK2214" s="8" t="s">
        <v>572</v>
      </c>
      <c r="BL2214" s="8" t="s">
        <v>573</v>
      </c>
      <c r="BM2214" s="8" t="s">
        <v>226</v>
      </c>
      <c r="BN2214" s="8" t="s">
        <v>60</v>
      </c>
      <c r="BO2214" s="8" t="s">
        <v>82</v>
      </c>
      <c r="BP2214" s="8" t="s">
        <v>9</v>
      </c>
      <c r="BQ2214" s="8" t="s">
        <v>83</v>
      </c>
      <c r="BR2214" s="8" t="s">
        <v>84</v>
      </c>
      <c r="BS2214" s="8"/>
      <c r="BT2214" s="8">
        <v>79.55</v>
      </c>
      <c r="BU2214" s="8">
        <v>79.55</v>
      </c>
      <c r="BV2214" s="8">
        <v>4.8899999999999997</v>
      </c>
      <c r="BW2214" s="8">
        <f>BV2214*SQRT(AK2214)</f>
        <v>59.890024211048697</v>
      </c>
      <c r="BX2214" s="8">
        <v>58.22</v>
      </c>
      <c r="BY2214" s="8">
        <v>58.22</v>
      </c>
      <c r="BZ2214" s="8">
        <v>9.33</v>
      </c>
      <c r="CA2214" s="8">
        <f>BZ2214*SQRT(AL2214)</f>
        <v>114.26869650083526</v>
      </c>
      <c r="CB2214" s="8">
        <v>2</v>
      </c>
      <c r="CC2214" s="8">
        <v>3</v>
      </c>
      <c r="CD2214" s="8">
        <v>-0.312</v>
      </c>
      <c r="CE2214" s="8">
        <v>2.9499999999999998E-2</v>
      </c>
      <c r="CF2214" s="8" t="s">
        <v>1134</v>
      </c>
    </row>
    <row r="2215" spans="1:84" hidden="1" x14ac:dyDescent="0.2">
      <c r="A2215" s="8"/>
      <c r="B2215" t="str">
        <f>ROW()-1&amp;"_AltersInvert"</f>
        <v>2214_AltersInvert</v>
      </c>
      <c r="C2215" t="str">
        <f>D2215&amp;"_"&amp;
SUBSTITUTE(TRIM(V2215)," ","_")&amp;"_"&amp;
TRIM(AC2215)&amp;"_"&amp;
"CO2"&amp;TEXT(AN2215,"0.00")&amp;"_"&amp;
"pH"&amp;TEXT(AR2215,"0.00")&amp;"_"&amp;
"T"&amp;TEXT(BC2215,"0.##")</f>
        <v>58_Centrostephanus_rodgersii_EMBRYO_CO2506.00_pH8.10_T21.</v>
      </c>
      <c r="D2215" s="8">
        <v>58</v>
      </c>
      <c r="E2215" s="8"/>
      <c r="F2215" s="8"/>
      <c r="G2215" s="8" t="s">
        <v>43</v>
      </c>
      <c r="H2215" s="8" t="s">
        <v>569</v>
      </c>
      <c r="I2215" s="8" t="s">
        <v>1130</v>
      </c>
      <c r="J2215" s="8">
        <v>2014</v>
      </c>
      <c r="K2215" s="8"/>
      <c r="L2215" s="8"/>
      <c r="M2215" s="8" t="s">
        <v>67</v>
      </c>
      <c r="N2215" s="8"/>
      <c r="O2215" s="8"/>
      <c r="P2215" t="s">
        <v>1135</v>
      </c>
      <c r="Q2215" s="8"/>
      <c r="R2215" s="8" t="s">
        <v>1127</v>
      </c>
      <c r="S2215" t="s">
        <v>1128</v>
      </c>
      <c r="T2215" s="8" t="s">
        <v>46</v>
      </c>
      <c r="U2215" s="8" t="s">
        <v>570</v>
      </c>
      <c r="V2215" s="8" t="s">
        <v>571</v>
      </c>
      <c r="W2215" s="8" t="str">
        <f>IF(ISNUMBER(MATCH(#REF!,{"Doryteuthis pealeii","Loligo vulgaris","Leptuca thayeri","Stylocheilus striatus","Ophryotrocha labronica"},0)),"N","Y")</f>
        <v>Y</v>
      </c>
      <c r="X2215" s="8"/>
      <c r="Y2215" s="8"/>
      <c r="Z2215" s="8" t="s">
        <v>177</v>
      </c>
      <c r="AA2215" s="8" t="s">
        <v>177</v>
      </c>
      <c r="AB2215" s="8" t="s">
        <v>71</v>
      </c>
      <c r="AC2215" s="8" t="s">
        <v>195</v>
      </c>
      <c r="AD2215" s="8" t="s">
        <v>52</v>
      </c>
      <c r="AE2215" s="8" t="s">
        <v>53</v>
      </c>
      <c r="AF2215" s="8" t="s">
        <v>52</v>
      </c>
      <c r="AG2215" s="8" t="s">
        <v>54</v>
      </c>
      <c r="AH2215" s="8" t="s">
        <v>55</v>
      </c>
      <c r="AI2215" s="8"/>
      <c r="AJ2215" s="8"/>
      <c r="AK2215" s="8">
        <v>150</v>
      </c>
      <c r="AL2215" s="8">
        <v>150</v>
      </c>
      <c r="AM2215" s="8"/>
      <c r="AN2215" s="8">
        <v>506</v>
      </c>
      <c r="AO2215" s="8" t="s">
        <v>56</v>
      </c>
      <c r="AP2215" s="8" t="s">
        <v>56</v>
      </c>
      <c r="AQ2215" s="8" t="s">
        <v>118</v>
      </c>
      <c r="AR2215" s="8">
        <v>8.1</v>
      </c>
      <c r="AS2215" s="8" t="s">
        <v>56</v>
      </c>
      <c r="AT2215" s="8">
        <v>0.02</v>
      </c>
      <c r="AU2215" s="8">
        <v>1109</v>
      </c>
      <c r="AV2215" t="s">
        <v>56</v>
      </c>
      <c r="AW2215" t="s">
        <v>56</v>
      </c>
      <c r="AX2215">
        <v>7.8</v>
      </c>
      <c r="AY2215" t="s">
        <v>56</v>
      </c>
      <c r="AZ2215" t="s">
        <v>56</v>
      </c>
      <c r="BA2215" s="8"/>
      <c r="BB2215" s="8">
        <f>LOG(AU2215)</f>
        <v>3.0449315461491602</v>
      </c>
      <c r="BC2215" s="8">
        <v>21</v>
      </c>
      <c r="BD2215" s="8" t="s">
        <v>56</v>
      </c>
      <c r="BE2215" s="8" t="s">
        <v>56</v>
      </c>
      <c r="BF2215" s="8">
        <v>21</v>
      </c>
      <c r="BG2215" s="8" t="s">
        <v>56</v>
      </c>
      <c r="BH2215" s="8" t="s">
        <v>56</v>
      </c>
      <c r="BI2215" s="8">
        <v>604</v>
      </c>
      <c r="BJ2215" s="8">
        <v>0</v>
      </c>
      <c r="BK2215" s="8" t="s">
        <v>572</v>
      </c>
      <c r="BL2215" s="8" t="s">
        <v>573</v>
      </c>
      <c r="BM2215" s="8" t="s">
        <v>226</v>
      </c>
      <c r="BN2215" s="8" t="s">
        <v>60</v>
      </c>
      <c r="BO2215" s="8" t="s">
        <v>82</v>
      </c>
      <c r="BP2215" s="8" t="s">
        <v>9</v>
      </c>
      <c r="BQ2215" s="8" t="s">
        <v>9</v>
      </c>
      <c r="BR2215" s="8" t="s">
        <v>84</v>
      </c>
      <c r="BS2215" s="8"/>
      <c r="BT2215" s="8">
        <v>79.55</v>
      </c>
      <c r="BU2215" s="8">
        <v>79.55</v>
      </c>
      <c r="BV2215" s="8">
        <v>4.8899999999999997</v>
      </c>
      <c r="BW2215" s="8">
        <f>BV2215*SQRT(AK2215)</f>
        <v>59.890024211048697</v>
      </c>
      <c r="BX2215" s="8">
        <v>72.44</v>
      </c>
      <c r="BY2215" s="8">
        <v>72.44</v>
      </c>
      <c r="BZ2215" s="8">
        <v>7.11</v>
      </c>
      <c r="CA2215" s="8">
        <f>BZ2215*SQRT(AL2215)</f>
        <v>87.079360355941986</v>
      </c>
      <c r="CB2215" s="8">
        <v>2</v>
      </c>
      <c r="CC2215" s="8">
        <v>3</v>
      </c>
      <c r="CD2215" s="8">
        <v>-9.4E-2</v>
      </c>
      <c r="CE2215" s="8">
        <v>1.34E-2</v>
      </c>
      <c r="CF2215" s="8" t="s">
        <v>1134</v>
      </c>
    </row>
    <row r="2216" spans="1:84" s="8" customFormat="1" hidden="1" x14ac:dyDescent="0.2">
      <c r="B2216" t="str">
        <f>ROW()-1&amp;"_AltersInvert"</f>
        <v>2215_AltersInvert</v>
      </c>
      <c r="C2216" t="str">
        <f>D2216&amp;"_"&amp;
SUBSTITUTE(TRIM(V2216)," ","_")&amp;"_"&amp;
TRIM(AC2216)&amp;"_"&amp;
"CO2"&amp;TEXT(AN2216,"0.00")&amp;"_"&amp;
"pH"&amp;TEXT(AR2216,"0.00")&amp;"_"&amp;
"T"&amp;TEXT(BC2216,"0.##")</f>
        <v>58_Centrostephanus_rodgersii_EMBRYO_CO2506.00_pH8.10_T21.</v>
      </c>
      <c r="D2216" s="8">
        <v>58</v>
      </c>
      <c r="G2216" s="8" t="s">
        <v>43</v>
      </c>
      <c r="H2216" s="8" t="s">
        <v>569</v>
      </c>
      <c r="I2216" s="8" t="s">
        <v>1130</v>
      </c>
      <c r="J2216" s="8">
        <v>2014</v>
      </c>
      <c r="M2216" s="8" t="s">
        <v>67</v>
      </c>
      <c r="P2216" t="s">
        <v>1135</v>
      </c>
      <c r="R2216" s="8" t="s">
        <v>1127</v>
      </c>
      <c r="S2216" t="s">
        <v>1128</v>
      </c>
      <c r="T2216" s="8" t="s">
        <v>46</v>
      </c>
      <c r="U2216" s="8" t="s">
        <v>570</v>
      </c>
      <c r="V2216" s="8" t="s">
        <v>571</v>
      </c>
      <c r="W2216" s="8" t="str">
        <f>IF(ISNUMBER(MATCH(V1610,{"Doryteuthis pealeii","Loligo vulgaris","Leptuca thayeri","Stylocheilus striatus","Ophryotrocha labronica"},0)),"N","Y")</f>
        <v>Y</v>
      </c>
      <c r="Z2216" s="8" t="s">
        <v>177</v>
      </c>
      <c r="AA2216" s="8" t="s">
        <v>177</v>
      </c>
      <c r="AB2216" s="8" t="s">
        <v>71</v>
      </c>
      <c r="AC2216" s="8" t="s">
        <v>195</v>
      </c>
      <c r="AD2216" s="8" t="s">
        <v>52</v>
      </c>
      <c r="AE2216" s="8" t="s">
        <v>53</v>
      </c>
      <c r="AF2216" s="8" t="s">
        <v>54</v>
      </c>
      <c r="AG2216" s="8" t="s">
        <v>52</v>
      </c>
      <c r="AH2216" s="8" t="s">
        <v>65</v>
      </c>
      <c r="AK2216" s="8">
        <v>150</v>
      </c>
      <c r="AL2216" s="8">
        <v>150</v>
      </c>
      <c r="AN2216" s="8">
        <v>506</v>
      </c>
      <c r="AO2216" s="8" t="s">
        <v>56</v>
      </c>
      <c r="AP2216" s="8" t="s">
        <v>56</v>
      </c>
      <c r="AQ2216" s="8" t="s">
        <v>118</v>
      </c>
      <c r="AR2216" s="8">
        <v>8.1</v>
      </c>
      <c r="AS2216" s="8" t="s">
        <v>56</v>
      </c>
      <c r="AT2216" s="8">
        <v>0.02</v>
      </c>
      <c r="AU2216" s="8">
        <v>511</v>
      </c>
      <c r="AV2216" t="s">
        <v>56</v>
      </c>
      <c r="AW2216" t="s">
        <v>56</v>
      </c>
      <c r="AX2216">
        <v>8.1</v>
      </c>
      <c r="AY2216" t="s">
        <v>56</v>
      </c>
      <c r="AZ2216" t="s">
        <v>56</v>
      </c>
      <c r="BB2216" s="8">
        <f>LOG(AU2216)</f>
        <v>2.7084209001347128</v>
      </c>
      <c r="BC2216" s="8">
        <v>21</v>
      </c>
      <c r="BD2216" s="8" t="s">
        <v>56</v>
      </c>
      <c r="BE2216" s="8" t="s">
        <v>56</v>
      </c>
      <c r="BF2216" s="8">
        <v>24</v>
      </c>
      <c r="BG2216" s="8" t="s">
        <v>56</v>
      </c>
      <c r="BH2216" s="8" t="s">
        <v>56</v>
      </c>
      <c r="BI2216" s="8">
        <v>6</v>
      </c>
      <c r="BJ2216" s="8">
        <v>3</v>
      </c>
      <c r="BK2216" s="8" t="s">
        <v>572</v>
      </c>
      <c r="BL2216" s="8" t="s">
        <v>573</v>
      </c>
      <c r="BM2216" s="8" t="s">
        <v>226</v>
      </c>
      <c r="BN2216" s="8" t="s">
        <v>60</v>
      </c>
      <c r="BO2216" s="8" t="s">
        <v>82</v>
      </c>
      <c r="BP2216" s="8" t="s">
        <v>9</v>
      </c>
      <c r="BQ2216" s="8" t="s">
        <v>190</v>
      </c>
      <c r="BR2216" s="8" t="s">
        <v>84</v>
      </c>
      <c r="BT2216" s="8">
        <v>79.55</v>
      </c>
      <c r="BU2216" s="8">
        <v>79.55</v>
      </c>
      <c r="BV2216" s="8">
        <v>4.8899999999999997</v>
      </c>
      <c r="BW2216" s="8">
        <f>BV2216*SQRT(AK2216)</f>
        <v>59.890024211048697</v>
      </c>
      <c r="BX2216" s="8">
        <v>82.66</v>
      </c>
      <c r="BY2216" s="8">
        <v>82.66</v>
      </c>
      <c r="BZ2216" s="8">
        <v>3.11</v>
      </c>
      <c r="CA2216" s="8">
        <f>BZ2216*SQRT(AL2216)</f>
        <v>38.089565500278418</v>
      </c>
      <c r="CB2216" s="8">
        <v>2</v>
      </c>
      <c r="CC2216" s="8">
        <v>3</v>
      </c>
      <c r="CD2216" s="8">
        <v>3.7999999999999999E-2</v>
      </c>
      <c r="CE2216" s="8">
        <v>5.1999999999999998E-3</v>
      </c>
      <c r="CF2216" s="8" t="s">
        <v>1134</v>
      </c>
    </row>
    <row r="2217" spans="1:84" hidden="1" x14ac:dyDescent="0.2">
      <c r="A2217" s="8"/>
      <c r="B2217" t="str">
        <f>ROW()-1&amp;"_AltersInvert"</f>
        <v>2216_AltersInvert</v>
      </c>
      <c r="C2217" t="str">
        <f>D2217&amp;"_"&amp;
SUBSTITUTE(TRIM(V2217)," ","_")&amp;"_"&amp;
TRIM(AC2217)&amp;"_"&amp;
"CO2"&amp;TEXT(AN2217,"0.00")&amp;"_"&amp;
"pH"&amp;TEXT(AR2217,"0.00")&amp;"_"&amp;
"T"&amp;TEXT(BC2217,"0.##")</f>
        <v>58_Centrostephanus_rodgersii_EMBRYO_CO2506.00_pH8.10_T21.</v>
      </c>
      <c r="D2217" s="8">
        <v>58</v>
      </c>
      <c r="E2217" s="8"/>
      <c r="F2217" s="8"/>
      <c r="G2217" s="8" t="s">
        <v>43</v>
      </c>
      <c r="H2217" s="8" t="s">
        <v>569</v>
      </c>
      <c r="I2217" s="8" t="s">
        <v>1130</v>
      </c>
      <c r="J2217" s="8">
        <v>2014</v>
      </c>
      <c r="K2217" s="8"/>
      <c r="L2217" s="8"/>
      <c r="M2217" s="8" t="s">
        <v>67</v>
      </c>
      <c r="N2217" s="8"/>
      <c r="O2217" s="8"/>
      <c r="P2217" t="s">
        <v>1135</v>
      </c>
      <c r="Q2217" s="8"/>
      <c r="R2217" s="8" t="s">
        <v>1127</v>
      </c>
      <c r="S2217" t="s">
        <v>1128</v>
      </c>
      <c r="T2217" s="8" t="s">
        <v>46</v>
      </c>
      <c r="U2217" s="8" t="s">
        <v>570</v>
      </c>
      <c r="V2217" s="8" t="s">
        <v>571</v>
      </c>
      <c r="W2217" s="8" t="str">
        <f>IF(ISNUMBER(MATCH(V1611,{"Doryteuthis pealeii","Loligo vulgaris","Leptuca thayeri","Stylocheilus striatus","Ophryotrocha labronica"},0)),"N","Y")</f>
        <v>Y</v>
      </c>
      <c r="X2217" s="8"/>
      <c r="Y2217" s="8"/>
      <c r="Z2217" s="8" t="s">
        <v>177</v>
      </c>
      <c r="AA2217" s="8" t="s">
        <v>177</v>
      </c>
      <c r="AB2217" s="8" t="s">
        <v>71</v>
      </c>
      <c r="AC2217" s="8" t="s">
        <v>195</v>
      </c>
      <c r="AD2217" s="8" t="s">
        <v>52</v>
      </c>
      <c r="AE2217" s="8" t="s">
        <v>53</v>
      </c>
      <c r="AF2217" s="8" t="s">
        <v>52</v>
      </c>
      <c r="AG2217" s="8" t="s">
        <v>52</v>
      </c>
      <c r="AH2217" s="8" t="s">
        <v>64</v>
      </c>
      <c r="AI2217" s="8"/>
      <c r="AJ2217" s="8"/>
      <c r="AK2217" s="8">
        <v>150</v>
      </c>
      <c r="AL2217" s="8">
        <v>150</v>
      </c>
      <c r="AM2217" s="8"/>
      <c r="AN2217" s="8">
        <v>506</v>
      </c>
      <c r="AO2217" s="8" t="s">
        <v>56</v>
      </c>
      <c r="AP2217" s="8" t="s">
        <v>56</v>
      </c>
      <c r="AQ2217" s="8" t="s">
        <v>118</v>
      </c>
      <c r="AR2217" s="8">
        <v>8.1</v>
      </c>
      <c r="AS2217" s="8" t="s">
        <v>56</v>
      </c>
      <c r="AT2217" s="8">
        <v>0.02</v>
      </c>
      <c r="AU2217" s="8">
        <v>7145</v>
      </c>
      <c r="AV2217" t="s">
        <v>56</v>
      </c>
      <c r="AW2217" t="s">
        <v>56</v>
      </c>
      <c r="AX2217">
        <v>7.04</v>
      </c>
      <c r="AY2217" t="s">
        <v>56</v>
      </c>
      <c r="AZ2217" t="s">
        <v>56</v>
      </c>
      <c r="BA2217" s="8"/>
      <c r="BB2217" s="8">
        <f>LOG(AU2217)</f>
        <v>3.8540022331269892</v>
      </c>
      <c r="BC2217" s="8">
        <v>21</v>
      </c>
      <c r="BD2217" s="8" t="s">
        <v>56</v>
      </c>
      <c r="BE2217" s="8" t="s">
        <v>56</v>
      </c>
      <c r="BF2217" s="8">
        <v>24</v>
      </c>
      <c r="BG2217" s="8" t="s">
        <v>56</v>
      </c>
      <c r="BH2217" s="8" t="s">
        <v>56</v>
      </c>
      <c r="BI2217" s="8">
        <v>6640</v>
      </c>
      <c r="BJ2217" s="8">
        <v>3</v>
      </c>
      <c r="BK2217" s="8" t="s">
        <v>572</v>
      </c>
      <c r="BL2217" s="8" t="s">
        <v>573</v>
      </c>
      <c r="BM2217" s="8" t="s">
        <v>226</v>
      </c>
      <c r="BN2217" s="8" t="s">
        <v>60</v>
      </c>
      <c r="BO2217" s="8" t="s">
        <v>82</v>
      </c>
      <c r="BP2217" s="8" t="s">
        <v>9</v>
      </c>
      <c r="BQ2217" s="8" t="s">
        <v>190</v>
      </c>
      <c r="BR2217" s="8" t="s">
        <v>84</v>
      </c>
      <c r="BS2217" s="8"/>
      <c r="BT2217" s="8">
        <v>79.55</v>
      </c>
      <c r="BU2217" s="8">
        <v>79.55</v>
      </c>
      <c r="BV2217" s="8">
        <v>4.8899999999999997</v>
      </c>
      <c r="BW2217" s="8">
        <f>BV2217*SQRT(AK2217)</f>
        <v>59.890024211048697</v>
      </c>
      <c r="BX2217" s="8">
        <v>0.44</v>
      </c>
      <c r="BY2217" s="8">
        <v>0.44</v>
      </c>
      <c r="BZ2217" s="8">
        <v>0.44</v>
      </c>
      <c r="CA2217" s="8">
        <f>BZ2217*SQRT(AL2217)</f>
        <v>5.3888774341229917</v>
      </c>
      <c r="CB2217" s="8">
        <v>2</v>
      </c>
      <c r="CC2217" s="8">
        <v>3</v>
      </c>
      <c r="CD2217" s="8">
        <v>-5.1970000000000001</v>
      </c>
      <c r="CE2217" s="8">
        <v>1.0038</v>
      </c>
      <c r="CF2217" s="8" t="s">
        <v>1134</v>
      </c>
    </row>
    <row r="2218" spans="1:84" hidden="1" x14ac:dyDescent="0.2">
      <c r="D2218">
        <v>230</v>
      </c>
      <c r="G2218" t="s">
        <v>43</v>
      </c>
      <c r="H2218" t="s">
        <v>1060</v>
      </c>
      <c r="J2218">
        <v>2018</v>
      </c>
      <c r="M2218" t="s">
        <v>657</v>
      </c>
      <c r="T2218" t="s">
        <v>103</v>
      </c>
      <c r="U2218" t="s">
        <v>201</v>
      </c>
      <c r="V2218" t="s">
        <v>214</v>
      </c>
      <c r="AC2218" t="s">
        <v>108</v>
      </c>
      <c r="AF2218" t="s">
        <v>54</v>
      </c>
      <c r="AG2218" t="s">
        <v>52</v>
      </c>
      <c r="AH2218" t="s">
        <v>65</v>
      </c>
      <c r="AK2218">
        <v>4</v>
      </c>
      <c r="AL2218">
        <v>4</v>
      </c>
      <c r="AN2218">
        <v>498</v>
      </c>
      <c r="AU2218">
        <v>483</v>
      </c>
      <c r="BB2218">
        <f>LOG(AU2218)</f>
        <v>2.6839471307515121</v>
      </c>
      <c r="BC2218">
        <v>29</v>
      </c>
      <c r="BF2218">
        <v>30.6</v>
      </c>
      <c r="BI2218">
        <v>-15</v>
      </c>
      <c r="BJ2218">
        <v>1.6</v>
      </c>
      <c r="BL2218" t="s">
        <v>92</v>
      </c>
      <c r="BM2218" t="s">
        <v>262</v>
      </c>
      <c r="BN2218" t="s">
        <v>81</v>
      </c>
      <c r="BO2218" t="s">
        <v>1035</v>
      </c>
      <c r="BP2218" t="s">
        <v>92</v>
      </c>
      <c r="BR2218" t="s">
        <v>63</v>
      </c>
      <c r="BT2218">
        <v>36.31084353</v>
      </c>
      <c r="BU2218">
        <v>36.310844000000003</v>
      </c>
      <c r="BV2218">
        <v>3.23</v>
      </c>
      <c r="BW2218">
        <f>BV2218*SQRT(AK2218)</f>
        <v>6.46</v>
      </c>
      <c r="BX2218">
        <v>44.54</v>
      </c>
      <c r="BY2218">
        <v>44.541322999999998</v>
      </c>
      <c r="BZ2218">
        <v>3.51</v>
      </c>
      <c r="CA2218">
        <f>BZ2218*SQRT(AL2218)</f>
        <v>7.02</v>
      </c>
      <c r="CB2218">
        <v>21</v>
      </c>
      <c r="CD2218">
        <v>0.20399999999999999</v>
      </c>
      <c r="CE2218">
        <v>1.41E-2</v>
      </c>
    </row>
    <row r="2219" spans="1:84" hidden="1" x14ac:dyDescent="0.2">
      <c r="A2219" s="8"/>
      <c r="B2219" t="str">
        <f>ROW()-1&amp;"_AltersInvert"</f>
        <v>2218_AltersInvert</v>
      </c>
      <c r="C2219" t="str">
        <f>D2219&amp;"_"&amp;
SUBSTITUTE(TRIM(V2219)," ","_")&amp;"_"&amp;
TRIM(AC2219)&amp;"_"&amp;
"CO2"&amp;TEXT(AN2219,"0.00")&amp;"_"&amp;
"pH"&amp;TEXT(AR2219,"0.00")&amp;"_"&amp;
"T"&amp;TEXT(BC2219,"0.##")</f>
        <v>58_Centrostephanus_rodgersii_EMBRYO_CO2506.00_pH8.10_T21.</v>
      </c>
      <c r="D2219" s="8">
        <v>58</v>
      </c>
      <c r="E2219" s="8"/>
      <c r="F2219" s="8"/>
      <c r="G2219" s="8" t="s">
        <v>43</v>
      </c>
      <c r="H2219" s="8" t="s">
        <v>569</v>
      </c>
      <c r="I2219" s="8" t="s">
        <v>1130</v>
      </c>
      <c r="J2219" s="8">
        <v>2014</v>
      </c>
      <c r="K2219" s="8"/>
      <c r="L2219" s="8"/>
      <c r="M2219" s="8" t="s">
        <v>67</v>
      </c>
      <c r="N2219" s="8"/>
      <c r="O2219" s="8"/>
      <c r="P2219" t="s">
        <v>1135</v>
      </c>
      <c r="Q2219" s="8"/>
      <c r="R2219" s="8" t="s">
        <v>1127</v>
      </c>
      <c r="S2219" t="s">
        <v>1128</v>
      </c>
      <c r="T2219" s="8" t="s">
        <v>46</v>
      </c>
      <c r="U2219" s="8" t="s">
        <v>570</v>
      </c>
      <c r="V2219" s="8" t="s">
        <v>571</v>
      </c>
      <c r="W2219" s="8" t="str">
        <f>IF(ISNUMBER(MATCH(V1613,{"Doryteuthis pealeii","Loligo vulgaris","Leptuca thayeri","Stylocheilus striatus","Ophryotrocha labronica"},0)),"N","Y")</f>
        <v>Y</v>
      </c>
      <c r="X2219" s="8"/>
      <c r="Y2219" s="8"/>
      <c r="Z2219" s="8" t="s">
        <v>177</v>
      </c>
      <c r="AA2219" s="8" t="s">
        <v>177</v>
      </c>
      <c r="AB2219" s="8" t="s">
        <v>71</v>
      </c>
      <c r="AC2219" s="8" t="s">
        <v>195</v>
      </c>
      <c r="AD2219" s="8" t="s">
        <v>52</v>
      </c>
      <c r="AE2219" s="8" t="s">
        <v>53</v>
      </c>
      <c r="AF2219" s="8" t="s">
        <v>52</v>
      </c>
      <c r="AG2219" s="8" t="s">
        <v>52</v>
      </c>
      <c r="AH2219" s="8" t="s">
        <v>64</v>
      </c>
      <c r="AI2219" s="8"/>
      <c r="AJ2219" s="8"/>
      <c r="AK2219" s="8">
        <v>150</v>
      </c>
      <c r="AL2219" s="8">
        <v>150</v>
      </c>
      <c r="AM2219" s="8"/>
      <c r="AN2219" s="8">
        <v>506</v>
      </c>
      <c r="AO2219" s="8" t="s">
        <v>56</v>
      </c>
      <c r="AP2219" s="8" t="s">
        <v>56</v>
      </c>
      <c r="AQ2219" s="8" t="s">
        <v>118</v>
      </c>
      <c r="AR2219" s="8">
        <v>8.1</v>
      </c>
      <c r="AS2219" s="8" t="s">
        <v>56</v>
      </c>
      <c r="AT2219" s="8">
        <v>0.02</v>
      </c>
      <c r="AU2219" s="8">
        <v>1867</v>
      </c>
      <c r="AV2219" t="s">
        <v>56</v>
      </c>
      <c r="AW2219" t="s">
        <v>56</v>
      </c>
      <c r="AX2219">
        <v>7.6</v>
      </c>
      <c r="AY2219" t="s">
        <v>56</v>
      </c>
      <c r="AZ2219" t="s">
        <v>56</v>
      </c>
      <c r="BA2219" s="8"/>
      <c r="BB2219" s="8">
        <f>LOG(AU2219)</f>
        <v>3.2711443179490782</v>
      </c>
      <c r="BC2219" s="8">
        <v>21</v>
      </c>
      <c r="BD2219" s="8" t="s">
        <v>56</v>
      </c>
      <c r="BE2219" s="8" t="s">
        <v>56</v>
      </c>
      <c r="BF2219" s="8">
        <v>24</v>
      </c>
      <c r="BG2219" s="8" t="s">
        <v>56</v>
      </c>
      <c r="BH2219" s="8" t="s">
        <v>56</v>
      </c>
      <c r="BI2219" s="8">
        <v>1361</v>
      </c>
      <c r="BJ2219" s="8">
        <v>3</v>
      </c>
      <c r="BK2219" s="8" t="s">
        <v>572</v>
      </c>
      <c r="BL2219" s="8" t="s">
        <v>573</v>
      </c>
      <c r="BM2219" s="8" t="s">
        <v>226</v>
      </c>
      <c r="BN2219" s="8" t="s">
        <v>60</v>
      </c>
      <c r="BO2219" s="8" t="s">
        <v>82</v>
      </c>
      <c r="BP2219" s="8" t="s">
        <v>9</v>
      </c>
      <c r="BQ2219" s="8" t="s">
        <v>92</v>
      </c>
      <c r="BR2219" s="8" t="s">
        <v>84</v>
      </c>
      <c r="BS2219" s="8"/>
      <c r="BT2219" s="8">
        <v>79.55</v>
      </c>
      <c r="BU2219" s="8">
        <v>79.55</v>
      </c>
      <c r="BV2219" s="8">
        <v>4.8899999999999997</v>
      </c>
      <c r="BW2219" s="8">
        <f>BV2219*SQRT(AK2219)</f>
        <v>59.890024211048697</v>
      </c>
      <c r="BX2219" s="8">
        <v>47.55</v>
      </c>
      <c r="BY2219" s="8">
        <v>47.55</v>
      </c>
      <c r="BZ2219" s="8">
        <v>4.8899999999999997</v>
      </c>
      <c r="CA2219" s="8">
        <f>BZ2219*SQRT(AL2219)</f>
        <v>59.890024211048697</v>
      </c>
      <c r="CB2219" s="8">
        <v>2</v>
      </c>
      <c r="CC2219" s="8">
        <v>3</v>
      </c>
      <c r="CD2219" s="8">
        <v>-0.51500000000000001</v>
      </c>
      <c r="CE2219" s="8">
        <v>1.44E-2</v>
      </c>
      <c r="CF2219" s="8" t="s">
        <v>1134</v>
      </c>
    </row>
    <row r="2220" spans="1:84" s="8" customFormat="1" hidden="1" x14ac:dyDescent="0.2">
      <c r="B2220" t="str">
        <f>ROW()-1&amp;"_AltersInvert"</f>
        <v>2219_AltersInvert</v>
      </c>
      <c r="C2220" t="str">
        <f>D2220&amp;"_"&amp;
SUBSTITUTE(TRIM(V2220)," ","_")&amp;"_"&amp;
TRIM(AC2220)&amp;"_"&amp;
"CO2"&amp;TEXT(AN2220,"0.00")&amp;"_"&amp;
"pH"&amp;TEXT(AR2220,"0.00")&amp;"_"&amp;
"T"&amp;TEXT(BC2220,"0.##")</f>
        <v>58_Centrostephanus_rodgersii_EMBRYO_CO2506.00_pH8.10_T21.</v>
      </c>
      <c r="D2220" s="8">
        <v>58</v>
      </c>
      <c r="G2220" s="8" t="s">
        <v>43</v>
      </c>
      <c r="H2220" s="8" t="s">
        <v>569</v>
      </c>
      <c r="I2220" s="8" t="s">
        <v>1130</v>
      </c>
      <c r="J2220" s="8">
        <v>2014</v>
      </c>
      <c r="M2220" s="8" t="s">
        <v>67</v>
      </c>
      <c r="P2220" t="s">
        <v>1135</v>
      </c>
      <c r="R2220" s="8" t="s">
        <v>1127</v>
      </c>
      <c r="S2220" t="s">
        <v>1128</v>
      </c>
      <c r="T2220" s="8" t="s">
        <v>46</v>
      </c>
      <c r="U2220" s="8" t="s">
        <v>570</v>
      </c>
      <c r="V2220" s="8" t="s">
        <v>571</v>
      </c>
      <c r="W2220" s="8" t="str">
        <f>IF(ISNUMBER(MATCH(V1614,{"Doryteuthis pealeii","Loligo vulgaris","Leptuca thayeri","Stylocheilus striatus","Ophryotrocha labronica"},0)),"N","Y")</f>
        <v>Y</v>
      </c>
      <c r="Z2220" s="8" t="s">
        <v>177</v>
      </c>
      <c r="AA2220" s="8" t="s">
        <v>177</v>
      </c>
      <c r="AB2220" s="8" t="s">
        <v>71</v>
      </c>
      <c r="AC2220" s="8" t="s">
        <v>195</v>
      </c>
      <c r="AD2220" s="8" t="s">
        <v>52</v>
      </c>
      <c r="AE2220" s="8" t="s">
        <v>53</v>
      </c>
      <c r="AF2220" s="8" t="s">
        <v>52</v>
      </c>
      <c r="AG2220" s="8" t="s">
        <v>52</v>
      </c>
      <c r="AH2220" s="8" t="s">
        <v>64</v>
      </c>
      <c r="AK2220" s="8">
        <v>150</v>
      </c>
      <c r="AL2220" s="8">
        <v>150</v>
      </c>
      <c r="AN2220" s="8">
        <v>506</v>
      </c>
      <c r="AO2220" s="8" t="s">
        <v>56</v>
      </c>
      <c r="AP2220" s="8" t="s">
        <v>56</v>
      </c>
      <c r="AQ2220" s="8" t="s">
        <v>118</v>
      </c>
      <c r="AR2220" s="8">
        <v>8.1</v>
      </c>
      <c r="AS2220" s="8" t="s">
        <v>56</v>
      </c>
      <c r="AT2220" s="8">
        <v>0.02</v>
      </c>
      <c r="AU2220" s="8">
        <v>1131</v>
      </c>
      <c r="AV2220" t="s">
        <v>56</v>
      </c>
      <c r="AW2220" t="s">
        <v>56</v>
      </c>
      <c r="AX2220">
        <v>7.8</v>
      </c>
      <c r="AY2220" t="s">
        <v>56</v>
      </c>
      <c r="AZ2220" t="s">
        <v>56</v>
      </c>
      <c r="BB2220" s="8">
        <f>LOG(AU2220)</f>
        <v>3.0534626049254552</v>
      </c>
      <c r="BC2220" s="8">
        <v>21</v>
      </c>
      <c r="BD2220" s="8" t="s">
        <v>56</v>
      </c>
      <c r="BE2220" s="8" t="s">
        <v>56</v>
      </c>
      <c r="BF2220" s="8">
        <v>24</v>
      </c>
      <c r="BG2220" s="8" t="s">
        <v>56</v>
      </c>
      <c r="BH2220" s="8" t="s">
        <v>56</v>
      </c>
      <c r="BI2220" s="8">
        <v>625</v>
      </c>
      <c r="BJ2220" s="8">
        <v>3</v>
      </c>
      <c r="BK2220" s="8" t="s">
        <v>572</v>
      </c>
      <c r="BL2220" s="8" t="s">
        <v>573</v>
      </c>
      <c r="BM2220" s="8" t="s">
        <v>226</v>
      </c>
      <c r="BN2220" s="8" t="s">
        <v>60</v>
      </c>
      <c r="BO2220" s="8" t="s">
        <v>82</v>
      </c>
      <c r="BP2220" s="8" t="s">
        <v>9</v>
      </c>
      <c r="BQ2220" s="8" t="s">
        <v>190</v>
      </c>
      <c r="BR2220" s="8" t="s">
        <v>84</v>
      </c>
      <c r="BT2220" s="8">
        <v>79.55</v>
      </c>
      <c r="BU2220" s="8">
        <v>79.55</v>
      </c>
      <c r="BV2220" s="8">
        <v>4.8899999999999997</v>
      </c>
      <c r="BW2220" s="8">
        <f>BV2220*SQRT(AK2220)</f>
        <v>59.890024211048697</v>
      </c>
      <c r="BX2220" s="8">
        <v>66.66</v>
      </c>
      <c r="BY2220" s="8">
        <v>66.66</v>
      </c>
      <c r="BZ2220" s="8">
        <v>5.34</v>
      </c>
      <c r="CA2220" s="8">
        <f>BZ2220*SQRT(AL2220)</f>
        <v>65.401376132310858</v>
      </c>
      <c r="CB2220" s="8">
        <v>2</v>
      </c>
      <c r="CC2220" s="8">
        <v>3</v>
      </c>
      <c r="CD2220" s="8">
        <v>-0.17699999999999999</v>
      </c>
      <c r="CE2220" s="8">
        <v>1.0200000000000001E-2</v>
      </c>
      <c r="CF2220" s="8" t="s">
        <v>1134</v>
      </c>
    </row>
    <row r="2221" spans="1:84" hidden="1" x14ac:dyDescent="0.2">
      <c r="B2221" t="str">
        <f>ROW()-1&amp;"_AltersInvert"</f>
        <v>2220_AltersInvert</v>
      </c>
      <c r="C2221" t="str">
        <f>D2221&amp;"_"&amp;
SUBSTITUTE(TRIM(V2221)," ","_")&amp;"_"&amp;
TRIM(AC2221)&amp;"_"&amp;
"CO2"&amp;TEXT(AN2221,"0.00")&amp;"_"&amp;
"pH"&amp;TEXT(AR2221,"0.00")&amp;"_"&amp;
"T"&amp;TEXT(BC2221,"0.##")</f>
        <v>99_Tripneustes_gratilla_LARVA_CO2491.00_pH8.12_T24.4</v>
      </c>
      <c r="D2221">
        <v>99</v>
      </c>
      <c r="G2221" t="s">
        <v>43</v>
      </c>
      <c r="H2221" t="s">
        <v>765</v>
      </c>
      <c r="J2221">
        <v>2019</v>
      </c>
      <c r="M2221" t="s">
        <v>766</v>
      </c>
      <c r="P2221" t="s">
        <v>1135</v>
      </c>
      <c r="R2221" t="s">
        <v>1127</v>
      </c>
      <c r="S2221" t="s">
        <v>1128</v>
      </c>
      <c r="T2221" t="s">
        <v>46</v>
      </c>
      <c r="U2221" t="s">
        <v>422</v>
      </c>
      <c r="V2221" t="s">
        <v>423</v>
      </c>
      <c r="Z2221" t="s">
        <v>106</v>
      </c>
      <c r="AA2221" t="s">
        <v>107</v>
      </c>
      <c r="AB2221" t="s">
        <v>71</v>
      </c>
      <c r="AC2221" t="s">
        <v>72</v>
      </c>
      <c r="AD2221" t="s">
        <v>54</v>
      </c>
      <c r="AE2221" t="s">
        <v>53</v>
      </c>
      <c r="AF2221" t="s">
        <v>52</v>
      </c>
      <c r="AG2221" t="s">
        <v>54</v>
      </c>
      <c r="AH2221" t="s">
        <v>55</v>
      </c>
      <c r="AK2221">
        <v>5</v>
      </c>
      <c r="AL2221">
        <v>5</v>
      </c>
      <c r="AN2221">
        <v>491</v>
      </c>
      <c r="AO2221">
        <v>12</v>
      </c>
      <c r="AP2221" t="s">
        <v>56</v>
      </c>
      <c r="AQ2221" t="s">
        <v>118</v>
      </c>
      <c r="AR2221">
        <v>8.1199999999999992</v>
      </c>
      <c r="AS2221">
        <v>0.01</v>
      </c>
      <c r="AT2221" t="s">
        <v>56</v>
      </c>
      <c r="AU2221">
        <v>1583</v>
      </c>
      <c r="AV2221">
        <v>36</v>
      </c>
      <c r="AW2221" t="s">
        <v>56</v>
      </c>
      <c r="AX2221">
        <v>7.67</v>
      </c>
      <c r="AY2221">
        <v>0.01</v>
      </c>
      <c r="AZ2221" t="s">
        <v>56</v>
      </c>
      <c r="BB2221">
        <f>LOG(AU2221)</f>
        <v>3.199480914862356</v>
      </c>
      <c r="BC2221">
        <v>24.4</v>
      </c>
      <c r="BD2221">
        <v>0.1</v>
      </c>
      <c r="BE2221" t="s">
        <v>56</v>
      </c>
      <c r="BF2221">
        <v>24.5</v>
      </c>
      <c r="BG2221">
        <v>0.1</v>
      </c>
      <c r="BH2221" t="s">
        <v>56</v>
      </c>
      <c r="BI2221">
        <v>1092</v>
      </c>
      <c r="BJ2221">
        <v>0.1</v>
      </c>
      <c r="BK2221" t="s">
        <v>767</v>
      </c>
      <c r="BL2221" t="s">
        <v>384</v>
      </c>
      <c r="BM2221" t="s">
        <v>385</v>
      </c>
      <c r="BN2221" t="s">
        <v>81</v>
      </c>
      <c r="BO2221" t="s">
        <v>91</v>
      </c>
      <c r="BP2221" t="s">
        <v>92</v>
      </c>
      <c r="BQ2221" t="s">
        <v>92</v>
      </c>
      <c r="BR2221" t="s">
        <v>63</v>
      </c>
      <c r="BT2221">
        <v>714.77</v>
      </c>
      <c r="BU2221">
        <v>714.76510099999996</v>
      </c>
      <c r="BV2221">
        <v>26.85</v>
      </c>
      <c r="BW2221">
        <f>BV2221*SQRT(AK2221)</f>
        <v>60.038425195869358</v>
      </c>
      <c r="BX2221">
        <v>597.32000000000005</v>
      </c>
      <c r="BY2221">
        <v>597.31543620000002</v>
      </c>
      <c r="BZ2221">
        <v>33.56</v>
      </c>
      <c r="CA2221">
        <f>BZ2221*SQRT(AL2221)</f>
        <v>75.042441324892948</v>
      </c>
      <c r="CB2221">
        <v>14</v>
      </c>
      <c r="CC2221">
        <v>7</v>
      </c>
      <c r="CD2221">
        <v>-0.18</v>
      </c>
      <c r="CE2221">
        <v>4.5999999999999999E-3</v>
      </c>
      <c r="CF2221" s="8"/>
    </row>
    <row r="2222" spans="1:84" hidden="1" x14ac:dyDescent="0.2">
      <c r="B2222" t="str">
        <f>ROW()-1&amp;"_AltersInvert"</f>
        <v>2221_AltersInvert</v>
      </c>
      <c r="C2222" t="str">
        <f>D2222&amp;"_"&amp;
SUBSTITUTE(TRIM(V2222)," ","_")&amp;"_"&amp;
TRIM(AC2222)&amp;"_"&amp;
"CO2"&amp;TEXT(AN2222,"0.00")&amp;"_"&amp;
"pH"&amp;TEXT(AR2222,"0.00")&amp;"_"&amp;
"T"&amp;TEXT(BC2222,"0.##")</f>
        <v>99_Tripneustes_gratilla_LARVA_CO2491.00_pH8.12_T24.4</v>
      </c>
      <c r="D2222">
        <v>99</v>
      </c>
      <c r="G2222" t="s">
        <v>43</v>
      </c>
      <c r="H2222" t="s">
        <v>765</v>
      </c>
      <c r="J2222">
        <v>2019</v>
      </c>
      <c r="M2222" t="s">
        <v>766</v>
      </c>
      <c r="P2222" t="s">
        <v>1135</v>
      </c>
      <c r="R2222" t="s">
        <v>1127</v>
      </c>
      <c r="S2222" t="s">
        <v>1128</v>
      </c>
      <c r="T2222" t="s">
        <v>46</v>
      </c>
      <c r="U2222" t="s">
        <v>422</v>
      </c>
      <c r="V2222" t="s">
        <v>423</v>
      </c>
      <c r="Z2222" t="s">
        <v>106</v>
      </c>
      <c r="AA2222" t="s">
        <v>107</v>
      </c>
      <c r="AB2222" t="s">
        <v>71</v>
      </c>
      <c r="AC2222" t="s">
        <v>72</v>
      </c>
      <c r="AD2222" t="s">
        <v>54</v>
      </c>
      <c r="AE2222" t="s">
        <v>53</v>
      </c>
      <c r="AF2222" t="s">
        <v>52</v>
      </c>
      <c r="AG2222" t="s">
        <v>54</v>
      </c>
      <c r="AH2222" t="s">
        <v>55</v>
      </c>
      <c r="AK2222">
        <v>5</v>
      </c>
      <c r="AL2222">
        <v>5</v>
      </c>
      <c r="AN2222">
        <v>491</v>
      </c>
      <c r="AO2222">
        <v>12</v>
      </c>
      <c r="AP2222" t="s">
        <v>56</v>
      </c>
      <c r="AQ2222" t="s">
        <v>118</v>
      </c>
      <c r="AR2222">
        <v>8.1199999999999992</v>
      </c>
      <c r="AS2222">
        <v>0.01</v>
      </c>
      <c r="AT2222" t="s">
        <v>56</v>
      </c>
      <c r="AU2222">
        <v>930</v>
      </c>
      <c r="AV2222">
        <v>18</v>
      </c>
      <c r="AW2222" t="s">
        <v>56</v>
      </c>
      <c r="AX2222">
        <v>7.87</v>
      </c>
      <c r="AY2222">
        <v>0.01</v>
      </c>
      <c r="AZ2222" t="s">
        <v>56</v>
      </c>
      <c r="BB2222">
        <f>LOG(AU2222)</f>
        <v>2.9684829485539352</v>
      </c>
      <c r="BC2222">
        <v>24.4</v>
      </c>
      <c r="BD2222">
        <v>0.1</v>
      </c>
      <c r="BE2222" t="s">
        <v>56</v>
      </c>
      <c r="BF2222">
        <v>24.3</v>
      </c>
      <c r="BG2222">
        <v>0.1</v>
      </c>
      <c r="BH2222" t="s">
        <v>56</v>
      </c>
      <c r="BI2222">
        <v>440</v>
      </c>
      <c r="BJ2222">
        <v>-0.1</v>
      </c>
      <c r="BK2222" t="s">
        <v>767</v>
      </c>
      <c r="BL2222" t="s">
        <v>384</v>
      </c>
      <c r="BM2222" t="s">
        <v>385</v>
      </c>
      <c r="BN2222" t="s">
        <v>81</v>
      </c>
      <c r="BO2222" t="s">
        <v>91</v>
      </c>
      <c r="BP2222" t="s">
        <v>92</v>
      </c>
      <c r="BQ2222" t="s">
        <v>92</v>
      </c>
      <c r="BR2222" t="s">
        <v>63</v>
      </c>
      <c r="BT2222">
        <v>714.77</v>
      </c>
      <c r="BU2222">
        <v>714.76510099999996</v>
      </c>
      <c r="BV2222">
        <v>26.85</v>
      </c>
      <c r="BW2222">
        <f>BV2222*SQRT(AK2222)</f>
        <v>60.038425195869358</v>
      </c>
      <c r="BX2222">
        <v>691.28</v>
      </c>
      <c r="BY2222">
        <v>691.27516779999996</v>
      </c>
      <c r="BZ2222">
        <v>20.13</v>
      </c>
      <c r="CA2222">
        <f>BZ2222*SQRT(AL2222)</f>
        <v>45.012048387070763</v>
      </c>
      <c r="CB2222">
        <v>14</v>
      </c>
      <c r="CC2222">
        <v>7</v>
      </c>
      <c r="CD2222">
        <v>-3.3000000000000002E-2</v>
      </c>
      <c r="CE2222">
        <v>2.3E-3</v>
      </c>
      <c r="CF2222" s="8"/>
    </row>
    <row r="2223" spans="1:84" hidden="1" x14ac:dyDescent="0.2">
      <c r="B2223" t="str">
        <f>ROW()-1&amp;"_AltersInvert"</f>
        <v>2222_AltersInvert</v>
      </c>
      <c r="C2223" t="str">
        <f>D2223&amp;"_"&amp;
SUBSTITUTE(TRIM(V2223)," ","_")&amp;"_"&amp;
TRIM(AC2223)&amp;"_"&amp;
"CO2"&amp;TEXT(AN2223,"0.00")&amp;"_"&amp;
"pH"&amp;TEXT(AR2223,"0.00")&amp;"_"&amp;
"T"&amp;TEXT(BC2223,"0.##")</f>
        <v>99_Tripneustes_gratilla_LARVA_CO2491.00_pH8.12_T24.4</v>
      </c>
      <c r="D2223">
        <v>99</v>
      </c>
      <c r="G2223" t="s">
        <v>43</v>
      </c>
      <c r="H2223" t="s">
        <v>765</v>
      </c>
      <c r="J2223">
        <v>2019</v>
      </c>
      <c r="M2223" t="s">
        <v>766</v>
      </c>
      <c r="P2223" t="s">
        <v>1135</v>
      </c>
      <c r="R2223" t="s">
        <v>1127</v>
      </c>
      <c r="S2223" t="s">
        <v>1128</v>
      </c>
      <c r="T2223" t="s">
        <v>46</v>
      </c>
      <c r="U2223" t="s">
        <v>422</v>
      </c>
      <c r="V2223" t="s">
        <v>423</v>
      </c>
      <c r="Z2223" t="s">
        <v>106</v>
      </c>
      <c r="AA2223" t="s">
        <v>107</v>
      </c>
      <c r="AB2223" t="s">
        <v>71</v>
      </c>
      <c r="AC2223" t="s">
        <v>72</v>
      </c>
      <c r="AD2223" t="s">
        <v>54</v>
      </c>
      <c r="AE2223" t="s">
        <v>53</v>
      </c>
      <c r="AF2223" t="s">
        <v>54</v>
      </c>
      <c r="AG2223" t="s">
        <v>52</v>
      </c>
      <c r="AH2223" t="s">
        <v>65</v>
      </c>
      <c r="AK2223">
        <v>5</v>
      </c>
      <c r="AL2223">
        <v>5</v>
      </c>
      <c r="AN2223">
        <v>491</v>
      </c>
      <c r="AO2223">
        <v>12</v>
      </c>
      <c r="AP2223" t="s">
        <v>56</v>
      </c>
      <c r="AQ2223" t="s">
        <v>118</v>
      </c>
      <c r="AR2223">
        <v>8.1199999999999992</v>
      </c>
      <c r="AS2223">
        <v>0.01</v>
      </c>
      <c r="AT2223" t="s">
        <v>56</v>
      </c>
      <c r="AU2223">
        <v>513</v>
      </c>
      <c r="AV2223">
        <v>12</v>
      </c>
      <c r="AW2223" t="s">
        <v>56</v>
      </c>
      <c r="AX2223">
        <v>8.1</v>
      </c>
      <c r="AY2223">
        <v>0.01</v>
      </c>
      <c r="AZ2223" t="s">
        <v>56</v>
      </c>
      <c r="BB2223">
        <f>LOG(AU2223)</f>
        <v>2.7101173651118162</v>
      </c>
      <c r="BC2223">
        <v>24.4</v>
      </c>
      <c r="BD2223">
        <v>0.1</v>
      </c>
      <c r="BE2223" t="s">
        <v>56</v>
      </c>
      <c r="BF2223">
        <v>26.8</v>
      </c>
      <c r="BG2223">
        <v>0.1</v>
      </c>
      <c r="BH2223" t="s">
        <v>56</v>
      </c>
      <c r="BI2223">
        <v>22</v>
      </c>
      <c r="BJ2223">
        <v>2.4</v>
      </c>
      <c r="BK2223" t="s">
        <v>767</v>
      </c>
      <c r="BL2223" t="s">
        <v>384</v>
      </c>
      <c r="BM2223" t="s">
        <v>385</v>
      </c>
      <c r="BN2223" t="s">
        <v>81</v>
      </c>
      <c r="BO2223" t="s">
        <v>91</v>
      </c>
      <c r="BP2223" t="s">
        <v>92</v>
      </c>
      <c r="BQ2223" t="s">
        <v>92</v>
      </c>
      <c r="BR2223" t="s">
        <v>63</v>
      </c>
      <c r="BT2223">
        <v>714.77</v>
      </c>
      <c r="BU2223">
        <v>714.76510099999996</v>
      </c>
      <c r="BV2223">
        <v>26.85</v>
      </c>
      <c r="BW2223">
        <f>BV2223*SQRT(AK2223)</f>
        <v>60.038425195869358</v>
      </c>
      <c r="BX2223">
        <v>761.74</v>
      </c>
      <c r="BY2223">
        <v>761.74496639999995</v>
      </c>
      <c r="BZ2223">
        <v>57.05</v>
      </c>
      <c r="CA2223">
        <f>BZ2223*SQRT(AL2223)</f>
        <v>127.567678116363</v>
      </c>
      <c r="CB2223">
        <v>14</v>
      </c>
      <c r="CC2223">
        <v>7</v>
      </c>
      <c r="CD2223">
        <v>6.4000000000000001E-2</v>
      </c>
      <c r="CE2223">
        <v>7.0000000000000001E-3</v>
      </c>
      <c r="CF2223" s="8"/>
    </row>
    <row r="2224" spans="1:84" hidden="1" x14ac:dyDescent="0.2">
      <c r="B2224" t="str">
        <f>ROW()-1&amp;"_AltersInvert"</f>
        <v>2223_AltersInvert</v>
      </c>
      <c r="C2224" t="str">
        <f>D2224&amp;"_"&amp;
SUBSTITUTE(TRIM(V2224)," ","_")&amp;"_"&amp;
TRIM(AC2224)&amp;"_"&amp;
"CO2"&amp;TEXT(AN2224,"0.00")&amp;"_"&amp;
"pH"&amp;TEXT(AR2224,"0.00")&amp;"_"&amp;
"T"&amp;TEXT(BC2224,"0.##")</f>
        <v>99_Tripneustes_gratilla_LARVA_CO2491.00_pH8.12_T24.4</v>
      </c>
      <c r="D2224">
        <v>99</v>
      </c>
      <c r="G2224" t="s">
        <v>43</v>
      </c>
      <c r="H2224" t="s">
        <v>765</v>
      </c>
      <c r="J2224">
        <v>2019</v>
      </c>
      <c r="M2224" t="s">
        <v>766</v>
      </c>
      <c r="P2224" t="s">
        <v>1135</v>
      </c>
      <c r="R2224" t="s">
        <v>1127</v>
      </c>
      <c r="S2224" t="s">
        <v>1128</v>
      </c>
      <c r="T2224" t="s">
        <v>46</v>
      </c>
      <c r="U2224" t="s">
        <v>422</v>
      </c>
      <c r="V2224" t="s">
        <v>423</v>
      </c>
      <c r="Z2224" t="s">
        <v>106</v>
      </c>
      <c r="AA2224" t="s">
        <v>107</v>
      </c>
      <c r="AB2224" t="s">
        <v>71</v>
      </c>
      <c r="AC2224" t="s">
        <v>72</v>
      </c>
      <c r="AD2224" t="s">
        <v>54</v>
      </c>
      <c r="AE2224" t="s">
        <v>53</v>
      </c>
      <c r="AF2224" t="s">
        <v>52</v>
      </c>
      <c r="AG2224" t="s">
        <v>52</v>
      </c>
      <c r="AH2224" t="s">
        <v>64</v>
      </c>
      <c r="AK2224">
        <v>5</v>
      </c>
      <c r="AL2224">
        <v>5</v>
      </c>
      <c r="AN2224">
        <v>491</v>
      </c>
      <c r="AO2224">
        <v>12</v>
      </c>
      <c r="AP2224" t="s">
        <v>56</v>
      </c>
      <c r="AQ2224" t="s">
        <v>118</v>
      </c>
      <c r="AR2224">
        <v>8.1199999999999992</v>
      </c>
      <c r="AS2224">
        <v>0.01</v>
      </c>
      <c r="AT2224" t="s">
        <v>56</v>
      </c>
      <c r="AU2224">
        <v>1704</v>
      </c>
      <c r="AV2224">
        <v>32</v>
      </c>
      <c r="AW2224" t="s">
        <v>56</v>
      </c>
      <c r="AX2224">
        <v>7.65</v>
      </c>
      <c r="AY2224">
        <v>0.01</v>
      </c>
      <c r="AZ2224" t="s">
        <v>56</v>
      </c>
      <c r="BB2224">
        <f>LOG(AU2224)</f>
        <v>3.2314695904306814</v>
      </c>
      <c r="BC2224">
        <v>24.4</v>
      </c>
      <c r="BD2224">
        <v>0.1</v>
      </c>
      <c r="BE2224" t="s">
        <v>56</v>
      </c>
      <c r="BF2224">
        <v>27</v>
      </c>
      <c r="BG2224">
        <v>0.1</v>
      </c>
      <c r="BH2224" t="s">
        <v>56</v>
      </c>
      <c r="BI2224">
        <v>1213</v>
      </c>
      <c r="BJ2224">
        <v>2.6</v>
      </c>
      <c r="BK2224" t="s">
        <v>767</v>
      </c>
      <c r="BL2224" t="s">
        <v>384</v>
      </c>
      <c r="BM2224" t="s">
        <v>385</v>
      </c>
      <c r="BN2224" t="s">
        <v>81</v>
      </c>
      <c r="BO2224" t="s">
        <v>91</v>
      </c>
      <c r="BP2224" t="s">
        <v>92</v>
      </c>
      <c r="BQ2224" t="s">
        <v>92</v>
      </c>
      <c r="BR2224" t="s">
        <v>63</v>
      </c>
      <c r="BT2224">
        <v>714.77</v>
      </c>
      <c r="BU2224">
        <v>714.76510099999996</v>
      </c>
      <c r="BV2224">
        <v>26.85</v>
      </c>
      <c r="BW2224">
        <f>BV2224*SQRT(AK2224)</f>
        <v>60.038425195869358</v>
      </c>
      <c r="BX2224">
        <v>577.17999999999995</v>
      </c>
      <c r="BY2224">
        <v>577.18120810000005</v>
      </c>
      <c r="BZ2224">
        <v>10.07</v>
      </c>
      <c r="CA2224">
        <f>BZ2224*SQRT(AL2224)</f>
        <v>22.517204533422884</v>
      </c>
      <c r="CB2224">
        <v>14</v>
      </c>
      <c r="CC2224">
        <v>7</v>
      </c>
      <c r="CD2224">
        <v>-0.214</v>
      </c>
      <c r="CE2224">
        <v>1.6999999999999999E-3</v>
      </c>
      <c r="CF2224" s="8"/>
    </row>
    <row r="2225" spans="1:84" s="8" customFormat="1" hidden="1" x14ac:dyDescent="0.2">
      <c r="A2225"/>
      <c r="B2225" t="str">
        <f>ROW()-1&amp;"_AltersInvert"</f>
        <v>2224_AltersInvert</v>
      </c>
      <c r="C2225" t="str">
        <f>D2225&amp;"_"&amp;
SUBSTITUTE(TRIM(V2225)," ","_")&amp;"_"&amp;
TRIM(AC2225)&amp;"_"&amp;
"CO2"&amp;TEXT(AN2225,"0.00")&amp;"_"&amp;
"pH"&amp;TEXT(AR2225,"0.00")&amp;"_"&amp;
"T"&amp;TEXT(BC2225,"0.##")</f>
        <v>99_Tripneustes_gratilla_LARVA_CO2491.00_pH8.12_T24.4</v>
      </c>
      <c r="D2225">
        <v>99</v>
      </c>
      <c r="E2225"/>
      <c r="F2225"/>
      <c r="G2225" t="s">
        <v>43</v>
      </c>
      <c r="H2225" t="s">
        <v>765</v>
      </c>
      <c r="I2225"/>
      <c r="J2225">
        <v>2019</v>
      </c>
      <c r="K2225"/>
      <c r="L2225"/>
      <c r="M2225" t="s">
        <v>766</v>
      </c>
      <c r="N2225"/>
      <c r="O2225"/>
      <c r="P2225" t="s">
        <v>1135</v>
      </c>
      <c r="Q2225"/>
      <c r="R2225" t="s">
        <v>1127</v>
      </c>
      <c r="S2225" t="s">
        <v>1128</v>
      </c>
      <c r="T2225" t="s">
        <v>46</v>
      </c>
      <c r="U2225" t="s">
        <v>422</v>
      </c>
      <c r="V2225" t="s">
        <v>423</v>
      </c>
      <c r="W2225"/>
      <c r="X2225"/>
      <c r="Y2225"/>
      <c r="Z2225" t="s">
        <v>106</v>
      </c>
      <c r="AA2225" t="s">
        <v>107</v>
      </c>
      <c r="AB2225" t="s">
        <v>71</v>
      </c>
      <c r="AC2225" t="s">
        <v>72</v>
      </c>
      <c r="AD2225" t="s">
        <v>54</v>
      </c>
      <c r="AE2225" t="s">
        <v>53</v>
      </c>
      <c r="AF2225" t="s">
        <v>52</v>
      </c>
      <c r="AG2225" t="s">
        <v>52</v>
      </c>
      <c r="AH2225" t="s">
        <v>64</v>
      </c>
      <c r="AI2225"/>
      <c r="AJ2225"/>
      <c r="AK2225">
        <v>5</v>
      </c>
      <c r="AL2225">
        <v>5</v>
      </c>
      <c r="AM2225"/>
      <c r="AN2225">
        <v>491</v>
      </c>
      <c r="AO2225">
        <v>12</v>
      </c>
      <c r="AP2225" t="s">
        <v>56</v>
      </c>
      <c r="AQ2225" t="s">
        <v>118</v>
      </c>
      <c r="AR2225">
        <v>8.1199999999999992</v>
      </c>
      <c r="AS2225">
        <v>0.01</v>
      </c>
      <c r="AT2225" t="s">
        <v>56</v>
      </c>
      <c r="AU2225">
        <v>1006</v>
      </c>
      <c r="AV2225">
        <v>18</v>
      </c>
      <c r="AW2225" t="s">
        <v>56</v>
      </c>
      <c r="AX2225">
        <v>7.85</v>
      </c>
      <c r="AY2225">
        <v>0.01</v>
      </c>
      <c r="AZ2225" t="s">
        <v>56</v>
      </c>
      <c r="BA2225"/>
      <c r="BB2225">
        <f>LOG(AU2225)</f>
        <v>3.0025979807199086</v>
      </c>
      <c r="BC2225">
        <v>24.4</v>
      </c>
      <c r="BD2225">
        <v>0.1</v>
      </c>
      <c r="BE2225" t="s">
        <v>56</v>
      </c>
      <c r="BF2225">
        <v>26.7</v>
      </c>
      <c r="BG2225">
        <v>0.1</v>
      </c>
      <c r="BH2225" t="s">
        <v>56</v>
      </c>
      <c r="BI2225">
        <v>515</v>
      </c>
      <c r="BJ2225">
        <v>2.2999999999999998</v>
      </c>
      <c r="BK2225" t="s">
        <v>767</v>
      </c>
      <c r="BL2225" t="s">
        <v>384</v>
      </c>
      <c r="BM2225" t="s">
        <v>385</v>
      </c>
      <c r="BN2225" t="s">
        <v>81</v>
      </c>
      <c r="BO2225" t="s">
        <v>91</v>
      </c>
      <c r="BP2225" t="s">
        <v>92</v>
      </c>
      <c r="BQ2225" t="s">
        <v>92</v>
      </c>
      <c r="BR2225" t="s">
        <v>63</v>
      </c>
      <c r="BS2225"/>
      <c r="BT2225">
        <v>714.77</v>
      </c>
      <c r="BU2225">
        <v>714.76510099999996</v>
      </c>
      <c r="BV2225">
        <v>26.85</v>
      </c>
      <c r="BW2225">
        <f>BV2225*SQRT(AK2225)</f>
        <v>60.038425195869358</v>
      </c>
      <c r="BX2225">
        <v>587.25</v>
      </c>
      <c r="BY2225">
        <v>587.2483221</v>
      </c>
      <c r="BZ2225">
        <v>10.07</v>
      </c>
      <c r="CA2225">
        <f>BZ2225*SQRT(AL2225)</f>
        <v>22.517204533422884</v>
      </c>
      <c r="CB2225">
        <v>14</v>
      </c>
      <c r="CC2225">
        <v>7</v>
      </c>
      <c r="CD2225">
        <v>-0.19700000000000001</v>
      </c>
      <c r="CE2225">
        <v>1.6999999999999999E-3</v>
      </c>
    </row>
    <row r="2226" spans="1:84" s="8" customFormat="1" hidden="1" x14ac:dyDescent="0.2">
      <c r="B2226" t="str">
        <f>ROW()-1&amp;"_AltersInvert"</f>
        <v>2225_AltersInvert</v>
      </c>
      <c r="C2226" t="str">
        <f>D2226&amp;"_"&amp;
SUBSTITUTE(TRIM(V2226)," ","_")&amp;"_"&amp;
TRIM(AC2226)&amp;"_"&amp;
"CO2"&amp;TEXT(AN2226,"0.00")&amp;"_"&amp;
"pH"&amp;TEXT(AR2226,"0.00")&amp;"_"&amp;
"T"&amp;TEXT(BC2226,"0.##")</f>
        <v>58_Centrostephanus_rodgersii_EMBRYO_CO2506.00_pH8.10_T21.</v>
      </c>
      <c r="D2226" s="8">
        <v>58</v>
      </c>
      <c r="G2226" s="8" t="s">
        <v>43</v>
      </c>
      <c r="H2226" s="8" t="s">
        <v>569</v>
      </c>
      <c r="I2226" s="8" t="s">
        <v>1130</v>
      </c>
      <c r="J2226" s="8">
        <v>2014</v>
      </c>
      <c r="M2226" s="8" t="s">
        <v>67</v>
      </c>
      <c r="P2226" t="s">
        <v>1135</v>
      </c>
      <c r="R2226" s="8" t="s">
        <v>1127</v>
      </c>
      <c r="S2226" t="s">
        <v>1128</v>
      </c>
      <c r="T2226" s="8" t="s">
        <v>46</v>
      </c>
      <c r="U2226" s="8" t="s">
        <v>570</v>
      </c>
      <c r="V2226" s="8" t="s">
        <v>571</v>
      </c>
      <c r="W2226" s="8" t="str">
        <f>IF(ISNUMBER(MATCH(#REF!,{"Doryteuthis pealeii","Loligo vulgaris","Leptuca thayeri","Stylocheilus striatus","Ophryotrocha labronica"},0)),"N","Y")</f>
        <v>Y</v>
      </c>
      <c r="Z2226" s="8" t="s">
        <v>177</v>
      </c>
      <c r="AA2226" s="8" t="s">
        <v>177</v>
      </c>
      <c r="AB2226" s="8" t="s">
        <v>71</v>
      </c>
      <c r="AC2226" s="8" t="s">
        <v>195</v>
      </c>
      <c r="AD2226" s="8" t="s">
        <v>52</v>
      </c>
      <c r="AE2226" s="8" t="s">
        <v>53</v>
      </c>
      <c r="AF2226" s="8" t="s">
        <v>52</v>
      </c>
      <c r="AG2226" s="8" t="s">
        <v>54</v>
      </c>
      <c r="AH2226" s="8" t="s">
        <v>55</v>
      </c>
      <c r="AK2226" s="8">
        <v>200</v>
      </c>
      <c r="AL2226" s="8">
        <v>200</v>
      </c>
      <c r="AN2226" s="8">
        <v>506</v>
      </c>
      <c r="AO2226" s="8" t="s">
        <v>56</v>
      </c>
      <c r="AP2226" s="8" t="s">
        <v>56</v>
      </c>
      <c r="AQ2226" s="8" t="s">
        <v>118</v>
      </c>
      <c r="AR2226" s="8">
        <v>8.1</v>
      </c>
      <c r="AS2226" s="8" t="s">
        <v>56</v>
      </c>
      <c r="AT2226" s="8">
        <v>0.02</v>
      </c>
      <c r="AU2226" s="8">
        <v>6957</v>
      </c>
      <c r="AV2226" t="s">
        <v>56</v>
      </c>
      <c r="AW2226" t="s">
        <v>56</v>
      </c>
      <c r="AX2226">
        <v>7.04</v>
      </c>
      <c r="AY2226" t="s">
        <v>56</v>
      </c>
      <c r="AZ2226" t="s">
        <v>56</v>
      </c>
      <c r="BB2226" s="8">
        <f>LOG(AU2226)</f>
        <v>3.8424220033576497</v>
      </c>
      <c r="BC2226" s="8">
        <v>21</v>
      </c>
      <c r="BD2226" s="8" t="s">
        <v>56</v>
      </c>
      <c r="BE2226" s="8" t="s">
        <v>56</v>
      </c>
      <c r="BF2226" s="8">
        <v>21</v>
      </c>
      <c r="BG2226" s="8" t="s">
        <v>56</v>
      </c>
      <c r="BH2226" s="8" t="s">
        <v>56</v>
      </c>
      <c r="BI2226" s="8">
        <v>6451</v>
      </c>
      <c r="BJ2226" s="8">
        <v>0</v>
      </c>
      <c r="BK2226" s="8" t="s">
        <v>572</v>
      </c>
      <c r="BL2226" s="8" t="s">
        <v>196</v>
      </c>
      <c r="BM2226" s="8" t="s">
        <v>197</v>
      </c>
      <c r="BN2226" s="8" t="s">
        <v>81</v>
      </c>
      <c r="BO2226" s="8" t="s">
        <v>82</v>
      </c>
      <c r="BP2226" s="8" t="s">
        <v>83</v>
      </c>
      <c r="BQ2226" s="8" t="s">
        <v>190</v>
      </c>
      <c r="BR2226" s="8" t="s">
        <v>84</v>
      </c>
      <c r="BT2226" s="8">
        <v>80.989999999999995</v>
      </c>
      <c r="BU2226" s="8">
        <v>80.988592999999995</v>
      </c>
      <c r="BV2226" s="8">
        <v>4.9400000000000004</v>
      </c>
      <c r="BW2226" s="8">
        <f>BV2226*SQRT(AK2226)</f>
        <v>69.8621499812309</v>
      </c>
      <c r="BX2226" s="8">
        <v>4.5599999999999996</v>
      </c>
      <c r="BY2226" s="8">
        <v>4.5627376000000002</v>
      </c>
      <c r="BZ2226" s="8">
        <v>3.04</v>
      </c>
      <c r="CA2226" s="8">
        <f>BZ2226*SQRT(AL2226)</f>
        <v>42.99209229614209</v>
      </c>
      <c r="CB2226" s="8">
        <v>1</v>
      </c>
      <c r="CC2226" s="8">
        <v>4</v>
      </c>
      <c r="CD2226" s="8">
        <v>-2.8759999999999999</v>
      </c>
      <c r="CE2226" s="8">
        <v>0.44819999999999999</v>
      </c>
      <c r="CF2226" s="8" t="s">
        <v>1134</v>
      </c>
    </row>
    <row r="2227" spans="1:84" s="8" customFormat="1" hidden="1" x14ac:dyDescent="0.2">
      <c r="B2227" t="str">
        <f>ROW()-1&amp;"_AltersInvert"</f>
        <v>2226_AltersInvert</v>
      </c>
      <c r="C2227" t="str">
        <f>D2227&amp;"_"&amp;
SUBSTITUTE(TRIM(V2227)," ","_")&amp;"_"&amp;
TRIM(AC2227)&amp;"_"&amp;
"CO2"&amp;TEXT(AN2227,"0.00")&amp;"_"&amp;
"pH"&amp;TEXT(AR2227,"0.00")&amp;"_"&amp;
"T"&amp;TEXT(BC2227,"0.##")</f>
        <v>58_Centrostephanus_rodgersii_EMBRYO_CO2506.00_pH8.10_T21.</v>
      </c>
      <c r="D2227" s="8">
        <v>58</v>
      </c>
      <c r="G2227" s="8" t="s">
        <v>43</v>
      </c>
      <c r="H2227" s="8" t="s">
        <v>569</v>
      </c>
      <c r="I2227" s="8" t="s">
        <v>1130</v>
      </c>
      <c r="J2227" s="8">
        <v>2014</v>
      </c>
      <c r="M2227" s="8" t="s">
        <v>67</v>
      </c>
      <c r="P2227" t="s">
        <v>1135</v>
      </c>
      <c r="R2227" s="8" t="s">
        <v>1127</v>
      </c>
      <c r="S2227" t="s">
        <v>1128</v>
      </c>
      <c r="T2227" s="8" t="s">
        <v>46</v>
      </c>
      <c r="U2227" s="8" t="s">
        <v>570</v>
      </c>
      <c r="V2227" s="8" t="s">
        <v>571</v>
      </c>
      <c r="W2227" s="8" t="str">
        <f>IF(ISNUMBER(MATCH(#REF!,{"Doryteuthis pealeii","Loligo vulgaris","Leptuca thayeri","Stylocheilus striatus","Ophryotrocha labronica"},0)),"N","Y")</f>
        <v>Y</v>
      </c>
      <c r="Z2227" s="8" t="s">
        <v>177</v>
      </c>
      <c r="AA2227" s="8" t="s">
        <v>177</v>
      </c>
      <c r="AB2227" s="8" t="s">
        <v>71</v>
      </c>
      <c r="AC2227" s="8" t="s">
        <v>195</v>
      </c>
      <c r="AD2227" s="8" t="s">
        <v>52</v>
      </c>
      <c r="AE2227" s="8" t="s">
        <v>53</v>
      </c>
      <c r="AF2227" s="8" t="s">
        <v>52</v>
      </c>
      <c r="AG2227" s="8" t="s">
        <v>54</v>
      </c>
      <c r="AH2227" s="8" t="s">
        <v>55</v>
      </c>
      <c r="AK2227" s="8">
        <v>200</v>
      </c>
      <c r="AL2227" s="8">
        <v>200</v>
      </c>
      <c r="AN2227" s="8">
        <v>506</v>
      </c>
      <c r="AO2227" s="8" t="s">
        <v>56</v>
      </c>
      <c r="AP2227" s="8" t="s">
        <v>56</v>
      </c>
      <c r="AQ2227" s="8" t="s">
        <v>118</v>
      </c>
      <c r="AR2227" s="8">
        <v>8.1</v>
      </c>
      <c r="AS2227" s="8" t="s">
        <v>56</v>
      </c>
      <c r="AT2227" s="8">
        <v>0.02</v>
      </c>
      <c r="AU2227" s="8">
        <v>1825</v>
      </c>
      <c r="AV2227" t="s">
        <v>56</v>
      </c>
      <c r="AW2227" t="s">
        <v>56</v>
      </c>
      <c r="AX2227">
        <v>7.6</v>
      </c>
      <c r="AY2227" t="s">
        <v>56</v>
      </c>
      <c r="AZ2227" t="s">
        <v>56</v>
      </c>
      <c r="BB2227" s="8">
        <f>LOG(AU2227)</f>
        <v>3.2612628687924934</v>
      </c>
      <c r="BC2227" s="8">
        <v>21</v>
      </c>
      <c r="BD2227" s="8" t="s">
        <v>56</v>
      </c>
      <c r="BE2227" s="8" t="s">
        <v>56</v>
      </c>
      <c r="BF2227" s="8">
        <v>21</v>
      </c>
      <c r="BG2227" s="8" t="s">
        <v>56</v>
      </c>
      <c r="BH2227" s="8" t="s">
        <v>56</v>
      </c>
      <c r="BI2227" s="8">
        <v>1320</v>
      </c>
      <c r="BJ2227" s="8">
        <v>0</v>
      </c>
      <c r="BK2227" s="8" t="s">
        <v>572</v>
      </c>
      <c r="BL2227" s="8" t="s">
        <v>196</v>
      </c>
      <c r="BM2227" s="8" t="s">
        <v>197</v>
      </c>
      <c r="BN2227" s="8" t="s">
        <v>81</v>
      </c>
      <c r="BO2227" s="8" t="s">
        <v>82</v>
      </c>
      <c r="BP2227" s="8" t="s">
        <v>83</v>
      </c>
      <c r="BQ2227" s="8" t="s">
        <v>190</v>
      </c>
      <c r="BR2227" s="8" t="s">
        <v>84</v>
      </c>
      <c r="BT2227" s="8">
        <v>80.989999999999995</v>
      </c>
      <c r="BU2227" s="8">
        <v>80.988592999999995</v>
      </c>
      <c r="BV2227" s="8">
        <v>4.9400000000000004</v>
      </c>
      <c r="BW2227" s="8">
        <f>BV2227*SQRT(AK2227)</f>
        <v>69.8621499812309</v>
      </c>
      <c r="BX2227" s="8">
        <v>47.28</v>
      </c>
      <c r="BY2227" s="8">
        <v>47.2750317</v>
      </c>
      <c r="BZ2227" s="8">
        <v>7.22</v>
      </c>
      <c r="CA2227" s="8">
        <f>BZ2227*SQRT(AL2227)</f>
        <v>102.10621920333746</v>
      </c>
      <c r="CB2227" s="8">
        <v>1</v>
      </c>
      <c r="CC2227" s="8">
        <v>4</v>
      </c>
      <c r="CD2227" s="8">
        <v>-0.53800000000000003</v>
      </c>
      <c r="CE2227" s="8">
        <v>2.7099999999999999E-2</v>
      </c>
      <c r="CF2227" s="8" t="s">
        <v>1134</v>
      </c>
    </row>
    <row r="2228" spans="1:84" hidden="1" x14ac:dyDescent="0.2">
      <c r="D2228">
        <v>212</v>
      </c>
      <c r="G2228" t="s">
        <v>43</v>
      </c>
      <c r="H2228" t="s">
        <v>1063</v>
      </c>
      <c r="J2228">
        <v>2010</v>
      </c>
      <c r="K2228" t="s">
        <v>1062</v>
      </c>
      <c r="M2228" t="s">
        <v>67</v>
      </c>
      <c r="T2228" t="s">
        <v>68</v>
      </c>
      <c r="U2228" t="s">
        <v>167</v>
      </c>
      <c r="V2228" t="s">
        <v>168</v>
      </c>
      <c r="AC2228" t="s">
        <v>108</v>
      </c>
      <c r="AF2228" t="s">
        <v>52</v>
      </c>
      <c r="AG2228" t="s">
        <v>52</v>
      </c>
      <c r="AH2228" t="s">
        <v>64</v>
      </c>
      <c r="AK2228">
        <v>3</v>
      </c>
      <c r="AL2228">
        <v>3</v>
      </c>
      <c r="AN2228">
        <v>375</v>
      </c>
      <c r="AU2228">
        <v>1000</v>
      </c>
      <c r="BB2228">
        <f>LOG(AU2228)</f>
        <v>3</v>
      </c>
      <c r="BC2228">
        <v>18</v>
      </c>
      <c r="BF2228">
        <v>30</v>
      </c>
      <c r="BI2228">
        <v>625</v>
      </c>
      <c r="BJ2228">
        <v>12</v>
      </c>
      <c r="BK2228" t="s">
        <v>56</v>
      </c>
      <c r="BL2228" t="s">
        <v>92</v>
      </c>
      <c r="BM2228" t="s">
        <v>262</v>
      </c>
      <c r="BN2228" t="s">
        <v>81</v>
      </c>
      <c r="BO2228" t="s">
        <v>917</v>
      </c>
      <c r="BP2228" t="s">
        <v>92</v>
      </c>
      <c r="BR2228" t="s">
        <v>63</v>
      </c>
      <c r="BT2228">
        <v>405.17</v>
      </c>
      <c r="BU2228">
        <v>405.17200000000003</v>
      </c>
      <c r="BV2228">
        <v>31.61</v>
      </c>
      <c r="BW2228">
        <f>BV2228*SQRT(AK2228)</f>
        <v>54.750126027252207</v>
      </c>
      <c r="BX2228">
        <v>54.6</v>
      </c>
      <c r="BY2228">
        <v>54.597999999999999</v>
      </c>
      <c r="BZ2228">
        <v>22.99</v>
      </c>
      <c r="CA2228">
        <f>BZ2228*SQRT(AL2228)</f>
        <v>39.819848066008483</v>
      </c>
      <c r="CB2228">
        <v>4</v>
      </c>
      <c r="CC2228">
        <v>3</v>
      </c>
      <c r="CD2228">
        <v>-2.004</v>
      </c>
      <c r="CE2228">
        <v>0.18340000000000001</v>
      </c>
    </row>
    <row r="2229" spans="1:84" hidden="1" x14ac:dyDescent="0.2">
      <c r="A2229" s="8"/>
      <c r="B2229" t="str">
        <f>ROW()-1&amp;"_AltersInvert"</f>
        <v>2228_AltersInvert</v>
      </c>
      <c r="C2229" t="str">
        <f>D2229&amp;"_"&amp;
SUBSTITUTE(TRIM(V2229)," ","_")&amp;"_"&amp;
TRIM(AC2229)&amp;"_"&amp;
"CO2"&amp;TEXT(AN2229,"0.00")&amp;"_"&amp;
"pH"&amp;TEXT(AR2229,"0.00")&amp;"_"&amp;
"T"&amp;TEXT(BC2229,"0.##")</f>
        <v>58_Centrostephanus_rodgersii_EMBRYO_CO2506.00_pH8.10_T21.</v>
      </c>
      <c r="D2229" s="8">
        <v>58</v>
      </c>
      <c r="E2229" s="8"/>
      <c r="F2229" s="8"/>
      <c r="G2229" s="8" t="s">
        <v>43</v>
      </c>
      <c r="H2229" s="8" t="s">
        <v>569</v>
      </c>
      <c r="I2229" s="8" t="s">
        <v>1130</v>
      </c>
      <c r="J2229" s="8">
        <v>2014</v>
      </c>
      <c r="K2229" s="8"/>
      <c r="L2229" s="8"/>
      <c r="M2229" s="8" t="s">
        <v>67</v>
      </c>
      <c r="N2229" s="8"/>
      <c r="O2229" s="8"/>
      <c r="P2229" t="s">
        <v>1135</v>
      </c>
      <c r="Q2229" s="8"/>
      <c r="R2229" s="8" t="s">
        <v>1127</v>
      </c>
      <c r="S2229" t="s">
        <v>1128</v>
      </c>
      <c r="T2229" s="8" t="s">
        <v>46</v>
      </c>
      <c r="U2229" s="8" t="s">
        <v>570</v>
      </c>
      <c r="V2229" s="8" t="s">
        <v>571</v>
      </c>
      <c r="W2229" s="8" t="str">
        <f>IF(ISNUMBER(MATCH(#REF!,{"Doryteuthis pealeii","Loligo vulgaris","Leptuca thayeri","Stylocheilus striatus","Ophryotrocha labronica"},0)),"N","Y")</f>
        <v>Y</v>
      </c>
      <c r="X2229" s="8"/>
      <c r="Y2229" s="8"/>
      <c r="Z2229" s="8" t="s">
        <v>177</v>
      </c>
      <c r="AA2229" s="8" t="s">
        <v>177</v>
      </c>
      <c r="AB2229" s="8" t="s">
        <v>71</v>
      </c>
      <c r="AC2229" s="8" t="s">
        <v>195</v>
      </c>
      <c r="AD2229" s="8" t="s">
        <v>52</v>
      </c>
      <c r="AE2229" s="8" t="s">
        <v>53</v>
      </c>
      <c r="AF2229" s="8" t="s">
        <v>52</v>
      </c>
      <c r="AG2229" s="8" t="s">
        <v>54</v>
      </c>
      <c r="AH2229" s="8" t="s">
        <v>55</v>
      </c>
      <c r="AI2229" s="8"/>
      <c r="AJ2229" s="8"/>
      <c r="AK2229" s="8">
        <v>200</v>
      </c>
      <c r="AL2229" s="8">
        <v>200</v>
      </c>
      <c r="AM2229" s="8"/>
      <c r="AN2229" s="8">
        <v>506</v>
      </c>
      <c r="AO2229" s="8" t="s">
        <v>56</v>
      </c>
      <c r="AP2229" s="8" t="s">
        <v>56</v>
      </c>
      <c r="AQ2229" s="8" t="s">
        <v>118</v>
      </c>
      <c r="AR2229" s="8">
        <v>8.1</v>
      </c>
      <c r="AS2229" s="8" t="s">
        <v>56</v>
      </c>
      <c r="AT2229" s="8">
        <v>0.02</v>
      </c>
      <c r="AU2229" s="8">
        <v>1109</v>
      </c>
      <c r="AV2229" t="s">
        <v>56</v>
      </c>
      <c r="AW2229" t="s">
        <v>56</v>
      </c>
      <c r="AX2229">
        <v>7.8</v>
      </c>
      <c r="AY2229" t="s">
        <v>56</v>
      </c>
      <c r="AZ2229" t="s">
        <v>56</v>
      </c>
      <c r="BA2229" s="8"/>
      <c r="BB2229" s="8">
        <f>LOG(AU2229)</f>
        <v>3.0449315461491602</v>
      </c>
      <c r="BC2229" s="8">
        <v>21</v>
      </c>
      <c r="BD2229" s="8" t="s">
        <v>56</v>
      </c>
      <c r="BE2229" s="8" t="s">
        <v>56</v>
      </c>
      <c r="BF2229" s="8">
        <v>21</v>
      </c>
      <c r="BG2229" s="8" t="s">
        <v>56</v>
      </c>
      <c r="BH2229" s="8" t="s">
        <v>56</v>
      </c>
      <c r="BI2229" s="8">
        <v>604</v>
      </c>
      <c r="BJ2229" s="8">
        <v>0</v>
      </c>
      <c r="BK2229" s="8" t="s">
        <v>572</v>
      </c>
      <c r="BL2229" s="8" t="s">
        <v>196</v>
      </c>
      <c r="BM2229" s="8" t="s">
        <v>197</v>
      </c>
      <c r="BN2229" s="8" t="s">
        <v>81</v>
      </c>
      <c r="BO2229" s="8" t="s">
        <v>82</v>
      </c>
      <c r="BP2229" s="8" t="s">
        <v>83</v>
      </c>
      <c r="BQ2229" s="8" t="s">
        <v>190</v>
      </c>
      <c r="BR2229" s="8" t="s">
        <v>84</v>
      </c>
      <c r="BS2229" s="8"/>
      <c r="BT2229" s="8">
        <v>80.989999999999995</v>
      </c>
      <c r="BU2229" s="8">
        <v>80.988592999999995</v>
      </c>
      <c r="BV2229" s="8">
        <v>4.9400000000000004</v>
      </c>
      <c r="BW2229" s="8">
        <f>BV2229*SQRT(AK2229)</f>
        <v>69.8621499812309</v>
      </c>
      <c r="BX2229" s="8">
        <v>70.22</v>
      </c>
      <c r="BY2229" s="8">
        <v>70.215462599999995</v>
      </c>
      <c r="BZ2229" s="8">
        <v>5.83</v>
      </c>
      <c r="CA2229" s="8">
        <f>BZ2229*SQRT(AL2229)</f>
        <v>82.448650686351442</v>
      </c>
      <c r="CB2229" s="8">
        <v>1</v>
      </c>
      <c r="CC2229" s="8">
        <v>4</v>
      </c>
      <c r="CD2229" s="8">
        <v>-0.14299999999999999</v>
      </c>
      <c r="CE2229" s="8">
        <v>1.06E-2</v>
      </c>
      <c r="CF2229" s="8" t="s">
        <v>1134</v>
      </c>
    </row>
    <row r="2230" spans="1:84" s="8" customFormat="1" hidden="1" x14ac:dyDescent="0.2">
      <c r="B2230" t="str">
        <f>ROW()-1&amp;"_AltersInvert"</f>
        <v>2229_AltersInvert</v>
      </c>
      <c r="C2230" t="str">
        <f>D2230&amp;"_"&amp;
SUBSTITUTE(TRIM(V2230)," ","_")&amp;"_"&amp;
TRIM(AC2230)&amp;"_"&amp;
"CO2"&amp;TEXT(AN2230,"0.00")&amp;"_"&amp;
"pH"&amp;TEXT(AR2230,"0.00")&amp;"_"&amp;
"T"&amp;TEXT(BC2230,"0.##")</f>
        <v>58_Centrostephanus_rodgersii_EMBRYO_CO2506.00_pH8.10_T21.</v>
      </c>
      <c r="D2230" s="8">
        <v>58</v>
      </c>
      <c r="G2230" s="8" t="s">
        <v>43</v>
      </c>
      <c r="H2230" s="8" t="s">
        <v>569</v>
      </c>
      <c r="I2230" s="8" t="s">
        <v>1130</v>
      </c>
      <c r="J2230" s="8">
        <v>2014</v>
      </c>
      <c r="M2230" s="8" t="s">
        <v>67</v>
      </c>
      <c r="P2230" t="s">
        <v>1135</v>
      </c>
      <c r="R2230" s="8" t="s">
        <v>1127</v>
      </c>
      <c r="S2230" t="s">
        <v>1128</v>
      </c>
      <c r="T2230" s="8" t="s">
        <v>46</v>
      </c>
      <c r="U2230" s="8" t="s">
        <v>570</v>
      </c>
      <c r="V2230" s="8" t="s">
        <v>571</v>
      </c>
      <c r="W2230" s="8" t="str">
        <f>IF(ISNUMBER(MATCH(V1624,{"Doryteuthis pealeii","Loligo vulgaris","Leptuca thayeri","Stylocheilus striatus","Ophryotrocha labronica"},0)),"N","Y")</f>
        <v>Y</v>
      </c>
      <c r="Z2230" s="8" t="s">
        <v>177</v>
      </c>
      <c r="AA2230" s="8" t="s">
        <v>177</v>
      </c>
      <c r="AB2230" s="8" t="s">
        <v>71</v>
      </c>
      <c r="AC2230" s="8" t="s">
        <v>195</v>
      </c>
      <c r="AD2230" s="8" t="s">
        <v>52</v>
      </c>
      <c r="AE2230" s="8" t="s">
        <v>53</v>
      </c>
      <c r="AF2230" s="8" t="s">
        <v>54</v>
      </c>
      <c r="AG2230" s="8" t="s">
        <v>52</v>
      </c>
      <c r="AH2230" s="8" t="s">
        <v>65</v>
      </c>
      <c r="AK2230" s="8">
        <v>200</v>
      </c>
      <c r="AL2230" s="8">
        <v>200</v>
      </c>
      <c r="AN2230" s="8">
        <v>506</v>
      </c>
      <c r="AO2230" s="8" t="s">
        <v>56</v>
      </c>
      <c r="AP2230" s="8" t="s">
        <v>56</v>
      </c>
      <c r="AQ2230" s="8" t="s">
        <v>118</v>
      </c>
      <c r="AR2230" s="8">
        <v>8.1</v>
      </c>
      <c r="AS2230" s="8" t="s">
        <v>56</v>
      </c>
      <c r="AT2230" s="8">
        <v>0.02</v>
      </c>
      <c r="AU2230" s="8">
        <v>511</v>
      </c>
      <c r="AV2230" t="s">
        <v>56</v>
      </c>
      <c r="AW2230" t="s">
        <v>56</v>
      </c>
      <c r="AX2230">
        <v>8.1</v>
      </c>
      <c r="AY2230" t="s">
        <v>56</v>
      </c>
      <c r="AZ2230" t="s">
        <v>56</v>
      </c>
      <c r="BB2230" s="8">
        <f>LOG(AU2230)</f>
        <v>2.7084209001347128</v>
      </c>
      <c r="BC2230" s="8">
        <v>21</v>
      </c>
      <c r="BD2230" s="8" t="s">
        <v>56</v>
      </c>
      <c r="BE2230" s="8" t="s">
        <v>56</v>
      </c>
      <c r="BF2230" s="8">
        <v>24</v>
      </c>
      <c r="BG2230" s="8" t="s">
        <v>56</v>
      </c>
      <c r="BH2230" s="8" t="s">
        <v>56</v>
      </c>
      <c r="BI2230" s="8">
        <v>6</v>
      </c>
      <c r="BJ2230" s="8">
        <v>3</v>
      </c>
      <c r="BK2230" s="8" t="s">
        <v>572</v>
      </c>
      <c r="BL2230" s="8" t="s">
        <v>196</v>
      </c>
      <c r="BM2230" s="8" t="s">
        <v>197</v>
      </c>
      <c r="BN2230" s="8" t="s">
        <v>81</v>
      </c>
      <c r="BO2230" s="8" t="s">
        <v>82</v>
      </c>
      <c r="BP2230" s="8" t="s">
        <v>83</v>
      </c>
      <c r="BQ2230" s="8" t="s">
        <v>83</v>
      </c>
      <c r="BR2230" s="8" t="s">
        <v>84</v>
      </c>
      <c r="BT2230" s="8">
        <v>80.989999999999995</v>
      </c>
      <c r="BU2230" s="8">
        <v>80.988592999999995</v>
      </c>
      <c r="BV2230" s="8">
        <v>4.9400000000000004</v>
      </c>
      <c r="BW2230" s="8">
        <f>BV2230*SQRT(AK2230)</f>
        <v>69.8621499812309</v>
      </c>
      <c r="BX2230" s="8">
        <v>80.989999999999995</v>
      </c>
      <c r="BY2230" s="8">
        <v>80.988593199999997</v>
      </c>
      <c r="BZ2230" s="8">
        <v>2.41</v>
      </c>
      <c r="CA2230" s="8">
        <f>BZ2230*SQRT(AL2230)</f>
        <v>34.082546853191594</v>
      </c>
      <c r="CB2230" s="8">
        <v>1</v>
      </c>
      <c r="CC2230" s="8">
        <v>4</v>
      </c>
      <c r="CD2230" s="8">
        <v>0</v>
      </c>
      <c r="CE2230" s="8">
        <v>4.5999999999999999E-3</v>
      </c>
      <c r="CF2230" s="8" t="s">
        <v>1134</v>
      </c>
    </row>
    <row r="2231" spans="1:84" hidden="1" x14ac:dyDescent="0.2">
      <c r="A2231" s="8"/>
      <c r="B2231" t="str">
        <f>ROW()-1&amp;"_AltersInvert"</f>
        <v>2230_AltersInvert</v>
      </c>
      <c r="C2231" t="str">
        <f>D2231&amp;"_"&amp;
SUBSTITUTE(TRIM(V2231)," ","_")&amp;"_"&amp;
TRIM(AC2231)&amp;"_"&amp;
"CO2"&amp;TEXT(AN2231,"0.00")&amp;"_"&amp;
"pH"&amp;TEXT(AR2231,"0.00")&amp;"_"&amp;
"T"&amp;TEXT(BC2231,"0.##")</f>
        <v>58_Centrostephanus_rodgersii_EMBRYO_CO2506.00_pH8.10_T21.</v>
      </c>
      <c r="D2231" s="8">
        <v>58</v>
      </c>
      <c r="E2231" s="8"/>
      <c r="F2231" s="8"/>
      <c r="G2231" s="8" t="s">
        <v>43</v>
      </c>
      <c r="H2231" s="8" t="s">
        <v>569</v>
      </c>
      <c r="I2231" s="8" t="s">
        <v>1130</v>
      </c>
      <c r="J2231" s="8">
        <v>2014</v>
      </c>
      <c r="K2231" s="8"/>
      <c r="L2231" s="8"/>
      <c r="M2231" s="8" t="s">
        <v>67</v>
      </c>
      <c r="N2231" s="8"/>
      <c r="O2231" s="8"/>
      <c r="P2231" t="s">
        <v>1135</v>
      </c>
      <c r="Q2231" s="8"/>
      <c r="R2231" s="8" t="s">
        <v>1127</v>
      </c>
      <c r="S2231" t="s">
        <v>1128</v>
      </c>
      <c r="T2231" s="8" t="s">
        <v>46</v>
      </c>
      <c r="U2231" s="8" t="s">
        <v>570</v>
      </c>
      <c r="V2231" s="8" t="s">
        <v>571</v>
      </c>
      <c r="W2231" s="8" t="str">
        <f>IF(ISNUMBER(MATCH(V1625,{"Doryteuthis pealeii","Loligo vulgaris","Leptuca thayeri","Stylocheilus striatus","Ophryotrocha labronica"},0)),"N","Y")</f>
        <v>Y</v>
      </c>
      <c r="X2231" s="8"/>
      <c r="Y2231" s="8"/>
      <c r="Z2231" s="8" t="s">
        <v>177</v>
      </c>
      <c r="AA2231" s="8" t="s">
        <v>177</v>
      </c>
      <c r="AB2231" s="8" t="s">
        <v>71</v>
      </c>
      <c r="AC2231" s="8" t="s">
        <v>195</v>
      </c>
      <c r="AD2231" s="8" t="s">
        <v>52</v>
      </c>
      <c r="AE2231" s="8" t="s">
        <v>53</v>
      </c>
      <c r="AF2231" s="8" t="s">
        <v>52</v>
      </c>
      <c r="AG2231" s="8" t="s">
        <v>52</v>
      </c>
      <c r="AH2231" s="8" t="s">
        <v>64</v>
      </c>
      <c r="AI2231" s="8"/>
      <c r="AJ2231" s="8"/>
      <c r="AK2231" s="8">
        <v>200</v>
      </c>
      <c r="AL2231" s="8">
        <v>200</v>
      </c>
      <c r="AM2231" s="8"/>
      <c r="AN2231" s="8">
        <v>506</v>
      </c>
      <c r="AO2231" s="8" t="s">
        <v>56</v>
      </c>
      <c r="AP2231" s="8" t="s">
        <v>56</v>
      </c>
      <c r="AQ2231" s="8" t="s">
        <v>118</v>
      </c>
      <c r="AR2231" s="8">
        <v>8.1</v>
      </c>
      <c r="AS2231" s="8" t="s">
        <v>56</v>
      </c>
      <c r="AT2231" s="8">
        <v>0.02</v>
      </c>
      <c r="AU2231" s="8">
        <v>7145</v>
      </c>
      <c r="AV2231" t="s">
        <v>56</v>
      </c>
      <c r="AW2231" t="s">
        <v>56</v>
      </c>
      <c r="AX2231">
        <v>7.04</v>
      </c>
      <c r="AY2231" t="s">
        <v>56</v>
      </c>
      <c r="AZ2231" t="s">
        <v>56</v>
      </c>
      <c r="BA2231" s="8"/>
      <c r="BB2231" s="8">
        <f>LOG(AU2231)</f>
        <v>3.8540022331269892</v>
      </c>
      <c r="BC2231" s="8">
        <v>21</v>
      </c>
      <c r="BD2231" s="8" t="s">
        <v>56</v>
      </c>
      <c r="BE2231" s="8" t="s">
        <v>56</v>
      </c>
      <c r="BF2231" s="8">
        <v>24</v>
      </c>
      <c r="BG2231" s="8" t="s">
        <v>56</v>
      </c>
      <c r="BH2231" s="8" t="s">
        <v>56</v>
      </c>
      <c r="BI2231" s="8">
        <v>6640</v>
      </c>
      <c r="BJ2231" s="8">
        <v>3</v>
      </c>
      <c r="BK2231" s="8" t="s">
        <v>572</v>
      </c>
      <c r="BL2231" s="8" t="s">
        <v>196</v>
      </c>
      <c r="BM2231" s="8" t="s">
        <v>197</v>
      </c>
      <c r="BN2231" s="8" t="s">
        <v>81</v>
      </c>
      <c r="BO2231" s="8" t="s">
        <v>82</v>
      </c>
      <c r="BP2231" s="8" t="s">
        <v>83</v>
      </c>
      <c r="BQ2231" s="8" t="s">
        <v>190</v>
      </c>
      <c r="BR2231" s="8" t="s">
        <v>84</v>
      </c>
      <c r="BS2231" s="8"/>
      <c r="BT2231" s="8">
        <v>80.989999999999995</v>
      </c>
      <c r="BU2231" s="8">
        <v>80.988592999999995</v>
      </c>
      <c r="BV2231" s="8">
        <v>4.9400000000000004</v>
      </c>
      <c r="BW2231" s="8">
        <f>BV2231*SQRT(AK2231)</f>
        <v>69.8621499812309</v>
      </c>
      <c r="BX2231" s="8">
        <v>4.3099999999999996</v>
      </c>
      <c r="BY2231" s="8">
        <v>4.3092522000000004</v>
      </c>
      <c r="BZ2231" s="8">
        <v>3.04</v>
      </c>
      <c r="CA2231" s="8">
        <f>BZ2231*SQRT(AL2231)</f>
        <v>42.99209229614209</v>
      </c>
      <c r="CB2231" s="8">
        <v>1</v>
      </c>
      <c r="CC2231" s="8">
        <v>4</v>
      </c>
      <c r="CD2231" s="8">
        <v>-2.9340000000000002</v>
      </c>
      <c r="CE2231" s="8">
        <v>0.502</v>
      </c>
      <c r="CF2231" s="8" t="s">
        <v>1134</v>
      </c>
    </row>
    <row r="2232" spans="1:84" hidden="1" x14ac:dyDescent="0.2">
      <c r="A2232" s="8"/>
      <c r="B2232" t="str">
        <f>ROW()-1&amp;"_AltersInvert"</f>
        <v>2231_AltersInvert</v>
      </c>
      <c r="C2232" t="str">
        <f>D2232&amp;"_"&amp;
SUBSTITUTE(TRIM(V2232)," ","_")&amp;"_"&amp;
TRIM(AC2232)&amp;"_"&amp;
"CO2"&amp;TEXT(AN2232,"0.00")&amp;"_"&amp;
"pH"&amp;TEXT(AR2232,"0.00")&amp;"_"&amp;
"T"&amp;TEXT(BC2232,"0.##")</f>
        <v>58_Centrostephanus_rodgersii_EMBRYO_CO2506.00_pH8.10_T21.</v>
      </c>
      <c r="D2232" s="8">
        <v>58</v>
      </c>
      <c r="E2232" s="8"/>
      <c r="F2232" s="8"/>
      <c r="G2232" s="8" t="s">
        <v>43</v>
      </c>
      <c r="H2232" s="8" t="s">
        <v>569</v>
      </c>
      <c r="I2232" s="8" t="s">
        <v>1130</v>
      </c>
      <c r="J2232" s="8">
        <v>2014</v>
      </c>
      <c r="K2232" s="8"/>
      <c r="L2232" s="8"/>
      <c r="M2232" s="8" t="s">
        <v>67</v>
      </c>
      <c r="N2232" s="8"/>
      <c r="O2232" s="8"/>
      <c r="P2232" t="s">
        <v>1135</v>
      </c>
      <c r="Q2232" s="8"/>
      <c r="R2232" s="8" t="s">
        <v>1127</v>
      </c>
      <c r="S2232" t="s">
        <v>1128</v>
      </c>
      <c r="T2232" s="8" t="s">
        <v>46</v>
      </c>
      <c r="U2232" s="8" t="s">
        <v>570</v>
      </c>
      <c r="V2232" s="8" t="s">
        <v>571</v>
      </c>
      <c r="W2232" s="8" t="str">
        <f>IF(ISNUMBER(MATCH(V1626,{"Doryteuthis pealeii","Loligo vulgaris","Leptuca thayeri","Stylocheilus striatus","Ophryotrocha labronica"},0)),"N","Y")</f>
        <v>Y</v>
      </c>
      <c r="X2232" s="8"/>
      <c r="Y2232" s="8"/>
      <c r="Z2232" s="8" t="s">
        <v>177</v>
      </c>
      <c r="AA2232" s="8" t="s">
        <v>177</v>
      </c>
      <c r="AB2232" s="8" t="s">
        <v>71</v>
      </c>
      <c r="AC2232" s="8" t="s">
        <v>195</v>
      </c>
      <c r="AD2232" s="8" t="s">
        <v>52</v>
      </c>
      <c r="AE2232" s="8" t="s">
        <v>53</v>
      </c>
      <c r="AF2232" s="8" t="s">
        <v>52</v>
      </c>
      <c r="AG2232" s="8" t="s">
        <v>52</v>
      </c>
      <c r="AH2232" s="8" t="s">
        <v>64</v>
      </c>
      <c r="AI2232" s="8"/>
      <c r="AJ2232" s="8"/>
      <c r="AK2232" s="8">
        <v>200</v>
      </c>
      <c r="AL2232" s="8">
        <v>200</v>
      </c>
      <c r="AM2232" s="8"/>
      <c r="AN2232" s="8">
        <v>506</v>
      </c>
      <c r="AO2232" s="8" t="s">
        <v>56</v>
      </c>
      <c r="AP2232" s="8" t="s">
        <v>56</v>
      </c>
      <c r="AQ2232" s="8" t="s">
        <v>118</v>
      </c>
      <c r="AR2232" s="8">
        <v>8.1</v>
      </c>
      <c r="AS2232" s="8" t="s">
        <v>56</v>
      </c>
      <c r="AT2232" s="8">
        <v>0.02</v>
      </c>
      <c r="AU2232" s="8">
        <v>1867</v>
      </c>
      <c r="AV2232" t="s">
        <v>56</v>
      </c>
      <c r="AW2232" t="s">
        <v>56</v>
      </c>
      <c r="AX2232">
        <v>7.6</v>
      </c>
      <c r="AY2232" t="s">
        <v>56</v>
      </c>
      <c r="AZ2232" t="s">
        <v>56</v>
      </c>
      <c r="BA2232" s="8"/>
      <c r="BB2232" s="8">
        <f>LOG(AU2232)</f>
        <v>3.2711443179490782</v>
      </c>
      <c r="BC2232" s="8">
        <v>21</v>
      </c>
      <c r="BD2232" s="8" t="s">
        <v>56</v>
      </c>
      <c r="BE2232" s="8" t="s">
        <v>56</v>
      </c>
      <c r="BF2232" s="8">
        <v>24</v>
      </c>
      <c r="BG2232" s="8" t="s">
        <v>56</v>
      </c>
      <c r="BH2232" s="8" t="s">
        <v>56</v>
      </c>
      <c r="BI2232" s="8">
        <v>1361</v>
      </c>
      <c r="BJ2232" s="8">
        <v>3</v>
      </c>
      <c r="BK2232" s="8" t="s">
        <v>572</v>
      </c>
      <c r="BL2232" s="8" t="s">
        <v>196</v>
      </c>
      <c r="BM2232" s="8" t="s">
        <v>197</v>
      </c>
      <c r="BN2232" s="8" t="s">
        <v>81</v>
      </c>
      <c r="BO2232" s="8" t="s">
        <v>82</v>
      </c>
      <c r="BP2232" s="8" t="s">
        <v>83</v>
      </c>
      <c r="BQ2232" s="8" t="s">
        <v>9</v>
      </c>
      <c r="BR2232" s="8" t="s">
        <v>84</v>
      </c>
      <c r="BS2232" s="8"/>
      <c r="BT2232" s="8">
        <v>80.989999999999995</v>
      </c>
      <c r="BU2232" s="8">
        <v>80.988592999999995</v>
      </c>
      <c r="BV2232" s="8">
        <v>4.9400000000000004</v>
      </c>
      <c r="BW2232" s="8">
        <f>BV2232*SQRT(AK2232)</f>
        <v>69.8621499812309</v>
      </c>
      <c r="BX2232" s="8">
        <v>67.680000000000007</v>
      </c>
      <c r="BY2232" s="8">
        <v>67.680608399999997</v>
      </c>
      <c r="BZ2232" s="8">
        <v>4.3099999999999996</v>
      </c>
      <c r="CA2232" s="8">
        <f>BZ2232*SQRT(AL2232)</f>
        <v>60.95260453828039</v>
      </c>
      <c r="CB2232" s="8">
        <v>1</v>
      </c>
      <c r="CC2232" s="8">
        <v>4</v>
      </c>
      <c r="CD2232" s="8">
        <v>-0.18</v>
      </c>
      <c r="CE2232" s="8">
        <v>7.7999999999999996E-3</v>
      </c>
      <c r="CF2232" s="8" t="s">
        <v>1134</v>
      </c>
    </row>
    <row r="2233" spans="1:84" s="8" customFormat="1" hidden="1" x14ac:dyDescent="0.2">
      <c r="B2233" t="str">
        <f>ROW()-1&amp;"_AltersInvert"</f>
        <v>2232_AltersInvert</v>
      </c>
      <c r="C2233" t="str">
        <f>D2233&amp;"_"&amp;
SUBSTITUTE(TRIM(V2233)," ","_")&amp;"_"&amp;
TRIM(AC2233)&amp;"_"&amp;
"CO2"&amp;TEXT(AN2233,"0.00")&amp;"_"&amp;
"pH"&amp;TEXT(AR2233,"0.00")&amp;"_"&amp;
"T"&amp;TEXT(BC2233,"0.##")</f>
        <v>58_Centrostephanus_rodgersii_EMBRYO_CO2506.00_pH8.10_T21.</v>
      </c>
      <c r="D2233" s="8">
        <v>58</v>
      </c>
      <c r="G2233" s="8" t="s">
        <v>43</v>
      </c>
      <c r="H2233" s="8" t="s">
        <v>569</v>
      </c>
      <c r="I2233" s="8" t="s">
        <v>1130</v>
      </c>
      <c r="J2233" s="8">
        <v>2014</v>
      </c>
      <c r="M2233" s="8" t="s">
        <v>67</v>
      </c>
      <c r="P2233" t="s">
        <v>1135</v>
      </c>
      <c r="R2233" s="8" t="s">
        <v>1127</v>
      </c>
      <c r="S2233" t="s">
        <v>1128</v>
      </c>
      <c r="T2233" s="8" t="s">
        <v>46</v>
      </c>
      <c r="U2233" s="8" t="s">
        <v>570</v>
      </c>
      <c r="V2233" s="8" t="s">
        <v>571</v>
      </c>
      <c r="W2233" s="8" t="str">
        <f>IF(ISNUMBER(MATCH(V1627,{"Doryteuthis pealeii","Loligo vulgaris","Leptuca thayeri","Stylocheilus striatus","Ophryotrocha labronica"},0)),"N","Y")</f>
        <v>Y</v>
      </c>
      <c r="Z2233" s="8" t="s">
        <v>177</v>
      </c>
      <c r="AA2233" s="8" t="s">
        <v>177</v>
      </c>
      <c r="AB2233" s="8" t="s">
        <v>71</v>
      </c>
      <c r="AC2233" s="8" t="s">
        <v>195</v>
      </c>
      <c r="AD2233" s="8" t="s">
        <v>52</v>
      </c>
      <c r="AE2233" s="8" t="s">
        <v>53</v>
      </c>
      <c r="AF2233" s="8" t="s">
        <v>52</v>
      </c>
      <c r="AG2233" s="8" t="s">
        <v>52</v>
      </c>
      <c r="AH2233" s="8" t="s">
        <v>64</v>
      </c>
      <c r="AK2233" s="8">
        <v>200</v>
      </c>
      <c r="AL2233" s="8">
        <v>200</v>
      </c>
      <c r="AN2233" s="8">
        <v>506</v>
      </c>
      <c r="AO2233" s="8" t="s">
        <v>56</v>
      </c>
      <c r="AP2233" s="8" t="s">
        <v>56</v>
      </c>
      <c r="AQ2233" s="8" t="s">
        <v>118</v>
      </c>
      <c r="AR2233" s="8">
        <v>8.1</v>
      </c>
      <c r="AS2233" s="8" t="s">
        <v>56</v>
      </c>
      <c r="AT2233" s="8">
        <v>0.02</v>
      </c>
      <c r="AU2233" s="8">
        <v>1131</v>
      </c>
      <c r="AV2233" t="s">
        <v>56</v>
      </c>
      <c r="AW2233" t="s">
        <v>56</v>
      </c>
      <c r="AX2233">
        <v>7.8</v>
      </c>
      <c r="AY2233" t="s">
        <v>56</v>
      </c>
      <c r="AZ2233" t="s">
        <v>56</v>
      </c>
      <c r="BB2233" s="8">
        <f>LOG(AU2233)</f>
        <v>3.0534626049254552</v>
      </c>
      <c r="BC2233" s="8">
        <v>21</v>
      </c>
      <c r="BD2233" s="8" t="s">
        <v>56</v>
      </c>
      <c r="BE2233" s="8" t="s">
        <v>56</v>
      </c>
      <c r="BF2233" s="8">
        <v>24</v>
      </c>
      <c r="BG2233" s="8" t="s">
        <v>56</v>
      </c>
      <c r="BH2233" s="8" t="s">
        <v>56</v>
      </c>
      <c r="BI2233" s="8">
        <v>625</v>
      </c>
      <c r="BJ2233" s="8">
        <v>3</v>
      </c>
      <c r="BK2233" s="8" t="s">
        <v>572</v>
      </c>
      <c r="BL2233" s="8" t="s">
        <v>196</v>
      </c>
      <c r="BM2233" s="8" t="s">
        <v>197</v>
      </c>
      <c r="BN2233" s="8" t="s">
        <v>81</v>
      </c>
      <c r="BO2233" s="8" t="s">
        <v>82</v>
      </c>
      <c r="BP2233" s="8" t="s">
        <v>83</v>
      </c>
      <c r="BQ2233" s="8" t="s">
        <v>9</v>
      </c>
      <c r="BR2233" s="8" t="s">
        <v>84</v>
      </c>
      <c r="BT2233" s="8">
        <v>80.989999999999995</v>
      </c>
      <c r="BU2233" s="8">
        <v>80.988592999999995</v>
      </c>
      <c r="BV2233" s="8">
        <v>4.9400000000000004</v>
      </c>
      <c r="BW2233" s="8">
        <f>BV2233*SQRT(AK2233)</f>
        <v>69.8621499812309</v>
      </c>
      <c r="BX2233" s="8">
        <v>74.27</v>
      </c>
      <c r="BY2233" s="8">
        <v>74.271229399999996</v>
      </c>
      <c r="BZ2233" s="8">
        <v>5.83</v>
      </c>
      <c r="CA2233" s="8">
        <f>BZ2233*SQRT(AL2233)</f>
        <v>82.448650686351442</v>
      </c>
      <c r="CB2233" s="8">
        <v>1</v>
      </c>
      <c r="CC2233" s="8">
        <v>4</v>
      </c>
      <c r="CD2233" s="8">
        <v>-8.6999999999999994E-2</v>
      </c>
      <c r="CE2233" s="8">
        <v>9.9000000000000008E-3</v>
      </c>
      <c r="CF2233" s="8" t="s">
        <v>1134</v>
      </c>
    </row>
    <row r="2234" spans="1:84" hidden="1" x14ac:dyDescent="0.2">
      <c r="A2234" s="8"/>
      <c r="B2234" t="str">
        <f>ROW()-1&amp;"_AltersInvert"</f>
        <v>2233_AltersInvert</v>
      </c>
      <c r="C2234" t="str">
        <f>D2234&amp;"_"&amp;
SUBSTITUTE(TRIM(V2234)," ","_")&amp;"_"&amp;
TRIM(AC2234)&amp;"_"&amp;
"CO2"&amp;TEXT(AN2234,"0.00")&amp;"_"&amp;
"pH"&amp;TEXT(AR2234,"0.00")&amp;"_"&amp;
"T"&amp;TEXT(BC2234,"0.##")</f>
        <v>58_Centrostephanus_rodgersii_EMBRYO_CO2468.00_pH8.10_T14.</v>
      </c>
      <c r="D2234" s="8">
        <v>58</v>
      </c>
      <c r="E2234" s="8"/>
      <c r="F2234" s="8"/>
      <c r="G2234" s="8" t="s">
        <v>43</v>
      </c>
      <c r="H2234" s="8" t="s">
        <v>569</v>
      </c>
      <c r="I2234" s="8" t="s">
        <v>1130</v>
      </c>
      <c r="J2234" s="8">
        <v>2014</v>
      </c>
      <c r="K2234" s="8"/>
      <c r="L2234" s="8"/>
      <c r="M2234" s="8" t="s">
        <v>67</v>
      </c>
      <c r="N2234" s="8"/>
      <c r="O2234" s="8"/>
      <c r="P2234" t="s">
        <v>1135</v>
      </c>
      <c r="Q2234" s="8"/>
      <c r="R2234" s="8" t="s">
        <v>1127</v>
      </c>
      <c r="S2234" t="s">
        <v>1128</v>
      </c>
      <c r="T2234" s="8" t="s">
        <v>46</v>
      </c>
      <c r="U2234" s="8" t="s">
        <v>570</v>
      </c>
      <c r="V2234" s="8" t="s">
        <v>571</v>
      </c>
      <c r="W2234" s="8" t="str">
        <f>IF(ISNUMBER(MATCH(#REF!,{"Doryteuthis pealeii","Loligo vulgaris","Leptuca thayeri","Stylocheilus striatus","Ophryotrocha labronica"},0)),"N","Y")</f>
        <v>Y</v>
      </c>
      <c r="X2234" s="8"/>
      <c r="Y2234" s="8"/>
      <c r="Z2234" s="8" t="s">
        <v>177</v>
      </c>
      <c r="AA2234" s="8" t="s">
        <v>177</v>
      </c>
      <c r="AB2234" s="8" t="s">
        <v>71</v>
      </c>
      <c r="AC2234" s="8" t="s">
        <v>195</v>
      </c>
      <c r="AD2234" s="8" t="s">
        <v>52</v>
      </c>
      <c r="AE2234" s="8" t="s">
        <v>53</v>
      </c>
      <c r="AF2234" s="8" t="s">
        <v>52</v>
      </c>
      <c r="AG2234" s="8" t="s">
        <v>54</v>
      </c>
      <c r="AH2234" s="8" t="s">
        <v>55</v>
      </c>
      <c r="AI2234" s="8"/>
      <c r="AJ2234" s="8"/>
      <c r="AK2234" s="8">
        <v>150</v>
      </c>
      <c r="AL2234" s="8">
        <v>150</v>
      </c>
      <c r="AM2234" s="8"/>
      <c r="AN2234" s="8">
        <v>468</v>
      </c>
      <c r="AO2234" s="8" t="s">
        <v>56</v>
      </c>
      <c r="AP2234" s="8" t="s">
        <v>56</v>
      </c>
      <c r="AQ2234" s="8" t="s">
        <v>118</v>
      </c>
      <c r="AR2234" s="8">
        <v>8.1</v>
      </c>
      <c r="AS2234" s="8" t="s">
        <v>56</v>
      </c>
      <c r="AT2234" s="8">
        <v>0.02</v>
      </c>
      <c r="AU2234" s="8">
        <v>6238</v>
      </c>
      <c r="AV2234" t="s">
        <v>56</v>
      </c>
      <c r="AW2234" t="s">
        <v>56</v>
      </c>
      <c r="AX2234">
        <v>7.04</v>
      </c>
      <c r="AY2234" t="s">
        <v>56</v>
      </c>
      <c r="AZ2234" t="s">
        <v>56</v>
      </c>
      <c r="BA2234" s="8"/>
      <c r="BB2234" s="8">
        <f>LOG(AU2234)</f>
        <v>3.7950453704211249</v>
      </c>
      <c r="BC2234" s="8">
        <v>14</v>
      </c>
      <c r="BD2234" s="8" t="s">
        <v>56</v>
      </c>
      <c r="BE2234" s="8" t="s">
        <v>56</v>
      </c>
      <c r="BF2234" s="8">
        <v>14</v>
      </c>
      <c r="BG2234" s="8" t="s">
        <v>56</v>
      </c>
      <c r="BH2234" s="8" t="s">
        <v>56</v>
      </c>
      <c r="BI2234" s="8">
        <v>5769</v>
      </c>
      <c r="BJ2234" s="8">
        <v>0</v>
      </c>
      <c r="BK2234" s="8" t="s">
        <v>574</v>
      </c>
      <c r="BL2234" s="8" t="s">
        <v>573</v>
      </c>
      <c r="BM2234" s="8" t="s">
        <v>226</v>
      </c>
      <c r="BN2234" s="8" t="s">
        <v>60</v>
      </c>
      <c r="BO2234" s="8" t="s">
        <v>82</v>
      </c>
      <c r="BP2234" s="8" t="s">
        <v>9</v>
      </c>
      <c r="BQ2234" s="8" t="s">
        <v>190</v>
      </c>
      <c r="BR2234" s="8" t="s">
        <v>84</v>
      </c>
      <c r="BS2234" s="8"/>
      <c r="BT2234" s="8">
        <v>76.88</v>
      </c>
      <c r="BU2234" s="8">
        <v>76.88</v>
      </c>
      <c r="BV2234" s="8">
        <v>5.78</v>
      </c>
      <c r="BW2234" s="8">
        <f>BV2234*SQRT(AK2234)</f>
        <v>70.790253566433847</v>
      </c>
      <c r="BX2234" s="8">
        <v>19.55</v>
      </c>
      <c r="BY2234" s="8">
        <v>19.55</v>
      </c>
      <c r="BZ2234" s="8">
        <v>4.67</v>
      </c>
      <c r="CA2234" s="8">
        <f>BZ2234*SQRT(AL2234)</f>
        <v>57.19558549398721</v>
      </c>
      <c r="CB2234" s="8">
        <v>2</v>
      </c>
      <c r="CC2234" s="8">
        <v>3</v>
      </c>
      <c r="CD2234" s="8">
        <v>-1.369</v>
      </c>
      <c r="CE2234" s="8">
        <v>6.2700000000000006E-2</v>
      </c>
      <c r="CF2234" s="8" t="s">
        <v>1134</v>
      </c>
    </row>
    <row r="2235" spans="1:84" s="8" customFormat="1" hidden="1" x14ac:dyDescent="0.2">
      <c r="B2235" t="str">
        <f>ROW()-1&amp;"_AltersInvert"</f>
        <v>2234_AltersInvert</v>
      </c>
      <c r="C2235" t="str">
        <f>D2235&amp;"_"&amp;
SUBSTITUTE(TRIM(V2235)," ","_")&amp;"_"&amp;
TRIM(AC2235)&amp;"_"&amp;
"CO2"&amp;TEXT(AN2235,"0.00")&amp;"_"&amp;
"pH"&amp;TEXT(AR2235,"0.00")&amp;"_"&amp;
"T"&amp;TEXT(BC2235,"0.##")</f>
        <v>58_Centrostephanus_rodgersii_EMBRYO_CO2468.00_pH8.10_T14.</v>
      </c>
      <c r="D2235" s="8">
        <v>58</v>
      </c>
      <c r="G2235" s="8" t="s">
        <v>43</v>
      </c>
      <c r="H2235" s="8" t="s">
        <v>569</v>
      </c>
      <c r="I2235" s="8" t="s">
        <v>1130</v>
      </c>
      <c r="J2235" s="8">
        <v>2014</v>
      </c>
      <c r="M2235" s="8" t="s">
        <v>67</v>
      </c>
      <c r="P2235" t="s">
        <v>1135</v>
      </c>
      <c r="R2235" s="8" t="s">
        <v>1127</v>
      </c>
      <c r="S2235" t="s">
        <v>1128</v>
      </c>
      <c r="T2235" s="8" t="s">
        <v>46</v>
      </c>
      <c r="U2235" s="8" t="s">
        <v>570</v>
      </c>
      <c r="V2235" s="8" t="s">
        <v>571</v>
      </c>
      <c r="W2235" s="8" t="str">
        <f>IF(ISNUMBER(MATCH(#REF!,{"Doryteuthis pealeii","Loligo vulgaris","Leptuca thayeri","Stylocheilus striatus","Ophryotrocha labronica"},0)),"N","Y")</f>
        <v>Y</v>
      </c>
      <c r="Z2235" s="8" t="s">
        <v>177</v>
      </c>
      <c r="AA2235" s="8" t="s">
        <v>177</v>
      </c>
      <c r="AB2235" s="8" t="s">
        <v>71</v>
      </c>
      <c r="AC2235" s="8" t="s">
        <v>195</v>
      </c>
      <c r="AD2235" s="8" t="s">
        <v>52</v>
      </c>
      <c r="AE2235" s="8" t="s">
        <v>53</v>
      </c>
      <c r="AF2235" s="8" t="s">
        <v>52</v>
      </c>
      <c r="AG2235" s="8" t="s">
        <v>54</v>
      </c>
      <c r="AH2235" s="8" t="s">
        <v>55</v>
      </c>
      <c r="AK2235" s="8">
        <v>150</v>
      </c>
      <c r="AL2235" s="8">
        <v>150</v>
      </c>
      <c r="AN2235" s="8">
        <v>468</v>
      </c>
      <c r="AO2235" s="8" t="s">
        <v>56</v>
      </c>
      <c r="AP2235" s="8" t="s">
        <v>56</v>
      </c>
      <c r="AQ2235" s="8" t="s">
        <v>118</v>
      </c>
      <c r="AR2235" s="8">
        <v>8.1</v>
      </c>
      <c r="AS2235" s="8" t="s">
        <v>56</v>
      </c>
      <c r="AT2235" s="8">
        <v>0.02</v>
      </c>
      <c r="AU2235" s="8">
        <v>1652</v>
      </c>
      <c r="AV2235" t="s">
        <v>56</v>
      </c>
      <c r="AW2235" t="s">
        <v>56</v>
      </c>
      <c r="AX2235">
        <v>7.6</v>
      </c>
      <c r="AY2235" t="s">
        <v>56</v>
      </c>
      <c r="AZ2235" t="s">
        <v>56</v>
      </c>
      <c r="BB2235" s="8">
        <f>LOG(AU2235)</f>
        <v>3.2180100429843632</v>
      </c>
      <c r="BC2235" s="8">
        <v>14</v>
      </c>
      <c r="BD2235" s="8" t="s">
        <v>56</v>
      </c>
      <c r="BE2235" s="8" t="s">
        <v>56</v>
      </c>
      <c r="BF2235" s="8">
        <v>14</v>
      </c>
      <c r="BG2235" s="8" t="s">
        <v>56</v>
      </c>
      <c r="BH2235" s="8" t="s">
        <v>56</v>
      </c>
      <c r="BI2235" s="8">
        <v>1183</v>
      </c>
      <c r="BJ2235" s="8">
        <v>0</v>
      </c>
      <c r="BK2235" s="8" t="s">
        <v>574</v>
      </c>
      <c r="BL2235" s="8" t="s">
        <v>573</v>
      </c>
      <c r="BM2235" s="8" t="s">
        <v>226</v>
      </c>
      <c r="BN2235" s="8" t="s">
        <v>60</v>
      </c>
      <c r="BO2235" s="8" t="s">
        <v>82</v>
      </c>
      <c r="BP2235" s="8" t="s">
        <v>9</v>
      </c>
      <c r="BQ2235" s="8" t="s">
        <v>83</v>
      </c>
      <c r="BR2235" s="8" t="s">
        <v>84</v>
      </c>
      <c r="BT2235" s="8">
        <v>76.88</v>
      </c>
      <c r="BU2235" s="8">
        <v>76.88</v>
      </c>
      <c r="BV2235" s="8">
        <v>5.78</v>
      </c>
      <c r="BW2235" s="8">
        <f>BV2235*SQRT(AK2235)</f>
        <v>70.790253566433847</v>
      </c>
      <c r="BX2235" s="8">
        <v>59.11</v>
      </c>
      <c r="BY2235" s="8">
        <v>59.11</v>
      </c>
      <c r="BZ2235" s="8">
        <v>7.11</v>
      </c>
      <c r="CA2235" s="8">
        <f>BZ2235*SQRT(AL2235)</f>
        <v>87.079360355941986</v>
      </c>
      <c r="CB2235" s="8">
        <v>2</v>
      </c>
      <c r="CC2235" s="8">
        <v>3</v>
      </c>
      <c r="CD2235" s="8">
        <v>-0.26300000000000001</v>
      </c>
      <c r="CE2235" s="8">
        <v>2.01E-2</v>
      </c>
      <c r="CF2235" s="8" t="s">
        <v>1134</v>
      </c>
    </row>
    <row r="2236" spans="1:84" hidden="1" x14ac:dyDescent="0.2">
      <c r="A2236" s="8"/>
      <c r="B2236" t="str">
        <f>ROW()-1&amp;"_AltersInvert"</f>
        <v>2235_AltersInvert</v>
      </c>
      <c r="C2236" t="str">
        <f>D2236&amp;"_"&amp;
SUBSTITUTE(TRIM(V2236)," ","_")&amp;"_"&amp;
TRIM(AC2236)&amp;"_"&amp;
"CO2"&amp;TEXT(AN2236,"0.00")&amp;"_"&amp;
"pH"&amp;TEXT(AR2236,"0.00")&amp;"_"&amp;
"T"&amp;TEXT(BC2236,"0.##")</f>
        <v>58_Centrostephanus_rodgersii_EMBRYO_CO2468.00_pH8.10_T14.</v>
      </c>
      <c r="D2236" s="8">
        <v>58</v>
      </c>
      <c r="E2236" s="8"/>
      <c r="F2236" s="8"/>
      <c r="G2236" s="8" t="s">
        <v>43</v>
      </c>
      <c r="H2236" s="8" t="s">
        <v>569</v>
      </c>
      <c r="I2236" s="8" t="s">
        <v>1130</v>
      </c>
      <c r="J2236" s="8">
        <v>2014</v>
      </c>
      <c r="K2236" s="8"/>
      <c r="L2236" s="8"/>
      <c r="M2236" s="8" t="s">
        <v>67</v>
      </c>
      <c r="N2236" s="8"/>
      <c r="O2236" s="8"/>
      <c r="P2236" t="s">
        <v>1135</v>
      </c>
      <c r="Q2236" s="8"/>
      <c r="R2236" s="8" t="s">
        <v>1127</v>
      </c>
      <c r="S2236" t="s">
        <v>1128</v>
      </c>
      <c r="T2236" s="8" t="s">
        <v>46</v>
      </c>
      <c r="U2236" s="8" t="s">
        <v>570</v>
      </c>
      <c r="V2236" s="8" t="s">
        <v>571</v>
      </c>
      <c r="W2236" s="8" t="str">
        <f>IF(ISNUMBER(MATCH(#REF!,{"Doryteuthis pealeii","Loligo vulgaris","Leptuca thayeri","Stylocheilus striatus","Ophryotrocha labronica"},0)),"N","Y")</f>
        <v>Y</v>
      </c>
      <c r="X2236" s="8"/>
      <c r="Y2236" s="8"/>
      <c r="Z2236" s="8" t="s">
        <v>177</v>
      </c>
      <c r="AA2236" s="8" t="s">
        <v>177</v>
      </c>
      <c r="AB2236" s="8" t="s">
        <v>71</v>
      </c>
      <c r="AC2236" s="8" t="s">
        <v>195</v>
      </c>
      <c r="AD2236" s="8" t="s">
        <v>52</v>
      </c>
      <c r="AE2236" s="8" t="s">
        <v>53</v>
      </c>
      <c r="AF2236" s="8" t="s">
        <v>52</v>
      </c>
      <c r="AG2236" s="8" t="s">
        <v>54</v>
      </c>
      <c r="AH2236" s="8" t="s">
        <v>55</v>
      </c>
      <c r="AI2236" s="8"/>
      <c r="AJ2236" s="8"/>
      <c r="AK2236" s="8">
        <v>150</v>
      </c>
      <c r="AL2236" s="8">
        <v>150</v>
      </c>
      <c r="AM2236" s="8"/>
      <c r="AN2236" s="8">
        <v>468</v>
      </c>
      <c r="AO2236" s="8" t="s">
        <v>56</v>
      </c>
      <c r="AP2236" s="8" t="s">
        <v>56</v>
      </c>
      <c r="AQ2236" s="8" t="s">
        <v>118</v>
      </c>
      <c r="AR2236" s="8">
        <v>8.1</v>
      </c>
      <c r="AS2236" s="8" t="s">
        <v>56</v>
      </c>
      <c r="AT2236" s="8">
        <v>0.02</v>
      </c>
      <c r="AU2236" s="8">
        <v>1011</v>
      </c>
      <c r="AV2236" t="s">
        <v>56</v>
      </c>
      <c r="AW2236" t="s">
        <v>56</v>
      </c>
      <c r="AX2236">
        <v>7.8</v>
      </c>
      <c r="AY2236" t="s">
        <v>56</v>
      </c>
      <c r="AZ2236" t="s">
        <v>56</v>
      </c>
      <c r="BA2236" s="8"/>
      <c r="BB2236" s="8">
        <f>LOG(AU2236)</f>
        <v>3.0047511555910011</v>
      </c>
      <c r="BC2236" s="8">
        <v>14</v>
      </c>
      <c r="BD2236" s="8" t="s">
        <v>56</v>
      </c>
      <c r="BE2236" s="8" t="s">
        <v>56</v>
      </c>
      <c r="BF2236" s="8">
        <v>14</v>
      </c>
      <c r="BG2236" s="8" t="s">
        <v>56</v>
      </c>
      <c r="BH2236" s="8" t="s">
        <v>56</v>
      </c>
      <c r="BI2236" s="8">
        <v>542</v>
      </c>
      <c r="BJ2236" s="8">
        <v>0</v>
      </c>
      <c r="BK2236" s="8" t="s">
        <v>574</v>
      </c>
      <c r="BL2236" s="8" t="s">
        <v>573</v>
      </c>
      <c r="BM2236" s="8" t="s">
        <v>226</v>
      </c>
      <c r="BN2236" s="8" t="s">
        <v>60</v>
      </c>
      <c r="BO2236" s="8" t="s">
        <v>82</v>
      </c>
      <c r="BP2236" s="8" t="s">
        <v>9</v>
      </c>
      <c r="BQ2236" s="8" t="s">
        <v>190</v>
      </c>
      <c r="BR2236" s="8" t="s">
        <v>84</v>
      </c>
      <c r="BS2236" s="8"/>
      <c r="BT2236" s="8">
        <v>76.88</v>
      </c>
      <c r="BU2236" s="8">
        <v>76.88</v>
      </c>
      <c r="BV2236" s="8">
        <v>5.78</v>
      </c>
      <c r="BW2236" s="8">
        <f>BV2236*SQRT(AK2236)</f>
        <v>70.790253566433847</v>
      </c>
      <c r="BX2236" s="8">
        <v>68.44</v>
      </c>
      <c r="BY2236" s="8">
        <v>68.44</v>
      </c>
      <c r="BZ2236" s="8">
        <v>7.11</v>
      </c>
      <c r="CA2236" s="8">
        <f>BZ2236*SQRT(AL2236)</f>
        <v>87.079360355941986</v>
      </c>
      <c r="CB2236" s="8">
        <v>2</v>
      </c>
      <c r="CC2236" s="8">
        <v>3</v>
      </c>
      <c r="CD2236" s="8">
        <v>-0.11600000000000001</v>
      </c>
      <c r="CE2236" s="8">
        <v>1.6400000000000001E-2</v>
      </c>
      <c r="CF2236" s="8" t="s">
        <v>1134</v>
      </c>
    </row>
    <row r="2237" spans="1:84" hidden="1" x14ac:dyDescent="0.2">
      <c r="A2237" s="8"/>
      <c r="B2237" t="str">
        <f>ROW()-1&amp;"_AltersInvert"</f>
        <v>2236_AltersInvert</v>
      </c>
      <c r="C2237" t="str">
        <f>D2237&amp;"_"&amp;
SUBSTITUTE(TRIM(V2237)," ","_")&amp;"_"&amp;
TRIM(AC2237)&amp;"_"&amp;
"CO2"&amp;TEXT(AN2237,"0.00")&amp;"_"&amp;
"pH"&amp;TEXT(AR2237,"0.00")&amp;"_"&amp;
"T"&amp;TEXT(BC2237,"0.##")</f>
        <v>58_Centrostephanus_rodgersii_EMBRYO_CO2468.00_pH8.10_T14.</v>
      </c>
      <c r="D2237" s="8">
        <v>58</v>
      </c>
      <c r="E2237" s="8"/>
      <c r="F2237" s="8"/>
      <c r="G2237" s="8" t="s">
        <v>43</v>
      </c>
      <c r="H2237" s="8" t="s">
        <v>569</v>
      </c>
      <c r="I2237" s="8" t="s">
        <v>1130</v>
      </c>
      <c r="J2237" s="8">
        <v>2014</v>
      </c>
      <c r="K2237" s="8"/>
      <c r="L2237" s="8"/>
      <c r="M2237" s="8" t="s">
        <v>67</v>
      </c>
      <c r="N2237" s="8"/>
      <c r="O2237" s="8"/>
      <c r="P2237" t="s">
        <v>1135</v>
      </c>
      <c r="Q2237" s="8"/>
      <c r="R2237" s="8" t="s">
        <v>1127</v>
      </c>
      <c r="S2237" t="s">
        <v>1128</v>
      </c>
      <c r="T2237" s="8" t="s">
        <v>46</v>
      </c>
      <c r="U2237" s="8" t="s">
        <v>570</v>
      </c>
      <c r="V2237" s="8" t="s">
        <v>571</v>
      </c>
      <c r="W2237" s="8" t="str">
        <f>IF(ISNUMBER(MATCH(V1631,{"Doryteuthis pealeii","Loligo vulgaris","Leptuca thayeri","Stylocheilus striatus","Ophryotrocha labronica"},0)),"N","Y")</f>
        <v>Y</v>
      </c>
      <c r="X2237" s="8"/>
      <c r="Y2237" s="8"/>
      <c r="Z2237" s="8" t="s">
        <v>177</v>
      </c>
      <c r="AA2237" s="8" t="s">
        <v>177</v>
      </c>
      <c r="AB2237" s="8" t="s">
        <v>71</v>
      </c>
      <c r="AC2237" s="8" t="s">
        <v>195</v>
      </c>
      <c r="AD2237" s="8" t="s">
        <v>52</v>
      </c>
      <c r="AE2237" s="8" t="s">
        <v>53</v>
      </c>
      <c r="AF2237" s="8" t="s">
        <v>54</v>
      </c>
      <c r="AG2237" s="8" t="s">
        <v>52</v>
      </c>
      <c r="AH2237" s="8" t="s">
        <v>65</v>
      </c>
      <c r="AI2237" s="8"/>
      <c r="AJ2237" s="8"/>
      <c r="AK2237" s="8">
        <v>150</v>
      </c>
      <c r="AL2237" s="8">
        <v>150</v>
      </c>
      <c r="AM2237" s="8"/>
      <c r="AN2237" s="8">
        <v>468</v>
      </c>
      <c r="AO2237" s="8" t="s">
        <v>56</v>
      </c>
      <c r="AP2237" s="8" t="s">
        <v>56</v>
      </c>
      <c r="AQ2237" s="8" t="s">
        <v>118</v>
      </c>
      <c r="AR2237" s="8">
        <v>8.1</v>
      </c>
      <c r="AS2237" s="8" t="s">
        <v>56</v>
      </c>
      <c r="AT2237" s="8">
        <v>0.02</v>
      </c>
      <c r="AU2237" s="8">
        <v>478</v>
      </c>
      <c r="AV2237" t="s">
        <v>56</v>
      </c>
      <c r="AW2237" t="s">
        <v>56</v>
      </c>
      <c r="AX2237">
        <v>8.1</v>
      </c>
      <c r="AY2237" t="s">
        <v>56</v>
      </c>
      <c r="AZ2237" t="s">
        <v>56</v>
      </c>
      <c r="BA2237" s="8"/>
      <c r="BB2237" s="8">
        <f>LOG(AU2237)</f>
        <v>2.6794278966121188</v>
      </c>
      <c r="BC2237" s="8">
        <v>14</v>
      </c>
      <c r="BD2237" s="8" t="s">
        <v>56</v>
      </c>
      <c r="BE2237" s="8" t="s">
        <v>56</v>
      </c>
      <c r="BF2237" s="8">
        <v>17</v>
      </c>
      <c r="BG2237" s="8" t="s">
        <v>56</v>
      </c>
      <c r="BH2237" s="8" t="s">
        <v>56</v>
      </c>
      <c r="BI2237" s="8">
        <v>10</v>
      </c>
      <c r="BJ2237" s="8">
        <v>3</v>
      </c>
      <c r="BK2237" s="8" t="s">
        <v>574</v>
      </c>
      <c r="BL2237" s="8" t="s">
        <v>573</v>
      </c>
      <c r="BM2237" s="8" t="s">
        <v>226</v>
      </c>
      <c r="BN2237" s="8" t="s">
        <v>60</v>
      </c>
      <c r="BO2237" s="8" t="s">
        <v>82</v>
      </c>
      <c r="BP2237" s="8" t="s">
        <v>9</v>
      </c>
      <c r="BQ2237" s="8" t="s">
        <v>190</v>
      </c>
      <c r="BR2237" s="8" t="s">
        <v>84</v>
      </c>
      <c r="BS2237" s="8"/>
      <c r="BT2237" s="8">
        <v>76.88</v>
      </c>
      <c r="BU2237" s="8">
        <v>76.88</v>
      </c>
      <c r="BV2237" s="8">
        <v>5.78</v>
      </c>
      <c r="BW2237" s="8">
        <f>BV2237*SQRT(AK2237)</f>
        <v>70.790253566433847</v>
      </c>
      <c r="BX2237" s="8">
        <v>81.33</v>
      </c>
      <c r="BY2237" s="8">
        <v>81.33</v>
      </c>
      <c r="BZ2237" s="8">
        <v>4.4400000000000004</v>
      </c>
      <c r="CA2237" s="8">
        <f>BZ2237*SQRT(AL2237)</f>
        <v>54.378672289786557</v>
      </c>
      <c r="CB2237" s="8">
        <v>2</v>
      </c>
      <c r="CC2237" s="8">
        <v>3</v>
      </c>
      <c r="CD2237" s="8">
        <v>5.6000000000000001E-2</v>
      </c>
      <c r="CE2237" s="8">
        <v>8.6E-3</v>
      </c>
      <c r="CF2237" s="8" t="s">
        <v>1134</v>
      </c>
    </row>
    <row r="2238" spans="1:84" s="8" customFormat="1" hidden="1" x14ac:dyDescent="0.2">
      <c r="B2238" t="str">
        <f>ROW()-1&amp;"_AltersInvert"</f>
        <v>2237_AltersInvert</v>
      </c>
      <c r="C2238" t="str">
        <f>D2238&amp;"_"&amp;
SUBSTITUTE(TRIM(V2238)," ","_")&amp;"_"&amp;
TRIM(AC2238)&amp;"_"&amp;
"CO2"&amp;TEXT(AN2238,"0.00")&amp;"_"&amp;
"pH"&amp;TEXT(AR2238,"0.00")&amp;"_"&amp;
"T"&amp;TEXT(BC2238,"0.##")</f>
        <v>58_Centrostephanus_rodgersii_EMBRYO_CO2468.00_pH8.10_T14.</v>
      </c>
      <c r="D2238" s="8">
        <v>58</v>
      </c>
      <c r="G2238" s="8" t="s">
        <v>43</v>
      </c>
      <c r="H2238" s="8" t="s">
        <v>569</v>
      </c>
      <c r="I2238" s="8" t="s">
        <v>1130</v>
      </c>
      <c r="J2238" s="8">
        <v>2014</v>
      </c>
      <c r="M2238" s="8" t="s">
        <v>67</v>
      </c>
      <c r="P2238" t="s">
        <v>1135</v>
      </c>
      <c r="R2238" s="8" t="s">
        <v>1127</v>
      </c>
      <c r="S2238" t="s">
        <v>1128</v>
      </c>
      <c r="T2238" s="8" t="s">
        <v>46</v>
      </c>
      <c r="U2238" s="8" t="s">
        <v>570</v>
      </c>
      <c r="V2238" s="8" t="s">
        <v>571</v>
      </c>
      <c r="W2238" s="8" t="str">
        <f>IF(ISNUMBER(MATCH(V1632,{"Doryteuthis pealeii","Loligo vulgaris","Leptuca thayeri","Stylocheilus striatus","Ophryotrocha labronica"},0)),"N","Y")</f>
        <v>Y</v>
      </c>
      <c r="Z2238" s="8" t="s">
        <v>177</v>
      </c>
      <c r="AA2238" s="8" t="s">
        <v>177</v>
      </c>
      <c r="AB2238" s="8" t="s">
        <v>71</v>
      </c>
      <c r="AC2238" s="8" t="s">
        <v>195</v>
      </c>
      <c r="AD2238" s="8" t="s">
        <v>52</v>
      </c>
      <c r="AE2238" s="8" t="s">
        <v>53</v>
      </c>
      <c r="AF2238" s="8" t="s">
        <v>52</v>
      </c>
      <c r="AG2238" s="8" t="s">
        <v>52</v>
      </c>
      <c r="AH2238" s="8" t="s">
        <v>64</v>
      </c>
      <c r="AK2238" s="8">
        <v>150</v>
      </c>
      <c r="AL2238" s="8">
        <v>150</v>
      </c>
      <c r="AN2238" s="8">
        <v>468</v>
      </c>
      <c r="AO2238" s="8" t="s">
        <v>56</v>
      </c>
      <c r="AP2238" s="8" t="s">
        <v>56</v>
      </c>
      <c r="AQ2238" s="8" t="s">
        <v>118</v>
      </c>
      <c r="AR2238" s="8">
        <v>8.1</v>
      </c>
      <c r="AS2238" s="8" t="s">
        <v>56</v>
      </c>
      <c r="AT2238" s="8">
        <v>0.02</v>
      </c>
      <c r="AU2238" s="8">
        <v>6451</v>
      </c>
      <c r="AV2238" t="s">
        <v>56</v>
      </c>
      <c r="AW2238" t="s">
        <v>56</v>
      </c>
      <c r="AX2238">
        <v>7.04</v>
      </c>
      <c r="AY2238" t="s">
        <v>56</v>
      </c>
      <c r="AZ2238" t="s">
        <v>56</v>
      </c>
      <c r="BB2238" s="8">
        <f>LOG(AU2238)</f>
        <v>3.8096270418940499</v>
      </c>
      <c r="BC2238" s="8">
        <v>14</v>
      </c>
      <c r="BD2238" s="8" t="s">
        <v>56</v>
      </c>
      <c r="BE2238" s="8" t="s">
        <v>56</v>
      </c>
      <c r="BF2238" s="8">
        <v>17</v>
      </c>
      <c r="BG2238" s="8" t="s">
        <v>56</v>
      </c>
      <c r="BH2238" s="8" t="s">
        <v>56</v>
      </c>
      <c r="BI2238" s="8">
        <v>5983</v>
      </c>
      <c r="BJ2238" s="8">
        <v>3</v>
      </c>
      <c r="BK2238" s="8" t="s">
        <v>574</v>
      </c>
      <c r="BL2238" s="8" t="s">
        <v>573</v>
      </c>
      <c r="BM2238" s="8" t="s">
        <v>226</v>
      </c>
      <c r="BN2238" s="8" t="s">
        <v>60</v>
      </c>
      <c r="BO2238" s="8" t="s">
        <v>82</v>
      </c>
      <c r="BP2238" s="8" t="s">
        <v>9</v>
      </c>
      <c r="BQ2238" s="8" t="s">
        <v>190</v>
      </c>
      <c r="BR2238" s="8" t="s">
        <v>84</v>
      </c>
      <c r="BT2238" s="8">
        <v>76.88</v>
      </c>
      <c r="BU2238" s="8">
        <v>76.88</v>
      </c>
      <c r="BV2238" s="8">
        <v>5.78</v>
      </c>
      <c r="BW2238" s="8">
        <f>BV2238*SQRT(AK2238)</f>
        <v>70.790253566433847</v>
      </c>
      <c r="BX2238" s="8">
        <v>21.77</v>
      </c>
      <c r="BY2238" s="8">
        <v>21.77</v>
      </c>
      <c r="BZ2238" s="8">
        <v>6.23</v>
      </c>
      <c r="CA2238" s="8">
        <f>BZ2238*SQRT(AL2238)</f>
        <v>76.301605487696008</v>
      </c>
      <c r="CB2238" s="8">
        <v>2</v>
      </c>
      <c r="CC2238" s="8">
        <v>3</v>
      </c>
      <c r="CD2238" s="8">
        <v>-1.262</v>
      </c>
      <c r="CE2238" s="8">
        <v>8.7499999999999994E-2</v>
      </c>
      <c r="CF2238" s="8" t="s">
        <v>1134</v>
      </c>
    </row>
    <row r="2239" spans="1:84" s="8" customFormat="1" hidden="1" x14ac:dyDescent="0.2">
      <c r="B2239" t="str">
        <f>ROW()-1&amp;"_AltersInvert"</f>
        <v>2238_AltersInvert</v>
      </c>
      <c r="C2239" t="str">
        <f>D2239&amp;"_"&amp;
SUBSTITUTE(TRIM(V2239)," ","_")&amp;"_"&amp;
TRIM(AC2239)&amp;"_"&amp;
"CO2"&amp;TEXT(AN2239,"0.00")&amp;"_"&amp;
"pH"&amp;TEXT(AR2239,"0.00")&amp;"_"&amp;
"T"&amp;TEXT(BC2239,"0.##")</f>
        <v>58_Centrostephanus_rodgersii_EMBRYO_CO2468.00_pH8.10_T14.</v>
      </c>
      <c r="D2239" s="8">
        <v>58</v>
      </c>
      <c r="G2239" s="8" t="s">
        <v>43</v>
      </c>
      <c r="H2239" s="8" t="s">
        <v>569</v>
      </c>
      <c r="I2239" s="8" t="s">
        <v>1130</v>
      </c>
      <c r="J2239" s="8">
        <v>2014</v>
      </c>
      <c r="M2239" s="8" t="s">
        <v>67</v>
      </c>
      <c r="P2239" t="s">
        <v>1135</v>
      </c>
      <c r="R2239" s="8" t="s">
        <v>1127</v>
      </c>
      <c r="S2239" t="s">
        <v>1128</v>
      </c>
      <c r="T2239" s="8" t="s">
        <v>46</v>
      </c>
      <c r="U2239" s="8" t="s">
        <v>570</v>
      </c>
      <c r="V2239" s="8" t="s">
        <v>571</v>
      </c>
      <c r="W2239" s="8" t="str">
        <f>IF(ISNUMBER(MATCH(V1633,{"Doryteuthis pealeii","Loligo vulgaris","Leptuca thayeri","Stylocheilus striatus","Ophryotrocha labronica"},0)),"N","Y")</f>
        <v>Y</v>
      </c>
      <c r="Z2239" s="8" t="s">
        <v>177</v>
      </c>
      <c r="AA2239" s="8" t="s">
        <v>177</v>
      </c>
      <c r="AB2239" s="8" t="s">
        <v>71</v>
      </c>
      <c r="AC2239" s="8" t="s">
        <v>195</v>
      </c>
      <c r="AD2239" s="8" t="s">
        <v>52</v>
      </c>
      <c r="AE2239" s="8" t="s">
        <v>53</v>
      </c>
      <c r="AF2239" s="8" t="s">
        <v>52</v>
      </c>
      <c r="AG2239" s="8" t="s">
        <v>52</v>
      </c>
      <c r="AH2239" s="8" t="s">
        <v>64</v>
      </c>
      <c r="AK2239" s="8">
        <v>150</v>
      </c>
      <c r="AL2239" s="8">
        <v>150</v>
      </c>
      <c r="AN2239" s="8">
        <v>468</v>
      </c>
      <c r="AO2239" s="8" t="s">
        <v>56</v>
      </c>
      <c r="AP2239" s="8" t="s">
        <v>56</v>
      </c>
      <c r="AQ2239" s="8" t="s">
        <v>118</v>
      </c>
      <c r="AR2239" s="8">
        <v>8.1</v>
      </c>
      <c r="AS2239" s="8" t="s">
        <v>56</v>
      </c>
      <c r="AT2239" s="8">
        <v>0.02</v>
      </c>
      <c r="AU2239" s="8">
        <v>1702</v>
      </c>
      <c r="AV2239" t="s">
        <v>56</v>
      </c>
      <c r="AW2239" t="s">
        <v>56</v>
      </c>
      <c r="AX2239">
        <v>7.6</v>
      </c>
      <c r="AY2239" t="s">
        <v>56</v>
      </c>
      <c r="AZ2239" t="s">
        <v>56</v>
      </c>
      <c r="BB2239" s="8">
        <f>LOG(AU2239)</f>
        <v>3.2309595557485689</v>
      </c>
      <c r="BC2239" s="8">
        <v>14</v>
      </c>
      <c r="BD2239" s="8" t="s">
        <v>56</v>
      </c>
      <c r="BE2239" s="8" t="s">
        <v>56</v>
      </c>
      <c r="BF2239" s="8">
        <v>17</v>
      </c>
      <c r="BG2239" s="8" t="s">
        <v>56</v>
      </c>
      <c r="BH2239" s="8" t="s">
        <v>56</v>
      </c>
      <c r="BI2239" s="8">
        <v>1233</v>
      </c>
      <c r="BJ2239" s="8">
        <v>3</v>
      </c>
      <c r="BK2239" s="8" t="s">
        <v>574</v>
      </c>
      <c r="BL2239" s="8" t="s">
        <v>573</v>
      </c>
      <c r="BM2239" s="8" t="s">
        <v>226</v>
      </c>
      <c r="BN2239" s="8" t="s">
        <v>60</v>
      </c>
      <c r="BO2239" s="8" t="s">
        <v>82</v>
      </c>
      <c r="BP2239" s="8" t="s">
        <v>9</v>
      </c>
      <c r="BQ2239" s="8" t="s">
        <v>194</v>
      </c>
      <c r="BR2239" s="8" t="s">
        <v>84</v>
      </c>
      <c r="BT2239" s="8">
        <v>76.88</v>
      </c>
      <c r="BU2239" s="8">
        <v>76.88</v>
      </c>
      <c r="BV2239" s="8">
        <v>5.78</v>
      </c>
      <c r="BW2239" s="8">
        <f>BV2239*SQRT(AK2239)</f>
        <v>70.790253566433847</v>
      </c>
      <c r="BX2239" s="8">
        <v>61.77</v>
      </c>
      <c r="BY2239" s="8">
        <v>61.77</v>
      </c>
      <c r="BZ2239" s="8">
        <v>6.23</v>
      </c>
      <c r="CA2239" s="8">
        <f>BZ2239*SQRT(AL2239)</f>
        <v>76.301605487696008</v>
      </c>
      <c r="CB2239" s="8">
        <v>2</v>
      </c>
      <c r="CC2239" s="8">
        <v>3</v>
      </c>
      <c r="CD2239" s="8">
        <v>-0.219</v>
      </c>
      <c r="CE2239" s="8">
        <v>1.5800000000000002E-2</v>
      </c>
      <c r="CF2239" s="8" t="s">
        <v>1134</v>
      </c>
    </row>
    <row r="2240" spans="1:84" hidden="1" x14ac:dyDescent="0.2">
      <c r="A2240" s="8"/>
      <c r="B2240" t="str">
        <f>ROW()-1&amp;"_AltersInvert"</f>
        <v>2239_AltersInvert</v>
      </c>
      <c r="C2240" t="str">
        <f>D2240&amp;"_"&amp;
SUBSTITUTE(TRIM(V2240)," ","_")&amp;"_"&amp;
TRIM(AC2240)&amp;"_"&amp;
"CO2"&amp;TEXT(AN2240,"0.00")&amp;"_"&amp;
"pH"&amp;TEXT(AR2240,"0.00")&amp;"_"&amp;
"T"&amp;TEXT(BC2240,"0.##")</f>
        <v>58_Centrostephanus_rodgersii_EMBRYO_CO2468.00_pH8.10_T14.</v>
      </c>
      <c r="D2240" s="8">
        <v>58</v>
      </c>
      <c r="E2240" s="8"/>
      <c r="F2240" s="8"/>
      <c r="G2240" s="8" t="s">
        <v>43</v>
      </c>
      <c r="H2240" s="8" t="s">
        <v>569</v>
      </c>
      <c r="I2240" s="8" t="s">
        <v>1130</v>
      </c>
      <c r="J2240" s="8">
        <v>2014</v>
      </c>
      <c r="K2240" s="8"/>
      <c r="L2240" s="8"/>
      <c r="M2240" s="8" t="s">
        <v>67</v>
      </c>
      <c r="N2240" s="8"/>
      <c r="O2240" s="8"/>
      <c r="P2240" t="s">
        <v>1135</v>
      </c>
      <c r="Q2240" s="8"/>
      <c r="R2240" s="8" t="s">
        <v>1127</v>
      </c>
      <c r="S2240" t="s">
        <v>1128</v>
      </c>
      <c r="T2240" s="8" t="s">
        <v>46</v>
      </c>
      <c r="U2240" s="8" t="s">
        <v>570</v>
      </c>
      <c r="V2240" s="8" t="s">
        <v>571</v>
      </c>
      <c r="W2240" s="8" t="str">
        <f>IF(ISNUMBER(MATCH(V1634,{"Doryteuthis pealeii","Loligo vulgaris","Leptuca thayeri","Stylocheilus striatus","Ophryotrocha labronica"},0)),"N","Y")</f>
        <v>Y</v>
      </c>
      <c r="X2240" s="8"/>
      <c r="Y2240" s="8"/>
      <c r="Z2240" s="8" t="s">
        <v>177</v>
      </c>
      <c r="AA2240" s="8" t="s">
        <v>177</v>
      </c>
      <c r="AB2240" s="8" t="s">
        <v>71</v>
      </c>
      <c r="AC2240" s="8" t="s">
        <v>195</v>
      </c>
      <c r="AD2240" s="8" t="s">
        <v>52</v>
      </c>
      <c r="AE2240" s="8" t="s">
        <v>53</v>
      </c>
      <c r="AF2240" s="8" t="s">
        <v>52</v>
      </c>
      <c r="AG2240" s="8" t="s">
        <v>52</v>
      </c>
      <c r="AH2240" s="8" t="s">
        <v>64</v>
      </c>
      <c r="AI2240" s="8"/>
      <c r="AJ2240" s="8"/>
      <c r="AK2240" s="8">
        <v>150</v>
      </c>
      <c r="AL2240" s="8">
        <v>150</v>
      </c>
      <c r="AM2240" s="8"/>
      <c r="AN2240" s="8">
        <v>468</v>
      </c>
      <c r="AO2240" s="8" t="s">
        <v>56</v>
      </c>
      <c r="AP2240" s="8" t="s">
        <v>56</v>
      </c>
      <c r="AQ2240" s="8" t="s">
        <v>118</v>
      </c>
      <c r="AR2240" s="8">
        <v>8.1</v>
      </c>
      <c r="AS2240" s="8" t="s">
        <v>56</v>
      </c>
      <c r="AT2240" s="8">
        <v>0.02</v>
      </c>
      <c r="AU2240" s="8">
        <v>1038</v>
      </c>
      <c r="AV2240" t="s">
        <v>56</v>
      </c>
      <c r="AW2240" t="s">
        <v>56</v>
      </c>
      <c r="AX2240">
        <v>7.8</v>
      </c>
      <c r="AY2240" t="s">
        <v>56</v>
      </c>
      <c r="AZ2240" t="s">
        <v>56</v>
      </c>
      <c r="BA2240" s="8"/>
      <c r="BB2240" s="8">
        <f>LOG(AU2240)</f>
        <v>3.0161973535124389</v>
      </c>
      <c r="BC2240" s="8">
        <v>14</v>
      </c>
      <c r="BD2240" s="8" t="s">
        <v>56</v>
      </c>
      <c r="BE2240" s="8" t="s">
        <v>56</v>
      </c>
      <c r="BF2240" s="8">
        <v>17</v>
      </c>
      <c r="BG2240" s="8" t="s">
        <v>56</v>
      </c>
      <c r="BH2240" s="8" t="s">
        <v>56</v>
      </c>
      <c r="BI2240" s="8">
        <v>570</v>
      </c>
      <c r="BJ2240" s="8">
        <v>3</v>
      </c>
      <c r="BK2240" s="8" t="s">
        <v>574</v>
      </c>
      <c r="BL2240" s="8" t="s">
        <v>573</v>
      </c>
      <c r="BM2240" s="8" t="s">
        <v>226</v>
      </c>
      <c r="BN2240" s="8" t="s">
        <v>60</v>
      </c>
      <c r="BO2240" s="8" t="s">
        <v>82</v>
      </c>
      <c r="BP2240" s="8" t="s">
        <v>9</v>
      </c>
      <c r="BQ2240" s="8" t="s">
        <v>190</v>
      </c>
      <c r="BR2240" s="8" t="s">
        <v>84</v>
      </c>
      <c r="BS2240" s="8"/>
      <c r="BT2240" s="8">
        <v>76.88</v>
      </c>
      <c r="BU2240" s="8">
        <v>76.88</v>
      </c>
      <c r="BV2240" s="8">
        <v>5.78</v>
      </c>
      <c r="BW2240" s="8">
        <f>BV2240*SQRT(AK2240)</f>
        <v>70.790253566433847</v>
      </c>
      <c r="BX2240" s="8">
        <v>73.77</v>
      </c>
      <c r="BY2240" s="8">
        <v>73.77</v>
      </c>
      <c r="BZ2240" s="8">
        <v>7.11</v>
      </c>
      <c r="CA2240" s="8">
        <f>BZ2240*SQRT(AL2240)</f>
        <v>87.079360355941986</v>
      </c>
      <c r="CB2240" s="8">
        <v>2</v>
      </c>
      <c r="CC2240" s="8">
        <v>3</v>
      </c>
      <c r="CD2240" s="8">
        <v>-4.1000000000000002E-2</v>
      </c>
      <c r="CE2240" s="8">
        <v>1.49E-2</v>
      </c>
      <c r="CF2240" s="8" t="s">
        <v>1134</v>
      </c>
    </row>
    <row r="2241" spans="1:84" s="8" customFormat="1" hidden="1" x14ac:dyDescent="0.2">
      <c r="A2241"/>
      <c r="B2241" t="str">
        <f>ROW()-1&amp;"_AltersInvert"</f>
        <v>2240_AltersInvert</v>
      </c>
      <c r="C2241" t="str">
        <f>D2241&amp;"_"&amp;
SUBSTITUTE(TRIM(V2241)," ","_")&amp;"_"&amp;
TRIM(AC2241)&amp;"_"&amp;
"CO2"&amp;TEXT(AN2241,"0.00")&amp;"_"&amp;
"pH"&amp;TEXT(AR2241,"0.00")&amp;"_"&amp;
"T"&amp;TEXT(BC2241,"0.##")</f>
        <v>16_Hyas_araneus_LARVA_CO2354.00_pH8.11_T3.</v>
      </c>
      <c r="D2241">
        <v>16</v>
      </c>
      <c r="E2241"/>
      <c r="F2241"/>
      <c r="G2241" t="s">
        <v>43</v>
      </c>
      <c r="H2241" t="s">
        <v>243</v>
      </c>
      <c r="I2241"/>
      <c r="J2241">
        <v>2010</v>
      </c>
      <c r="K2241"/>
      <c r="L2241"/>
      <c r="M2241" t="s">
        <v>244</v>
      </c>
      <c r="N2241"/>
      <c r="O2241"/>
      <c r="P2241" t="s">
        <v>1135</v>
      </c>
      <c r="Q2241"/>
      <c r="R2241" t="s">
        <v>1127</v>
      </c>
      <c r="S2241" t="s">
        <v>1128</v>
      </c>
      <c r="T2241" t="s">
        <v>131</v>
      </c>
      <c r="U2241" t="s">
        <v>245</v>
      </c>
      <c r="V2241" t="s">
        <v>246</v>
      </c>
      <c r="W2241"/>
      <c r="X2241"/>
      <c r="Y2241"/>
      <c r="Z2241" t="s">
        <v>49</v>
      </c>
      <c r="AA2241" t="s">
        <v>49</v>
      </c>
      <c r="AB2241" t="s">
        <v>71</v>
      </c>
      <c r="AC2241" t="s">
        <v>72</v>
      </c>
      <c r="AD2241" t="s">
        <v>52</v>
      </c>
      <c r="AE2241" t="s">
        <v>53</v>
      </c>
      <c r="AF2241" t="s">
        <v>52</v>
      </c>
      <c r="AG2241" t="s">
        <v>54</v>
      </c>
      <c r="AH2241" t="s">
        <v>55</v>
      </c>
      <c r="AI2241"/>
      <c r="AJ2241"/>
      <c r="AK2241">
        <v>10</v>
      </c>
      <c r="AL2241">
        <v>10</v>
      </c>
      <c r="AM2241"/>
      <c r="AN2241">
        <v>354</v>
      </c>
      <c r="AO2241" t="s">
        <v>56</v>
      </c>
      <c r="AP2241">
        <v>65</v>
      </c>
      <c r="AQ2241" t="s">
        <v>56</v>
      </c>
      <c r="AR2241">
        <v>8.11</v>
      </c>
      <c r="AS2241" t="s">
        <v>56</v>
      </c>
      <c r="AT2241">
        <v>0.05</v>
      </c>
      <c r="AU2241">
        <v>2378</v>
      </c>
      <c r="AV2241" t="s">
        <v>56</v>
      </c>
      <c r="AW2241">
        <v>164</v>
      </c>
      <c r="AX2241">
        <v>7.33</v>
      </c>
      <c r="AY2241" t="s">
        <v>56</v>
      </c>
      <c r="AZ2241" t="s">
        <v>56</v>
      </c>
      <c r="BA2241"/>
      <c r="BB2241">
        <f>LOG(AU2241)</f>
        <v>3.3762118502826728</v>
      </c>
      <c r="BC2241">
        <v>3</v>
      </c>
      <c r="BD2241" t="s">
        <v>56</v>
      </c>
      <c r="BE2241" t="s">
        <v>56</v>
      </c>
      <c r="BF2241">
        <v>3</v>
      </c>
      <c r="BG2241" t="s">
        <v>56</v>
      </c>
      <c r="BH2241" t="s">
        <v>56</v>
      </c>
      <c r="BI2241">
        <v>2024</v>
      </c>
      <c r="BJ2241">
        <v>0</v>
      </c>
      <c r="BK2241" t="s">
        <v>247</v>
      </c>
      <c r="BL2241" t="s">
        <v>252</v>
      </c>
      <c r="BM2241" t="s">
        <v>253</v>
      </c>
      <c r="BN2241" t="s">
        <v>81</v>
      </c>
      <c r="BO2241" t="s">
        <v>254</v>
      </c>
      <c r="BP2241" t="s">
        <v>92</v>
      </c>
      <c r="BQ2241" t="s">
        <v>92</v>
      </c>
      <c r="BR2241" t="s">
        <v>63</v>
      </c>
      <c r="BS2241"/>
      <c r="BT2241">
        <v>356.48</v>
      </c>
      <c r="BU2241">
        <v>356.48</v>
      </c>
      <c r="BV2241">
        <v>22.54</v>
      </c>
      <c r="BW2241">
        <f>BV2241*SQRT(AK2241)</f>
        <v>71.277738460195266</v>
      </c>
      <c r="BX2241">
        <v>233.33</v>
      </c>
      <c r="BY2241">
        <v>233.33</v>
      </c>
      <c r="BZ2241">
        <v>24.56</v>
      </c>
      <c r="CA2241">
        <f>BZ2241*SQRT(AL2241)</f>
        <v>77.665539333735396</v>
      </c>
      <c r="CB2241">
        <v>120</v>
      </c>
      <c r="CC2241">
        <v>7</v>
      </c>
      <c r="CD2241">
        <v>-0.42399999999999999</v>
      </c>
      <c r="CE2241">
        <v>1.5100000000000001E-2</v>
      </c>
      <c r="CF2241"/>
    </row>
    <row r="2242" spans="1:84" s="8" customFormat="1" hidden="1" x14ac:dyDescent="0.2">
      <c r="A2242"/>
      <c r="B2242" t="str">
        <f>ROW()-1&amp;"_AltersInvert"</f>
        <v>2241_AltersInvert</v>
      </c>
      <c r="C2242" t="str">
        <f>D2242&amp;"_"&amp;
SUBSTITUTE(TRIM(V2242)," ","_")&amp;"_"&amp;
TRIM(AC2242)&amp;"_"&amp;
"CO2"&amp;TEXT(AN2242,"0.00")&amp;"_"&amp;
"pH"&amp;TEXT(AR2242,"0.00")&amp;"_"&amp;
"T"&amp;TEXT(BC2242,"0.##")</f>
        <v>16_Hyas_araneus_LARVA_CO2354.00_pH8.11_T3.</v>
      </c>
      <c r="D2242">
        <v>16</v>
      </c>
      <c r="E2242"/>
      <c r="F2242"/>
      <c r="G2242" t="s">
        <v>43</v>
      </c>
      <c r="H2242" t="s">
        <v>243</v>
      </c>
      <c r="I2242"/>
      <c r="J2242">
        <v>2010</v>
      </c>
      <c r="K2242"/>
      <c r="L2242"/>
      <c r="M2242" t="s">
        <v>244</v>
      </c>
      <c r="N2242"/>
      <c r="O2242"/>
      <c r="P2242" t="s">
        <v>1135</v>
      </c>
      <c r="Q2242"/>
      <c r="R2242" t="s">
        <v>1127</v>
      </c>
      <c r="S2242" t="s">
        <v>1128</v>
      </c>
      <c r="T2242" t="s">
        <v>131</v>
      </c>
      <c r="U2242" t="s">
        <v>245</v>
      </c>
      <c r="V2242" t="s">
        <v>246</v>
      </c>
      <c r="W2242"/>
      <c r="X2242"/>
      <c r="Y2242"/>
      <c r="Z2242" t="s">
        <v>49</v>
      </c>
      <c r="AA2242" t="s">
        <v>49</v>
      </c>
      <c r="AB2242" t="s">
        <v>71</v>
      </c>
      <c r="AC2242" t="s">
        <v>72</v>
      </c>
      <c r="AD2242" t="s">
        <v>52</v>
      </c>
      <c r="AE2242" t="s">
        <v>53</v>
      </c>
      <c r="AF2242" t="s">
        <v>52</v>
      </c>
      <c r="AG2242" t="s">
        <v>54</v>
      </c>
      <c r="AH2242" t="s">
        <v>55</v>
      </c>
      <c r="AI2242"/>
      <c r="AJ2242"/>
      <c r="AK2242">
        <v>10</v>
      </c>
      <c r="AL2242">
        <v>10</v>
      </c>
      <c r="AM2242"/>
      <c r="AN2242">
        <v>354</v>
      </c>
      <c r="AO2242" t="s">
        <v>56</v>
      </c>
      <c r="AP2242">
        <v>65</v>
      </c>
      <c r="AQ2242" t="s">
        <v>56</v>
      </c>
      <c r="AR2242">
        <v>8.11</v>
      </c>
      <c r="AS2242" t="s">
        <v>56</v>
      </c>
      <c r="AT2242">
        <v>0.05</v>
      </c>
      <c r="AU2242">
        <v>754</v>
      </c>
      <c r="AV2242" t="s">
        <v>56</v>
      </c>
      <c r="AW2242">
        <v>37</v>
      </c>
      <c r="AX2242">
        <v>7.81</v>
      </c>
      <c r="AY2242" t="s">
        <v>56</v>
      </c>
      <c r="AZ2242" t="s">
        <v>56</v>
      </c>
      <c r="BA2242"/>
      <c r="BB2242">
        <f>LOG(AU2242)</f>
        <v>2.8773713458697738</v>
      </c>
      <c r="BC2242">
        <v>3</v>
      </c>
      <c r="BD2242" t="s">
        <v>56</v>
      </c>
      <c r="BE2242" t="s">
        <v>56</v>
      </c>
      <c r="BF2242">
        <v>3</v>
      </c>
      <c r="BG2242" t="s">
        <v>56</v>
      </c>
      <c r="BH2242" t="s">
        <v>56</v>
      </c>
      <c r="BI2242">
        <v>400</v>
      </c>
      <c r="BJ2242">
        <v>0</v>
      </c>
      <c r="BK2242" t="s">
        <v>247</v>
      </c>
      <c r="BL2242" t="s">
        <v>252</v>
      </c>
      <c r="BM2242" t="s">
        <v>253</v>
      </c>
      <c r="BN2242" t="s">
        <v>81</v>
      </c>
      <c r="BO2242" t="s">
        <v>254</v>
      </c>
      <c r="BP2242" t="s">
        <v>92</v>
      </c>
      <c r="BQ2242" t="s">
        <v>92</v>
      </c>
      <c r="BR2242" t="s">
        <v>63</v>
      </c>
      <c r="BS2242"/>
      <c r="BT2242">
        <v>356.48</v>
      </c>
      <c r="BU2242">
        <v>356.48</v>
      </c>
      <c r="BV2242">
        <v>22.54</v>
      </c>
      <c r="BW2242">
        <f>BV2242*SQRT(AK2242)</f>
        <v>71.277738460195266</v>
      </c>
      <c r="BX2242">
        <v>382.4</v>
      </c>
      <c r="BY2242">
        <v>382.4</v>
      </c>
      <c r="BZ2242">
        <v>26.44</v>
      </c>
      <c r="CA2242">
        <f>BZ2242*SQRT(AL2242)</f>
        <v>83.610621334851956</v>
      </c>
      <c r="CB2242">
        <v>120</v>
      </c>
      <c r="CC2242">
        <v>7</v>
      </c>
      <c r="CD2242">
        <v>7.0000000000000007E-2</v>
      </c>
      <c r="CE2242">
        <v>8.8000000000000005E-3</v>
      </c>
      <c r="CF2242"/>
    </row>
    <row r="2243" spans="1:84" s="8" customFormat="1" hidden="1" x14ac:dyDescent="0.2">
      <c r="A2243"/>
      <c r="B2243" t="str">
        <f>ROW()-1&amp;"_AltersInvert"</f>
        <v>2242_AltersInvert</v>
      </c>
      <c r="C2243" t="str">
        <f>D2243&amp;"_"&amp;
SUBSTITUTE(TRIM(V2243)," ","_")&amp;"_"&amp;
TRIM(AC2243)&amp;"_"&amp;
"CO2"&amp;TEXT(AN2243,"0.00")&amp;"_"&amp;
"pH"&amp;TEXT(AR2243,"0.00")&amp;"_"&amp;
"T"&amp;TEXT(BC2243,"0.##")</f>
        <v>16_Hyas_araneus_LARVA_CO2354.00_pH8.11_T3.</v>
      </c>
      <c r="D2243">
        <v>16</v>
      </c>
      <c r="E2243"/>
      <c r="F2243"/>
      <c r="G2243" t="s">
        <v>43</v>
      </c>
      <c r="H2243" t="s">
        <v>243</v>
      </c>
      <c r="I2243"/>
      <c r="J2243">
        <v>2010</v>
      </c>
      <c r="K2243"/>
      <c r="L2243"/>
      <c r="M2243" t="s">
        <v>244</v>
      </c>
      <c r="N2243"/>
      <c r="O2243"/>
      <c r="P2243" t="s">
        <v>1135</v>
      </c>
      <c r="Q2243"/>
      <c r="R2243" t="s">
        <v>1127</v>
      </c>
      <c r="S2243" t="s">
        <v>1128</v>
      </c>
      <c r="T2243" t="s">
        <v>131</v>
      </c>
      <c r="U2243" t="s">
        <v>245</v>
      </c>
      <c r="V2243" t="s">
        <v>246</v>
      </c>
      <c r="W2243"/>
      <c r="X2243"/>
      <c r="Y2243"/>
      <c r="Z2243" t="s">
        <v>49</v>
      </c>
      <c r="AA2243" t="s">
        <v>49</v>
      </c>
      <c r="AB2243" t="s">
        <v>71</v>
      </c>
      <c r="AC2243" t="s">
        <v>72</v>
      </c>
      <c r="AD2243" t="s">
        <v>52</v>
      </c>
      <c r="AE2243" t="s">
        <v>53</v>
      </c>
      <c r="AF2243" t="s">
        <v>54</v>
      </c>
      <c r="AG2243" t="s">
        <v>52</v>
      </c>
      <c r="AH2243" t="s">
        <v>65</v>
      </c>
      <c r="AI2243"/>
      <c r="AJ2243"/>
      <c r="AK2243">
        <v>10</v>
      </c>
      <c r="AL2243">
        <v>10</v>
      </c>
      <c r="AM2243"/>
      <c r="AN2243">
        <v>354</v>
      </c>
      <c r="AO2243" t="s">
        <v>56</v>
      </c>
      <c r="AP2243">
        <v>65</v>
      </c>
      <c r="AQ2243" t="s">
        <v>56</v>
      </c>
      <c r="AR2243">
        <v>8.11</v>
      </c>
      <c r="AS2243" t="s">
        <v>56</v>
      </c>
      <c r="AT2243">
        <v>0.05</v>
      </c>
      <c r="AU2243">
        <v>401</v>
      </c>
      <c r="AV2243" t="s">
        <v>56</v>
      </c>
      <c r="AW2243">
        <v>30</v>
      </c>
      <c r="AX2243">
        <v>8.0500000000000007</v>
      </c>
      <c r="AY2243" t="s">
        <v>56</v>
      </c>
      <c r="AZ2243" t="s">
        <v>56</v>
      </c>
      <c r="BA2243"/>
      <c r="BB2243">
        <f>LOG(AU2243)</f>
        <v>2.6031443726201822</v>
      </c>
      <c r="BC2243">
        <v>3</v>
      </c>
      <c r="BD2243" t="s">
        <v>56</v>
      </c>
      <c r="BE2243" t="s">
        <v>56</v>
      </c>
      <c r="BF2243">
        <v>15</v>
      </c>
      <c r="BG2243" t="s">
        <v>56</v>
      </c>
      <c r="BH2243" t="s">
        <v>56</v>
      </c>
      <c r="BI2243">
        <v>47</v>
      </c>
      <c r="BJ2243">
        <v>12</v>
      </c>
      <c r="BK2243" t="s">
        <v>247</v>
      </c>
      <c r="BL2243" t="s">
        <v>252</v>
      </c>
      <c r="BM2243" t="s">
        <v>253</v>
      </c>
      <c r="BN2243" t="s">
        <v>81</v>
      </c>
      <c r="BO2243" t="s">
        <v>254</v>
      </c>
      <c r="BP2243" t="s">
        <v>92</v>
      </c>
      <c r="BQ2243" t="s">
        <v>92</v>
      </c>
      <c r="BR2243" t="s">
        <v>63</v>
      </c>
      <c r="BS2243"/>
      <c r="BT2243">
        <v>356.48</v>
      </c>
      <c r="BU2243">
        <v>356.48</v>
      </c>
      <c r="BV2243">
        <v>22.54</v>
      </c>
      <c r="BW2243">
        <f>BV2243*SQRT(AK2243)</f>
        <v>71.277738460195266</v>
      </c>
      <c r="BX2243">
        <v>523.36</v>
      </c>
      <c r="BY2243">
        <v>523.36</v>
      </c>
      <c r="BZ2243">
        <v>20.440000000000001</v>
      </c>
      <c r="CA2243">
        <f>BZ2243*SQRT(AL2243)</f>
        <v>64.636955373841687</v>
      </c>
      <c r="CB2243">
        <v>20</v>
      </c>
      <c r="CC2243">
        <v>7</v>
      </c>
      <c r="CD2243">
        <v>0.38400000000000001</v>
      </c>
      <c r="CE2243">
        <v>5.4999999999999997E-3</v>
      </c>
      <c r="CF2243"/>
    </row>
    <row r="2244" spans="1:84" hidden="1" x14ac:dyDescent="0.2">
      <c r="B2244" t="str">
        <f>ROW()-1&amp;"_AltersInvert"</f>
        <v>2243_AltersInvert</v>
      </c>
      <c r="C2244" t="str">
        <f>D2244&amp;"_"&amp;
SUBSTITUTE(TRIM(V2244)," ","_")&amp;"_"&amp;
TRIM(AC2244)&amp;"_"&amp;
"CO2"&amp;TEXT(AN2244,"0.00")&amp;"_"&amp;
"pH"&amp;TEXT(AR2244,"0.00")&amp;"_"&amp;
"T"&amp;TEXT(BC2244,"0.##")</f>
        <v>16_Hyas_araneus_LARVA_CO2354.00_pH8.11_T3.</v>
      </c>
      <c r="D2244">
        <v>16</v>
      </c>
      <c r="G2244" t="s">
        <v>43</v>
      </c>
      <c r="H2244" t="s">
        <v>243</v>
      </c>
      <c r="J2244">
        <v>2010</v>
      </c>
      <c r="M2244" t="s">
        <v>244</v>
      </c>
      <c r="P2244" t="s">
        <v>1135</v>
      </c>
      <c r="R2244" t="s">
        <v>1127</v>
      </c>
      <c r="S2244" t="s">
        <v>1128</v>
      </c>
      <c r="T2244" t="s">
        <v>131</v>
      </c>
      <c r="U2244" t="s">
        <v>245</v>
      </c>
      <c r="V2244" t="s">
        <v>246</v>
      </c>
      <c r="Z2244" t="s">
        <v>49</v>
      </c>
      <c r="AA2244" t="s">
        <v>49</v>
      </c>
      <c r="AB2244" t="s">
        <v>71</v>
      </c>
      <c r="AC2244" t="s">
        <v>72</v>
      </c>
      <c r="AD2244" t="s">
        <v>52</v>
      </c>
      <c r="AE2244" t="s">
        <v>53</v>
      </c>
      <c r="AF2244" t="s">
        <v>54</v>
      </c>
      <c r="AG2244" t="s">
        <v>52</v>
      </c>
      <c r="AH2244" t="s">
        <v>65</v>
      </c>
      <c r="AK2244">
        <v>10</v>
      </c>
      <c r="AL2244">
        <v>10</v>
      </c>
      <c r="AN2244">
        <v>354</v>
      </c>
      <c r="AO2244" t="s">
        <v>56</v>
      </c>
      <c r="AP2244">
        <v>65</v>
      </c>
      <c r="AQ2244" t="s">
        <v>56</v>
      </c>
      <c r="AR2244">
        <v>8.11</v>
      </c>
      <c r="AS2244" t="s">
        <v>56</v>
      </c>
      <c r="AT2244">
        <v>0.05</v>
      </c>
      <c r="AU2244">
        <v>346</v>
      </c>
      <c r="AV2244" t="s">
        <v>56</v>
      </c>
      <c r="AW2244">
        <v>80</v>
      </c>
      <c r="AX2244">
        <v>8.1199999999999992</v>
      </c>
      <c r="AY2244" t="s">
        <v>56</v>
      </c>
      <c r="AZ2244" t="s">
        <v>56</v>
      </c>
      <c r="BB2244">
        <f>LOG(AU2244)</f>
        <v>2.5390760987927767</v>
      </c>
      <c r="BC2244">
        <v>3</v>
      </c>
      <c r="BD2244" t="s">
        <v>56</v>
      </c>
      <c r="BE2244" t="s">
        <v>56</v>
      </c>
      <c r="BF2244">
        <v>9</v>
      </c>
      <c r="BG2244" t="s">
        <v>56</v>
      </c>
      <c r="BH2244" t="s">
        <v>56</v>
      </c>
      <c r="BI2244">
        <v>-8</v>
      </c>
      <c r="BJ2244">
        <v>6</v>
      </c>
      <c r="BK2244" t="s">
        <v>247</v>
      </c>
      <c r="BL2244" t="s">
        <v>252</v>
      </c>
      <c r="BM2244" t="s">
        <v>253</v>
      </c>
      <c r="BN2244" t="s">
        <v>81</v>
      </c>
      <c r="BO2244" t="s">
        <v>254</v>
      </c>
      <c r="BP2244" t="s">
        <v>92</v>
      </c>
      <c r="BQ2244" t="s">
        <v>92</v>
      </c>
      <c r="BR2244" t="s">
        <v>63</v>
      </c>
      <c r="BT2244">
        <v>356.48</v>
      </c>
      <c r="BU2244">
        <v>356.48</v>
      </c>
      <c r="BV2244">
        <v>22.54</v>
      </c>
      <c r="BW2244">
        <f>BV2244*SQRT(AK2244)</f>
        <v>71.277738460195266</v>
      </c>
      <c r="BX2244">
        <v>577.98</v>
      </c>
      <c r="BY2244">
        <v>577.98</v>
      </c>
      <c r="BZ2244">
        <v>28.15</v>
      </c>
      <c r="CA2244">
        <f>BZ2244*SQRT(AL2244)</f>
        <v>89.018116133739881</v>
      </c>
      <c r="CB2244">
        <v>40</v>
      </c>
      <c r="CC2244">
        <v>7</v>
      </c>
      <c r="CD2244">
        <v>0.48299999999999998</v>
      </c>
      <c r="CE2244">
        <v>6.4000000000000003E-3</v>
      </c>
    </row>
    <row r="2245" spans="1:84" s="8" customFormat="1" hidden="1" x14ac:dyDescent="0.2">
      <c r="A2245"/>
      <c r="B2245" t="str">
        <f>ROW()-1&amp;"_AltersInvert"</f>
        <v>2244_AltersInvert</v>
      </c>
      <c r="C2245" t="str">
        <f>D2245&amp;"_"&amp;
SUBSTITUTE(TRIM(V2245)," ","_")&amp;"_"&amp;
TRIM(AC2245)&amp;"_"&amp;
"CO2"&amp;TEXT(AN2245,"0.00")&amp;"_"&amp;
"pH"&amp;TEXT(AR2245,"0.00")&amp;"_"&amp;
"T"&amp;TEXT(BC2245,"0.##")</f>
        <v>16_Hyas_araneus_LARVA_CO2354.00_pH8.11_T3.</v>
      </c>
      <c r="D2245">
        <v>16</v>
      </c>
      <c r="E2245"/>
      <c r="F2245"/>
      <c r="G2245" t="s">
        <v>43</v>
      </c>
      <c r="H2245" t="s">
        <v>243</v>
      </c>
      <c r="I2245"/>
      <c r="J2245">
        <v>2010</v>
      </c>
      <c r="K2245"/>
      <c r="L2245"/>
      <c r="M2245" t="s">
        <v>244</v>
      </c>
      <c r="N2245"/>
      <c r="O2245"/>
      <c r="P2245" t="s">
        <v>1135</v>
      </c>
      <c r="Q2245"/>
      <c r="R2245" t="s">
        <v>1127</v>
      </c>
      <c r="S2245" t="s">
        <v>1128</v>
      </c>
      <c r="T2245" t="s">
        <v>131</v>
      </c>
      <c r="U2245" t="s">
        <v>245</v>
      </c>
      <c r="V2245" t="s">
        <v>246</v>
      </c>
      <c r="W2245"/>
      <c r="X2245"/>
      <c r="Y2245"/>
      <c r="Z2245" t="s">
        <v>49</v>
      </c>
      <c r="AA2245" t="s">
        <v>49</v>
      </c>
      <c r="AB2245" t="s">
        <v>71</v>
      </c>
      <c r="AC2245" t="s">
        <v>72</v>
      </c>
      <c r="AD2245" t="s">
        <v>52</v>
      </c>
      <c r="AE2245" t="s">
        <v>53</v>
      </c>
      <c r="AF2245" t="s">
        <v>52</v>
      </c>
      <c r="AG2245" t="s">
        <v>52</v>
      </c>
      <c r="AH2245" t="s">
        <v>64</v>
      </c>
      <c r="AI2245"/>
      <c r="AJ2245"/>
      <c r="AK2245">
        <v>10</v>
      </c>
      <c r="AL2245">
        <v>10</v>
      </c>
      <c r="AM2245"/>
      <c r="AN2245">
        <v>354</v>
      </c>
      <c r="AO2245" t="s">
        <v>56</v>
      </c>
      <c r="AP2245">
        <v>65</v>
      </c>
      <c r="AQ2245" t="s">
        <v>56</v>
      </c>
      <c r="AR2245">
        <v>8.11</v>
      </c>
      <c r="AS2245" t="s">
        <v>56</v>
      </c>
      <c r="AT2245">
        <v>0.05</v>
      </c>
      <c r="AU2245">
        <v>2443</v>
      </c>
      <c r="AV2245" t="s">
        <v>56</v>
      </c>
      <c r="AW2245">
        <v>238</v>
      </c>
      <c r="AX2245">
        <v>7.35</v>
      </c>
      <c r="AY2245" t="s">
        <v>56</v>
      </c>
      <c r="AZ2245" t="s">
        <v>56</v>
      </c>
      <c r="BA2245"/>
      <c r="BB2245">
        <f>LOG(AU2245)</f>
        <v>3.3879234669734366</v>
      </c>
      <c r="BC2245">
        <v>3</v>
      </c>
      <c r="BD2245" t="s">
        <v>56</v>
      </c>
      <c r="BE2245" t="s">
        <v>56</v>
      </c>
      <c r="BF2245">
        <v>9</v>
      </c>
      <c r="BG2245" t="s">
        <v>56</v>
      </c>
      <c r="BH2245" t="s">
        <v>56</v>
      </c>
      <c r="BI2245">
        <v>2089</v>
      </c>
      <c r="BJ2245">
        <v>6</v>
      </c>
      <c r="BK2245" t="s">
        <v>247</v>
      </c>
      <c r="BL2245" t="s">
        <v>252</v>
      </c>
      <c r="BM2245" t="s">
        <v>253</v>
      </c>
      <c r="BN2245" t="s">
        <v>81</v>
      </c>
      <c r="BO2245" t="s">
        <v>254</v>
      </c>
      <c r="BP2245" t="s">
        <v>92</v>
      </c>
      <c r="BQ2245" t="s">
        <v>92</v>
      </c>
      <c r="BR2245" t="s">
        <v>63</v>
      </c>
      <c r="BS2245"/>
      <c r="BT2245">
        <v>356.48</v>
      </c>
      <c r="BU2245">
        <v>356.48</v>
      </c>
      <c r="BV2245">
        <v>22.54</v>
      </c>
      <c r="BW2245">
        <f>BV2245*SQRT(AK2245)</f>
        <v>71.277738460195266</v>
      </c>
      <c r="BX2245">
        <v>398.16</v>
      </c>
      <c r="BY2245">
        <v>398.16</v>
      </c>
      <c r="BZ2245">
        <v>56.55</v>
      </c>
      <c r="CA2245">
        <f>BZ2245*SQRT(AL2245)</f>
        <v>178.82680168252185</v>
      </c>
      <c r="CB2245">
        <v>40</v>
      </c>
      <c r="CC2245">
        <v>7</v>
      </c>
      <c r="CD2245">
        <v>0.111</v>
      </c>
      <c r="CE2245">
        <v>2.4199999999999999E-2</v>
      </c>
      <c r="CF2245"/>
    </row>
    <row r="2246" spans="1:84" hidden="1" x14ac:dyDescent="0.2">
      <c r="B2246" t="str">
        <f>ROW()-1&amp;"_AltersInvert"</f>
        <v>2245_AltersInvert</v>
      </c>
      <c r="C2246" t="str">
        <f>D2246&amp;"_"&amp;
SUBSTITUTE(TRIM(V2246)," ","_")&amp;"_"&amp;
TRIM(AC2246)&amp;"_"&amp;
"CO2"&amp;TEXT(AN2246,"0.00")&amp;"_"&amp;
"pH"&amp;TEXT(AR2246,"0.00")&amp;"_"&amp;
"T"&amp;TEXT(BC2246,"0.##")</f>
        <v>16_Hyas_araneus_LARVA_CO2354.00_pH8.11_T3.</v>
      </c>
      <c r="D2246">
        <v>16</v>
      </c>
      <c r="G2246" t="s">
        <v>43</v>
      </c>
      <c r="H2246" t="s">
        <v>243</v>
      </c>
      <c r="J2246">
        <v>2010</v>
      </c>
      <c r="M2246" t="s">
        <v>244</v>
      </c>
      <c r="P2246" t="s">
        <v>1135</v>
      </c>
      <c r="R2246" t="s">
        <v>1127</v>
      </c>
      <c r="S2246" t="s">
        <v>1128</v>
      </c>
      <c r="T2246" t="s">
        <v>131</v>
      </c>
      <c r="U2246" t="s">
        <v>245</v>
      </c>
      <c r="V2246" t="s">
        <v>246</v>
      </c>
      <c r="Z2246" t="s">
        <v>49</v>
      </c>
      <c r="AA2246" t="s">
        <v>49</v>
      </c>
      <c r="AB2246" t="s">
        <v>71</v>
      </c>
      <c r="AC2246" t="s">
        <v>72</v>
      </c>
      <c r="AD2246" t="s">
        <v>52</v>
      </c>
      <c r="AE2246" t="s">
        <v>53</v>
      </c>
      <c r="AF2246" t="s">
        <v>52</v>
      </c>
      <c r="AG2246" t="s">
        <v>52</v>
      </c>
      <c r="AH2246" t="s">
        <v>64</v>
      </c>
      <c r="AK2246">
        <v>10</v>
      </c>
      <c r="AL2246">
        <v>10</v>
      </c>
      <c r="AN2246">
        <v>354</v>
      </c>
      <c r="AO2246" t="s">
        <v>56</v>
      </c>
      <c r="AP2246">
        <v>65</v>
      </c>
      <c r="AQ2246" t="s">
        <v>56</v>
      </c>
      <c r="AR2246">
        <v>8.11</v>
      </c>
      <c r="AS2246" t="s">
        <v>56</v>
      </c>
      <c r="AT2246">
        <v>0.05</v>
      </c>
      <c r="AU2246">
        <v>2637</v>
      </c>
      <c r="AV2246" t="s">
        <v>56</v>
      </c>
      <c r="AW2246">
        <v>160</v>
      </c>
      <c r="AX2246">
        <v>7.34</v>
      </c>
      <c r="AY2246" t="s">
        <v>56</v>
      </c>
      <c r="AZ2246" t="s">
        <v>56</v>
      </c>
      <c r="BB2246">
        <f>LOG(AU2246)</f>
        <v>3.4211101297934343</v>
      </c>
      <c r="BC2246">
        <v>3</v>
      </c>
      <c r="BD2246" t="s">
        <v>56</v>
      </c>
      <c r="BE2246" t="s">
        <v>56</v>
      </c>
      <c r="BF2246">
        <v>15</v>
      </c>
      <c r="BG2246" t="s">
        <v>56</v>
      </c>
      <c r="BH2246" t="s">
        <v>56</v>
      </c>
      <c r="BI2246">
        <v>2283</v>
      </c>
      <c r="BJ2246">
        <v>12</v>
      </c>
      <c r="BK2246" t="s">
        <v>247</v>
      </c>
      <c r="BL2246" t="s">
        <v>252</v>
      </c>
      <c r="BM2246" t="s">
        <v>253</v>
      </c>
      <c r="BN2246" t="s">
        <v>81</v>
      </c>
      <c r="BO2246" t="s">
        <v>254</v>
      </c>
      <c r="BP2246" t="s">
        <v>92</v>
      </c>
      <c r="BQ2246" t="s">
        <v>92</v>
      </c>
      <c r="BR2246" t="s">
        <v>63</v>
      </c>
      <c r="BT2246">
        <v>356.48</v>
      </c>
      <c r="BU2246">
        <v>356.48</v>
      </c>
      <c r="BV2246">
        <v>22.54</v>
      </c>
      <c r="BW2246">
        <f>BV2246*SQRT(AK2246)</f>
        <v>71.277738460195266</v>
      </c>
      <c r="BX2246">
        <v>457.94</v>
      </c>
      <c r="BY2246">
        <v>457.94</v>
      </c>
      <c r="BZ2246">
        <v>32.909999999999997</v>
      </c>
      <c r="CA2246">
        <f>BZ2246*SQRT(AL2246)</f>
        <v>104.07055779614136</v>
      </c>
      <c r="CB2246">
        <v>20</v>
      </c>
      <c r="CC2246">
        <v>7</v>
      </c>
      <c r="CD2246">
        <v>0.25</v>
      </c>
      <c r="CE2246">
        <v>9.1999999999999998E-3</v>
      </c>
    </row>
    <row r="2247" spans="1:84" s="8" customFormat="1" hidden="1" x14ac:dyDescent="0.2">
      <c r="A2247"/>
      <c r="B2247" t="str">
        <f>ROW()-1&amp;"_AltersInvert"</f>
        <v>2246_AltersInvert</v>
      </c>
      <c r="C2247" t="str">
        <f>D2247&amp;"_"&amp;
SUBSTITUTE(TRIM(V2247)," ","_")&amp;"_"&amp;
TRIM(AC2247)&amp;"_"&amp;
"CO2"&amp;TEXT(AN2247,"0.00")&amp;"_"&amp;
"pH"&amp;TEXT(AR2247,"0.00")&amp;"_"&amp;
"T"&amp;TEXT(BC2247,"0.##")</f>
        <v>16_Hyas_araneus_LARVA_CO2354.00_pH8.11_T3.</v>
      </c>
      <c r="D2247">
        <v>16</v>
      </c>
      <c r="E2247"/>
      <c r="F2247"/>
      <c r="G2247" t="s">
        <v>43</v>
      </c>
      <c r="H2247" t="s">
        <v>243</v>
      </c>
      <c r="I2247"/>
      <c r="J2247">
        <v>2010</v>
      </c>
      <c r="K2247"/>
      <c r="L2247"/>
      <c r="M2247" t="s">
        <v>244</v>
      </c>
      <c r="N2247"/>
      <c r="O2247"/>
      <c r="P2247" t="s">
        <v>1135</v>
      </c>
      <c r="Q2247"/>
      <c r="R2247" t="s">
        <v>1127</v>
      </c>
      <c r="S2247" t="s">
        <v>1128</v>
      </c>
      <c r="T2247" t="s">
        <v>131</v>
      </c>
      <c r="U2247" t="s">
        <v>245</v>
      </c>
      <c r="V2247" t="s">
        <v>246</v>
      </c>
      <c r="W2247"/>
      <c r="X2247"/>
      <c r="Y2247"/>
      <c r="Z2247" t="s">
        <v>49</v>
      </c>
      <c r="AA2247" t="s">
        <v>49</v>
      </c>
      <c r="AB2247" t="s">
        <v>71</v>
      </c>
      <c r="AC2247" t="s">
        <v>72</v>
      </c>
      <c r="AD2247" t="s">
        <v>52</v>
      </c>
      <c r="AE2247" t="s">
        <v>53</v>
      </c>
      <c r="AF2247" t="s">
        <v>52</v>
      </c>
      <c r="AG2247" t="s">
        <v>52</v>
      </c>
      <c r="AH2247" t="s">
        <v>64</v>
      </c>
      <c r="AI2247"/>
      <c r="AJ2247"/>
      <c r="AK2247">
        <v>10</v>
      </c>
      <c r="AL2247">
        <v>10</v>
      </c>
      <c r="AM2247"/>
      <c r="AN2247">
        <v>354</v>
      </c>
      <c r="AO2247" t="s">
        <v>56</v>
      </c>
      <c r="AP2247">
        <v>65</v>
      </c>
      <c r="AQ2247" t="s">
        <v>56</v>
      </c>
      <c r="AR2247">
        <v>8.11</v>
      </c>
      <c r="AS2247" t="s">
        <v>56</v>
      </c>
      <c r="AT2247">
        <v>0.05</v>
      </c>
      <c r="AU2247">
        <v>786</v>
      </c>
      <c r="AV2247" t="s">
        <v>56</v>
      </c>
      <c r="AW2247">
        <v>54</v>
      </c>
      <c r="AX2247">
        <v>7.81</v>
      </c>
      <c r="AY2247" t="s">
        <v>56</v>
      </c>
      <c r="AZ2247" t="s">
        <v>56</v>
      </c>
      <c r="BA2247"/>
      <c r="BB2247">
        <f>LOG(AU2247)</f>
        <v>2.8954225460394079</v>
      </c>
      <c r="BC2247">
        <v>3</v>
      </c>
      <c r="BD2247" t="s">
        <v>56</v>
      </c>
      <c r="BE2247" t="s">
        <v>56</v>
      </c>
      <c r="BF2247">
        <v>9</v>
      </c>
      <c r="BG2247" t="s">
        <v>56</v>
      </c>
      <c r="BH2247" t="s">
        <v>56</v>
      </c>
      <c r="BI2247">
        <v>432</v>
      </c>
      <c r="BJ2247">
        <v>6</v>
      </c>
      <c r="BK2247" t="s">
        <v>247</v>
      </c>
      <c r="BL2247" t="s">
        <v>252</v>
      </c>
      <c r="BM2247" t="s">
        <v>253</v>
      </c>
      <c r="BN2247" t="s">
        <v>81</v>
      </c>
      <c r="BO2247" t="s">
        <v>254</v>
      </c>
      <c r="BP2247" t="s">
        <v>92</v>
      </c>
      <c r="BQ2247" t="s">
        <v>92</v>
      </c>
      <c r="BR2247" t="s">
        <v>63</v>
      </c>
      <c r="BS2247"/>
      <c r="BT2247">
        <v>356.48</v>
      </c>
      <c r="BU2247">
        <v>356.48</v>
      </c>
      <c r="BV2247">
        <v>22.54</v>
      </c>
      <c r="BW2247">
        <f>BV2247*SQRT(AK2247)</f>
        <v>71.277738460195266</v>
      </c>
      <c r="BX2247">
        <v>513.76</v>
      </c>
      <c r="BY2247">
        <v>513.76</v>
      </c>
      <c r="BZ2247">
        <v>40.549999999999997</v>
      </c>
      <c r="CA2247">
        <f>BZ2247*SQRT(AL2247)</f>
        <v>128.23035911982777</v>
      </c>
      <c r="CB2247">
        <v>40</v>
      </c>
      <c r="CC2247">
        <v>7</v>
      </c>
      <c r="CD2247">
        <v>0.36499999999999999</v>
      </c>
      <c r="CE2247">
        <v>1.0200000000000001E-2</v>
      </c>
      <c r="CF2247"/>
    </row>
    <row r="2248" spans="1:84" s="8" customFormat="1" hidden="1" x14ac:dyDescent="0.2">
      <c r="A2248"/>
      <c r="B2248" t="str">
        <f>ROW()-1&amp;"_AltersInvert"</f>
        <v>2247_AltersInvert</v>
      </c>
      <c r="C2248" t="str">
        <f>D2248&amp;"_"&amp;
SUBSTITUTE(TRIM(V2248)," ","_")&amp;"_"&amp;
TRIM(AC2248)&amp;"_"&amp;
"CO2"&amp;TEXT(AN2248,"0.00")&amp;"_"&amp;
"pH"&amp;TEXT(AR2248,"0.00")&amp;"_"&amp;
"T"&amp;TEXT(BC2248,"0.##")</f>
        <v>16_Hyas_araneus_LARVA_CO2354.00_pH8.11_T3.</v>
      </c>
      <c r="D2248">
        <v>16</v>
      </c>
      <c r="E2248"/>
      <c r="F2248"/>
      <c r="G2248" t="s">
        <v>43</v>
      </c>
      <c r="H2248" t="s">
        <v>243</v>
      </c>
      <c r="I2248"/>
      <c r="J2248">
        <v>2010</v>
      </c>
      <c r="K2248"/>
      <c r="L2248"/>
      <c r="M2248" t="s">
        <v>244</v>
      </c>
      <c r="N2248"/>
      <c r="O2248"/>
      <c r="P2248" t="s">
        <v>1135</v>
      </c>
      <c r="Q2248"/>
      <c r="R2248" t="s">
        <v>1127</v>
      </c>
      <c r="S2248" t="s">
        <v>1128</v>
      </c>
      <c r="T2248" t="s">
        <v>131</v>
      </c>
      <c r="U2248" t="s">
        <v>245</v>
      </c>
      <c r="V2248" t="s">
        <v>246</v>
      </c>
      <c r="W2248"/>
      <c r="X2248"/>
      <c r="Y2248"/>
      <c r="Z2248" t="s">
        <v>49</v>
      </c>
      <c r="AA2248" t="s">
        <v>49</v>
      </c>
      <c r="AB2248" t="s">
        <v>71</v>
      </c>
      <c r="AC2248" t="s">
        <v>72</v>
      </c>
      <c r="AD2248" t="s">
        <v>52</v>
      </c>
      <c r="AE2248" t="s">
        <v>53</v>
      </c>
      <c r="AF2248" t="s">
        <v>52</v>
      </c>
      <c r="AG2248" t="s">
        <v>52</v>
      </c>
      <c r="AH2248" t="s">
        <v>64</v>
      </c>
      <c r="AI2248"/>
      <c r="AJ2248"/>
      <c r="AK2248">
        <v>10</v>
      </c>
      <c r="AL2248">
        <v>10</v>
      </c>
      <c r="AM2248"/>
      <c r="AN2248">
        <v>354</v>
      </c>
      <c r="AO2248" t="s">
        <v>56</v>
      </c>
      <c r="AP2248">
        <v>65</v>
      </c>
      <c r="AQ2248" t="s">
        <v>56</v>
      </c>
      <c r="AR2248">
        <v>8.11</v>
      </c>
      <c r="AS2248" t="s">
        <v>56</v>
      </c>
      <c r="AT2248">
        <v>0.05</v>
      </c>
      <c r="AU2248">
        <v>846</v>
      </c>
      <c r="AV2248" t="s">
        <v>56</v>
      </c>
      <c r="AW2248">
        <v>42</v>
      </c>
      <c r="AX2248">
        <v>7.79</v>
      </c>
      <c r="AY2248" t="s">
        <v>56</v>
      </c>
      <c r="AZ2248" t="s">
        <v>56</v>
      </c>
      <c r="BA2248"/>
      <c r="BB2248">
        <f>LOG(AU2248)</f>
        <v>2.9273703630390235</v>
      </c>
      <c r="BC2248">
        <v>3</v>
      </c>
      <c r="BD2248" t="s">
        <v>56</v>
      </c>
      <c r="BE2248" t="s">
        <v>56</v>
      </c>
      <c r="BF2248">
        <v>15</v>
      </c>
      <c r="BG2248" t="s">
        <v>56</v>
      </c>
      <c r="BH2248" t="s">
        <v>56</v>
      </c>
      <c r="BI2248">
        <v>492</v>
      </c>
      <c r="BJ2248">
        <v>12</v>
      </c>
      <c r="BK2248" t="s">
        <v>247</v>
      </c>
      <c r="BL2248" t="s">
        <v>252</v>
      </c>
      <c r="BM2248" t="s">
        <v>253</v>
      </c>
      <c r="BN2248" t="s">
        <v>81</v>
      </c>
      <c r="BO2248" t="s">
        <v>254</v>
      </c>
      <c r="BP2248" t="s">
        <v>92</v>
      </c>
      <c r="BQ2248" t="s">
        <v>92</v>
      </c>
      <c r="BR2248" t="s">
        <v>63</v>
      </c>
      <c r="BS2248"/>
      <c r="BT2248">
        <v>356.48</v>
      </c>
      <c r="BU2248">
        <v>356.48</v>
      </c>
      <c r="BV2248">
        <v>22.54</v>
      </c>
      <c r="BW2248">
        <f>BV2248*SQRT(AK2248)</f>
        <v>71.277738460195266</v>
      </c>
      <c r="BX2248">
        <v>549.53</v>
      </c>
      <c r="BY2248">
        <v>549.53</v>
      </c>
      <c r="BZ2248">
        <v>33.04</v>
      </c>
      <c r="CA2248">
        <f>BZ2248*SQRT(AL2248)</f>
        <v>104.48165389196326</v>
      </c>
      <c r="CB2248">
        <v>20</v>
      </c>
      <c r="CC2248">
        <v>7</v>
      </c>
      <c r="CD2248">
        <v>0.433</v>
      </c>
      <c r="CE2248">
        <v>7.6E-3</v>
      </c>
      <c r="CF2248"/>
    </row>
    <row r="2249" spans="1:84" s="8" customFormat="1" hidden="1" x14ac:dyDescent="0.2">
      <c r="B2249" t="str">
        <f>ROW()-1&amp;"_AltersInvert"</f>
        <v>2248_AltersInvert</v>
      </c>
      <c r="C2249" t="str">
        <f>D2249&amp;"_"&amp;
SUBSTITUTE(TRIM(V2249)," ","_")&amp;"_"&amp;
TRIM(AC2249)&amp;"_"&amp;
"CO2"&amp;TEXT(AN2249,"0.00")&amp;"_"&amp;
"pH"&amp;TEXT(AR2249,"0.00")&amp;"_"&amp;
"T"&amp;TEXT(BC2249,"0.##")</f>
        <v>58_Centrostephanus_rodgersii_EMBRYO_CO2468.00_pH8.10_T14.</v>
      </c>
      <c r="D2249" s="8">
        <v>58</v>
      </c>
      <c r="G2249" s="8" t="s">
        <v>43</v>
      </c>
      <c r="H2249" s="8" t="s">
        <v>569</v>
      </c>
      <c r="I2249" s="8" t="s">
        <v>1130</v>
      </c>
      <c r="J2249" s="8">
        <v>2014</v>
      </c>
      <c r="M2249" s="8" t="s">
        <v>67</v>
      </c>
      <c r="P2249" t="s">
        <v>1135</v>
      </c>
      <c r="R2249" s="8" t="s">
        <v>1127</v>
      </c>
      <c r="S2249" t="s">
        <v>1128</v>
      </c>
      <c r="T2249" s="8" t="s">
        <v>46</v>
      </c>
      <c r="U2249" s="8" t="s">
        <v>570</v>
      </c>
      <c r="V2249" s="8" t="s">
        <v>571</v>
      </c>
      <c r="W2249" s="8" t="str">
        <f>IF(ISNUMBER(MATCH(#REF!,{"Doryteuthis pealeii","Loligo vulgaris","Leptuca thayeri","Stylocheilus striatus","Ophryotrocha labronica"},0)),"N","Y")</f>
        <v>Y</v>
      </c>
      <c r="Z2249" s="8" t="s">
        <v>177</v>
      </c>
      <c r="AA2249" s="8" t="s">
        <v>177</v>
      </c>
      <c r="AB2249" s="8" t="s">
        <v>71</v>
      </c>
      <c r="AC2249" s="8" t="s">
        <v>195</v>
      </c>
      <c r="AD2249" s="8" t="s">
        <v>52</v>
      </c>
      <c r="AE2249" s="8" t="s">
        <v>53</v>
      </c>
      <c r="AF2249" s="8" t="s">
        <v>52</v>
      </c>
      <c r="AG2249" s="8" t="s">
        <v>54</v>
      </c>
      <c r="AH2249" s="8" t="s">
        <v>55</v>
      </c>
      <c r="AK2249" s="8">
        <v>200</v>
      </c>
      <c r="AL2249" s="8">
        <v>200</v>
      </c>
      <c r="AN2249" s="8">
        <v>468</v>
      </c>
      <c r="AO2249" s="8" t="s">
        <v>56</v>
      </c>
      <c r="AP2249" s="8" t="s">
        <v>56</v>
      </c>
      <c r="AQ2249" s="8" t="s">
        <v>118</v>
      </c>
      <c r="AR2249" s="8">
        <v>8.1</v>
      </c>
      <c r="AS2249" s="8" t="s">
        <v>56</v>
      </c>
      <c r="AT2249" s="8">
        <v>0.02</v>
      </c>
      <c r="AU2249" s="8">
        <v>6238</v>
      </c>
      <c r="AV2249" t="s">
        <v>56</v>
      </c>
      <c r="AW2249" t="s">
        <v>56</v>
      </c>
      <c r="AX2249">
        <v>7.04</v>
      </c>
      <c r="AY2249" t="s">
        <v>56</v>
      </c>
      <c r="AZ2249" t="s">
        <v>56</v>
      </c>
      <c r="BB2249" s="8">
        <f>LOG(AU2249)</f>
        <v>3.7950453704211249</v>
      </c>
      <c r="BC2249" s="8">
        <v>14</v>
      </c>
      <c r="BD2249" s="8" t="s">
        <v>56</v>
      </c>
      <c r="BE2249" s="8" t="s">
        <v>56</v>
      </c>
      <c r="BF2249" s="8">
        <v>14</v>
      </c>
      <c r="BG2249" s="8" t="s">
        <v>56</v>
      </c>
      <c r="BH2249" s="8" t="s">
        <v>56</v>
      </c>
      <c r="BI2249" s="8">
        <v>5769</v>
      </c>
      <c r="BJ2249" s="8">
        <v>0</v>
      </c>
      <c r="BK2249" s="8" t="s">
        <v>574</v>
      </c>
      <c r="BL2249" s="8" t="s">
        <v>196</v>
      </c>
      <c r="BM2249" s="8" t="s">
        <v>197</v>
      </c>
      <c r="BN2249" s="8" t="s">
        <v>81</v>
      </c>
      <c r="BO2249" s="8" t="s">
        <v>82</v>
      </c>
      <c r="BP2249" s="8" t="s">
        <v>83</v>
      </c>
      <c r="BQ2249" s="8" t="s">
        <v>190</v>
      </c>
      <c r="BR2249" s="8" t="s">
        <v>84</v>
      </c>
      <c r="BT2249" s="8">
        <v>36.25</v>
      </c>
      <c r="BU2249" s="8">
        <v>36.248415999999999</v>
      </c>
      <c r="BV2249" s="8">
        <v>5.32</v>
      </c>
      <c r="BW2249" s="8">
        <f>BV2249*SQRT(AK2249)</f>
        <v>75.236161518248664</v>
      </c>
      <c r="BX2249" s="8">
        <v>3.68</v>
      </c>
      <c r="BY2249" s="8">
        <v>3.6755387000000002</v>
      </c>
      <c r="BZ2249" s="8">
        <v>2.92</v>
      </c>
      <c r="CA2249" s="8">
        <f>BZ2249*SQRT(AL2249)</f>
        <v>41.295036021294379</v>
      </c>
      <c r="CB2249" s="8">
        <v>1</v>
      </c>
      <c r="CC2249" s="8">
        <v>4</v>
      </c>
      <c r="CD2249" s="8">
        <v>-2.2890000000000001</v>
      </c>
      <c r="CE2249" s="8">
        <v>0.65059999999999996</v>
      </c>
      <c r="CF2249" s="8" t="s">
        <v>1134</v>
      </c>
    </row>
    <row r="2250" spans="1:84" hidden="1" x14ac:dyDescent="0.2">
      <c r="D2250">
        <v>225</v>
      </c>
      <c r="G2250" t="s">
        <v>43</v>
      </c>
      <c r="H2250" t="s">
        <v>1032</v>
      </c>
      <c r="J2250">
        <v>2021</v>
      </c>
      <c r="M2250" t="s">
        <v>265</v>
      </c>
      <c r="T2250" t="s">
        <v>103</v>
      </c>
      <c r="U2250" t="s">
        <v>534</v>
      </c>
      <c r="V2250" t="s">
        <v>1033</v>
      </c>
      <c r="AC2250" t="s">
        <v>51</v>
      </c>
      <c r="AF2250" t="s">
        <v>52</v>
      </c>
      <c r="AG2250" t="s">
        <v>52</v>
      </c>
      <c r="AH2250" t="s">
        <v>64</v>
      </c>
      <c r="AK2250">
        <v>15</v>
      </c>
      <c r="AL2250">
        <v>15</v>
      </c>
      <c r="AN2250">
        <v>520</v>
      </c>
      <c r="AU2250">
        <v>1008</v>
      </c>
      <c r="BB2250">
        <f>LOG(AU2250)</f>
        <v>3.0034605321095067</v>
      </c>
      <c r="BC2250">
        <v>27.9</v>
      </c>
      <c r="BF2250">
        <v>32</v>
      </c>
      <c r="BI2250">
        <v>488</v>
      </c>
      <c r="BJ2250">
        <v>4.0999999999999996</v>
      </c>
      <c r="BL2250" t="s">
        <v>83</v>
      </c>
      <c r="BM2250" t="s">
        <v>83</v>
      </c>
      <c r="BN2250" t="s">
        <v>81</v>
      </c>
      <c r="BO2250" t="s">
        <v>82</v>
      </c>
      <c r="BP2250" t="s">
        <v>83</v>
      </c>
      <c r="BR2250" t="s">
        <v>84</v>
      </c>
      <c r="BT2250">
        <v>99.367588929999997</v>
      </c>
      <c r="BU2250">
        <v>99.367588999999995</v>
      </c>
      <c r="BV2250">
        <v>0</v>
      </c>
      <c r="BW2250">
        <f>BV2250*SQRT(AK2250)</f>
        <v>0</v>
      </c>
      <c r="BX2250">
        <v>66.039902130000002</v>
      </c>
      <c r="BY2250">
        <v>66.039902100000006</v>
      </c>
      <c r="BZ2250">
        <v>3.16</v>
      </c>
      <c r="CA2250">
        <f>BZ2250*SQRT(AL2250)</f>
        <v>12.238627374015438</v>
      </c>
      <c r="CB2250">
        <v>28</v>
      </c>
      <c r="CD2250">
        <v>-0.40899999999999997</v>
      </c>
      <c r="CE2250">
        <v>2.3E-3</v>
      </c>
    </row>
    <row r="2251" spans="1:84" hidden="1" x14ac:dyDescent="0.2">
      <c r="D2251">
        <v>225</v>
      </c>
      <c r="G2251" t="s">
        <v>43</v>
      </c>
      <c r="H2251" t="s">
        <v>1032</v>
      </c>
      <c r="J2251">
        <v>2021</v>
      </c>
      <c r="M2251" t="s">
        <v>265</v>
      </c>
      <c r="T2251" t="s">
        <v>103</v>
      </c>
      <c r="U2251" t="s">
        <v>534</v>
      </c>
      <c r="V2251" t="s">
        <v>1033</v>
      </c>
      <c r="AC2251" t="s">
        <v>51</v>
      </c>
      <c r="AF2251" t="s">
        <v>54</v>
      </c>
      <c r="AG2251" t="s">
        <v>52</v>
      </c>
      <c r="AH2251" t="s">
        <v>65</v>
      </c>
      <c r="AK2251">
        <v>15</v>
      </c>
      <c r="AL2251">
        <v>15</v>
      </c>
      <c r="AN2251">
        <v>520</v>
      </c>
      <c r="AU2251">
        <v>526</v>
      </c>
      <c r="BB2251">
        <f>LOG(AU2251)</f>
        <v>2.7209857441537393</v>
      </c>
      <c r="BC2251">
        <v>27.9</v>
      </c>
      <c r="BF2251">
        <v>32</v>
      </c>
      <c r="BI2251">
        <v>6</v>
      </c>
      <c r="BJ2251">
        <v>4.0999999999999996</v>
      </c>
      <c r="BL2251" t="s">
        <v>83</v>
      </c>
      <c r="BM2251" t="s">
        <v>83</v>
      </c>
      <c r="BN2251" t="s">
        <v>81</v>
      </c>
      <c r="BO2251" t="s">
        <v>82</v>
      </c>
      <c r="BP2251" t="s">
        <v>83</v>
      </c>
      <c r="BR2251" t="s">
        <v>84</v>
      </c>
      <c r="BT2251">
        <v>99.367588929999997</v>
      </c>
      <c r="BU2251">
        <v>99.367588999999995</v>
      </c>
      <c r="BV2251">
        <v>0</v>
      </c>
      <c r="BW2251">
        <f>BV2251*SQRT(AK2251)</f>
        <v>0</v>
      </c>
      <c r="BX2251">
        <v>66.540560889999995</v>
      </c>
      <c r="BY2251">
        <v>66.540560900000003</v>
      </c>
      <c r="BZ2251">
        <v>3.01</v>
      </c>
      <c r="CA2251">
        <f>BZ2251*SQRT(AL2251)</f>
        <v>11.657679872084325</v>
      </c>
      <c r="CB2251">
        <v>28</v>
      </c>
      <c r="CD2251">
        <v>-0.40100000000000002</v>
      </c>
      <c r="CE2251">
        <v>2E-3</v>
      </c>
    </row>
    <row r="2252" spans="1:84" s="8" customFormat="1" hidden="1" x14ac:dyDescent="0.2">
      <c r="B2252" t="str">
        <f>ROW()-1&amp;"_AltersInvert"</f>
        <v>2251_AltersInvert</v>
      </c>
      <c r="C2252" t="str">
        <f>D2252&amp;"_"&amp;
SUBSTITUTE(TRIM(V2252)," ","_")&amp;"_"&amp;
TRIM(AC2252)&amp;"_"&amp;
"CO2"&amp;TEXT(AN2252,"0.00")&amp;"_"&amp;
"pH"&amp;TEXT(AR2252,"0.00")&amp;"_"&amp;
"T"&amp;TEXT(BC2252,"0.##")</f>
        <v>58_Centrostephanus_rodgersii_EMBRYO_CO2468.00_pH8.10_T14.</v>
      </c>
      <c r="D2252" s="8">
        <v>58</v>
      </c>
      <c r="G2252" s="8" t="s">
        <v>43</v>
      </c>
      <c r="H2252" s="8" t="s">
        <v>569</v>
      </c>
      <c r="I2252" s="8" t="s">
        <v>1130</v>
      </c>
      <c r="J2252" s="8">
        <v>2014</v>
      </c>
      <c r="M2252" s="8" t="s">
        <v>67</v>
      </c>
      <c r="P2252" t="s">
        <v>1135</v>
      </c>
      <c r="R2252" s="8" t="s">
        <v>1127</v>
      </c>
      <c r="S2252" t="s">
        <v>1128</v>
      </c>
      <c r="T2252" s="8" t="s">
        <v>46</v>
      </c>
      <c r="U2252" s="8" t="s">
        <v>570</v>
      </c>
      <c r="V2252" s="8" t="s">
        <v>571</v>
      </c>
      <c r="W2252" s="8" t="str">
        <f>IF(ISNUMBER(MATCH(#REF!,{"Doryteuthis pealeii","Loligo vulgaris","Leptuca thayeri","Stylocheilus striatus","Ophryotrocha labronica"},0)),"N","Y")</f>
        <v>Y</v>
      </c>
      <c r="Z2252" s="8" t="s">
        <v>177</v>
      </c>
      <c r="AA2252" s="8" t="s">
        <v>177</v>
      </c>
      <c r="AB2252" s="8" t="s">
        <v>71</v>
      </c>
      <c r="AC2252" s="8" t="s">
        <v>195</v>
      </c>
      <c r="AD2252" s="8" t="s">
        <v>52</v>
      </c>
      <c r="AE2252" s="8" t="s">
        <v>53</v>
      </c>
      <c r="AF2252" s="8" t="s">
        <v>52</v>
      </c>
      <c r="AG2252" s="8" t="s">
        <v>54</v>
      </c>
      <c r="AH2252" s="8" t="s">
        <v>55</v>
      </c>
      <c r="AK2252" s="8">
        <v>200</v>
      </c>
      <c r="AL2252" s="8">
        <v>200</v>
      </c>
      <c r="AN2252" s="8">
        <v>468</v>
      </c>
      <c r="AO2252" s="8" t="s">
        <v>56</v>
      </c>
      <c r="AP2252" s="8" t="s">
        <v>56</v>
      </c>
      <c r="AQ2252" s="8" t="s">
        <v>118</v>
      </c>
      <c r="AR2252" s="8">
        <v>8.1</v>
      </c>
      <c r="AS2252" s="8" t="s">
        <v>56</v>
      </c>
      <c r="AT2252" s="8">
        <v>0.02</v>
      </c>
      <c r="AU2252" s="8">
        <v>1652</v>
      </c>
      <c r="AV2252" t="s">
        <v>56</v>
      </c>
      <c r="AW2252" t="s">
        <v>56</v>
      </c>
      <c r="AX2252">
        <v>7.6</v>
      </c>
      <c r="AY2252" t="s">
        <v>56</v>
      </c>
      <c r="AZ2252" t="s">
        <v>56</v>
      </c>
      <c r="BB2252" s="8">
        <f>LOG(AU2252)</f>
        <v>3.2180100429843632</v>
      </c>
      <c r="BC2252" s="8">
        <v>14</v>
      </c>
      <c r="BD2252" s="8" t="s">
        <v>56</v>
      </c>
      <c r="BE2252" s="8" t="s">
        <v>56</v>
      </c>
      <c r="BF2252" s="8">
        <v>14</v>
      </c>
      <c r="BG2252" s="8" t="s">
        <v>56</v>
      </c>
      <c r="BH2252" s="8" t="s">
        <v>56</v>
      </c>
      <c r="BI2252" s="8">
        <v>1183</v>
      </c>
      <c r="BJ2252" s="8">
        <v>0</v>
      </c>
      <c r="BK2252" s="8" t="s">
        <v>574</v>
      </c>
      <c r="BL2252" s="8" t="s">
        <v>196</v>
      </c>
      <c r="BM2252" s="8" t="s">
        <v>197</v>
      </c>
      <c r="BN2252" s="8" t="s">
        <v>81</v>
      </c>
      <c r="BO2252" s="8" t="s">
        <v>82</v>
      </c>
      <c r="BP2252" s="8" t="s">
        <v>83</v>
      </c>
      <c r="BQ2252" s="8" t="s">
        <v>9</v>
      </c>
      <c r="BR2252" s="8" t="s">
        <v>84</v>
      </c>
      <c r="BT2252" s="8">
        <v>36.25</v>
      </c>
      <c r="BU2252" s="8">
        <v>36.248415999999999</v>
      </c>
      <c r="BV2252" s="8">
        <v>5.32</v>
      </c>
      <c r="BW2252" s="8">
        <f>BV2252*SQRT(AK2252)</f>
        <v>75.236161518248664</v>
      </c>
      <c r="BX2252" s="8">
        <v>24.33</v>
      </c>
      <c r="BY2252" s="8">
        <v>24.3346008</v>
      </c>
      <c r="BZ2252" s="8">
        <v>3.68</v>
      </c>
      <c r="CA2252" s="8">
        <f>BZ2252*SQRT(AL2252)</f>
        <v>52.043059095329902</v>
      </c>
      <c r="CB2252" s="8">
        <v>1</v>
      </c>
      <c r="CC2252" s="8">
        <v>4</v>
      </c>
      <c r="CD2252" s="8">
        <v>-0.39800000000000002</v>
      </c>
      <c r="CE2252" s="8">
        <v>4.4400000000000002E-2</v>
      </c>
      <c r="CF2252" s="8" t="s">
        <v>1134</v>
      </c>
    </row>
    <row r="2253" spans="1:84" s="8" customFormat="1" hidden="1" x14ac:dyDescent="0.2">
      <c r="B2253" t="str">
        <f>ROW()-1&amp;"_AltersInvert"</f>
        <v>2252_AltersInvert</v>
      </c>
      <c r="C2253" t="str">
        <f>D2253&amp;"_"&amp;
SUBSTITUTE(TRIM(V2253)," ","_")&amp;"_"&amp;
TRIM(AC2253)&amp;"_"&amp;
"CO2"&amp;TEXT(AN2253,"0.00")&amp;"_"&amp;
"pH"&amp;TEXT(AR2253,"0.00")&amp;"_"&amp;
"T"&amp;TEXT(BC2253,"0.##")</f>
        <v>58_Centrostephanus_rodgersii_EMBRYO_CO2468.00_pH8.10_T14.</v>
      </c>
      <c r="D2253" s="8">
        <v>58</v>
      </c>
      <c r="G2253" s="8" t="s">
        <v>43</v>
      </c>
      <c r="H2253" s="8" t="s">
        <v>569</v>
      </c>
      <c r="I2253" s="8" t="s">
        <v>1130</v>
      </c>
      <c r="J2253" s="8">
        <v>2014</v>
      </c>
      <c r="M2253" s="8" t="s">
        <v>67</v>
      </c>
      <c r="P2253" t="s">
        <v>1135</v>
      </c>
      <c r="R2253" s="8" t="s">
        <v>1127</v>
      </c>
      <c r="S2253" t="s">
        <v>1128</v>
      </c>
      <c r="T2253" s="8" t="s">
        <v>46</v>
      </c>
      <c r="U2253" s="8" t="s">
        <v>570</v>
      </c>
      <c r="V2253" s="8" t="s">
        <v>571</v>
      </c>
      <c r="W2253" s="8" t="str">
        <f>IF(ISNUMBER(MATCH(#REF!,{"Doryteuthis pealeii","Loligo vulgaris","Leptuca thayeri","Stylocheilus striatus","Ophryotrocha labronica"},0)),"N","Y")</f>
        <v>Y</v>
      </c>
      <c r="Z2253" s="8" t="s">
        <v>177</v>
      </c>
      <c r="AA2253" s="8" t="s">
        <v>177</v>
      </c>
      <c r="AB2253" s="8" t="s">
        <v>71</v>
      </c>
      <c r="AC2253" s="8" t="s">
        <v>195</v>
      </c>
      <c r="AD2253" s="8" t="s">
        <v>52</v>
      </c>
      <c r="AE2253" s="8" t="s">
        <v>53</v>
      </c>
      <c r="AF2253" s="8" t="s">
        <v>52</v>
      </c>
      <c r="AG2253" s="8" t="s">
        <v>54</v>
      </c>
      <c r="AH2253" s="8" t="s">
        <v>55</v>
      </c>
      <c r="AK2253" s="8">
        <v>200</v>
      </c>
      <c r="AL2253" s="8">
        <v>200</v>
      </c>
      <c r="AN2253" s="8">
        <v>468</v>
      </c>
      <c r="AO2253" s="8" t="s">
        <v>56</v>
      </c>
      <c r="AP2253" s="8" t="s">
        <v>56</v>
      </c>
      <c r="AQ2253" s="8" t="s">
        <v>118</v>
      </c>
      <c r="AR2253" s="8">
        <v>8.1</v>
      </c>
      <c r="AS2253" s="8" t="s">
        <v>56</v>
      </c>
      <c r="AT2253" s="8">
        <v>0.02</v>
      </c>
      <c r="AU2253" s="8">
        <v>1011</v>
      </c>
      <c r="AV2253" t="s">
        <v>56</v>
      </c>
      <c r="AW2253" t="s">
        <v>56</v>
      </c>
      <c r="AX2253">
        <v>7.8</v>
      </c>
      <c r="AY2253" t="s">
        <v>56</v>
      </c>
      <c r="AZ2253" t="s">
        <v>56</v>
      </c>
      <c r="BB2253" s="8">
        <f>LOG(AU2253)</f>
        <v>3.0047511555910011</v>
      </c>
      <c r="BC2253" s="8">
        <v>14</v>
      </c>
      <c r="BD2253" s="8" t="s">
        <v>56</v>
      </c>
      <c r="BE2253" s="8" t="s">
        <v>56</v>
      </c>
      <c r="BF2253" s="8">
        <v>14</v>
      </c>
      <c r="BG2253" s="8" t="s">
        <v>56</v>
      </c>
      <c r="BH2253" s="8" t="s">
        <v>56</v>
      </c>
      <c r="BI2253" s="8">
        <v>542</v>
      </c>
      <c r="BJ2253" s="8">
        <v>0</v>
      </c>
      <c r="BK2253" s="8" t="s">
        <v>574</v>
      </c>
      <c r="BL2253" s="8" t="s">
        <v>196</v>
      </c>
      <c r="BM2253" s="8" t="s">
        <v>197</v>
      </c>
      <c r="BN2253" s="8" t="s">
        <v>81</v>
      </c>
      <c r="BO2253" s="8" t="s">
        <v>82</v>
      </c>
      <c r="BP2253" s="8" t="s">
        <v>83</v>
      </c>
      <c r="BQ2253" s="8" t="s">
        <v>9</v>
      </c>
      <c r="BR2253" s="8" t="s">
        <v>84</v>
      </c>
      <c r="BT2253" s="8">
        <v>36.25</v>
      </c>
      <c r="BU2253" s="8">
        <v>36.248415999999999</v>
      </c>
      <c r="BV2253" s="8">
        <v>5.32</v>
      </c>
      <c r="BW2253" s="8">
        <f>BV2253*SQRT(AK2253)</f>
        <v>75.236161518248664</v>
      </c>
      <c r="BX2253" s="8">
        <v>32.700000000000003</v>
      </c>
      <c r="BY2253" s="8">
        <v>32.699619800000001</v>
      </c>
      <c r="BZ2253" s="8">
        <v>5.07</v>
      </c>
      <c r="CA2253" s="8">
        <f>BZ2253*SQRT(AL2253)</f>
        <v>71.700627612315927</v>
      </c>
      <c r="CB2253" s="8">
        <v>1</v>
      </c>
      <c r="CC2253" s="8">
        <v>4</v>
      </c>
      <c r="CD2253" s="8">
        <v>-0.10299999999999999</v>
      </c>
      <c r="CE2253" s="8">
        <v>4.5600000000000002E-2</v>
      </c>
      <c r="CF2253" s="8" t="s">
        <v>1134</v>
      </c>
    </row>
    <row r="2254" spans="1:84" s="8" customFormat="1" hidden="1" x14ac:dyDescent="0.2">
      <c r="B2254" t="str">
        <f>ROW()-1&amp;"_AltersInvert"</f>
        <v>2253_AltersInvert</v>
      </c>
      <c r="C2254" t="str">
        <f>D2254&amp;"_"&amp;
SUBSTITUTE(TRIM(V2254)," ","_")&amp;"_"&amp;
TRIM(AC2254)&amp;"_"&amp;
"CO2"&amp;TEXT(AN2254,"0.00")&amp;"_"&amp;
"pH"&amp;TEXT(AR2254,"0.00")&amp;"_"&amp;
"T"&amp;TEXT(BC2254,"0.##")</f>
        <v>58_Centrostephanus_rodgersii_EMBRYO_CO2468.00_pH8.10_T14.</v>
      </c>
      <c r="D2254" s="8">
        <v>58</v>
      </c>
      <c r="G2254" s="8" t="s">
        <v>43</v>
      </c>
      <c r="H2254" s="8" t="s">
        <v>569</v>
      </c>
      <c r="I2254" s="8" t="s">
        <v>1130</v>
      </c>
      <c r="J2254" s="8">
        <v>2014</v>
      </c>
      <c r="M2254" s="8" t="s">
        <v>67</v>
      </c>
      <c r="P2254" t="s">
        <v>1135</v>
      </c>
      <c r="R2254" s="8" t="s">
        <v>1127</v>
      </c>
      <c r="S2254" t="s">
        <v>1128</v>
      </c>
      <c r="T2254" s="8" t="s">
        <v>46</v>
      </c>
      <c r="U2254" s="8" t="s">
        <v>570</v>
      </c>
      <c r="V2254" s="8" t="s">
        <v>571</v>
      </c>
      <c r="W2254" s="8" t="str">
        <f>IF(ISNUMBER(MATCH(V1648,{"Doryteuthis pealeii","Loligo vulgaris","Leptuca thayeri","Stylocheilus striatus","Ophryotrocha labronica"},0)),"N","Y")</f>
        <v>Y</v>
      </c>
      <c r="Z2254" s="8" t="s">
        <v>177</v>
      </c>
      <c r="AA2254" s="8" t="s">
        <v>177</v>
      </c>
      <c r="AB2254" s="8" t="s">
        <v>71</v>
      </c>
      <c r="AC2254" s="8" t="s">
        <v>195</v>
      </c>
      <c r="AD2254" s="8" t="s">
        <v>52</v>
      </c>
      <c r="AE2254" s="8" t="s">
        <v>53</v>
      </c>
      <c r="AF2254" s="8" t="s">
        <v>54</v>
      </c>
      <c r="AG2254" s="8" t="s">
        <v>52</v>
      </c>
      <c r="AH2254" s="8" t="s">
        <v>65</v>
      </c>
      <c r="AK2254" s="8">
        <v>200</v>
      </c>
      <c r="AL2254" s="8">
        <v>200</v>
      </c>
      <c r="AN2254" s="8">
        <v>468</v>
      </c>
      <c r="AO2254" s="8" t="s">
        <v>56</v>
      </c>
      <c r="AP2254" s="8" t="s">
        <v>56</v>
      </c>
      <c r="AQ2254" s="8" t="s">
        <v>118</v>
      </c>
      <c r="AR2254" s="8">
        <v>8.1</v>
      </c>
      <c r="AS2254" s="8" t="s">
        <v>56</v>
      </c>
      <c r="AT2254" s="8">
        <v>0.02</v>
      </c>
      <c r="AU2254" s="8">
        <v>478</v>
      </c>
      <c r="AV2254" t="s">
        <v>56</v>
      </c>
      <c r="AW2254" t="s">
        <v>56</v>
      </c>
      <c r="AX2254">
        <v>8.1</v>
      </c>
      <c r="AY2254" t="s">
        <v>56</v>
      </c>
      <c r="AZ2254" t="s">
        <v>56</v>
      </c>
      <c r="BB2254" s="8">
        <f>LOG(AU2254)</f>
        <v>2.6794278966121188</v>
      </c>
      <c r="BC2254" s="8">
        <v>14</v>
      </c>
      <c r="BD2254" s="8" t="s">
        <v>56</v>
      </c>
      <c r="BE2254" s="8" t="s">
        <v>56</v>
      </c>
      <c r="BF2254" s="8">
        <v>17</v>
      </c>
      <c r="BG2254" s="8" t="s">
        <v>56</v>
      </c>
      <c r="BH2254" s="8" t="s">
        <v>56</v>
      </c>
      <c r="BI2254" s="8">
        <v>10</v>
      </c>
      <c r="BJ2254" s="8">
        <v>3</v>
      </c>
      <c r="BK2254" s="8" t="s">
        <v>574</v>
      </c>
      <c r="BL2254" s="8" t="s">
        <v>196</v>
      </c>
      <c r="BM2254" s="8" t="s">
        <v>197</v>
      </c>
      <c r="BN2254" s="8" t="s">
        <v>81</v>
      </c>
      <c r="BO2254" s="8" t="s">
        <v>82</v>
      </c>
      <c r="BP2254" s="8" t="s">
        <v>83</v>
      </c>
      <c r="BQ2254" s="8" t="s">
        <v>190</v>
      </c>
      <c r="BR2254" s="8" t="s">
        <v>84</v>
      </c>
      <c r="BT2254" s="8">
        <v>36.25</v>
      </c>
      <c r="BU2254" s="8">
        <v>36.248415999999999</v>
      </c>
      <c r="BV2254" s="8">
        <v>5.32</v>
      </c>
      <c r="BW2254" s="8">
        <f>BV2254*SQRT(AK2254)</f>
        <v>75.236161518248664</v>
      </c>
      <c r="BX2254" s="8">
        <v>82.13</v>
      </c>
      <c r="BY2254" s="8">
        <v>82.129277599999995</v>
      </c>
      <c r="BZ2254" s="8">
        <v>4.0599999999999996</v>
      </c>
      <c r="CA2254" s="8">
        <f>BZ2254*SQRT(AL2254)</f>
        <v>57.417070632347652</v>
      </c>
      <c r="CB2254" s="8">
        <v>1</v>
      </c>
      <c r="CC2254" s="8">
        <v>4</v>
      </c>
      <c r="CD2254" s="8">
        <v>0.81799999999999995</v>
      </c>
      <c r="CE2254" s="8">
        <v>2.4E-2</v>
      </c>
      <c r="CF2254" s="8" t="s">
        <v>1134</v>
      </c>
    </row>
    <row r="2255" spans="1:84" hidden="1" x14ac:dyDescent="0.2">
      <c r="A2255" s="8"/>
      <c r="B2255" t="str">
        <f>ROW()-1&amp;"_AltersInvert"</f>
        <v>2254_AltersInvert</v>
      </c>
      <c r="C2255" t="str">
        <f>D2255&amp;"_"&amp;
SUBSTITUTE(TRIM(V2255)," ","_")&amp;"_"&amp;
TRIM(AC2255)&amp;"_"&amp;
"CO2"&amp;TEXT(AN2255,"0.00")&amp;"_"&amp;
"pH"&amp;TEXT(AR2255,"0.00")&amp;"_"&amp;
"T"&amp;TEXT(BC2255,"0.##")</f>
        <v>58_Centrostephanus_rodgersii_EMBRYO_CO2468.00_pH8.10_T14.</v>
      </c>
      <c r="D2255" s="8">
        <v>58</v>
      </c>
      <c r="E2255" s="8"/>
      <c r="F2255" s="8"/>
      <c r="G2255" s="8" t="s">
        <v>43</v>
      </c>
      <c r="H2255" s="8" t="s">
        <v>569</v>
      </c>
      <c r="I2255" s="8" t="s">
        <v>1130</v>
      </c>
      <c r="J2255" s="8">
        <v>2014</v>
      </c>
      <c r="K2255" s="8"/>
      <c r="L2255" s="8"/>
      <c r="M2255" s="8" t="s">
        <v>67</v>
      </c>
      <c r="N2255" s="8"/>
      <c r="O2255" s="8"/>
      <c r="P2255" t="s">
        <v>1135</v>
      </c>
      <c r="Q2255" s="8"/>
      <c r="R2255" s="8" t="s">
        <v>1127</v>
      </c>
      <c r="S2255" t="s">
        <v>1128</v>
      </c>
      <c r="T2255" s="8" t="s">
        <v>46</v>
      </c>
      <c r="U2255" s="8" t="s">
        <v>570</v>
      </c>
      <c r="V2255" s="8" t="s">
        <v>571</v>
      </c>
      <c r="W2255" s="8" t="str">
        <f>IF(ISNUMBER(MATCH(V1649,{"Doryteuthis pealeii","Loligo vulgaris","Leptuca thayeri","Stylocheilus striatus","Ophryotrocha labronica"},0)),"N","Y")</f>
        <v>Y</v>
      </c>
      <c r="X2255" s="8"/>
      <c r="Y2255" s="8"/>
      <c r="Z2255" s="8" t="s">
        <v>177</v>
      </c>
      <c r="AA2255" s="8" t="s">
        <v>177</v>
      </c>
      <c r="AB2255" s="8" t="s">
        <v>71</v>
      </c>
      <c r="AC2255" s="8" t="s">
        <v>195</v>
      </c>
      <c r="AD2255" s="8" t="s">
        <v>52</v>
      </c>
      <c r="AE2255" s="8" t="s">
        <v>53</v>
      </c>
      <c r="AF2255" s="8" t="s">
        <v>52</v>
      </c>
      <c r="AG2255" s="8" t="s">
        <v>52</v>
      </c>
      <c r="AH2255" s="8" t="s">
        <v>64</v>
      </c>
      <c r="AI2255" s="8"/>
      <c r="AJ2255" s="8"/>
      <c r="AK2255" s="8">
        <v>200</v>
      </c>
      <c r="AL2255" s="8">
        <v>200</v>
      </c>
      <c r="AM2255" s="8"/>
      <c r="AN2255" s="8">
        <v>468</v>
      </c>
      <c r="AO2255" s="8" t="s">
        <v>56</v>
      </c>
      <c r="AP2255" s="8" t="s">
        <v>56</v>
      </c>
      <c r="AQ2255" s="8" t="s">
        <v>118</v>
      </c>
      <c r="AR2255" s="8">
        <v>8.1</v>
      </c>
      <c r="AS2255" s="8" t="s">
        <v>56</v>
      </c>
      <c r="AT2255" s="8">
        <v>0.02</v>
      </c>
      <c r="AU2255" s="8">
        <v>6451</v>
      </c>
      <c r="AV2255" t="s">
        <v>56</v>
      </c>
      <c r="AW2255" t="s">
        <v>56</v>
      </c>
      <c r="AX2255">
        <v>7.04</v>
      </c>
      <c r="AY2255" t="s">
        <v>56</v>
      </c>
      <c r="AZ2255" t="s">
        <v>56</v>
      </c>
      <c r="BA2255" s="8"/>
      <c r="BB2255" s="8">
        <f>LOG(AU2255)</f>
        <v>3.8096270418940499</v>
      </c>
      <c r="BC2255" s="8">
        <v>14</v>
      </c>
      <c r="BD2255" s="8" t="s">
        <v>56</v>
      </c>
      <c r="BE2255" s="8" t="s">
        <v>56</v>
      </c>
      <c r="BF2255" s="8">
        <v>17</v>
      </c>
      <c r="BG2255" s="8" t="s">
        <v>56</v>
      </c>
      <c r="BH2255" s="8" t="s">
        <v>56</v>
      </c>
      <c r="BI2255" s="8">
        <v>5983</v>
      </c>
      <c r="BJ2255" s="8">
        <v>3</v>
      </c>
      <c r="BK2255" s="8" t="s">
        <v>574</v>
      </c>
      <c r="BL2255" s="8" t="s">
        <v>196</v>
      </c>
      <c r="BM2255" s="8" t="s">
        <v>197</v>
      </c>
      <c r="BN2255" s="8" t="s">
        <v>81</v>
      </c>
      <c r="BO2255" s="8" t="s">
        <v>82</v>
      </c>
      <c r="BP2255" s="8" t="s">
        <v>83</v>
      </c>
      <c r="BQ2255" s="8" t="s">
        <v>190</v>
      </c>
      <c r="BR2255" s="8" t="s">
        <v>84</v>
      </c>
      <c r="BS2255" s="8"/>
      <c r="BT2255" s="8">
        <v>36.25</v>
      </c>
      <c r="BU2255" s="8">
        <v>36.248415999999999</v>
      </c>
      <c r="BV2255" s="8">
        <v>5.32</v>
      </c>
      <c r="BW2255" s="8">
        <f>BV2255*SQRT(AK2255)</f>
        <v>75.236161518248664</v>
      </c>
      <c r="BX2255" s="8">
        <v>9.6300000000000008</v>
      </c>
      <c r="BY2255" s="8">
        <v>9.6324460999999992</v>
      </c>
      <c r="BZ2255" s="8">
        <v>5.58</v>
      </c>
      <c r="CA2255" s="8">
        <f>BZ2255*SQRT(AL2255)</f>
        <v>78.913116780418704</v>
      </c>
      <c r="CB2255" s="8">
        <v>1</v>
      </c>
      <c r="CC2255" s="8">
        <v>4</v>
      </c>
      <c r="CD2255" s="8">
        <v>-1.325</v>
      </c>
      <c r="CE2255" s="8">
        <v>0.35670000000000002</v>
      </c>
      <c r="CF2255" s="8" t="s">
        <v>1134</v>
      </c>
    </row>
    <row r="2256" spans="1:84" hidden="1" x14ac:dyDescent="0.2">
      <c r="A2256" s="8"/>
      <c r="B2256" t="str">
        <f>ROW()-1&amp;"_AltersInvert"</f>
        <v>2255_AltersInvert</v>
      </c>
      <c r="C2256" t="str">
        <f>D2256&amp;"_"&amp;
SUBSTITUTE(TRIM(V2256)," ","_")&amp;"_"&amp;
TRIM(AC2256)&amp;"_"&amp;
"CO2"&amp;TEXT(AN2256,"0.00")&amp;"_"&amp;
"pH"&amp;TEXT(AR2256,"0.00")&amp;"_"&amp;
"T"&amp;TEXT(BC2256,"0.##")</f>
        <v>58_Centrostephanus_rodgersii_EMBRYO_CO2468.00_pH8.10_T14.</v>
      </c>
      <c r="D2256" s="8">
        <v>58</v>
      </c>
      <c r="E2256" s="8"/>
      <c r="F2256" s="8"/>
      <c r="G2256" s="8" t="s">
        <v>43</v>
      </c>
      <c r="H2256" s="8" t="s">
        <v>569</v>
      </c>
      <c r="I2256" s="8" t="s">
        <v>1130</v>
      </c>
      <c r="J2256" s="8">
        <v>2014</v>
      </c>
      <c r="K2256" s="8"/>
      <c r="L2256" s="8"/>
      <c r="M2256" s="8" t="s">
        <v>67</v>
      </c>
      <c r="N2256" s="8"/>
      <c r="O2256" s="8"/>
      <c r="P2256" t="s">
        <v>1135</v>
      </c>
      <c r="Q2256" s="8"/>
      <c r="R2256" s="8" t="s">
        <v>1127</v>
      </c>
      <c r="S2256" t="s">
        <v>1128</v>
      </c>
      <c r="T2256" s="8" t="s">
        <v>46</v>
      </c>
      <c r="U2256" s="8" t="s">
        <v>570</v>
      </c>
      <c r="V2256" s="8" t="s">
        <v>571</v>
      </c>
      <c r="W2256" s="8" t="str">
        <f>IF(ISNUMBER(MATCH(V1650,{"Doryteuthis pealeii","Loligo vulgaris","Leptuca thayeri","Stylocheilus striatus","Ophryotrocha labronica"},0)),"N","Y")</f>
        <v>Y</v>
      </c>
      <c r="X2256" s="8"/>
      <c r="Y2256" s="8"/>
      <c r="Z2256" s="8" t="s">
        <v>177</v>
      </c>
      <c r="AA2256" s="8" t="s">
        <v>177</v>
      </c>
      <c r="AB2256" s="8" t="s">
        <v>71</v>
      </c>
      <c r="AC2256" s="8" t="s">
        <v>195</v>
      </c>
      <c r="AD2256" s="8" t="s">
        <v>52</v>
      </c>
      <c r="AE2256" s="8" t="s">
        <v>53</v>
      </c>
      <c r="AF2256" s="8" t="s">
        <v>52</v>
      </c>
      <c r="AG2256" s="8" t="s">
        <v>52</v>
      </c>
      <c r="AH2256" s="8" t="s">
        <v>64</v>
      </c>
      <c r="AI2256" s="8"/>
      <c r="AJ2256" s="8"/>
      <c r="AK2256" s="8">
        <v>200</v>
      </c>
      <c r="AL2256" s="8">
        <v>200</v>
      </c>
      <c r="AM2256" s="8"/>
      <c r="AN2256" s="8">
        <v>468</v>
      </c>
      <c r="AO2256" s="8" t="s">
        <v>56</v>
      </c>
      <c r="AP2256" s="8" t="s">
        <v>56</v>
      </c>
      <c r="AQ2256" s="8" t="s">
        <v>118</v>
      </c>
      <c r="AR2256" s="8">
        <v>8.1</v>
      </c>
      <c r="AS2256" s="8" t="s">
        <v>56</v>
      </c>
      <c r="AT2256" s="8">
        <v>0.02</v>
      </c>
      <c r="AU2256" s="8">
        <v>1702</v>
      </c>
      <c r="AV2256" t="s">
        <v>56</v>
      </c>
      <c r="AW2256" t="s">
        <v>56</v>
      </c>
      <c r="AX2256">
        <v>7.6</v>
      </c>
      <c r="AY2256" t="s">
        <v>56</v>
      </c>
      <c r="AZ2256" t="s">
        <v>56</v>
      </c>
      <c r="BA2256" s="8"/>
      <c r="BB2256" s="8">
        <f>LOG(AU2256)</f>
        <v>3.2309595557485689</v>
      </c>
      <c r="BC2256" s="8">
        <v>14</v>
      </c>
      <c r="BD2256" s="8" t="s">
        <v>56</v>
      </c>
      <c r="BE2256" s="8" t="s">
        <v>56</v>
      </c>
      <c r="BF2256" s="8">
        <v>17</v>
      </c>
      <c r="BG2256" s="8" t="s">
        <v>56</v>
      </c>
      <c r="BH2256" s="8" t="s">
        <v>56</v>
      </c>
      <c r="BI2256" s="8">
        <v>1233</v>
      </c>
      <c r="BJ2256" s="8">
        <v>3</v>
      </c>
      <c r="BK2256" s="8" t="s">
        <v>574</v>
      </c>
      <c r="BL2256" s="8" t="s">
        <v>196</v>
      </c>
      <c r="BM2256" s="8" t="s">
        <v>197</v>
      </c>
      <c r="BN2256" s="8" t="s">
        <v>81</v>
      </c>
      <c r="BO2256" s="8" t="s">
        <v>82</v>
      </c>
      <c r="BP2256" s="8" t="s">
        <v>83</v>
      </c>
      <c r="BQ2256" s="8" t="s">
        <v>190</v>
      </c>
      <c r="BR2256" s="8" t="s">
        <v>84</v>
      </c>
      <c r="BS2256" s="8"/>
      <c r="BT2256" s="8">
        <v>36.25</v>
      </c>
      <c r="BU2256" s="8">
        <v>36.248415999999999</v>
      </c>
      <c r="BV2256" s="8">
        <v>5.32</v>
      </c>
      <c r="BW2256" s="8">
        <f>BV2256*SQRT(AK2256)</f>
        <v>75.236161518248664</v>
      </c>
      <c r="BX2256" s="8">
        <v>63.75</v>
      </c>
      <c r="BY2256" s="8">
        <v>63.751584299999998</v>
      </c>
      <c r="BZ2256" s="8">
        <v>5.58</v>
      </c>
      <c r="CA2256" s="8">
        <f>BZ2256*SQRT(AL2256)</f>
        <v>78.913116780418704</v>
      </c>
      <c r="CB2256" s="8">
        <v>1</v>
      </c>
      <c r="CC2256" s="8">
        <v>4</v>
      </c>
      <c r="CD2256" s="8">
        <v>0.56499999999999995</v>
      </c>
      <c r="CE2256" s="8">
        <v>2.92E-2</v>
      </c>
      <c r="CF2256" s="8" t="s">
        <v>1134</v>
      </c>
    </row>
    <row r="2257" spans="1:84" s="8" customFormat="1" hidden="1" x14ac:dyDescent="0.2">
      <c r="B2257" t="str">
        <f>ROW()-1&amp;"_AltersInvert"</f>
        <v>2256_AltersInvert</v>
      </c>
      <c r="C2257" t="str">
        <f>D2257&amp;"_"&amp;
SUBSTITUTE(TRIM(V2257)," ","_")&amp;"_"&amp;
TRIM(AC2257)&amp;"_"&amp;
"CO2"&amp;TEXT(AN2257,"0.00")&amp;"_"&amp;
"pH"&amp;TEXT(AR2257,"0.00")&amp;"_"&amp;
"T"&amp;TEXT(BC2257,"0.##")</f>
        <v>58_Centrostephanus_rodgersii_EMBRYO_CO2468.00_pH8.10_T14.</v>
      </c>
      <c r="D2257" s="8">
        <v>58</v>
      </c>
      <c r="G2257" s="8" t="s">
        <v>43</v>
      </c>
      <c r="H2257" s="8" t="s">
        <v>569</v>
      </c>
      <c r="I2257" s="8" t="s">
        <v>1130</v>
      </c>
      <c r="J2257" s="8">
        <v>2014</v>
      </c>
      <c r="M2257" s="8" t="s">
        <v>67</v>
      </c>
      <c r="P2257" t="s">
        <v>1135</v>
      </c>
      <c r="R2257" s="8" t="s">
        <v>1127</v>
      </c>
      <c r="S2257" t="s">
        <v>1128</v>
      </c>
      <c r="T2257" s="8" t="s">
        <v>46</v>
      </c>
      <c r="U2257" s="8" t="s">
        <v>570</v>
      </c>
      <c r="V2257" s="8" t="s">
        <v>571</v>
      </c>
      <c r="W2257" s="8" t="str">
        <f>IF(ISNUMBER(MATCH(V1651,{"Doryteuthis pealeii","Loligo vulgaris","Leptuca thayeri","Stylocheilus striatus","Ophryotrocha labronica"},0)),"N","Y")</f>
        <v>Y</v>
      </c>
      <c r="Z2257" s="8" t="s">
        <v>177</v>
      </c>
      <c r="AA2257" s="8" t="s">
        <v>177</v>
      </c>
      <c r="AB2257" s="8" t="s">
        <v>71</v>
      </c>
      <c r="AC2257" s="8" t="s">
        <v>195</v>
      </c>
      <c r="AD2257" s="8" t="s">
        <v>52</v>
      </c>
      <c r="AE2257" s="8" t="s">
        <v>53</v>
      </c>
      <c r="AF2257" s="8" t="s">
        <v>52</v>
      </c>
      <c r="AG2257" s="8" t="s">
        <v>52</v>
      </c>
      <c r="AH2257" s="8" t="s">
        <v>64</v>
      </c>
      <c r="AK2257" s="8">
        <v>200</v>
      </c>
      <c r="AL2257" s="8">
        <v>200</v>
      </c>
      <c r="AN2257" s="8">
        <v>468</v>
      </c>
      <c r="AO2257" s="8" t="s">
        <v>56</v>
      </c>
      <c r="AP2257" s="8" t="s">
        <v>56</v>
      </c>
      <c r="AQ2257" s="8" t="s">
        <v>118</v>
      </c>
      <c r="AR2257" s="8">
        <v>8.1</v>
      </c>
      <c r="AS2257" s="8" t="s">
        <v>56</v>
      </c>
      <c r="AT2257" s="8">
        <v>0.02</v>
      </c>
      <c r="AU2257" s="8">
        <v>1038</v>
      </c>
      <c r="AV2257" t="s">
        <v>56</v>
      </c>
      <c r="AW2257" t="s">
        <v>56</v>
      </c>
      <c r="AX2257">
        <v>7.8</v>
      </c>
      <c r="AY2257" t="s">
        <v>56</v>
      </c>
      <c r="AZ2257" t="s">
        <v>56</v>
      </c>
      <c r="BB2257" s="8">
        <f>LOG(AU2257)</f>
        <v>3.0161973535124389</v>
      </c>
      <c r="BC2257" s="8">
        <v>14</v>
      </c>
      <c r="BD2257" s="8" t="s">
        <v>56</v>
      </c>
      <c r="BE2257" s="8" t="s">
        <v>56</v>
      </c>
      <c r="BF2257" s="8">
        <v>17</v>
      </c>
      <c r="BG2257" s="8" t="s">
        <v>56</v>
      </c>
      <c r="BH2257" s="8" t="s">
        <v>56</v>
      </c>
      <c r="BI2257" s="8">
        <v>570</v>
      </c>
      <c r="BJ2257" s="8">
        <v>3</v>
      </c>
      <c r="BK2257" s="8" t="s">
        <v>574</v>
      </c>
      <c r="BL2257" s="8" t="s">
        <v>196</v>
      </c>
      <c r="BM2257" s="8" t="s">
        <v>197</v>
      </c>
      <c r="BN2257" s="8" t="s">
        <v>81</v>
      </c>
      <c r="BO2257" s="8" t="s">
        <v>82</v>
      </c>
      <c r="BP2257" s="8" t="s">
        <v>83</v>
      </c>
      <c r="BQ2257" s="8" t="s">
        <v>190</v>
      </c>
      <c r="BR2257" s="8" t="s">
        <v>84</v>
      </c>
      <c r="BT2257" s="8">
        <v>36.25</v>
      </c>
      <c r="BU2257" s="8">
        <v>36.248415999999999</v>
      </c>
      <c r="BV2257" s="8">
        <v>5.32</v>
      </c>
      <c r="BW2257" s="8">
        <f>BV2257*SQRT(AK2257)</f>
        <v>75.236161518248664</v>
      </c>
      <c r="BX2257" s="8">
        <v>72.239999999999995</v>
      </c>
      <c r="BY2257" s="8">
        <v>72.243346000000003</v>
      </c>
      <c r="BZ2257" s="8">
        <v>5.7</v>
      </c>
      <c r="CA2257" s="8">
        <f>BZ2257*SQRT(AL2257)</f>
        <v>80.610173055266429</v>
      </c>
      <c r="CB2257" s="8">
        <v>1</v>
      </c>
      <c r="CC2257" s="8">
        <v>4</v>
      </c>
      <c r="CD2257" s="8">
        <v>0.69</v>
      </c>
      <c r="CE2257" s="8">
        <v>2.7799999999999998E-2</v>
      </c>
      <c r="CF2257" s="8" t="s">
        <v>1134</v>
      </c>
    </row>
    <row r="2258" spans="1:84" s="8" customFormat="1" hidden="1" x14ac:dyDescent="0.2">
      <c r="A2258"/>
      <c r="B2258" t="str">
        <f>ROW()-1&amp;"_AltersInvert"</f>
        <v>2257_AltersInvert</v>
      </c>
      <c r="C2258" t="str">
        <f>D2258&amp;"_"&amp;
SUBSTITUTE(TRIM(V2258)," ","_")&amp;"_"&amp;
TRIM(AC2258)&amp;"_"&amp;
"CO2"&amp;TEXT(AN2258,"0.00")&amp;"_"&amp;
"pH"&amp;TEXT(AR2258,"0.00")&amp;"_"&amp;
"T"&amp;TEXT(BC2258,"0.##")</f>
        <v>114_Acropora_millepora_LARVA_CO2474.00_pH8.12_T26.5</v>
      </c>
      <c r="D2258">
        <v>114</v>
      </c>
      <c r="E2258"/>
      <c r="F2258"/>
      <c r="G2258" t="s">
        <v>43</v>
      </c>
      <c r="H2258" t="s">
        <v>841</v>
      </c>
      <c r="I2258"/>
      <c r="J2258">
        <v>2013</v>
      </c>
      <c r="K2258"/>
      <c r="L2258"/>
      <c r="M2258" t="s">
        <v>257</v>
      </c>
      <c r="N2258"/>
      <c r="O2258"/>
      <c r="P2258" t="s">
        <v>1135</v>
      </c>
      <c r="Q2258"/>
      <c r="R2258" t="s">
        <v>1127</v>
      </c>
      <c r="S2258" t="s">
        <v>1128</v>
      </c>
      <c r="T2258" t="s">
        <v>103</v>
      </c>
      <c r="U2258" t="s">
        <v>228</v>
      </c>
      <c r="V2258" t="s">
        <v>842</v>
      </c>
      <c r="W2258"/>
      <c r="X2258"/>
      <c r="Y2258"/>
      <c r="Z2258" t="s">
        <v>106</v>
      </c>
      <c r="AA2258" t="s">
        <v>107</v>
      </c>
      <c r="AB2258" t="s">
        <v>71</v>
      </c>
      <c r="AC2258" t="s">
        <v>72</v>
      </c>
      <c r="AD2258" t="s">
        <v>52</v>
      </c>
      <c r="AE2258" t="s">
        <v>53</v>
      </c>
      <c r="AF2258" t="s">
        <v>52</v>
      </c>
      <c r="AG2258" t="s">
        <v>54</v>
      </c>
      <c r="AH2258" t="s">
        <v>55</v>
      </c>
      <c r="AI2258"/>
      <c r="AJ2258"/>
      <c r="AK2258">
        <v>270</v>
      </c>
      <c r="AL2258">
        <v>270</v>
      </c>
      <c r="AM2258"/>
      <c r="AN2258">
        <v>474</v>
      </c>
      <c r="AO2258">
        <v>34</v>
      </c>
      <c r="AP2258" t="s">
        <v>56</v>
      </c>
      <c r="AQ2258" t="s">
        <v>57</v>
      </c>
      <c r="AR2258">
        <v>8.1199999999999992</v>
      </c>
      <c r="AS2258">
        <v>0.01</v>
      </c>
      <c r="AT2258" t="s">
        <v>56</v>
      </c>
      <c r="AU2258">
        <v>699</v>
      </c>
      <c r="AV2258">
        <v>34</v>
      </c>
      <c r="AW2258" t="s">
        <v>56</v>
      </c>
      <c r="AX2258">
        <v>7.98</v>
      </c>
      <c r="AY2258">
        <v>0.02</v>
      </c>
      <c r="AZ2258" t="s">
        <v>56</v>
      </c>
      <c r="BA2258"/>
      <c r="BB2258">
        <f>LOG(AU2258)</f>
        <v>2.8444771757456815</v>
      </c>
      <c r="BC2258">
        <v>26.5</v>
      </c>
      <c r="BD2258">
        <v>0.1</v>
      </c>
      <c r="BE2258" t="s">
        <v>56</v>
      </c>
      <c r="BF2258">
        <v>26.7</v>
      </c>
      <c r="BG2258">
        <v>0.1</v>
      </c>
      <c r="BH2258" t="s">
        <v>56</v>
      </c>
      <c r="BI2258">
        <v>225</v>
      </c>
      <c r="BJ2258">
        <v>0.2</v>
      </c>
      <c r="BK2258" t="s">
        <v>56</v>
      </c>
      <c r="BL2258" t="s">
        <v>651</v>
      </c>
      <c r="BM2258" t="s">
        <v>651</v>
      </c>
      <c r="BN2258" t="s">
        <v>81</v>
      </c>
      <c r="BO2258" t="s">
        <v>82</v>
      </c>
      <c r="BP2258" t="s">
        <v>9</v>
      </c>
      <c r="BQ2258" t="s">
        <v>9</v>
      </c>
      <c r="BR2258" t="s">
        <v>84</v>
      </c>
      <c r="BS2258"/>
      <c r="BT2258">
        <v>55.7</v>
      </c>
      <c r="BU2258">
        <v>55.699482000000003</v>
      </c>
      <c r="BV2258">
        <v>4.66</v>
      </c>
      <c r="BW2258">
        <f>BV2258*SQRT(AK2258)</f>
        <v>76.571613539222227</v>
      </c>
      <c r="BX2258">
        <v>54.92</v>
      </c>
      <c r="BY2258">
        <v>54.922279799999998</v>
      </c>
      <c r="BZ2258">
        <v>3.89</v>
      </c>
      <c r="CA2258">
        <f>BZ2258*SQRT(AL2258)</f>
        <v>63.919222460852886</v>
      </c>
      <c r="CB2258">
        <v>19</v>
      </c>
      <c r="CC2258">
        <v>18</v>
      </c>
      <c r="CD2258">
        <v>-1.4E-2</v>
      </c>
      <c r="CE2258">
        <v>1.2E-2</v>
      </c>
      <c r="CF2258"/>
    </row>
    <row r="2259" spans="1:84" s="8" customFormat="1" hidden="1" x14ac:dyDescent="0.2">
      <c r="A2259"/>
      <c r="B2259" t="str">
        <f>ROW()-1&amp;"_AltersInvert"</f>
        <v>2258_AltersInvert</v>
      </c>
      <c r="C2259" t="str">
        <f>D2259&amp;"_"&amp;
SUBSTITUTE(TRIM(V2259)," ","_")&amp;"_"&amp;
TRIM(AC2259)&amp;"_"&amp;
"CO2"&amp;TEXT(AN2259,"0.00")&amp;"_"&amp;
"pH"&amp;TEXT(AR2259,"0.00")&amp;"_"&amp;
"T"&amp;TEXT(BC2259,"0.##")</f>
        <v>114_Acropora_millepora_LARVA_CO2474.00_pH8.12_T26.5</v>
      </c>
      <c r="D2259">
        <v>114</v>
      </c>
      <c r="E2259"/>
      <c r="F2259"/>
      <c r="G2259" t="s">
        <v>43</v>
      </c>
      <c r="H2259" t="s">
        <v>841</v>
      </c>
      <c r="I2259"/>
      <c r="J2259">
        <v>2013</v>
      </c>
      <c r="K2259"/>
      <c r="L2259"/>
      <c r="M2259" t="s">
        <v>257</v>
      </c>
      <c r="N2259"/>
      <c r="O2259"/>
      <c r="P2259" t="s">
        <v>1135</v>
      </c>
      <c r="Q2259"/>
      <c r="R2259" t="s">
        <v>1127</v>
      </c>
      <c r="S2259" t="s">
        <v>1128</v>
      </c>
      <c r="T2259" t="s">
        <v>103</v>
      </c>
      <c r="U2259" t="s">
        <v>228</v>
      </c>
      <c r="V2259" t="s">
        <v>842</v>
      </c>
      <c r="W2259"/>
      <c r="X2259"/>
      <c r="Y2259"/>
      <c r="Z2259" t="s">
        <v>106</v>
      </c>
      <c r="AA2259" t="s">
        <v>107</v>
      </c>
      <c r="AB2259" t="s">
        <v>71</v>
      </c>
      <c r="AC2259" t="s">
        <v>72</v>
      </c>
      <c r="AD2259" t="s">
        <v>52</v>
      </c>
      <c r="AE2259" t="s">
        <v>53</v>
      </c>
      <c r="AF2259" t="s">
        <v>54</v>
      </c>
      <c r="AG2259" t="s">
        <v>52</v>
      </c>
      <c r="AH2259" t="s">
        <v>65</v>
      </c>
      <c r="AI2259"/>
      <c r="AJ2259"/>
      <c r="AK2259">
        <v>270</v>
      </c>
      <c r="AL2259">
        <v>270</v>
      </c>
      <c r="AM2259"/>
      <c r="AN2259">
        <v>474</v>
      </c>
      <c r="AO2259">
        <v>34</v>
      </c>
      <c r="AP2259" t="s">
        <v>56</v>
      </c>
      <c r="AQ2259" t="s">
        <v>57</v>
      </c>
      <c r="AR2259">
        <v>8.1199999999999992</v>
      </c>
      <c r="AS2259">
        <v>0.01</v>
      </c>
      <c r="AT2259" t="s">
        <v>56</v>
      </c>
      <c r="AU2259">
        <v>521</v>
      </c>
      <c r="AV2259">
        <v>43</v>
      </c>
      <c r="AW2259" t="s">
        <v>56</v>
      </c>
      <c r="AX2259">
        <v>8.1199999999999992</v>
      </c>
      <c r="AY2259">
        <v>0.01</v>
      </c>
      <c r="AZ2259" t="s">
        <v>56</v>
      </c>
      <c r="BA2259"/>
      <c r="BB2259">
        <f>LOG(AU2259)</f>
        <v>2.7168377232995247</v>
      </c>
      <c r="BC2259">
        <v>26.5</v>
      </c>
      <c r="BD2259">
        <v>0.1</v>
      </c>
      <c r="BE2259" t="s">
        <v>56</v>
      </c>
      <c r="BF2259">
        <v>28.9</v>
      </c>
      <c r="BG2259">
        <v>0</v>
      </c>
      <c r="BH2259" t="s">
        <v>56</v>
      </c>
      <c r="BI2259">
        <v>47</v>
      </c>
      <c r="BJ2259">
        <v>2.4</v>
      </c>
      <c r="BK2259" t="s">
        <v>56</v>
      </c>
      <c r="BL2259" t="s">
        <v>651</v>
      </c>
      <c r="BM2259" t="s">
        <v>651</v>
      </c>
      <c r="BN2259" t="s">
        <v>81</v>
      </c>
      <c r="BO2259" t="s">
        <v>82</v>
      </c>
      <c r="BP2259" t="s">
        <v>9</v>
      </c>
      <c r="BQ2259" t="s">
        <v>9</v>
      </c>
      <c r="BR2259" t="s">
        <v>84</v>
      </c>
      <c r="BS2259"/>
      <c r="BT2259">
        <v>55.7</v>
      </c>
      <c r="BU2259">
        <v>55.699482000000003</v>
      </c>
      <c r="BV2259">
        <v>4.66</v>
      </c>
      <c r="BW2259">
        <f>BV2259*SQRT(AK2259)</f>
        <v>76.571613539222227</v>
      </c>
      <c r="BX2259">
        <v>28.76</v>
      </c>
      <c r="BY2259">
        <v>28.7564767</v>
      </c>
      <c r="BZ2259">
        <v>6.99</v>
      </c>
      <c r="CA2259">
        <f>BZ2259*SQRT(AL2259)</f>
        <v>114.85742030883333</v>
      </c>
      <c r="CB2259">
        <v>19</v>
      </c>
      <c r="CC2259">
        <v>18</v>
      </c>
      <c r="CD2259">
        <v>-0.66100000000000003</v>
      </c>
      <c r="CE2259">
        <v>6.6199999999999995E-2</v>
      </c>
      <c r="CF2259"/>
    </row>
    <row r="2260" spans="1:84" s="8" customFormat="1" hidden="1" x14ac:dyDescent="0.2">
      <c r="A2260"/>
      <c r="B2260" t="str">
        <f>ROW()-1&amp;"_AltersInvert"</f>
        <v>2259_AltersInvert</v>
      </c>
      <c r="C2260" t="str">
        <f>D2260&amp;"_"&amp;
SUBSTITUTE(TRIM(V2260)," ","_")&amp;"_"&amp;
TRIM(AC2260)&amp;"_"&amp;
"CO2"&amp;TEXT(AN2260,"0.00")&amp;"_"&amp;
"pH"&amp;TEXT(AR2260,"0.00")&amp;"_"&amp;
"T"&amp;TEXT(BC2260,"0.##")</f>
        <v>114_Acropora_millepora_LARVA_CO2474.00_pH8.12_T26.5</v>
      </c>
      <c r="D2260">
        <v>114</v>
      </c>
      <c r="E2260"/>
      <c r="F2260"/>
      <c r="G2260" t="s">
        <v>43</v>
      </c>
      <c r="H2260" t="s">
        <v>841</v>
      </c>
      <c r="I2260"/>
      <c r="J2260">
        <v>2013</v>
      </c>
      <c r="K2260"/>
      <c r="L2260"/>
      <c r="M2260" t="s">
        <v>257</v>
      </c>
      <c r="N2260"/>
      <c r="O2260"/>
      <c r="P2260" t="s">
        <v>1135</v>
      </c>
      <c r="Q2260"/>
      <c r="R2260" t="s">
        <v>1127</v>
      </c>
      <c r="S2260" t="s">
        <v>1128</v>
      </c>
      <c r="T2260" t="s">
        <v>103</v>
      </c>
      <c r="U2260" t="s">
        <v>228</v>
      </c>
      <c r="V2260" t="s">
        <v>842</v>
      </c>
      <c r="W2260"/>
      <c r="X2260"/>
      <c r="Y2260"/>
      <c r="Z2260" t="s">
        <v>106</v>
      </c>
      <c r="AA2260" t="s">
        <v>107</v>
      </c>
      <c r="AB2260" t="s">
        <v>71</v>
      </c>
      <c r="AC2260" t="s">
        <v>72</v>
      </c>
      <c r="AD2260" t="s">
        <v>52</v>
      </c>
      <c r="AE2260" t="s">
        <v>53</v>
      </c>
      <c r="AF2260" t="s">
        <v>52</v>
      </c>
      <c r="AG2260" t="s">
        <v>52</v>
      </c>
      <c r="AH2260" t="s">
        <v>64</v>
      </c>
      <c r="AI2260"/>
      <c r="AJ2260"/>
      <c r="AK2260">
        <v>270</v>
      </c>
      <c r="AL2260">
        <v>270</v>
      </c>
      <c r="AM2260"/>
      <c r="AN2260">
        <v>474</v>
      </c>
      <c r="AO2260">
        <v>34</v>
      </c>
      <c r="AP2260" t="s">
        <v>56</v>
      </c>
      <c r="AQ2260" t="s">
        <v>57</v>
      </c>
      <c r="AR2260">
        <v>8.1199999999999992</v>
      </c>
      <c r="AS2260">
        <v>0.01</v>
      </c>
      <c r="AT2260" t="s">
        <v>56</v>
      </c>
      <c r="AU2260">
        <v>759</v>
      </c>
      <c r="AV2260">
        <v>70</v>
      </c>
      <c r="AW2260" t="s">
        <v>56</v>
      </c>
      <c r="AX2260">
        <v>8.01</v>
      </c>
      <c r="AY2260">
        <v>0.01</v>
      </c>
      <c r="AZ2260" t="s">
        <v>56</v>
      </c>
      <c r="BA2260"/>
      <c r="BB2260">
        <f>LOG(AU2260)</f>
        <v>2.8802417758954801</v>
      </c>
      <c r="BC2260">
        <v>26.5</v>
      </c>
      <c r="BD2260">
        <v>0.1</v>
      </c>
      <c r="BE2260" t="s">
        <v>56</v>
      </c>
      <c r="BF2260">
        <v>29.2</v>
      </c>
      <c r="BG2260">
        <v>0.1</v>
      </c>
      <c r="BH2260" t="s">
        <v>56</v>
      </c>
      <c r="BI2260">
        <v>285</v>
      </c>
      <c r="BJ2260">
        <v>2.7</v>
      </c>
      <c r="BK2260" t="s">
        <v>56</v>
      </c>
      <c r="BL2260" t="s">
        <v>651</v>
      </c>
      <c r="BM2260" t="s">
        <v>651</v>
      </c>
      <c r="BN2260" t="s">
        <v>81</v>
      </c>
      <c r="BO2260" t="s">
        <v>82</v>
      </c>
      <c r="BP2260" t="s">
        <v>9</v>
      </c>
      <c r="BQ2260" t="s">
        <v>9</v>
      </c>
      <c r="BR2260" t="s">
        <v>84</v>
      </c>
      <c r="BS2260"/>
      <c r="BT2260">
        <v>55.7</v>
      </c>
      <c r="BU2260">
        <v>55.699482000000003</v>
      </c>
      <c r="BV2260">
        <v>4.66</v>
      </c>
      <c r="BW2260">
        <f>BV2260*SQRT(AK2260)</f>
        <v>76.571613539222227</v>
      </c>
      <c r="BX2260">
        <v>46.63</v>
      </c>
      <c r="BY2260">
        <v>46.632124400000002</v>
      </c>
      <c r="BZ2260">
        <v>6.22</v>
      </c>
      <c r="CA2260">
        <f>BZ2260*SQRT(AL2260)</f>
        <v>102.20502923046399</v>
      </c>
      <c r="CB2260">
        <v>19</v>
      </c>
      <c r="CC2260">
        <v>18</v>
      </c>
      <c r="CD2260">
        <v>-0.17799999999999999</v>
      </c>
      <c r="CE2260">
        <v>2.4799999999999999E-2</v>
      </c>
      <c r="CF2260"/>
    </row>
    <row r="2261" spans="1:84" s="8" customFormat="1" hidden="1" x14ac:dyDescent="0.2">
      <c r="A2261"/>
      <c r="B2261" t="str">
        <f>ROW()-1&amp;"_AltersInvert"</f>
        <v>2260_AltersInvert</v>
      </c>
      <c r="C2261" t="str">
        <f>D2261&amp;"_"&amp;
SUBSTITUTE(TRIM(V2261)," ","_")&amp;"_"&amp;
TRIM(AC2261)&amp;"_"&amp;
"CO2"&amp;TEXT(AN2261,"0.00")&amp;"_"&amp;
"pH"&amp;TEXT(AR2261,"0.00")&amp;"_"&amp;
"T"&amp;TEXT(BC2261,"0.##")</f>
        <v>16_Hyas_araneus_LARVA_CO2354.00_pH8.11_T3.</v>
      </c>
      <c r="D2261">
        <v>16</v>
      </c>
      <c r="E2261"/>
      <c r="F2261"/>
      <c r="G2261" t="s">
        <v>43</v>
      </c>
      <c r="H2261" t="s">
        <v>243</v>
      </c>
      <c r="I2261"/>
      <c r="J2261">
        <v>2010</v>
      </c>
      <c r="K2261"/>
      <c r="L2261"/>
      <c r="M2261" t="s">
        <v>244</v>
      </c>
      <c r="N2261"/>
      <c r="O2261"/>
      <c r="P2261" t="s">
        <v>1135</v>
      </c>
      <c r="Q2261"/>
      <c r="R2261" t="s">
        <v>1127</v>
      </c>
      <c r="S2261" t="s">
        <v>1128</v>
      </c>
      <c r="T2261" t="s">
        <v>131</v>
      </c>
      <c r="U2261" t="s">
        <v>245</v>
      </c>
      <c r="V2261" t="s">
        <v>246</v>
      </c>
      <c r="W2261"/>
      <c r="X2261"/>
      <c r="Y2261"/>
      <c r="Z2261" t="s">
        <v>49</v>
      </c>
      <c r="AA2261" t="s">
        <v>49</v>
      </c>
      <c r="AB2261" t="s">
        <v>71</v>
      </c>
      <c r="AC2261" t="s">
        <v>72</v>
      </c>
      <c r="AD2261" t="s">
        <v>52</v>
      </c>
      <c r="AE2261" t="s">
        <v>53</v>
      </c>
      <c r="AF2261" t="s">
        <v>52</v>
      </c>
      <c r="AG2261" t="s">
        <v>54</v>
      </c>
      <c r="AH2261" t="s">
        <v>55</v>
      </c>
      <c r="AI2261"/>
      <c r="AJ2261"/>
      <c r="AK2261">
        <v>279</v>
      </c>
      <c r="AL2261">
        <v>279</v>
      </c>
      <c r="AM2261"/>
      <c r="AN2261">
        <v>354</v>
      </c>
      <c r="AO2261" t="s">
        <v>56</v>
      </c>
      <c r="AP2261">
        <v>65</v>
      </c>
      <c r="AQ2261" t="s">
        <v>56</v>
      </c>
      <c r="AR2261">
        <v>8.11</v>
      </c>
      <c r="AS2261" t="s">
        <v>56</v>
      </c>
      <c r="AT2261">
        <v>0.05</v>
      </c>
      <c r="AU2261">
        <v>754</v>
      </c>
      <c r="AV2261" t="s">
        <v>56</v>
      </c>
      <c r="AW2261">
        <v>37</v>
      </c>
      <c r="AX2261">
        <v>7.81</v>
      </c>
      <c r="AY2261" t="s">
        <v>56</v>
      </c>
      <c r="AZ2261" t="s">
        <v>56</v>
      </c>
      <c r="BA2261"/>
      <c r="BB2261">
        <f>LOG(AU2261)</f>
        <v>2.8773713458697738</v>
      </c>
      <c r="BC2261">
        <v>3</v>
      </c>
      <c r="BD2261" t="s">
        <v>56</v>
      </c>
      <c r="BE2261" t="s">
        <v>56</v>
      </c>
      <c r="BF2261">
        <v>3</v>
      </c>
      <c r="BG2261" t="s">
        <v>56</v>
      </c>
      <c r="BH2261" t="s">
        <v>56</v>
      </c>
      <c r="BI2261">
        <v>400</v>
      </c>
      <c r="BJ2261">
        <v>0</v>
      </c>
      <c r="BK2261" t="s">
        <v>247</v>
      </c>
      <c r="BL2261" t="s">
        <v>248</v>
      </c>
      <c r="BM2261" t="s">
        <v>249</v>
      </c>
      <c r="BN2261" t="s">
        <v>60</v>
      </c>
      <c r="BO2261" t="s">
        <v>250</v>
      </c>
      <c r="BP2261" t="s">
        <v>9</v>
      </c>
      <c r="BQ2261" t="s">
        <v>9</v>
      </c>
      <c r="BR2261" t="s">
        <v>63</v>
      </c>
      <c r="BS2261"/>
      <c r="BT2261">
        <v>72.33</v>
      </c>
      <c r="BU2261">
        <v>72.33</v>
      </c>
      <c r="BV2261">
        <v>6.76</v>
      </c>
      <c r="BW2261">
        <f>BV2261*SQRT(AK2261)</f>
        <v>112.91426127819285</v>
      </c>
      <c r="BX2261">
        <v>73.08</v>
      </c>
      <c r="BY2261">
        <v>73.08</v>
      </c>
      <c r="BZ2261">
        <v>4.88</v>
      </c>
      <c r="CA2261">
        <f>BZ2261*SQRT(AL2261)</f>
        <v>81.512070271831533</v>
      </c>
      <c r="CB2261">
        <v>120</v>
      </c>
      <c r="CC2261">
        <v>7</v>
      </c>
      <c r="CD2261">
        <v>0.01</v>
      </c>
      <c r="CE2261">
        <v>1.32E-2</v>
      </c>
      <c r="CF2261"/>
    </row>
    <row r="2262" spans="1:84" s="8" customFormat="1" hidden="1" x14ac:dyDescent="0.2">
      <c r="A2262"/>
      <c r="B2262" t="str">
        <f>ROW()-1&amp;"_AltersInvert"</f>
        <v>2261_AltersInvert</v>
      </c>
      <c r="C2262" t="str">
        <f>D2262&amp;"_"&amp;
SUBSTITUTE(TRIM(V2262)," ","_")&amp;"_"&amp;
TRIM(AC2262)&amp;"_"&amp;
"CO2"&amp;TEXT(AN2262,"0.00")&amp;"_"&amp;
"pH"&amp;TEXT(AR2262,"0.00")&amp;"_"&amp;
"T"&amp;TEXT(BC2262,"0.##")</f>
        <v>16_Hyas_araneus_LARVA_CO2354.00_pH8.11_T3.</v>
      </c>
      <c r="D2262">
        <v>16</v>
      </c>
      <c r="E2262"/>
      <c r="F2262"/>
      <c r="G2262" t="s">
        <v>43</v>
      </c>
      <c r="H2262" t="s">
        <v>243</v>
      </c>
      <c r="I2262"/>
      <c r="J2262">
        <v>2010</v>
      </c>
      <c r="K2262"/>
      <c r="L2262"/>
      <c r="M2262" t="s">
        <v>244</v>
      </c>
      <c r="N2262"/>
      <c r="O2262"/>
      <c r="P2262" t="s">
        <v>1135</v>
      </c>
      <c r="Q2262"/>
      <c r="R2262" t="s">
        <v>1127</v>
      </c>
      <c r="S2262" t="s">
        <v>1128</v>
      </c>
      <c r="T2262" t="s">
        <v>131</v>
      </c>
      <c r="U2262" t="s">
        <v>245</v>
      </c>
      <c r="V2262" t="s">
        <v>246</v>
      </c>
      <c r="W2262"/>
      <c r="X2262"/>
      <c r="Y2262"/>
      <c r="Z2262" t="s">
        <v>49</v>
      </c>
      <c r="AA2262" t="s">
        <v>49</v>
      </c>
      <c r="AB2262" t="s">
        <v>71</v>
      </c>
      <c r="AC2262" t="s">
        <v>72</v>
      </c>
      <c r="AD2262" t="s">
        <v>52</v>
      </c>
      <c r="AE2262" t="s">
        <v>53</v>
      </c>
      <c r="AF2262" t="s">
        <v>52</v>
      </c>
      <c r="AG2262" t="s">
        <v>54</v>
      </c>
      <c r="AH2262" t="s">
        <v>55</v>
      </c>
      <c r="AI2262"/>
      <c r="AJ2262"/>
      <c r="AK2262">
        <v>279</v>
      </c>
      <c r="AL2262">
        <v>279</v>
      </c>
      <c r="AM2262"/>
      <c r="AN2262">
        <v>354</v>
      </c>
      <c r="AO2262" t="s">
        <v>56</v>
      </c>
      <c r="AP2262">
        <v>65</v>
      </c>
      <c r="AQ2262" t="s">
        <v>56</v>
      </c>
      <c r="AR2262">
        <v>8.11</v>
      </c>
      <c r="AS2262" t="s">
        <v>56</v>
      </c>
      <c r="AT2262">
        <v>0.05</v>
      </c>
      <c r="AU2262">
        <v>2378</v>
      </c>
      <c r="AV2262" t="s">
        <v>56</v>
      </c>
      <c r="AW2262">
        <v>164</v>
      </c>
      <c r="AX2262">
        <v>7.33</v>
      </c>
      <c r="AY2262" t="s">
        <v>56</v>
      </c>
      <c r="AZ2262" t="s">
        <v>56</v>
      </c>
      <c r="BA2262"/>
      <c r="BB2262">
        <f>LOG(AU2262)</f>
        <v>3.3762118502826728</v>
      </c>
      <c r="BC2262">
        <v>3</v>
      </c>
      <c r="BD2262" t="s">
        <v>56</v>
      </c>
      <c r="BE2262" t="s">
        <v>56</v>
      </c>
      <c r="BF2262">
        <v>3</v>
      </c>
      <c r="BG2262" t="s">
        <v>56</v>
      </c>
      <c r="BH2262" t="s">
        <v>56</v>
      </c>
      <c r="BI2262">
        <v>2024</v>
      </c>
      <c r="BJ2262">
        <v>0</v>
      </c>
      <c r="BK2262" t="s">
        <v>247</v>
      </c>
      <c r="BL2262" t="s">
        <v>248</v>
      </c>
      <c r="BM2262" t="s">
        <v>249</v>
      </c>
      <c r="BN2262" t="s">
        <v>60</v>
      </c>
      <c r="BO2262" t="s">
        <v>250</v>
      </c>
      <c r="BP2262" t="s">
        <v>9</v>
      </c>
      <c r="BQ2262" t="s">
        <v>9</v>
      </c>
      <c r="BR2262" t="s">
        <v>63</v>
      </c>
      <c r="BS2262"/>
      <c r="BT2262">
        <v>72.33</v>
      </c>
      <c r="BU2262">
        <v>72.33</v>
      </c>
      <c r="BV2262">
        <v>6.76</v>
      </c>
      <c r="BW2262">
        <f>BV2262*SQRT(AK2262)</f>
        <v>112.91426127819285</v>
      </c>
      <c r="BX2262">
        <v>75.33</v>
      </c>
      <c r="BY2262">
        <v>75.33</v>
      </c>
      <c r="BZ2262">
        <v>7.52</v>
      </c>
      <c r="CA2262">
        <f>BZ2262*SQRT(AL2262)</f>
        <v>125.6087640254453</v>
      </c>
      <c r="CB2262">
        <v>120</v>
      </c>
      <c r="CC2262">
        <v>7</v>
      </c>
      <c r="CD2262">
        <v>4.1000000000000002E-2</v>
      </c>
      <c r="CE2262">
        <v>1.8700000000000001E-2</v>
      </c>
      <c r="CF2262"/>
    </row>
    <row r="2263" spans="1:84" s="8" customFormat="1" hidden="1" x14ac:dyDescent="0.2">
      <c r="A2263"/>
      <c r="B2263" t="str">
        <f>ROW()-1&amp;"_AltersInvert"</f>
        <v>2262_AltersInvert</v>
      </c>
      <c r="C2263" t="str">
        <f>D2263&amp;"_"&amp;
SUBSTITUTE(TRIM(V2263)," ","_")&amp;"_"&amp;
TRIM(AC2263)&amp;"_"&amp;
"CO2"&amp;TEXT(AN2263,"0.00")&amp;"_"&amp;
"pH"&amp;TEXT(AR2263,"0.00")&amp;"_"&amp;
"T"&amp;TEXT(BC2263,"0.##")</f>
        <v>16_Hyas_araneus_LARVA_CO2354.00_pH8.11_T3.</v>
      </c>
      <c r="D2263">
        <v>16</v>
      </c>
      <c r="E2263"/>
      <c r="F2263"/>
      <c r="G2263" t="s">
        <v>43</v>
      </c>
      <c r="H2263" t="s">
        <v>243</v>
      </c>
      <c r="I2263"/>
      <c r="J2263">
        <v>2010</v>
      </c>
      <c r="K2263"/>
      <c r="L2263"/>
      <c r="M2263" t="s">
        <v>244</v>
      </c>
      <c r="N2263"/>
      <c r="O2263"/>
      <c r="P2263" t="s">
        <v>1135</v>
      </c>
      <c r="Q2263"/>
      <c r="R2263" t="s">
        <v>1127</v>
      </c>
      <c r="S2263" t="s">
        <v>1128</v>
      </c>
      <c r="T2263" t="s">
        <v>131</v>
      </c>
      <c r="U2263" t="s">
        <v>245</v>
      </c>
      <c r="V2263" t="s">
        <v>246</v>
      </c>
      <c r="W2263"/>
      <c r="X2263"/>
      <c r="Y2263"/>
      <c r="Z2263" t="s">
        <v>49</v>
      </c>
      <c r="AA2263" t="s">
        <v>49</v>
      </c>
      <c r="AB2263" t="s">
        <v>71</v>
      </c>
      <c r="AC2263" t="s">
        <v>72</v>
      </c>
      <c r="AD2263" t="s">
        <v>52</v>
      </c>
      <c r="AE2263" t="s">
        <v>53</v>
      </c>
      <c r="AF2263" t="s">
        <v>54</v>
      </c>
      <c r="AG2263" t="s">
        <v>52</v>
      </c>
      <c r="AH2263" t="s">
        <v>65</v>
      </c>
      <c r="AI2263"/>
      <c r="AJ2263"/>
      <c r="AK2263">
        <v>279</v>
      </c>
      <c r="AL2263">
        <v>279</v>
      </c>
      <c r="AM2263"/>
      <c r="AN2263">
        <v>354</v>
      </c>
      <c r="AO2263" t="s">
        <v>56</v>
      </c>
      <c r="AP2263">
        <v>65</v>
      </c>
      <c r="AQ2263" t="s">
        <v>56</v>
      </c>
      <c r="AR2263">
        <v>8.11</v>
      </c>
      <c r="AS2263" t="s">
        <v>56</v>
      </c>
      <c r="AT2263">
        <v>0.05</v>
      </c>
      <c r="AU2263">
        <v>401</v>
      </c>
      <c r="AV2263" t="s">
        <v>56</v>
      </c>
      <c r="AW2263">
        <v>30</v>
      </c>
      <c r="AX2263">
        <v>8.0500000000000007</v>
      </c>
      <c r="AY2263" t="s">
        <v>56</v>
      </c>
      <c r="AZ2263" t="s">
        <v>56</v>
      </c>
      <c r="BA2263"/>
      <c r="BB2263">
        <f>LOG(AU2263)</f>
        <v>2.6031443726201822</v>
      </c>
      <c r="BC2263">
        <v>3</v>
      </c>
      <c r="BD2263" t="s">
        <v>56</v>
      </c>
      <c r="BE2263" t="s">
        <v>56</v>
      </c>
      <c r="BF2263">
        <v>15</v>
      </c>
      <c r="BG2263" t="s">
        <v>56</v>
      </c>
      <c r="BH2263" t="s">
        <v>56</v>
      </c>
      <c r="BI2263">
        <v>47</v>
      </c>
      <c r="BJ2263">
        <v>12</v>
      </c>
      <c r="BK2263" t="s">
        <v>247</v>
      </c>
      <c r="BL2263" t="s">
        <v>248</v>
      </c>
      <c r="BM2263" t="s">
        <v>249</v>
      </c>
      <c r="BN2263" t="s">
        <v>60</v>
      </c>
      <c r="BO2263" t="s">
        <v>250</v>
      </c>
      <c r="BP2263" t="s">
        <v>9</v>
      </c>
      <c r="BQ2263" t="s">
        <v>9</v>
      </c>
      <c r="BR2263" t="s">
        <v>63</v>
      </c>
      <c r="BS2263"/>
      <c r="BT2263">
        <v>72.33</v>
      </c>
      <c r="BU2263">
        <v>72.33</v>
      </c>
      <c r="BV2263">
        <v>6.76</v>
      </c>
      <c r="BW2263">
        <f>BV2263*SQRT(AK2263)</f>
        <v>112.91426127819285</v>
      </c>
      <c r="BX2263">
        <v>11.51</v>
      </c>
      <c r="BY2263">
        <v>11.51</v>
      </c>
      <c r="BZ2263">
        <v>0.61</v>
      </c>
      <c r="CA2263">
        <f>BZ2263*SQRT(AL2263)</f>
        <v>10.189008783978942</v>
      </c>
      <c r="CB2263">
        <v>20</v>
      </c>
      <c r="CC2263">
        <v>7</v>
      </c>
      <c r="CD2263">
        <v>-1.8380000000000001</v>
      </c>
      <c r="CE2263">
        <v>1.15E-2</v>
      </c>
      <c r="CF2263"/>
    </row>
    <row r="2264" spans="1:84" s="8" customFormat="1" hidden="1" x14ac:dyDescent="0.2">
      <c r="A2264"/>
      <c r="B2264" t="str">
        <f>ROW()-1&amp;"_AltersInvert"</f>
        <v>2263_AltersInvert</v>
      </c>
      <c r="C2264" t="str">
        <f>D2264&amp;"_"&amp;
SUBSTITUTE(TRIM(V2264)," ","_")&amp;"_"&amp;
TRIM(AC2264)&amp;"_"&amp;
"CO2"&amp;TEXT(AN2264,"0.00")&amp;"_"&amp;
"pH"&amp;TEXT(AR2264,"0.00")&amp;"_"&amp;
"T"&amp;TEXT(BC2264,"0.##")</f>
        <v>16_Hyas_araneus_LARVA_CO2354.00_pH8.11_T3.</v>
      </c>
      <c r="D2264">
        <v>16</v>
      </c>
      <c r="E2264"/>
      <c r="F2264"/>
      <c r="G2264" t="s">
        <v>43</v>
      </c>
      <c r="H2264" t="s">
        <v>243</v>
      </c>
      <c r="I2264"/>
      <c r="J2264">
        <v>2010</v>
      </c>
      <c r="K2264"/>
      <c r="L2264"/>
      <c r="M2264" t="s">
        <v>244</v>
      </c>
      <c r="N2264"/>
      <c r="O2264"/>
      <c r="P2264" t="s">
        <v>1135</v>
      </c>
      <c r="Q2264"/>
      <c r="R2264" t="s">
        <v>1127</v>
      </c>
      <c r="S2264" t="s">
        <v>1128</v>
      </c>
      <c r="T2264" t="s">
        <v>131</v>
      </c>
      <c r="U2264" t="s">
        <v>245</v>
      </c>
      <c r="V2264" t="s">
        <v>246</v>
      </c>
      <c r="W2264"/>
      <c r="X2264"/>
      <c r="Y2264"/>
      <c r="Z2264" t="s">
        <v>49</v>
      </c>
      <c r="AA2264" t="s">
        <v>49</v>
      </c>
      <c r="AB2264" t="s">
        <v>71</v>
      </c>
      <c r="AC2264" t="s">
        <v>72</v>
      </c>
      <c r="AD2264" t="s">
        <v>52</v>
      </c>
      <c r="AE2264" t="s">
        <v>53</v>
      </c>
      <c r="AF2264" t="s">
        <v>54</v>
      </c>
      <c r="AG2264" t="s">
        <v>52</v>
      </c>
      <c r="AH2264" t="s">
        <v>65</v>
      </c>
      <c r="AI2264"/>
      <c r="AJ2264"/>
      <c r="AK2264">
        <v>279</v>
      </c>
      <c r="AL2264">
        <v>279</v>
      </c>
      <c r="AM2264"/>
      <c r="AN2264">
        <v>354</v>
      </c>
      <c r="AO2264" t="s">
        <v>56</v>
      </c>
      <c r="AP2264">
        <v>65</v>
      </c>
      <c r="AQ2264" t="s">
        <v>56</v>
      </c>
      <c r="AR2264">
        <v>8.11</v>
      </c>
      <c r="AS2264" t="s">
        <v>56</v>
      </c>
      <c r="AT2264">
        <v>0.05</v>
      </c>
      <c r="AU2264">
        <v>346</v>
      </c>
      <c r="AV2264" t="s">
        <v>56</v>
      </c>
      <c r="AW2264">
        <v>80</v>
      </c>
      <c r="AX2264">
        <v>8.1199999999999992</v>
      </c>
      <c r="AY2264" t="s">
        <v>56</v>
      </c>
      <c r="AZ2264" t="s">
        <v>56</v>
      </c>
      <c r="BA2264"/>
      <c r="BB2264">
        <f>LOG(AU2264)</f>
        <v>2.5390760987927767</v>
      </c>
      <c r="BC2264">
        <v>3</v>
      </c>
      <c r="BD2264" t="s">
        <v>56</v>
      </c>
      <c r="BE2264" t="s">
        <v>56</v>
      </c>
      <c r="BF2264">
        <v>9</v>
      </c>
      <c r="BG2264" t="s">
        <v>56</v>
      </c>
      <c r="BH2264" t="s">
        <v>56</v>
      </c>
      <c r="BI2264">
        <v>-8</v>
      </c>
      <c r="BJ2264">
        <v>6</v>
      </c>
      <c r="BK2264" t="s">
        <v>247</v>
      </c>
      <c r="BL2264" t="s">
        <v>248</v>
      </c>
      <c r="BM2264" t="s">
        <v>249</v>
      </c>
      <c r="BN2264" t="s">
        <v>60</v>
      </c>
      <c r="BO2264" t="s">
        <v>250</v>
      </c>
      <c r="BP2264" t="s">
        <v>9</v>
      </c>
      <c r="BQ2264" t="s">
        <v>9</v>
      </c>
      <c r="BR2264" t="s">
        <v>63</v>
      </c>
      <c r="BS2264"/>
      <c r="BT2264">
        <v>72.33</v>
      </c>
      <c r="BU2264">
        <v>72.33</v>
      </c>
      <c r="BV2264">
        <v>6.76</v>
      </c>
      <c r="BW2264">
        <f>BV2264*SQRT(AK2264)</f>
        <v>112.91426127819285</v>
      </c>
      <c r="BX2264">
        <v>19.09</v>
      </c>
      <c r="BY2264">
        <v>19.09</v>
      </c>
      <c r="BZ2264">
        <v>0.91</v>
      </c>
      <c r="CA2264">
        <f>BZ2264*SQRT(AL2264)</f>
        <v>15.199996710525962</v>
      </c>
      <c r="CB2264">
        <v>40</v>
      </c>
      <c r="CC2264">
        <v>7</v>
      </c>
      <c r="CD2264">
        <v>-1.3320000000000001</v>
      </c>
      <c r="CE2264">
        <v>1.0999999999999999E-2</v>
      </c>
      <c r="CF2264"/>
    </row>
    <row r="2265" spans="1:84" s="8" customFormat="1" hidden="1" x14ac:dyDescent="0.2">
      <c r="A2265"/>
      <c r="B2265" t="str">
        <f>ROW()-1&amp;"_AltersInvert"</f>
        <v>2264_AltersInvert</v>
      </c>
      <c r="C2265" t="str">
        <f>D2265&amp;"_"&amp;
SUBSTITUTE(TRIM(V2265)," ","_")&amp;"_"&amp;
TRIM(AC2265)&amp;"_"&amp;
"CO2"&amp;TEXT(AN2265,"0.00")&amp;"_"&amp;
"pH"&amp;TEXT(AR2265,"0.00")&amp;"_"&amp;
"T"&amp;TEXT(BC2265,"0.##")</f>
        <v>16_Hyas_araneus_LARVA_CO2354.00_pH8.11_T3.</v>
      </c>
      <c r="D2265">
        <v>16</v>
      </c>
      <c r="E2265"/>
      <c r="F2265"/>
      <c r="G2265" t="s">
        <v>43</v>
      </c>
      <c r="H2265" t="s">
        <v>243</v>
      </c>
      <c r="I2265"/>
      <c r="J2265">
        <v>2010</v>
      </c>
      <c r="K2265"/>
      <c r="L2265"/>
      <c r="M2265" t="s">
        <v>244</v>
      </c>
      <c r="N2265"/>
      <c r="O2265"/>
      <c r="P2265" t="s">
        <v>1135</v>
      </c>
      <c r="Q2265"/>
      <c r="R2265" t="s">
        <v>1127</v>
      </c>
      <c r="S2265" t="s">
        <v>1128</v>
      </c>
      <c r="T2265" t="s">
        <v>131</v>
      </c>
      <c r="U2265" t="s">
        <v>245</v>
      </c>
      <c r="V2265" t="s">
        <v>246</v>
      </c>
      <c r="W2265"/>
      <c r="X2265"/>
      <c r="Y2265"/>
      <c r="Z2265" t="s">
        <v>49</v>
      </c>
      <c r="AA2265" t="s">
        <v>49</v>
      </c>
      <c r="AB2265" t="s">
        <v>71</v>
      </c>
      <c r="AC2265" t="s">
        <v>72</v>
      </c>
      <c r="AD2265" t="s">
        <v>52</v>
      </c>
      <c r="AE2265" t="s">
        <v>53</v>
      </c>
      <c r="AF2265" t="s">
        <v>52</v>
      </c>
      <c r="AG2265" t="s">
        <v>52</v>
      </c>
      <c r="AH2265" t="s">
        <v>64</v>
      </c>
      <c r="AI2265"/>
      <c r="AJ2265"/>
      <c r="AK2265">
        <v>279</v>
      </c>
      <c r="AL2265">
        <v>279</v>
      </c>
      <c r="AM2265"/>
      <c r="AN2265">
        <v>354</v>
      </c>
      <c r="AO2265" t="s">
        <v>56</v>
      </c>
      <c r="AP2265">
        <v>65</v>
      </c>
      <c r="AQ2265" t="s">
        <v>56</v>
      </c>
      <c r="AR2265">
        <v>8.11</v>
      </c>
      <c r="AS2265" t="s">
        <v>56</v>
      </c>
      <c r="AT2265">
        <v>0.05</v>
      </c>
      <c r="AU2265">
        <v>846</v>
      </c>
      <c r="AV2265" t="s">
        <v>56</v>
      </c>
      <c r="AW2265">
        <v>42</v>
      </c>
      <c r="AX2265">
        <v>7.79</v>
      </c>
      <c r="AY2265" t="s">
        <v>56</v>
      </c>
      <c r="AZ2265" t="s">
        <v>56</v>
      </c>
      <c r="BA2265"/>
      <c r="BB2265">
        <f>LOG(AU2265)</f>
        <v>2.9273703630390235</v>
      </c>
      <c r="BC2265">
        <v>3</v>
      </c>
      <c r="BD2265" t="s">
        <v>56</v>
      </c>
      <c r="BE2265" t="s">
        <v>56</v>
      </c>
      <c r="BF2265">
        <v>15</v>
      </c>
      <c r="BG2265" t="s">
        <v>56</v>
      </c>
      <c r="BH2265" t="s">
        <v>56</v>
      </c>
      <c r="BI2265">
        <v>492</v>
      </c>
      <c r="BJ2265">
        <v>12</v>
      </c>
      <c r="BK2265" t="s">
        <v>247</v>
      </c>
      <c r="BL2265" t="s">
        <v>248</v>
      </c>
      <c r="BM2265" t="s">
        <v>249</v>
      </c>
      <c r="BN2265" t="s">
        <v>60</v>
      </c>
      <c r="BO2265" t="s">
        <v>250</v>
      </c>
      <c r="BP2265" t="s">
        <v>9</v>
      </c>
      <c r="BQ2265" t="s">
        <v>9</v>
      </c>
      <c r="BR2265" t="s">
        <v>63</v>
      </c>
      <c r="BS2265"/>
      <c r="BT2265">
        <v>72.33</v>
      </c>
      <c r="BU2265">
        <v>72.33</v>
      </c>
      <c r="BV2265">
        <v>6.76</v>
      </c>
      <c r="BW2265">
        <f>BV2265*SQRT(AK2265)</f>
        <v>112.91426127819285</v>
      </c>
      <c r="BX2265">
        <v>11.06</v>
      </c>
      <c r="BY2265">
        <v>11.06</v>
      </c>
      <c r="BZ2265">
        <v>0.6</v>
      </c>
      <c r="CA2265">
        <f>BZ2265*SQRT(AL2265)</f>
        <v>10.021975853094039</v>
      </c>
      <c r="CB2265">
        <v>20</v>
      </c>
      <c r="CC2265">
        <v>7</v>
      </c>
      <c r="CD2265">
        <v>-1.8779999999999999</v>
      </c>
      <c r="CE2265">
        <v>1.17E-2</v>
      </c>
      <c r="CF2265"/>
    </row>
    <row r="2266" spans="1:84" s="8" customFormat="1" hidden="1" x14ac:dyDescent="0.2">
      <c r="A2266"/>
      <c r="B2266" t="str">
        <f>ROW()-1&amp;"_AltersInvert"</f>
        <v>2265_AltersInvert</v>
      </c>
      <c r="C2266" t="str">
        <f>D2266&amp;"_"&amp;
SUBSTITUTE(TRIM(V2266)," ","_")&amp;"_"&amp;
TRIM(AC2266)&amp;"_"&amp;
"CO2"&amp;TEXT(AN2266,"0.00")&amp;"_"&amp;
"pH"&amp;TEXT(AR2266,"0.00")&amp;"_"&amp;
"T"&amp;TEXT(BC2266,"0.##")</f>
        <v>16_Hyas_araneus_LARVA_CO2354.00_pH8.11_T3.</v>
      </c>
      <c r="D2266">
        <v>16</v>
      </c>
      <c r="E2266"/>
      <c r="F2266"/>
      <c r="G2266" t="s">
        <v>43</v>
      </c>
      <c r="H2266" t="s">
        <v>243</v>
      </c>
      <c r="I2266"/>
      <c r="J2266">
        <v>2010</v>
      </c>
      <c r="K2266"/>
      <c r="L2266"/>
      <c r="M2266" t="s">
        <v>244</v>
      </c>
      <c r="N2266"/>
      <c r="O2266"/>
      <c r="P2266" t="s">
        <v>1135</v>
      </c>
      <c r="Q2266"/>
      <c r="R2266" t="s">
        <v>1127</v>
      </c>
      <c r="S2266" t="s">
        <v>1128</v>
      </c>
      <c r="T2266" t="s">
        <v>131</v>
      </c>
      <c r="U2266" t="s">
        <v>245</v>
      </c>
      <c r="V2266" t="s">
        <v>246</v>
      </c>
      <c r="W2266"/>
      <c r="X2266"/>
      <c r="Y2266"/>
      <c r="Z2266" t="s">
        <v>49</v>
      </c>
      <c r="AA2266" t="s">
        <v>49</v>
      </c>
      <c r="AB2266" t="s">
        <v>71</v>
      </c>
      <c r="AC2266" t="s">
        <v>72</v>
      </c>
      <c r="AD2266" t="s">
        <v>52</v>
      </c>
      <c r="AE2266" t="s">
        <v>53</v>
      </c>
      <c r="AF2266" t="s">
        <v>52</v>
      </c>
      <c r="AG2266" t="s">
        <v>52</v>
      </c>
      <c r="AH2266" t="s">
        <v>64</v>
      </c>
      <c r="AI2266"/>
      <c r="AJ2266"/>
      <c r="AK2266">
        <v>279</v>
      </c>
      <c r="AL2266">
        <v>279</v>
      </c>
      <c r="AM2266"/>
      <c r="AN2266">
        <v>354</v>
      </c>
      <c r="AO2266" t="s">
        <v>56</v>
      </c>
      <c r="AP2266">
        <v>65</v>
      </c>
      <c r="AQ2266" t="s">
        <v>56</v>
      </c>
      <c r="AR2266">
        <v>8.11</v>
      </c>
      <c r="AS2266" t="s">
        <v>56</v>
      </c>
      <c r="AT2266">
        <v>0.05</v>
      </c>
      <c r="AU2266">
        <v>2637</v>
      </c>
      <c r="AV2266" t="s">
        <v>56</v>
      </c>
      <c r="AW2266">
        <v>160</v>
      </c>
      <c r="AX2266">
        <v>7.34</v>
      </c>
      <c r="AY2266" t="s">
        <v>56</v>
      </c>
      <c r="AZ2266" t="s">
        <v>56</v>
      </c>
      <c r="BA2266"/>
      <c r="BB2266">
        <f>LOG(AU2266)</f>
        <v>3.4211101297934343</v>
      </c>
      <c r="BC2266">
        <v>3</v>
      </c>
      <c r="BD2266" t="s">
        <v>56</v>
      </c>
      <c r="BE2266" t="s">
        <v>56</v>
      </c>
      <c r="BF2266">
        <v>15</v>
      </c>
      <c r="BG2266" t="s">
        <v>56</v>
      </c>
      <c r="BH2266" t="s">
        <v>56</v>
      </c>
      <c r="BI2266">
        <v>2283</v>
      </c>
      <c r="BJ2266">
        <v>12</v>
      </c>
      <c r="BK2266" t="s">
        <v>247</v>
      </c>
      <c r="BL2266" t="s">
        <v>248</v>
      </c>
      <c r="BM2266" t="s">
        <v>249</v>
      </c>
      <c r="BN2266" t="s">
        <v>60</v>
      </c>
      <c r="BO2266" t="s">
        <v>250</v>
      </c>
      <c r="BP2266" t="s">
        <v>9</v>
      </c>
      <c r="BQ2266" t="s">
        <v>9</v>
      </c>
      <c r="BR2266" t="s">
        <v>63</v>
      </c>
      <c r="BS2266"/>
      <c r="BT2266">
        <v>72.33</v>
      </c>
      <c r="BU2266">
        <v>72.33</v>
      </c>
      <c r="BV2266">
        <v>6.76</v>
      </c>
      <c r="BW2266">
        <f>BV2266*SQRT(AK2266)</f>
        <v>112.91426127819285</v>
      </c>
      <c r="BX2266">
        <v>11.81</v>
      </c>
      <c r="BY2266">
        <v>11.81</v>
      </c>
      <c r="BZ2266">
        <v>0.91</v>
      </c>
      <c r="CA2266">
        <f>BZ2266*SQRT(AL2266)</f>
        <v>15.199996710525962</v>
      </c>
      <c r="CB2266">
        <v>20</v>
      </c>
      <c r="CC2266">
        <v>7</v>
      </c>
      <c r="CD2266">
        <v>-1.8120000000000001</v>
      </c>
      <c r="CE2266">
        <v>1.47E-2</v>
      </c>
      <c r="CF2266"/>
    </row>
    <row r="2267" spans="1:84" hidden="1" x14ac:dyDescent="0.2">
      <c r="B2267" t="str">
        <f>ROW()-1&amp;"_AltersInvert"</f>
        <v>2266_AltersInvert</v>
      </c>
      <c r="C2267" t="str">
        <f>D2267&amp;"_"&amp;
SUBSTITUTE(TRIM(V2267)," ","_")&amp;"_"&amp;
TRIM(AC2267)&amp;"_"&amp;
"CO2"&amp;TEXT(AN2267,"0.00")&amp;"_"&amp;
"pH"&amp;TEXT(AR2267,"0.00")&amp;"_"&amp;
"T"&amp;TEXT(BC2267,"0.##")</f>
        <v>16_Hyas_araneus_LARVA_CO2354.00_pH8.11_T3.</v>
      </c>
      <c r="D2267">
        <v>16</v>
      </c>
      <c r="G2267" t="s">
        <v>43</v>
      </c>
      <c r="H2267" t="s">
        <v>243</v>
      </c>
      <c r="J2267">
        <v>2010</v>
      </c>
      <c r="M2267" t="s">
        <v>244</v>
      </c>
      <c r="P2267" t="s">
        <v>1135</v>
      </c>
      <c r="R2267" t="s">
        <v>1127</v>
      </c>
      <c r="S2267" t="s">
        <v>1128</v>
      </c>
      <c r="T2267" t="s">
        <v>131</v>
      </c>
      <c r="U2267" t="s">
        <v>245</v>
      </c>
      <c r="V2267" t="s">
        <v>246</v>
      </c>
      <c r="Z2267" t="s">
        <v>49</v>
      </c>
      <c r="AA2267" t="s">
        <v>49</v>
      </c>
      <c r="AB2267" t="s">
        <v>71</v>
      </c>
      <c r="AC2267" t="s">
        <v>72</v>
      </c>
      <c r="AD2267" t="s">
        <v>52</v>
      </c>
      <c r="AE2267" t="s">
        <v>53</v>
      </c>
      <c r="AF2267" t="s">
        <v>52</v>
      </c>
      <c r="AG2267" t="s">
        <v>52</v>
      </c>
      <c r="AH2267" t="s">
        <v>64</v>
      </c>
      <c r="AK2267">
        <v>279</v>
      </c>
      <c r="AL2267">
        <v>279</v>
      </c>
      <c r="AN2267">
        <v>354</v>
      </c>
      <c r="AO2267" t="s">
        <v>56</v>
      </c>
      <c r="AP2267">
        <v>65</v>
      </c>
      <c r="AQ2267" t="s">
        <v>56</v>
      </c>
      <c r="AR2267">
        <v>8.11</v>
      </c>
      <c r="AS2267" t="s">
        <v>56</v>
      </c>
      <c r="AT2267">
        <v>0.05</v>
      </c>
      <c r="AU2267">
        <v>786</v>
      </c>
      <c r="AV2267" t="s">
        <v>56</v>
      </c>
      <c r="AW2267">
        <v>54</v>
      </c>
      <c r="AX2267">
        <v>7.81</v>
      </c>
      <c r="AY2267" t="s">
        <v>56</v>
      </c>
      <c r="AZ2267" t="s">
        <v>56</v>
      </c>
      <c r="BB2267">
        <f>LOG(AU2267)</f>
        <v>2.8954225460394079</v>
      </c>
      <c r="BC2267">
        <v>3</v>
      </c>
      <c r="BD2267" t="s">
        <v>56</v>
      </c>
      <c r="BE2267" t="s">
        <v>56</v>
      </c>
      <c r="BF2267">
        <v>9</v>
      </c>
      <c r="BG2267" t="s">
        <v>56</v>
      </c>
      <c r="BH2267" t="s">
        <v>56</v>
      </c>
      <c r="BI2267">
        <v>432</v>
      </c>
      <c r="BJ2267">
        <v>6</v>
      </c>
      <c r="BK2267" t="s">
        <v>247</v>
      </c>
      <c r="BL2267" t="s">
        <v>248</v>
      </c>
      <c r="BM2267" t="s">
        <v>249</v>
      </c>
      <c r="BN2267" t="s">
        <v>60</v>
      </c>
      <c r="BO2267" t="s">
        <v>250</v>
      </c>
      <c r="BP2267" t="s">
        <v>9</v>
      </c>
      <c r="BQ2267" t="s">
        <v>9</v>
      </c>
      <c r="BR2267" t="s">
        <v>63</v>
      </c>
      <c r="BT2267">
        <v>72.33</v>
      </c>
      <c r="BU2267">
        <v>72.33</v>
      </c>
      <c r="BV2267">
        <v>6.76</v>
      </c>
      <c r="BW2267">
        <f>BV2267*SQRT(AK2267)</f>
        <v>112.91426127819285</v>
      </c>
      <c r="BX2267">
        <v>19.309999999999999</v>
      </c>
      <c r="BY2267">
        <v>19.309999999999999</v>
      </c>
      <c r="BZ2267">
        <v>0.69</v>
      </c>
      <c r="CA2267">
        <f>BZ2267*SQRT(AL2267)</f>
        <v>11.525272231058146</v>
      </c>
      <c r="CB2267">
        <v>40</v>
      </c>
      <c r="CC2267">
        <v>7</v>
      </c>
      <c r="CD2267">
        <v>-1.321</v>
      </c>
      <c r="CE2267">
        <v>0.01</v>
      </c>
    </row>
    <row r="2268" spans="1:84" hidden="1" x14ac:dyDescent="0.2">
      <c r="B2268" t="str">
        <f>ROW()-1&amp;"_AltersInvert"</f>
        <v>2267_AltersInvert</v>
      </c>
      <c r="C2268" t="str">
        <f>D2268&amp;"_"&amp;
SUBSTITUTE(TRIM(V2268)," ","_")&amp;"_"&amp;
TRIM(AC2268)&amp;"_"&amp;
"CO2"&amp;TEXT(AN2268,"0.00")&amp;"_"&amp;
"pH"&amp;TEXT(AR2268,"0.00")&amp;"_"&amp;
"T"&amp;TEXT(BC2268,"0.##")</f>
        <v>16_Hyas_araneus_LARVA_CO2354.00_pH8.11_T3.</v>
      </c>
      <c r="D2268">
        <v>16</v>
      </c>
      <c r="G2268" t="s">
        <v>43</v>
      </c>
      <c r="H2268" t="s">
        <v>243</v>
      </c>
      <c r="J2268">
        <v>2010</v>
      </c>
      <c r="M2268" t="s">
        <v>244</v>
      </c>
      <c r="P2268" t="s">
        <v>1135</v>
      </c>
      <c r="R2268" t="s">
        <v>1127</v>
      </c>
      <c r="S2268" t="s">
        <v>1128</v>
      </c>
      <c r="T2268" t="s">
        <v>131</v>
      </c>
      <c r="U2268" t="s">
        <v>245</v>
      </c>
      <c r="V2268" t="s">
        <v>246</v>
      </c>
      <c r="Z2268" t="s">
        <v>49</v>
      </c>
      <c r="AA2268" t="s">
        <v>49</v>
      </c>
      <c r="AB2268" t="s">
        <v>71</v>
      </c>
      <c r="AC2268" t="s">
        <v>72</v>
      </c>
      <c r="AD2268" t="s">
        <v>52</v>
      </c>
      <c r="AE2268" t="s">
        <v>53</v>
      </c>
      <c r="AF2268" t="s">
        <v>52</v>
      </c>
      <c r="AG2268" t="s">
        <v>52</v>
      </c>
      <c r="AH2268" t="s">
        <v>64</v>
      </c>
      <c r="AK2268">
        <v>279</v>
      </c>
      <c r="AL2268">
        <v>279</v>
      </c>
      <c r="AN2268">
        <v>354</v>
      </c>
      <c r="AO2268" t="s">
        <v>56</v>
      </c>
      <c r="AP2268">
        <v>65</v>
      </c>
      <c r="AQ2268" t="s">
        <v>56</v>
      </c>
      <c r="AR2268">
        <v>8.11</v>
      </c>
      <c r="AS2268" t="s">
        <v>56</v>
      </c>
      <c r="AT2268">
        <v>0.05</v>
      </c>
      <c r="AU2268">
        <v>2443</v>
      </c>
      <c r="AV2268" t="s">
        <v>56</v>
      </c>
      <c r="AW2268">
        <v>238</v>
      </c>
      <c r="AX2268">
        <v>7.35</v>
      </c>
      <c r="AY2268" t="s">
        <v>56</v>
      </c>
      <c r="AZ2268" t="s">
        <v>56</v>
      </c>
      <c r="BB2268">
        <f>LOG(AU2268)</f>
        <v>3.3879234669734366</v>
      </c>
      <c r="BC2268">
        <v>3</v>
      </c>
      <c r="BD2268" t="s">
        <v>56</v>
      </c>
      <c r="BE2268" t="s">
        <v>56</v>
      </c>
      <c r="BF2268">
        <v>9</v>
      </c>
      <c r="BG2268" t="s">
        <v>56</v>
      </c>
      <c r="BH2268" t="s">
        <v>56</v>
      </c>
      <c r="BI2268">
        <v>2089</v>
      </c>
      <c r="BJ2268">
        <v>6</v>
      </c>
      <c r="BK2268" t="s">
        <v>247</v>
      </c>
      <c r="BL2268" t="s">
        <v>248</v>
      </c>
      <c r="BM2268" t="s">
        <v>249</v>
      </c>
      <c r="BN2268" t="s">
        <v>60</v>
      </c>
      <c r="BO2268" t="s">
        <v>250</v>
      </c>
      <c r="BP2268" t="s">
        <v>9</v>
      </c>
      <c r="BQ2268" t="s">
        <v>9</v>
      </c>
      <c r="BR2268" t="s">
        <v>63</v>
      </c>
      <c r="BT2268">
        <v>72.33</v>
      </c>
      <c r="BU2268">
        <v>72.33</v>
      </c>
      <c r="BV2268">
        <v>6.76</v>
      </c>
      <c r="BW2268">
        <f>BV2268*SQRT(AK2268)</f>
        <v>112.91426127819285</v>
      </c>
      <c r="BX2268">
        <v>19.54</v>
      </c>
      <c r="BY2268">
        <v>19.54</v>
      </c>
      <c r="BZ2268">
        <v>0.68</v>
      </c>
      <c r="CA2268">
        <f>BZ2268*SQRT(AL2268)</f>
        <v>11.358239300173247</v>
      </c>
      <c r="CB2268">
        <v>40</v>
      </c>
      <c r="CC2268">
        <v>7</v>
      </c>
      <c r="CD2268">
        <v>-1.3089999999999999</v>
      </c>
      <c r="CE2268">
        <v>9.9000000000000008E-3</v>
      </c>
    </row>
    <row r="2269" spans="1:84" hidden="1" x14ac:dyDescent="0.2">
      <c r="D2269">
        <v>212</v>
      </c>
      <c r="G2269" t="s">
        <v>43</v>
      </c>
      <c r="H2269" t="s">
        <v>1063</v>
      </c>
      <c r="J2269">
        <v>2010</v>
      </c>
      <c r="K2269" t="s">
        <v>1062</v>
      </c>
      <c r="M2269" t="s">
        <v>67</v>
      </c>
      <c r="T2269" t="s">
        <v>68</v>
      </c>
      <c r="U2269" t="s">
        <v>167</v>
      </c>
      <c r="V2269" t="s">
        <v>168</v>
      </c>
      <c r="AC2269" t="s">
        <v>108</v>
      </c>
      <c r="AF2269" t="s">
        <v>52</v>
      </c>
      <c r="AG2269" t="s">
        <v>52</v>
      </c>
      <c r="AH2269" t="s">
        <v>64</v>
      </c>
      <c r="AK2269">
        <v>3</v>
      </c>
      <c r="AL2269">
        <v>3</v>
      </c>
      <c r="AN2269">
        <v>375</v>
      </c>
      <c r="AU2269">
        <v>750</v>
      </c>
      <c r="BB2269">
        <f>LOG(AU2269)</f>
        <v>2.8750612633917001</v>
      </c>
      <c r="BC2269">
        <v>18</v>
      </c>
      <c r="BF2269">
        <v>30</v>
      </c>
      <c r="BI2269">
        <v>375</v>
      </c>
      <c r="BJ2269">
        <v>12</v>
      </c>
      <c r="BK2269" t="s">
        <v>56</v>
      </c>
      <c r="BL2269" t="s">
        <v>92</v>
      </c>
      <c r="BM2269" t="s">
        <v>262</v>
      </c>
      <c r="BN2269" t="s">
        <v>81</v>
      </c>
      <c r="BO2269" t="s">
        <v>917</v>
      </c>
      <c r="BP2269" t="s">
        <v>92</v>
      </c>
      <c r="BR2269" t="s">
        <v>63</v>
      </c>
      <c r="BT2269">
        <v>405.17</v>
      </c>
      <c r="BU2269">
        <v>405.17200000000003</v>
      </c>
      <c r="BV2269">
        <v>31.61</v>
      </c>
      <c r="BW2269">
        <f>BV2269*SQRT(AK2269)</f>
        <v>54.750126027252207</v>
      </c>
      <c r="BX2269">
        <v>86.21</v>
      </c>
      <c r="BY2269">
        <v>86.206999999999994</v>
      </c>
      <c r="BZ2269">
        <v>14.37</v>
      </c>
      <c r="CA2269">
        <f>BZ2269*SQRT(AL2269)</f>
        <v>24.889570104764765</v>
      </c>
      <c r="CB2269">
        <v>4</v>
      </c>
      <c r="CC2269">
        <v>3</v>
      </c>
      <c r="CD2269">
        <v>-1.548</v>
      </c>
      <c r="CE2269">
        <v>3.39E-2</v>
      </c>
    </row>
    <row r="2270" spans="1:84" s="8" customFormat="1" hidden="1" x14ac:dyDescent="0.2">
      <c r="A2270"/>
      <c r="B2270" t="str">
        <f>ROW()-1&amp;"_AltersInvert"</f>
        <v>2269_AltersInvert</v>
      </c>
      <c r="C2270" t="str">
        <f>D2270&amp;"_"&amp;
SUBSTITUTE(TRIM(V2270)," ","_")&amp;"_"&amp;
TRIM(AC2270)&amp;"_"&amp;
"CO2"&amp;TEXT(AN2270,"0.00")&amp;"_"&amp;
"pH"&amp;TEXT(AR2270,"0.00")&amp;"_"&amp;
"T"&amp;TEXT(BC2270,"0.##")</f>
        <v>114_Acropora_tenuis_LARVA_CO2421.00_pH8.17_T25.7</v>
      </c>
      <c r="D2270">
        <v>114</v>
      </c>
      <c r="E2270"/>
      <c r="F2270"/>
      <c r="G2270" t="s">
        <v>43</v>
      </c>
      <c r="H2270" t="s">
        <v>841</v>
      </c>
      <c r="I2270"/>
      <c r="J2270">
        <v>2013</v>
      </c>
      <c r="K2270"/>
      <c r="L2270"/>
      <c r="M2270" t="s">
        <v>257</v>
      </c>
      <c r="N2270"/>
      <c r="O2270"/>
      <c r="P2270" t="s">
        <v>1135</v>
      </c>
      <c r="Q2270"/>
      <c r="R2270" t="s">
        <v>1127</v>
      </c>
      <c r="S2270" t="s">
        <v>1128</v>
      </c>
      <c r="T2270" t="s">
        <v>103</v>
      </c>
      <c r="U2270" t="s">
        <v>228</v>
      </c>
      <c r="V2270" t="s">
        <v>843</v>
      </c>
      <c r="W2270"/>
      <c r="X2270"/>
      <c r="Y2270"/>
      <c r="Z2270" t="s">
        <v>106</v>
      </c>
      <c r="AA2270" t="s">
        <v>107</v>
      </c>
      <c r="AB2270" t="s">
        <v>71</v>
      </c>
      <c r="AC2270" t="s">
        <v>72</v>
      </c>
      <c r="AD2270" t="s">
        <v>52</v>
      </c>
      <c r="AE2270" t="s">
        <v>53</v>
      </c>
      <c r="AF2270" t="s">
        <v>52</v>
      </c>
      <c r="AG2270" t="s">
        <v>54</v>
      </c>
      <c r="AH2270" t="s">
        <v>55</v>
      </c>
      <c r="AI2270"/>
      <c r="AJ2270"/>
      <c r="AK2270">
        <v>270</v>
      </c>
      <c r="AL2270">
        <v>270</v>
      </c>
      <c r="AM2270"/>
      <c r="AN2270">
        <v>421</v>
      </c>
      <c r="AO2270">
        <v>10</v>
      </c>
      <c r="AP2270" t="s">
        <v>56</v>
      </c>
      <c r="AQ2270" t="s">
        <v>57</v>
      </c>
      <c r="AR2270">
        <v>8.17</v>
      </c>
      <c r="AS2270">
        <v>0.01</v>
      </c>
      <c r="AT2270" t="s">
        <v>56</v>
      </c>
      <c r="AU2270">
        <v>655</v>
      </c>
      <c r="AV2270">
        <v>41</v>
      </c>
      <c r="AW2270" t="s">
        <v>56</v>
      </c>
      <c r="AX2270">
        <v>8.06</v>
      </c>
      <c r="AY2270">
        <v>0.02</v>
      </c>
      <c r="AZ2270" t="s">
        <v>56</v>
      </c>
      <c r="BA2270"/>
      <c r="BB2270">
        <f>LOG(AU2270)</f>
        <v>2.8162412999917832</v>
      </c>
      <c r="BC2270">
        <v>25.7</v>
      </c>
      <c r="BD2270">
        <v>0.1</v>
      </c>
      <c r="BE2270" t="s">
        <v>56</v>
      </c>
      <c r="BF2270">
        <v>25.6</v>
      </c>
      <c r="BG2270">
        <v>0.1</v>
      </c>
      <c r="BH2270" t="s">
        <v>56</v>
      </c>
      <c r="BI2270">
        <v>234</v>
      </c>
      <c r="BJ2270">
        <v>-0.1</v>
      </c>
      <c r="BK2270" t="s">
        <v>56</v>
      </c>
      <c r="BL2270" t="s">
        <v>651</v>
      </c>
      <c r="BM2270" t="s">
        <v>651</v>
      </c>
      <c r="BN2270" t="s">
        <v>81</v>
      </c>
      <c r="BO2270" t="s">
        <v>82</v>
      </c>
      <c r="BP2270" t="s">
        <v>9</v>
      </c>
      <c r="BQ2270" t="s">
        <v>9</v>
      </c>
      <c r="BR2270" t="s">
        <v>84</v>
      </c>
      <c r="BS2270"/>
      <c r="BT2270">
        <v>52.59</v>
      </c>
      <c r="BU2270">
        <v>52.590674</v>
      </c>
      <c r="BV2270">
        <v>8.0299999999999994</v>
      </c>
      <c r="BW2270">
        <f>BV2270*SQRT(AK2270)</f>
        <v>131.94636410299449</v>
      </c>
      <c r="BX2270">
        <v>58.55</v>
      </c>
      <c r="BY2270">
        <v>58.549222800000003</v>
      </c>
      <c r="BZ2270">
        <v>3.37</v>
      </c>
      <c r="CA2270">
        <f>BZ2270*SQRT(AL2270)</f>
        <v>55.374750563772295</v>
      </c>
      <c r="CB2270">
        <v>19</v>
      </c>
      <c r="CC2270">
        <v>18</v>
      </c>
      <c r="CD2270">
        <v>0.107</v>
      </c>
      <c r="CE2270">
        <v>2.6599999999999999E-2</v>
      </c>
      <c r="CF2270"/>
    </row>
    <row r="2271" spans="1:84" s="8" customFormat="1" hidden="1" x14ac:dyDescent="0.2">
      <c r="A2271"/>
      <c r="B2271" t="str">
        <f>ROW()-1&amp;"_AltersInvert"</f>
        <v>2270_AltersInvert</v>
      </c>
      <c r="C2271" t="str">
        <f>D2271&amp;"_"&amp;
SUBSTITUTE(TRIM(V2271)," ","_")&amp;"_"&amp;
TRIM(AC2271)&amp;"_"&amp;
"CO2"&amp;TEXT(AN2271,"0.00")&amp;"_"&amp;
"pH"&amp;TEXT(AR2271,"0.00")&amp;"_"&amp;
"T"&amp;TEXT(BC2271,"0.##")</f>
        <v>114_Acropora_tenuis_LARVA_CO2421.00_pH8.17_T25.7</v>
      </c>
      <c r="D2271">
        <v>114</v>
      </c>
      <c r="E2271"/>
      <c r="F2271"/>
      <c r="G2271" t="s">
        <v>43</v>
      </c>
      <c r="H2271" t="s">
        <v>841</v>
      </c>
      <c r="I2271"/>
      <c r="J2271">
        <v>2013</v>
      </c>
      <c r="K2271"/>
      <c r="L2271"/>
      <c r="M2271" t="s">
        <v>257</v>
      </c>
      <c r="N2271"/>
      <c r="O2271"/>
      <c r="P2271" t="s">
        <v>1135</v>
      </c>
      <c r="Q2271"/>
      <c r="R2271" t="s">
        <v>1127</v>
      </c>
      <c r="S2271" t="s">
        <v>1128</v>
      </c>
      <c r="T2271" t="s">
        <v>103</v>
      </c>
      <c r="U2271" t="s">
        <v>228</v>
      </c>
      <c r="V2271" t="s">
        <v>843</v>
      </c>
      <c r="W2271"/>
      <c r="X2271"/>
      <c r="Y2271"/>
      <c r="Z2271" t="s">
        <v>106</v>
      </c>
      <c r="AA2271" t="s">
        <v>107</v>
      </c>
      <c r="AB2271" t="s">
        <v>71</v>
      </c>
      <c r="AC2271" t="s">
        <v>72</v>
      </c>
      <c r="AD2271" t="s">
        <v>52</v>
      </c>
      <c r="AE2271" t="s">
        <v>53</v>
      </c>
      <c r="AF2271" t="s">
        <v>54</v>
      </c>
      <c r="AG2271" t="s">
        <v>52</v>
      </c>
      <c r="AH2271" t="s">
        <v>65</v>
      </c>
      <c r="AI2271"/>
      <c r="AJ2271"/>
      <c r="AK2271">
        <v>270</v>
      </c>
      <c r="AL2271">
        <v>270</v>
      </c>
      <c r="AM2271"/>
      <c r="AN2271">
        <v>421</v>
      </c>
      <c r="AO2271">
        <v>10</v>
      </c>
      <c r="AP2271" t="s">
        <v>56</v>
      </c>
      <c r="AQ2271" t="s">
        <v>57</v>
      </c>
      <c r="AR2271">
        <v>8.17</v>
      </c>
      <c r="AS2271">
        <v>0.01</v>
      </c>
      <c r="AT2271" t="s">
        <v>56</v>
      </c>
      <c r="AU2271">
        <v>499</v>
      </c>
      <c r="AV2271">
        <v>9</v>
      </c>
      <c r="AW2271" t="s">
        <v>56</v>
      </c>
      <c r="AX2271">
        <v>8.18</v>
      </c>
      <c r="AY2271">
        <v>0.01</v>
      </c>
      <c r="AZ2271" t="s">
        <v>56</v>
      </c>
      <c r="BA2271"/>
      <c r="BB2271">
        <f>LOG(AU2271)</f>
        <v>2.6981005456233897</v>
      </c>
      <c r="BC2271">
        <v>25.7</v>
      </c>
      <c r="BD2271">
        <v>0.1</v>
      </c>
      <c r="BE2271" t="s">
        <v>56</v>
      </c>
      <c r="BF2271">
        <v>28.5</v>
      </c>
      <c r="BG2271">
        <v>0.1</v>
      </c>
      <c r="BH2271" t="s">
        <v>56</v>
      </c>
      <c r="BI2271">
        <v>78</v>
      </c>
      <c r="BJ2271">
        <v>2.8</v>
      </c>
      <c r="BK2271" t="s">
        <v>56</v>
      </c>
      <c r="BL2271" t="s">
        <v>651</v>
      </c>
      <c r="BM2271" t="s">
        <v>651</v>
      </c>
      <c r="BN2271" t="s">
        <v>81</v>
      </c>
      <c r="BO2271" t="s">
        <v>82</v>
      </c>
      <c r="BP2271" t="s">
        <v>9</v>
      </c>
      <c r="BQ2271" t="s">
        <v>9</v>
      </c>
      <c r="BR2271" t="s">
        <v>84</v>
      </c>
      <c r="BS2271"/>
      <c r="BT2271">
        <v>52.59</v>
      </c>
      <c r="BU2271">
        <v>52.590674</v>
      </c>
      <c r="BV2271">
        <v>8.0299999999999994</v>
      </c>
      <c r="BW2271">
        <f>BV2271*SQRT(AK2271)</f>
        <v>131.94636410299449</v>
      </c>
      <c r="BX2271">
        <v>69.95</v>
      </c>
      <c r="BY2271">
        <v>69.948186500000006</v>
      </c>
      <c r="BZ2271">
        <v>3.89</v>
      </c>
      <c r="CA2271">
        <f>BZ2271*SQRT(AL2271)</f>
        <v>63.919222460852886</v>
      </c>
      <c r="CB2271">
        <v>19</v>
      </c>
      <c r="CC2271">
        <v>18</v>
      </c>
      <c r="CD2271">
        <v>0.28499999999999998</v>
      </c>
      <c r="CE2271">
        <v>2.64E-2</v>
      </c>
      <c r="CF2271"/>
    </row>
    <row r="2272" spans="1:84" hidden="1" x14ac:dyDescent="0.2">
      <c r="B2272" t="str">
        <f>ROW()-1&amp;"_AltersInvert"</f>
        <v>2271_AltersInvert</v>
      </c>
      <c r="C2272" t="str">
        <f>D2272&amp;"_"&amp;
SUBSTITUTE(TRIM(V2272)," ","_")&amp;"_"&amp;
TRIM(AC2272)&amp;"_"&amp;
"CO2"&amp;TEXT(AN2272,"0.00")&amp;"_"&amp;
"pH"&amp;TEXT(AR2272,"0.00")&amp;"_"&amp;
"T"&amp;TEXT(BC2272,"0.##")</f>
        <v>114_Acropora_tenuis_LARVA_CO2421.00_pH8.17_T25.7</v>
      </c>
      <c r="D2272">
        <v>114</v>
      </c>
      <c r="G2272" t="s">
        <v>43</v>
      </c>
      <c r="H2272" t="s">
        <v>841</v>
      </c>
      <c r="J2272">
        <v>2013</v>
      </c>
      <c r="M2272" t="s">
        <v>257</v>
      </c>
      <c r="P2272" t="s">
        <v>1135</v>
      </c>
      <c r="R2272" t="s">
        <v>1127</v>
      </c>
      <c r="S2272" t="s">
        <v>1128</v>
      </c>
      <c r="T2272" t="s">
        <v>103</v>
      </c>
      <c r="U2272" t="s">
        <v>228</v>
      </c>
      <c r="V2272" t="s">
        <v>843</v>
      </c>
      <c r="Z2272" t="s">
        <v>106</v>
      </c>
      <c r="AA2272" t="s">
        <v>107</v>
      </c>
      <c r="AB2272" t="s">
        <v>71</v>
      </c>
      <c r="AC2272" t="s">
        <v>72</v>
      </c>
      <c r="AD2272" t="s">
        <v>52</v>
      </c>
      <c r="AE2272" t="s">
        <v>53</v>
      </c>
      <c r="AF2272" t="s">
        <v>52</v>
      </c>
      <c r="AG2272" t="s">
        <v>52</v>
      </c>
      <c r="AH2272" t="s">
        <v>64</v>
      </c>
      <c r="AK2272">
        <v>270</v>
      </c>
      <c r="AL2272">
        <v>270</v>
      </c>
      <c r="AN2272">
        <v>421</v>
      </c>
      <c r="AO2272">
        <v>10</v>
      </c>
      <c r="AP2272" t="s">
        <v>56</v>
      </c>
      <c r="AQ2272" t="s">
        <v>57</v>
      </c>
      <c r="AR2272">
        <v>8.17</v>
      </c>
      <c r="AS2272">
        <v>0.01</v>
      </c>
      <c r="AT2272" t="s">
        <v>56</v>
      </c>
      <c r="AU2272">
        <v>663</v>
      </c>
      <c r="AV2272">
        <v>20</v>
      </c>
      <c r="AW2272" t="s">
        <v>56</v>
      </c>
      <c r="AX2272">
        <v>8.06</v>
      </c>
      <c r="AY2272">
        <v>0.01</v>
      </c>
      <c r="AZ2272" t="s">
        <v>56</v>
      </c>
      <c r="BB2272">
        <f>LOG(AU2272)</f>
        <v>2.8215135284047732</v>
      </c>
      <c r="BC2272">
        <v>25.7</v>
      </c>
      <c r="BD2272">
        <v>0.1</v>
      </c>
      <c r="BE2272" t="s">
        <v>56</v>
      </c>
      <c r="BF2272">
        <v>28.9</v>
      </c>
      <c r="BG2272">
        <v>0</v>
      </c>
      <c r="BH2272" t="s">
        <v>56</v>
      </c>
      <c r="BI2272">
        <v>242</v>
      </c>
      <c r="BJ2272">
        <v>3.2</v>
      </c>
      <c r="BK2272" t="s">
        <v>56</v>
      </c>
      <c r="BL2272" t="s">
        <v>651</v>
      </c>
      <c r="BM2272" t="s">
        <v>651</v>
      </c>
      <c r="BN2272" t="s">
        <v>81</v>
      </c>
      <c r="BO2272" t="s">
        <v>82</v>
      </c>
      <c r="BP2272" t="s">
        <v>9</v>
      </c>
      <c r="BQ2272" t="s">
        <v>9</v>
      </c>
      <c r="BR2272" t="s">
        <v>84</v>
      </c>
      <c r="BT2272">
        <v>52.59</v>
      </c>
      <c r="BU2272">
        <v>52.590674</v>
      </c>
      <c r="BV2272">
        <v>8.0299999999999994</v>
      </c>
      <c r="BW2272">
        <f>BV2272*SQRT(AK2272)</f>
        <v>131.94636410299449</v>
      </c>
      <c r="BX2272">
        <v>71.239999999999995</v>
      </c>
      <c r="BY2272">
        <v>71.243523300000007</v>
      </c>
      <c r="BZ2272">
        <v>2.59</v>
      </c>
      <c r="CA2272">
        <f>BZ2272*SQRT(AL2272)</f>
        <v>42.558042718151405</v>
      </c>
      <c r="CB2272">
        <v>19</v>
      </c>
      <c r="CC2272">
        <v>18</v>
      </c>
      <c r="CD2272">
        <v>0.30399999999999999</v>
      </c>
      <c r="CE2272">
        <v>2.46E-2</v>
      </c>
    </row>
    <row r="2273" spans="1:84" s="8" customFormat="1" hidden="1" x14ac:dyDescent="0.2">
      <c r="A2273"/>
      <c r="B2273" t="str">
        <f>ROW()-1&amp;"_AltersInvert"</f>
        <v>2272_AltersInvert</v>
      </c>
      <c r="C2273" t="str">
        <f>D2273&amp;"_"&amp;
SUBSTITUTE(TRIM(V2273)," ","_")&amp;"_"&amp;
TRIM(AC2273)&amp;"_"&amp;
"CO2"&amp;TEXT(AN2273,"0.00")&amp;"_"&amp;
"pH"&amp;TEXT(AR2273,"0.00")&amp;"_"&amp;
"T"&amp;TEXT(BC2273,"0.##")</f>
        <v>11_Pocillopora_damicornis_LARVA_CO2436.00_pH8.02_T27.5</v>
      </c>
      <c r="D2273">
        <v>11</v>
      </c>
      <c r="E2273"/>
      <c r="F2273"/>
      <c r="G2273" t="s">
        <v>43</v>
      </c>
      <c r="H2273" t="s">
        <v>212</v>
      </c>
      <c r="I2273"/>
      <c r="J2273">
        <v>2014</v>
      </c>
      <c r="K2273"/>
      <c r="L2273"/>
      <c r="M2273" t="s">
        <v>213</v>
      </c>
      <c r="N2273"/>
      <c r="O2273"/>
      <c r="P2273" t="s">
        <v>1135</v>
      </c>
      <c r="Q2273"/>
      <c r="R2273" t="s">
        <v>1127</v>
      </c>
      <c r="S2273" t="s">
        <v>1128</v>
      </c>
      <c r="T2273" t="s">
        <v>103</v>
      </c>
      <c r="U2273" t="s">
        <v>201</v>
      </c>
      <c r="V2273" t="s">
        <v>214</v>
      </c>
      <c r="W2273"/>
      <c r="X2273"/>
      <c r="Y2273"/>
      <c r="Z2273" t="s">
        <v>106</v>
      </c>
      <c r="AA2273" t="s">
        <v>107</v>
      </c>
      <c r="AB2273" t="s">
        <v>71</v>
      </c>
      <c r="AC2273" t="s">
        <v>72</v>
      </c>
      <c r="AD2273" t="s">
        <v>52</v>
      </c>
      <c r="AE2273" t="s">
        <v>53</v>
      </c>
      <c r="AF2273" t="s">
        <v>54</v>
      </c>
      <c r="AG2273" t="s">
        <v>54</v>
      </c>
      <c r="AH2273" t="s">
        <v>55</v>
      </c>
      <c r="AI2273"/>
      <c r="AJ2273"/>
      <c r="AK2273">
        <v>6</v>
      </c>
      <c r="AL2273">
        <v>6</v>
      </c>
      <c r="AM2273"/>
      <c r="AN2273">
        <v>436</v>
      </c>
      <c r="AO2273">
        <v>6</v>
      </c>
      <c r="AP2273" t="s">
        <v>56</v>
      </c>
      <c r="AQ2273" t="s">
        <v>109</v>
      </c>
      <c r="AR2273">
        <v>8.02</v>
      </c>
      <c r="AS2273" t="s">
        <v>56</v>
      </c>
      <c r="AT2273" t="s">
        <v>56</v>
      </c>
      <c r="AU2273">
        <v>996</v>
      </c>
      <c r="AV2273">
        <v>12</v>
      </c>
      <c r="AW2273" t="s">
        <v>56</v>
      </c>
      <c r="AX2273">
        <v>7.71</v>
      </c>
      <c r="AY2273" t="s">
        <v>56</v>
      </c>
      <c r="AZ2273" t="s">
        <v>56</v>
      </c>
      <c r="BA2273"/>
      <c r="BB2273">
        <f>LOG(AU2273)</f>
        <v>2.9982593384236988</v>
      </c>
      <c r="BC2273">
        <v>27.5</v>
      </c>
      <c r="BD2273" t="s">
        <v>56</v>
      </c>
      <c r="BE2273" t="s">
        <v>56</v>
      </c>
      <c r="BF2273">
        <v>28.1</v>
      </c>
      <c r="BG2273" t="s">
        <v>56</v>
      </c>
      <c r="BH2273" t="s">
        <v>56</v>
      </c>
      <c r="BI2273">
        <v>560</v>
      </c>
      <c r="BJ2273">
        <v>0.6</v>
      </c>
      <c r="BK2273" t="s">
        <v>56</v>
      </c>
      <c r="BL2273" t="s">
        <v>217</v>
      </c>
      <c r="BM2273" t="s">
        <v>218</v>
      </c>
      <c r="BN2273" t="s">
        <v>60</v>
      </c>
      <c r="BO2273" t="s">
        <v>219</v>
      </c>
      <c r="BP2273" t="s">
        <v>194</v>
      </c>
      <c r="BQ2273" t="s">
        <v>194</v>
      </c>
      <c r="BR2273" t="s">
        <v>63</v>
      </c>
      <c r="BS2273"/>
      <c r="BT2273">
        <v>8271.34</v>
      </c>
      <c r="BU2273">
        <v>8271.3443270000007</v>
      </c>
      <c r="BV2273">
        <v>552.24</v>
      </c>
      <c r="BW2273">
        <f>BV2273*SQRT(AK2273)</f>
        <v>1352.7062155545823</v>
      </c>
      <c r="BX2273">
        <v>9041.7999999999993</v>
      </c>
      <c r="BY2273">
        <v>9041.8014820999997</v>
      </c>
      <c r="BZ2273">
        <v>313.43</v>
      </c>
      <c r="CA2273">
        <f>BZ2273*SQRT(AL2273)</f>
        <v>767.74357008053141</v>
      </c>
      <c r="CB2273">
        <v>11</v>
      </c>
      <c r="CC2273">
        <v>1</v>
      </c>
      <c r="CD2273">
        <v>8.8999999999999996E-2</v>
      </c>
      <c r="CE2273">
        <v>5.7000000000000002E-3</v>
      </c>
      <c r="CF2273"/>
    </row>
    <row r="2274" spans="1:84" hidden="1" x14ac:dyDescent="0.2">
      <c r="B2274" t="str">
        <f>ROW()-1&amp;"_AltersInvert"</f>
        <v>2273_AltersInvert</v>
      </c>
      <c r="C2274" t="str">
        <f>D2274&amp;"_"&amp;
SUBSTITUTE(TRIM(V2274)," ","_")&amp;"_"&amp;
TRIM(AC2274)&amp;"_"&amp;
"CO2"&amp;TEXT(AN2274,"0.00")&amp;"_"&amp;
"pH"&amp;TEXT(AR2274,"0.00")&amp;"_"&amp;
"T"&amp;TEXT(BC2274,"0.##")</f>
        <v>11_Pocillopora_damicornis_LARVA_CO2436.00_pH8.02_T27.5</v>
      </c>
      <c r="D2274">
        <v>11</v>
      </c>
      <c r="G2274" t="s">
        <v>43</v>
      </c>
      <c r="H2274" t="s">
        <v>212</v>
      </c>
      <c r="J2274">
        <v>2014</v>
      </c>
      <c r="M2274" t="s">
        <v>213</v>
      </c>
      <c r="P2274" t="s">
        <v>1135</v>
      </c>
      <c r="R2274" t="s">
        <v>1127</v>
      </c>
      <c r="S2274" t="s">
        <v>1128</v>
      </c>
      <c r="T2274" t="s">
        <v>103</v>
      </c>
      <c r="U2274" t="s">
        <v>201</v>
      </c>
      <c r="V2274" t="s">
        <v>214</v>
      </c>
      <c r="Z2274" t="s">
        <v>106</v>
      </c>
      <c r="AA2274" t="s">
        <v>107</v>
      </c>
      <c r="AB2274" t="s">
        <v>71</v>
      </c>
      <c r="AC2274" t="s">
        <v>72</v>
      </c>
      <c r="AD2274" t="s">
        <v>52</v>
      </c>
      <c r="AE2274" t="s">
        <v>53</v>
      </c>
      <c r="AF2274" t="s">
        <v>54</v>
      </c>
      <c r="AG2274" t="s">
        <v>52</v>
      </c>
      <c r="AH2274" t="s">
        <v>65</v>
      </c>
      <c r="AK2274">
        <v>6</v>
      </c>
      <c r="AL2274">
        <v>6</v>
      </c>
      <c r="AN2274">
        <v>436</v>
      </c>
      <c r="AO2274">
        <v>6</v>
      </c>
      <c r="AP2274" t="s">
        <v>56</v>
      </c>
      <c r="AQ2274" t="s">
        <v>109</v>
      </c>
      <c r="AR2274">
        <v>8.02</v>
      </c>
      <c r="AS2274" t="s">
        <v>56</v>
      </c>
      <c r="AT2274" t="s">
        <v>56</v>
      </c>
      <c r="AU2274">
        <v>477</v>
      </c>
      <c r="AV2274">
        <v>4</v>
      </c>
      <c r="AW2274" t="s">
        <v>56</v>
      </c>
      <c r="AX2274">
        <v>7.99</v>
      </c>
      <c r="AY2274" t="s">
        <v>56</v>
      </c>
      <c r="AZ2274" t="s">
        <v>56</v>
      </c>
      <c r="BB2274">
        <f>LOG(AU2274)</f>
        <v>2.6785183790401139</v>
      </c>
      <c r="BC2274">
        <v>27.5</v>
      </c>
      <c r="BD2274" t="s">
        <v>56</v>
      </c>
      <c r="BE2274" t="s">
        <v>56</v>
      </c>
      <c r="BF2274">
        <v>30.7</v>
      </c>
      <c r="BG2274">
        <v>0.1</v>
      </c>
      <c r="BH2274" t="s">
        <v>56</v>
      </c>
      <c r="BI2274">
        <v>41</v>
      </c>
      <c r="BJ2274">
        <v>3.2</v>
      </c>
      <c r="BK2274" t="s">
        <v>56</v>
      </c>
      <c r="BL2274" t="s">
        <v>217</v>
      </c>
      <c r="BM2274" t="s">
        <v>218</v>
      </c>
      <c r="BN2274" t="s">
        <v>60</v>
      </c>
      <c r="BO2274" t="s">
        <v>219</v>
      </c>
      <c r="BP2274" t="s">
        <v>194</v>
      </c>
      <c r="BQ2274" t="s">
        <v>194</v>
      </c>
      <c r="BR2274" t="s">
        <v>63</v>
      </c>
      <c r="BT2274">
        <v>8271.34</v>
      </c>
      <c r="BU2274">
        <v>8271.3443270000007</v>
      </c>
      <c r="BV2274">
        <v>552.24</v>
      </c>
      <c r="BW2274">
        <f>BV2274*SQRT(AK2274)</f>
        <v>1352.7062155545823</v>
      </c>
      <c r="BX2274">
        <v>8563.8799999999992</v>
      </c>
      <c r="BY2274">
        <v>8563.8764221000001</v>
      </c>
      <c r="BZ2274">
        <v>447.76</v>
      </c>
      <c r="CA2274">
        <f>BZ2274*SQRT(AL2274)</f>
        <v>1096.7835272285956</v>
      </c>
      <c r="CB2274">
        <v>11</v>
      </c>
      <c r="CC2274">
        <v>1</v>
      </c>
      <c r="CD2274">
        <v>3.5000000000000003E-2</v>
      </c>
      <c r="CE2274">
        <v>7.1999999999999998E-3</v>
      </c>
    </row>
    <row r="2275" spans="1:84" hidden="1" x14ac:dyDescent="0.2">
      <c r="B2275" t="str">
        <f>ROW()-1&amp;"_AltersInvert"</f>
        <v>2274_AltersInvert</v>
      </c>
      <c r="C2275" t="str">
        <f>D2275&amp;"_"&amp;
SUBSTITUTE(TRIM(V2275)," ","_")&amp;"_"&amp;
TRIM(AC2275)&amp;"_"&amp;
"CO2"&amp;TEXT(AN2275,"0.00")&amp;"_"&amp;
"pH"&amp;TEXT(AR2275,"0.00")&amp;"_"&amp;
"T"&amp;TEXT(BC2275,"0.##")</f>
        <v>11_Pocillopora_damicornis_LARVA_CO2436.00_pH8.02_T27.5</v>
      </c>
      <c r="D2275">
        <v>11</v>
      </c>
      <c r="G2275" t="s">
        <v>43</v>
      </c>
      <c r="H2275" t="s">
        <v>212</v>
      </c>
      <c r="J2275">
        <v>2014</v>
      </c>
      <c r="M2275" t="s">
        <v>213</v>
      </c>
      <c r="P2275" t="s">
        <v>1135</v>
      </c>
      <c r="R2275" t="s">
        <v>1127</v>
      </c>
      <c r="S2275" t="s">
        <v>1128</v>
      </c>
      <c r="T2275" t="s">
        <v>103</v>
      </c>
      <c r="U2275" t="s">
        <v>201</v>
      </c>
      <c r="V2275" t="s">
        <v>214</v>
      </c>
      <c r="Z2275" t="s">
        <v>106</v>
      </c>
      <c r="AA2275" t="s">
        <v>107</v>
      </c>
      <c r="AB2275" t="s">
        <v>71</v>
      </c>
      <c r="AC2275" t="s">
        <v>72</v>
      </c>
      <c r="AD2275" t="s">
        <v>52</v>
      </c>
      <c r="AE2275" t="s">
        <v>53</v>
      </c>
      <c r="AF2275" t="s">
        <v>52</v>
      </c>
      <c r="AG2275" t="s">
        <v>52</v>
      </c>
      <c r="AH2275" t="s">
        <v>64</v>
      </c>
      <c r="AK2275">
        <v>6</v>
      </c>
      <c r="AL2275">
        <v>6</v>
      </c>
      <c r="AN2275">
        <v>436</v>
      </c>
      <c r="AO2275">
        <v>6</v>
      </c>
      <c r="AP2275" t="s">
        <v>56</v>
      </c>
      <c r="AQ2275" t="s">
        <v>109</v>
      </c>
      <c r="AR2275">
        <v>8.02</v>
      </c>
      <c r="AS2275" t="s">
        <v>56</v>
      </c>
      <c r="AT2275" t="s">
        <v>56</v>
      </c>
      <c r="AU2275">
        <v>952</v>
      </c>
      <c r="AV2275">
        <v>10</v>
      </c>
      <c r="AW2275" t="s">
        <v>56</v>
      </c>
      <c r="AX2275">
        <v>7.74</v>
      </c>
      <c r="AY2275" t="s">
        <v>56</v>
      </c>
      <c r="AZ2275" t="s">
        <v>56</v>
      </c>
      <c r="BB2275">
        <f>LOG(AU2275)</f>
        <v>2.9786369483844743</v>
      </c>
      <c r="BC2275">
        <v>27.5</v>
      </c>
      <c r="BD2275" t="s">
        <v>56</v>
      </c>
      <c r="BE2275" t="s">
        <v>56</v>
      </c>
      <c r="BF2275">
        <v>30.4</v>
      </c>
      <c r="BG2275">
        <v>0.1</v>
      </c>
      <c r="BH2275" t="s">
        <v>56</v>
      </c>
      <c r="BI2275">
        <v>516</v>
      </c>
      <c r="BJ2275">
        <v>2.9</v>
      </c>
      <c r="BK2275" t="s">
        <v>56</v>
      </c>
      <c r="BL2275" t="s">
        <v>217</v>
      </c>
      <c r="BM2275" t="s">
        <v>218</v>
      </c>
      <c r="BN2275" t="s">
        <v>60</v>
      </c>
      <c r="BO2275" t="s">
        <v>219</v>
      </c>
      <c r="BP2275" t="s">
        <v>194</v>
      </c>
      <c r="BQ2275" t="s">
        <v>194</v>
      </c>
      <c r="BR2275" t="s">
        <v>63</v>
      </c>
      <c r="BT2275">
        <v>8271.34</v>
      </c>
      <c r="BU2275">
        <v>8271.3443270000007</v>
      </c>
      <c r="BV2275">
        <v>552.24</v>
      </c>
      <c r="BW2275">
        <f>BV2275*SQRT(AK2275)</f>
        <v>1352.7062155545823</v>
      </c>
      <c r="BX2275">
        <v>9027.16</v>
      </c>
      <c r="BY2275">
        <v>9027.1631354000001</v>
      </c>
      <c r="BZ2275">
        <v>74.63</v>
      </c>
      <c r="CA2275">
        <f>BZ2275*SQRT(AL2275)</f>
        <v>182.80541950390855</v>
      </c>
      <c r="CB2275">
        <v>11</v>
      </c>
      <c r="CC2275">
        <v>1</v>
      </c>
      <c r="CD2275">
        <v>8.6999999999999994E-2</v>
      </c>
      <c r="CE2275">
        <v>4.4999999999999997E-3</v>
      </c>
    </row>
    <row r="2276" spans="1:84" hidden="1" x14ac:dyDescent="0.2">
      <c r="D2276">
        <v>225</v>
      </c>
      <c r="G2276" t="s">
        <v>43</v>
      </c>
      <c r="H2276" t="s">
        <v>1032</v>
      </c>
      <c r="J2276">
        <v>2021</v>
      </c>
      <c r="M2276" t="s">
        <v>265</v>
      </c>
      <c r="T2276" t="s">
        <v>103</v>
      </c>
      <c r="U2276" t="s">
        <v>534</v>
      </c>
      <c r="V2276" t="s">
        <v>1033</v>
      </c>
      <c r="AC2276" t="s">
        <v>51</v>
      </c>
      <c r="AF2276" t="s">
        <v>52</v>
      </c>
      <c r="AG2276" t="s">
        <v>54</v>
      </c>
      <c r="AH2276" t="s">
        <v>55</v>
      </c>
      <c r="AK2276">
        <v>15</v>
      </c>
      <c r="AL2276">
        <v>15</v>
      </c>
      <c r="AN2276">
        <v>520</v>
      </c>
      <c r="AU2276">
        <v>1049</v>
      </c>
      <c r="BB2276">
        <f>LOG(AU2276)</f>
        <v>3.020775488193558</v>
      </c>
      <c r="BC2276">
        <v>27.9</v>
      </c>
      <c r="BF2276">
        <v>27.9</v>
      </c>
      <c r="BI2276">
        <v>529</v>
      </c>
      <c r="BJ2276">
        <v>0</v>
      </c>
      <c r="BL2276" t="s">
        <v>83</v>
      </c>
      <c r="BM2276" t="s">
        <v>83</v>
      </c>
      <c r="BN2276" t="s">
        <v>81</v>
      </c>
      <c r="BO2276" t="s">
        <v>82</v>
      </c>
      <c r="BP2276" t="s">
        <v>83</v>
      </c>
      <c r="BR2276" t="s">
        <v>84</v>
      </c>
      <c r="BT2276">
        <v>99.367588929999997</v>
      </c>
      <c r="BU2276">
        <v>99.367588999999995</v>
      </c>
      <c r="BV2276">
        <v>0</v>
      </c>
      <c r="BW2276">
        <f>BV2276*SQRT(AK2276)</f>
        <v>0</v>
      </c>
      <c r="BX2276">
        <v>99.265951439999995</v>
      </c>
      <c r="BY2276">
        <v>99.265951400000006</v>
      </c>
      <c r="BZ2276">
        <v>0</v>
      </c>
      <c r="CA2276">
        <f>BZ2276*SQRT(AL2276)</f>
        <v>0</v>
      </c>
      <c r="CB2276">
        <v>28</v>
      </c>
      <c r="CD2276">
        <v>-1E-3</v>
      </c>
      <c r="CE2276">
        <v>0</v>
      </c>
    </row>
    <row r="2277" spans="1:84" hidden="1" x14ac:dyDescent="0.2">
      <c r="B2277" t="str">
        <f>ROW()-1&amp;"_AltersInvert"</f>
        <v>2276_AltersInvert</v>
      </c>
      <c r="C2277" t="str">
        <f>D2277&amp;"_"&amp;
SUBSTITUTE(TRIM(V2277)," ","_")&amp;"_"&amp;
TRIM(AC2277)&amp;"_"&amp;
"CO2"&amp;TEXT(AN2277,"0.00")&amp;"_"&amp;
"pH"&amp;TEXT(AR2277,"0.00")&amp;"_"&amp;
"T"&amp;TEXT(BC2277,"0.##")</f>
        <v>2_Ostrea_angasi_LARVA_CO2388.00_pH8.20_T26.</v>
      </c>
      <c r="D2277">
        <v>2</v>
      </c>
      <c r="G2277" t="s">
        <v>43</v>
      </c>
      <c r="H2277" t="s">
        <v>66</v>
      </c>
      <c r="J2277">
        <v>2016</v>
      </c>
      <c r="M2277" t="s">
        <v>67</v>
      </c>
      <c r="P2277" t="s">
        <v>1135</v>
      </c>
      <c r="R2277" t="s">
        <v>1127</v>
      </c>
      <c r="S2277" t="s">
        <v>1128</v>
      </c>
      <c r="T2277" t="s">
        <v>68</v>
      </c>
      <c r="U2277" t="s">
        <v>69</v>
      </c>
      <c r="V2277" t="s">
        <v>70</v>
      </c>
      <c r="Z2277" t="s">
        <v>49</v>
      </c>
      <c r="AA2277" t="s">
        <v>49</v>
      </c>
      <c r="AB2277" t="s">
        <v>71</v>
      </c>
      <c r="AC2277" t="s">
        <v>72</v>
      </c>
      <c r="AD2277" t="s">
        <v>52</v>
      </c>
      <c r="AE2277" t="s">
        <v>53</v>
      </c>
      <c r="AF2277" t="s">
        <v>52</v>
      </c>
      <c r="AG2277" t="s">
        <v>54</v>
      </c>
      <c r="AH2277" t="s">
        <v>55</v>
      </c>
      <c r="AK2277">
        <v>3</v>
      </c>
      <c r="AL2277">
        <v>3</v>
      </c>
      <c r="AN2277">
        <v>388</v>
      </c>
      <c r="AO2277">
        <v>7</v>
      </c>
      <c r="AP2277" t="s">
        <v>56</v>
      </c>
      <c r="AQ2277" t="s">
        <v>57</v>
      </c>
      <c r="AR2277">
        <v>8.1999999999999993</v>
      </c>
      <c r="AS2277" t="s">
        <v>56</v>
      </c>
      <c r="AT2277" t="s">
        <v>56</v>
      </c>
      <c r="AU2277">
        <v>1158</v>
      </c>
      <c r="AV2277">
        <v>20</v>
      </c>
      <c r="AW2277" t="s">
        <v>56</v>
      </c>
      <c r="AX2277">
        <v>7.79</v>
      </c>
      <c r="AY2277" t="s">
        <v>56</v>
      </c>
      <c r="AZ2277" t="s">
        <v>56</v>
      </c>
      <c r="BB2277">
        <f>LOG(AU2277)</f>
        <v>3.0637085593914173</v>
      </c>
      <c r="BC2277">
        <v>26</v>
      </c>
      <c r="BD2277" t="s">
        <v>56</v>
      </c>
      <c r="BE2277" t="s">
        <v>56</v>
      </c>
      <c r="BF2277">
        <v>26</v>
      </c>
      <c r="BG2277" t="s">
        <v>56</v>
      </c>
      <c r="BH2277" t="s">
        <v>56</v>
      </c>
      <c r="BI2277">
        <v>770</v>
      </c>
      <c r="BJ2277">
        <v>0</v>
      </c>
      <c r="BK2277" t="s">
        <v>73</v>
      </c>
      <c r="BL2277" t="s">
        <v>74</v>
      </c>
      <c r="BM2277" t="s">
        <v>75</v>
      </c>
      <c r="BN2277" t="s">
        <v>60</v>
      </c>
      <c r="BO2277" t="s">
        <v>76</v>
      </c>
      <c r="BP2277" t="s">
        <v>77</v>
      </c>
      <c r="BQ2277" t="s">
        <v>1125</v>
      </c>
      <c r="BR2277" t="s">
        <v>63</v>
      </c>
      <c r="BT2277">
        <v>26308.2</v>
      </c>
      <c r="BU2277">
        <v>26308.203990999998</v>
      </c>
      <c r="BV2277">
        <v>3802.66</v>
      </c>
      <c r="BW2277">
        <f>BV2277*SQRT(AK2277)</f>
        <v>6586.4003239098665</v>
      </c>
      <c r="BX2277">
        <v>6023.97</v>
      </c>
      <c r="BY2277">
        <v>6023.9651415999997</v>
      </c>
      <c r="BZ2277">
        <v>1525.05</v>
      </c>
      <c r="CA2277">
        <f>BZ2277*SQRT(AL2277)</f>
        <v>2641.4640840829161</v>
      </c>
      <c r="CB2277">
        <v>4</v>
      </c>
      <c r="CC2277">
        <v>3</v>
      </c>
      <c r="CD2277">
        <v>-1.474</v>
      </c>
      <c r="CE2277">
        <v>8.5000000000000006E-2</v>
      </c>
    </row>
    <row r="2278" spans="1:84" hidden="1" x14ac:dyDescent="0.2">
      <c r="B2278" t="str">
        <f>ROW()-1&amp;"_AltersInvert"</f>
        <v>2277_AltersInvert</v>
      </c>
      <c r="C2278" t="str">
        <f>D2278&amp;"_"&amp;
SUBSTITUTE(TRIM(V2278)," ","_")&amp;"_"&amp;
TRIM(AC2278)&amp;"_"&amp;
"CO2"&amp;TEXT(AN2278,"0.00")&amp;"_"&amp;
"pH"&amp;TEXT(AR2278,"0.00")&amp;"_"&amp;
"T"&amp;TEXT(BC2278,"0.##")</f>
        <v>2_Ostrea_angasi_LARVA_CO2388.00_pH8.20_T26.</v>
      </c>
      <c r="D2278">
        <v>2</v>
      </c>
      <c r="G2278" t="s">
        <v>43</v>
      </c>
      <c r="H2278" t="s">
        <v>66</v>
      </c>
      <c r="J2278">
        <v>2016</v>
      </c>
      <c r="M2278" t="s">
        <v>67</v>
      </c>
      <c r="P2278" t="s">
        <v>1135</v>
      </c>
      <c r="R2278" t="s">
        <v>1127</v>
      </c>
      <c r="S2278" t="s">
        <v>1128</v>
      </c>
      <c r="T2278" t="s">
        <v>68</v>
      </c>
      <c r="U2278" t="s">
        <v>69</v>
      </c>
      <c r="V2278" t="s">
        <v>70</v>
      </c>
      <c r="Z2278" t="s">
        <v>49</v>
      </c>
      <c r="AA2278" t="s">
        <v>49</v>
      </c>
      <c r="AB2278" t="s">
        <v>71</v>
      </c>
      <c r="AC2278" t="s">
        <v>72</v>
      </c>
      <c r="AD2278" t="s">
        <v>52</v>
      </c>
      <c r="AE2278" t="s">
        <v>53</v>
      </c>
      <c r="AF2278" t="s">
        <v>54</v>
      </c>
      <c r="AG2278" t="s">
        <v>52</v>
      </c>
      <c r="AH2278" t="s">
        <v>65</v>
      </c>
      <c r="AK2278">
        <v>3</v>
      </c>
      <c r="AL2278">
        <v>3</v>
      </c>
      <c r="AN2278">
        <v>388</v>
      </c>
      <c r="AO2278">
        <v>7</v>
      </c>
      <c r="AP2278" t="s">
        <v>56</v>
      </c>
      <c r="AQ2278" t="s">
        <v>57</v>
      </c>
      <c r="AR2278">
        <v>8.1999999999999993</v>
      </c>
      <c r="AS2278" t="s">
        <v>56</v>
      </c>
      <c r="AT2278" t="s">
        <v>56</v>
      </c>
      <c r="AU2278">
        <v>394</v>
      </c>
      <c r="AV2278">
        <v>7</v>
      </c>
      <c r="AW2278" t="s">
        <v>56</v>
      </c>
      <c r="AX2278">
        <v>8.1999999999999993</v>
      </c>
      <c r="AY2278" t="s">
        <v>56</v>
      </c>
      <c r="AZ2278" t="s">
        <v>56</v>
      </c>
      <c r="BB2278">
        <f>LOG(AU2278)</f>
        <v>2.5954962218255742</v>
      </c>
      <c r="BC2278">
        <v>26</v>
      </c>
      <c r="BD2278" t="s">
        <v>56</v>
      </c>
      <c r="BE2278" t="s">
        <v>56</v>
      </c>
      <c r="BF2278">
        <v>30</v>
      </c>
      <c r="BG2278" t="s">
        <v>56</v>
      </c>
      <c r="BH2278" t="s">
        <v>56</v>
      </c>
      <c r="BI2278">
        <v>6</v>
      </c>
      <c r="BJ2278">
        <v>4</v>
      </c>
      <c r="BK2278" t="s">
        <v>73</v>
      </c>
      <c r="BL2278" t="s">
        <v>74</v>
      </c>
      <c r="BM2278" t="s">
        <v>75</v>
      </c>
      <c r="BN2278" t="s">
        <v>60</v>
      </c>
      <c r="BO2278" t="s">
        <v>76</v>
      </c>
      <c r="BP2278" t="s">
        <v>77</v>
      </c>
      <c r="BQ2278" t="s">
        <v>1125</v>
      </c>
      <c r="BR2278" t="s">
        <v>63</v>
      </c>
      <c r="BT2278">
        <v>26308.2</v>
      </c>
      <c r="BU2278">
        <v>26308.203990999998</v>
      </c>
      <c r="BV2278">
        <v>3802.66</v>
      </c>
      <c r="BW2278">
        <f>BV2278*SQRT(AK2278)</f>
        <v>6586.4003239098665</v>
      </c>
      <c r="BX2278">
        <v>6441.24</v>
      </c>
      <c r="BY2278">
        <v>6441.2416850999998</v>
      </c>
      <c r="BZ2278">
        <v>853.66</v>
      </c>
      <c r="CA2278">
        <f>BZ2278*SQRT(AL2278)</f>
        <v>1478.5824923892476</v>
      </c>
      <c r="CB2278">
        <v>4</v>
      </c>
      <c r="CC2278">
        <v>3</v>
      </c>
      <c r="CD2278">
        <v>-1.407</v>
      </c>
      <c r="CE2278">
        <v>3.85E-2</v>
      </c>
    </row>
    <row r="2279" spans="1:84" hidden="1" x14ac:dyDescent="0.2">
      <c r="B2279" t="str">
        <f>ROW()-1&amp;"_AltersInvert"</f>
        <v>2278_AltersInvert</v>
      </c>
      <c r="C2279" t="str">
        <f>D2279&amp;"_"&amp;
SUBSTITUTE(TRIM(V2279)," ","_")&amp;"_"&amp;
TRIM(AC2279)&amp;"_"&amp;
"CO2"&amp;TEXT(AN2279,"0.00")&amp;"_"&amp;
"pH"&amp;TEXT(AR2279,"0.00")&amp;"_"&amp;
"T"&amp;TEXT(BC2279,"0.##")</f>
        <v>2_Ostrea_angasi_LARVA_CO2388.00_pH8.20_T26.</v>
      </c>
      <c r="D2279">
        <v>2</v>
      </c>
      <c r="G2279" t="s">
        <v>43</v>
      </c>
      <c r="H2279" t="s">
        <v>66</v>
      </c>
      <c r="J2279">
        <v>2016</v>
      </c>
      <c r="M2279" t="s">
        <v>67</v>
      </c>
      <c r="P2279" t="s">
        <v>1135</v>
      </c>
      <c r="R2279" t="s">
        <v>1127</v>
      </c>
      <c r="S2279" t="s">
        <v>1128</v>
      </c>
      <c r="T2279" t="s">
        <v>68</v>
      </c>
      <c r="U2279" t="s">
        <v>69</v>
      </c>
      <c r="V2279" t="s">
        <v>70</v>
      </c>
      <c r="Z2279" t="s">
        <v>49</v>
      </c>
      <c r="AA2279" t="s">
        <v>49</v>
      </c>
      <c r="AB2279" t="s">
        <v>71</v>
      </c>
      <c r="AC2279" t="s">
        <v>72</v>
      </c>
      <c r="AD2279" t="s">
        <v>52</v>
      </c>
      <c r="AE2279" t="s">
        <v>53</v>
      </c>
      <c r="AF2279" t="s">
        <v>52</v>
      </c>
      <c r="AG2279" t="s">
        <v>52</v>
      </c>
      <c r="AH2279" t="s">
        <v>64</v>
      </c>
      <c r="AK2279">
        <v>3</v>
      </c>
      <c r="AL2279">
        <v>3</v>
      </c>
      <c r="AN2279">
        <v>388</v>
      </c>
      <c r="AO2279">
        <v>7</v>
      </c>
      <c r="AP2279" t="s">
        <v>56</v>
      </c>
      <c r="AQ2279" t="s">
        <v>57</v>
      </c>
      <c r="AR2279">
        <v>8.1999999999999993</v>
      </c>
      <c r="AS2279" t="s">
        <v>56</v>
      </c>
      <c r="AT2279" t="s">
        <v>56</v>
      </c>
      <c r="AU2279">
        <v>1194</v>
      </c>
      <c r="AV2279">
        <v>20</v>
      </c>
      <c r="AW2279" t="s">
        <v>56</v>
      </c>
      <c r="AX2279">
        <v>7.79</v>
      </c>
      <c r="AY2279" t="s">
        <v>56</v>
      </c>
      <c r="AZ2279" t="s">
        <v>56</v>
      </c>
      <c r="BB2279">
        <f>LOG(AU2279)</f>
        <v>3.0770043267933502</v>
      </c>
      <c r="BC2279">
        <v>26</v>
      </c>
      <c r="BD2279" t="s">
        <v>56</v>
      </c>
      <c r="BE2279" t="s">
        <v>56</v>
      </c>
      <c r="BF2279">
        <v>30</v>
      </c>
      <c r="BG2279" t="s">
        <v>56</v>
      </c>
      <c r="BH2279" t="s">
        <v>56</v>
      </c>
      <c r="BI2279">
        <v>805</v>
      </c>
      <c r="BJ2279">
        <v>4</v>
      </c>
      <c r="BK2279" t="s">
        <v>73</v>
      </c>
      <c r="BL2279" t="s">
        <v>74</v>
      </c>
      <c r="BM2279" t="s">
        <v>75</v>
      </c>
      <c r="BN2279" t="s">
        <v>60</v>
      </c>
      <c r="BO2279" t="s">
        <v>76</v>
      </c>
      <c r="BP2279" t="s">
        <v>77</v>
      </c>
      <c r="BQ2279" t="s">
        <v>1125</v>
      </c>
      <c r="BR2279" t="s">
        <v>63</v>
      </c>
      <c r="BT2279">
        <v>26308.2</v>
      </c>
      <c r="BU2279">
        <v>26308.203990999998</v>
      </c>
      <c r="BV2279">
        <v>3802.66</v>
      </c>
      <c r="BW2279">
        <f>BV2279*SQRT(AK2279)</f>
        <v>6586.4003239098665</v>
      </c>
      <c r="BX2279">
        <v>2287.58</v>
      </c>
      <c r="BY2279">
        <v>2287.5816992999999</v>
      </c>
      <c r="BZ2279">
        <v>1143.79</v>
      </c>
      <c r="CA2279">
        <f>BZ2279*SQRT(AL2279)</f>
        <v>1981.1023931892059</v>
      </c>
      <c r="CB2279">
        <v>4</v>
      </c>
      <c r="CC2279">
        <v>3</v>
      </c>
      <c r="CD2279">
        <v>-2.4420000000000002</v>
      </c>
      <c r="CE2279">
        <v>0.27089999999999997</v>
      </c>
    </row>
    <row r="2280" spans="1:84" hidden="1" x14ac:dyDescent="0.2">
      <c r="D2280">
        <v>219</v>
      </c>
      <c r="G2280" t="s">
        <v>43</v>
      </c>
      <c r="H2280" t="s">
        <v>1077</v>
      </c>
      <c r="J2280">
        <v>2015</v>
      </c>
      <c r="M2280" t="s">
        <v>644</v>
      </c>
      <c r="T2280" t="s">
        <v>68</v>
      </c>
      <c r="U2280" t="s">
        <v>266</v>
      </c>
      <c r="V2280" t="s">
        <v>597</v>
      </c>
      <c r="AC2280" t="s">
        <v>51</v>
      </c>
      <c r="AF2280" t="s">
        <v>52</v>
      </c>
      <c r="AG2280" t="s">
        <v>54</v>
      </c>
      <c r="AH2280" t="s">
        <v>55</v>
      </c>
      <c r="AK2280">
        <v>3</v>
      </c>
      <c r="AL2280">
        <v>3</v>
      </c>
      <c r="AN2280">
        <v>645</v>
      </c>
      <c r="AU2280">
        <v>2022</v>
      </c>
      <c r="BB2280">
        <f t="shared" ref="BB2280:BB2324" si="3">LOG(AU2280)</f>
        <v>3.3057811512549824</v>
      </c>
      <c r="BC2280">
        <v>25.1</v>
      </c>
      <c r="BF2280">
        <v>25</v>
      </c>
      <c r="BI2280">
        <v>1377</v>
      </c>
      <c r="BJ2280">
        <v>-0.1</v>
      </c>
      <c r="BK2280" t="s">
        <v>1078</v>
      </c>
      <c r="BL2280" t="s">
        <v>878</v>
      </c>
      <c r="BM2280" t="s">
        <v>336</v>
      </c>
      <c r="BN2280" t="s">
        <v>81</v>
      </c>
      <c r="BO2280" t="s">
        <v>1079</v>
      </c>
      <c r="BP2280" t="s">
        <v>194</v>
      </c>
      <c r="BR2280" t="s">
        <v>63</v>
      </c>
      <c r="BT2280">
        <v>99.73</v>
      </c>
      <c r="BU2280">
        <v>99.731999999999999</v>
      </c>
      <c r="BV2280">
        <v>0.54</v>
      </c>
      <c r="BW2280">
        <f t="shared" ref="BW2280:BW2306" si="4">BV2280*SQRT(AK2280)</f>
        <v>0.9353074360871938</v>
      </c>
      <c r="BX2280">
        <v>102.54</v>
      </c>
      <c r="BY2280">
        <v>102.542</v>
      </c>
      <c r="BZ2280">
        <v>0.68</v>
      </c>
      <c r="CA2280">
        <f t="shared" ref="CA2280:CA2306" si="5">BZ2280*SQRT(AL2280)</f>
        <v>1.1777945491468367</v>
      </c>
      <c r="CB2280">
        <v>14</v>
      </c>
      <c r="CC2280">
        <v>3</v>
      </c>
      <c r="CD2280">
        <v>2.8000000000000001E-2</v>
      </c>
      <c r="CE2280">
        <v>1E-4</v>
      </c>
    </row>
    <row r="2281" spans="1:84" hidden="1" x14ac:dyDescent="0.2">
      <c r="D2281">
        <v>219</v>
      </c>
      <c r="G2281" t="s">
        <v>43</v>
      </c>
      <c r="H2281" t="s">
        <v>1077</v>
      </c>
      <c r="J2281">
        <v>2015</v>
      </c>
      <c r="M2281" t="s">
        <v>644</v>
      </c>
      <c r="T2281" t="s">
        <v>68</v>
      </c>
      <c r="U2281" t="s">
        <v>266</v>
      </c>
      <c r="V2281" t="s">
        <v>597</v>
      </c>
      <c r="AC2281" t="s">
        <v>51</v>
      </c>
      <c r="AF2281" t="s">
        <v>52</v>
      </c>
      <c r="AG2281" t="s">
        <v>54</v>
      </c>
      <c r="AH2281" t="s">
        <v>55</v>
      </c>
      <c r="AK2281">
        <v>3</v>
      </c>
      <c r="AL2281">
        <v>3</v>
      </c>
      <c r="AN2281">
        <v>645</v>
      </c>
      <c r="AU2281">
        <v>4082</v>
      </c>
      <c r="BB2281">
        <f t="shared" si="3"/>
        <v>3.6108730003800518</v>
      </c>
      <c r="BC2281">
        <v>25.1</v>
      </c>
      <c r="BF2281">
        <v>24.9</v>
      </c>
      <c r="BI2281">
        <v>3437</v>
      </c>
      <c r="BJ2281">
        <v>-0.2</v>
      </c>
      <c r="BK2281" t="s">
        <v>1078</v>
      </c>
      <c r="BL2281" t="s">
        <v>878</v>
      </c>
      <c r="BM2281" t="s">
        <v>336</v>
      </c>
      <c r="BN2281" t="s">
        <v>81</v>
      </c>
      <c r="BO2281" t="s">
        <v>1079</v>
      </c>
      <c r="BP2281" t="s">
        <v>194</v>
      </c>
      <c r="BR2281" t="s">
        <v>63</v>
      </c>
      <c r="BT2281">
        <v>99.73</v>
      </c>
      <c r="BU2281">
        <v>99.731999999999999</v>
      </c>
      <c r="BV2281">
        <v>0.54</v>
      </c>
      <c r="BW2281">
        <f t="shared" si="4"/>
        <v>0.9353074360871938</v>
      </c>
      <c r="BX2281">
        <v>103.48</v>
      </c>
      <c r="BY2281">
        <v>103.47799999999999</v>
      </c>
      <c r="BZ2281">
        <v>0.54</v>
      </c>
      <c r="CA2281">
        <f t="shared" si="5"/>
        <v>0.9353074360871938</v>
      </c>
      <c r="CB2281">
        <v>14</v>
      </c>
      <c r="CC2281">
        <v>3</v>
      </c>
      <c r="CD2281">
        <v>3.6999999999999998E-2</v>
      </c>
      <c r="CE2281">
        <v>1E-4</v>
      </c>
    </row>
    <row r="2282" spans="1:84" hidden="1" x14ac:dyDescent="0.2">
      <c r="D2282">
        <v>219</v>
      </c>
      <c r="G2282" t="s">
        <v>43</v>
      </c>
      <c r="H2282" t="s">
        <v>1077</v>
      </c>
      <c r="J2282">
        <v>2015</v>
      </c>
      <c r="M2282" t="s">
        <v>644</v>
      </c>
      <c r="T2282" t="s">
        <v>68</v>
      </c>
      <c r="U2282" t="s">
        <v>266</v>
      </c>
      <c r="V2282" t="s">
        <v>597</v>
      </c>
      <c r="AC2282" t="s">
        <v>51</v>
      </c>
      <c r="AF2282" t="s">
        <v>54</v>
      </c>
      <c r="AG2282" t="s">
        <v>52</v>
      </c>
      <c r="AH2282" t="s">
        <v>65</v>
      </c>
      <c r="AK2282">
        <v>3</v>
      </c>
      <c r="AL2282">
        <v>3</v>
      </c>
      <c r="AN2282">
        <v>645</v>
      </c>
      <c r="AU2282">
        <v>718</v>
      </c>
      <c r="BB2282">
        <f t="shared" si="3"/>
        <v>2.8561244442423002</v>
      </c>
      <c r="BC2282">
        <v>25.1</v>
      </c>
      <c r="BF2282">
        <v>30</v>
      </c>
      <c r="BI2282">
        <v>73</v>
      </c>
      <c r="BJ2282">
        <v>4.9000000000000004</v>
      </c>
      <c r="BK2282" t="s">
        <v>1078</v>
      </c>
      <c r="BL2282" t="s">
        <v>878</v>
      </c>
      <c r="BM2282" t="s">
        <v>336</v>
      </c>
      <c r="BN2282" t="s">
        <v>81</v>
      </c>
      <c r="BO2282" t="s">
        <v>1079</v>
      </c>
      <c r="BP2282" t="s">
        <v>194</v>
      </c>
      <c r="BR2282" t="s">
        <v>63</v>
      </c>
      <c r="BT2282">
        <v>99.73</v>
      </c>
      <c r="BU2282">
        <v>99.731999999999999</v>
      </c>
      <c r="BV2282">
        <v>0.54</v>
      </c>
      <c r="BW2282">
        <f t="shared" si="4"/>
        <v>0.9353074360871938</v>
      </c>
      <c r="BX2282">
        <v>104.88</v>
      </c>
      <c r="BY2282">
        <v>104.883</v>
      </c>
      <c r="BZ2282">
        <v>0.54</v>
      </c>
      <c r="CA2282">
        <f t="shared" si="5"/>
        <v>0.9353074360871938</v>
      </c>
      <c r="CB2282">
        <v>14</v>
      </c>
      <c r="CC2282">
        <v>3</v>
      </c>
      <c r="CD2282">
        <v>0.05</v>
      </c>
      <c r="CE2282">
        <v>1E-4</v>
      </c>
    </row>
    <row r="2283" spans="1:84" hidden="1" x14ac:dyDescent="0.2">
      <c r="D2283">
        <v>219</v>
      </c>
      <c r="G2283" t="s">
        <v>43</v>
      </c>
      <c r="H2283" t="s">
        <v>1077</v>
      </c>
      <c r="J2283">
        <v>2015</v>
      </c>
      <c r="M2283" t="s">
        <v>644</v>
      </c>
      <c r="T2283" t="s">
        <v>68</v>
      </c>
      <c r="U2283" t="s">
        <v>266</v>
      </c>
      <c r="V2283" t="s">
        <v>597</v>
      </c>
      <c r="AC2283" t="s">
        <v>51</v>
      </c>
      <c r="AF2283" t="s">
        <v>52</v>
      </c>
      <c r="AG2283" t="s">
        <v>52</v>
      </c>
      <c r="AH2283" t="s">
        <v>64</v>
      </c>
      <c r="AK2283">
        <v>3</v>
      </c>
      <c r="AL2283">
        <v>3</v>
      </c>
      <c r="AN2283">
        <v>645</v>
      </c>
      <c r="AU2283">
        <v>2117</v>
      </c>
      <c r="BB2283">
        <f t="shared" si="3"/>
        <v>3.325720858019412</v>
      </c>
      <c r="BC2283">
        <v>25.1</v>
      </c>
      <c r="BF2283">
        <v>29.9</v>
      </c>
      <c r="BI2283">
        <v>1472</v>
      </c>
      <c r="BJ2283">
        <v>4.8</v>
      </c>
      <c r="BK2283" t="s">
        <v>1078</v>
      </c>
      <c r="BL2283" t="s">
        <v>878</v>
      </c>
      <c r="BM2283" t="s">
        <v>336</v>
      </c>
      <c r="BN2283" t="s">
        <v>81</v>
      </c>
      <c r="BO2283" t="s">
        <v>1079</v>
      </c>
      <c r="BP2283" t="s">
        <v>194</v>
      </c>
      <c r="BR2283" t="s">
        <v>63</v>
      </c>
      <c r="BT2283">
        <v>99.73</v>
      </c>
      <c r="BU2283">
        <v>99.731999999999999</v>
      </c>
      <c r="BV2283">
        <v>0.54</v>
      </c>
      <c r="BW2283">
        <f t="shared" si="4"/>
        <v>0.9353074360871938</v>
      </c>
      <c r="BX2283">
        <v>109.57</v>
      </c>
      <c r="BY2283">
        <v>109.565</v>
      </c>
      <c r="BZ2283">
        <v>1.22</v>
      </c>
      <c r="CA2283">
        <f t="shared" si="5"/>
        <v>2.1131019852340303</v>
      </c>
      <c r="CB2283">
        <v>14</v>
      </c>
      <c r="CC2283">
        <v>3</v>
      </c>
      <c r="CD2283">
        <v>9.4E-2</v>
      </c>
      <c r="CE2283">
        <v>2.0000000000000001E-4</v>
      </c>
    </row>
    <row r="2284" spans="1:84" hidden="1" x14ac:dyDescent="0.2">
      <c r="D2284">
        <v>219</v>
      </c>
      <c r="G2284" t="s">
        <v>43</v>
      </c>
      <c r="H2284" t="s">
        <v>1077</v>
      </c>
      <c r="J2284">
        <v>2015</v>
      </c>
      <c r="M2284" t="s">
        <v>644</v>
      </c>
      <c r="T2284" t="s">
        <v>68</v>
      </c>
      <c r="U2284" t="s">
        <v>266</v>
      </c>
      <c r="V2284" t="s">
        <v>597</v>
      </c>
      <c r="AC2284" t="s">
        <v>51</v>
      </c>
      <c r="AF2284" t="s">
        <v>52</v>
      </c>
      <c r="AG2284" t="s">
        <v>52</v>
      </c>
      <c r="AH2284" t="s">
        <v>64</v>
      </c>
      <c r="AK2284">
        <v>3</v>
      </c>
      <c r="AL2284">
        <v>3</v>
      </c>
      <c r="AN2284">
        <v>645</v>
      </c>
      <c r="AU2284">
        <v>4492</v>
      </c>
      <c r="BB2284">
        <f t="shared" si="3"/>
        <v>3.6524397475894204</v>
      </c>
      <c r="BC2284">
        <v>25.1</v>
      </c>
      <c r="BF2284">
        <v>30.2</v>
      </c>
      <c r="BI2284">
        <v>3847</v>
      </c>
      <c r="BJ2284">
        <v>5.0999999999999996</v>
      </c>
      <c r="BK2284" t="s">
        <v>1078</v>
      </c>
      <c r="BL2284" t="s">
        <v>878</v>
      </c>
      <c r="BM2284" t="s">
        <v>336</v>
      </c>
      <c r="BN2284" t="s">
        <v>81</v>
      </c>
      <c r="BO2284" t="s">
        <v>1079</v>
      </c>
      <c r="BP2284" t="s">
        <v>194</v>
      </c>
      <c r="BR2284" t="s">
        <v>63</v>
      </c>
      <c r="BT2284">
        <v>99.73</v>
      </c>
      <c r="BU2284">
        <v>99.731999999999999</v>
      </c>
      <c r="BV2284">
        <v>0.54</v>
      </c>
      <c r="BW2284">
        <f t="shared" si="4"/>
        <v>0.9353074360871938</v>
      </c>
      <c r="BX2284">
        <v>113.31</v>
      </c>
      <c r="BY2284">
        <v>113.31100000000001</v>
      </c>
      <c r="BZ2284">
        <v>2.16</v>
      </c>
      <c r="CA2284">
        <f t="shared" si="5"/>
        <v>3.7412297443487752</v>
      </c>
      <c r="CB2284">
        <v>14</v>
      </c>
      <c r="CC2284">
        <v>3</v>
      </c>
      <c r="CD2284">
        <v>0.128</v>
      </c>
      <c r="CE2284">
        <v>4.0000000000000002E-4</v>
      </c>
    </row>
    <row r="2285" spans="1:84" hidden="1" x14ac:dyDescent="0.2">
      <c r="D2285">
        <v>212</v>
      </c>
      <c r="G2285" t="s">
        <v>43</v>
      </c>
      <c r="H2285" t="s">
        <v>1063</v>
      </c>
      <c r="J2285">
        <v>2010</v>
      </c>
      <c r="K2285" t="s">
        <v>1062</v>
      </c>
      <c r="M2285" t="s">
        <v>67</v>
      </c>
      <c r="T2285" t="s">
        <v>68</v>
      </c>
      <c r="U2285" t="s">
        <v>167</v>
      </c>
      <c r="V2285" t="s">
        <v>442</v>
      </c>
      <c r="AC2285" t="s">
        <v>108</v>
      </c>
      <c r="AF2285" t="s">
        <v>52</v>
      </c>
      <c r="AG2285" t="s">
        <v>54</v>
      </c>
      <c r="AH2285" t="s">
        <v>55</v>
      </c>
      <c r="AK2285">
        <v>3</v>
      </c>
      <c r="AL2285">
        <v>3</v>
      </c>
      <c r="AN2285">
        <v>375</v>
      </c>
      <c r="AU2285">
        <v>1000</v>
      </c>
      <c r="BB2285">
        <f t="shared" si="3"/>
        <v>3</v>
      </c>
      <c r="BC2285">
        <v>18</v>
      </c>
      <c r="BF2285">
        <v>18</v>
      </c>
      <c r="BI2285">
        <v>625</v>
      </c>
      <c r="BJ2285">
        <v>0</v>
      </c>
      <c r="BK2285" t="s">
        <v>56</v>
      </c>
      <c r="BL2285" t="s">
        <v>92</v>
      </c>
      <c r="BM2285" t="s">
        <v>262</v>
      </c>
      <c r="BN2285" t="s">
        <v>81</v>
      </c>
      <c r="BO2285" t="s">
        <v>917</v>
      </c>
      <c r="BP2285" t="s">
        <v>92</v>
      </c>
      <c r="BR2285" t="s">
        <v>63</v>
      </c>
      <c r="BT2285">
        <v>347.7</v>
      </c>
      <c r="BU2285">
        <v>347.70100000000002</v>
      </c>
      <c r="BV2285">
        <v>8.6199999999999992</v>
      </c>
      <c r="BW2285">
        <f t="shared" si="4"/>
        <v>14.93027796124372</v>
      </c>
      <c r="BX2285">
        <v>132.18</v>
      </c>
      <c r="BY2285">
        <v>132.184</v>
      </c>
      <c r="BZ2285">
        <v>22.99</v>
      </c>
      <c r="CA2285">
        <f t="shared" si="5"/>
        <v>39.819848066008483</v>
      </c>
      <c r="CB2285">
        <v>4</v>
      </c>
      <c r="CC2285">
        <v>3</v>
      </c>
      <c r="CD2285">
        <v>-0.96699999999999997</v>
      </c>
      <c r="CE2285">
        <v>3.09E-2</v>
      </c>
    </row>
    <row r="2286" spans="1:84" hidden="1" x14ac:dyDescent="0.2">
      <c r="D2286">
        <v>212</v>
      </c>
      <c r="G2286" t="s">
        <v>43</v>
      </c>
      <c r="H2286" t="s">
        <v>1063</v>
      </c>
      <c r="J2286">
        <v>2010</v>
      </c>
      <c r="K2286" t="s">
        <v>1062</v>
      </c>
      <c r="M2286" t="s">
        <v>67</v>
      </c>
      <c r="T2286" t="s">
        <v>68</v>
      </c>
      <c r="U2286" t="s">
        <v>167</v>
      </c>
      <c r="V2286" t="s">
        <v>168</v>
      </c>
      <c r="AC2286" t="s">
        <v>108</v>
      </c>
      <c r="AF2286" t="s">
        <v>52</v>
      </c>
      <c r="AG2286" t="s">
        <v>52</v>
      </c>
      <c r="AH2286" t="s">
        <v>64</v>
      </c>
      <c r="AK2286">
        <v>3</v>
      </c>
      <c r="AL2286">
        <v>3</v>
      </c>
      <c r="AN2286">
        <v>375</v>
      </c>
      <c r="AU2286">
        <v>1000</v>
      </c>
      <c r="BB2286">
        <f t="shared" si="3"/>
        <v>3</v>
      </c>
      <c r="BC2286">
        <v>18</v>
      </c>
      <c r="BF2286">
        <v>22</v>
      </c>
      <c r="BI2286">
        <v>625</v>
      </c>
      <c r="BJ2286">
        <v>4</v>
      </c>
      <c r="BK2286" t="s">
        <v>56</v>
      </c>
      <c r="BL2286" t="s">
        <v>92</v>
      </c>
      <c r="BM2286" t="s">
        <v>262</v>
      </c>
      <c r="BN2286" t="s">
        <v>81</v>
      </c>
      <c r="BO2286" t="s">
        <v>917</v>
      </c>
      <c r="BP2286" t="s">
        <v>92</v>
      </c>
      <c r="BR2286" t="s">
        <v>63</v>
      </c>
      <c r="BT2286">
        <v>405.17</v>
      </c>
      <c r="BU2286">
        <v>405.17200000000003</v>
      </c>
      <c r="BV2286">
        <v>31.61</v>
      </c>
      <c r="BW2286">
        <f t="shared" si="4"/>
        <v>54.750126027252207</v>
      </c>
      <c r="BX2286">
        <v>143.68</v>
      </c>
      <c r="BY2286">
        <v>143.678</v>
      </c>
      <c r="BZ2286">
        <v>20.12</v>
      </c>
      <c r="CA2286">
        <f t="shared" si="5"/>
        <v>34.848862248285812</v>
      </c>
      <c r="CB2286">
        <v>4</v>
      </c>
      <c r="CC2286">
        <v>3</v>
      </c>
      <c r="CD2286">
        <v>-1.0369999999999999</v>
      </c>
      <c r="CE2286">
        <v>2.5700000000000001E-2</v>
      </c>
    </row>
    <row r="2287" spans="1:84" hidden="1" x14ac:dyDescent="0.2">
      <c r="D2287">
        <v>212</v>
      </c>
      <c r="G2287" t="s">
        <v>43</v>
      </c>
      <c r="H2287" t="s">
        <v>1063</v>
      </c>
      <c r="J2287">
        <v>2010</v>
      </c>
      <c r="K2287" t="s">
        <v>1062</v>
      </c>
      <c r="M2287" t="s">
        <v>67</v>
      </c>
      <c r="T2287" t="s">
        <v>68</v>
      </c>
      <c r="U2287" t="s">
        <v>167</v>
      </c>
      <c r="V2287" t="s">
        <v>442</v>
      </c>
      <c r="AC2287" t="s">
        <v>108</v>
      </c>
      <c r="AF2287" t="s">
        <v>52</v>
      </c>
      <c r="AG2287" t="s">
        <v>52</v>
      </c>
      <c r="AH2287" t="s">
        <v>64</v>
      </c>
      <c r="AK2287">
        <v>3</v>
      </c>
      <c r="AL2287">
        <v>3</v>
      </c>
      <c r="AN2287">
        <v>375</v>
      </c>
      <c r="AU2287">
        <v>1000</v>
      </c>
      <c r="BB2287">
        <f t="shared" si="3"/>
        <v>3</v>
      </c>
      <c r="BC2287">
        <v>18</v>
      </c>
      <c r="BF2287">
        <v>22</v>
      </c>
      <c r="BI2287">
        <v>625</v>
      </c>
      <c r="BJ2287">
        <v>4</v>
      </c>
      <c r="BK2287" t="s">
        <v>56</v>
      </c>
      <c r="BL2287" t="s">
        <v>92</v>
      </c>
      <c r="BM2287" t="s">
        <v>262</v>
      </c>
      <c r="BN2287" t="s">
        <v>81</v>
      </c>
      <c r="BO2287" t="s">
        <v>917</v>
      </c>
      <c r="BP2287" t="s">
        <v>92</v>
      </c>
      <c r="BR2287" t="s">
        <v>63</v>
      </c>
      <c r="BT2287">
        <v>347.7</v>
      </c>
      <c r="BU2287">
        <v>347.70100000000002</v>
      </c>
      <c r="BV2287">
        <v>8.6199999999999992</v>
      </c>
      <c r="BW2287">
        <f t="shared" si="4"/>
        <v>14.93027796124372</v>
      </c>
      <c r="BX2287">
        <v>152.30000000000001</v>
      </c>
      <c r="BY2287">
        <v>152.29900000000001</v>
      </c>
      <c r="BZ2287">
        <v>8.6199999999999992</v>
      </c>
      <c r="CA2287">
        <f t="shared" si="5"/>
        <v>14.93027796124372</v>
      </c>
      <c r="CB2287">
        <v>4</v>
      </c>
      <c r="CC2287">
        <v>3</v>
      </c>
      <c r="CD2287">
        <v>-0.82499999999999996</v>
      </c>
      <c r="CE2287">
        <v>3.8E-3</v>
      </c>
    </row>
    <row r="2288" spans="1:84" hidden="1" x14ac:dyDescent="0.2">
      <c r="D2288">
        <v>231</v>
      </c>
      <c r="G2288" t="s">
        <v>43</v>
      </c>
      <c r="H2288" t="s">
        <v>1051</v>
      </c>
      <c r="J2288">
        <v>2018</v>
      </c>
      <c r="T2288" t="s">
        <v>103</v>
      </c>
      <c r="V2288" t="s">
        <v>1052</v>
      </c>
      <c r="AC2288" t="s">
        <v>51</v>
      </c>
      <c r="AF2288" t="s">
        <v>52</v>
      </c>
      <c r="AG2288" t="s">
        <v>54</v>
      </c>
      <c r="AH2288" t="s">
        <v>55</v>
      </c>
      <c r="AK2288">
        <v>6</v>
      </c>
      <c r="AL2288">
        <v>6</v>
      </c>
      <c r="AN2288">
        <v>466</v>
      </c>
      <c r="AU2288">
        <v>1023</v>
      </c>
      <c r="BB2288">
        <f t="shared" si="3"/>
        <v>3.0098756337121602</v>
      </c>
      <c r="BC2288">
        <v>19</v>
      </c>
      <c r="BF2288">
        <v>19</v>
      </c>
      <c r="BI2288">
        <v>557</v>
      </c>
      <c r="BJ2288">
        <v>0</v>
      </c>
      <c r="BL2288" t="s">
        <v>1080</v>
      </c>
      <c r="BM2288" t="s">
        <v>209</v>
      </c>
      <c r="BN2288" t="s">
        <v>60</v>
      </c>
      <c r="BO2288" t="s">
        <v>56</v>
      </c>
      <c r="BP2288" t="s">
        <v>194</v>
      </c>
      <c r="BR2288" t="s">
        <v>63</v>
      </c>
      <c r="BT2288">
        <v>208.68</v>
      </c>
      <c r="BU2288">
        <v>208.67768599999999</v>
      </c>
      <c r="BV2288">
        <v>54.83</v>
      </c>
      <c r="BW2288">
        <f t="shared" si="4"/>
        <v>134.30552259680164</v>
      </c>
      <c r="BX2288">
        <v>157.02000000000001</v>
      </c>
      <c r="BY2288">
        <v>157.02479339999999</v>
      </c>
      <c r="BZ2288">
        <v>76</v>
      </c>
      <c r="CA2288">
        <f t="shared" si="5"/>
        <v>186.16122045152153</v>
      </c>
      <c r="CB2288">
        <v>60</v>
      </c>
      <c r="CD2288">
        <v>-0.28399999999999997</v>
      </c>
      <c r="CE2288">
        <v>0.30280000000000001</v>
      </c>
    </row>
    <row r="2289" spans="4:83" hidden="1" x14ac:dyDescent="0.2">
      <c r="D2289">
        <v>212</v>
      </c>
      <c r="G2289" t="s">
        <v>43</v>
      </c>
      <c r="H2289" t="s">
        <v>1063</v>
      </c>
      <c r="J2289">
        <v>2010</v>
      </c>
      <c r="K2289" t="s">
        <v>1062</v>
      </c>
      <c r="M2289" t="s">
        <v>67</v>
      </c>
      <c r="T2289" t="s">
        <v>68</v>
      </c>
      <c r="U2289" t="s">
        <v>167</v>
      </c>
      <c r="V2289" t="s">
        <v>168</v>
      </c>
      <c r="AC2289" t="s">
        <v>108</v>
      </c>
      <c r="AF2289" t="s">
        <v>52</v>
      </c>
      <c r="AG2289" t="s">
        <v>52</v>
      </c>
      <c r="AH2289" t="s">
        <v>64</v>
      </c>
      <c r="AK2289">
        <v>3</v>
      </c>
      <c r="AL2289">
        <v>3</v>
      </c>
      <c r="AN2289">
        <v>375</v>
      </c>
      <c r="AU2289">
        <v>600</v>
      </c>
      <c r="BB2289">
        <f t="shared" si="3"/>
        <v>2.7781512503836434</v>
      </c>
      <c r="BC2289">
        <v>18</v>
      </c>
      <c r="BF2289">
        <v>30</v>
      </c>
      <c r="BI2289">
        <v>225</v>
      </c>
      <c r="BJ2289">
        <v>12</v>
      </c>
      <c r="BK2289" t="s">
        <v>56</v>
      </c>
      <c r="BL2289" t="s">
        <v>92</v>
      </c>
      <c r="BM2289" t="s">
        <v>262</v>
      </c>
      <c r="BN2289" t="s">
        <v>81</v>
      </c>
      <c r="BO2289" t="s">
        <v>917</v>
      </c>
      <c r="BP2289" t="s">
        <v>92</v>
      </c>
      <c r="BR2289" t="s">
        <v>63</v>
      </c>
      <c r="BT2289">
        <v>405.17</v>
      </c>
      <c r="BU2289">
        <v>405.17200000000003</v>
      </c>
      <c r="BV2289">
        <v>31.61</v>
      </c>
      <c r="BW2289">
        <f t="shared" si="4"/>
        <v>54.750126027252207</v>
      </c>
      <c r="BX2289">
        <v>172.41</v>
      </c>
      <c r="BY2289">
        <v>172.41399999999999</v>
      </c>
      <c r="BZ2289">
        <v>14.37</v>
      </c>
      <c r="CA2289">
        <f t="shared" si="5"/>
        <v>24.889570104764765</v>
      </c>
      <c r="CB2289">
        <v>4</v>
      </c>
      <c r="CC2289">
        <v>3</v>
      </c>
      <c r="CD2289">
        <v>-0.85399999999999998</v>
      </c>
      <c r="CE2289">
        <v>1.2999999999999999E-2</v>
      </c>
    </row>
    <row r="2290" spans="4:83" hidden="1" x14ac:dyDescent="0.2">
      <c r="D2290">
        <v>212</v>
      </c>
      <c r="G2290" t="s">
        <v>43</v>
      </c>
      <c r="H2290" t="s">
        <v>1063</v>
      </c>
      <c r="J2290">
        <v>2010</v>
      </c>
      <c r="K2290" t="s">
        <v>1062</v>
      </c>
      <c r="M2290" t="s">
        <v>67</v>
      </c>
      <c r="T2290" t="s">
        <v>68</v>
      </c>
      <c r="U2290" t="s">
        <v>167</v>
      </c>
      <c r="V2290" t="s">
        <v>168</v>
      </c>
      <c r="AC2290" t="s">
        <v>108</v>
      </c>
      <c r="AF2290" t="s">
        <v>52</v>
      </c>
      <c r="AG2290" t="s">
        <v>54</v>
      </c>
      <c r="AH2290" t="s">
        <v>55</v>
      </c>
      <c r="AK2290">
        <v>3</v>
      </c>
      <c r="AL2290">
        <v>3</v>
      </c>
      <c r="AN2290">
        <v>375</v>
      </c>
      <c r="AU2290">
        <v>1000</v>
      </c>
      <c r="BB2290">
        <f t="shared" si="3"/>
        <v>3</v>
      </c>
      <c r="BC2290">
        <v>18</v>
      </c>
      <c r="BF2290">
        <v>18</v>
      </c>
      <c r="BI2290">
        <v>625</v>
      </c>
      <c r="BJ2290">
        <v>0</v>
      </c>
      <c r="BK2290" t="s">
        <v>56</v>
      </c>
      <c r="BL2290" t="s">
        <v>92</v>
      </c>
      <c r="BM2290" t="s">
        <v>262</v>
      </c>
      <c r="BN2290" t="s">
        <v>81</v>
      </c>
      <c r="BO2290" t="s">
        <v>917</v>
      </c>
      <c r="BP2290" t="s">
        <v>92</v>
      </c>
      <c r="BR2290" t="s">
        <v>63</v>
      </c>
      <c r="BT2290">
        <v>405.17</v>
      </c>
      <c r="BU2290">
        <v>405.17200000000003</v>
      </c>
      <c r="BV2290">
        <v>31.61</v>
      </c>
      <c r="BW2290">
        <f t="shared" si="4"/>
        <v>54.750126027252207</v>
      </c>
      <c r="BX2290">
        <v>181.03</v>
      </c>
      <c r="BY2290">
        <v>181.03399999999999</v>
      </c>
      <c r="BZ2290">
        <v>17.239999999999998</v>
      </c>
      <c r="CA2290">
        <f t="shared" si="5"/>
        <v>29.860555922487439</v>
      </c>
      <c r="CB2290">
        <v>4</v>
      </c>
      <c r="CC2290">
        <v>3</v>
      </c>
      <c r="CD2290">
        <v>-0.80600000000000005</v>
      </c>
      <c r="CE2290">
        <v>1.52E-2</v>
      </c>
    </row>
    <row r="2291" spans="4:83" hidden="1" x14ac:dyDescent="0.2">
      <c r="D2291">
        <v>212</v>
      </c>
      <c r="G2291" t="s">
        <v>43</v>
      </c>
      <c r="H2291" t="s">
        <v>1063</v>
      </c>
      <c r="J2291">
        <v>2010</v>
      </c>
      <c r="K2291" t="s">
        <v>1062</v>
      </c>
      <c r="M2291" t="s">
        <v>67</v>
      </c>
      <c r="T2291" t="s">
        <v>68</v>
      </c>
      <c r="U2291" t="s">
        <v>167</v>
      </c>
      <c r="V2291" t="s">
        <v>442</v>
      </c>
      <c r="AC2291" t="s">
        <v>108</v>
      </c>
      <c r="AF2291" t="s">
        <v>52</v>
      </c>
      <c r="AG2291" t="s">
        <v>54</v>
      </c>
      <c r="AH2291" t="s">
        <v>55</v>
      </c>
      <c r="AK2291">
        <v>3</v>
      </c>
      <c r="AL2291">
        <v>3</v>
      </c>
      <c r="AN2291">
        <v>375</v>
      </c>
      <c r="AU2291">
        <v>750</v>
      </c>
      <c r="BB2291">
        <f t="shared" si="3"/>
        <v>2.8750612633917001</v>
      </c>
      <c r="BC2291">
        <v>18</v>
      </c>
      <c r="BF2291">
        <v>18</v>
      </c>
      <c r="BI2291">
        <v>375</v>
      </c>
      <c r="BJ2291">
        <v>0</v>
      </c>
      <c r="BK2291" t="s">
        <v>56</v>
      </c>
      <c r="BL2291" t="s">
        <v>92</v>
      </c>
      <c r="BM2291" t="s">
        <v>262</v>
      </c>
      <c r="BN2291" t="s">
        <v>81</v>
      </c>
      <c r="BO2291" t="s">
        <v>917</v>
      </c>
      <c r="BP2291" t="s">
        <v>92</v>
      </c>
      <c r="BR2291" t="s">
        <v>63</v>
      </c>
      <c r="BT2291">
        <v>347.7</v>
      </c>
      <c r="BU2291">
        <v>347.70100000000002</v>
      </c>
      <c r="BV2291">
        <v>8.6199999999999992</v>
      </c>
      <c r="BW2291">
        <f t="shared" si="4"/>
        <v>14.93027796124372</v>
      </c>
      <c r="BX2291">
        <v>181.03</v>
      </c>
      <c r="BY2291">
        <v>181.03399999999999</v>
      </c>
      <c r="BZ2291">
        <v>14.37</v>
      </c>
      <c r="CA2291">
        <f t="shared" si="5"/>
        <v>24.889570104764765</v>
      </c>
      <c r="CB2291">
        <v>4</v>
      </c>
      <c r="CC2291">
        <v>3</v>
      </c>
      <c r="CD2291">
        <v>-0.65300000000000002</v>
      </c>
      <c r="CE2291">
        <v>6.8999999999999999E-3</v>
      </c>
    </row>
    <row r="2292" spans="4:83" hidden="1" x14ac:dyDescent="0.2">
      <c r="D2292">
        <v>235</v>
      </c>
      <c r="G2292" t="s">
        <v>43</v>
      </c>
      <c r="H2292" t="s">
        <v>1081</v>
      </c>
      <c r="J2292">
        <v>2017</v>
      </c>
      <c r="T2292" t="s">
        <v>68</v>
      </c>
      <c r="V2292" t="s">
        <v>1082</v>
      </c>
      <c r="AC2292" t="s">
        <v>51</v>
      </c>
      <c r="AF2292" t="s">
        <v>52</v>
      </c>
      <c r="AG2292" t="s">
        <v>54</v>
      </c>
      <c r="AH2292" t="s">
        <v>55</v>
      </c>
      <c r="AK2292">
        <v>4</v>
      </c>
      <c r="AL2292">
        <v>4</v>
      </c>
      <c r="AN2292">
        <v>465</v>
      </c>
      <c r="AU2292">
        <v>905</v>
      </c>
      <c r="BB2292">
        <f t="shared" si="3"/>
        <v>2.9566485792052033</v>
      </c>
      <c r="BC2292">
        <v>21</v>
      </c>
      <c r="BF2292">
        <v>20.9</v>
      </c>
      <c r="BI2292">
        <v>440</v>
      </c>
      <c r="BJ2292">
        <v>-0.1</v>
      </c>
      <c r="BK2292" t="s">
        <v>1083</v>
      </c>
      <c r="BL2292" t="s">
        <v>1084</v>
      </c>
      <c r="BM2292" t="s">
        <v>98</v>
      </c>
      <c r="BN2292" t="s">
        <v>81</v>
      </c>
      <c r="BO2292" t="s">
        <v>439</v>
      </c>
      <c r="BP2292" t="s">
        <v>100</v>
      </c>
      <c r="BR2292" t="s">
        <v>63</v>
      </c>
      <c r="BT2292">
        <v>182.23234619999999</v>
      </c>
      <c r="BU2292">
        <v>182.23234600000001</v>
      </c>
      <c r="BV2292">
        <v>7.28929385</v>
      </c>
      <c r="BW2292">
        <f t="shared" si="4"/>
        <v>14.5785877</v>
      </c>
      <c r="BX2292">
        <v>187.6993166</v>
      </c>
      <c r="BY2292">
        <v>187.6993166</v>
      </c>
      <c r="BZ2292">
        <v>14.5785877</v>
      </c>
      <c r="CA2292">
        <f t="shared" si="5"/>
        <v>29.1571754</v>
      </c>
      <c r="CB2292">
        <v>120</v>
      </c>
      <c r="CD2292">
        <v>0.03</v>
      </c>
      <c r="CE2292">
        <v>7.6E-3</v>
      </c>
    </row>
    <row r="2293" spans="4:83" hidden="1" x14ac:dyDescent="0.2">
      <c r="D2293">
        <v>235</v>
      </c>
      <c r="G2293" t="s">
        <v>43</v>
      </c>
      <c r="H2293" t="s">
        <v>1081</v>
      </c>
      <c r="J2293">
        <v>2017</v>
      </c>
      <c r="T2293" t="s">
        <v>68</v>
      </c>
      <c r="V2293" t="s">
        <v>1082</v>
      </c>
      <c r="AC2293" t="s">
        <v>51</v>
      </c>
      <c r="AF2293" t="s">
        <v>52</v>
      </c>
      <c r="AG2293" t="s">
        <v>52</v>
      </c>
      <c r="AH2293" t="s">
        <v>64</v>
      </c>
      <c r="AK2293">
        <v>4</v>
      </c>
      <c r="AL2293">
        <v>4</v>
      </c>
      <c r="AN2293">
        <v>465</v>
      </c>
      <c r="AU2293">
        <v>915</v>
      </c>
      <c r="BB2293">
        <f t="shared" si="3"/>
        <v>2.9614210940664485</v>
      </c>
      <c r="BC2293">
        <v>21</v>
      </c>
      <c r="BF2293">
        <v>23.7</v>
      </c>
      <c r="BI2293">
        <v>450</v>
      </c>
      <c r="BJ2293">
        <v>2.7</v>
      </c>
      <c r="BK2293" t="s">
        <v>1083</v>
      </c>
      <c r="BL2293" t="s">
        <v>1084</v>
      </c>
      <c r="BM2293" t="s">
        <v>98</v>
      </c>
      <c r="BN2293" t="s">
        <v>81</v>
      </c>
      <c r="BO2293" t="s">
        <v>439</v>
      </c>
      <c r="BP2293" t="s">
        <v>100</v>
      </c>
      <c r="BR2293" t="s">
        <v>63</v>
      </c>
      <c r="BT2293">
        <v>182.23234619999999</v>
      </c>
      <c r="BU2293">
        <v>182.23234600000001</v>
      </c>
      <c r="BV2293">
        <v>7.28929385</v>
      </c>
      <c r="BW2293">
        <f t="shared" si="4"/>
        <v>14.5785877</v>
      </c>
      <c r="BX2293">
        <v>193.16628700000001</v>
      </c>
      <c r="BY2293">
        <v>193.16628700000001</v>
      </c>
      <c r="BZ2293">
        <v>25.512528469999999</v>
      </c>
      <c r="CA2293">
        <f t="shared" si="5"/>
        <v>51.025056939999999</v>
      </c>
      <c r="CB2293">
        <v>120</v>
      </c>
      <c r="CD2293">
        <v>5.8000000000000003E-2</v>
      </c>
      <c r="CE2293">
        <v>1.9E-2</v>
      </c>
    </row>
    <row r="2294" spans="4:83" hidden="1" x14ac:dyDescent="0.2">
      <c r="D2294">
        <v>212</v>
      </c>
      <c r="G2294" t="s">
        <v>43</v>
      </c>
      <c r="H2294" t="s">
        <v>1063</v>
      </c>
      <c r="J2294">
        <v>2010</v>
      </c>
      <c r="K2294" t="s">
        <v>1062</v>
      </c>
      <c r="M2294" t="s">
        <v>67</v>
      </c>
      <c r="T2294" t="s">
        <v>68</v>
      </c>
      <c r="U2294" t="s">
        <v>167</v>
      </c>
      <c r="V2294" t="s">
        <v>442</v>
      </c>
      <c r="AC2294" t="s">
        <v>108</v>
      </c>
      <c r="AF2294" t="s">
        <v>52</v>
      </c>
      <c r="AG2294" t="s">
        <v>52</v>
      </c>
      <c r="AH2294" t="s">
        <v>64</v>
      </c>
      <c r="AK2294">
        <v>3</v>
      </c>
      <c r="AL2294">
        <v>3</v>
      </c>
      <c r="AN2294">
        <v>375</v>
      </c>
      <c r="AU2294">
        <v>750</v>
      </c>
      <c r="BB2294">
        <f t="shared" si="3"/>
        <v>2.8750612633917001</v>
      </c>
      <c r="BC2294">
        <v>18</v>
      </c>
      <c r="BF2294">
        <v>22</v>
      </c>
      <c r="BI2294">
        <v>375</v>
      </c>
      <c r="BJ2294">
        <v>4</v>
      </c>
      <c r="BK2294" t="s">
        <v>56</v>
      </c>
      <c r="BL2294" t="s">
        <v>92</v>
      </c>
      <c r="BM2294" t="s">
        <v>262</v>
      </c>
      <c r="BN2294" t="s">
        <v>81</v>
      </c>
      <c r="BO2294" t="s">
        <v>917</v>
      </c>
      <c r="BP2294" t="s">
        <v>92</v>
      </c>
      <c r="BR2294" t="s">
        <v>63</v>
      </c>
      <c r="BT2294">
        <v>347.7</v>
      </c>
      <c r="BU2294">
        <v>347.70100000000002</v>
      </c>
      <c r="BV2294">
        <v>8.6199999999999992</v>
      </c>
      <c r="BW2294">
        <f t="shared" si="4"/>
        <v>14.93027796124372</v>
      </c>
      <c r="BX2294">
        <v>198.28</v>
      </c>
      <c r="BY2294">
        <v>198.27600000000001</v>
      </c>
      <c r="BZ2294">
        <v>5.75</v>
      </c>
      <c r="CA2294">
        <f t="shared" si="5"/>
        <v>9.9592921435210435</v>
      </c>
      <c r="CB2294">
        <v>4</v>
      </c>
      <c r="CC2294">
        <v>3</v>
      </c>
      <c r="CD2294">
        <v>-0.56200000000000006</v>
      </c>
      <c r="CE2294">
        <v>1.5E-3</v>
      </c>
    </row>
    <row r="2295" spans="4:83" hidden="1" x14ac:dyDescent="0.2">
      <c r="D2295">
        <v>212</v>
      </c>
      <c r="G2295" t="s">
        <v>43</v>
      </c>
      <c r="H2295" t="s">
        <v>1063</v>
      </c>
      <c r="J2295">
        <v>2010</v>
      </c>
      <c r="K2295" t="s">
        <v>1062</v>
      </c>
      <c r="M2295" t="s">
        <v>67</v>
      </c>
      <c r="T2295" t="s">
        <v>68</v>
      </c>
      <c r="U2295" t="s">
        <v>167</v>
      </c>
      <c r="V2295" t="s">
        <v>442</v>
      </c>
      <c r="AC2295" t="s">
        <v>108</v>
      </c>
      <c r="AF2295" t="s">
        <v>52</v>
      </c>
      <c r="AG2295" t="s">
        <v>54</v>
      </c>
      <c r="AH2295" t="s">
        <v>55</v>
      </c>
      <c r="AK2295">
        <v>3</v>
      </c>
      <c r="AL2295">
        <v>3</v>
      </c>
      <c r="AN2295">
        <v>375</v>
      </c>
      <c r="AU2295">
        <v>600</v>
      </c>
      <c r="BB2295">
        <f t="shared" si="3"/>
        <v>2.7781512503836434</v>
      </c>
      <c r="BC2295">
        <v>18</v>
      </c>
      <c r="BF2295">
        <v>18</v>
      </c>
      <c r="BI2295">
        <v>225</v>
      </c>
      <c r="BJ2295">
        <v>0</v>
      </c>
      <c r="BK2295" t="s">
        <v>56</v>
      </c>
      <c r="BL2295" t="s">
        <v>92</v>
      </c>
      <c r="BM2295" t="s">
        <v>262</v>
      </c>
      <c r="BN2295" t="s">
        <v>81</v>
      </c>
      <c r="BO2295" t="s">
        <v>917</v>
      </c>
      <c r="BP2295" t="s">
        <v>92</v>
      </c>
      <c r="BR2295" t="s">
        <v>63</v>
      </c>
      <c r="BT2295">
        <v>347.7</v>
      </c>
      <c r="BU2295">
        <v>347.70100000000002</v>
      </c>
      <c r="BV2295">
        <v>8.6199999999999992</v>
      </c>
      <c r="BW2295">
        <f t="shared" si="4"/>
        <v>14.93027796124372</v>
      </c>
      <c r="BX2295">
        <v>204.02</v>
      </c>
      <c r="BY2295">
        <v>204.023</v>
      </c>
      <c r="BZ2295">
        <v>17.239999999999998</v>
      </c>
      <c r="CA2295">
        <f t="shared" si="5"/>
        <v>29.860555922487439</v>
      </c>
      <c r="CB2295">
        <v>4</v>
      </c>
      <c r="CC2295">
        <v>3</v>
      </c>
      <c r="CD2295">
        <v>-0.53300000000000003</v>
      </c>
      <c r="CE2295">
        <v>7.7999999999999996E-3</v>
      </c>
    </row>
    <row r="2296" spans="4:83" hidden="1" x14ac:dyDescent="0.2">
      <c r="D2296">
        <v>212</v>
      </c>
      <c r="G2296" t="s">
        <v>43</v>
      </c>
      <c r="H2296" t="s">
        <v>1063</v>
      </c>
      <c r="J2296">
        <v>2010</v>
      </c>
      <c r="K2296" t="s">
        <v>1062</v>
      </c>
      <c r="M2296" t="s">
        <v>67</v>
      </c>
      <c r="T2296" t="s">
        <v>68</v>
      </c>
      <c r="U2296" t="s">
        <v>167</v>
      </c>
      <c r="V2296" t="s">
        <v>168</v>
      </c>
      <c r="AC2296" t="s">
        <v>108</v>
      </c>
      <c r="AF2296" t="s">
        <v>52</v>
      </c>
      <c r="AG2296" t="s">
        <v>54</v>
      </c>
      <c r="AH2296" t="s">
        <v>55</v>
      </c>
      <c r="AK2296">
        <v>3</v>
      </c>
      <c r="AL2296">
        <v>3</v>
      </c>
      <c r="AN2296">
        <v>375</v>
      </c>
      <c r="AU2296">
        <v>750</v>
      </c>
      <c r="BB2296">
        <f t="shared" si="3"/>
        <v>2.8750612633917001</v>
      </c>
      <c r="BC2296">
        <v>18</v>
      </c>
      <c r="BF2296">
        <v>18</v>
      </c>
      <c r="BI2296">
        <v>375</v>
      </c>
      <c r="BJ2296">
        <v>0</v>
      </c>
      <c r="BK2296" t="s">
        <v>56</v>
      </c>
      <c r="BL2296" t="s">
        <v>92</v>
      </c>
      <c r="BM2296" t="s">
        <v>262</v>
      </c>
      <c r="BN2296" t="s">
        <v>81</v>
      </c>
      <c r="BO2296" t="s">
        <v>917</v>
      </c>
      <c r="BP2296" t="s">
        <v>92</v>
      </c>
      <c r="BR2296" t="s">
        <v>63</v>
      </c>
      <c r="BT2296">
        <v>405.17</v>
      </c>
      <c r="BU2296">
        <v>405.17200000000003</v>
      </c>
      <c r="BV2296">
        <v>31.61</v>
      </c>
      <c r="BW2296">
        <f t="shared" si="4"/>
        <v>54.750126027252207</v>
      </c>
      <c r="BX2296">
        <v>209.77</v>
      </c>
      <c r="BY2296">
        <v>209.77</v>
      </c>
      <c r="BZ2296">
        <v>22.99</v>
      </c>
      <c r="CA2296">
        <f t="shared" si="5"/>
        <v>39.819848066008483</v>
      </c>
      <c r="CB2296">
        <v>4</v>
      </c>
      <c r="CC2296">
        <v>3</v>
      </c>
      <c r="CD2296">
        <v>-0.65800000000000003</v>
      </c>
      <c r="CE2296">
        <v>1.8100000000000002E-2</v>
      </c>
    </row>
    <row r="2297" spans="4:83" hidden="1" x14ac:dyDescent="0.2">
      <c r="D2297">
        <v>212</v>
      </c>
      <c r="G2297" t="s">
        <v>43</v>
      </c>
      <c r="H2297" t="s">
        <v>1063</v>
      </c>
      <c r="J2297">
        <v>2010</v>
      </c>
      <c r="K2297" t="s">
        <v>1062</v>
      </c>
      <c r="M2297" t="s">
        <v>67</v>
      </c>
      <c r="T2297" t="s">
        <v>68</v>
      </c>
      <c r="U2297" t="s">
        <v>167</v>
      </c>
      <c r="V2297" t="s">
        <v>442</v>
      </c>
      <c r="AC2297" t="s">
        <v>108</v>
      </c>
      <c r="AF2297" t="s">
        <v>52</v>
      </c>
      <c r="AG2297" t="s">
        <v>52</v>
      </c>
      <c r="AH2297" t="s">
        <v>64</v>
      </c>
      <c r="AK2297">
        <v>3</v>
      </c>
      <c r="AL2297">
        <v>3</v>
      </c>
      <c r="AN2297">
        <v>375</v>
      </c>
      <c r="AU2297">
        <v>1000</v>
      </c>
      <c r="BB2297">
        <f t="shared" si="3"/>
        <v>3</v>
      </c>
      <c r="BC2297">
        <v>18</v>
      </c>
      <c r="BF2297">
        <v>26</v>
      </c>
      <c r="BI2297">
        <v>625</v>
      </c>
      <c r="BJ2297">
        <v>8</v>
      </c>
      <c r="BK2297" t="s">
        <v>56</v>
      </c>
      <c r="BL2297" t="s">
        <v>92</v>
      </c>
      <c r="BM2297" t="s">
        <v>262</v>
      </c>
      <c r="BN2297" t="s">
        <v>81</v>
      </c>
      <c r="BO2297" t="s">
        <v>917</v>
      </c>
      <c r="BP2297" t="s">
        <v>92</v>
      </c>
      <c r="BR2297" t="s">
        <v>63</v>
      </c>
      <c r="BT2297">
        <v>347.7</v>
      </c>
      <c r="BU2297">
        <v>347.70100000000002</v>
      </c>
      <c r="BV2297">
        <v>8.6199999999999992</v>
      </c>
      <c r="BW2297">
        <f t="shared" si="4"/>
        <v>14.93027796124372</v>
      </c>
      <c r="BX2297">
        <v>238.51</v>
      </c>
      <c r="BY2297">
        <v>238.506</v>
      </c>
      <c r="BZ2297">
        <v>11.49</v>
      </c>
      <c r="CA2297">
        <f t="shared" si="5"/>
        <v>19.901263778966399</v>
      </c>
      <c r="CB2297">
        <v>4</v>
      </c>
      <c r="CC2297">
        <v>3</v>
      </c>
      <c r="CD2297">
        <v>-0.377</v>
      </c>
      <c r="CE2297">
        <v>2.8999999999999998E-3</v>
      </c>
    </row>
    <row r="2298" spans="4:83" hidden="1" x14ac:dyDescent="0.2">
      <c r="D2298">
        <v>235</v>
      </c>
      <c r="G2298" t="s">
        <v>43</v>
      </c>
      <c r="H2298" t="s">
        <v>1081</v>
      </c>
      <c r="J2298">
        <v>2017</v>
      </c>
      <c r="T2298" t="s">
        <v>68</v>
      </c>
      <c r="V2298" t="s">
        <v>1082</v>
      </c>
      <c r="AC2298" t="s">
        <v>51</v>
      </c>
      <c r="AF2298" t="s">
        <v>54</v>
      </c>
      <c r="AG2298" t="s">
        <v>52</v>
      </c>
      <c r="AH2298" t="s">
        <v>65</v>
      </c>
      <c r="AK2298">
        <v>4</v>
      </c>
      <c r="AL2298">
        <v>4</v>
      </c>
      <c r="AN2298">
        <v>465</v>
      </c>
      <c r="AU2298">
        <v>500</v>
      </c>
      <c r="BB2298">
        <f t="shared" si="3"/>
        <v>2.6989700043360187</v>
      </c>
      <c r="BC2298">
        <v>21</v>
      </c>
      <c r="BF2298">
        <v>23.7</v>
      </c>
      <c r="BI2298">
        <v>35</v>
      </c>
      <c r="BJ2298">
        <v>2.7</v>
      </c>
      <c r="BK2298" t="s">
        <v>1083</v>
      </c>
      <c r="BL2298" t="s">
        <v>1084</v>
      </c>
      <c r="BM2298" t="s">
        <v>98</v>
      </c>
      <c r="BN2298" t="s">
        <v>81</v>
      </c>
      <c r="BO2298" t="s">
        <v>439</v>
      </c>
      <c r="BP2298" t="s">
        <v>100</v>
      </c>
      <c r="BR2298" t="s">
        <v>63</v>
      </c>
      <c r="BT2298">
        <v>182.23234619999999</v>
      </c>
      <c r="BU2298">
        <v>182.23234600000001</v>
      </c>
      <c r="BV2298">
        <v>7.28929385</v>
      </c>
      <c r="BW2298">
        <f t="shared" si="4"/>
        <v>14.5785877</v>
      </c>
      <c r="BX2298">
        <v>238.72437360000001</v>
      </c>
      <c r="BY2298">
        <v>238.72437360000001</v>
      </c>
      <c r="BZ2298">
        <v>41.91343964</v>
      </c>
      <c r="CA2298">
        <f t="shared" si="5"/>
        <v>83.82687928</v>
      </c>
      <c r="CB2298">
        <v>120</v>
      </c>
      <c r="CD2298">
        <v>0.27</v>
      </c>
      <c r="CE2298">
        <v>3.2399999999999998E-2</v>
      </c>
    </row>
    <row r="2299" spans="4:83" hidden="1" x14ac:dyDescent="0.2">
      <c r="D2299">
        <v>212</v>
      </c>
      <c r="G2299" t="s">
        <v>43</v>
      </c>
      <c r="H2299" t="s">
        <v>1063</v>
      </c>
      <c r="J2299">
        <v>2010</v>
      </c>
      <c r="K2299" t="s">
        <v>1062</v>
      </c>
      <c r="M2299" t="s">
        <v>67</v>
      </c>
      <c r="T2299" t="s">
        <v>68</v>
      </c>
      <c r="U2299" t="s">
        <v>167</v>
      </c>
      <c r="V2299" t="s">
        <v>168</v>
      </c>
      <c r="AC2299" t="s">
        <v>108</v>
      </c>
      <c r="AF2299" t="s">
        <v>52</v>
      </c>
      <c r="AG2299" t="s">
        <v>52</v>
      </c>
      <c r="AH2299" t="s">
        <v>64</v>
      </c>
      <c r="AK2299">
        <v>3</v>
      </c>
      <c r="AL2299">
        <v>3</v>
      </c>
      <c r="AN2299">
        <v>375</v>
      </c>
      <c r="AU2299">
        <v>750</v>
      </c>
      <c r="BB2299">
        <f t="shared" si="3"/>
        <v>2.8750612633917001</v>
      </c>
      <c r="BC2299">
        <v>18</v>
      </c>
      <c r="BF2299">
        <v>22</v>
      </c>
      <c r="BI2299">
        <v>375</v>
      </c>
      <c r="BJ2299">
        <v>4</v>
      </c>
      <c r="BK2299" t="s">
        <v>56</v>
      </c>
      <c r="BL2299" t="s">
        <v>92</v>
      </c>
      <c r="BM2299" t="s">
        <v>262</v>
      </c>
      <c r="BN2299" t="s">
        <v>81</v>
      </c>
      <c r="BO2299" t="s">
        <v>917</v>
      </c>
      <c r="BP2299" t="s">
        <v>92</v>
      </c>
      <c r="BR2299" t="s">
        <v>63</v>
      </c>
      <c r="BT2299">
        <v>405.17</v>
      </c>
      <c r="BU2299">
        <v>405.17200000000003</v>
      </c>
      <c r="BV2299">
        <v>31.61</v>
      </c>
      <c r="BW2299">
        <f t="shared" si="4"/>
        <v>54.750126027252207</v>
      </c>
      <c r="BX2299">
        <v>241.38</v>
      </c>
      <c r="BY2299">
        <v>241.37899999999999</v>
      </c>
      <c r="BZ2299">
        <v>20.12</v>
      </c>
      <c r="CA2299">
        <f t="shared" si="5"/>
        <v>34.848862248285812</v>
      </c>
      <c r="CB2299">
        <v>4</v>
      </c>
      <c r="CC2299">
        <v>3</v>
      </c>
      <c r="CD2299">
        <v>-0.51800000000000002</v>
      </c>
      <c r="CE2299">
        <v>1.2999999999999999E-2</v>
      </c>
    </row>
    <row r="2300" spans="4:83" hidden="1" x14ac:dyDescent="0.2">
      <c r="D2300">
        <v>212</v>
      </c>
      <c r="G2300" t="s">
        <v>43</v>
      </c>
      <c r="H2300" t="s">
        <v>1063</v>
      </c>
      <c r="J2300">
        <v>2010</v>
      </c>
      <c r="K2300" t="s">
        <v>1062</v>
      </c>
      <c r="M2300" t="s">
        <v>67</v>
      </c>
      <c r="T2300" t="s">
        <v>68</v>
      </c>
      <c r="U2300" t="s">
        <v>167</v>
      </c>
      <c r="V2300" t="s">
        <v>168</v>
      </c>
      <c r="AC2300" t="s">
        <v>108</v>
      </c>
      <c r="AF2300" t="s">
        <v>52</v>
      </c>
      <c r="AG2300" t="s">
        <v>54</v>
      </c>
      <c r="AH2300" t="s">
        <v>55</v>
      </c>
      <c r="AK2300">
        <v>3</v>
      </c>
      <c r="AL2300">
        <v>3</v>
      </c>
      <c r="AN2300">
        <v>375</v>
      </c>
      <c r="AU2300">
        <v>600</v>
      </c>
      <c r="BB2300">
        <f t="shared" si="3"/>
        <v>2.7781512503836434</v>
      </c>
      <c r="BC2300">
        <v>18</v>
      </c>
      <c r="BF2300">
        <v>18</v>
      </c>
      <c r="BI2300">
        <v>225</v>
      </c>
      <c r="BJ2300">
        <v>0</v>
      </c>
      <c r="BK2300" t="s">
        <v>56</v>
      </c>
      <c r="BL2300" t="s">
        <v>92</v>
      </c>
      <c r="BM2300" t="s">
        <v>262</v>
      </c>
      <c r="BN2300" t="s">
        <v>81</v>
      </c>
      <c r="BO2300" t="s">
        <v>917</v>
      </c>
      <c r="BP2300" t="s">
        <v>92</v>
      </c>
      <c r="BR2300" t="s">
        <v>63</v>
      </c>
      <c r="BT2300">
        <v>405.17</v>
      </c>
      <c r="BU2300">
        <v>405.17200000000003</v>
      </c>
      <c r="BV2300">
        <v>31.61</v>
      </c>
      <c r="BW2300">
        <f t="shared" si="4"/>
        <v>54.750126027252207</v>
      </c>
      <c r="BX2300">
        <v>264.37</v>
      </c>
      <c r="BY2300">
        <v>264.36799999999999</v>
      </c>
      <c r="BZ2300">
        <v>14.37</v>
      </c>
      <c r="CA2300">
        <f t="shared" si="5"/>
        <v>24.889570104764765</v>
      </c>
      <c r="CB2300">
        <v>4</v>
      </c>
      <c r="CC2300">
        <v>3</v>
      </c>
      <c r="CD2300">
        <v>-0.42699999999999999</v>
      </c>
      <c r="CE2300">
        <v>8.9999999999999993E-3</v>
      </c>
    </row>
    <row r="2301" spans="4:83" hidden="1" x14ac:dyDescent="0.2">
      <c r="D2301">
        <v>220</v>
      </c>
      <c r="G2301" t="s">
        <v>43</v>
      </c>
      <c r="H2301" t="s">
        <v>999</v>
      </c>
      <c r="J2301">
        <v>2016</v>
      </c>
      <c r="M2301" t="s">
        <v>1000</v>
      </c>
      <c r="T2301" t="s">
        <v>136</v>
      </c>
      <c r="U2301" t="s">
        <v>321</v>
      </c>
      <c r="V2301" t="s">
        <v>322</v>
      </c>
      <c r="AC2301" t="s">
        <v>51</v>
      </c>
      <c r="AF2301" t="s">
        <v>54</v>
      </c>
      <c r="AG2301" t="s">
        <v>52</v>
      </c>
      <c r="AH2301" t="s">
        <v>65</v>
      </c>
      <c r="AK2301">
        <v>12</v>
      </c>
      <c r="AL2301">
        <v>12</v>
      </c>
      <c r="AN2301">
        <v>386</v>
      </c>
      <c r="AU2301">
        <v>402</v>
      </c>
      <c r="BB2301">
        <f t="shared" si="3"/>
        <v>2.6042260530844699</v>
      </c>
      <c r="BC2301">
        <v>27</v>
      </c>
      <c r="BF2301">
        <v>29.9</v>
      </c>
      <c r="BI2301">
        <v>16</v>
      </c>
      <c r="BJ2301">
        <v>2.9</v>
      </c>
      <c r="BK2301" t="s">
        <v>1001</v>
      </c>
      <c r="BL2301" t="s">
        <v>1085</v>
      </c>
      <c r="BM2301" t="s">
        <v>327</v>
      </c>
      <c r="BN2301" t="s">
        <v>81</v>
      </c>
      <c r="BO2301" t="s">
        <v>328</v>
      </c>
      <c r="BP2301" t="s">
        <v>190</v>
      </c>
      <c r="BR2301" t="s">
        <v>63</v>
      </c>
      <c r="BT2301">
        <v>423.47800000000001</v>
      </c>
      <c r="BU2301">
        <v>423.47800000000001</v>
      </c>
      <c r="BV2301">
        <v>34.880000000000003</v>
      </c>
      <c r="BW2301">
        <f t="shared" si="4"/>
        <v>120.82786433600488</v>
      </c>
      <c r="BX2301">
        <v>270.74200000000002</v>
      </c>
      <c r="BY2301">
        <v>270.74200000000002</v>
      </c>
      <c r="BZ2301">
        <v>20.350000000000001</v>
      </c>
      <c r="CA2301">
        <f t="shared" si="5"/>
        <v>70.494467868053306</v>
      </c>
      <c r="CB2301" t="s">
        <v>56</v>
      </c>
      <c r="CD2301">
        <v>-0.44700000000000001</v>
      </c>
      <c r="CE2301">
        <v>1.24E-2</v>
      </c>
    </row>
    <row r="2302" spans="4:83" hidden="1" x14ac:dyDescent="0.2">
      <c r="D2302">
        <v>212</v>
      </c>
      <c r="G2302" t="s">
        <v>43</v>
      </c>
      <c r="H2302" t="s">
        <v>1063</v>
      </c>
      <c r="J2302">
        <v>2010</v>
      </c>
      <c r="K2302" t="s">
        <v>1062</v>
      </c>
      <c r="M2302" t="s">
        <v>67</v>
      </c>
      <c r="T2302" t="s">
        <v>68</v>
      </c>
      <c r="U2302" t="s">
        <v>167</v>
      </c>
      <c r="V2302" t="s">
        <v>442</v>
      </c>
      <c r="AC2302" t="s">
        <v>108</v>
      </c>
      <c r="AF2302" t="s">
        <v>52</v>
      </c>
      <c r="AG2302" t="s">
        <v>52</v>
      </c>
      <c r="AH2302" t="s">
        <v>64</v>
      </c>
      <c r="AK2302">
        <v>3</v>
      </c>
      <c r="AL2302">
        <v>3</v>
      </c>
      <c r="AN2302">
        <v>375</v>
      </c>
      <c r="AU2302">
        <v>1000</v>
      </c>
      <c r="BB2302">
        <f t="shared" si="3"/>
        <v>3</v>
      </c>
      <c r="BC2302">
        <v>18</v>
      </c>
      <c r="BF2302">
        <v>30</v>
      </c>
      <c r="BI2302">
        <v>625</v>
      </c>
      <c r="BJ2302">
        <v>12</v>
      </c>
      <c r="BK2302" t="s">
        <v>56</v>
      </c>
      <c r="BL2302" t="s">
        <v>92</v>
      </c>
      <c r="BM2302" t="s">
        <v>262</v>
      </c>
      <c r="BN2302" t="s">
        <v>81</v>
      </c>
      <c r="BO2302" t="s">
        <v>917</v>
      </c>
      <c r="BP2302" t="s">
        <v>92</v>
      </c>
      <c r="BR2302" t="s">
        <v>63</v>
      </c>
      <c r="BT2302">
        <v>347.7</v>
      </c>
      <c r="BU2302">
        <v>347.70100000000002</v>
      </c>
      <c r="BV2302">
        <v>8.6199999999999992</v>
      </c>
      <c r="BW2302">
        <f t="shared" si="4"/>
        <v>14.93027796124372</v>
      </c>
      <c r="BX2302">
        <v>307.47000000000003</v>
      </c>
      <c r="BY2302">
        <v>307.471</v>
      </c>
      <c r="BZ2302">
        <v>34.479999999999997</v>
      </c>
      <c r="CA2302">
        <f t="shared" si="5"/>
        <v>59.721111844974878</v>
      </c>
      <c r="CB2302">
        <v>4</v>
      </c>
      <c r="CC2302">
        <v>3</v>
      </c>
      <c r="CD2302">
        <v>-0.123</v>
      </c>
      <c r="CE2302">
        <v>1.32E-2</v>
      </c>
    </row>
    <row r="2303" spans="4:83" hidden="1" x14ac:dyDescent="0.2">
      <c r="D2303">
        <v>212</v>
      </c>
      <c r="G2303" t="s">
        <v>43</v>
      </c>
      <c r="H2303" t="s">
        <v>1063</v>
      </c>
      <c r="J2303">
        <v>2010</v>
      </c>
      <c r="K2303" t="s">
        <v>1062</v>
      </c>
      <c r="M2303" t="s">
        <v>67</v>
      </c>
      <c r="T2303" t="s">
        <v>68</v>
      </c>
      <c r="U2303" t="s">
        <v>167</v>
      </c>
      <c r="V2303" t="s">
        <v>442</v>
      </c>
      <c r="AC2303" t="s">
        <v>108</v>
      </c>
      <c r="AF2303" t="s">
        <v>52</v>
      </c>
      <c r="AG2303" t="s">
        <v>52</v>
      </c>
      <c r="AH2303" t="s">
        <v>64</v>
      </c>
      <c r="AK2303">
        <v>3</v>
      </c>
      <c r="AL2303">
        <v>3</v>
      </c>
      <c r="AN2303">
        <v>375</v>
      </c>
      <c r="AU2303">
        <v>750</v>
      </c>
      <c r="BB2303">
        <f t="shared" si="3"/>
        <v>2.8750612633917001</v>
      </c>
      <c r="BC2303">
        <v>18</v>
      </c>
      <c r="BF2303">
        <v>26</v>
      </c>
      <c r="BI2303">
        <v>375</v>
      </c>
      <c r="BJ2303">
        <v>8</v>
      </c>
      <c r="BK2303" t="s">
        <v>56</v>
      </c>
      <c r="BL2303" t="s">
        <v>92</v>
      </c>
      <c r="BM2303" t="s">
        <v>262</v>
      </c>
      <c r="BN2303" t="s">
        <v>81</v>
      </c>
      <c r="BO2303" t="s">
        <v>917</v>
      </c>
      <c r="BP2303" t="s">
        <v>92</v>
      </c>
      <c r="BR2303" t="s">
        <v>63</v>
      </c>
      <c r="BT2303">
        <v>347.7</v>
      </c>
      <c r="BU2303">
        <v>347.70100000000002</v>
      </c>
      <c r="BV2303">
        <v>8.6199999999999992</v>
      </c>
      <c r="BW2303">
        <f t="shared" si="4"/>
        <v>14.93027796124372</v>
      </c>
      <c r="BX2303">
        <v>318.97000000000003</v>
      </c>
      <c r="BY2303">
        <v>318.96600000000001</v>
      </c>
      <c r="BZ2303">
        <v>20.11</v>
      </c>
      <c r="CA2303">
        <f t="shared" si="5"/>
        <v>34.83154174021012</v>
      </c>
      <c r="CB2303">
        <v>4</v>
      </c>
      <c r="CC2303">
        <v>3</v>
      </c>
      <c r="CD2303">
        <v>-8.5999999999999993E-2</v>
      </c>
      <c r="CE2303">
        <v>4.5999999999999999E-3</v>
      </c>
    </row>
    <row r="2304" spans="4:83" hidden="1" x14ac:dyDescent="0.2">
      <c r="D2304">
        <v>212</v>
      </c>
      <c r="G2304" t="s">
        <v>43</v>
      </c>
      <c r="H2304" t="s">
        <v>1063</v>
      </c>
      <c r="J2304">
        <v>2010</v>
      </c>
      <c r="K2304" t="s">
        <v>1062</v>
      </c>
      <c r="M2304" t="s">
        <v>67</v>
      </c>
      <c r="T2304" t="s">
        <v>68</v>
      </c>
      <c r="U2304" t="s">
        <v>167</v>
      </c>
      <c r="V2304" t="s">
        <v>168</v>
      </c>
      <c r="AC2304" t="s">
        <v>108</v>
      </c>
      <c r="AF2304" t="s">
        <v>52</v>
      </c>
      <c r="AG2304" t="s">
        <v>52</v>
      </c>
      <c r="AH2304" t="s">
        <v>64</v>
      </c>
      <c r="AK2304">
        <v>3</v>
      </c>
      <c r="AL2304">
        <v>3</v>
      </c>
      <c r="AN2304">
        <v>375</v>
      </c>
      <c r="AU2304">
        <v>1000</v>
      </c>
      <c r="BB2304">
        <f t="shared" si="3"/>
        <v>3</v>
      </c>
      <c r="BC2304">
        <v>18</v>
      </c>
      <c r="BF2304">
        <v>26</v>
      </c>
      <c r="BI2304">
        <v>625</v>
      </c>
      <c r="BJ2304">
        <v>8</v>
      </c>
      <c r="BK2304" t="s">
        <v>56</v>
      </c>
      <c r="BL2304" t="s">
        <v>92</v>
      </c>
      <c r="BM2304" t="s">
        <v>262</v>
      </c>
      <c r="BN2304" t="s">
        <v>81</v>
      </c>
      <c r="BO2304" t="s">
        <v>917</v>
      </c>
      <c r="BP2304" t="s">
        <v>92</v>
      </c>
      <c r="BR2304" t="s">
        <v>63</v>
      </c>
      <c r="BT2304">
        <v>405.17</v>
      </c>
      <c r="BU2304">
        <v>405.17200000000003</v>
      </c>
      <c r="BV2304">
        <v>31.61</v>
      </c>
      <c r="BW2304">
        <f t="shared" si="4"/>
        <v>54.750126027252207</v>
      </c>
      <c r="BX2304">
        <v>324.70999999999998</v>
      </c>
      <c r="BY2304">
        <v>324.71300000000002</v>
      </c>
      <c r="BZ2304">
        <v>11.49</v>
      </c>
      <c r="CA2304">
        <f t="shared" si="5"/>
        <v>19.901263778966399</v>
      </c>
      <c r="CB2304">
        <v>4</v>
      </c>
      <c r="CC2304">
        <v>3</v>
      </c>
      <c r="CD2304">
        <v>-0.221</v>
      </c>
      <c r="CE2304">
        <v>7.3000000000000001E-3</v>
      </c>
    </row>
    <row r="2305" spans="4:83" hidden="1" x14ac:dyDescent="0.2">
      <c r="D2305">
        <v>212</v>
      </c>
      <c r="G2305" t="s">
        <v>43</v>
      </c>
      <c r="H2305" t="s">
        <v>1063</v>
      </c>
      <c r="J2305">
        <v>2010</v>
      </c>
      <c r="K2305" t="s">
        <v>1062</v>
      </c>
      <c r="M2305" t="s">
        <v>67</v>
      </c>
      <c r="T2305" t="s">
        <v>68</v>
      </c>
      <c r="U2305" t="s">
        <v>167</v>
      </c>
      <c r="V2305" t="s">
        <v>442</v>
      </c>
      <c r="AC2305" t="s">
        <v>108</v>
      </c>
      <c r="AF2305" t="s">
        <v>52</v>
      </c>
      <c r="AG2305" t="s">
        <v>52</v>
      </c>
      <c r="AH2305" t="s">
        <v>64</v>
      </c>
      <c r="AK2305">
        <v>3</v>
      </c>
      <c r="AL2305">
        <v>3</v>
      </c>
      <c r="AN2305">
        <v>375</v>
      </c>
      <c r="AU2305">
        <v>750</v>
      </c>
      <c r="BB2305">
        <f t="shared" si="3"/>
        <v>2.8750612633917001</v>
      </c>
      <c r="BC2305">
        <v>18</v>
      </c>
      <c r="BF2305">
        <v>30</v>
      </c>
      <c r="BI2305">
        <v>375</v>
      </c>
      <c r="BJ2305">
        <v>12</v>
      </c>
      <c r="BK2305" t="s">
        <v>56</v>
      </c>
      <c r="BL2305" t="s">
        <v>92</v>
      </c>
      <c r="BM2305" t="s">
        <v>262</v>
      </c>
      <c r="BN2305" t="s">
        <v>81</v>
      </c>
      <c r="BO2305" t="s">
        <v>917</v>
      </c>
      <c r="BP2305" t="s">
        <v>92</v>
      </c>
      <c r="BR2305" t="s">
        <v>63</v>
      </c>
      <c r="BT2305">
        <v>347.7</v>
      </c>
      <c r="BU2305">
        <v>347.70100000000002</v>
      </c>
      <c r="BV2305">
        <v>8.6199999999999992</v>
      </c>
      <c r="BW2305">
        <f t="shared" si="4"/>
        <v>14.93027796124372</v>
      </c>
      <c r="BX2305">
        <v>324.70999999999998</v>
      </c>
      <c r="BY2305">
        <v>324.71300000000002</v>
      </c>
      <c r="BZ2305">
        <v>14.37</v>
      </c>
      <c r="CA2305">
        <f t="shared" si="5"/>
        <v>24.889570104764765</v>
      </c>
      <c r="CB2305">
        <v>4</v>
      </c>
      <c r="CC2305">
        <v>3</v>
      </c>
      <c r="CD2305">
        <v>-6.8000000000000005E-2</v>
      </c>
      <c r="CE2305">
        <v>2.5999999999999999E-3</v>
      </c>
    </row>
    <row r="2306" spans="4:83" hidden="1" x14ac:dyDescent="0.2">
      <c r="D2306">
        <v>212</v>
      </c>
      <c r="G2306" t="s">
        <v>43</v>
      </c>
      <c r="H2306" t="s">
        <v>1063</v>
      </c>
      <c r="J2306">
        <v>2010</v>
      </c>
      <c r="K2306" t="s">
        <v>1062</v>
      </c>
      <c r="M2306" t="s">
        <v>67</v>
      </c>
      <c r="T2306" t="s">
        <v>68</v>
      </c>
      <c r="U2306" t="s">
        <v>167</v>
      </c>
      <c r="V2306" t="s">
        <v>168</v>
      </c>
      <c r="AC2306" t="s">
        <v>108</v>
      </c>
      <c r="AF2306" t="s">
        <v>52</v>
      </c>
      <c r="AG2306" t="s">
        <v>52</v>
      </c>
      <c r="AH2306" t="s">
        <v>64</v>
      </c>
      <c r="AK2306">
        <v>3</v>
      </c>
      <c r="AL2306">
        <v>3</v>
      </c>
      <c r="AN2306">
        <v>375</v>
      </c>
      <c r="AU2306">
        <v>600</v>
      </c>
      <c r="BB2306">
        <f t="shared" si="3"/>
        <v>2.7781512503836434</v>
      </c>
      <c r="BC2306">
        <v>18</v>
      </c>
      <c r="BF2306">
        <v>22</v>
      </c>
      <c r="BI2306">
        <v>225</v>
      </c>
      <c r="BJ2306">
        <v>4</v>
      </c>
      <c r="BK2306" t="s">
        <v>56</v>
      </c>
      <c r="BL2306" t="s">
        <v>92</v>
      </c>
      <c r="BM2306" t="s">
        <v>262</v>
      </c>
      <c r="BN2306" t="s">
        <v>81</v>
      </c>
      <c r="BO2306" t="s">
        <v>917</v>
      </c>
      <c r="BP2306" t="s">
        <v>92</v>
      </c>
      <c r="BR2306" t="s">
        <v>63</v>
      </c>
      <c r="BT2306">
        <v>405.17</v>
      </c>
      <c r="BU2306">
        <v>405.17200000000003</v>
      </c>
      <c r="BV2306">
        <v>31.61</v>
      </c>
      <c r="BW2306">
        <f t="shared" si="4"/>
        <v>54.750126027252207</v>
      </c>
      <c r="BX2306">
        <v>327.58999999999997</v>
      </c>
      <c r="BY2306">
        <v>327.58600000000001</v>
      </c>
      <c r="BZ2306">
        <v>31.61</v>
      </c>
      <c r="CA2306">
        <f t="shared" si="5"/>
        <v>54.750126027252207</v>
      </c>
      <c r="CB2306">
        <v>4</v>
      </c>
      <c r="CC2306">
        <v>3</v>
      </c>
      <c r="CD2306">
        <v>-0.21299999999999999</v>
      </c>
      <c r="CE2306">
        <v>1.54E-2</v>
      </c>
    </row>
    <row r="2307" spans="4:83" hidden="1" x14ac:dyDescent="0.2">
      <c r="D2307">
        <v>212</v>
      </c>
      <c r="G2307" t="s">
        <v>43</v>
      </c>
      <c r="H2307" t="s">
        <v>1063</v>
      </c>
      <c r="J2307">
        <v>2010</v>
      </c>
      <c r="K2307" t="s">
        <v>1062</v>
      </c>
      <c r="M2307" t="s">
        <v>67</v>
      </c>
      <c r="T2307" t="s">
        <v>68</v>
      </c>
      <c r="U2307" t="s">
        <v>167</v>
      </c>
      <c r="V2307" t="s">
        <v>442</v>
      </c>
      <c r="AC2307" t="s">
        <v>108</v>
      </c>
      <c r="AF2307" t="s">
        <v>52</v>
      </c>
      <c r="AG2307" t="s">
        <v>52</v>
      </c>
      <c r="AH2307" t="s">
        <v>64</v>
      </c>
      <c r="AK2307">
        <v>3</v>
      </c>
      <c r="AL2307">
        <v>3</v>
      </c>
      <c r="AN2307">
        <v>375</v>
      </c>
      <c r="AU2307">
        <v>600</v>
      </c>
      <c r="BB2307">
        <f t="shared" si="3"/>
        <v>2.7781512503836434</v>
      </c>
      <c r="BC2307">
        <v>18</v>
      </c>
      <c r="BF2307">
        <v>22</v>
      </c>
      <c r="BI2307">
        <v>225</v>
      </c>
      <c r="BJ2307">
        <v>4</v>
      </c>
      <c r="BK2307" t="s">
        <v>56</v>
      </c>
      <c r="BL2307" t="s">
        <v>92</v>
      </c>
      <c r="BM2307" t="s">
        <v>262</v>
      </c>
      <c r="BN2307" t="s">
        <v>81</v>
      </c>
      <c r="BO2307" t="s">
        <v>917</v>
      </c>
      <c r="BP2307" t="s">
        <v>92</v>
      </c>
      <c r="BR2307" t="s">
        <v>63</v>
      </c>
      <c r="BT2307">
        <v>347.7</v>
      </c>
      <c r="BU2307">
        <v>347.70100000000002</v>
      </c>
      <c r="BV2307">
        <v>8.6199999999999992</v>
      </c>
      <c r="BW2307">
        <f t="shared" ref="BW2307:BW2332" si="6">BV2307*SQRT(AK2307)</f>
        <v>14.93027796124372</v>
      </c>
      <c r="BX2307">
        <v>327.58999999999997</v>
      </c>
      <c r="BY2307">
        <v>327.58600000000001</v>
      </c>
      <c r="BZ2307">
        <v>8.6199999999999992</v>
      </c>
      <c r="CA2307">
        <f t="shared" ref="CA2307:CA2332" si="7">BZ2307*SQRT(AL2307)</f>
        <v>14.93027796124372</v>
      </c>
      <c r="CB2307">
        <v>4</v>
      </c>
      <c r="CC2307">
        <v>3</v>
      </c>
      <c r="CD2307">
        <v>-0.06</v>
      </c>
      <c r="CE2307">
        <v>1.2999999999999999E-3</v>
      </c>
    </row>
    <row r="2308" spans="4:83" hidden="1" x14ac:dyDescent="0.2">
      <c r="D2308">
        <v>220</v>
      </c>
      <c r="G2308" t="s">
        <v>43</v>
      </c>
      <c r="H2308" t="s">
        <v>999</v>
      </c>
      <c r="J2308">
        <v>2016</v>
      </c>
      <c r="M2308" t="s">
        <v>1000</v>
      </c>
      <c r="T2308" t="s">
        <v>136</v>
      </c>
      <c r="U2308" t="s">
        <v>321</v>
      </c>
      <c r="V2308" t="s">
        <v>322</v>
      </c>
      <c r="AC2308" t="s">
        <v>51</v>
      </c>
      <c r="AF2308" t="s">
        <v>52</v>
      </c>
      <c r="AG2308" t="s">
        <v>52</v>
      </c>
      <c r="AH2308" t="s">
        <v>64</v>
      </c>
      <c r="AK2308">
        <v>12</v>
      </c>
      <c r="AL2308">
        <v>12</v>
      </c>
      <c r="AN2308">
        <v>386</v>
      </c>
      <c r="AU2308">
        <v>1222</v>
      </c>
      <c r="BB2308">
        <f t="shared" si="3"/>
        <v>3.0870712059065353</v>
      </c>
      <c r="BC2308">
        <v>27</v>
      </c>
      <c r="BF2308">
        <v>29.8</v>
      </c>
      <c r="BI2308">
        <v>836</v>
      </c>
      <c r="BJ2308">
        <v>2.8</v>
      </c>
      <c r="BK2308" t="s">
        <v>1001</v>
      </c>
      <c r="BL2308" t="s">
        <v>1085</v>
      </c>
      <c r="BM2308" t="s">
        <v>327</v>
      </c>
      <c r="BN2308" t="s">
        <v>81</v>
      </c>
      <c r="BO2308" t="s">
        <v>328</v>
      </c>
      <c r="BP2308" t="s">
        <v>190</v>
      </c>
      <c r="BR2308" t="s">
        <v>63</v>
      </c>
      <c r="BT2308">
        <v>423.47800000000001</v>
      </c>
      <c r="BU2308">
        <v>423.47800000000001</v>
      </c>
      <c r="BV2308">
        <v>34.880000000000003</v>
      </c>
      <c r="BW2308">
        <f t="shared" si="6"/>
        <v>120.82786433600488</v>
      </c>
      <c r="BX2308">
        <v>328.05700000000002</v>
      </c>
      <c r="BY2308">
        <v>328.05700000000002</v>
      </c>
      <c r="BZ2308">
        <v>34.630000000000003</v>
      </c>
      <c r="CA2308">
        <f t="shared" si="7"/>
        <v>119.96183893222045</v>
      </c>
      <c r="CB2308" t="s">
        <v>56</v>
      </c>
      <c r="CD2308">
        <v>-0.255</v>
      </c>
      <c r="CE2308">
        <v>1.7899999999999999E-2</v>
      </c>
    </row>
    <row r="2309" spans="4:83" hidden="1" x14ac:dyDescent="0.2">
      <c r="D2309">
        <v>212</v>
      </c>
      <c r="G2309" t="s">
        <v>43</v>
      </c>
      <c r="H2309" t="s">
        <v>1063</v>
      </c>
      <c r="J2309">
        <v>2010</v>
      </c>
      <c r="K2309" t="s">
        <v>1062</v>
      </c>
      <c r="M2309" t="s">
        <v>67</v>
      </c>
      <c r="T2309" t="s">
        <v>68</v>
      </c>
      <c r="U2309" t="s">
        <v>167</v>
      </c>
      <c r="V2309" t="s">
        <v>442</v>
      </c>
      <c r="AC2309" t="s">
        <v>108</v>
      </c>
      <c r="AF2309" t="s">
        <v>52</v>
      </c>
      <c r="AG2309" t="s">
        <v>52</v>
      </c>
      <c r="AH2309" t="s">
        <v>64</v>
      </c>
      <c r="AK2309">
        <v>3</v>
      </c>
      <c r="AL2309">
        <v>3</v>
      </c>
      <c r="AN2309">
        <v>375</v>
      </c>
      <c r="AU2309">
        <v>600</v>
      </c>
      <c r="BB2309">
        <f t="shared" si="3"/>
        <v>2.7781512503836434</v>
      </c>
      <c r="BC2309">
        <v>18</v>
      </c>
      <c r="BF2309">
        <v>26</v>
      </c>
      <c r="BI2309">
        <v>225</v>
      </c>
      <c r="BJ2309">
        <v>8</v>
      </c>
      <c r="BK2309" t="s">
        <v>56</v>
      </c>
      <c r="BL2309" t="s">
        <v>92</v>
      </c>
      <c r="BM2309" t="s">
        <v>262</v>
      </c>
      <c r="BN2309" t="s">
        <v>81</v>
      </c>
      <c r="BO2309" t="s">
        <v>917</v>
      </c>
      <c r="BP2309" t="s">
        <v>92</v>
      </c>
      <c r="BR2309" t="s">
        <v>63</v>
      </c>
      <c r="BT2309">
        <v>347.7</v>
      </c>
      <c r="BU2309">
        <v>347.70100000000002</v>
      </c>
      <c r="BV2309">
        <v>8.6199999999999992</v>
      </c>
      <c r="BW2309">
        <f t="shared" si="6"/>
        <v>14.93027796124372</v>
      </c>
      <c r="BX2309">
        <v>336.21</v>
      </c>
      <c r="BY2309">
        <v>336.20699999999999</v>
      </c>
      <c r="BZ2309">
        <v>48.85</v>
      </c>
      <c r="CA2309">
        <f t="shared" si="7"/>
        <v>84.610681949739657</v>
      </c>
      <c r="CB2309">
        <v>4</v>
      </c>
      <c r="CC2309">
        <v>3</v>
      </c>
      <c r="CD2309">
        <v>-3.4000000000000002E-2</v>
      </c>
      <c r="CE2309">
        <v>2.1700000000000001E-2</v>
      </c>
    </row>
    <row r="2310" spans="4:83" hidden="1" x14ac:dyDescent="0.2">
      <c r="D2310">
        <v>231</v>
      </c>
      <c r="G2310" t="s">
        <v>43</v>
      </c>
      <c r="H2310" t="s">
        <v>1051</v>
      </c>
      <c r="J2310">
        <v>2018</v>
      </c>
      <c r="T2310" t="s">
        <v>103</v>
      </c>
      <c r="V2310" t="s">
        <v>1052</v>
      </c>
      <c r="AC2310" t="s">
        <v>51</v>
      </c>
      <c r="AF2310" t="s">
        <v>52</v>
      </c>
      <c r="AG2310" t="s">
        <v>52</v>
      </c>
      <c r="AH2310" t="s">
        <v>64</v>
      </c>
      <c r="AK2310">
        <v>6</v>
      </c>
      <c r="AL2310">
        <v>6</v>
      </c>
      <c r="AN2310">
        <v>466</v>
      </c>
      <c r="AU2310">
        <v>1063</v>
      </c>
      <c r="BB2310">
        <f t="shared" si="3"/>
        <v>3.0265332645232967</v>
      </c>
      <c r="BC2310">
        <v>19</v>
      </c>
      <c r="BF2310">
        <v>26</v>
      </c>
      <c r="BI2310">
        <v>597</v>
      </c>
      <c r="BJ2310">
        <v>7</v>
      </c>
      <c r="BL2310" t="s">
        <v>1080</v>
      </c>
      <c r="BM2310" t="s">
        <v>209</v>
      </c>
      <c r="BN2310" t="s">
        <v>60</v>
      </c>
      <c r="BO2310" t="s">
        <v>56</v>
      </c>
      <c r="BP2310" t="s">
        <v>194</v>
      </c>
      <c r="BR2310" t="s">
        <v>63</v>
      </c>
      <c r="BT2310">
        <v>208.68</v>
      </c>
      <c r="BU2310">
        <v>208.67768599999999</v>
      </c>
      <c r="BV2310">
        <v>54.83</v>
      </c>
      <c r="BW2310">
        <f t="shared" si="6"/>
        <v>134.30552259680164</v>
      </c>
      <c r="BX2310">
        <v>347</v>
      </c>
      <c r="BY2310">
        <v>347.107438</v>
      </c>
      <c r="BZ2310">
        <v>81</v>
      </c>
      <c r="CA2310">
        <f t="shared" si="7"/>
        <v>198.4086691654374</v>
      </c>
      <c r="CB2310">
        <v>60</v>
      </c>
      <c r="CD2310">
        <v>0.50900000000000001</v>
      </c>
      <c r="CE2310">
        <v>0.1235</v>
      </c>
    </row>
    <row r="2311" spans="4:83" hidden="1" x14ac:dyDescent="0.2">
      <c r="D2311">
        <v>212</v>
      </c>
      <c r="G2311" t="s">
        <v>43</v>
      </c>
      <c r="H2311" t="s">
        <v>1063</v>
      </c>
      <c r="J2311">
        <v>2010</v>
      </c>
      <c r="K2311" t="s">
        <v>1062</v>
      </c>
      <c r="M2311" t="s">
        <v>67</v>
      </c>
      <c r="T2311" t="s">
        <v>68</v>
      </c>
      <c r="U2311" t="s">
        <v>167</v>
      </c>
      <c r="V2311" t="s">
        <v>442</v>
      </c>
      <c r="AC2311" t="s">
        <v>108</v>
      </c>
      <c r="AF2311" t="s">
        <v>52</v>
      </c>
      <c r="AG2311" t="s">
        <v>52</v>
      </c>
      <c r="AH2311" t="s">
        <v>64</v>
      </c>
      <c r="AK2311">
        <v>3</v>
      </c>
      <c r="AL2311">
        <v>3</v>
      </c>
      <c r="AN2311">
        <v>375</v>
      </c>
      <c r="AU2311">
        <v>600</v>
      </c>
      <c r="BB2311">
        <f t="shared" si="3"/>
        <v>2.7781512503836434</v>
      </c>
      <c r="BC2311">
        <v>18</v>
      </c>
      <c r="BF2311">
        <v>30</v>
      </c>
      <c r="BI2311">
        <v>225</v>
      </c>
      <c r="BJ2311">
        <v>12</v>
      </c>
      <c r="BK2311" t="s">
        <v>56</v>
      </c>
      <c r="BL2311" t="s">
        <v>92</v>
      </c>
      <c r="BM2311" t="s">
        <v>262</v>
      </c>
      <c r="BN2311" t="s">
        <v>81</v>
      </c>
      <c r="BO2311" t="s">
        <v>917</v>
      </c>
      <c r="BP2311" t="s">
        <v>92</v>
      </c>
      <c r="BR2311" t="s">
        <v>63</v>
      </c>
      <c r="BT2311">
        <v>347.7</v>
      </c>
      <c r="BU2311">
        <v>347.70100000000002</v>
      </c>
      <c r="BV2311">
        <v>8.6199999999999992</v>
      </c>
      <c r="BW2311">
        <f t="shared" si="6"/>
        <v>14.93027796124372</v>
      </c>
      <c r="BX2311">
        <v>364.94</v>
      </c>
      <c r="BY2311">
        <v>364.94299999999998</v>
      </c>
      <c r="BZ2311">
        <v>60.34</v>
      </c>
      <c r="CA2311">
        <f t="shared" si="7"/>
        <v>104.51194572870605</v>
      </c>
      <c r="CB2311">
        <v>4</v>
      </c>
      <c r="CC2311">
        <v>3</v>
      </c>
      <c r="CD2311">
        <v>4.8000000000000001E-2</v>
      </c>
      <c r="CE2311">
        <v>2.8000000000000001E-2</v>
      </c>
    </row>
    <row r="2312" spans="4:83" hidden="1" x14ac:dyDescent="0.2">
      <c r="D2312">
        <v>220</v>
      </c>
      <c r="G2312" t="s">
        <v>43</v>
      </c>
      <c r="H2312" t="s">
        <v>999</v>
      </c>
      <c r="J2312">
        <v>2016</v>
      </c>
      <c r="M2312" t="s">
        <v>1000</v>
      </c>
      <c r="T2312" t="s">
        <v>136</v>
      </c>
      <c r="U2312" t="s">
        <v>321</v>
      </c>
      <c r="V2312" t="s">
        <v>322</v>
      </c>
      <c r="AC2312" t="s">
        <v>51</v>
      </c>
      <c r="AF2312" t="s">
        <v>52</v>
      </c>
      <c r="AG2312" t="s">
        <v>54</v>
      </c>
      <c r="AH2312" t="s">
        <v>55</v>
      </c>
      <c r="AK2312">
        <v>12</v>
      </c>
      <c r="AL2312">
        <v>12</v>
      </c>
      <c r="AN2312">
        <v>386</v>
      </c>
      <c r="AU2312">
        <v>1248</v>
      </c>
      <c r="BB2312">
        <f t="shared" si="3"/>
        <v>3.0962145853464054</v>
      </c>
      <c r="BC2312">
        <v>27</v>
      </c>
      <c r="BF2312">
        <v>26.9</v>
      </c>
      <c r="BI2312">
        <v>862</v>
      </c>
      <c r="BJ2312">
        <v>-0.1</v>
      </c>
      <c r="BK2312" t="s">
        <v>1001</v>
      </c>
      <c r="BL2312" t="s">
        <v>1085</v>
      </c>
      <c r="BM2312" t="s">
        <v>327</v>
      </c>
      <c r="BN2312" t="s">
        <v>81</v>
      </c>
      <c r="BO2312" t="s">
        <v>328</v>
      </c>
      <c r="BP2312" t="s">
        <v>190</v>
      </c>
      <c r="BR2312" t="s">
        <v>63</v>
      </c>
      <c r="BT2312">
        <v>423.47800000000001</v>
      </c>
      <c r="BU2312">
        <v>423.47800000000001</v>
      </c>
      <c r="BV2312">
        <v>34.880000000000003</v>
      </c>
      <c r="BW2312">
        <f t="shared" si="6"/>
        <v>120.82786433600488</v>
      </c>
      <c r="BX2312">
        <v>409.91300000000001</v>
      </c>
      <c r="BY2312">
        <v>409.91300000000001</v>
      </c>
      <c r="BZ2312">
        <v>40.659999999999997</v>
      </c>
      <c r="CA2312">
        <f t="shared" si="7"/>
        <v>140.85037167150108</v>
      </c>
      <c r="CB2312" t="s">
        <v>56</v>
      </c>
      <c r="CD2312">
        <v>-3.3000000000000002E-2</v>
      </c>
      <c r="CE2312">
        <v>1.66E-2</v>
      </c>
    </row>
    <row r="2313" spans="4:83" hidden="1" x14ac:dyDescent="0.2">
      <c r="D2313">
        <v>235</v>
      </c>
      <c r="G2313" t="s">
        <v>43</v>
      </c>
      <c r="H2313" t="s">
        <v>1081</v>
      </c>
      <c r="J2313">
        <v>2017</v>
      </c>
      <c r="T2313" t="s">
        <v>68</v>
      </c>
      <c r="V2313" t="s">
        <v>1086</v>
      </c>
      <c r="AC2313" t="s">
        <v>51</v>
      </c>
      <c r="AF2313" t="s">
        <v>54</v>
      </c>
      <c r="AG2313" t="s">
        <v>52</v>
      </c>
      <c r="AH2313" t="s">
        <v>65</v>
      </c>
      <c r="AK2313">
        <v>4</v>
      </c>
      <c r="AL2313">
        <v>4</v>
      </c>
      <c r="AN2313">
        <v>465</v>
      </c>
      <c r="AU2313">
        <v>500</v>
      </c>
      <c r="BB2313">
        <f t="shared" si="3"/>
        <v>2.6989700043360187</v>
      </c>
      <c r="BC2313">
        <v>21</v>
      </c>
      <c r="BF2313">
        <v>23.7</v>
      </c>
      <c r="BI2313">
        <v>35</v>
      </c>
      <c r="BJ2313">
        <v>2.7</v>
      </c>
      <c r="BK2313" t="s">
        <v>1083</v>
      </c>
      <c r="BL2313" t="s">
        <v>1084</v>
      </c>
      <c r="BM2313" t="s">
        <v>98</v>
      </c>
      <c r="BN2313" t="s">
        <v>81</v>
      </c>
      <c r="BO2313" t="s">
        <v>439</v>
      </c>
      <c r="BP2313" t="s">
        <v>100</v>
      </c>
      <c r="BR2313" t="s">
        <v>63</v>
      </c>
      <c r="BT2313">
        <v>688.83826880000004</v>
      </c>
      <c r="BU2313">
        <v>688.83826899999997</v>
      </c>
      <c r="BV2313">
        <v>72.8929385</v>
      </c>
      <c r="BW2313">
        <f t="shared" si="6"/>
        <v>145.785877</v>
      </c>
      <c r="BX2313">
        <v>413.66742599999998</v>
      </c>
      <c r="BY2313">
        <v>413.66742599999998</v>
      </c>
      <c r="BZ2313">
        <v>14.5785877</v>
      </c>
      <c r="CA2313">
        <f t="shared" si="7"/>
        <v>29.1571754</v>
      </c>
      <c r="CB2313">
        <v>120</v>
      </c>
      <c r="CD2313">
        <v>-0.51</v>
      </c>
      <c r="CE2313">
        <v>1.24E-2</v>
      </c>
    </row>
    <row r="2314" spans="4:83" hidden="1" x14ac:dyDescent="0.2">
      <c r="D2314">
        <v>235</v>
      </c>
      <c r="G2314" t="s">
        <v>43</v>
      </c>
      <c r="H2314" t="s">
        <v>1081</v>
      </c>
      <c r="J2314">
        <v>2017</v>
      </c>
      <c r="T2314" t="s">
        <v>68</v>
      </c>
      <c r="V2314" t="s">
        <v>1086</v>
      </c>
      <c r="AC2314" t="s">
        <v>51</v>
      </c>
      <c r="AF2314" t="s">
        <v>52</v>
      </c>
      <c r="AG2314" t="s">
        <v>52</v>
      </c>
      <c r="AH2314" t="s">
        <v>64</v>
      </c>
      <c r="AK2314">
        <v>4</v>
      </c>
      <c r="AL2314">
        <v>4</v>
      </c>
      <c r="AN2314">
        <v>465</v>
      </c>
      <c r="AU2314">
        <v>915</v>
      </c>
      <c r="BB2314">
        <f t="shared" si="3"/>
        <v>2.9614210940664485</v>
      </c>
      <c r="BC2314">
        <v>21</v>
      </c>
      <c r="BF2314">
        <v>23.7</v>
      </c>
      <c r="BI2314">
        <v>450</v>
      </c>
      <c r="BJ2314">
        <v>2.7</v>
      </c>
      <c r="BK2314" t="s">
        <v>1083</v>
      </c>
      <c r="BL2314" t="s">
        <v>1084</v>
      </c>
      <c r="BM2314" t="s">
        <v>98</v>
      </c>
      <c r="BN2314" t="s">
        <v>81</v>
      </c>
      <c r="BO2314" t="s">
        <v>439</v>
      </c>
      <c r="BP2314" t="s">
        <v>100</v>
      </c>
      <c r="BR2314" t="s">
        <v>63</v>
      </c>
      <c r="BT2314">
        <v>688.83826880000004</v>
      </c>
      <c r="BU2314">
        <v>688.83826899999997</v>
      </c>
      <c r="BV2314">
        <v>72.8929385</v>
      </c>
      <c r="BW2314">
        <f t="shared" si="6"/>
        <v>145.785877</v>
      </c>
      <c r="BX2314">
        <v>446.4692483</v>
      </c>
      <c r="BY2314">
        <v>446.4692483</v>
      </c>
      <c r="BZ2314">
        <v>41.91343964</v>
      </c>
      <c r="CA2314">
        <f t="shared" si="7"/>
        <v>83.82687928</v>
      </c>
      <c r="CB2314">
        <v>120</v>
      </c>
      <c r="CD2314">
        <v>-0.434</v>
      </c>
      <c r="CE2314">
        <v>0.02</v>
      </c>
    </row>
    <row r="2315" spans="4:83" hidden="1" x14ac:dyDescent="0.2">
      <c r="D2315">
        <v>212</v>
      </c>
      <c r="G2315" t="s">
        <v>43</v>
      </c>
      <c r="H2315" t="s">
        <v>1063</v>
      </c>
      <c r="J2315">
        <v>2010</v>
      </c>
      <c r="K2315" t="s">
        <v>1062</v>
      </c>
      <c r="M2315" t="s">
        <v>67</v>
      </c>
      <c r="T2315" t="s">
        <v>68</v>
      </c>
      <c r="U2315" t="s">
        <v>167</v>
      </c>
      <c r="V2315" t="s">
        <v>168</v>
      </c>
      <c r="AC2315" t="s">
        <v>108</v>
      </c>
      <c r="AF2315" t="s">
        <v>52</v>
      </c>
      <c r="AG2315" t="s">
        <v>52</v>
      </c>
      <c r="AH2315" t="s">
        <v>64</v>
      </c>
      <c r="AK2315">
        <v>3</v>
      </c>
      <c r="AL2315">
        <v>3</v>
      </c>
      <c r="AN2315">
        <v>375</v>
      </c>
      <c r="AU2315">
        <v>750</v>
      </c>
      <c r="BB2315">
        <f t="shared" si="3"/>
        <v>2.8750612633917001</v>
      </c>
      <c r="BC2315">
        <v>18</v>
      </c>
      <c r="BF2315">
        <v>26</v>
      </c>
      <c r="BI2315">
        <v>375</v>
      </c>
      <c r="BJ2315">
        <v>8</v>
      </c>
      <c r="BK2315" t="s">
        <v>56</v>
      </c>
      <c r="BL2315" t="s">
        <v>92</v>
      </c>
      <c r="BM2315" t="s">
        <v>262</v>
      </c>
      <c r="BN2315" t="s">
        <v>81</v>
      </c>
      <c r="BO2315" t="s">
        <v>917</v>
      </c>
      <c r="BP2315" t="s">
        <v>92</v>
      </c>
      <c r="BR2315" t="s">
        <v>63</v>
      </c>
      <c r="BT2315">
        <v>405.17</v>
      </c>
      <c r="BU2315">
        <v>405.17200000000003</v>
      </c>
      <c r="BV2315">
        <v>31.61</v>
      </c>
      <c r="BW2315">
        <f t="shared" si="6"/>
        <v>54.750126027252207</v>
      </c>
      <c r="BX2315">
        <v>471.26</v>
      </c>
      <c r="BY2315">
        <v>471.26400000000001</v>
      </c>
      <c r="BZ2315">
        <v>48.85</v>
      </c>
      <c r="CA2315">
        <f t="shared" si="7"/>
        <v>84.610681949739657</v>
      </c>
      <c r="CB2315">
        <v>4</v>
      </c>
      <c r="CC2315">
        <v>3</v>
      </c>
      <c r="CD2315">
        <v>0.151</v>
      </c>
      <c r="CE2315">
        <v>1.6799999999999999E-2</v>
      </c>
    </row>
    <row r="2316" spans="4:83" hidden="1" x14ac:dyDescent="0.2">
      <c r="D2316">
        <v>235</v>
      </c>
      <c r="G2316" t="s">
        <v>43</v>
      </c>
      <c r="H2316" t="s">
        <v>1081</v>
      </c>
      <c r="J2316">
        <v>2017</v>
      </c>
      <c r="T2316" t="s">
        <v>68</v>
      </c>
      <c r="V2316" t="s">
        <v>679</v>
      </c>
      <c r="AC2316" t="s">
        <v>51</v>
      </c>
      <c r="AF2316" t="s">
        <v>52</v>
      </c>
      <c r="AG2316" t="s">
        <v>52</v>
      </c>
      <c r="AH2316" t="s">
        <v>64</v>
      </c>
      <c r="AK2316">
        <v>4</v>
      </c>
      <c r="AL2316">
        <v>4</v>
      </c>
      <c r="AN2316">
        <v>465</v>
      </c>
      <c r="AU2316">
        <v>915</v>
      </c>
      <c r="BB2316">
        <f t="shared" si="3"/>
        <v>2.9614210940664485</v>
      </c>
      <c r="BC2316">
        <v>21</v>
      </c>
      <c r="BF2316">
        <v>23.7</v>
      </c>
      <c r="BI2316">
        <v>450</v>
      </c>
      <c r="BJ2316">
        <v>2.7</v>
      </c>
      <c r="BK2316" t="s">
        <v>1083</v>
      </c>
      <c r="BL2316" t="s">
        <v>1084</v>
      </c>
      <c r="BM2316" t="s">
        <v>98</v>
      </c>
      <c r="BN2316" t="s">
        <v>81</v>
      </c>
      <c r="BO2316" t="s">
        <v>439</v>
      </c>
      <c r="BP2316" t="s">
        <v>100</v>
      </c>
      <c r="BR2316" t="s">
        <v>63</v>
      </c>
      <c r="BT2316">
        <v>690.66059229999996</v>
      </c>
      <c r="BU2316">
        <v>690.66059199999995</v>
      </c>
      <c r="BV2316">
        <v>74.715261960000007</v>
      </c>
      <c r="BW2316">
        <f t="shared" si="6"/>
        <v>149.43052392000001</v>
      </c>
      <c r="BX2316">
        <v>473.80410019999999</v>
      </c>
      <c r="BY2316">
        <v>473.80410019999999</v>
      </c>
      <c r="BZ2316">
        <v>36.44646925</v>
      </c>
      <c r="CA2316">
        <f t="shared" si="7"/>
        <v>72.8929385</v>
      </c>
      <c r="CB2316">
        <v>120</v>
      </c>
      <c r="CD2316">
        <v>-0.377</v>
      </c>
      <c r="CE2316">
        <v>1.7600000000000001E-2</v>
      </c>
    </row>
    <row r="2317" spans="4:83" hidden="1" x14ac:dyDescent="0.2">
      <c r="D2317">
        <v>212</v>
      </c>
      <c r="G2317" t="s">
        <v>43</v>
      </c>
      <c r="H2317" t="s">
        <v>1063</v>
      </c>
      <c r="J2317">
        <v>2010</v>
      </c>
      <c r="K2317" t="s">
        <v>1062</v>
      </c>
      <c r="M2317" t="s">
        <v>67</v>
      </c>
      <c r="T2317" t="s">
        <v>68</v>
      </c>
      <c r="U2317" t="s">
        <v>167</v>
      </c>
      <c r="V2317" t="s">
        <v>168</v>
      </c>
      <c r="AC2317" t="s">
        <v>108</v>
      </c>
      <c r="AF2317" t="s">
        <v>52</v>
      </c>
      <c r="AG2317" t="s">
        <v>52</v>
      </c>
      <c r="AH2317" t="s">
        <v>64</v>
      </c>
      <c r="AK2317">
        <v>3</v>
      </c>
      <c r="AL2317">
        <v>3</v>
      </c>
      <c r="AN2317">
        <v>375</v>
      </c>
      <c r="AU2317">
        <v>600</v>
      </c>
      <c r="BB2317">
        <f t="shared" si="3"/>
        <v>2.7781512503836434</v>
      </c>
      <c r="BC2317">
        <v>18</v>
      </c>
      <c r="BF2317">
        <v>26</v>
      </c>
      <c r="BI2317">
        <v>225</v>
      </c>
      <c r="BJ2317">
        <v>8</v>
      </c>
      <c r="BK2317" t="s">
        <v>56</v>
      </c>
      <c r="BL2317" t="s">
        <v>92</v>
      </c>
      <c r="BM2317" t="s">
        <v>262</v>
      </c>
      <c r="BN2317" t="s">
        <v>81</v>
      </c>
      <c r="BO2317" t="s">
        <v>917</v>
      </c>
      <c r="BP2317" t="s">
        <v>92</v>
      </c>
      <c r="BR2317" t="s">
        <v>63</v>
      </c>
      <c r="BT2317">
        <v>405.17</v>
      </c>
      <c r="BU2317">
        <v>405.17200000000003</v>
      </c>
      <c r="BV2317">
        <v>31.61</v>
      </c>
      <c r="BW2317">
        <f t="shared" si="6"/>
        <v>54.750126027252207</v>
      </c>
      <c r="BX2317">
        <v>477.01</v>
      </c>
      <c r="BY2317">
        <v>477.01100000000002</v>
      </c>
      <c r="BZ2317">
        <v>31.61</v>
      </c>
      <c r="CA2317">
        <f t="shared" si="7"/>
        <v>54.750126027252207</v>
      </c>
      <c r="CB2317">
        <v>4</v>
      </c>
      <c r="CC2317">
        <v>3</v>
      </c>
      <c r="CD2317">
        <v>0.16300000000000001</v>
      </c>
      <c r="CE2317">
        <v>1.0500000000000001E-2</v>
      </c>
    </row>
    <row r="2318" spans="4:83" hidden="1" x14ac:dyDescent="0.2">
      <c r="D2318">
        <v>212</v>
      </c>
      <c r="G2318" t="s">
        <v>43</v>
      </c>
      <c r="H2318" t="s">
        <v>1063</v>
      </c>
      <c r="J2318">
        <v>2010</v>
      </c>
      <c r="K2318" t="s">
        <v>1062</v>
      </c>
      <c r="M2318" t="s">
        <v>67</v>
      </c>
      <c r="T2318" t="s">
        <v>68</v>
      </c>
      <c r="U2318" t="s">
        <v>167</v>
      </c>
      <c r="V2318" t="s">
        <v>442</v>
      </c>
      <c r="AC2318" t="s">
        <v>108</v>
      </c>
      <c r="AF2318" t="s">
        <v>54</v>
      </c>
      <c r="AG2318" t="s">
        <v>52</v>
      </c>
      <c r="AH2318" t="s">
        <v>65</v>
      </c>
      <c r="AK2318">
        <v>3</v>
      </c>
      <c r="AL2318">
        <v>3</v>
      </c>
      <c r="AN2318">
        <v>375</v>
      </c>
      <c r="AU2318">
        <v>375</v>
      </c>
      <c r="BB2318">
        <f t="shared" si="3"/>
        <v>2.5740312677277188</v>
      </c>
      <c r="BC2318">
        <v>18</v>
      </c>
      <c r="BF2318">
        <v>22</v>
      </c>
      <c r="BI2318">
        <v>0</v>
      </c>
      <c r="BJ2318">
        <v>4</v>
      </c>
      <c r="BK2318" t="s">
        <v>56</v>
      </c>
      <c r="BL2318" t="s">
        <v>92</v>
      </c>
      <c r="BM2318" t="s">
        <v>262</v>
      </c>
      <c r="BN2318" t="s">
        <v>81</v>
      </c>
      <c r="BO2318" t="s">
        <v>917</v>
      </c>
      <c r="BP2318" t="s">
        <v>92</v>
      </c>
      <c r="BR2318" t="s">
        <v>63</v>
      </c>
      <c r="BT2318">
        <v>347.7</v>
      </c>
      <c r="BU2318">
        <v>347.70100000000002</v>
      </c>
      <c r="BV2318">
        <v>8.6199999999999992</v>
      </c>
      <c r="BW2318">
        <f t="shared" si="6"/>
        <v>14.93027796124372</v>
      </c>
      <c r="BX2318">
        <v>485.63</v>
      </c>
      <c r="BY2318">
        <v>485.63200000000001</v>
      </c>
      <c r="BZ2318">
        <v>8.6199999999999992</v>
      </c>
      <c r="CA2318">
        <f t="shared" si="7"/>
        <v>14.93027796124372</v>
      </c>
      <c r="CB2318">
        <v>4</v>
      </c>
      <c r="CC2318">
        <v>3</v>
      </c>
      <c r="CD2318">
        <v>0.33400000000000002</v>
      </c>
      <c r="CE2318">
        <v>8.9999999999999998E-4</v>
      </c>
    </row>
    <row r="2319" spans="4:83" hidden="1" x14ac:dyDescent="0.2">
      <c r="D2319">
        <v>212</v>
      </c>
      <c r="G2319" t="s">
        <v>43</v>
      </c>
      <c r="H2319" t="s">
        <v>1063</v>
      </c>
      <c r="J2319">
        <v>2010</v>
      </c>
      <c r="K2319" t="s">
        <v>1062</v>
      </c>
      <c r="M2319" t="s">
        <v>67</v>
      </c>
      <c r="T2319" t="s">
        <v>68</v>
      </c>
      <c r="U2319" t="s">
        <v>167</v>
      </c>
      <c r="V2319" t="s">
        <v>442</v>
      </c>
      <c r="AC2319" t="s">
        <v>108</v>
      </c>
      <c r="AF2319" t="s">
        <v>54</v>
      </c>
      <c r="AG2319" t="s">
        <v>52</v>
      </c>
      <c r="AH2319" t="s">
        <v>65</v>
      </c>
      <c r="AK2319">
        <v>3</v>
      </c>
      <c r="AL2319">
        <v>3</v>
      </c>
      <c r="AN2319">
        <v>375</v>
      </c>
      <c r="AU2319">
        <v>375</v>
      </c>
      <c r="BB2319">
        <f t="shared" si="3"/>
        <v>2.5740312677277188</v>
      </c>
      <c r="BC2319">
        <v>18</v>
      </c>
      <c r="BF2319">
        <v>30</v>
      </c>
      <c r="BI2319">
        <v>0</v>
      </c>
      <c r="BJ2319">
        <v>12</v>
      </c>
      <c r="BK2319" t="s">
        <v>56</v>
      </c>
      <c r="BL2319" t="s">
        <v>92</v>
      </c>
      <c r="BM2319" t="s">
        <v>262</v>
      </c>
      <c r="BN2319" t="s">
        <v>81</v>
      </c>
      <c r="BO2319" t="s">
        <v>917</v>
      </c>
      <c r="BP2319" t="s">
        <v>92</v>
      </c>
      <c r="BR2319" t="s">
        <v>63</v>
      </c>
      <c r="BT2319">
        <v>347.7</v>
      </c>
      <c r="BU2319">
        <v>347.70100000000002</v>
      </c>
      <c r="BV2319">
        <v>8.6199999999999992</v>
      </c>
      <c r="BW2319">
        <f t="shared" si="6"/>
        <v>14.93027796124372</v>
      </c>
      <c r="BX2319">
        <v>537.36</v>
      </c>
      <c r="BY2319">
        <v>537.35599999999999</v>
      </c>
      <c r="BZ2319">
        <v>40.229999999999997</v>
      </c>
      <c r="CA2319">
        <f t="shared" si="7"/>
        <v>69.680403988495925</v>
      </c>
      <c r="CB2319">
        <v>4</v>
      </c>
      <c r="CC2319">
        <v>3</v>
      </c>
      <c r="CD2319">
        <v>0.435</v>
      </c>
      <c r="CE2319">
        <v>6.1999999999999998E-3</v>
      </c>
    </row>
    <row r="2320" spans="4:83" hidden="1" x14ac:dyDescent="0.2">
      <c r="D2320">
        <v>235</v>
      </c>
      <c r="G2320" t="s">
        <v>43</v>
      </c>
      <c r="H2320" t="s">
        <v>1081</v>
      </c>
      <c r="J2320">
        <v>2017</v>
      </c>
      <c r="T2320" t="s">
        <v>68</v>
      </c>
      <c r="V2320" t="s">
        <v>679</v>
      </c>
      <c r="AC2320" t="s">
        <v>51</v>
      </c>
      <c r="AF2320" t="s">
        <v>54</v>
      </c>
      <c r="AG2320" t="s">
        <v>52</v>
      </c>
      <c r="AH2320" t="s">
        <v>65</v>
      </c>
      <c r="AK2320">
        <v>4</v>
      </c>
      <c r="AL2320">
        <v>4</v>
      </c>
      <c r="AN2320">
        <v>465</v>
      </c>
      <c r="AU2320">
        <v>500</v>
      </c>
      <c r="BB2320">
        <f t="shared" si="3"/>
        <v>2.6989700043360187</v>
      </c>
      <c r="BC2320">
        <v>21</v>
      </c>
      <c r="BF2320">
        <v>23.7</v>
      </c>
      <c r="BI2320">
        <v>35</v>
      </c>
      <c r="BJ2320">
        <v>2.7</v>
      </c>
      <c r="BK2320" t="s">
        <v>1083</v>
      </c>
      <c r="BL2320" t="s">
        <v>1084</v>
      </c>
      <c r="BM2320" t="s">
        <v>98</v>
      </c>
      <c r="BN2320" t="s">
        <v>81</v>
      </c>
      <c r="BO2320" t="s">
        <v>439</v>
      </c>
      <c r="BP2320" t="s">
        <v>100</v>
      </c>
      <c r="BR2320" t="s">
        <v>63</v>
      </c>
      <c r="BT2320">
        <v>690.66059229999996</v>
      </c>
      <c r="BU2320">
        <v>690.66059199999995</v>
      </c>
      <c r="BV2320">
        <v>74.715261960000007</v>
      </c>
      <c r="BW2320">
        <f t="shared" si="6"/>
        <v>149.43052392000001</v>
      </c>
      <c r="BX2320">
        <v>553.98633259999997</v>
      </c>
      <c r="BY2320">
        <v>553.98633259999997</v>
      </c>
      <c r="BZ2320">
        <v>40.091116169999999</v>
      </c>
      <c r="CA2320">
        <f t="shared" si="7"/>
        <v>80.182232339999999</v>
      </c>
      <c r="CB2320">
        <v>120</v>
      </c>
      <c r="CD2320">
        <v>-0.221</v>
      </c>
      <c r="CE2320">
        <v>1.6899999999999998E-2</v>
      </c>
    </row>
    <row r="2321" spans="4:83" hidden="1" x14ac:dyDescent="0.2">
      <c r="D2321">
        <v>235</v>
      </c>
      <c r="G2321" t="s">
        <v>43</v>
      </c>
      <c r="H2321" t="s">
        <v>1081</v>
      </c>
      <c r="J2321">
        <v>2017</v>
      </c>
      <c r="T2321" t="s">
        <v>68</v>
      </c>
      <c r="V2321" t="s">
        <v>1086</v>
      </c>
      <c r="AC2321" t="s">
        <v>51</v>
      </c>
      <c r="AF2321" t="s">
        <v>52</v>
      </c>
      <c r="AG2321" t="s">
        <v>54</v>
      </c>
      <c r="AH2321" t="s">
        <v>55</v>
      </c>
      <c r="AK2321">
        <v>4</v>
      </c>
      <c r="AL2321">
        <v>4</v>
      </c>
      <c r="AN2321">
        <v>465</v>
      </c>
      <c r="AU2321">
        <v>905</v>
      </c>
      <c r="BB2321">
        <f t="shared" si="3"/>
        <v>2.9566485792052033</v>
      </c>
      <c r="BC2321">
        <v>21</v>
      </c>
      <c r="BF2321">
        <v>20.9</v>
      </c>
      <c r="BI2321">
        <v>440</v>
      </c>
      <c r="BJ2321">
        <v>-0.1</v>
      </c>
      <c r="BK2321" t="s">
        <v>1083</v>
      </c>
      <c r="BL2321" t="s">
        <v>1084</v>
      </c>
      <c r="BM2321" t="s">
        <v>98</v>
      </c>
      <c r="BN2321" t="s">
        <v>81</v>
      </c>
      <c r="BO2321" t="s">
        <v>439</v>
      </c>
      <c r="BP2321" t="s">
        <v>100</v>
      </c>
      <c r="BR2321" t="s">
        <v>63</v>
      </c>
      <c r="BT2321">
        <v>688.83826880000004</v>
      </c>
      <c r="BU2321">
        <v>688.83826899999997</v>
      </c>
      <c r="BV2321">
        <v>72.8929385</v>
      </c>
      <c r="BW2321">
        <f t="shared" si="6"/>
        <v>145.785877</v>
      </c>
      <c r="BX2321">
        <v>577.67653759999996</v>
      </c>
      <c r="BY2321">
        <v>577.67653759999996</v>
      </c>
      <c r="BZ2321">
        <v>49.20273349</v>
      </c>
      <c r="CA2321">
        <f t="shared" si="7"/>
        <v>98.40546698</v>
      </c>
      <c r="CB2321">
        <v>120</v>
      </c>
      <c r="CD2321">
        <v>-0.17599999999999999</v>
      </c>
      <c r="CE2321">
        <v>1.8499999999999999E-2</v>
      </c>
    </row>
    <row r="2322" spans="4:83" hidden="1" x14ac:dyDescent="0.2">
      <c r="D2322">
        <v>231</v>
      </c>
      <c r="G2322" t="s">
        <v>43</v>
      </c>
      <c r="H2322" t="s">
        <v>1051</v>
      </c>
      <c r="J2322">
        <v>2018</v>
      </c>
      <c r="T2322" t="s">
        <v>103</v>
      </c>
      <c r="V2322" t="s">
        <v>1052</v>
      </c>
      <c r="AC2322" t="s">
        <v>51</v>
      </c>
      <c r="AF2322" t="s">
        <v>54</v>
      </c>
      <c r="AG2322" t="s">
        <v>52</v>
      </c>
      <c r="AH2322" t="s">
        <v>65</v>
      </c>
      <c r="AK2322">
        <v>6</v>
      </c>
      <c r="AL2322">
        <v>6</v>
      </c>
      <c r="AN2322">
        <v>466</v>
      </c>
      <c r="AU2322">
        <v>433</v>
      </c>
      <c r="BB2322">
        <f t="shared" si="3"/>
        <v>2.6364878963533656</v>
      </c>
      <c r="BC2322">
        <v>19</v>
      </c>
      <c r="BF2322">
        <v>25</v>
      </c>
      <c r="BI2322">
        <v>-33</v>
      </c>
      <c r="BJ2322">
        <v>6</v>
      </c>
      <c r="BL2322" t="s">
        <v>1080</v>
      </c>
      <c r="BM2322" t="s">
        <v>209</v>
      </c>
      <c r="BN2322" t="s">
        <v>60</v>
      </c>
      <c r="BO2322" t="s">
        <v>56</v>
      </c>
      <c r="BP2322" t="s">
        <v>194</v>
      </c>
      <c r="BR2322" t="s">
        <v>63</v>
      </c>
      <c r="BT2322">
        <v>208.68</v>
      </c>
      <c r="BU2322">
        <v>208.67768599999999</v>
      </c>
      <c r="BV2322">
        <v>54.83</v>
      </c>
      <c r="BW2322">
        <f t="shared" si="6"/>
        <v>134.30552259680164</v>
      </c>
      <c r="BX2322">
        <v>581</v>
      </c>
      <c r="BY2322">
        <v>580.57851240000002</v>
      </c>
      <c r="BZ2322">
        <v>112</v>
      </c>
      <c r="CA2322">
        <f t="shared" si="7"/>
        <v>274.34285119171591</v>
      </c>
      <c r="CB2322">
        <v>60</v>
      </c>
      <c r="CD2322">
        <v>1.0229999999999999</v>
      </c>
      <c r="CE2322">
        <v>0.10639999999999999</v>
      </c>
    </row>
    <row r="2323" spans="4:83" hidden="1" x14ac:dyDescent="0.2">
      <c r="D2323">
        <v>235</v>
      </c>
      <c r="G2323" t="s">
        <v>43</v>
      </c>
      <c r="H2323" t="s">
        <v>1081</v>
      </c>
      <c r="J2323">
        <v>2017</v>
      </c>
      <c r="T2323" t="s">
        <v>68</v>
      </c>
      <c r="V2323" t="s">
        <v>679</v>
      </c>
      <c r="AC2323" t="s">
        <v>51</v>
      </c>
      <c r="AF2323" t="s">
        <v>52</v>
      </c>
      <c r="AG2323" t="s">
        <v>54</v>
      </c>
      <c r="AH2323" t="s">
        <v>55</v>
      </c>
      <c r="AK2323">
        <v>4</v>
      </c>
      <c r="AL2323">
        <v>4</v>
      </c>
      <c r="AN2323">
        <v>465</v>
      </c>
      <c r="AU2323">
        <v>905</v>
      </c>
      <c r="BB2323">
        <f t="shared" si="3"/>
        <v>2.9566485792052033</v>
      </c>
      <c r="BC2323">
        <v>21</v>
      </c>
      <c r="BF2323">
        <v>20.9</v>
      </c>
      <c r="BI2323">
        <v>440</v>
      </c>
      <c r="BJ2323">
        <v>-0.1</v>
      </c>
      <c r="BK2323" t="s">
        <v>1083</v>
      </c>
      <c r="BL2323" t="s">
        <v>1084</v>
      </c>
      <c r="BM2323" t="s">
        <v>98</v>
      </c>
      <c r="BN2323" t="s">
        <v>81</v>
      </c>
      <c r="BO2323" t="s">
        <v>439</v>
      </c>
      <c r="BP2323" t="s">
        <v>100</v>
      </c>
      <c r="BR2323" t="s">
        <v>63</v>
      </c>
      <c r="BT2323">
        <v>690.66059229999996</v>
      </c>
      <c r="BU2323">
        <v>690.66059199999995</v>
      </c>
      <c r="BV2323">
        <v>74.715261960000007</v>
      </c>
      <c r="BW2323">
        <f t="shared" si="6"/>
        <v>149.43052392000001</v>
      </c>
      <c r="BX2323">
        <v>581.32118449999996</v>
      </c>
      <c r="BY2323">
        <v>581.32118449999996</v>
      </c>
      <c r="BZ2323">
        <v>21.86788155</v>
      </c>
      <c r="CA2323">
        <f t="shared" si="7"/>
        <v>43.7357631</v>
      </c>
      <c r="CB2323">
        <v>120</v>
      </c>
      <c r="CD2323">
        <v>-0.17199999999999999</v>
      </c>
      <c r="CE2323">
        <v>1.3100000000000001E-2</v>
      </c>
    </row>
    <row r="2324" spans="4:83" hidden="1" x14ac:dyDescent="0.2">
      <c r="D2324">
        <v>239</v>
      </c>
      <c r="G2324" t="s">
        <v>43</v>
      </c>
      <c r="H2324" t="s">
        <v>1056</v>
      </c>
      <c r="J2324">
        <v>2017</v>
      </c>
      <c r="M2324" t="s">
        <v>94</v>
      </c>
      <c r="T2324" t="s">
        <v>131</v>
      </c>
      <c r="U2324" t="s">
        <v>1057</v>
      </c>
      <c r="V2324" t="s">
        <v>1058</v>
      </c>
      <c r="AC2324" t="s">
        <v>108</v>
      </c>
      <c r="AF2324" t="s">
        <v>54</v>
      </c>
      <c r="AG2324" t="s">
        <v>52</v>
      </c>
      <c r="AH2324" t="s">
        <v>65</v>
      </c>
      <c r="AK2324">
        <v>14</v>
      </c>
      <c r="AL2324">
        <v>20</v>
      </c>
      <c r="AN2324">
        <v>491</v>
      </c>
      <c r="AU2324">
        <v>587</v>
      </c>
      <c r="BB2324">
        <f t="shared" si="3"/>
        <v>2.7686381012476144</v>
      </c>
      <c r="BC2324">
        <v>8</v>
      </c>
      <c r="BF2324">
        <v>12</v>
      </c>
      <c r="BI2324">
        <v>96</v>
      </c>
      <c r="BJ2324">
        <v>4</v>
      </c>
      <c r="BL2324" t="s">
        <v>1087</v>
      </c>
      <c r="BM2324" t="s">
        <v>249</v>
      </c>
      <c r="BN2324" t="s">
        <v>60</v>
      </c>
      <c r="BO2324" t="s">
        <v>1088</v>
      </c>
      <c r="BP2324" t="s">
        <v>9</v>
      </c>
      <c r="BR2324" t="s">
        <v>63</v>
      </c>
      <c r="BT2324">
        <v>654.33117630000004</v>
      </c>
      <c r="BU2324">
        <v>654.33117600000003</v>
      </c>
      <c r="BV2324">
        <v>24.67</v>
      </c>
      <c r="BW2324">
        <f t="shared" si="6"/>
        <v>92.30668773171314</v>
      </c>
      <c r="BX2324">
        <v>622.47677280000005</v>
      </c>
      <c r="BY2324">
        <v>622.47677280000005</v>
      </c>
      <c r="BZ2324">
        <v>24.67</v>
      </c>
      <c r="CA2324">
        <f t="shared" si="7"/>
        <v>110.32759400983964</v>
      </c>
      <c r="CB2324">
        <v>184</v>
      </c>
      <c r="CD2324">
        <v>-0.05</v>
      </c>
      <c r="CE2324">
        <v>3.0000000000000001E-3</v>
      </c>
    </row>
    <row r="2325" spans="4:83" hidden="1" x14ac:dyDescent="0.2">
      <c r="D2325">
        <v>239</v>
      </c>
      <c r="G2325" t="s">
        <v>43</v>
      </c>
      <c r="H2325" t="s">
        <v>1056</v>
      </c>
      <c r="J2325">
        <v>2017</v>
      </c>
      <c r="M2325" t="s">
        <v>94</v>
      </c>
      <c r="T2325" t="s">
        <v>131</v>
      </c>
      <c r="U2325" t="s">
        <v>1057</v>
      </c>
      <c r="V2325" t="s">
        <v>1058</v>
      </c>
      <c r="AC2325" t="s">
        <v>108</v>
      </c>
      <c r="AF2325" t="s">
        <v>54</v>
      </c>
      <c r="AG2325" t="s">
        <v>52</v>
      </c>
      <c r="AH2325" t="s">
        <v>65</v>
      </c>
      <c r="AK2325">
        <v>14</v>
      </c>
      <c r="AL2325">
        <v>11</v>
      </c>
      <c r="AN2325">
        <v>491</v>
      </c>
      <c r="AU2325">
        <v>538</v>
      </c>
      <c r="BB2325">
        <f t="shared" ref="BB2325:BB2332" si="8">LOG(AU2325)</f>
        <v>2.7307822756663893</v>
      </c>
      <c r="BC2325">
        <v>8</v>
      </c>
      <c r="BF2325">
        <v>10</v>
      </c>
      <c r="BI2325">
        <v>47</v>
      </c>
      <c r="BJ2325">
        <v>2</v>
      </c>
      <c r="BL2325" t="s">
        <v>1087</v>
      </c>
      <c r="BM2325" t="s">
        <v>249</v>
      </c>
      <c r="BN2325" t="s">
        <v>60</v>
      </c>
      <c r="BO2325" t="s">
        <v>1088</v>
      </c>
      <c r="BP2325" t="s">
        <v>9</v>
      </c>
      <c r="BR2325" t="s">
        <v>63</v>
      </c>
      <c r="BT2325">
        <v>654.33117630000004</v>
      </c>
      <c r="BU2325">
        <v>654.33117600000003</v>
      </c>
      <c r="BV2325">
        <v>24.67</v>
      </c>
      <c r="BW2325">
        <f t="shared" si="6"/>
        <v>92.30668773171314</v>
      </c>
      <c r="BX2325">
        <v>640.15162859999998</v>
      </c>
      <c r="BY2325">
        <v>640.15162859999998</v>
      </c>
      <c r="BZ2325">
        <v>21.15</v>
      </c>
      <c r="CA2325">
        <f t="shared" si="7"/>
        <v>70.146614316016695</v>
      </c>
      <c r="CB2325">
        <v>184</v>
      </c>
      <c r="CD2325">
        <v>-2.1999999999999999E-2</v>
      </c>
      <c r="CE2325">
        <v>2.5000000000000001E-3</v>
      </c>
    </row>
    <row r="2326" spans="4:83" hidden="1" x14ac:dyDescent="0.2">
      <c r="D2326">
        <v>239</v>
      </c>
      <c r="G2326" t="s">
        <v>43</v>
      </c>
      <c r="H2326" t="s">
        <v>1056</v>
      </c>
      <c r="J2326">
        <v>2017</v>
      </c>
      <c r="M2326" t="s">
        <v>94</v>
      </c>
      <c r="T2326" t="s">
        <v>131</v>
      </c>
      <c r="U2326" t="s">
        <v>1057</v>
      </c>
      <c r="V2326" t="s">
        <v>1058</v>
      </c>
      <c r="AC2326" t="s">
        <v>108</v>
      </c>
      <c r="AF2326" t="s">
        <v>52</v>
      </c>
      <c r="AG2326" t="s">
        <v>54</v>
      </c>
      <c r="AH2326" t="s">
        <v>55</v>
      </c>
      <c r="AK2326">
        <v>14</v>
      </c>
      <c r="AL2326">
        <v>9</v>
      </c>
      <c r="AN2326">
        <v>491</v>
      </c>
      <c r="AU2326">
        <v>826</v>
      </c>
      <c r="BB2326">
        <f t="shared" si="8"/>
        <v>2.9169800473203824</v>
      </c>
      <c r="BC2326">
        <v>8</v>
      </c>
      <c r="BF2326">
        <v>8</v>
      </c>
      <c r="BI2326">
        <v>335</v>
      </c>
      <c r="BJ2326">
        <v>0</v>
      </c>
      <c r="BL2326" t="s">
        <v>1087</v>
      </c>
      <c r="BM2326" t="s">
        <v>249</v>
      </c>
      <c r="BN2326" t="s">
        <v>60</v>
      </c>
      <c r="BO2326" t="s">
        <v>1088</v>
      </c>
      <c r="BP2326" t="s">
        <v>9</v>
      </c>
      <c r="BR2326" t="s">
        <v>63</v>
      </c>
      <c r="BT2326">
        <v>654.33117630000004</v>
      </c>
      <c r="BU2326">
        <v>654.33117600000003</v>
      </c>
      <c r="BV2326">
        <v>24.67</v>
      </c>
      <c r="BW2326">
        <f t="shared" si="6"/>
        <v>92.30668773171314</v>
      </c>
      <c r="BX2326">
        <v>661.05737199999999</v>
      </c>
      <c r="BY2326">
        <v>661.05737199999999</v>
      </c>
      <c r="BZ2326">
        <v>37</v>
      </c>
      <c r="CA2326">
        <f t="shared" si="7"/>
        <v>111</v>
      </c>
      <c r="CB2326">
        <v>184</v>
      </c>
      <c r="CD2326">
        <v>0.01</v>
      </c>
      <c r="CE2326">
        <v>4.5999999999999999E-3</v>
      </c>
    </row>
    <row r="2327" spans="4:83" hidden="1" x14ac:dyDescent="0.2">
      <c r="D2327">
        <v>212</v>
      </c>
      <c r="G2327" t="s">
        <v>43</v>
      </c>
      <c r="H2327" t="s">
        <v>1063</v>
      </c>
      <c r="J2327">
        <v>2010</v>
      </c>
      <c r="K2327" t="s">
        <v>1062</v>
      </c>
      <c r="M2327" t="s">
        <v>67</v>
      </c>
      <c r="T2327" t="s">
        <v>68</v>
      </c>
      <c r="U2327" t="s">
        <v>167</v>
      </c>
      <c r="V2327" t="s">
        <v>442</v>
      </c>
      <c r="AC2327" t="s">
        <v>108</v>
      </c>
      <c r="AF2327" t="s">
        <v>54</v>
      </c>
      <c r="AG2327" t="s">
        <v>52</v>
      </c>
      <c r="AH2327" t="s">
        <v>65</v>
      </c>
      <c r="AK2327">
        <v>3</v>
      </c>
      <c r="AL2327">
        <v>3</v>
      </c>
      <c r="AN2327">
        <v>375</v>
      </c>
      <c r="AU2327">
        <v>375</v>
      </c>
      <c r="BB2327">
        <f t="shared" si="8"/>
        <v>2.5740312677277188</v>
      </c>
      <c r="BC2327">
        <v>18</v>
      </c>
      <c r="BF2327">
        <v>26</v>
      </c>
      <c r="BI2327">
        <v>0</v>
      </c>
      <c r="BJ2327">
        <v>8</v>
      </c>
      <c r="BK2327" t="s">
        <v>56</v>
      </c>
      <c r="BL2327" t="s">
        <v>92</v>
      </c>
      <c r="BM2327" t="s">
        <v>262</v>
      </c>
      <c r="BN2327" t="s">
        <v>81</v>
      </c>
      <c r="BO2327" t="s">
        <v>917</v>
      </c>
      <c r="BP2327" t="s">
        <v>92</v>
      </c>
      <c r="BR2327" t="s">
        <v>63</v>
      </c>
      <c r="BT2327">
        <v>347.7</v>
      </c>
      <c r="BU2327">
        <v>347.70100000000002</v>
      </c>
      <c r="BV2327">
        <v>8.6199999999999992</v>
      </c>
      <c r="BW2327">
        <f t="shared" si="6"/>
        <v>14.93027796124372</v>
      </c>
      <c r="BX2327">
        <v>692.53</v>
      </c>
      <c r="BY2327">
        <v>692.529</v>
      </c>
      <c r="BZ2327">
        <v>66.09</v>
      </c>
      <c r="CA2327">
        <f t="shared" si="7"/>
        <v>114.47123787222709</v>
      </c>
      <c r="CB2327">
        <v>4</v>
      </c>
      <c r="CC2327">
        <v>3</v>
      </c>
      <c r="CD2327">
        <v>0.68899999999999995</v>
      </c>
      <c r="CE2327">
        <v>9.7000000000000003E-3</v>
      </c>
    </row>
    <row r="2328" spans="4:83" hidden="1" x14ac:dyDescent="0.2">
      <c r="D2328">
        <v>239</v>
      </c>
      <c r="G2328" t="s">
        <v>43</v>
      </c>
      <c r="H2328" t="s">
        <v>1056</v>
      </c>
      <c r="J2328">
        <v>2017</v>
      </c>
      <c r="M2328" t="s">
        <v>94</v>
      </c>
      <c r="T2328" t="s">
        <v>131</v>
      </c>
      <c r="U2328" t="s">
        <v>1057</v>
      </c>
      <c r="V2328" t="s">
        <v>1058</v>
      </c>
      <c r="AC2328" t="s">
        <v>108</v>
      </c>
      <c r="AF2328" t="s">
        <v>52</v>
      </c>
      <c r="AG2328" t="s">
        <v>52</v>
      </c>
      <c r="AH2328" t="s">
        <v>64</v>
      </c>
      <c r="AK2328">
        <v>14</v>
      </c>
      <c r="AL2328">
        <v>14</v>
      </c>
      <c r="AN2328">
        <v>491</v>
      </c>
      <c r="AU2328">
        <v>896</v>
      </c>
      <c r="BB2328">
        <f t="shared" si="8"/>
        <v>2.9523080096621253</v>
      </c>
      <c r="BC2328">
        <v>8</v>
      </c>
      <c r="BF2328">
        <v>10</v>
      </c>
      <c r="BI2328">
        <v>405</v>
      </c>
      <c r="BJ2328">
        <v>2</v>
      </c>
      <c r="BL2328" t="s">
        <v>1087</v>
      </c>
      <c r="BM2328" t="s">
        <v>249</v>
      </c>
      <c r="BN2328" t="s">
        <v>60</v>
      </c>
      <c r="BO2328" t="s">
        <v>1088</v>
      </c>
      <c r="BP2328" t="s">
        <v>9</v>
      </c>
      <c r="BR2328" t="s">
        <v>63</v>
      </c>
      <c r="BT2328">
        <v>654.33117630000004</v>
      </c>
      <c r="BU2328">
        <v>654.33117600000003</v>
      </c>
      <c r="BV2328">
        <v>24.67</v>
      </c>
      <c r="BW2328">
        <f t="shared" si="6"/>
        <v>92.30668773171314</v>
      </c>
      <c r="BX2328">
        <v>708.57249100000001</v>
      </c>
      <c r="BY2328">
        <v>708.57249100000001</v>
      </c>
      <c r="BZ2328">
        <v>54.63</v>
      </c>
      <c r="CA2328">
        <f t="shared" si="7"/>
        <v>204.40674303946042</v>
      </c>
      <c r="CB2328">
        <v>184</v>
      </c>
      <c r="CD2328">
        <v>0.08</v>
      </c>
      <c r="CE2328">
        <v>7.4000000000000003E-3</v>
      </c>
    </row>
    <row r="2329" spans="4:83" hidden="1" x14ac:dyDescent="0.2">
      <c r="D2329">
        <v>212</v>
      </c>
      <c r="G2329" t="s">
        <v>43</v>
      </c>
      <c r="H2329" t="s">
        <v>1063</v>
      </c>
      <c r="J2329">
        <v>2010</v>
      </c>
      <c r="K2329" t="s">
        <v>1062</v>
      </c>
      <c r="M2329" t="s">
        <v>67</v>
      </c>
      <c r="T2329" t="s">
        <v>68</v>
      </c>
      <c r="U2329" t="s">
        <v>167</v>
      </c>
      <c r="V2329" t="s">
        <v>168</v>
      </c>
      <c r="AC2329" t="s">
        <v>108</v>
      </c>
      <c r="AF2329" t="s">
        <v>54</v>
      </c>
      <c r="AG2329" t="s">
        <v>52</v>
      </c>
      <c r="AH2329" t="s">
        <v>65</v>
      </c>
      <c r="AK2329">
        <v>3</v>
      </c>
      <c r="AL2329">
        <v>3</v>
      </c>
      <c r="AN2329">
        <v>375</v>
      </c>
      <c r="AU2329">
        <v>375</v>
      </c>
      <c r="BB2329">
        <f t="shared" si="8"/>
        <v>2.5740312677277188</v>
      </c>
      <c r="BC2329">
        <v>18</v>
      </c>
      <c r="BF2329">
        <v>22</v>
      </c>
      <c r="BI2329">
        <v>0</v>
      </c>
      <c r="BJ2329">
        <v>4</v>
      </c>
      <c r="BK2329" t="s">
        <v>56</v>
      </c>
      <c r="BL2329" t="s">
        <v>92</v>
      </c>
      <c r="BM2329" t="s">
        <v>262</v>
      </c>
      <c r="BN2329" t="s">
        <v>81</v>
      </c>
      <c r="BO2329" t="s">
        <v>917</v>
      </c>
      <c r="BP2329" t="s">
        <v>92</v>
      </c>
      <c r="BR2329" t="s">
        <v>63</v>
      </c>
      <c r="BT2329">
        <v>405.17</v>
      </c>
      <c r="BU2329">
        <v>405.17200000000003</v>
      </c>
      <c r="BV2329">
        <v>31.61</v>
      </c>
      <c r="BW2329">
        <f t="shared" si="6"/>
        <v>54.750126027252207</v>
      </c>
      <c r="BX2329">
        <v>709.77</v>
      </c>
      <c r="BY2329">
        <v>709.77</v>
      </c>
      <c r="BZ2329">
        <v>20.12</v>
      </c>
      <c r="CA2329">
        <f t="shared" si="7"/>
        <v>34.848862248285812</v>
      </c>
      <c r="CB2329">
        <v>4</v>
      </c>
      <c r="CC2329">
        <v>3</v>
      </c>
      <c r="CD2329">
        <v>0.56100000000000005</v>
      </c>
      <c r="CE2329">
        <v>6.8999999999999999E-3</v>
      </c>
    </row>
    <row r="2330" spans="4:83" hidden="1" x14ac:dyDescent="0.2">
      <c r="D2330">
        <v>239</v>
      </c>
      <c r="G2330" t="s">
        <v>43</v>
      </c>
      <c r="H2330" t="s">
        <v>1056</v>
      </c>
      <c r="J2330">
        <v>2017</v>
      </c>
      <c r="M2330" t="s">
        <v>94</v>
      </c>
      <c r="T2330" t="s">
        <v>131</v>
      </c>
      <c r="U2330" t="s">
        <v>1057</v>
      </c>
      <c r="V2330" t="s">
        <v>1058</v>
      </c>
      <c r="AC2330" t="s">
        <v>108</v>
      </c>
      <c r="AF2330" t="s">
        <v>52</v>
      </c>
      <c r="AG2330" t="s">
        <v>52</v>
      </c>
      <c r="AH2330" t="s">
        <v>64</v>
      </c>
      <c r="AK2330">
        <v>14</v>
      </c>
      <c r="AL2330">
        <v>5</v>
      </c>
      <c r="AN2330">
        <v>491</v>
      </c>
      <c r="AU2330">
        <v>955</v>
      </c>
      <c r="BB2330">
        <f t="shared" si="8"/>
        <v>2.9800033715837464</v>
      </c>
      <c r="BC2330">
        <v>8</v>
      </c>
      <c r="BF2330">
        <v>12</v>
      </c>
      <c r="BI2330">
        <v>464</v>
      </c>
      <c r="BJ2330">
        <v>4</v>
      </c>
      <c r="BL2330" t="s">
        <v>1087</v>
      </c>
      <c r="BM2330" t="s">
        <v>249</v>
      </c>
      <c r="BN2330" t="s">
        <v>60</v>
      </c>
      <c r="BO2330" t="s">
        <v>1088</v>
      </c>
      <c r="BP2330" t="s">
        <v>9</v>
      </c>
      <c r="BR2330" t="s">
        <v>63</v>
      </c>
      <c r="BT2330">
        <v>654.33117630000004</v>
      </c>
      <c r="BU2330">
        <v>654.33117600000003</v>
      </c>
      <c r="BV2330">
        <v>24.67</v>
      </c>
      <c r="BW2330">
        <f t="shared" si="6"/>
        <v>92.30668773171314</v>
      </c>
      <c r="BX2330">
        <v>726.13166279999996</v>
      </c>
      <c r="BY2330">
        <v>726.13166279999996</v>
      </c>
      <c r="BZ2330">
        <v>65.19</v>
      </c>
      <c r="CA2330">
        <f t="shared" si="7"/>
        <v>145.7692714532113</v>
      </c>
      <c r="CB2330">
        <v>184</v>
      </c>
      <c r="CD2330">
        <v>0.104</v>
      </c>
      <c r="CE2330">
        <v>9.4999999999999998E-3</v>
      </c>
    </row>
    <row r="2331" spans="4:83" hidden="1" x14ac:dyDescent="0.2">
      <c r="D2331">
        <v>212</v>
      </c>
      <c r="G2331" t="s">
        <v>43</v>
      </c>
      <c r="H2331" t="s">
        <v>1063</v>
      </c>
      <c r="J2331">
        <v>2010</v>
      </c>
      <c r="K2331" t="s">
        <v>1062</v>
      </c>
      <c r="M2331" t="s">
        <v>67</v>
      </c>
      <c r="T2331" t="s">
        <v>68</v>
      </c>
      <c r="U2331" t="s">
        <v>167</v>
      </c>
      <c r="V2331" t="s">
        <v>168</v>
      </c>
      <c r="AC2331" t="s">
        <v>108</v>
      </c>
      <c r="AF2331" t="s">
        <v>54</v>
      </c>
      <c r="AG2331" t="s">
        <v>52</v>
      </c>
      <c r="AH2331" t="s">
        <v>65</v>
      </c>
      <c r="AK2331">
        <v>3</v>
      </c>
      <c r="AL2331">
        <v>3</v>
      </c>
      <c r="AN2331">
        <v>375</v>
      </c>
      <c r="AU2331">
        <v>375</v>
      </c>
      <c r="BB2331">
        <f t="shared" si="8"/>
        <v>2.5740312677277188</v>
      </c>
      <c r="BC2331">
        <v>18</v>
      </c>
      <c r="BF2331">
        <v>30</v>
      </c>
      <c r="BI2331">
        <v>0</v>
      </c>
      <c r="BJ2331">
        <v>12</v>
      </c>
      <c r="BK2331" t="s">
        <v>56</v>
      </c>
      <c r="BL2331" t="s">
        <v>92</v>
      </c>
      <c r="BM2331" t="s">
        <v>262</v>
      </c>
      <c r="BN2331" t="s">
        <v>81</v>
      </c>
      <c r="BO2331" t="s">
        <v>917</v>
      </c>
      <c r="BP2331" t="s">
        <v>92</v>
      </c>
      <c r="BR2331" t="s">
        <v>63</v>
      </c>
      <c r="BT2331">
        <v>405.17</v>
      </c>
      <c r="BU2331">
        <v>405.17200000000003</v>
      </c>
      <c r="BV2331">
        <v>31.61</v>
      </c>
      <c r="BW2331">
        <f t="shared" si="6"/>
        <v>54.750126027252207</v>
      </c>
      <c r="BX2331">
        <v>867.82</v>
      </c>
      <c r="BY2331">
        <v>867.81600000000003</v>
      </c>
      <c r="BZ2331">
        <v>8.6199999999999992</v>
      </c>
      <c r="CA2331">
        <f t="shared" si="7"/>
        <v>14.93027796124372</v>
      </c>
      <c r="CB2331">
        <v>4</v>
      </c>
      <c r="CC2331">
        <v>3</v>
      </c>
      <c r="CD2331">
        <v>0.76200000000000001</v>
      </c>
      <c r="CE2331">
        <v>6.1999999999999998E-3</v>
      </c>
    </row>
    <row r="2332" spans="4:83" hidden="1" x14ac:dyDescent="0.2">
      <c r="D2332">
        <v>212</v>
      </c>
      <c r="G2332" t="s">
        <v>43</v>
      </c>
      <c r="H2332" t="s">
        <v>1063</v>
      </c>
      <c r="J2332">
        <v>2010</v>
      </c>
      <c r="K2332" t="s">
        <v>1062</v>
      </c>
      <c r="M2332" t="s">
        <v>67</v>
      </c>
      <c r="T2332" t="s">
        <v>68</v>
      </c>
      <c r="U2332" t="s">
        <v>167</v>
      </c>
      <c r="V2332" t="s">
        <v>168</v>
      </c>
      <c r="AC2332" t="s">
        <v>108</v>
      </c>
      <c r="AF2332" t="s">
        <v>54</v>
      </c>
      <c r="AG2332" t="s">
        <v>52</v>
      </c>
      <c r="AH2332" t="s">
        <v>65</v>
      </c>
      <c r="AK2332">
        <v>3</v>
      </c>
      <c r="AL2332">
        <v>3</v>
      </c>
      <c r="AN2332">
        <v>375</v>
      </c>
      <c r="AU2332">
        <v>375</v>
      </c>
      <c r="BB2332">
        <f t="shared" si="8"/>
        <v>2.5740312677277188</v>
      </c>
      <c r="BC2332">
        <v>18</v>
      </c>
      <c r="BF2332">
        <v>26</v>
      </c>
      <c r="BI2332">
        <v>0</v>
      </c>
      <c r="BJ2332">
        <v>8</v>
      </c>
      <c r="BK2332" t="s">
        <v>56</v>
      </c>
      <c r="BL2332" t="s">
        <v>92</v>
      </c>
      <c r="BM2332" t="s">
        <v>262</v>
      </c>
      <c r="BN2332" t="s">
        <v>81</v>
      </c>
      <c r="BO2332" t="s">
        <v>917</v>
      </c>
      <c r="BP2332" t="s">
        <v>92</v>
      </c>
      <c r="BR2332" t="s">
        <v>63</v>
      </c>
      <c r="BT2332">
        <v>405.17</v>
      </c>
      <c r="BU2332">
        <v>405.17200000000003</v>
      </c>
      <c r="BV2332">
        <v>31.61</v>
      </c>
      <c r="BW2332">
        <f t="shared" si="6"/>
        <v>54.750126027252207</v>
      </c>
      <c r="BX2332">
        <v>945.4</v>
      </c>
      <c r="BY2332">
        <v>945.40200000000004</v>
      </c>
      <c r="BZ2332">
        <v>28.74</v>
      </c>
      <c r="CA2332">
        <f t="shared" si="7"/>
        <v>49.77914020952953</v>
      </c>
      <c r="CB2332">
        <v>4</v>
      </c>
      <c r="CC2332">
        <v>3</v>
      </c>
      <c r="CD2332">
        <v>0.84699999999999998</v>
      </c>
      <c r="CE2332">
        <v>7.0000000000000001E-3</v>
      </c>
    </row>
  </sheetData>
  <autoFilter ref="A1:CF2332" xr:uid="{C6EF0521-FA41-4D86-87F2-B26C1B127C62}">
    <filterColumn colId="21">
      <filters>
        <filter val="Calanus finmarchicus"/>
        <filter val="Limacina helicina"/>
        <filter val="Limacina retroversa"/>
      </filters>
    </filterColumn>
    <filterColumn colId="28">
      <filters>
        <filter val="ADULT"/>
        <filter val="JUVENILE"/>
        <filter val="JUVENILE/ADULT"/>
      </filters>
    </filterColumn>
    <sortState xmlns:xlrd2="http://schemas.microsoft.com/office/spreadsheetml/2017/richdata2" ref="A7:CF2279">
      <sortCondition ref="BW1:BW2332"/>
    </sortState>
  </autoFilter>
  <pageMargins left="0.7" right="0.7" top="0.75" bottom="0.75" header="0.3" footer="0.3"/>
  <pageSetup orientation="portrait" r:id="rId1"/>
  <legacyDrawing r:id="rId2"/>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DataInverts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Jypson Esturas</cp:lastModifiedBy>
  <dcterms:created xsi:type="dcterms:W3CDTF">2025-09-19T04:05:54Z</dcterms:created>
  <dcterms:modified xsi:type="dcterms:W3CDTF">2026-09-10T07:26:14Z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2026-09-10T07:25:58Z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af8955c4-99bb-4adf-ac19-025d9691f7b6</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
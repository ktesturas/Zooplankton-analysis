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Legion\00 Plankton Work\2025\Plankton\00 Final\Plankton\Experimental\Zooplankton_experiment_database\Reference Meta-analysis\"/>
    </mc:Choice>
  </mc:AlternateContent>
  <xr:revisionPtr revIDLastSave="0" documentId="13_ncr:1_{6EAE113D-98FC-4BAE-8C76-7FA90983C299}" xr6:coauthVersionLast="47" xr6:coauthVersionMax="47" xr10:uidLastSave="{00000000-0000-0000-0000-000000000000}"/>
  <bookViews>
    <workbookView xWindow="12710" yWindow="0" windowWidth="12980" windowHeight="15370" xr2:uid="{F7B06E40-BA6A-4671-A187-AE188C50AC9C}"/>
  </bookViews>
  <sheets>
    <sheet name="bivalvecheckedCSV" sheetId="1" r:id="rId1"/>
  </sheets>
  <definedNames>
    <definedName name="_xlnm._FilterDatabase" localSheetId="0" hidden="1">bivalvecheckedCSV!$A$1:$AB$204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26" i="1" l="1"/>
  <c r="W125" i="1"/>
  <c r="W114" i="1"/>
  <c r="W113" i="1"/>
  <c r="W112" i="1"/>
  <c r="W66" i="1"/>
  <c r="W59" i="1"/>
  <c r="W53" i="1"/>
  <c r="W52" i="1"/>
  <c r="W43" i="1"/>
  <c r="W39" i="1"/>
  <c r="S39" i="1"/>
  <c r="S126" i="1"/>
  <c r="S125" i="1"/>
  <c r="S114" i="1"/>
  <c r="S113" i="1"/>
  <c r="S112" i="1"/>
  <c r="S66" i="1"/>
  <c r="S59" i="1"/>
  <c r="S53" i="1"/>
  <c r="S52" i="1"/>
  <c r="S43" i="1"/>
</calcChain>
</file>

<file path=xl/sharedStrings.xml><?xml version="1.0" encoding="utf-8"?>
<sst xmlns="http://schemas.openxmlformats.org/spreadsheetml/2006/main" count="2413" uniqueCount="499">
  <si>
    <t>Study</t>
  </si>
  <si>
    <t>LAT DD</t>
  </si>
  <si>
    <t>LONG DD</t>
  </si>
  <si>
    <t>Year</t>
  </si>
  <si>
    <t>Species</t>
  </si>
  <si>
    <t>Common name</t>
  </si>
  <si>
    <t>Family</t>
  </si>
  <si>
    <t>Sample_size_control</t>
  </si>
  <si>
    <t>Sample_size_treatment</t>
  </si>
  <si>
    <t>Stressor</t>
  </si>
  <si>
    <t>control_level_stressor</t>
  </si>
  <si>
    <t>treatment_level_stressor</t>
  </si>
  <si>
    <t>Replicates</t>
  </si>
  <si>
    <t>measurement</t>
  </si>
  <si>
    <t>control_mean</t>
  </si>
  <si>
    <t>control variance type</t>
  </si>
  <si>
    <t xml:space="preserve">control_variance </t>
  </si>
  <si>
    <t>treatment_mean</t>
  </si>
  <si>
    <t>treatment variance type</t>
  </si>
  <si>
    <t>treatment_variance</t>
  </si>
  <si>
    <t>developmental_stage</t>
  </si>
  <si>
    <t>duration expt</t>
  </si>
  <si>
    <t>acclimatisation</t>
  </si>
  <si>
    <t>notes</t>
  </si>
  <si>
    <t>1. M. P. Acquafredda, D. M. Munroe, L. M. R. Calvo, M. De Luca, The effect of rearing temperature on the survival and growth of early juvenile Atlantic surfclams (Spisula solidissima). Aquaculture Reports 13, (2019).</t>
  </si>
  <si>
    <t>Spisula solidissima</t>
  </si>
  <si>
    <t>Atlantic surfclam</t>
  </si>
  <si>
    <t>Mactridae</t>
  </si>
  <si>
    <t>temperature</t>
  </si>
  <si>
    <t>shell length</t>
  </si>
  <si>
    <t>SE</t>
  </si>
  <si>
    <t>juvenile</t>
  </si>
  <si>
    <t>32 days</t>
  </si>
  <si>
    <t>no</t>
  </si>
  <si>
    <t>fig 3</t>
  </si>
  <si>
    <t>10. D. Carstensen, J. Laudien, W. Sielfeld, M. E. Oliva, W. E. Arntz, EARLY LARVAL DEVELOPMENT OF DONAX OBESULUS: RESPONSE TO EL NINO TEMPERATURE AND SALINITY CONDITIONS. Journal of Shellfish Research 29, 361-368 (2010).</t>
  </si>
  <si>
    <t>Donax ohesulus</t>
  </si>
  <si>
    <t>surf clam</t>
  </si>
  <si>
    <t>Donacidae</t>
  </si>
  <si>
    <t>temp 17.8</t>
  </si>
  <si>
    <t>temp 24.6</t>
  </si>
  <si>
    <t>growth um/day</t>
  </si>
  <si>
    <t>sd</t>
  </si>
  <si>
    <t>Egg/larva</t>
  </si>
  <si>
    <t>16 days</t>
  </si>
  <si>
    <t>fig 2 larvae not fed ? Length data also available</t>
  </si>
  <si>
    <t>11. H. R. Clark, C. J. Gobler, Diurnal fluctuations in CO2 and dissolved oxygen concentrations do not provide a refuge from hypoxia and acidification for early-life-stage bivalves. Marine Ecology Progress Series 558, 1-14 (2016).</t>
  </si>
  <si>
    <t>Crassostrea virginica</t>
  </si>
  <si>
    <t xml:space="preserve">Eastern oyster </t>
  </si>
  <si>
    <t>Ostreidae</t>
  </si>
  <si>
    <t>O2</t>
  </si>
  <si>
    <t>pH = ~7.9, dissolved oxygen = ~7</t>
  </si>
  <si>
    <t>hypoxic (pH = ~7.9, DO = ~2 mg l?1)</t>
  </si>
  <si>
    <t>14 days</t>
  </si>
  <si>
    <t>fig 2, 3 and 4</t>
  </si>
  <si>
    <t>pH</t>
  </si>
  <si>
    <t xml:space="preserve"> acidified (pH = ~7.2, DO = ~7 mg l?1), </t>
  </si>
  <si>
    <t>pH + O2</t>
  </si>
  <si>
    <t xml:space="preserve"> acidified and hypoxic (pH = ~7.2, DO = ~2 mg l?1)</t>
  </si>
  <si>
    <t>Argopecten irradians</t>
  </si>
  <si>
    <t>bay scallop</t>
  </si>
  <si>
    <t>Pectinidae</t>
  </si>
  <si>
    <t>Mercenaria mercenaria</t>
  </si>
  <si>
    <t>hard clam / hard-shelled clam / quahog</t>
  </si>
  <si>
    <t>Veneridae</t>
  </si>
  <si>
    <t>12. G. H. Dickinson et al., Interactive effects of salinity and elevated CO2 levels on juvenile eastern oysters, Crassostrea virginica. Journal of Experimental Biology 215, 29-43 (2012).</t>
  </si>
  <si>
    <t>salinity of 30 and a PCO2 of ?400 ? atm =pH8.36</t>
  </si>
  <si>
    <t>salinity levels 30, pCO2 700–800 ? atm (hypercapnia) = pH8.1</t>
  </si>
  <si>
    <t>dry mass mg</t>
  </si>
  <si>
    <t>se</t>
  </si>
  <si>
    <t>11 weeks</t>
  </si>
  <si>
    <t>yes</t>
  </si>
  <si>
    <t>fig2</t>
  </si>
  <si>
    <t>salinity of 30 and a PCO2 of ?400 ? atm =pH 8.36</t>
  </si>
  <si>
    <t>salinity levels 15, pCO2 400 ? atm =pH 8.11</t>
  </si>
  <si>
    <t>salinity + pH</t>
  </si>
  <si>
    <t>salinity levels 15, pCO2 700–800 ? atm (hypercapnia) = pH 7.97</t>
  </si>
  <si>
    <t>13. G. H. Dickinson, O. B. Matoo, R. T. Tourek, I. M. Sokolova, E. Beniash, Environmental salinity modulates the effects of elevated CO2 levels on juvenile hard-shell clams, Mercenaria mercenaria. Journal of Experimental Biology 216, 2607-2618 (2013).</t>
  </si>
  <si>
    <t>CO2 395 pH of 8.2 and salinity 32 </t>
  </si>
  <si>
    <t>CO2 800 ?atm pH 7.7, salinity 32  </t>
  </si>
  <si>
    <t>shell mass mg</t>
  </si>
  <si>
    <t>95%CI</t>
  </si>
  <si>
    <t>21 weeks</t>
  </si>
  <si>
    <t>yes for 7 days</t>
  </si>
  <si>
    <t>salinity</t>
  </si>
  <si>
    <t>CO2 395, pH 8.2, salinity 16 </t>
  </si>
  <si>
    <t>fi2</t>
  </si>
  <si>
    <t>CO2 800 ?atm pH 7.7, salinity 16 </t>
  </si>
  <si>
    <t>17. C. J. Gobler, E. L. DePasquale, A. W. Griffith, H. Baumann, Hypoxia and Acidification Have Additive and Synergistic Negative Effects on the Growth, Survival, and Metamorphosis of Early Life Stage Bivalves. Plos One 9, (2014).</t>
  </si>
  <si>
    <t>bay scallops</t>
  </si>
  <si>
    <t>O2 260.5, pH 8.0</t>
  </si>
  <si>
    <t>O2 31.8, pH 8.3 low O2</t>
  </si>
  <si>
    <t>length um metamorphosed larvae</t>
  </si>
  <si>
    <t>30–40 days post-spawning, </t>
  </si>
  <si>
    <t>fig 2, 4 and 5 and text</t>
  </si>
  <si>
    <t>O2 263.3,  pH 7.5 low pH</t>
  </si>
  <si>
    <t>O2 36.5, pH 7.5 low O2 low pH</t>
  </si>
  <si>
    <t>hard clams</t>
  </si>
  <si>
    <t>O2 289.7, pH 8.0</t>
  </si>
  <si>
    <t>O2 39.4, pH 7.9 low O2</t>
  </si>
  <si>
    <t>growth rate um/day</t>
  </si>
  <si>
    <t>O2 288.7,  pH 7.5 low pH</t>
  </si>
  <si>
    <t>O2 45.5, pH 7.5 low O2 low pH</t>
  </si>
  <si>
    <t>19. X. Y. Guo et al., Early development of undulated surf clam, Paphia undulate under elevated pCO(2). Journal of Experimental Marine Biology and Ecology 484, 23-30 (2016).</t>
  </si>
  <si>
    <t>Paphia undulate</t>
  </si>
  <si>
    <t>undulated surf clam/ Paratapes undulatus / undulated venus</t>
  </si>
  <si>
    <t>pH 8.19</t>
  </si>
  <si>
    <t>pH 7.91</t>
  </si>
  <si>
    <t>larval shell length um</t>
  </si>
  <si>
    <t>10 days</t>
  </si>
  <si>
    <t>2. M. J. S. Apines-Amar et al., Effects of Water Quality, Stocking Density, Water Exchange Frequency, and Food, on Growth and Survival of the Green Mussel, Perna viridis Larvae. Israeli Journal of Aquaculture-Bamidgeh 72, (2020).</t>
  </si>
  <si>
    <t>Perna viridis</t>
  </si>
  <si>
    <t>green mussel</t>
  </si>
  <si>
    <t>Mytilidae</t>
  </si>
  <si>
    <t>shell length ?m</t>
  </si>
  <si>
    <t>SD</t>
  </si>
  <si>
    <t>15 days</t>
  </si>
  <si>
    <t>shell height ?m</t>
  </si>
  <si>
    <t>FIG 3</t>
  </si>
  <si>
    <t>21. C. Hiebenthal, E. E. R. Philipp, A. Eisenhauer, M. Wahl, Interactive effects of temperature and salinity on shell formation and general condition in Baltic Sea Mytilus edulis and Arctica islandica. Aquatic Biology 14, 289-298 (2012).</t>
  </si>
  <si>
    <t>Arctica islandica</t>
  </si>
  <si>
    <t>ocean quahog</t>
  </si>
  <si>
    <t>Arcticidae</t>
  </si>
  <si>
    <t>temp 10, sal 15</t>
  </si>
  <si>
    <t>temp 10 sal 35 hypersalinity</t>
  </si>
  <si>
    <t>growth rate mm/week</t>
  </si>
  <si>
    <t>95% CI</t>
  </si>
  <si>
    <t>NA</t>
  </si>
  <si>
    <t>15 weeks</t>
  </si>
  <si>
    <t>fig 1and 4. The chose the best grown, which is deeply suspicious and the controls don't reflect the natural environmental conditions very well.</t>
  </si>
  <si>
    <t>temp 16 sal 15 warm</t>
  </si>
  <si>
    <t>temperature + salinity</t>
  </si>
  <si>
    <t>temp 16 sal 35 warm and hypersal</t>
  </si>
  <si>
    <t>Mytilus edulis</t>
  </si>
  <si>
    <t>blue mussel</t>
  </si>
  <si>
    <t>temp 20, sal 15</t>
  </si>
  <si>
    <t>temp 25 sal 15 warm temp</t>
  </si>
  <si>
    <t>temp 25 sal 35 warm and hyper sal</t>
  </si>
  <si>
    <t>22. C. Hiebenthal, E. E. R. Philipp, A. Eisenhauer, M. Wahl, Effects of seawater pCO(2) and temperature on shell growth, shell stability, condition and cellular stress of Western Baltic Sea Mytilus edulis (L.) and Arctica islandica (L.). Marine Biology 160, 2073-2087 (2013).</t>
  </si>
  <si>
    <t>pH + temperature</t>
  </si>
  <si>
    <t>temp 10</t>
  </si>
  <si>
    <t>temp 15</t>
  </si>
  <si>
    <t>13 weeks</t>
  </si>
  <si>
    <t>Table 1 fig4&amp;5</t>
  </si>
  <si>
    <t>temp 20, pH 7.85</t>
  </si>
  <si>
    <t>temp 7.5 pH 7.63 (acidified)</t>
  </si>
  <si>
    <t>temp 25 pH 7.73 (warm and acidified)</t>
  </si>
  <si>
    <t>temp 25 pH 7.98 (warm)</t>
  </si>
  <si>
    <t>23. Z. M. Huo et al., Larval development, juvenile survival, and burrowing rate of geoduck clams (Panopea japonica) under different pH conditions. Aquaculture International 27, 1331-1342 (2019).</t>
  </si>
  <si>
    <t>Panopea japonica</t>
  </si>
  <si>
    <t>geoduck clams</t>
  </si>
  <si>
    <t>Hiatellidae</t>
  </si>
  <si>
    <t>relative growth rate %</t>
  </si>
  <si>
    <t>might be sd, doesn't say</t>
  </si>
  <si>
    <t>table 1 and fig 3</t>
  </si>
  <si>
    <t>24. A. Jansson, S. Lischka, T. Boxhammer, K. G. Schulz, J. Norkko, Survival and settling of larval Macoma balthica in a large-scale mesocosm experiment at different f CO2 levels. Biogeosciences 13, 3377-3385 (2016).</t>
  </si>
  <si>
    <t>Macoma balthica</t>
  </si>
  <si>
    <t>Baltic tellin</t>
  </si>
  <si>
    <t>Tellinidae</t>
  </si>
  <si>
    <t>shell length um</t>
  </si>
  <si>
    <t>measurements at 10 days</t>
  </si>
  <si>
    <t>5 days between sealing microcosom and adding CO2</t>
  </si>
  <si>
    <t>Fig 3</t>
  </si>
  <si>
    <t>25. A. Jansson, J. Norkko, S. Dupont, A. Norkko, Growth and survival in a changing environment: Combined effects of moderate hypoxia and low pH on juvenile bivalve Macoma balthica. Journal of Sea Research 102, 41-47 (2015).</t>
  </si>
  <si>
    <t>pH 7.85, O2 8.5 mg/l</t>
  </si>
  <si>
    <t>pH 7.85 O2 3.0 (low O2)</t>
  </si>
  <si>
    <t>29 days</t>
  </si>
  <si>
    <t>fig 5</t>
  </si>
  <si>
    <t>pH 7.85, O2 8.5</t>
  </si>
  <si>
    <t>pH 7.35 (acid) O2 8.5</t>
  </si>
  <si>
    <t>pH 7.35 (acid) O2  3.0 (low O2)</t>
  </si>
  <si>
    <t>28. M. W. Kelly, J. L. Padilla-Gamino, G. E. Hofmann, High pCO(2) affects body size, but not gene expression in larvae of the California mussel (Mytilus californianus). Ices Journal of Marine Science 73, 962-969 (2016).</t>
  </si>
  <si>
    <t>Mytilus californianus</t>
  </si>
  <si>
    <t>California mussel</t>
  </si>
  <si>
    <t>350 µatm, pHtotal 8.1</t>
  </si>
  <si>
    <t>1300 µatm, pHtotal 7.6</t>
  </si>
  <si>
    <t>63h</t>
  </si>
  <si>
    <t>Table 1 and fig1 (mislabelled)</t>
  </si>
  <si>
    <t>29. J. H. Kim et al., Effects of ocean acidification driven by elevated CO2 on larval shell growth and abnormal rates of the venerid clam, Mactra veneriformis. Chinese Journal of Oceanology and Limnology 34, 1191-1198 (2016).</t>
  </si>
  <si>
    <t>Mactra veneriformis</t>
  </si>
  <si>
    <t>Venus mactra</t>
  </si>
  <si>
    <t>400*10^-6 atm</t>
  </si>
  <si>
    <t xml:space="preserve">1200*10^-6 atm </t>
  </si>
  <si>
    <t>22 days</t>
  </si>
  <si>
    <t>1 day</t>
  </si>
  <si>
    <t xml:space="preserve">fig1 </t>
  </si>
  <si>
    <t>32. H. Kurihara, T. Asai, S. Kato, A. Ishimatsu, Effects of elevated pCO(2) on early development in the mussel Mytilus galloprovincialis. Aquatic Biology 4, 225-233 (2009).</t>
  </si>
  <si>
    <t>Mytilus galloprovincialis</t>
  </si>
  <si>
    <t>Mediterranean mussel</t>
  </si>
  <si>
    <t>pH 8.1</t>
  </si>
  <si>
    <t>pH 7.4</t>
  </si>
  <si>
    <t>shell height um</t>
  </si>
  <si>
    <t>114h / 6 days</t>
  </si>
  <si>
    <t>fig 4</t>
  </si>
  <si>
    <t>Thereafter, ~400 embryos were transferred from each dish into six 50 ml vials for each experimental group (control or high-CO2 group) … A total of 100 embryos or larvae from each 50 ml
vial were observed under a light microscope,</t>
  </si>
  <si>
    <t>33. H. Kurihara, S. Kato, A. Ishimatsu, Effects of increased seawater pCO(2) on early development of the oyster Crassostrea gigas. Aquatic Biology 1, 91-98 (2007).</t>
  </si>
  <si>
    <t>Magallana gigas</t>
  </si>
  <si>
    <t>Pacific oyster</t>
  </si>
  <si>
    <t>48h</t>
  </si>
  <si>
    <t>fig3</t>
  </si>
  <si>
    <t>34. G. Le Moullac et al., Impact of pCO(2) on the energy, reproduction and growth of the shell of the pearl oyster Pinctada margaritifera. Estuarine Coastal and Shelf Science 182, 274-282 (2016).</t>
  </si>
  <si>
    <t>Pinctada margaritifera</t>
  </si>
  <si>
    <t xml:space="preserve"> black-lip pearl oyster</t>
  </si>
  <si>
    <t>Pteriidae</t>
  </si>
  <si>
    <t>shell deposit rate um/day</t>
  </si>
  <si>
    <t>Adult</t>
  </si>
  <si>
    <t>100 days</t>
  </si>
  <si>
    <t>4 months</t>
  </si>
  <si>
    <t>36. J. Q. Li et al., The potential of ocean acidification on suppressing larval development in the Pacific oyster Crassostrea gigas and blood cockle Arca inflata Reeve. Chinese Journal of Oceanology and Limnology 32, 1307-1313 (2014).</t>
  </si>
  <si>
    <t>Arca inflata</t>
  </si>
  <si>
    <t>blood cockle</t>
  </si>
  <si>
    <t>Arcidae</t>
  </si>
  <si>
    <t>120h post fertilasation</t>
  </si>
  <si>
    <t>fig3 and 4</t>
  </si>
  <si>
    <t>37. B. Michaelidis, C. Ouzounis, A. Paleras, H. O. Portner, Effects of long-term moderate hypercapnia on acid-base balance and growth rate in marine mussels Mytilus galloprovincialis. Marine Ecology Progress Series 293, 109-118 (2005).</t>
  </si>
  <si>
    <t>shell length mm</t>
  </si>
  <si>
    <t>3 months/ 90 day</t>
  </si>
  <si>
    <t>38. A. W. Miller, A. Reynolds, M. S. Minton, R. Smith, Evidence for stage-based larval vulnerability and resilience to acidification in Crassostrea virginica. Journal of Molluscan Studies 86, 342-351 (2020).</t>
  </si>
  <si>
    <t>eastern oyster</t>
  </si>
  <si>
    <t>3months</t>
  </si>
  <si>
    <t xml:space="preserve">24h </t>
  </si>
  <si>
    <t>4. P. Barros, P. Sobral, P. Range, L. Chicharo, D. Matias, Effects of sea-water acidification on fertilization and larval development of the oyster Crassostrea gigas. Journal of Experimental Marine Biology and Ecology 440, 200-206 (2013).</t>
  </si>
  <si>
    <t>larval length ?m</t>
  </si>
  <si>
    <t>144 hours</t>
  </si>
  <si>
    <t>table 1, fig 4 and text</t>
  </si>
  <si>
    <t>40. K. Nishida et al., Effects of elevated CO2 on shell C-13 and O-18 content and growth rates in the clam Scapharca broughtonii. Geochimica Et Cosmochimica Acta 235, 246-261 (2018).</t>
  </si>
  <si>
    <t>Scapharca broughtonii</t>
  </si>
  <si>
    <t>Anadara broughtonii / blood clam</t>
  </si>
  <si>
    <t>temp 17, pCO2   269 (pH 8.2)</t>
  </si>
  <si>
    <t>temp 17, pCO2 1114 (pH 7.6)</t>
  </si>
  <si>
    <t>shell height mm</t>
  </si>
  <si>
    <t>temp 17 for 44 days</t>
  </si>
  <si>
    <t>41-51 days</t>
  </si>
  <si>
    <t>table 2 and fig3</t>
  </si>
  <si>
    <t>temp 25, pCO2   269 (pH 8.2)</t>
  </si>
  <si>
    <t>temp 25, pCO2   269 (pH 7.6)</t>
  </si>
  <si>
    <t>temp 25 for 55 days</t>
  </si>
  <si>
    <t>41. K. Nishida et al., Thermal dependency of shell growth, microstructure, and stable isotopes in laboratory-reared Scapharca broughtonii (Mollusca: Bivalvia). Geochemistry Geophysics Geosystems 16, 2395-2408 (2015).</t>
  </si>
  <si>
    <t>growth increment ,mm</t>
  </si>
  <si>
    <t>2 months</t>
  </si>
  <si>
    <t>1 deg/ day</t>
  </si>
  <si>
    <t>fig5</t>
  </si>
  <si>
    <t>42. J. Norkko, C. A. Pilditch, S. F. Thrush, R. M. G. Wells, Effects of food availability and hypoxia on bivalves: the value of using multiple parameters to measure bivalve condition in environmental studies. Marine Ecology Progress Series 298, 205-218 (2005).</t>
  </si>
  <si>
    <t>Paphies australis</t>
  </si>
  <si>
    <t>pipi wedge clam</t>
  </si>
  <si>
    <t>Mesodesmatidae</t>
  </si>
  <si>
    <t>condition index</t>
  </si>
  <si>
    <t>24 days</t>
  </si>
  <si>
    <t>fig2  se not shown for hypoxic treatment. Described as "similar variance" which would equate to about 3, but this is a reverse engineering of the se.</t>
  </si>
  <si>
    <t>43. M. X. Peng et al., Survival, growth and physiology of marine bivalve (Sinonovacula constricta) in long-term low-salt culture. Scientific Reports 9, (2019).</t>
  </si>
  <si>
    <t>Sinonovacula constricta</t>
  </si>
  <si>
    <t>constricted tagelus, Chinese razor clam or Agemaki clam</t>
  </si>
  <si>
    <t>Pharidae</t>
  </si>
  <si>
    <t>6 mmol/l</t>
  </si>
  <si>
    <t>shell height growth rate %/day</t>
  </si>
  <si>
    <t>3 months/ 100 days</t>
  </si>
  <si>
    <t>fig 2</t>
  </si>
  <si>
    <t>44. A. M. Pereira et al., Larval hatching and development of the wedge shell (Donax trunculus L.) under increased CO2 in southern Portugal. Regional Environmental Change 16, 855-864 (2016).</t>
  </si>
  <si>
    <t>Donax trunculus</t>
  </si>
  <si>
    <t>wedge clam</t>
  </si>
  <si>
    <t>diameter</t>
  </si>
  <si>
    <t>9 days</t>
  </si>
  <si>
    <t>none</t>
  </si>
  <si>
    <t>45. J. Perez-Larruscain, M. Delgado, J. I. Gairin, Larval growth and development of the smooth clam Callista chione (Mollusca: Bivalvia) under laboratory conditions. Ciencias Marinas 37, 271-277 (2011).</t>
  </si>
  <si>
    <t>Callista chione</t>
  </si>
  <si>
    <t>smooth clam /  Brown venus</t>
  </si>
  <si>
    <t>length</t>
  </si>
  <si>
    <t>53 days</t>
  </si>
  <si>
    <t>48. P. Range et al., Seawater acidification by CO2 in a coastal lagoon environment: Effects on life history traits of juvenile mussels Mytilus galloprovincialis. Journal of Experimental Marine Biology and Ecology 424, 89-98 (2012).</t>
  </si>
  <si>
    <t>84 days</t>
  </si>
  <si>
    <t>table 5</t>
  </si>
  <si>
    <t>5. J. A. Berge, B. Bjerkeng, O. Pettersen, M. T. Schaanning, S. Oxnevad, Effects of increased sea water concentrations of CO2 on growth of the bivalve Mytilus edulis L. Chemosphere 62, 681-687 (2006).</t>
  </si>
  <si>
    <t>length (large mussels)</t>
  </si>
  <si>
    <t>44 days</t>
  </si>
  <si>
    <t>table 1</t>
  </si>
  <si>
    <t>length (small mussels</t>
  </si>
  <si>
    <t>50. J. M. Riascos, C. M. Avalos, A. S. Pacheco, O. Heilmayer, Testing stress responses of the bivalve Protothaca thaca to El Nino-La Nina thermal conditions. Marine Biology Research 8, 654-661 (2012).</t>
  </si>
  <si>
    <t xml:space="preserve">Protothaca thaca </t>
  </si>
  <si>
    <t>greater litleneck clam</t>
  </si>
  <si>
    <t>CI</t>
  </si>
  <si>
    <t>30 days</t>
  </si>
  <si>
    <t>51. H. U. Riisgard, P. S. Larsen, R. Turja, K. Lundgreen, Dwarfism of blue mussels in the low saline Baltic Sea - growth to the lower salinity limit. Marine Ecology Progress Series 517, 181-192 (2014).</t>
  </si>
  <si>
    <t>Mytilus edulis and M. trossulus hybrids</t>
  </si>
  <si>
    <t>mussels</t>
  </si>
  <si>
    <t>15 days (used 14 days for control although it wenton until 35 days, so it was comparable with the low salinity treatment</t>
  </si>
  <si>
    <t>2 days</t>
  </si>
  <si>
    <t>52. C. Sanchez-Lazo, I. Martinez-Pita, Effect of temperature on survival, growth and development of Mytilus galloprovincialis larvae. Aquaculture Research 43, 1127-1133 (2012).</t>
  </si>
  <si>
    <t>growth rate</t>
  </si>
  <si>
    <t xml:space="preserve">16 days </t>
  </si>
  <si>
    <t>53. T. Sanders, L. Schmittmann, J. C. Nascimento-Schulze, F. Melzner, High Calcification Costs Limit Mussel Growth at Low Salinity. Frontiers in Marine Science 5, (2018).</t>
  </si>
  <si>
    <t>tissue growth um/day</t>
  </si>
  <si>
    <t>8 weeks</t>
  </si>
  <si>
    <t>fig1</t>
  </si>
  <si>
    <t>16 and 8</t>
  </si>
  <si>
    <t>6 and 18</t>
  </si>
  <si>
    <t>55. Y. Y. Shang et al., Diel-cycling seawater acidification and hypoxia impair the physiological and growth performance of marine mussels. Science of the Total Environment 722, (2020).</t>
  </si>
  <si>
    <t>Mytilus coruscus</t>
  </si>
  <si>
    <t>hard-shelled mussel</t>
  </si>
  <si>
    <t>3 weeks</t>
  </si>
  <si>
    <t>2 weeks</t>
  </si>
  <si>
    <t>8.1 and 8</t>
  </si>
  <si>
    <t>7.3 and 2</t>
  </si>
  <si>
    <t>56. A. Sokolowski, D. Brulinska, Z. Mirny, D. Burska, D. Pryputniewicz-Flis, Differing responses of the estuarine bivalve Limecola balthica to lowered water pH caused by potential CO2 leaks from a sub-seabed storage site in the Baltic Sea: An experimental study. Marine Pollution Bulletin 127, 761-773 (2018).</t>
  </si>
  <si>
    <t>Macoma balthica / Limecola balthica</t>
  </si>
  <si>
    <t>56 days</t>
  </si>
  <si>
    <t>1C/ day for 6 days</t>
  </si>
  <si>
    <t>fig6</t>
  </si>
  <si>
    <t>58. A. M. Stevens, C. J. Gobler, Interactive effects of acidification, hypoxia, and thermal stress on growth, respiration, and survival of four North Atlantic bivalves. Marine Ecology Progress Series 604, 143-161 (2018).</t>
  </si>
  <si>
    <t>dry tissue weight g</t>
  </si>
  <si>
    <t>4weeks</t>
  </si>
  <si>
    <t>fig4 S10</t>
  </si>
  <si>
    <t>pH 8, O2 7</t>
  </si>
  <si>
    <t>pH 7.2, O2 2</t>
  </si>
  <si>
    <t>pH7.9, O2 7.1</t>
  </si>
  <si>
    <t>pH7.3 O2 3.3</t>
  </si>
  <si>
    <t>temp 20 pH 7.9</t>
  </si>
  <si>
    <t>temp 25 pH 7.4</t>
  </si>
  <si>
    <t>temperature + O2</t>
  </si>
  <si>
    <t>temp 20 O2?</t>
  </si>
  <si>
    <t>temp 25 O2 3.3</t>
  </si>
  <si>
    <t>temperature + pH + O2</t>
  </si>
  <si>
    <t>temp 20 pH 7.9 O2?</t>
  </si>
  <si>
    <t>temp 25 pH 7.4O2 3.1</t>
  </si>
  <si>
    <t>fig5 S10</t>
  </si>
  <si>
    <t>fig6 S10</t>
  </si>
  <si>
    <t>fig8 S10</t>
  </si>
  <si>
    <t>59. A. M. Stoeckmann, D. W. Garton, Flexible energy allocation in zebra mussels (Dreissena polymorpha) in response to different environmental conditions. Journal of the North American Benthological Society 20, 486-500 (2001).</t>
  </si>
  <si>
    <t>Dreissena polymorpha</t>
  </si>
  <si>
    <t>zebra mussel </t>
  </si>
  <si>
    <t>Dreissenidae</t>
  </si>
  <si>
    <t>7weeks</t>
  </si>
  <si>
    <t>2weeks</t>
  </si>
  <si>
    <t>60. S. C. Talmage, C. J. Gobler, The effects of elevated carbon dioxide concentrations on the metamorphosis, size, and survival of larval hard clams (Mercenaria mercenaria), bay scallops (Argopecten irradians), and Eastern oysters (Crassostrea virginica). Limnology and Oceanography 54, 2072-2080 (2009).</t>
  </si>
  <si>
    <t>larval length um</t>
  </si>
  <si>
    <t>20 days</t>
  </si>
  <si>
    <t>fig2 table 1</t>
  </si>
  <si>
    <t>19 days</t>
  </si>
  <si>
    <t>18 days</t>
  </si>
  <si>
    <t>61. S. C. Talmage, C. J. Gobler, Effects of past, present, and future ocean carbon dioxide concentrations on the growth and survival of larval shellfish. Proceedings of the National Academy of Sciences of the United States of America 107, 17246-17251 (2010).</t>
  </si>
  <si>
    <t>diameter um</t>
  </si>
  <si>
    <t>62. S. C. Talmage, C. J. Gobler, Effects of Elevated Temperature and Carbon Dioxide on the Growth and Survival of Larvae and Juveniles of Three Species of Northwest Atlantic Bivalves. Plos One 6, (2011).</t>
  </si>
  <si>
    <t>8.1 and 24</t>
  </si>
  <si>
    <t>7.6 and 28</t>
  </si>
  <si>
    <t>63. S. C. Talmage, C. J. Gobler, Effects of CO2 and the harmful alga Aureococcus anophagefferens on growth and survival of oyster and scallop larvae. Marine Ecology Progress Series 464, 121-U147 (2012).</t>
  </si>
  <si>
    <t>fig4</t>
  </si>
  <si>
    <t>64. C. Van Colen, E. Debusschere, U. Braeckman, D. Van Gansbeke, M. Vincx, The Early Life History of the Clam Macoma balthica in a High CO2 World. Plos One 7, (2012).</t>
  </si>
  <si>
    <t>shell size um</t>
  </si>
  <si>
    <t>text</t>
  </si>
  <si>
    <t>65. A. Ventura, S. Schulz, S. Dupont, Maintained larval growth in mussel larvae exposed to acidified under-saturated seawater. Scientific Reports 6, (2016).</t>
  </si>
  <si>
    <t>fig S1</t>
  </si>
  <si>
    <t>68. W. M. Wang et al., Effects of elevated seawater pCO(2) on early development of scallop Argopecten irradias (Lamarck, 1819). Journal of Ocean University of China 15, 1073-1079 (2016).</t>
  </si>
  <si>
    <t>check spp spelling - assume irradias = irradians</t>
  </si>
  <si>
    <t>69. M. M. White, D. C. McCorkle, L. S. Mullineaux, A. L. Cohen, Early Exposure of Bay Scallops (Argopecten irradians) to High CO2 Causes a Decrease in Larval Shell Growth. Plos One 8, (2013).</t>
  </si>
  <si>
    <t>7 days</t>
  </si>
  <si>
    <t>7. M. Bressan et al., Does seawater acidification affect survival, growth and shell integrity in bivalve juveniles? Marine Environmental Research 99, 136-148 (2014).</t>
  </si>
  <si>
    <t>6 months</t>
  </si>
  <si>
    <t>fig 4 and table 1</t>
  </si>
  <si>
    <t>Chamelea gallina</t>
  </si>
  <si>
    <t>striped venus clam</t>
  </si>
  <si>
    <t>70. M. M. White, L. S. Mullineaux, D. C. McCorkle, A. L. Cohen, Elevated pCO(2) exposure during fertilization of the bay scallop Argopecten irradians reduces larval survival but not subsequent shell size. Marine Ecology Progress Series 498, 173-U558 (2014).</t>
  </si>
  <si>
    <t>72. H. M. Yuan, X. Xu, F. Yang, L. Q. Zhao, X. W. Yan, Impact of seawater acidification on shell property of the Manila clam Ruditapes philippinarum grown within and without sediment. Journal of Oceanology and Limnology 38, 236-248 (2020).</t>
  </si>
  <si>
    <t>Ruditapes philippinarum</t>
  </si>
  <si>
    <t>Manila clam</t>
  </si>
  <si>
    <t>shell weight g/clam</t>
  </si>
  <si>
    <t>140 days</t>
  </si>
  <si>
    <t>73. L. Q. Zhao, S. Milano, E. O. Walliser, B. R. Schone, Bivalve shell formation in a naturally CO2-enriched habitat: Unraveling the resilience mechanisms from elemental signatures. Chemosphere 203, 132-138 (2018).</t>
  </si>
  <si>
    <t>Mya arenaria</t>
  </si>
  <si>
    <t>Soft-shell clams</t>
  </si>
  <si>
    <t>Myidae</t>
  </si>
  <si>
    <t>74. L. Q. Zhao, B. R. Schone, R. Mertz-Kraus, F. Yang, Insights from sodium into the impacts of elevated pCO(2) and temperature on bivalve shell formation. Journal of Experimental Marine Biology and Ecology 486, 148-154 (2017).</t>
  </si>
  <si>
    <t>5 weeks</t>
  </si>
  <si>
    <t>8.1 and 16</t>
  </si>
  <si>
    <t>7.7 and 22</t>
  </si>
  <si>
    <t>Patinopecten yessoensis</t>
  </si>
  <si>
    <t>Yesso scallop</t>
  </si>
  <si>
    <t>8. C. H. Bylenga, V. J. Cummings, K. G. Ryan, High resolution microscopy reveals significant impacts of ocean acidification and warming on larval shell development in Laternula elliptica. Plos One 12, (2017).</t>
  </si>
  <si>
    <t>Laternula elliptica</t>
  </si>
  <si>
    <t>Antarctic soft-shell clam</t>
  </si>
  <si>
    <t>Laternulidae</t>
  </si>
  <si>
    <t>temp -1.6       pH 7.98</t>
  </si>
  <si>
    <t>temp -1.6 pH 7.65</t>
  </si>
  <si>
    <t>45 days</t>
  </si>
  <si>
    <t>temp 0.4 pH 7.65</t>
  </si>
  <si>
    <t>temp 0.4 pH 7.98</t>
  </si>
  <si>
    <t>Asplund, M.E., Baden, S.P., Russ, S., Ellis, R.P., Gong, N. and Hernroth, B.E., 2014. Ocean acidification and host–pathogen interactions: blue mussels, M ytilus edulis, encountering Vibrio tubiashii. Environmental Microbiology, 16(4), pp.1029-1039.</t>
  </si>
  <si>
    <t>58.269605, 11.386283</t>
  </si>
  <si>
    <t>Length</t>
  </si>
  <si>
    <t>Data from figure 2, pg 1033</t>
  </si>
  <si>
    <t>Baker, S.M. and Mann, R., 1992. Effects of hypoxia and anoxia on larval settlement, juvenile growth, and juvenile survival of the oyster Crassostrea virginica. The Biological Bulletin, 182(2), pp.265-269.</t>
  </si>
  <si>
    <t>Basso, L., Hendriks, I.E. and Duarte, C.M., 2015. Juvenile pen shells (Pinna nobilis) tolerate acidification but are vulnerable to warming. Estuaries and Coasts, 38(6), pp.1976-1985.</t>
  </si>
  <si>
    <t>Pinna nobilis</t>
  </si>
  <si>
    <t>Pinnidae</t>
  </si>
  <si>
    <t>7.94pH  21.3oC</t>
  </si>
  <si>
    <t>7.7pH 21.3oC</t>
  </si>
  <si>
    <t>Growth rate</t>
  </si>
  <si>
    <t>Data from figure 4</t>
  </si>
  <si>
    <t>7.7pH 23.3oC</t>
  </si>
  <si>
    <t>7.7pH 26.3oC</t>
  </si>
  <si>
    <t>7.92pH 23.3oC</t>
  </si>
  <si>
    <t>7.96pH 26.3oC</t>
  </si>
  <si>
    <t>Bechmann, R.K., Taban, I.C., Westerlund, S., Godal, B.F., Arnberg, M., Vingen, S., Ingvarsdottir, A. and Baussant, T., 2011. Effects of ocean acidification on early life stages of shrimp (Pandalus borealis) and mussel (Mytilus edulis). Journal of Toxicology and Environmental Health, Part A, 74(7-9), pp.424-438.</t>
  </si>
  <si>
    <t>Mean area</t>
  </si>
  <si>
    <t>Data from table 2, pg 432</t>
  </si>
  <si>
    <t>Cheng, B.S., Bible, J.M., Chang, A.L., Ferner, M.C., Wasson, K., Zabin, C.J., Latta, M., Deck, A., Todgham, A.E. and Grosholz, E.D., 2015. Testing local and global stressor impacts on a coastal foundation species using an ecologically realistic framework. Global change biology, 21(7), pp.2488-2499.</t>
  </si>
  <si>
    <t>Ostrea lurida</t>
  </si>
  <si>
    <t>Duarte, C., Navarro, J.M., Acuña, K., Torres, R., Manríquez, P.H., Lardies, M.A., Vargas, C.A., Lagos, N.A. and Aguilera, V., 2014. Combined effects of temperature and ocean acidification on the juvenile individuals of the mussel Mytilus chilensis. Journal of Sea Research, 85, pp.308-314.</t>
  </si>
  <si>
    <t>Mytilus chilensis</t>
  </si>
  <si>
    <t>Fernández-Reiriz, M.J., Range, P., Álvarez-Salgado, X.A. and Labarta, U., 2011. Physiological energetics of juvenile clams Ruditapes decussatus in a high CO2 coastal ocean. Marine Ecology Progress Series, 433, pp.97-105.</t>
  </si>
  <si>
    <t>Ruditapes decussatus</t>
  </si>
  <si>
    <t>Dry weight</t>
  </si>
  <si>
    <t>Data from table 2</t>
  </si>
  <si>
    <t>Fernández-Reiriz, M.J., Range, P., Álvarez-Salgado, X.A., Espinosa, J. and Labarta, U., 2012. Tolerance of juvenile Mytilus galloprovincialis to experimental seawater acidification. Marine Ecology Progress Series, 454, pp.65-74.</t>
  </si>
  <si>
    <t>Fitzer, S.C., Cusack, M., Phoenix, V.R. and Kamenos, N.A., 2014. Ocean acidification reduces the crystallographic control in juvenile mussel shells. Journal of structural biology, 188(1), pp.39-45.</t>
  </si>
  <si>
    <t>7.7pH 9.4oC</t>
  </si>
  <si>
    <t>Data from supplementary table 1</t>
  </si>
  <si>
    <t>7.7pH 11.58oC</t>
  </si>
  <si>
    <t>Fitzer, S.C., Phoenix, V.R., Cusack, M. and Kamenos, N.A., 2014. Ocean acidification impacts mussel control on biomineralisation. Scientific reports, 4(1), pp.1-7.</t>
  </si>
  <si>
    <t>Shell growth</t>
  </si>
  <si>
    <t>Data from figure 4a</t>
  </si>
  <si>
    <t>Gazeau, F., Alliouane, S., Bock, C., Bramanti, L., López Correa, M., Gentile, M., Hirse, T., Pörtner, H.O. and Ziveri, P., 2014. Impact of ocean acidification and warming on the Mediterranean mussel (Mytilus galloprovincialis). Frontiers in Marine Science, 1, p.62.</t>
  </si>
  <si>
    <t>8.01pH 18.2oC</t>
  </si>
  <si>
    <t>7.71pH 18.2oC</t>
  </si>
  <si>
    <t>Shell length</t>
  </si>
  <si>
    <t>Data from figure 3</t>
  </si>
  <si>
    <t>7.72pH 20.9oC</t>
  </si>
  <si>
    <t>8.01pH 20.8oC</t>
  </si>
  <si>
    <t>Gazeau, F., Gattuso, J.P., Dawber, C., Pronker, A.E., Peene, F., Peene, J., Heip, C.H.R. and Middelburg, J.J., 2010. Effect of ocean acidification on the early life stages of the blue mussel Mytilus edulis. Biogeosciences, 7(7), pp.2051-2060.</t>
  </si>
  <si>
    <t>Average shell length</t>
  </si>
  <si>
    <t>Data from figure 2b, pg 2055</t>
  </si>
  <si>
    <t>Gestoso, I., Arenas, F. and Olabarria, C., 2016. Ecological interactions modulate responses of two intertidal mussel species to changes in temperature and pH. Journal of Experimental Marine Biology and Ecology, 474, pp.116-125.</t>
  </si>
  <si>
    <t>7.98pH 16oC</t>
  </si>
  <si>
    <t>7.62pH 16oC</t>
  </si>
  <si>
    <t>mm</t>
  </si>
  <si>
    <t>Data from table 3 monospecific clump</t>
  </si>
  <si>
    <t>Data from table 3, mixed clump</t>
  </si>
  <si>
    <t>7.73pH 21oC</t>
  </si>
  <si>
    <t>8.01pH 21oC</t>
  </si>
  <si>
    <t xml:space="preserve">Xenostrobus securis </t>
  </si>
  <si>
    <t>Jansson, A., Norkko, J. and Norkko, A., 2013. Effects of reduced pH on Macoma balthica larvae from a system with naturally fluctuating pH-dynamics. PLoS One, 8(6), p.e68198.</t>
  </si>
  <si>
    <t>8.1pH</t>
  </si>
  <si>
    <t>7.7pH</t>
  </si>
  <si>
    <t>um</t>
  </si>
  <si>
    <t>Data from results text</t>
  </si>
  <si>
    <t>Lemasson, A.J., Hall-Spencer, J.M., Fletcher, S., Provstgaard-Morys, S. and Knights, A.M., 2018. Indications of future performance of native and non-native adult oysters under acidification and warming. Marine environmental research, 142, pp.178-189.</t>
  </si>
  <si>
    <t>8pH 16.5oC</t>
  </si>
  <si>
    <t>7.84pH 16.6oC</t>
  </si>
  <si>
    <t>Mean condition index</t>
  </si>
  <si>
    <t>Data from figure 5</t>
  </si>
  <si>
    <t>7.9pH 20.2oC</t>
  </si>
  <si>
    <t>8pH 19.8oC</t>
  </si>
  <si>
    <t>Ostrea edulis</t>
  </si>
  <si>
    <t>7.72pH 16.6oC</t>
  </si>
  <si>
    <t>7.7pH 19.8oC</t>
  </si>
  <si>
    <t>Mackenzie, C.L., Lynch, S.A., Culloty, S.C. and Malham, S.K., 2014. Future oceanic warming and acidification alter immune response and disease status in a commercial shellfish species, Mytilus edulis L. PLoS One, 9(6), p.e99712.</t>
  </si>
  <si>
    <t>7.99pH 12.14oC</t>
  </si>
  <si>
    <t>7.65pH 12.18oC</t>
  </si>
  <si>
    <t>Data from figure 2</t>
  </si>
  <si>
    <t>7.63pH 16.11oC</t>
  </si>
  <si>
    <t>7.95pH 15.84oC</t>
  </si>
  <si>
    <t>Melzner, F., Stange, P., Trübenbach, K., Thomsen, J., Casties, I., Panknin, U., Gorb, S.N. and Gutowska, M.A., 2011. Food supply and seawater p CO2 impact calcification and internal shell dissolution in the blue mussel Mytilus edulis. PloS one, 6(9), p.e24223.</t>
  </si>
  <si>
    <t>8.05pH 5oC</t>
  </si>
  <si>
    <t>7.73pH 5oC</t>
  </si>
  <si>
    <t>Data from Table 1 low food</t>
  </si>
  <si>
    <t>Munari, M., Chemello, G., Finos, L., Ingrosso, G., Giani, M. and Marin, M.G., 2016. Coping with seawater acidification and the emerging contaminant diclofenac at the larval stage: A tale from the clam Ruditapes philippinarum. Chemosphere, 160, pp.293-302.</t>
  </si>
  <si>
    <t xml:space="preserve">8pH </t>
  </si>
  <si>
    <t>7.8pH</t>
  </si>
  <si>
    <t>Data from figure 3a</t>
  </si>
  <si>
    <t>Ong, E.Z., Briffa, M., Moens, T. and Van Colen, C., 2017. Physiological responses to ocean acidification and warming synergistically reduce condition of the common cockle Cerastoderma edule. Marine environmental research, 130, pp.38-47.</t>
  </si>
  <si>
    <t>Cerastoderma edule</t>
  </si>
  <si>
    <t>Cardiidae</t>
  </si>
  <si>
    <t>8.11pH 15.5oC</t>
  </si>
  <si>
    <t>7.75pH 15.3oC</t>
  </si>
  <si>
    <t>Data from figure 1</t>
  </si>
  <si>
    <t>7.82pH 18oC</t>
  </si>
  <si>
    <t>8.2pH 18.2oC</t>
  </si>
  <si>
    <t>Prado, P., Roque, A., Pérez, J., Ibáñez, C., Alcaraz, C., Casals, F. and Caiola, N., 2016. Warming and acidification-mediated resilience to bacterial infection determine mortality of early Ostrea edulis life stages. Marine Ecology Progress Series, 545, pp.189-202.</t>
  </si>
  <si>
    <t>Sadler, D.E., Lemasson, A.J. and Knights, A.M., 2018. The effects of elevated CO2 on shell properties and susceptibility to predation in mussels Mytilus edulis. Marine environmental research, 139, pp.162-168.</t>
  </si>
  <si>
    <t>Cross-section area</t>
  </si>
  <si>
    <t>Sanders, M.B., Bean, T.P., Hutchinson, T.H. and Le Quesne, W.J., 2013. Juvenile king scallop, Pecten maximus, is potentially tolerant to low levels of ocean acidification when food is unrestricted. PLoS One, 8(9), p.e74118.</t>
  </si>
  <si>
    <t>Pecten maximus</t>
  </si>
  <si>
    <t>Shell height</t>
  </si>
  <si>
    <t>Data from table 3, replicant B</t>
  </si>
  <si>
    <t>Data from table 3, replicant A</t>
  </si>
  <si>
    <t>Schalkhausser, B., Bock, C., Stemmer, K., Brey, T., Pörtner, H.O. and Lannig, G., 2013. Impact of ocean acidification on escape performance of the king scallop, Pecten maximus, from Norway. Marine Biology, 160(8), pp.1995-2006.</t>
  </si>
  <si>
    <t>Data from results text, pg 2000</t>
  </si>
  <si>
    <t>Sui, Y., Hu, M., Huang, X., Wang, Y. and Lu, W., 2015. Anti-predatory responses of the thick shell mussel Mytilus coruscus exposed to seawater acidification and hypoxia. Marine environmental research, 109, pp.159-167.</t>
  </si>
  <si>
    <t>fig3b</t>
  </si>
  <si>
    <t>Thomsen, J. and Melzner, F., 2010. Moderate seawater acidification does not elicit long-term metabolic depression in the blue mussel Mytilus edulis. Marine Biology, 157(12), pp.2667-2676.</t>
  </si>
  <si>
    <t>Shell weight</t>
  </si>
  <si>
    <t>Thomsen, J., Casties, I., Pansch, C., Körtzinger, A. and Melzner, F., 2013. Food availability outweighs ocean acidification effects in juvenile M ytilus edulis: laboratory and field experiments. Global change biology, 19(4), pp.1017-1027.</t>
  </si>
  <si>
    <t>Thomsen, J., Gutowska, M.A., Saphörster, J., Heinemann, A., Trübenbach, K., Fietzke, J., Hiebenthal, C., Eisenhauer, A., Körtzinger, A., Wahl, M. and Melzner, F., 2010. Calcifying invertebrates succeed in a naturally CO 2-rich coastal habitat but are threatened by high levels of future acidification. Biogeosciences, 7(11), pp.3879-3891.</t>
  </si>
  <si>
    <t>Final shell length</t>
  </si>
  <si>
    <t>Data from table 4</t>
  </si>
  <si>
    <t>New</t>
  </si>
  <si>
    <t>Yes</t>
  </si>
  <si>
    <t>No</t>
  </si>
  <si>
    <t>control_sd</t>
  </si>
  <si>
    <t>assumed to be sd</t>
  </si>
  <si>
    <t>treatment_sd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</si>
</sst>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8373-3D64-4A99-8B98-380871D58F08}">
  <sheetPr filterMode="1"/>
  <dimension ref="A1:AB204"/>
  <sheetViews>
    <sheetView tabSelected="1" topLeftCell="F1" zoomScale="76" workbookViewId="0">
      <selection activeCell="O1" sqref="O1"/>
    </sheetView>
  </sheetViews>
  <sheetFormatPr defaultRowHeight="14.5" x14ac:dyDescent="0.35"/>
  <cols>
    <col min="1" max="2" width="34.6328125" customWidth="1"/>
  </cols>
  <sheetData>
    <row r="1" spans="1:27" x14ac:dyDescent="0.35">
      <c r="A1" s="1" t="s">
        <v>0</v>
      </c>
      <c r="B1" t="s">
        <v>493</v>
      </c>
      <c r="C1" s="1" t="s">
        <v>1</v>
      </c>
      <c r="D1" s="1" t="s">
        <v>2</v>
      </c>
      <c r="E1" s="1" t="s">
        <v>3</v>
      </c>
      <c r="F1" t="s">
        <v>4</v>
      </c>
      <c r="G1" t="s">
        <v>5</v>
      </c>
      <c r="H1" t="s">
        <v>6</v>
      </c>
      <c r="I1" s="1" t="s">
        <v>7</v>
      </c>
      <c r="J1" s="1" t="s">
        <v>8</v>
      </c>
      <c r="K1" s="1" t="s">
        <v>9</v>
      </c>
      <c r="L1" t="s">
        <v>10</v>
      </c>
      <c r="M1" t="s">
        <v>11</v>
      </c>
      <c r="N1" t="s">
        <v>12</v>
      </c>
      <c r="O1" s="1" t="s">
        <v>13</v>
      </c>
      <c r="P1" s="1" t="s">
        <v>14</v>
      </c>
      <c r="Q1" t="s">
        <v>15</v>
      </c>
      <c r="R1" t="s">
        <v>16</v>
      </c>
      <c r="S1" s="1" t="s">
        <v>496</v>
      </c>
      <c r="T1" s="1" t="s">
        <v>17</v>
      </c>
      <c r="U1" t="s">
        <v>18</v>
      </c>
      <c r="V1" t="s">
        <v>19</v>
      </c>
      <c r="W1" s="1" t="s">
        <v>498</v>
      </c>
      <c r="X1" t="s">
        <v>20</v>
      </c>
      <c r="Y1" t="s">
        <v>21</v>
      </c>
      <c r="Z1" t="s">
        <v>22</v>
      </c>
      <c r="AA1" t="s">
        <v>23</v>
      </c>
    </row>
    <row r="2" spans="1:27" hidden="1" x14ac:dyDescent="0.35">
      <c r="A2" t="s">
        <v>24</v>
      </c>
      <c r="C2">
        <v>-74.942093</v>
      </c>
      <c r="D2">
        <v>38.968839000000003</v>
      </c>
      <c r="E2">
        <v>2019</v>
      </c>
      <c r="F2" t="s">
        <v>25</v>
      </c>
      <c r="G2" t="s">
        <v>26</v>
      </c>
      <c r="H2" t="s">
        <v>27</v>
      </c>
      <c r="I2">
        <v>60</v>
      </c>
      <c r="J2">
        <v>60</v>
      </c>
      <c r="K2" t="s">
        <v>28</v>
      </c>
      <c r="L2">
        <v>20</v>
      </c>
      <c r="M2">
        <v>26</v>
      </c>
      <c r="N2">
        <v>3</v>
      </c>
      <c r="O2" t="s">
        <v>29</v>
      </c>
      <c r="P2">
        <v>2.23</v>
      </c>
      <c r="Q2" t="s">
        <v>30</v>
      </c>
      <c r="R2">
        <v>0.21</v>
      </c>
      <c r="T2">
        <v>1.86</v>
      </c>
      <c r="U2" t="s">
        <v>30</v>
      </c>
      <c r="V2">
        <v>1</v>
      </c>
      <c r="X2" t="s">
        <v>31</v>
      </c>
      <c r="Y2" t="s">
        <v>32</v>
      </c>
      <c r="Z2" t="s">
        <v>33</v>
      </c>
      <c r="AA2" t="s">
        <v>34</v>
      </c>
    </row>
    <row r="3" spans="1:27" x14ac:dyDescent="0.35">
      <c r="A3" t="s">
        <v>35</v>
      </c>
      <c r="B3" t="s">
        <v>494</v>
      </c>
      <c r="C3">
        <v>-70.325192000000001</v>
      </c>
      <c r="D3">
        <v>-18.464272000000001</v>
      </c>
      <c r="E3">
        <v>2010</v>
      </c>
      <c r="F3" t="s">
        <v>36</v>
      </c>
      <c r="G3" t="s">
        <v>37</v>
      </c>
      <c r="H3" t="s">
        <v>38</v>
      </c>
      <c r="I3">
        <v>90</v>
      </c>
      <c r="J3">
        <v>90</v>
      </c>
      <c r="K3" t="s">
        <v>28</v>
      </c>
      <c r="L3" t="s">
        <v>39</v>
      </c>
      <c r="M3" t="s">
        <v>40</v>
      </c>
      <c r="N3">
        <v>3</v>
      </c>
      <c r="O3" t="s">
        <v>41</v>
      </c>
      <c r="P3">
        <v>161.04</v>
      </c>
      <c r="Q3" t="s">
        <v>42</v>
      </c>
      <c r="R3">
        <v>8.1999999999999993</v>
      </c>
      <c r="S3">
        <v>8.1999999999999993</v>
      </c>
      <c r="T3">
        <v>177.16</v>
      </c>
      <c r="U3" t="s">
        <v>42</v>
      </c>
      <c r="V3">
        <v>7.65</v>
      </c>
      <c r="W3">
        <v>7.65</v>
      </c>
      <c r="X3" t="s">
        <v>43</v>
      </c>
      <c r="Y3" t="s">
        <v>44</v>
      </c>
      <c r="Z3" t="s">
        <v>33</v>
      </c>
      <c r="AA3" t="s">
        <v>45</v>
      </c>
    </row>
    <row r="4" spans="1:27" x14ac:dyDescent="0.35">
      <c r="A4" t="s">
        <v>46</v>
      </c>
      <c r="B4" t="s">
        <v>494</v>
      </c>
      <c r="C4">
        <v>-71.972581000000005</v>
      </c>
      <c r="D4">
        <v>41.051594999999999</v>
      </c>
      <c r="E4">
        <v>2016</v>
      </c>
      <c r="F4" t="s">
        <v>47</v>
      </c>
      <c r="G4" t="s">
        <v>48</v>
      </c>
      <c r="H4" t="s">
        <v>49</v>
      </c>
      <c r="I4">
        <v>10</v>
      </c>
      <c r="J4">
        <v>10</v>
      </c>
      <c r="K4" t="s">
        <v>50</v>
      </c>
      <c r="L4" t="s">
        <v>51</v>
      </c>
      <c r="M4" t="s">
        <v>52</v>
      </c>
      <c r="N4">
        <v>4</v>
      </c>
      <c r="O4" t="s">
        <v>41</v>
      </c>
      <c r="P4">
        <v>1.4</v>
      </c>
      <c r="Q4" t="s">
        <v>42</v>
      </c>
      <c r="R4">
        <v>0.67</v>
      </c>
      <c r="S4">
        <v>0.67</v>
      </c>
      <c r="T4">
        <v>0.7</v>
      </c>
      <c r="U4" t="s">
        <v>42</v>
      </c>
      <c r="V4">
        <v>0.05</v>
      </c>
      <c r="W4">
        <v>0.05</v>
      </c>
      <c r="X4" t="s">
        <v>43</v>
      </c>
      <c r="Y4" t="s">
        <v>53</v>
      </c>
      <c r="Z4" t="s">
        <v>33</v>
      </c>
      <c r="AA4" t="s">
        <v>54</v>
      </c>
    </row>
    <row r="5" spans="1:27" x14ac:dyDescent="0.35">
      <c r="A5" t="s">
        <v>46</v>
      </c>
      <c r="B5" t="s">
        <v>494</v>
      </c>
      <c r="C5">
        <v>-71.972581000000005</v>
      </c>
      <c r="D5">
        <v>41.051594999999999</v>
      </c>
      <c r="E5">
        <v>2016</v>
      </c>
      <c r="F5" t="s">
        <v>47</v>
      </c>
      <c r="G5" t="s">
        <v>48</v>
      </c>
      <c r="H5" t="s">
        <v>49</v>
      </c>
      <c r="I5">
        <v>10</v>
      </c>
      <c r="J5">
        <v>10</v>
      </c>
      <c r="K5" t="s">
        <v>55</v>
      </c>
      <c r="L5" t="s">
        <v>51</v>
      </c>
      <c r="M5" t="s">
        <v>56</v>
      </c>
      <c r="N5">
        <v>4</v>
      </c>
      <c r="O5" t="s">
        <v>41</v>
      </c>
      <c r="P5">
        <v>1.4</v>
      </c>
      <c r="Q5" t="s">
        <v>42</v>
      </c>
      <c r="R5">
        <v>0.67</v>
      </c>
      <c r="S5">
        <v>0.67</v>
      </c>
      <c r="T5">
        <v>1.1000000000000001</v>
      </c>
      <c r="U5" t="s">
        <v>42</v>
      </c>
      <c r="V5">
        <v>0.35</v>
      </c>
      <c r="W5">
        <v>0.35</v>
      </c>
      <c r="X5" t="s">
        <v>43</v>
      </c>
      <c r="Y5" t="s">
        <v>53</v>
      </c>
      <c r="Z5" t="s">
        <v>33</v>
      </c>
      <c r="AA5" t="s">
        <v>54</v>
      </c>
    </row>
    <row r="6" spans="1:27" x14ac:dyDescent="0.35">
      <c r="A6" t="s">
        <v>46</v>
      </c>
      <c r="B6" t="s">
        <v>494</v>
      </c>
      <c r="C6">
        <v>-71.972581000000005</v>
      </c>
      <c r="D6">
        <v>41.051594999999999</v>
      </c>
      <c r="E6">
        <v>2016</v>
      </c>
      <c r="F6" t="s">
        <v>47</v>
      </c>
      <c r="G6" t="s">
        <v>48</v>
      </c>
      <c r="H6" t="s">
        <v>49</v>
      </c>
      <c r="I6">
        <v>10</v>
      </c>
      <c r="J6">
        <v>10</v>
      </c>
      <c r="K6" t="s">
        <v>57</v>
      </c>
      <c r="L6" t="s">
        <v>51</v>
      </c>
      <c r="M6" t="s">
        <v>58</v>
      </c>
      <c r="N6">
        <v>4</v>
      </c>
      <c r="O6" t="s">
        <v>41</v>
      </c>
      <c r="P6">
        <v>1.4</v>
      </c>
      <c r="Q6" t="s">
        <v>42</v>
      </c>
      <c r="R6">
        <v>0.67</v>
      </c>
      <c r="S6">
        <v>0.67</v>
      </c>
      <c r="T6">
        <v>0.19</v>
      </c>
      <c r="U6" t="s">
        <v>42</v>
      </c>
      <c r="V6">
        <v>0.13</v>
      </c>
      <c r="W6">
        <v>0.13</v>
      </c>
      <c r="X6" t="s">
        <v>43</v>
      </c>
      <c r="Y6" t="s">
        <v>53</v>
      </c>
      <c r="Z6" t="s">
        <v>33</v>
      </c>
      <c r="AA6" t="s">
        <v>54</v>
      </c>
    </row>
    <row r="7" spans="1:27" x14ac:dyDescent="0.35">
      <c r="A7" t="s">
        <v>46</v>
      </c>
      <c r="B7" t="s">
        <v>494</v>
      </c>
      <c r="C7">
        <v>-71.972581000000005</v>
      </c>
      <c r="D7">
        <v>41.051594999999999</v>
      </c>
      <c r="E7">
        <v>2016</v>
      </c>
      <c r="F7" t="s">
        <v>59</v>
      </c>
      <c r="G7" t="s">
        <v>60</v>
      </c>
      <c r="H7" t="s">
        <v>61</v>
      </c>
      <c r="I7">
        <v>10</v>
      </c>
      <c r="J7">
        <v>10</v>
      </c>
      <c r="K7" t="s">
        <v>50</v>
      </c>
      <c r="L7" t="s">
        <v>51</v>
      </c>
      <c r="M7" t="s">
        <v>52</v>
      </c>
      <c r="N7">
        <v>4</v>
      </c>
      <c r="O7" t="s">
        <v>41</v>
      </c>
      <c r="P7">
        <v>13</v>
      </c>
      <c r="Q7" t="s">
        <v>42</v>
      </c>
      <c r="R7">
        <v>1</v>
      </c>
      <c r="S7">
        <v>1</v>
      </c>
      <c r="T7">
        <v>9.4</v>
      </c>
      <c r="U7" t="s">
        <v>42</v>
      </c>
      <c r="V7">
        <v>1.95</v>
      </c>
      <c r="W7">
        <v>1.95</v>
      </c>
      <c r="X7" t="s">
        <v>43</v>
      </c>
      <c r="Y7" t="s">
        <v>53</v>
      </c>
      <c r="Z7" t="s">
        <v>33</v>
      </c>
      <c r="AA7" t="s">
        <v>54</v>
      </c>
    </row>
    <row r="8" spans="1:27" x14ac:dyDescent="0.35">
      <c r="A8" t="s">
        <v>46</v>
      </c>
      <c r="B8" t="s">
        <v>494</v>
      </c>
      <c r="C8">
        <v>-71.972581000000005</v>
      </c>
      <c r="D8">
        <v>41.051594999999999</v>
      </c>
      <c r="E8">
        <v>2016</v>
      </c>
      <c r="F8" t="s">
        <v>59</v>
      </c>
      <c r="G8" t="s">
        <v>60</v>
      </c>
      <c r="H8" t="s">
        <v>61</v>
      </c>
      <c r="I8">
        <v>10</v>
      </c>
      <c r="J8">
        <v>10</v>
      </c>
      <c r="K8" t="s">
        <v>55</v>
      </c>
      <c r="L8" t="s">
        <v>51</v>
      </c>
      <c r="M8" t="s">
        <v>56</v>
      </c>
      <c r="N8">
        <v>4</v>
      </c>
      <c r="O8" t="s">
        <v>41</v>
      </c>
      <c r="P8">
        <v>13</v>
      </c>
      <c r="Q8" t="s">
        <v>42</v>
      </c>
      <c r="R8">
        <v>1</v>
      </c>
      <c r="S8">
        <v>1</v>
      </c>
      <c r="T8">
        <v>7.4</v>
      </c>
      <c r="U8" t="s">
        <v>42</v>
      </c>
      <c r="V8">
        <v>1.1200000000000001</v>
      </c>
      <c r="W8">
        <v>1.1200000000000001</v>
      </c>
      <c r="X8" t="s">
        <v>43</v>
      </c>
      <c r="Y8" t="s">
        <v>53</v>
      </c>
      <c r="Z8" t="s">
        <v>33</v>
      </c>
      <c r="AA8" t="s">
        <v>54</v>
      </c>
    </row>
    <row r="9" spans="1:27" x14ac:dyDescent="0.35">
      <c r="A9" t="s">
        <v>46</v>
      </c>
      <c r="B9" t="s">
        <v>494</v>
      </c>
      <c r="C9">
        <v>-71.972581000000005</v>
      </c>
      <c r="D9">
        <v>41.051594999999999</v>
      </c>
      <c r="E9">
        <v>2016</v>
      </c>
      <c r="F9" t="s">
        <v>59</v>
      </c>
      <c r="G9" t="s">
        <v>60</v>
      </c>
      <c r="H9" t="s">
        <v>61</v>
      </c>
      <c r="I9">
        <v>10</v>
      </c>
      <c r="J9">
        <v>10</v>
      </c>
      <c r="K9" t="s">
        <v>57</v>
      </c>
      <c r="L9" t="s">
        <v>51</v>
      </c>
      <c r="M9" t="s">
        <v>58</v>
      </c>
      <c r="N9">
        <v>4</v>
      </c>
      <c r="O9" t="s">
        <v>41</v>
      </c>
      <c r="P9">
        <v>13</v>
      </c>
      <c r="Q9" t="s">
        <v>42</v>
      </c>
      <c r="R9">
        <v>1</v>
      </c>
      <c r="S9">
        <v>1</v>
      </c>
      <c r="T9">
        <v>6.3</v>
      </c>
      <c r="U9" t="s">
        <v>42</v>
      </c>
      <c r="V9">
        <v>0.89</v>
      </c>
      <c r="W9">
        <v>0.89</v>
      </c>
      <c r="X9" t="s">
        <v>43</v>
      </c>
      <c r="Y9" t="s">
        <v>53</v>
      </c>
      <c r="Z9" t="s">
        <v>33</v>
      </c>
      <c r="AA9" t="s">
        <v>54</v>
      </c>
    </row>
    <row r="10" spans="1:27" x14ac:dyDescent="0.35">
      <c r="A10" t="s">
        <v>46</v>
      </c>
      <c r="B10" t="s">
        <v>494</v>
      </c>
      <c r="C10">
        <v>-71.972581000000005</v>
      </c>
      <c r="D10">
        <v>41.051594999999999</v>
      </c>
      <c r="E10">
        <v>2016</v>
      </c>
      <c r="F10" t="s">
        <v>62</v>
      </c>
      <c r="G10" t="s">
        <v>63</v>
      </c>
      <c r="H10" t="s">
        <v>64</v>
      </c>
      <c r="I10">
        <v>10</v>
      </c>
      <c r="J10">
        <v>10</v>
      </c>
      <c r="K10" t="s">
        <v>50</v>
      </c>
      <c r="L10" t="s">
        <v>51</v>
      </c>
      <c r="M10" t="s">
        <v>52</v>
      </c>
      <c r="N10">
        <v>4</v>
      </c>
      <c r="O10" t="s">
        <v>41</v>
      </c>
      <c r="P10">
        <v>8.5</v>
      </c>
      <c r="Q10" t="s">
        <v>42</v>
      </c>
      <c r="R10">
        <v>0.4</v>
      </c>
      <c r="S10">
        <v>0.4</v>
      </c>
      <c r="T10">
        <v>8.1</v>
      </c>
      <c r="U10" t="s">
        <v>42</v>
      </c>
      <c r="V10">
        <v>0.56999999999999995</v>
      </c>
      <c r="W10">
        <v>0.56999999999999995</v>
      </c>
      <c r="X10" t="s">
        <v>43</v>
      </c>
      <c r="Y10" t="s">
        <v>53</v>
      </c>
      <c r="Z10" t="s">
        <v>33</v>
      </c>
      <c r="AA10" t="s">
        <v>54</v>
      </c>
    </row>
    <row r="11" spans="1:27" x14ac:dyDescent="0.35">
      <c r="A11" t="s">
        <v>46</v>
      </c>
      <c r="B11" t="s">
        <v>494</v>
      </c>
      <c r="C11">
        <v>-71.972581000000005</v>
      </c>
      <c r="D11">
        <v>41.051594999999999</v>
      </c>
      <c r="E11">
        <v>2016</v>
      </c>
      <c r="F11" t="s">
        <v>62</v>
      </c>
      <c r="G11" t="s">
        <v>63</v>
      </c>
      <c r="H11" t="s">
        <v>64</v>
      </c>
      <c r="I11">
        <v>10</v>
      </c>
      <c r="J11">
        <v>10</v>
      </c>
      <c r="K11" t="s">
        <v>55</v>
      </c>
      <c r="L11" t="s">
        <v>51</v>
      </c>
      <c r="M11" t="s">
        <v>56</v>
      </c>
      <c r="N11">
        <v>4</v>
      </c>
      <c r="O11" t="s">
        <v>41</v>
      </c>
      <c r="P11">
        <v>8.5</v>
      </c>
      <c r="Q11" t="s">
        <v>42</v>
      </c>
      <c r="R11">
        <v>0.4</v>
      </c>
      <c r="S11">
        <v>0.4</v>
      </c>
      <c r="T11">
        <v>8.6</v>
      </c>
      <c r="U11" t="s">
        <v>42</v>
      </c>
      <c r="V11">
        <v>0.65</v>
      </c>
      <c r="W11">
        <v>0.65</v>
      </c>
      <c r="X11" t="s">
        <v>43</v>
      </c>
      <c r="Y11" t="s">
        <v>53</v>
      </c>
      <c r="Z11" t="s">
        <v>33</v>
      </c>
      <c r="AA11" t="s">
        <v>54</v>
      </c>
    </row>
    <row r="12" spans="1:27" x14ac:dyDescent="0.35">
      <c r="A12" t="s">
        <v>46</v>
      </c>
      <c r="B12" t="s">
        <v>494</v>
      </c>
      <c r="C12">
        <v>-71.972581000000005</v>
      </c>
      <c r="D12">
        <v>41.051594999999999</v>
      </c>
      <c r="E12">
        <v>2016</v>
      </c>
      <c r="F12" t="s">
        <v>62</v>
      </c>
      <c r="G12" t="s">
        <v>63</v>
      </c>
      <c r="H12" t="s">
        <v>64</v>
      </c>
      <c r="I12">
        <v>10</v>
      </c>
      <c r="J12">
        <v>10</v>
      </c>
      <c r="K12" t="s">
        <v>57</v>
      </c>
      <c r="L12" t="s">
        <v>51</v>
      </c>
      <c r="M12" t="s">
        <v>58</v>
      </c>
      <c r="N12">
        <v>4</v>
      </c>
      <c r="O12" t="s">
        <v>41</v>
      </c>
      <c r="P12">
        <v>8.5</v>
      </c>
      <c r="Q12" t="s">
        <v>42</v>
      </c>
      <c r="R12">
        <v>0.4</v>
      </c>
      <c r="S12">
        <v>0.4</v>
      </c>
      <c r="T12">
        <v>7.5</v>
      </c>
      <c r="U12" t="s">
        <v>42</v>
      </c>
      <c r="V12">
        <v>0.39</v>
      </c>
      <c r="W12">
        <v>0.39</v>
      </c>
      <c r="X12" t="s">
        <v>43</v>
      </c>
      <c r="Y12" t="s">
        <v>53</v>
      </c>
      <c r="Z12" t="s">
        <v>33</v>
      </c>
      <c r="AA12" t="s">
        <v>54</v>
      </c>
    </row>
    <row r="13" spans="1:27" hidden="1" x14ac:dyDescent="0.35">
      <c r="A13" t="s">
        <v>65</v>
      </c>
      <c r="C13">
        <v>-77.405721999999997</v>
      </c>
      <c r="D13">
        <v>34.714512999999997</v>
      </c>
      <c r="E13">
        <v>2012</v>
      </c>
      <c r="F13" t="s">
        <v>47</v>
      </c>
      <c r="G13" t="s">
        <v>48</v>
      </c>
      <c r="H13" t="s">
        <v>49</v>
      </c>
      <c r="I13">
        <v>50</v>
      </c>
      <c r="J13">
        <v>50</v>
      </c>
      <c r="K13" t="s">
        <v>55</v>
      </c>
      <c r="L13" t="s">
        <v>66</v>
      </c>
      <c r="M13" t="s">
        <v>67</v>
      </c>
      <c r="O13" t="s">
        <v>68</v>
      </c>
      <c r="P13">
        <v>5.5</v>
      </c>
      <c r="Q13" t="s">
        <v>69</v>
      </c>
      <c r="R13">
        <v>0.37</v>
      </c>
      <c r="T13">
        <v>3.6</v>
      </c>
      <c r="U13" t="s">
        <v>69</v>
      </c>
      <c r="V13">
        <v>0.39</v>
      </c>
      <c r="X13" t="s">
        <v>31</v>
      </c>
      <c r="Y13" t="s">
        <v>70</v>
      </c>
      <c r="Z13" t="s">
        <v>71</v>
      </c>
      <c r="AA13" t="s">
        <v>72</v>
      </c>
    </row>
    <row r="14" spans="1:27" hidden="1" x14ac:dyDescent="0.35">
      <c r="A14" t="s">
        <v>65</v>
      </c>
      <c r="C14">
        <v>-77.405721999999997</v>
      </c>
      <c r="D14">
        <v>34.714512999999997</v>
      </c>
      <c r="E14">
        <v>2012</v>
      </c>
      <c r="F14" t="s">
        <v>47</v>
      </c>
      <c r="G14" t="s">
        <v>48</v>
      </c>
      <c r="H14" t="s">
        <v>49</v>
      </c>
      <c r="I14">
        <v>50</v>
      </c>
      <c r="J14">
        <v>50</v>
      </c>
      <c r="K14" t="s">
        <v>55</v>
      </c>
      <c r="L14" t="s">
        <v>73</v>
      </c>
      <c r="M14" t="s">
        <v>74</v>
      </c>
      <c r="O14" t="s">
        <v>68</v>
      </c>
      <c r="P14">
        <v>5.5</v>
      </c>
      <c r="Q14" t="s">
        <v>69</v>
      </c>
      <c r="R14">
        <v>0.37</v>
      </c>
      <c r="T14">
        <v>3.6</v>
      </c>
      <c r="U14" t="s">
        <v>69</v>
      </c>
      <c r="V14">
        <v>0.28999999999999998</v>
      </c>
      <c r="X14" t="s">
        <v>31</v>
      </c>
      <c r="Y14" t="s">
        <v>70</v>
      </c>
      <c r="Z14" t="s">
        <v>71</v>
      </c>
      <c r="AA14" t="s">
        <v>72</v>
      </c>
    </row>
    <row r="15" spans="1:27" hidden="1" x14ac:dyDescent="0.35">
      <c r="A15" t="s">
        <v>65</v>
      </c>
      <c r="C15">
        <v>-77.405721999999997</v>
      </c>
      <c r="D15">
        <v>34.714512999999997</v>
      </c>
      <c r="E15">
        <v>2012</v>
      </c>
      <c r="F15" t="s">
        <v>47</v>
      </c>
      <c r="G15" t="s">
        <v>48</v>
      </c>
      <c r="H15" t="s">
        <v>49</v>
      </c>
      <c r="I15">
        <v>50</v>
      </c>
      <c r="J15">
        <v>50</v>
      </c>
      <c r="K15" t="s">
        <v>75</v>
      </c>
      <c r="L15" t="s">
        <v>73</v>
      </c>
      <c r="M15" t="s">
        <v>76</v>
      </c>
      <c r="O15" t="s">
        <v>68</v>
      </c>
      <c r="P15">
        <v>5.5</v>
      </c>
      <c r="Q15" t="s">
        <v>69</v>
      </c>
      <c r="R15">
        <v>0.37</v>
      </c>
      <c r="T15">
        <v>3.3</v>
      </c>
      <c r="U15" t="s">
        <v>69</v>
      </c>
      <c r="V15">
        <v>0.24</v>
      </c>
      <c r="X15" t="s">
        <v>31</v>
      </c>
      <c r="Y15" t="s">
        <v>70</v>
      </c>
      <c r="Z15" t="s">
        <v>71</v>
      </c>
      <c r="AA15" t="s">
        <v>72</v>
      </c>
    </row>
    <row r="16" spans="1:27" hidden="1" x14ac:dyDescent="0.35">
      <c r="A16" t="s">
        <v>77</v>
      </c>
      <c r="C16">
        <v>-77.423766000000001</v>
      </c>
      <c r="D16">
        <v>34.523521000000002</v>
      </c>
      <c r="E16">
        <v>2013</v>
      </c>
      <c r="F16" t="s">
        <v>62</v>
      </c>
      <c r="G16" t="s">
        <v>63</v>
      </c>
      <c r="H16" t="s">
        <v>64</v>
      </c>
      <c r="I16">
        <v>10</v>
      </c>
      <c r="J16">
        <v>10</v>
      </c>
      <c r="K16" t="s">
        <v>55</v>
      </c>
      <c r="L16" t="s">
        <v>78</v>
      </c>
      <c r="M16" t="s">
        <v>79</v>
      </c>
      <c r="N16">
        <v>10</v>
      </c>
      <c r="O16" t="s">
        <v>80</v>
      </c>
      <c r="P16">
        <v>2.9</v>
      </c>
      <c r="Q16" t="s">
        <v>81</v>
      </c>
      <c r="R16">
        <v>0.19</v>
      </c>
      <c r="T16">
        <v>3.87</v>
      </c>
      <c r="U16" t="s">
        <v>81</v>
      </c>
      <c r="V16">
        <v>0.1</v>
      </c>
      <c r="X16" t="s">
        <v>31</v>
      </c>
      <c r="Y16" t="s">
        <v>82</v>
      </c>
      <c r="Z16" t="s">
        <v>83</v>
      </c>
      <c r="AA16" t="s">
        <v>72</v>
      </c>
    </row>
    <row r="17" spans="1:27" hidden="1" x14ac:dyDescent="0.35">
      <c r="A17" t="s">
        <v>77</v>
      </c>
      <c r="C17">
        <v>-77.423766000000001</v>
      </c>
      <c r="D17">
        <v>34.523521000000002</v>
      </c>
      <c r="E17">
        <v>2013</v>
      </c>
      <c r="F17" t="s">
        <v>62</v>
      </c>
      <c r="G17" t="s">
        <v>63</v>
      </c>
      <c r="H17" t="s">
        <v>64</v>
      </c>
      <c r="I17">
        <v>10</v>
      </c>
      <c r="J17">
        <v>10</v>
      </c>
      <c r="K17" t="s">
        <v>84</v>
      </c>
      <c r="L17" t="s">
        <v>78</v>
      </c>
      <c r="M17" t="s">
        <v>85</v>
      </c>
      <c r="N17">
        <v>10</v>
      </c>
      <c r="O17" t="s">
        <v>80</v>
      </c>
      <c r="P17">
        <v>2.9</v>
      </c>
      <c r="Q17" t="s">
        <v>81</v>
      </c>
      <c r="R17">
        <v>0.19</v>
      </c>
      <c r="T17">
        <v>3.2</v>
      </c>
      <c r="U17" t="s">
        <v>81</v>
      </c>
      <c r="V17">
        <v>0.13</v>
      </c>
      <c r="X17" t="s">
        <v>31</v>
      </c>
      <c r="Y17" t="s">
        <v>82</v>
      </c>
      <c r="Z17" t="s">
        <v>83</v>
      </c>
      <c r="AA17" t="s">
        <v>86</v>
      </c>
    </row>
    <row r="18" spans="1:27" hidden="1" x14ac:dyDescent="0.35">
      <c r="A18" t="s">
        <v>77</v>
      </c>
      <c r="C18">
        <v>-77.423766000000001</v>
      </c>
      <c r="D18">
        <v>34.523521000000002</v>
      </c>
      <c r="E18">
        <v>2013</v>
      </c>
      <c r="F18" t="s">
        <v>62</v>
      </c>
      <c r="G18" t="s">
        <v>63</v>
      </c>
      <c r="H18" t="s">
        <v>64</v>
      </c>
      <c r="I18">
        <v>10</v>
      </c>
      <c r="J18">
        <v>10</v>
      </c>
      <c r="K18" t="s">
        <v>75</v>
      </c>
      <c r="L18" t="s">
        <v>78</v>
      </c>
      <c r="M18" t="s">
        <v>87</v>
      </c>
      <c r="N18">
        <v>10</v>
      </c>
      <c r="O18" t="s">
        <v>80</v>
      </c>
      <c r="P18">
        <v>2.9</v>
      </c>
      <c r="Q18" t="s">
        <v>81</v>
      </c>
      <c r="R18">
        <v>0.19</v>
      </c>
      <c r="T18">
        <v>2.64</v>
      </c>
      <c r="U18" t="s">
        <v>81</v>
      </c>
      <c r="V18">
        <v>0.16</v>
      </c>
      <c r="X18" t="s">
        <v>31</v>
      </c>
      <c r="Y18" t="s">
        <v>82</v>
      </c>
      <c r="Z18" t="s">
        <v>83</v>
      </c>
      <c r="AA18" t="s">
        <v>72</v>
      </c>
    </row>
    <row r="19" spans="1:27" hidden="1" x14ac:dyDescent="0.35">
      <c r="A19" t="s">
        <v>88</v>
      </c>
      <c r="C19">
        <v>-72.631501999999998</v>
      </c>
      <c r="D19">
        <v>40.918072000000002</v>
      </c>
      <c r="E19">
        <v>2014</v>
      </c>
      <c r="F19" t="s">
        <v>59</v>
      </c>
      <c r="G19" t="s">
        <v>89</v>
      </c>
      <c r="H19" t="s">
        <v>61</v>
      </c>
      <c r="I19">
        <v>60</v>
      </c>
      <c r="J19">
        <v>60</v>
      </c>
      <c r="K19" t="s">
        <v>50</v>
      </c>
      <c r="L19" t="s">
        <v>90</v>
      </c>
      <c r="M19" t="s">
        <v>91</v>
      </c>
      <c r="N19">
        <v>4</v>
      </c>
      <c r="O19" t="s">
        <v>92</v>
      </c>
      <c r="P19">
        <v>1129</v>
      </c>
      <c r="Q19" t="s">
        <v>42</v>
      </c>
      <c r="R19">
        <v>61.7</v>
      </c>
      <c r="T19">
        <v>441.1</v>
      </c>
      <c r="U19" t="s">
        <v>42</v>
      </c>
      <c r="V19">
        <v>34</v>
      </c>
      <c r="X19" t="s">
        <v>31</v>
      </c>
      <c r="Y19" t="s">
        <v>93</v>
      </c>
      <c r="Z19" t="s">
        <v>33</v>
      </c>
      <c r="AA19" t="s">
        <v>94</v>
      </c>
    </row>
    <row r="20" spans="1:27" hidden="1" x14ac:dyDescent="0.35">
      <c r="A20" t="s">
        <v>88</v>
      </c>
      <c r="C20">
        <v>-72.631501999999998</v>
      </c>
      <c r="D20">
        <v>40.918072000000002</v>
      </c>
      <c r="E20">
        <v>2014</v>
      </c>
      <c r="F20" t="s">
        <v>59</v>
      </c>
      <c r="G20" t="s">
        <v>89</v>
      </c>
      <c r="H20" t="s">
        <v>61</v>
      </c>
      <c r="I20">
        <v>60</v>
      </c>
      <c r="J20">
        <v>60</v>
      </c>
      <c r="K20" t="s">
        <v>55</v>
      </c>
      <c r="L20" t="s">
        <v>90</v>
      </c>
      <c r="M20" t="s">
        <v>95</v>
      </c>
      <c r="N20">
        <v>4</v>
      </c>
      <c r="O20" t="s">
        <v>92</v>
      </c>
      <c r="P20">
        <v>1129</v>
      </c>
      <c r="Q20" t="s">
        <v>42</v>
      </c>
      <c r="R20">
        <v>61.7</v>
      </c>
      <c r="T20">
        <v>996.4</v>
      </c>
      <c r="U20" t="s">
        <v>42</v>
      </c>
      <c r="V20">
        <v>37</v>
      </c>
      <c r="X20" t="s">
        <v>31</v>
      </c>
      <c r="Y20" t="s">
        <v>93</v>
      </c>
      <c r="Z20" t="s">
        <v>33</v>
      </c>
      <c r="AA20" t="s">
        <v>94</v>
      </c>
    </row>
    <row r="21" spans="1:27" hidden="1" x14ac:dyDescent="0.35">
      <c r="A21" t="s">
        <v>88</v>
      </c>
      <c r="C21">
        <v>-72.631501999999998</v>
      </c>
      <c r="D21">
        <v>40.918072000000002</v>
      </c>
      <c r="E21">
        <v>2014</v>
      </c>
      <c r="F21" t="s">
        <v>59</v>
      </c>
      <c r="G21" t="s">
        <v>89</v>
      </c>
      <c r="H21" t="s">
        <v>61</v>
      </c>
      <c r="I21">
        <v>60</v>
      </c>
      <c r="J21">
        <v>60</v>
      </c>
      <c r="K21" t="s">
        <v>57</v>
      </c>
      <c r="L21" t="s">
        <v>90</v>
      </c>
      <c r="M21" t="s">
        <v>96</v>
      </c>
      <c r="N21">
        <v>4</v>
      </c>
      <c r="O21" t="s">
        <v>92</v>
      </c>
      <c r="P21">
        <v>1129</v>
      </c>
      <c r="Q21" t="s">
        <v>42</v>
      </c>
      <c r="R21">
        <v>61.7</v>
      </c>
      <c r="T21">
        <v>447.3</v>
      </c>
      <c r="U21" t="s">
        <v>42</v>
      </c>
      <c r="V21">
        <v>33.9</v>
      </c>
      <c r="X21" t="s">
        <v>31</v>
      </c>
      <c r="Y21" t="s">
        <v>93</v>
      </c>
      <c r="Z21" t="s">
        <v>33</v>
      </c>
      <c r="AA21" t="s">
        <v>94</v>
      </c>
    </row>
    <row r="22" spans="1:27" hidden="1" x14ac:dyDescent="0.35">
      <c r="A22" t="s">
        <v>88</v>
      </c>
      <c r="C22">
        <v>-72.631501999999998</v>
      </c>
      <c r="D22">
        <v>40.918072000000002</v>
      </c>
      <c r="E22">
        <v>2014</v>
      </c>
      <c r="F22" t="s">
        <v>62</v>
      </c>
      <c r="G22" t="s">
        <v>97</v>
      </c>
      <c r="H22" t="s">
        <v>64</v>
      </c>
      <c r="I22">
        <v>60</v>
      </c>
      <c r="J22">
        <v>60</v>
      </c>
      <c r="K22" t="s">
        <v>50</v>
      </c>
      <c r="L22" t="s">
        <v>98</v>
      </c>
      <c r="M22" t="s">
        <v>99</v>
      </c>
      <c r="N22">
        <v>4</v>
      </c>
      <c r="O22" t="s">
        <v>100</v>
      </c>
      <c r="P22">
        <v>11.7</v>
      </c>
      <c r="Q22" t="s">
        <v>42</v>
      </c>
      <c r="R22">
        <v>0.6</v>
      </c>
      <c r="T22">
        <v>12</v>
      </c>
      <c r="U22" t="s">
        <v>42</v>
      </c>
      <c r="V22">
        <v>1.8</v>
      </c>
      <c r="X22" t="s">
        <v>31</v>
      </c>
      <c r="Y22" t="s">
        <v>93</v>
      </c>
      <c r="Z22" t="s">
        <v>33</v>
      </c>
      <c r="AA22" t="s">
        <v>94</v>
      </c>
    </row>
    <row r="23" spans="1:27" hidden="1" x14ac:dyDescent="0.35">
      <c r="A23" t="s">
        <v>88</v>
      </c>
      <c r="C23">
        <v>-72.631501999999998</v>
      </c>
      <c r="D23">
        <v>40.918072000000002</v>
      </c>
      <c r="E23">
        <v>2014</v>
      </c>
      <c r="F23" t="s">
        <v>62</v>
      </c>
      <c r="G23" t="s">
        <v>97</v>
      </c>
      <c r="H23" t="s">
        <v>64</v>
      </c>
      <c r="I23">
        <v>60</v>
      </c>
      <c r="J23">
        <v>60</v>
      </c>
      <c r="K23" t="s">
        <v>55</v>
      </c>
      <c r="L23" t="s">
        <v>98</v>
      </c>
      <c r="M23" t="s">
        <v>101</v>
      </c>
      <c r="N23">
        <v>4</v>
      </c>
      <c r="O23" t="s">
        <v>100</v>
      </c>
      <c r="P23">
        <v>11.7</v>
      </c>
      <c r="Q23" t="s">
        <v>42</v>
      </c>
      <c r="R23">
        <v>0.6</v>
      </c>
      <c r="T23">
        <v>12.6</v>
      </c>
      <c r="U23" t="s">
        <v>42</v>
      </c>
      <c r="V23">
        <v>1.5</v>
      </c>
      <c r="X23" t="s">
        <v>31</v>
      </c>
      <c r="Y23" t="s">
        <v>93</v>
      </c>
      <c r="Z23" t="s">
        <v>33</v>
      </c>
      <c r="AA23" t="s">
        <v>94</v>
      </c>
    </row>
    <row r="24" spans="1:27" hidden="1" x14ac:dyDescent="0.35">
      <c r="A24" t="s">
        <v>88</v>
      </c>
      <c r="C24">
        <v>-72.631501999999998</v>
      </c>
      <c r="D24">
        <v>40.918072000000002</v>
      </c>
      <c r="E24">
        <v>2014</v>
      </c>
      <c r="F24" t="s">
        <v>62</v>
      </c>
      <c r="G24" t="s">
        <v>97</v>
      </c>
      <c r="H24" t="s">
        <v>64</v>
      </c>
      <c r="I24">
        <v>60</v>
      </c>
      <c r="J24">
        <v>60</v>
      </c>
      <c r="K24" t="s">
        <v>57</v>
      </c>
      <c r="L24" t="s">
        <v>98</v>
      </c>
      <c r="M24" t="s">
        <v>102</v>
      </c>
      <c r="N24">
        <v>4</v>
      </c>
      <c r="O24" t="s">
        <v>100</v>
      </c>
      <c r="P24">
        <v>11.7</v>
      </c>
      <c r="Q24" t="s">
        <v>42</v>
      </c>
      <c r="R24">
        <v>0.6</v>
      </c>
      <c r="T24">
        <v>7.3</v>
      </c>
      <c r="U24" t="s">
        <v>42</v>
      </c>
      <c r="V24">
        <v>1.5</v>
      </c>
      <c r="X24" t="s">
        <v>31</v>
      </c>
      <c r="Y24" t="s">
        <v>93</v>
      </c>
      <c r="Z24" t="s">
        <v>33</v>
      </c>
      <c r="AA24" t="s">
        <v>94</v>
      </c>
    </row>
    <row r="25" spans="1:27" x14ac:dyDescent="0.35">
      <c r="A25" t="s">
        <v>103</v>
      </c>
      <c r="B25" t="s">
        <v>494</v>
      </c>
      <c r="C25">
        <v>117.503354</v>
      </c>
      <c r="D25">
        <v>23.812498000000001</v>
      </c>
      <c r="E25">
        <v>2016</v>
      </c>
      <c r="F25" t="s">
        <v>104</v>
      </c>
      <c r="G25" t="s">
        <v>105</v>
      </c>
      <c r="H25" t="s">
        <v>64</v>
      </c>
      <c r="I25">
        <v>200</v>
      </c>
      <c r="J25">
        <v>200</v>
      </c>
      <c r="K25" t="s">
        <v>55</v>
      </c>
      <c r="L25" t="s">
        <v>106</v>
      </c>
      <c r="M25" t="s">
        <v>107</v>
      </c>
      <c r="N25">
        <v>3</v>
      </c>
      <c r="O25" t="s">
        <v>108</v>
      </c>
      <c r="P25">
        <v>205.4</v>
      </c>
      <c r="Q25" t="s">
        <v>42</v>
      </c>
      <c r="R25">
        <v>5.8</v>
      </c>
      <c r="S25">
        <v>5.8</v>
      </c>
      <c r="T25">
        <v>249</v>
      </c>
      <c r="U25" t="s">
        <v>42</v>
      </c>
      <c r="V25">
        <v>3.3</v>
      </c>
      <c r="W25">
        <v>3.3</v>
      </c>
      <c r="X25" t="s">
        <v>43</v>
      </c>
      <c r="Y25" t="s">
        <v>109</v>
      </c>
      <c r="Z25" t="s">
        <v>33</v>
      </c>
      <c r="AA25" t="s">
        <v>72</v>
      </c>
    </row>
    <row r="26" spans="1:27" x14ac:dyDescent="0.35">
      <c r="A26" t="s">
        <v>110</v>
      </c>
      <c r="B26" t="s">
        <v>494</v>
      </c>
      <c r="C26">
        <v>122.70409100000001</v>
      </c>
      <c r="D26">
        <v>11.589452</v>
      </c>
      <c r="E26">
        <v>2020</v>
      </c>
      <c r="F26" t="s">
        <v>111</v>
      </c>
      <c r="G26" t="s">
        <v>112</v>
      </c>
      <c r="H26" t="s">
        <v>113</v>
      </c>
      <c r="I26">
        <v>45</v>
      </c>
      <c r="J26">
        <v>45</v>
      </c>
      <c r="K26" t="s">
        <v>84</v>
      </c>
      <c r="L26">
        <v>30</v>
      </c>
      <c r="M26">
        <v>33</v>
      </c>
      <c r="N26">
        <v>3</v>
      </c>
      <c r="O26" t="s">
        <v>114</v>
      </c>
      <c r="P26">
        <v>245</v>
      </c>
      <c r="Q26" t="s">
        <v>115</v>
      </c>
      <c r="R26">
        <v>5</v>
      </c>
      <c r="S26">
        <v>5</v>
      </c>
      <c r="T26">
        <v>229</v>
      </c>
      <c r="U26" t="s">
        <v>115</v>
      </c>
      <c r="V26">
        <v>5</v>
      </c>
      <c r="W26">
        <v>5</v>
      </c>
      <c r="X26" t="s">
        <v>43</v>
      </c>
      <c r="Y26" t="s">
        <v>116</v>
      </c>
      <c r="Z26" t="s">
        <v>33</v>
      </c>
      <c r="AA26" t="s">
        <v>34</v>
      </c>
    </row>
    <row r="27" spans="1:27" x14ac:dyDescent="0.35">
      <c r="A27" t="s">
        <v>110</v>
      </c>
      <c r="B27" t="s">
        <v>494</v>
      </c>
      <c r="C27">
        <v>122.70409100000001</v>
      </c>
      <c r="D27">
        <v>11.589452</v>
      </c>
      <c r="E27">
        <v>2020</v>
      </c>
      <c r="F27" t="s">
        <v>111</v>
      </c>
      <c r="G27" t="s">
        <v>112</v>
      </c>
      <c r="H27" t="s">
        <v>113</v>
      </c>
      <c r="I27">
        <v>45</v>
      </c>
      <c r="J27">
        <v>45</v>
      </c>
      <c r="K27" t="s">
        <v>84</v>
      </c>
      <c r="L27">
        <v>30</v>
      </c>
      <c r="M27">
        <v>33</v>
      </c>
      <c r="N27">
        <v>3</v>
      </c>
      <c r="O27" t="s">
        <v>117</v>
      </c>
      <c r="P27">
        <v>225</v>
      </c>
      <c r="Q27" t="s">
        <v>115</v>
      </c>
      <c r="R27">
        <v>1</v>
      </c>
      <c r="S27">
        <v>1</v>
      </c>
      <c r="T27">
        <v>208</v>
      </c>
      <c r="U27" t="s">
        <v>115</v>
      </c>
      <c r="V27">
        <v>4</v>
      </c>
      <c r="W27">
        <v>4</v>
      </c>
      <c r="X27" t="s">
        <v>43</v>
      </c>
      <c r="Y27" t="s">
        <v>116</v>
      </c>
      <c r="Z27" t="s">
        <v>33</v>
      </c>
      <c r="AA27" t="s">
        <v>118</v>
      </c>
    </row>
    <row r="28" spans="1:27" hidden="1" x14ac:dyDescent="0.35">
      <c r="A28" t="s">
        <v>119</v>
      </c>
      <c r="C28">
        <v>10.174113</v>
      </c>
      <c r="D28">
        <v>54.379432999999999</v>
      </c>
      <c r="E28">
        <v>2012</v>
      </c>
      <c r="F28" t="s">
        <v>120</v>
      </c>
      <c r="G28" t="s">
        <v>121</v>
      </c>
      <c r="H28" t="s">
        <v>122</v>
      </c>
      <c r="I28">
        <v>28</v>
      </c>
      <c r="J28">
        <v>28</v>
      </c>
      <c r="K28" t="s">
        <v>84</v>
      </c>
      <c r="L28" t="s">
        <v>123</v>
      </c>
      <c r="M28" t="s">
        <v>124</v>
      </c>
      <c r="N28">
        <v>4</v>
      </c>
      <c r="O28" t="s">
        <v>125</v>
      </c>
      <c r="P28">
        <v>0.02</v>
      </c>
      <c r="Q28" t="s">
        <v>126</v>
      </c>
      <c r="R28">
        <v>0</v>
      </c>
      <c r="T28">
        <v>0.11</v>
      </c>
      <c r="U28" t="s">
        <v>126</v>
      </c>
      <c r="V28">
        <v>7.0000000000000007E-2</v>
      </c>
      <c r="X28" t="s">
        <v>127</v>
      </c>
      <c r="Y28" t="s">
        <v>128</v>
      </c>
      <c r="Z28" t="s">
        <v>33</v>
      </c>
      <c r="AA28" t="s">
        <v>129</v>
      </c>
    </row>
    <row r="29" spans="1:27" hidden="1" x14ac:dyDescent="0.35">
      <c r="A29" t="s">
        <v>119</v>
      </c>
      <c r="C29">
        <v>10.174113</v>
      </c>
      <c r="D29">
        <v>54.379432999999999</v>
      </c>
      <c r="E29">
        <v>2012</v>
      </c>
      <c r="F29" t="s">
        <v>120</v>
      </c>
      <c r="G29" t="s">
        <v>121</v>
      </c>
      <c r="H29" t="s">
        <v>122</v>
      </c>
      <c r="I29">
        <v>28</v>
      </c>
      <c r="J29">
        <v>28</v>
      </c>
      <c r="K29" t="s">
        <v>28</v>
      </c>
      <c r="L29" t="s">
        <v>123</v>
      </c>
      <c r="M29" t="s">
        <v>130</v>
      </c>
      <c r="N29">
        <v>4</v>
      </c>
      <c r="O29" t="s">
        <v>125</v>
      </c>
      <c r="P29">
        <v>0.02</v>
      </c>
      <c r="Q29" t="s">
        <v>126</v>
      </c>
      <c r="R29">
        <v>0</v>
      </c>
      <c r="T29">
        <v>0.02</v>
      </c>
      <c r="U29" t="s">
        <v>126</v>
      </c>
      <c r="V29">
        <v>0.01</v>
      </c>
      <c r="X29" t="s">
        <v>127</v>
      </c>
      <c r="Y29" t="s">
        <v>128</v>
      </c>
      <c r="Z29" t="s">
        <v>33</v>
      </c>
      <c r="AA29" t="s">
        <v>129</v>
      </c>
    </row>
    <row r="30" spans="1:27" hidden="1" x14ac:dyDescent="0.35">
      <c r="A30" t="s">
        <v>119</v>
      </c>
      <c r="C30">
        <v>10.174113</v>
      </c>
      <c r="D30">
        <v>54.379432999999999</v>
      </c>
      <c r="E30">
        <v>2012</v>
      </c>
      <c r="F30" t="s">
        <v>120</v>
      </c>
      <c r="G30" t="s">
        <v>121</v>
      </c>
      <c r="H30" t="s">
        <v>122</v>
      </c>
      <c r="I30">
        <v>28</v>
      </c>
      <c r="J30">
        <v>28</v>
      </c>
      <c r="K30" t="s">
        <v>131</v>
      </c>
      <c r="L30" t="s">
        <v>123</v>
      </c>
      <c r="M30" t="s">
        <v>132</v>
      </c>
      <c r="N30">
        <v>4</v>
      </c>
      <c r="O30" t="s">
        <v>125</v>
      </c>
      <c r="P30">
        <v>0.02</v>
      </c>
      <c r="Q30" t="s">
        <v>126</v>
      </c>
      <c r="R30">
        <v>0</v>
      </c>
      <c r="T30">
        <v>0.04</v>
      </c>
      <c r="U30" t="s">
        <v>126</v>
      </c>
      <c r="V30">
        <v>0.02</v>
      </c>
      <c r="X30" t="s">
        <v>127</v>
      </c>
      <c r="Y30" t="s">
        <v>128</v>
      </c>
      <c r="Z30" t="s">
        <v>33</v>
      </c>
      <c r="AA30" t="s">
        <v>129</v>
      </c>
    </row>
    <row r="31" spans="1:27" hidden="1" x14ac:dyDescent="0.35">
      <c r="A31" t="s">
        <v>119</v>
      </c>
      <c r="C31">
        <v>10.174113</v>
      </c>
      <c r="D31">
        <v>54.379432999999999</v>
      </c>
      <c r="E31">
        <v>2012</v>
      </c>
      <c r="F31" t="s">
        <v>133</v>
      </c>
      <c r="G31" t="s">
        <v>134</v>
      </c>
      <c r="H31" t="s">
        <v>113</v>
      </c>
      <c r="I31">
        <v>40</v>
      </c>
      <c r="J31">
        <v>40</v>
      </c>
      <c r="K31" t="s">
        <v>84</v>
      </c>
      <c r="L31" t="s">
        <v>123</v>
      </c>
      <c r="M31" t="s">
        <v>124</v>
      </c>
      <c r="N31">
        <v>4</v>
      </c>
      <c r="O31" t="s">
        <v>125</v>
      </c>
      <c r="P31">
        <v>0.17</v>
      </c>
      <c r="Q31" t="s">
        <v>126</v>
      </c>
      <c r="R31">
        <v>0.02</v>
      </c>
      <c r="T31">
        <v>0.08</v>
      </c>
      <c r="U31" t="s">
        <v>126</v>
      </c>
      <c r="V31">
        <v>0.03</v>
      </c>
      <c r="X31" t="s">
        <v>31</v>
      </c>
      <c r="Y31" t="s">
        <v>128</v>
      </c>
      <c r="Z31" t="s">
        <v>33</v>
      </c>
      <c r="AA31" t="s">
        <v>129</v>
      </c>
    </row>
    <row r="32" spans="1:27" hidden="1" x14ac:dyDescent="0.35">
      <c r="A32" t="s">
        <v>119</v>
      </c>
      <c r="C32">
        <v>10.174113</v>
      </c>
      <c r="D32">
        <v>54.379432999999999</v>
      </c>
      <c r="E32">
        <v>2012</v>
      </c>
      <c r="F32" t="s">
        <v>133</v>
      </c>
      <c r="G32" t="s">
        <v>134</v>
      </c>
      <c r="H32" t="s">
        <v>113</v>
      </c>
      <c r="I32">
        <v>40</v>
      </c>
      <c r="J32">
        <v>40</v>
      </c>
      <c r="K32" t="s">
        <v>28</v>
      </c>
      <c r="L32" t="s">
        <v>135</v>
      </c>
      <c r="M32" t="s">
        <v>136</v>
      </c>
      <c r="N32">
        <v>4</v>
      </c>
      <c r="O32" t="s">
        <v>125</v>
      </c>
      <c r="P32">
        <v>0.77</v>
      </c>
      <c r="Q32" t="s">
        <v>126</v>
      </c>
      <c r="R32">
        <v>1.4999999999999999E-2</v>
      </c>
      <c r="T32">
        <v>1.9E-2</v>
      </c>
      <c r="U32" t="s">
        <v>126</v>
      </c>
      <c r="V32">
        <v>1.4E-2</v>
      </c>
      <c r="X32" t="s">
        <v>31</v>
      </c>
      <c r="Y32" t="s">
        <v>128</v>
      </c>
      <c r="Z32" t="s">
        <v>33</v>
      </c>
      <c r="AA32" t="s">
        <v>129</v>
      </c>
    </row>
    <row r="33" spans="1:28" hidden="1" x14ac:dyDescent="0.35">
      <c r="A33" t="s">
        <v>119</v>
      </c>
      <c r="C33">
        <v>10.174113</v>
      </c>
      <c r="D33">
        <v>54.379432999999999</v>
      </c>
      <c r="E33">
        <v>2012</v>
      </c>
      <c r="F33" t="s">
        <v>133</v>
      </c>
      <c r="G33" t="s">
        <v>134</v>
      </c>
      <c r="H33" t="s">
        <v>113</v>
      </c>
      <c r="I33">
        <v>40</v>
      </c>
      <c r="J33">
        <v>40</v>
      </c>
      <c r="K33" t="s">
        <v>131</v>
      </c>
      <c r="L33" t="s">
        <v>135</v>
      </c>
      <c r="M33" t="s">
        <v>137</v>
      </c>
      <c r="N33">
        <v>4</v>
      </c>
      <c r="O33" t="s">
        <v>125</v>
      </c>
      <c r="P33">
        <v>0.77</v>
      </c>
      <c r="Q33" t="s">
        <v>126</v>
      </c>
      <c r="R33">
        <v>1.4999999999999999E-2</v>
      </c>
      <c r="T33">
        <v>0.112</v>
      </c>
      <c r="U33" t="s">
        <v>126</v>
      </c>
      <c r="V33">
        <v>0.05</v>
      </c>
      <c r="X33" t="s">
        <v>127</v>
      </c>
      <c r="Y33" t="s">
        <v>128</v>
      </c>
      <c r="Z33" t="s">
        <v>33</v>
      </c>
      <c r="AA33" t="s">
        <v>129</v>
      </c>
    </row>
    <row r="34" spans="1:28" hidden="1" x14ac:dyDescent="0.35">
      <c r="A34" t="s">
        <v>138</v>
      </c>
      <c r="C34">
        <v>10.174113</v>
      </c>
      <c r="D34">
        <v>54.379432999999999</v>
      </c>
      <c r="E34">
        <v>2013</v>
      </c>
      <c r="F34" t="s">
        <v>120</v>
      </c>
      <c r="G34" t="s">
        <v>121</v>
      </c>
      <c r="H34" t="s">
        <v>122</v>
      </c>
      <c r="I34">
        <v>12</v>
      </c>
      <c r="J34">
        <v>12</v>
      </c>
      <c r="K34" t="s">
        <v>139</v>
      </c>
      <c r="L34" t="s">
        <v>140</v>
      </c>
      <c r="M34" t="s">
        <v>141</v>
      </c>
      <c r="N34">
        <v>4</v>
      </c>
      <c r="O34" t="s">
        <v>125</v>
      </c>
      <c r="P34">
        <v>59.13</v>
      </c>
      <c r="Q34" t="s">
        <v>126</v>
      </c>
      <c r="R34">
        <v>2.5</v>
      </c>
      <c r="T34">
        <v>48.69</v>
      </c>
      <c r="U34" t="s">
        <v>126</v>
      </c>
      <c r="V34">
        <v>2.44</v>
      </c>
      <c r="X34" t="s">
        <v>127</v>
      </c>
      <c r="Y34" t="s">
        <v>142</v>
      </c>
      <c r="Z34" t="s">
        <v>71</v>
      </c>
      <c r="AA34" t="s">
        <v>143</v>
      </c>
    </row>
    <row r="35" spans="1:28" hidden="1" x14ac:dyDescent="0.35">
      <c r="A35" t="s">
        <v>138</v>
      </c>
      <c r="C35">
        <v>10.174113</v>
      </c>
      <c r="D35">
        <v>54.379432999999999</v>
      </c>
      <c r="E35">
        <v>2013</v>
      </c>
      <c r="F35" t="s">
        <v>133</v>
      </c>
      <c r="G35" t="s">
        <v>134</v>
      </c>
      <c r="H35" t="s">
        <v>113</v>
      </c>
      <c r="I35">
        <v>40</v>
      </c>
      <c r="J35">
        <v>40</v>
      </c>
      <c r="K35" t="s">
        <v>55</v>
      </c>
      <c r="L35" t="s">
        <v>144</v>
      </c>
      <c r="M35" t="s">
        <v>145</v>
      </c>
      <c r="N35">
        <v>4</v>
      </c>
      <c r="O35" t="s">
        <v>125</v>
      </c>
      <c r="P35">
        <v>0.12</v>
      </c>
      <c r="Q35" t="s">
        <v>126</v>
      </c>
      <c r="R35">
        <v>0.04</v>
      </c>
      <c r="T35">
        <v>0.09</v>
      </c>
      <c r="U35" t="s">
        <v>126</v>
      </c>
      <c r="V35">
        <v>0.04</v>
      </c>
      <c r="X35" t="s">
        <v>31</v>
      </c>
      <c r="Y35" t="s">
        <v>142</v>
      </c>
      <c r="Z35" t="s">
        <v>71</v>
      </c>
      <c r="AA35" t="s">
        <v>143</v>
      </c>
    </row>
    <row r="36" spans="1:28" hidden="1" x14ac:dyDescent="0.35">
      <c r="A36" t="s">
        <v>138</v>
      </c>
      <c r="C36">
        <v>10.174113</v>
      </c>
      <c r="D36">
        <v>54.379432999999999</v>
      </c>
      <c r="E36">
        <v>2013</v>
      </c>
      <c r="F36" t="s">
        <v>133</v>
      </c>
      <c r="G36" t="s">
        <v>134</v>
      </c>
      <c r="H36" t="s">
        <v>113</v>
      </c>
      <c r="I36">
        <v>40</v>
      </c>
      <c r="J36">
        <v>40</v>
      </c>
      <c r="K36" t="s">
        <v>139</v>
      </c>
      <c r="L36" t="s">
        <v>144</v>
      </c>
      <c r="M36" t="s">
        <v>146</v>
      </c>
      <c r="N36">
        <v>4</v>
      </c>
      <c r="O36" t="s">
        <v>125</v>
      </c>
      <c r="P36">
        <v>0.12</v>
      </c>
      <c r="Q36" t="s">
        <v>126</v>
      </c>
      <c r="R36">
        <v>0.04</v>
      </c>
      <c r="T36">
        <v>1E-3</v>
      </c>
      <c r="U36" t="s">
        <v>126</v>
      </c>
      <c r="V36">
        <v>1E-3</v>
      </c>
      <c r="X36" t="s">
        <v>31</v>
      </c>
      <c r="Y36" t="s">
        <v>142</v>
      </c>
      <c r="Z36" t="s">
        <v>71</v>
      </c>
      <c r="AA36" t="s">
        <v>143</v>
      </c>
    </row>
    <row r="37" spans="1:28" hidden="1" x14ac:dyDescent="0.35">
      <c r="A37" t="s">
        <v>138</v>
      </c>
      <c r="C37">
        <v>10.174113</v>
      </c>
      <c r="D37">
        <v>54.379432999999999</v>
      </c>
      <c r="E37">
        <v>2013</v>
      </c>
      <c r="F37" t="s">
        <v>133</v>
      </c>
      <c r="G37" t="s">
        <v>134</v>
      </c>
      <c r="H37" t="s">
        <v>113</v>
      </c>
      <c r="I37">
        <v>40</v>
      </c>
      <c r="J37">
        <v>40</v>
      </c>
      <c r="K37" t="s">
        <v>28</v>
      </c>
      <c r="L37" t="s">
        <v>144</v>
      </c>
      <c r="M37" t="s">
        <v>147</v>
      </c>
      <c r="N37">
        <v>4</v>
      </c>
      <c r="O37" t="s">
        <v>125</v>
      </c>
      <c r="P37">
        <v>0.12</v>
      </c>
      <c r="Q37" t="s">
        <v>126</v>
      </c>
      <c r="R37">
        <v>0.04</v>
      </c>
      <c r="T37">
        <v>0.03</v>
      </c>
      <c r="U37" t="s">
        <v>126</v>
      </c>
      <c r="V37">
        <v>0.01</v>
      </c>
      <c r="X37" t="s">
        <v>31</v>
      </c>
      <c r="Y37" t="s">
        <v>142</v>
      </c>
      <c r="Z37" t="s">
        <v>71</v>
      </c>
      <c r="AA37" t="s">
        <v>143</v>
      </c>
    </row>
    <row r="38" spans="1:28" x14ac:dyDescent="0.35">
      <c r="A38" t="s">
        <v>148</v>
      </c>
      <c r="B38" t="s">
        <v>494</v>
      </c>
      <c r="C38">
        <v>122.755661</v>
      </c>
      <c r="D38">
        <v>39.026800999999999</v>
      </c>
      <c r="E38">
        <v>2019</v>
      </c>
      <c r="F38" t="s">
        <v>149</v>
      </c>
      <c r="G38" t="s">
        <v>150</v>
      </c>
      <c r="H38" t="s">
        <v>151</v>
      </c>
      <c r="I38">
        <v>30</v>
      </c>
      <c r="J38">
        <v>30</v>
      </c>
      <c r="K38" t="s">
        <v>55</v>
      </c>
      <c r="L38">
        <v>8</v>
      </c>
      <c r="M38">
        <v>7.6</v>
      </c>
      <c r="N38">
        <v>3</v>
      </c>
      <c r="O38" t="s">
        <v>152</v>
      </c>
      <c r="P38">
        <v>47.5</v>
      </c>
      <c r="Q38" t="s">
        <v>153</v>
      </c>
      <c r="R38">
        <v>4.2</v>
      </c>
      <c r="S38">
        <v>4.2</v>
      </c>
      <c r="T38">
        <v>36.799999999999997</v>
      </c>
      <c r="U38" t="s">
        <v>153</v>
      </c>
      <c r="V38">
        <v>9.6</v>
      </c>
      <c r="W38">
        <v>9.6</v>
      </c>
      <c r="X38" t="s">
        <v>43</v>
      </c>
      <c r="Y38" t="s">
        <v>44</v>
      </c>
      <c r="Z38" t="s">
        <v>33</v>
      </c>
      <c r="AA38" t="s">
        <v>154</v>
      </c>
    </row>
    <row r="39" spans="1:28" x14ac:dyDescent="0.35">
      <c r="A39" t="s">
        <v>155</v>
      </c>
      <c r="B39" t="s">
        <v>494</v>
      </c>
      <c r="C39">
        <v>23.537756999999999</v>
      </c>
      <c r="D39">
        <v>59.790210999999999</v>
      </c>
      <c r="E39">
        <v>2016</v>
      </c>
      <c r="F39" t="s">
        <v>156</v>
      </c>
      <c r="G39" t="s">
        <v>157</v>
      </c>
      <c r="H39" t="s">
        <v>158</v>
      </c>
      <c r="I39">
        <v>70</v>
      </c>
      <c r="J39">
        <v>70</v>
      </c>
      <c r="K39" t="s">
        <v>55</v>
      </c>
      <c r="L39">
        <v>7.94</v>
      </c>
      <c r="M39">
        <v>7.43</v>
      </c>
      <c r="N39">
        <v>1</v>
      </c>
      <c r="O39" t="s">
        <v>159</v>
      </c>
      <c r="P39">
        <v>286.3</v>
      </c>
      <c r="Q39" t="s">
        <v>69</v>
      </c>
      <c r="R39">
        <v>3.5</v>
      </c>
      <c r="S39">
        <f>R39*SQRT(I39)</f>
        <v>29.283100928692644</v>
      </c>
      <c r="T39">
        <v>313.5</v>
      </c>
      <c r="U39" t="s">
        <v>69</v>
      </c>
      <c r="V39">
        <v>3</v>
      </c>
      <c r="W39">
        <f>V39*SQRT(J39)</f>
        <v>25.099800796022265</v>
      </c>
      <c r="X39" t="s">
        <v>43</v>
      </c>
      <c r="Y39" t="s">
        <v>160</v>
      </c>
      <c r="Z39" t="s">
        <v>161</v>
      </c>
      <c r="AA39" t="s">
        <v>162</v>
      </c>
    </row>
    <row r="40" spans="1:28" hidden="1" x14ac:dyDescent="0.35">
      <c r="A40" t="s">
        <v>163</v>
      </c>
      <c r="C40">
        <v>23.250814999999999</v>
      </c>
      <c r="D40">
        <v>59.844113999999998</v>
      </c>
      <c r="E40">
        <v>2015</v>
      </c>
      <c r="F40" t="s">
        <v>156</v>
      </c>
      <c r="G40" t="s">
        <v>157</v>
      </c>
      <c r="H40" t="s">
        <v>158</v>
      </c>
      <c r="I40">
        <v>20</v>
      </c>
      <c r="J40">
        <v>20</v>
      </c>
      <c r="K40" t="s">
        <v>50</v>
      </c>
      <c r="L40" t="s">
        <v>164</v>
      </c>
      <c r="M40" t="s">
        <v>165</v>
      </c>
      <c r="N40">
        <v>5</v>
      </c>
      <c r="O40" t="s">
        <v>152</v>
      </c>
      <c r="P40">
        <v>16.3</v>
      </c>
      <c r="Q40" t="s">
        <v>42</v>
      </c>
      <c r="R40">
        <v>1.3</v>
      </c>
      <c r="T40">
        <v>40.1</v>
      </c>
      <c r="U40" t="s">
        <v>42</v>
      </c>
      <c r="V40">
        <v>1.7</v>
      </c>
      <c r="X40" t="s">
        <v>31</v>
      </c>
      <c r="Y40" t="s">
        <v>166</v>
      </c>
      <c r="Z40" t="s">
        <v>33</v>
      </c>
      <c r="AA40" t="s">
        <v>167</v>
      </c>
    </row>
    <row r="41" spans="1:28" hidden="1" x14ac:dyDescent="0.35">
      <c r="A41" t="s">
        <v>163</v>
      </c>
      <c r="C41">
        <v>23.250814999999999</v>
      </c>
      <c r="D41">
        <v>59.844113999999998</v>
      </c>
      <c r="E41">
        <v>2015</v>
      </c>
      <c r="F41" t="s">
        <v>156</v>
      </c>
      <c r="G41" t="s">
        <v>157</v>
      </c>
      <c r="H41" t="s">
        <v>158</v>
      </c>
      <c r="I41">
        <v>20</v>
      </c>
      <c r="J41">
        <v>20</v>
      </c>
      <c r="K41" t="s">
        <v>55</v>
      </c>
      <c r="L41" t="s">
        <v>168</v>
      </c>
      <c r="M41" t="s">
        <v>169</v>
      </c>
      <c r="N41">
        <v>5</v>
      </c>
      <c r="O41" t="s">
        <v>152</v>
      </c>
      <c r="P41">
        <v>16.3</v>
      </c>
      <c r="Q41" t="s">
        <v>42</v>
      </c>
      <c r="R41">
        <v>1.3</v>
      </c>
      <c r="T41">
        <v>16.899999999999999</v>
      </c>
      <c r="U41" t="s">
        <v>42</v>
      </c>
      <c r="V41">
        <v>0</v>
      </c>
      <c r="X41" t="s">
        <v>31</v>
      </c>
      <c r="Y41" t="s">
        <v>166</v>
      </c>
      <c r="Z41" t="s">
        <v>33</v>
      </c>
      <c r="AA41" t="s">
        <v>167</v>
      </c>
    </row>
    <row r="42" spans="1:28" hidden="1" x14ac:dyDescent="0.35">
      <c r="A42" t="s">
        <v>163</v>
      </c>
      <c r="C42">
        <v>23.250814999999999</v>
      </c>
      <c r="D42">
        <v>59.844113999999998</v>
      </c>
      <c r="E42">
        <v>2015</v>
      </c>
      <c r="F42" t="s">
        <v>156</v>
      </c>
      <c r="G42" t="s">
        <v>157</v>
      </c>
      <c r="H42" t="s">
        <v>158</v>
      </c>
      <c r="I42">
        <v>20</v>
      </c>
      <c r="J42">
        <v>20</v>
      </c>
      <c r="K42" t="s">
        <v>57</v>
      </c>
      <c r="L42" t="s">
        <v>168</v>
      </c>
      <c r="M42" t="s">
        <v>170</v>
      </c>
      <c r="N42">
        <v>5</v>
      </c>
      <c r="O42" t="s">
        <v>152</v>
      </c>
      <c r="P42">
        <v>16.3</v>
      </c>
      <c r="Q42" t="s">
        <v>42</v>
      </c>
      <c r="R42">
        <v>1.3</v>
      </c>
      <c r="T42">
        <v>29.9</v>
      </c>
      <c r="U42" t="s">
        <v>42</v>
      </c>
      <c r="V42">
        <v>1.2</v>
      </c>
      <c r="X42" t="s">
        <v>31</v>
      </c>
      <c r="Y42" t="s">
        <v>166</v>
      </c>
      <c r="Z42" t="s">
        <v>33</v>
      </c>
      <c r="AA42" t="s">
        <v>167</v>
      </c>
    </row>
    <row r="43" spans="1:28" x14ac:dyDescent="0.35">
      <c r="A43" t="s">
        <v>171</v>
      </c>
      <c r="B43" t="s">
        <v>494</v>
      </c>
      <c r="C43">
        <v>-119.843834</v>
      </c>
      <c r="D43">
        <v>34.404809999999998</v>
      </c>
      <c r="E43">
        <v>2016</v>
      </c>
      <c r="F43" t="s">
        <v>172</v>
      </c>
      <c r="G43" t="s">
        <v>173</v>
      </c>
      <c r="H43" t="s">
        <v>113</v>
      </c>
      <c r="I43">
        <v>30</v>
      </c>
      <c r="J43">
        <v>30</v>
      </c>
      <c r="K43" t="s">
        <v>55</v>
      </c>
      <c r="L43" t="s">
        <v>174</v>
      </c>
      <c r="M43" t="s">
        <v>175</v>
      </c>
      <c r="N43">
        <v>6</v>
      </c>
      <c r="O43" t="s">
        <v>159</v>
      </c>
      <c r="P43">
        <v>110.5</v>
      </c>
      <c r="Q43" t="s">
        <v>69</v>
      </c>
      <c r="R43">
        <v>0.6</v>
      </c>
      <c r="S43">
        <f>R43*SQRT(I43)</f>
        <v>3.2863353450309964</v>
      </c>
      <c r="T43">
        <v>106.5</v>
      </c>
      <c r="U43" t="s">
        <v>69</v>
      </c>
      <c r="V43">
        <v>0.6</v>
      </c>
      <c r="W43">
        <f>V43*SQRT(J43)</f>
        <v>3.2863353450309964</v>
      </c>
      <c r="X43" t="s">
        <v>43</v>
      </c>
      <c r="Y43" t="s">
        <v>176</v>
      </c>
      <c r="Z43" t="s">
        <v>33</v>
      </c>
      <c r="AA43" t="s">
        <v>177</v>
      </c>
    </row>
    <row r="44" spans="1:28" x14ac:dyDescent="0.35">
      <c r="A44" t="s">
        <v>178</v>
      </c>
      <c r="B44" t="s">
        <v>494</v>
      </c>
      <c r="C44">
        <v>126.27977799999999</v>
      </c>
      <c r="D44">
        <v>36.669922</v>
      </c>
      <c r="E44">
        <v>2016</v>
      </c>
      <c r="F44" t="s">
        <v>179</v>
      </c>
      <c r="G44" t="s">
        <v>180</v>
      </c>
      <c r="H44" t="s">
        <v>27</v>
      </c>
      <c r="I44">
        <v>15</v>
      </c>
      <c r="J44">
        <v>15</v>
      </c>
      <c r="K44" t="s">
        <v>55</v>
      </c>
      <c r="L44" t="s">
        <v>181</v>
      </c>
      <c r="M44" t="s">
        <v>182</v>
      </c>
      <c r="N44">
        <v>3</v>
      </c>
      <c r="O44" t="s">
        <v>159</v>
      </c>
      <c r="P44">
        <v>245.4</v>
      </c>
      <c r="Q44" t="s">
        <v>42</v>
      </c>
      <c r="R44">
        <v>4.5999999999999996</v>
      </c>
      <c r="S44">
        <v>4.5999999999999996</v>
      </c>
      <c r="T44">
        <v>228.5</v>
      </c>
      <c r="U44" t="s">
        <v>42</v>
      </c>
      <c r="V44">
        <v>3.3</v>
      </c>
      <c r="W44">
        <v>3.3</v>
      </c>
      <c r="X44" t="s">
        <v>43</v>
      </c>
      <c r="Y44" t="s">
        <v>183</v>
      </c>
      <c r="Z44" t="s">
        <v>184</v>
      </c>
      <c r="AA44" t="s">
        <v>185</v>
      </c>
    </row>
    <row r="45" spans="1:28" x14ac:dyDescent="0.35">
      <c r="A45" t="s">
        <v>186</v>
      </c>
      <c r="B45" t="s">
        <v>494</v>
      </c>
      <c r="C45">
        <v>129.866265</v>
      </c>
      <c r="D45">
        <v>32.747723999999998</v>
      </c>
      <c r="E45">
        <v>2009</v>
      </c>
      <c r="F45" t="s">
        <v>187</v>
      </c>
      <c r="G45" t="s">
        <v>188</v>
      </c>
      <c r="H45" t="s">
        <v>113</v>
      </c>
      <c r="I45">
        <v>100</v>
      </c>
      <c r="J45">
        <v>100</v>
      </c>
      <c r="K45" t="s">
        <v>55</v>
      </c>
      <c r="L45" t="s">
        <v>189</v>
      </c>
      <c r="M45" t="s">
        <v>190</v>
      </c>
      <c r="N45">
        <v>5</v>
      </c>
      <c r="O45" t="s">
        <v>191</v>
      </c>
      <c r="P45">
        <v>85.5</v>
      </c>
      <c r="Q45" t="s">
        <v>42</v>
      </c>
      <c r="R45">
        <v>1.3</v>
      </c>
      <c r="S45">
        <v>1.3</v>
      </c>
      <c r="T45">
        <v>69.2</v>
      </c>
      <c r="U45" t="s">
        <v>42</v>
      </c>
      <c r="V45">
        <v>1.9</v>
      </c>
      <c r="W45">
        <v>1.9</v>
      </c>
      <c r="X45" t="s">
        <v>43</v>
      </c>
      <c r="Y45" t="s">
        <v>192</v>
      </c>
      <c r="Z45" t="s">
        <v>33</v>
      </c>
      <c r="AA45" t="s">
        <v>193</v>
      </c>
      <c r="AB45" t="s">
        <v>194</v>
      </c>
    </row>
    <row r="46" spans="1:28" x14ac:dyDescent="0.35">
      <c r="A46" t="s">
        <v>195</v>
      </c>
      <c r="B46" t="s">
        <v>494</v>
      </c>
      <c r="C46">
        <v>129.866265</v>
      </c>
      <c r="D46">
        <v>32.747723999999998</v>
      </c>
      <c r="E46">
        <v>2007</v>
      </c>
      <c r="F46" t="s">
        <v>196</v>
      </c>
      <c r="G46" t="s">
        <v>197</v>
      </c>
      <c r="H46" t="s">
        <v>49</v>
      </c>
      <c r="I46">
        <v>100</v>
      </c>
      <c r="J46">
        <v>100</v>
      </c>
      <c r="K46" t="s">
        <v>55</v>
      </c>
      <c r="L46">
        <v>8.1999999999999993</v>
      </c>
      <c r="M46">
        <v>7.4</v>
      </c>
      <c r="N46">
        <v>5</v>
      </c>
      <c r="O46" t="s">
        <v>191</v>
      </c>
      <c r="P46">
        <v>72.3</v>
      </c>
      <c r="Q46" t="s">
        <v>42</v>
      </c>
      <c r="R46">
        <v>1.6</v>
      </c>
      <c r="S46">
        <v>1.6</v>
      </c>
      <c r="T46">
        <v>56.7</v>
      </c>
      <c r="U46" t="s">
        <v>42</v>
      </c>
      <c r="V46">
        <v>4.3</v>
      </c>
      <c r="W46">
        <v>4.3</v>
      </c>
      <c r="X46" t="s">
        <v>43</v>
      </c>
      <c r="Y46" t="s">
        <v>198</v>
      </c>
      <c r="Z46" t="s">
        <v>33</v>
      </c>
      <c r="AA46" t="s">
        <v>199</v>
      </c>
    </row>
    <row r="47" spans="1:28" hidden="1" x14ac:dyDescent="0.35">
      <c r="A47" t="s">
        <v>200</v>
      </c>
      <c r="C47">
        <v>-142.31943899999999</v>
      </c>
      <c r="D47">
        <v>-18.817561000000001</v>
      </c>
      <c r="E47">
        <v>2016</v>
      </c>
      <c r="F47" t="s">
        <v>201</v>
      </c>
      <c r="G47" t="s">
        <v>202</v>
      </c>
      <c r="H47" t="s">
        <v>203</v>
      </c>
      <c r="I47">
        <v>9</v>
      </c>
      <c r="J47">
        <v>9</v>
      </c>
      <c r="K47" t="s">
        <v>55</v>
      </c>
      <c r="L47">
        <v>8.1999999999999993</v>
      </c>
      <c r="M47">
        <v>7.4</v>
      </c>
      <c r="N47">
        <v>2</v>
      </c>
      <c r="O47" t="s">
        <v>204</v>
      </c>
      <c r="P47">
        <v>4.5999999999999996</v>
      </c>
      <c r="Q47" t="s">
        <v>69</v>
      </c>
      <c r="R47">
        <v>2.2000000000000002</v>
      </c>
      <c r="T47">
        <v>3.5</v>
      </c>
      <c r="U47" t="s">
        <v>69</v>
      </c>
      <c r="V47">
        <v>1.1000000000000001</v>
      </c>
      <c r="X47" t="s">
        <v>205</v>
      </c>
      <c r="Y47" t="s">
        <v>206</v>
      </c>
      <c r="Z47" t="s">
        <v>207</v>
      </c>
      <c r="AA47" t="s">
        <v>193</v>
      </c>
    </row>
    <row r="48" spans="1:28" hidden="1" x14ac:dyDescent="0.35">
      <c r="A48" t="s">
        <v>200</v>
      </c>
      <c r="C48">
        <v>-142.31943899999999</v>
      </c>
      <c r="D48">
        <v>-18.817561000000001</v>
      </c>
      <c r="E48">
        <v>2016</v>
      </c>
      <c r="F48" t="s">
        <v>201</v>
      </c>
      <c r="G48" t="s">
        <v>202</v>
      </c>
      <c r="H48" t="s">
        <v>203</v>
      </c>
      <c r="I48">
        <v>9</v>
      </c>
      <c r="J48">
        <v>9</v>
      </c>
      <c r="K48" t="s">
        <v>55</v>
      </c>
      <c r="L48">
        <v>8.1999999999999993</v>
      </c>
      <c r="M48">
        <v>7.4</v>
      </c>
      <c r="N48">
        <v>2</v>
      </c>
      <c r="O48" t="s">
        <v>204</v>
      </c>
      <c r="P48">
        <v>1.9</v>
      </c>
      <c r="Q48" t="s">
        <v>69</v>
      </c>
      <c r="R48">
        <v>1.7</v>
      </c>
      <c r="T48">
        <v>0.8</v>
      </c>
      <c r="U48" t="s">
        <v>69</v>
      </c>
      <c r="V48">
        <v>0.5</v>
      </c>
      <c r="X48" t="s">
        <v>205</v>
      </c>
      <c r="Y48" t="s">
        <v>206</v>
      </c>
      <c r="Z48" t="s">
        <v>207</v>
      </c>
      <c r="AA48" t="s">
        <v>193</v>
      </c>
    </row>
    <row r="49" spans="1:27" x14ac:dyDescent="0.35">
      <c r="A49" t="s">
        <v>208</v>
      </c>
      <c r="B49" t="s">
        <v>494</v>
      </c>
      <c r="C49">
        <v>122.184693</v>
      </c>
      <c r="D49">
        <v>37.482990999999998</v>
      </c>
      <c r="E49">
        <v>2014</v>
      </c>
      <c r="F49" t="s">
        <v>209</v>
      </c>
      <c r="G49" t="s">
        <v>210</v>
      </c>
      <c r="H49" t="s">
        <v>211</v>
      </c>
      <c r="I49">
        <v>50</v>
      </c>
      <c r="J49">
        <v>50</v>
      </c>
      <c r="K49" t="s">
        <v>55</v>
      </c>
      <c r="L49">
        <v>8.1999999999999993</v>
      </c>
      <c r="M49">
        <v>7.9</v>
      </c>
      <c r="N49">
        <v>3</v>
      </c>
      <c r="O49" t="s">
        <v>159</v>
      </c>
      <c r="P49">
        <v>91.5</v>
      </c>
      <c r="Q49" t="s">
        <v>42</v>
      </c>
      <c r="R49">
        <v>2.8</v>
      </c>
      <c r="S49">
        <v>2.8</v>
      </c>
      <c r="T49">
        <v>92.1</v>
      </c>
      <c r="U49" t="s">
        <v>42</v>
      </c>
      <c r="V49">
        <v>3.1</v>
      </c>
      <c r="W49">
        <v>3.1</v>
      </c>
      <c r="X49" t="s">
        <v>43</v>
      </c>
      <c r="Y49" t="s">
        <v>212</v>
      </c>
      <c r="Z49" t="s">
        <v>33</v>
      </c>
      <c r="AA49" t="s">
        <v>213</v>
      </c>
    </row>
    <row r="50" spans="1:27" x14ac:dyDescent="0.35">
      <c r="A50" t="s">
        <v>208</v>
      </c>
      <c r="B50" t="s">
        <v>494</v>
      </c>
      <c r="C50">
        <v>122.184693</v>
      </c>
      <c r="D50">
        <v>37.482990999999998</v>
      </c>
      <c r="E50">
        <v>2014</v>
      </c>
      <c r="F50" t="s">
        <v>196</v>
      </c>
      <c r="G50" t="s">
        <v>197</v>
      </c>
      <c r="H50" t="s">
        <v>49</v>
      </c>
      <c r="I50">
        <v>50</v>
      </c>
      <c r="J50">
        <v>50</v>
      </c>
      <c r="K50" t="s">
        <v>55</v>
      </c>
      <c r="L50">
        <v>8.1999999999999993</v>
      </c>
      <c r="M50">
        <v>7.9</v>
      </c>
      <c r="N50">
        <v>3</v>
      </c>
      <c r="O50" t="s">
        <v>159</v>
      </c>
      <c r="P50">
        <v>82.9</v>
      </c>
      <c r="Q50" t="s">
        <v>42</v>
      </c>
      <c r="R50">
        <v>2.9</v>
      </c>
      <c r="S50">
        <v>2.9</v>
      </c>
      <c r="T50">
        <v>84.9</v>
      </c>
      <c r="U50" t="s">
        <v>42</v>
      </c>
      <c r="V50">
        <v>3.6</v>
      </c>
      <c r="W50">
        <v>3.6</v>
      </c>
      <c r="X50" t="s">
        <v>43</v>
      </c>
      <c r="Y50" t="s">
        <v>212</v>
      </c>
      <c r="Z50" t="s">
        <v>33</v>
      </c>
      <c r="AA50" t="s">
        <v>213</v>
      </c>
    </row>
    <row r="51" spans="1:27" hidden="1" x14ac:dyDescent="0.35">
      <c r="A51" t="s">
        <v>214</v>
      </c>
      <c r="C51">
        <v>23.007828</v>
      </c>
      <c r="D51">
        <v>40.322502999999998</v>
      </c>
      <c r="E51">
        <v>2005</v>
      </c>
      <c r="F51" t="s">
        <v>187</v>
      </c>
      <c r="G51" t="s">
        <v>188</v>
      </c>
      <c r="H51" t="s">
        <v>113</v>
      </c>
      <c r="I51">
        <v>100</v>
      </c>
      <c r="J51">
        <v>100</v>
      </c>
      <c r="K51" t="s">
        <v>55</v>
      </c>
      <c r="L51">
        <v>8.0500000000000007</v>
      </c>
      <c r="M51">
        <v>7.3</v>
      </c>
      <c r="N51">
        <v>2</v>
      </c>
      <c r="O51" t="s">
        <v>215</v>
      </c>
      <c r="P51">
        <v>26.5</v>
      </c>
      <c r="Q51" t="s">
        <v>69</v>
      </c>
      <c r="R51">
        <v>2.6</v>
      </c>
      <c r="T51">
        <v>20.2</v>
      </c>
      <c r="U51" t="s">
        <v>69</v>
      </c>
      <c r="V51">
        <v>2</v>
      </c>
      <c r="X51" t="s">
        <v>31</v>
      </c>
      <c r="Y51" t="s">
        <v>216</v>
      </c>
      <c r="Z51" t="s">
        <v>33</v>
      </c>
      <c r="AA51" t="s">
        <v>72</v>
      </c>
    </row>
    <row r="52" spans="1:27" x14ac:dyDescent="0.35">
      <c r="A52" t="s">
        <v>217</v>
      </c>
      <c r="B52" t="s">
        <v>494</v>
      </c>
      <c r="C52">
        <v>-76.119778999999994</v>
      </c>
      <c r="D52">
        <v>37.471316000000002</v>
      </c>
      <c r="E52">
        <v>2020</v>
      </c>
      <c r="F52" t="s">
        <v>47</v>
      </c>
      <c r="G52" t="s">
        <v>218</v>
      </c>
      <c r="H52" t="s">
        <v>49</v>
      </c>
      <c r="I52">
        <v>58</v>
      </c>
      <c r="J52">
        <v>60</v>
      </c>
      <c r="K52" t="s">
        <v>55</v>
      </c>
      <c r="L52">
        <v>280</v>
      </c>
      <c r="M52">
        <v>800</v>
      </c>
      <c r="N52">
        <v>3</v>
      </c>
      <c r="O52" t="s">
        <v>191</v>
      </c>
      <c r="P52">
        <v>52</v>
      </c>
      <c r="Q52" t="s">
        <v>69</v>
      </c>
      <c r="R52">
        <v>0.7</v>
      </c>
      <c r="S52">
        <f>R52*SQRT(I52)</f>
        <v>5.3310411741047359</v>
      </c>
      <c r="T52">
        <v>50.6</v>
      </c>
      <c r="U52" t="s">
        <v>69</v>
      </c>
      <c r="V52">
        <v>0.9</v>
      </c>
      <c r="W52">
        <f>V52*SQRT(J52)</f>
        <v>6.9713700231733506</v>
      </c>
      <c r="X52" t="s">
        <v>43</v>
      </c>
      <c r="Y52" t="s">
        <v>219</v>
      </c>
      <c r="Z52" t="s">
        <v>220</v>
      </c>
      <c r="AA52" t="s">
        <v>72</v>
      </c>
    </row>
    <row r="53" spans="1:27" x14ac:dyDescent="0.35">
      <c r="A53" t="s">
        <v>221</v>
      </c>
      <c r="B53" t="s">
        <v>494</v>
      </c>
      <c r="C53">
        <v>-7.6231920000000004</v>
      </c>
      <c r="D53">
        <v>37.116543999999998</v>
      </c>
      <c r="E53">
        <v>2013</v>
      </c>
      <c r="F53" t="s">
        <v>196</v>
      </c>
      <c r="G53" t="s">
        <v>197</v>
      </c>
      <c r="H53" t="s">
        <v>49</v>
      </c>
      <c r="I53">
        <v>50</v>
      </c>
      <c r="J53">
        <v>50</v>
      </c>
      <c r="K53" t="s">
        <v>55</v>
      </c>
      <c r="L53">
        <v>8.09</v>
      </c>
      <c r="M53">
        <v>7.76</v>
      </c>
      <c r="N53">
        <v>3</v>
      </c>
      <c r="O53" t="s">
        <v>222</v>
      </c>
      <c r="P53">
        <v>94.3</v>
      </c>
      <c r="Q53" t="s">
        <v>30</v>
      </c>
      <c r="R53">
        <v>1.1000000000000001</v>
      </c>
      <c r="S53">
        <f>R53*SQRT(I53)</f>
        <v>7.7781745930520234</v>
      </c>
      <c r="T53">
        <v>83.7</v>
      </c>
      <c r="U53" t="s">
        <v>30</v>
      </c>
      <c r="V53">
        <v>2.6</v>
      </c>
      <c r="W53">
        <f>V53*SQRT(J53)</f>
        <v>18.384776310850238</v>
      </c>
      <c r="X53" t="s">
        <v>43</v>
      </c>
      <c r="Y53" t="s">
        <v>223</v>
      </c>
      <c r="Z53" t="s">
        <v>33</v>
      </c>
      <c r="AA53" t="s">
        <v>224</v>
      </c>
    </row>
    <row r="54" spans="1:27" hidden="1" x14ac:dyDescent="0.35">
      <c r="A54" t="s">
        <v>225</v>
      </c>
      <c r="C54">
        <v>138.52809600000001</v>
      </c>
      <c r="D54">
        <v>37.382120999999998</v>
      </c>
      <c r="E54">
        <v>2018</v>
      </c>
      <c r="F54" t="s">
        <v>226</v>
      </c>
      <c r="G54" t="s">
        <v>227</v>
      </c>
      <c r="H54" t="s">
        <v>211</v>
      </c>
      <c r="I54">
        <v>69</v>
      </c>
      <c r="J54">
        <v>69</v>
      </c>
      <c r="K54" t="s">
        <v>55</v>
      </c>
      <c r="L54" t="s">
        <v>228</v>
      </c>
      <c r="M54" t="s">
        <v>229</v>
      </c>
      <c r="N54">
        <v>1</v>
      </c>
      <c r="O54" t="s">
        <v>230</v>
      </c>
      <c r="P54">
        <v>27.2</v>
      </c>
      <c r="Q54" t="s">
        <v>69</v>
      </c>
      <c r="R54">
        <v>0.4</v>
      </c>
      <c r="T54">
        <v>27.1</v>
      </c>
      <c r="U54" t="s">
        <v>69</v>
      </c>
      <c r="V54">
        <v>0.4</v>
      </c>
      <c r="X54" t="s">
        <v>31</v>
      </c>
      <c r="Y54" t="s">
        <v>231</v>
      </c>
      <c r="Z54" t="s">
        <v>232</v>
      </c>
      <c r="AA54" t="s">
        <v>233</v>
      </c>
    </row>
    <row r="55" spans="1:27" hidden="1" x14ac:dyDescent="0.35">
      <c r="A55" t="s">
        <v>225</v>
      </c>
      <c r="C55">
        <v>138.52809600000001</v>
      </c>
      <c r="D55">
        <v>37.382120999999998</v>
      </c>
      <c r="E55">
        <v>2018</v>
      </c>
      <c r="F55" t="s">
        <v>226</v>
      </c>
      <c r="G55" t="s">
        <v>227</v>
      </c>
      <c r="H55" t="s">
        <v>211</v>
      </c>
      <c r="I55">
        <v>64</v>
      </c>
      <c r="J55">
        <v>69</v>
      </c>
      <c r="K55" t="s">
        <v>55</v>
      </c>
      <c r="L55" t="s">
        <v>234</v>
      </c>
      <c r="M55" t="s">
        <v>235</v>
      </c>
      <c r="N55">
        <v>1</v>
      </c>
      <c r="O55" t="s">
        <v>230</v>
      </c>
      <c r="P55">
        <v>38.5</v>
      </c>
      <c r="Q55" t="s">
        <v>69</v>
      </c>
      <c r="R55">
        <v>0.4</v>
      </c>
      <c r="T55">
        <v>38.200000000000003</v>
      </c>
      <c r="U55" t="s">
        <v>69</v>
      </c>
      <c r="V55">
        <v>0.4</v>
      </c>
      <c r="X55" t="s">
        <v>31</v>
      </c>
      <c r="Y55" t="s">
        <v>236</v>
      </c>
      <c r="Z55" t="s">
        <v>232</v>
      </c>
      <c r="AA55" t="s">
        <v>233</v>
      </c>
    </row>
    <row r="56" spans="1:27" hidden="1" x14ac:dyDescent="0.35">
      <c r="A56" t="s">
        <v>237</v>
      </c>
      <c r="C56">
        <v>131.86572100000001</v>
      </c>
      <c r="D56">
        <v>33.995750999999998</v>
      </c>
      <c r="E56">
        <v>2015</v>
      </c>
      <c r="F56" t="s">
        <v>226</v>
      </c>
      <c r="G56" t="s">
        <v>227</v>
      </c>
      <c r="H56" t="s">
        <v>211</v>
      </c>
      <c r="I56">
        <v>7</v>
      </c>
      <c r="J56">
        <v>5</v>
      </c>
      <c r="K56" t="s">
        <v>28</v>
      </c>
      <c r="L56">
        <v>21</v>
      </c>
      <c r="M56">
        <v>25</v>
      </c>
      <c r="N56">
        <v>1</v>
      </c>
      <c r="O56" t="s">
        <v>238</v>
      </c>
      <c r="P56">
        <v>1.49</v>
      </c>
      <c r="Q56" t="s">
        <v>69</v>
      </c>
      <c r="R56">
        <v>0.96</v>
      </c>
      <c r="T56">
        <v>1.39</v>
      </c>
      <c r="U56" t="s">
        <v>69</v>
      </c>
      <c r="V56">
        <v>0.22</v>
      </c>
      <c r="X56" t="s">
        <v>31</v>
      </c>
      <c r="Y56" t="s">
        <v>239</v>
      </c>
      <c r="Z56" t="s">
        <v>240</v>
      </c>
      <c r="AA56" t="s">
        <v>241</v>
      </c>
    </row>
    <row r="57" spans="1:27" hidden="1" x14ac:dyDescent="0.35">
      <c r="A57" t="s">
        <v>242</v>
      </c>
      <c r="C57">
        <v>176.020151</v>
      </c>
      <c r="D57">
        <v>-37.609310000000001</v>
      </c>
      <c r="E57">
        <v>2005</v>
      </c>
      <c r="F57" t="s">
        <v>243</v>
      </c>
      <c r="G57" t="s">
        <v>244</v>
      </c>
      <c r="H57" t="s">
        <v>245</v>
      </c>
      <c r="I57">
        <v>50</v>
      </c>
      <c r="J57">
        <v>50</v>
      </c>
      <c r="K57" t="s">
        <v>50</v>
      </c>
      <c r="L57">
        <v>100</v>
      </c>
      <c r="M57">
        <v>40</v>
      </c>
      <c r="N57">
        <v>1</v>
      </c>
      <c r="O57" t="s">
        <v>246</v>
      </c>
      <c r="P57">
        <v>135.1</v>
      </c>
      <c r="Q57" t="s">
        <v>69</v>
      </c>
      <c r="R57">
        <v>3.8</v>
      </c>
      <c r="T57">
        <v>106.4</v>
      </c>
      <c r="U57" t="s">
        <v>69</v>
      </c>
      <c r="V57">
        <v>3</v>
      </c>
      <c r="X57" t="s">
        <v>31</v>
      </c>
      <c r="Y57" t="s">
        <v>247</v>
      </c>
      <c r="Z57" t="s">
        <v>109</v>
      </c>
      <c r="AA57" t="s">
        <v>248</v>
      </c>
    </row>
    <row r="58" spans="1:27" hidden="1" x14ac:dyDescent="0.35">
      <c r="A58" t="s">
        <v>249</v>
      </c>
      <c r="C58">
        <v>121.640019</v>
      </c>
      <c r="D58">
        <v>29.105502000000001</v>
      </c>
      <c r="E58">
        <v>2019</v>
      </c>
      <c r="F58" t="s">
        <v>250</v>
      </c>
      <c r="G58" t="s">
        <v>251</v>
      </c>
      <c r="H58" t="s">
        <v>252</v>
      </c>
      <c r="I58">
        <v>300</v>
      </c>
      <c r="J58">
        <v>300</v>
      </c>
      <c r="K58" t="s">
        <v>84</v>
      </c>
      <c r="L58" t="s">
        <v>253</v>
      </c>
      <c r="M58">
        <v>0.5</v>
      </c>
      <c r="N58">
        <v>3</v>
      </c>
      <c r="O58" t="s">
        <v>254</v>
      </c>
      <c r="P58">
        <v>0.56999999999999995</v>
      </c>
      <c r="Q58" t="s">
        <v>69</v>
      </c>
      <c r="R58">
        <v>0.1</v>
      </c>
      <c r="T58">
        <v>0.9</v>
      </c>
      <c r="U58" t="s">
        <v>69</v>
      </c>
      <c r="V58">
        <v>0.1</v>
      </c>
      <c r="X58" t="s">
        <v>31</v>
      </c>
      <c r="Y58" t="s">
        <v>255</v>
      </c>
      <c r="Z58" t="s">
        <v>109</v>
      </c>
      <c r="AA58" t="s">
        <v>256</v>
      </c>
    </row>
    <row r="59" spans="1:27" x14ac:dyDescent="0.35">
      <c r="A59" t="s">
        <v>257</v>
      </c>
      <c r="B59" t="s">
        <v>494</v>
      </c>
      <c r="C59">
        <v>-9.0852489999999992</v>
      </c>
      <c r="D59">
        <v>38.762951000000001</v>
      </c>
      <c r="E59">
        <v>2016</v>
      </c>
      <c r="F59" t="s">
        <v>258</v>
      </c>
      <c r="G59" t="s">
        <v>259</v>
      </c>
      <c r="H59" t="s">
        <v>38</v>
      </c>
      <c r="I59">
        <v>150</v>
      </c>
      <c r="J59">
        <v>150</v>
      </c>
      <c r="K59" t="s">
        <v>55</v>
      </c>
      <c r="L59">
        <v>7.93</v>
      </c>
      <c r="M59">
        <v>7.54</v>
      </c>
      <c r="N59">
        <v>3</v>
      </c>
      <c r="O59" t="s">
        <v>260</v>
      </c>
      <c r="P59">
        <v>104</v>
      </c>
      <c r="Q59" t="s">
        <v>69</v>
      </c>
      <c r="R59">
        <v>1.1000000000000001</v>
      </c>
      <c r="S59">
        <f>R59*SQRT(I59)</f>
        <v>13.47219358530748</v>
      </c>
      <c r="T59">
        <v>106.1</v>
      </c>
      <c r="U59" t="s">
        <v>69</v>
      </c>
      <c r="V59">
        <v>0.9</v>
      </c>
      <c r="W59">
        <f>V59*SQRT(J59)</f>
        <v>11.022703842524301</v>
      </c>
      <c r="X59" t="s">
        <v>43</v>
      </c>
      <c r="Y59" t="s">
        <v>261</v>
      </c>
      <c r="Z59" t="s">
        <v>262</v>
      </c>
      <c r="AA59" t="s">
        <v>241</v>
      </c>
    </row>
    <row r="60" spans="1:27" x14ac:dyDescent="0.35">
      <c r="A60" t="s">
        <v>263</v>
      </c>
      <c r="B60" t="s">
        <v>494</v>
      </c>
      <c r="C60">
        <v>2.58786</v>
      </c>
      <c r="D60">
        <v>41.571736000000001</v>
      </c>
      <c r="E60">
        <v>2011</v>
      </c>
      <c r="F60" t="s">
        <v>264</v>
      </c>
      <c r="G60" t="s">
        <v>265</v>
      </c>
      <c r="H60" t="s">
        <v>64</v>
      </c>
      <c r="I60">
        <v>50</v>
      </c>
      <c r="J60">
        <v>50</v>
      </c>
      <c r="K60" t="s">
        <v>28</v>
      </c>
      <c r="L60">
        <v>19</v>
      </c>
      <c r="M60">
        <v>23</v>
      </c>
      <c r="N60">
        <v>5</v>
      </c>
      <c r="O60" t="s">
        <v>266</v>
      </c>
      <c r="P60">
        <v>223.1</v>
      </c>
      <c r="Q60" t="s">
        <v>42</v>
      </c>
      <c r="R60">
        <v>11.2</v>
      </c>
      <c r="S60">
        <v>11.2</v>
      </c>
      <c r="T60">
        <v>230.2</v>
      </c>
      <c r="U60" t="s">
        <v>42</v>
      </c>
      <c r="V60">
        <v>17.8</v>
      </c>
      <c r="W60">
        <v>17.8</v>
      </c>
      <c r="X60" t="s">
        <v>43</v>
      </c>
      <c r="Y60" t="s">
        <v>267</v>
      </c>
      <c r="Z60" t="s">
        <v>262</v>
      </c>
      <c r="AA60" t="s">
        <v>72</v>
      </c>
    </row>
    <row r="61" spans="1:27" hidden="1" x14ac:dyDescent="0.35">
      <c r="A61" t="s">
        <v>268</v>
      </c>
      <c r="C61">
        <v>-8.1796100000000003</v>
      </c>
      <c r="D61">
        <v>43.416511999999997</v>
      </c>
      <c r="E61">
        <v>2012</v>
      </c>
      <c r="F61" t="s">
        <v>187</v>
      </c>
      <c r="G61" t="s">
        <v>188</v>
      </c>
      <c r="H61" t="s">
        <v>113</v>
      </c>
      <c r="I61">
        <v>600</v>
      </c>
      <c r="J61">
        <v>600</v>
      </c>
      <c r="K61" t="s">
        <v>55</v>
      </c>
      <c r="L61">
        <v>7.88</v>
      </c>
      <c r="M61">
        <v>7.6</v>
      </c>
      <c r="N61">
        <v>3</v>
      </c>
      <c r="O61" t="s">
        <v>246</v>
      </c>
      <c r="P61">
        <v>9.17</v>
      </c>
      <c r="Q61" t="s">
        <v>69</v>
      </c>
      <c r="R61">
        <v>7.0000000000000007E-2</v>
      </c>
      <c r="T61">
        <v>8.9600000000000009</v>
      </c>
      <c r="U61" t="s">
        <v>69</v>
      </c>
      <c r="V61">
        <v>0.4</v>
      </c>
      <c r="X61" t="s">
        <v>31</v>
      </c>
      <c r="Y61" t="s">
        <v>269</v>
      </c>
      <c r="Z61" t="s">
        <v>33</v>
      </c>
      <c r="AA61" t="s">
        <v>270</v>
      </c>
    </row>
    <row r="62" spans="1:27" hidden="1" x14ac:dyDescent="0.35">
      <c r="A62" t="s">
        <v>271</v>
      </c>
      <c r="C62">
        <v>10.837864</v>
      </c>
      <c r="D62">
        <v>59.154257000000001</v>
      </c>
      <c r="E62">
        <v>2006</v>
      </c>
      <c r="F62" t="s">
        <v>133</v>
      </c>
      <c r="G62" t="s">
        <v>134</v>
      </c>
      <c r="H62" t="s">
        <v>113</v>
      </c>
      <c r="I62">
        <v>50</v>
      </c>
      <c r="J62">
        <v>50</v>
      </c>
      <c r="K62" t="s">
        <v>55</v>
      </c>
      <c r="L62">
        <v>8.1</v>
      </c>
      <c r="M62">
        <v>7.6</v>
      </c>
      <c r="N62">
        <v>1</v>
      </c>
      <c r="O62" t="s">
        <v>272</v>
      </c>
      <c r="P62">
        <v>21</v>
      </c>
      <c r="Q62" t="s">
        <v>115</v>
      </c>
      <c r="R62">
        <v>1.85</v>
      </c>
      <c r="T62">
        <v>21</v>
      </c>
      <c r="U62" t="s">
        <v>115</v>
      </c>
      <c r="V62">
        <v>1.57</v>
      </c>
      <c r="X62" t="s">
        <v>31</v>
      </c>
      <c r="Y62" t="s">
        <v>273</v>
      </c>
      <c r="Z62" t="s">
        <v>33</v>
      </c>
      <c r="AA62" t="s">
        <v>274</v>
      </c>
    </row>
    <row r="63" spans="1:27" hidden="1" x14ac:dyDescent="0.35">
      <c r="A63" t="s">
        <v>271</v>
      </c>
      <c r="C63">
        <v>10.837864</v>
      </c>
      <c r="D63">
        <v>59.154257000000001</v>
      </c>
      <c r="E63">
        <v>2006</v>
      </c>
      <c r="F63" t="s">
        <v>133</v>
      </c>
      <c r="G63" t="s">
        <v>134</v>
      </c>
      <c r="H63" t="s">
        <v>113</v>
      </c>
      <c r="I63">
        <v>50</v>
      </c>
      <c r="J63">
        <v>50</v>
      </c>
      <c r="K63" t="s">
        <v>55</v>
      </c>
      <c r="L63">
        <v>8.1</v>
      </c>
      <c r="M63">
        <v>7.6</v>
      </c>
      <c r="N63">
        <v>1</v>
      </c>
      <c r="O63" t="s">
        <v>275</v>
      </c>
      <c r="P63">
        <v>10.8</v>
      </c>
      <c r="Q63" t="s">
        <v>115</v>
      </c>
      <c r="R63">
        <v>1.05</v>
      </c>
      <c r="T63">
        <v>11.5</v>
      </c>
      <c r="U63" t="s">
        <v>115</v>
      </c>
      <c r="V63">
        <v>1.42</v>
      </c>
      <c r="X63" t="s">
        <v>31</v>
      </c>
      <c r="Y63" t="s">
        <v>273</v>
      </c>
      <c r="Z63" t="s">
        <v>33</v>
      </c>
      <c r="AA63" t="s">
        <v>274</v>
      </c>
    </row>
    <row r="64" spans="1:27" hidden="1" x14ac:dyDescent="0.35">
      <c r="A64" t="s">
        <v>276</v>
      </c>
      <c r="C64">
        <v>-70.460539999999995</v>
      </c>
      <c r="D64">
        <v>-23.571722000000001</v>
      </c>
      <c r="E64">
        <v>2012</v>
      </c>
      <c r="F64" t="s">
        <v>277</v>
      </c>
      <c r="G64" t="s">
        <v>278</v>
      </c>
      <c r="H64" t="s">
        <v>64</v>
      </c>
      <c r="I64">
        <v>36</v>
      </c>
      <c r="J64">
        <v>36</v>
      </c>
      <c r="K64" t="s">
        <v>28</v>
      </c>
      <c r="L64">
        <v>16</v>
      </c>
      <c r="M64">
        <v>20</v>
      </c>
      <c r="N64">
        <v>3</v>
      </c>
      <c r="O64" t="s">
        <v>279</v>
      </c>
      <c r="P64">
        <v>1.39</v>
      </c>
      <c r="Q64" t="s">
        <v>69</v>
      </c>
      <c r="R64">
        <v>0.2</v>
      </c>
      <c r="T64">
        <v>1.42</v>
      </c>
      <c r="U64" t="s">
        <v>69</v>
      </c>
      <c r="V64">
        <v>0.2</v>
      </c>
      <c r="X64" t="s">
        <v>205</v>
      </c>
      <c r="Y64">
        <v>60</v>
      </c>
      <c r="Z64" t="s">
        <v>280</v>
      </c>
      <c r="AA64" t="s">
        <v>72</v>
      </c>
    </row>
    <row r="65" spans="1:27" hidden="1" x14ac:dyDescent="0.35">
      <c r="A65" t="s">
        <v>281</v>
      </c>
      <c r="C65">
        <v>20.869774</v>
      </c>
      <c r="D65">
        <v>60.187866999999997</v>
      </c>
      <c r="E65">
        <v>2014</v>
      </c>
      <c r="F65" t="s">
        <v>282</v>
      </c>
      <c r="G65" t="s">
        <v>283</v>
      </c>
      <c r="H65" t="s">
        <v>113</v>
      </c>
      <c r="I65">
        <v>10</v>
      </c>
      <c r="J65">
        <v>10</v>
      </c>
      <c r="K65" t="s">
        <v>84</v>
      </c>
      <c r="L65">
        <v>20</v>
      </c>
      <c r="M65">
        <v>7</v>
      </c>
      <c r="N65">
        <v>1</v>
      </c>
      <c r="O65" t="s">
        <v>215</v>
      </c>
      <c r="P65">
        <v>17.899999999999999</v>
      </c>
      <c r="Q65" t="s">
        <v>42</v>
      </c>
      <c r="R65">
        <v>0.8</v>
      </c>
      <c r="T65">
        <v>15.4</v>
      </c>
      <c r="U65" t="s">
        <v>42</v>
      </c>
      <c r="V65">
        <v>0.3</v>
      </c>
      <c r="X65" t="s">
        <v>205</v>
      </c>
      <c r="Y65" t="s">
        <v>284</v>
      </c>
      <c r="Z65" t="s">
        <v>285</v>
      </c>
      <c r="AA65" t="s">
        <v>274</v>
      </c>
    </row>
    <row r="66" spans="1:27" x14ac:dyDescent="0.35">
      <c r="A66" t="s">
        <v>286</v>
      </c>
      <c r="B66" t="s">
        <v>494</v>
      </c>
      <c r="C66">
        <v>-5.289466</v>
      </c>
      <c r="D66">
        <v>36.237661000000003</v>
      </c>
      <c r="E66">
        <v>2012</v>
      </c>
      <c r="F66" t="s">
        <v>187</v>
      </c>
      <c r="G66" t="s">
        <v>188</v>
      </c>
      <c r="H66" t="s">
        <v>113</v>
      </c>
      <c r="I66">
        <v>30</v>
      </c>
      <c r="J66">
        <v>30</v>
      </c>
      <c r="K66" t="s">
        <v>28</v>
      </c>
      <c r="L66">
        <v>20</v>
      </c>
      <c r="M66">
        <v>24</v>
      </c>
      <c r="N66">
        <v>3</v>
      </c>
      <c r="O66" t="s">
        <v>287</v>
      </c>
      <c r="P66">
        <v>9.06</v>
      </c>
      <c r="Q66" t="s">
        <v>69</v>
      </c>
      <c r="R66">
        <v>1.2</v>
      </c>
      <c r="S66">
        <f>R66*SQRT(I66)</f>
        <v>6.5726706900619929</v>
      </c>
      <c r="T66">
        <v>8.7100000000000009</v>
      </c>
      <c r="U66" t="s">
        <v>69</v>
      </c>
      <c r="V66">
        <v>0.4</v>
      </c>
      <c r="W66">
        <f>V66*SQRT(J66)</f>
        <v>2.1908902300206647</v>
      </c>
      <c r="X66" t="s">
        <v>43</v>
      </c>
      <c r="Y66" t="s">
        <v>288</v>
      </c>
      <c r="Z66" t="s">
        <v>33</v>
      </c>
      <c r="AA66" t="s">
        <v>274</v>
      </c>
    </row>
    <row r="67" spans="1:27" hidden="1" x14ac:dyDescent="0.35">
      <c r="A67" t="s">
        <v>289</v>
      </c>
      <c r="C67">
        <v>10.24324</v>
      </c>
      <c r="D67">
        <v>54.494732999999997</v>
      </c>
      <c r="E67">
        <v>2018</v>
      </c>
      <c r="F67" t="s">
        <v>282</v>
      </c>
      <c r="G67" t="s">
        <v>283</v>
      </c>
      <c r="H67" t="s">
        <v>113</v>
      </c>
      <c r="I67">
        <v>40</v>
      </c>
      <c r="J67">
        <v>40</v>
      </c>
      <c r="K67" t="s">
        <v>84</v>
      </c>
      <c r="L67">
        <v>16</v>
      </c>
      <c r="M67">
        <v>6</v>
      </c>
      <c r="N67">
        <v>4</v>
      </c>
      <c r="O67" t="s">
        <v>290</v>
      </c>
      <c r="P67">
        <v>21.2</v>
      </c>
      <c r="Q67" t="s">
        <v>69</v>
      </c>
      <c r="R67">
        <v>1.2</v>
      </c>
      <c r="T67">
        <v>13.3</v>
      </c>
      <c r="U67" t="s">
        <v>69</v>
      </c>
      <c r="V67">
        <v>2</v>
      </c>
      <c r="X67" t="s">
        <v>205</v>
      </c>
      <c r="Y67" t="s">
        <v>291</v>
      </c>
      <c r="Z67" t="s">
        <v>33</v>
      </c>
      <c r="AA67" t="s">
        <v>292</v>
      </c>
    </row>
    <row r="68" spans="1:27" hidden="1" x14ac:dyDescent="0.35">
      <c r="A68" t="s">
        <v>289</v>
      </c>
      <c r="C68">
        <v>10.24324</v>
      </c>
      <c r="D68">
        <v>54.494732999999997</v>
      </c>
      <c r="E68">
        <v>2018</v>
      </c>
      <c r="F68" t="s">
        <v>282</v>
      </c>
      <c r="G68" t="s">
        <v>283</v>
      </c>
      <c r="H68" t="s">
        <v>113</v>
      </c>
      <c r="I68">
        <v>40</v>
      </c>
      <c r="J68">
        <v>40</v>
      </c>
      <c r="K68" t="s">
        <v>28</v>
      </c>
      <c r="L68">
        <v>8</v>
      </c>
      <c r="M68">
        <v>18</v>
      </c>
      <c r="N68">
        <v>4</v>
      </c>
      <c r="O68" t="s">
        <v>290</v>
      </c>
      <c r="P68">
        <v>21.2</v>
      </c>
      <c r="Q68" t="s">
        <v>69</v>
      </c>
      <c r="R68">
        <v>1.2</v>
      </c>
      <c r="T68">
        <v>41.4</v>
      </c>
      <c r="U68" t="s">
        <v>69</v>
      </c>
      <c r="V68">
        <v>8</v>
      </c>
      <c r="X68" t="s">
        <v>205</v>
      </c>
      <c r="Y68" t="s">
        <v>291</v>
      </c>
      <c r="Z68" t="s">
        <v>33</v>
      </c>
      <c r="AA68" t="s">
        <v>292</v>
      </c>
    </row>
    <row r="69" spans="1:27" hidden="1" x14ac:dyDescent="0.35">
      <c r="A69" t="s">
        <v>289</v>
      </c>
      <c r="C69">
        <v>10.24324</v>
      </c>
      <c r="D69">
        <v>54.494732999999997</v>
      </c>
      <c r="E69">
        <v>2018</v>
      </c>
      <c r="F69" t="s">
        <v>282</v>
      </c>
      <c r="G69" t="s">
        <v>283</v>
      </c>
      <c r="H69" t="s">
        <v>113</v>
      </c>
      <c r="I69">
        <v>40</v>
      </c>
      <c r="J69">
        <v>40</v>
      </c>
      <c r="K69" t="s">
        <v>131</v>
      </c>
      <c r="L69" t="s">
        <v>293</v>
      </c>
      <c r="M69" t="s">
        <v>294</v>
      </c>
      <c r="N69">
        <v>4</v>
      </c>
      <c r="O69" t="s">
        <v>290</v>
      </c>
      <c r="P69">
        <v>21.2</v>
      </c>
      <c r="Q69" t="s">
        <v>69</v>
      </c>
      <c r="R69">
        <v>1.2</v>
      </c>
      <c r="T69">
        <v>19.399999999999999</v>
      </c>
      <c r="U69" t="s">
        <v>69</v>
      </c>
      <c r="V69">
        <v>3.8</v>
      </c>
      <c r="X69" t="s">
        <v>205</v>
      </c>
      <c r="Y69" t="s">
        <v>291</v>
      </c>
      <c r="Z69" t="s">
        <v>33</v>
      </c>
      <c r="AA69" t="s">
        <v>292</v>
      </c>
    </row>
    <row r="70" spans="1:27" hidden="1" x14ac:dyDescent="0.35">
      <c r="A70" t="s">
        <v>295</v>
      </c>
      <c r="C70">
        <v>122.772335</v>
      </c>
      <c r="D70">
        <v>30.704086</v>
      </c>
      <c r="E70">
        <v>2020</v>
      </c>
      <c r="F70" t="s">
        <v>296</v>
      </c>
      <c r="G70" t="s">
        <v>297</v>
      </c>
      <c r="H70" t="s">
        <v>113</v>
      </c>
      <c r="I70">
        <v>30</v>
      </c>
      <c r="J70">
        <v>30</v>
      </c>
      <c r="K70" t="s">
        <v>50</v>
      </c>
      <c r="L70">
        <v>8</v>
      </c>
      <c r="M70">
        <v>2</v>
      </c>
      <c r="N70">
        <v>3</v>
      </c>
      <c r="O70" t="s">
        <v>279</v>
      </c>
      <c r="P70">
        <v>4.4000000000000004</v>
      </c>
      <c r="Q70" t="s">
        <v>42</v>
      </c>
      <c r="R70">
        <v>0.1</v>
      </c>
      <c r="T70">
        <v>1.9</v>
      </c>
      <c r="U70" t="s">
        <v>42</v>
      </c>
      <c r="V70">
        <v>0.1</v>
      </c>
      <c r="X70" t="s">
        <v>205</v>
      </c>
      <c r="Y70" t="s">
        <v>298</v>
      </c>
      <c r="Z70" t="s">
        <v>299</v>
      </c>
      <c r="AA70" t="s">
        <v>241</v>
      </c>
    </row>
    <row r="71" spans="1:27" hidden="1" x14ac:dyDescent="0.35">
      <c r="A71" t="s">
        <v>295</v>
      </c>
      <c r="C71">
        <v>122.772335</v>
      </c>
      <c r="D71">
        <v>30.704086</v>
      </c>
      <c r="E71">
        <v>2020</v>
      </c>
      <c r="F71" t="s">
        <v>296</v>
      </c>
      <c r="G71" t="s">
        <v>297</v>
      </c>
      <c r="H71" t="s">
        <v>113</v>
      </c>
      <c r="I71">
        <v>30</v>
      </c>
      <c r="J71">
        <v>30</v>
      </c>
      <c r="K71" t="s">
        <v>55</v>
      </c>
      <c r="L71">
        <v>8.1</v>
      </c>
      <c r="M71">
        <v>7.3</v>
      </c>
      <c r="N71">
        <v>3</v>
      </c>
      <c r="O71" t="s">
        <v>279</v>
      </c>
      <c r="P71">
        <v>4.4000000000000004</v>
      </c>
      <c r="Q71" t="s">
        <v>42</v>
      </c>
      <c r="R71">
        <v>0.1</v>
      </c>
      <c r="T71">
        <v>2</v>
      </c>
      <c r="U71" t="s">
        <v>42</v>
      </c>
      <c r="V71">
        <v>0.1</v>
      </c>
      <c r="X71" t="s">
        <v>205</v>
      </c>
      <c r="Y71" t="s">
        <v>298</v>
      </c>
      <c r="Z71" t="s">
        <v>299</v>
      </c>
      <c r="AA71" t="s">
        <v>241</v>
      </c>
    </row>
    <row r="72" spans="1:27" hidden="1" x14ac:dyDescent="0.35">
      <c r="A72" t="s">
        <v>295</v>
      </c>
      <c r="C72">
        <v>122.772335</v>
      </c>
      <c r="D72">
        <v>30.704086</v>
      </c>
      <c r="E72">
        <v>2020</v>
      </c>
      <c r="F72" t="s">
        <v>296</v>
      </c>
      <c r="G72" t="s">
        <v>297</v>
      </c>
      <c r="H72" t="s">
        <v>113</v>
      </c>
      <c r="I72">
        <v>30</v>
      </c>
      <c r="J72">
        <v>30</v>
      </c>
      <c r="K72" t="s">
        <v>57</v>
      </c>
      <c r="L72" t="s">
        <v>300</v>
      </c>
      <c r="M72" t="s">
        <v>301</v>
      </c>
      <c r="N72">
        <v>3</v>
      </c>
      <c r="O72" t="s">
        <v>279</v>
      </c>
      <c r="P72">
        <v>4.4000000000000004</v>
      </c>
      <c r="Q72" t="s">
        <v>42</v>
      </c>
      <c r="R72">
        <v>0.1</v>
      </c>
      <c r="T72">
        <v>1.2</v>
      </c>
      <c r="U72" t="s">
        <v>42</v>
      </c>
      <c r="V72">
        <v>0.1</v>
      </c>
      <c r="X72" t="s">
        <v>205</v>
      </c>
      <c r="Y72" t="s">
        <v>298</v>
      </c>
      <c r="Z72" t="s">
        <v>299</v>
      </c>
      <c r="AA72" t="s">
        <v>241</v>
      </c>
    </row>
    <row r="73" spans="1:27" hidden="1" x14ac:dyDescent="0.35">
      <c r="A73" t="s">
        <v>302</v>
      </c>
      <c r="C73">
        <v>19.138694000000001</v>
      </c>
      <c r="D73">
        <v>54.555613000000001</v>
      </c>
      <c r="E73">
        <v>2018</v>
      </c>
      <c r="F73" t="s">
        <v>303</v>
      </c>
      <c r="G73" t="s">
        <v>157</v>
      </c>
      <c r="H73" t="s">
        <v>158</v>
      </c>
      <c r="I73">
        <v>175</v>
      </c>
      <c r="J73">
        <v>175</v>
      </c>
      <c r="K73" t="s">
        <v>55</v>
      </c>
      <c r="L73">
        <v>7.7</v>
      </c>
      <c r="M73">
        <v>7</v>
      </c>
      <c r="N73">
        <v>5</v>
      </c>
      <c r="O73" t="s">
        <v>279</v>
      </c>
      <c r="P73">
        <v>9.1</v>
      </c>
      <c r="Q73" t="s">
        <v>69</v>
      </c>
      <c r="R73">
        <v>0.4</v>
      </c>
      <c r="T73">
        <v>8.6999999999999993</v>
      </c>
      <c r="U73" t="s">
        <v>69</v>
      </c>
      <c r="V73">
        <v>0.4</v>
      </c>
      <c r="X73" t="s">
        <v>205</v>
      </c>
      <c r="Y73" t="s">
        <v>304</v>
      </c>
      <c r="Z73" t="s">
        <v>305</v>
      </c>
      <c r="AA73" t="s">
        <v>306</v>
      </c>
    </row>
    <row r="74" spans="1:27" hidden="1" x14ac:dyDescent="0.35">
      <c r="A74" t="s">
        <v>307</v>
      </c>
      <c r="C74">
        <v>-72.079407000000003</v>
      </c>
      <c r="D74">
        <v>41.029842000000002</v>
      </c>
      <c r="E74">
        <v>2018</v>
      </c>
      <c r="F74" t="s">
        <v>133</v>
      </c>
      <c r="G74" t="s">
        <v>134</v>
      </c>
      <c r="H74" t="s">
        <v>113</v>
      </c>
      <c r="I74">
        <v>15</v>
      </c>
      <c r="J74">
        <v>15</v>
      </c>
      <c r="K74" t="s">
        <v>50</v>
      </c>
      <c r="L74">
        <v>7</v>
      </c>
      <c r="M74">
        <v>2</v>
      </c>
      <c r="N74">
        <v>4</v>
      </c>
      <c r="O74" t="s">
        <v>308</v>
      </c>
      <c r="P74">
        <v>0.307</v>
      </c>
      <c r="Q74" t="s">
        <v>69</v>
      </c>
      <c r="R74">
        <v>5.5E-2</v>
      </c>
      <c r="T74">
        <v>7.6999999999999999E-2</v>
      </c>
      <c r="U74" t="s">
        <v>69</v>
      </c>
      <c r="V74">
        <v>5.5E-2</v>
      </c>
      <c r="X74" t="s">
        <v>31</v>
      </c>
      <c r="Y74" t="s">
        <v>309</v>
      </c>
      <c r="Z74" t="s">
        <v>33</v>
      </c>
      <c r="AA74" t="s">
        <v>199</v>
      </c>
    </row>
    <row r="75" spans="1:27" hidden="1" x14ac:dyDescent="0.35">
      <c r="A75" t="s">
        <v>307</v>
      </c>
      <c r="C75">
        <v>-72.079407000000003</v>
      </c>
      <c r="D75">
        <v>41.029842000000002</v>
      </c>
      <c r="E75">
        <v>2018</v>
      </c>
      <c r="F75" t="s">
        <v>133</v>
      </c>
      <c r="G75" t="s">
        <v>134</v>
      </c>
      <c r="H75" t="s">
        <v>113</v>
      </c>
      <c r="I75">
        <v>20</v>
      </c>
      <c r="J75">
        <v>20</v>
      </c>
      <c r="K75" t="s">
        <v>50</v>
      </c>
      <c r="L75">
        <v>7.1</v>
      </c>
      <c r="M75">
        <v>3.6</v>
      </c>
      <c r="N75">
        <v>4</v>
      </c>
      <c r="O75" t="s">
        <v>308</v>
      </c>
      <c r="P75">
        <v>0.24399999999999999</v>
      </c>
      <c r="Q75" t="s">
        <v>69</v>
      </c>
      <c r="R75">
        <v>4.3999999999999997E-2</v>
      </c>
      <c r="T75">
        <v>0.26100000000000001</v>
      </c>
      <c r="U75" t="s">
        <v>69</v>
      </c>
      <c r="V75">
        <v>5.7000000000000002E-2</v>
      </c>
      <c r="X75" t="s">
        <v>31</v>
      </c>
      <c r="Y75" t="s">
        <v>309</v>
      </c>
      <c r="Z75" t="s">
        <v>33</v>
      </c>
      <c r="AA75" t="s">
        <v>310</v>
      </c>
    </row>
    <row r="76" spans="1:27" hidden="1" x14ac:dyDescent="0.35">
      <c r="A76" t="s">
        <v>307</v>
      </c>
      <c r="C76">
        <v>-72.079407000000003</v>
      </c>
      <c r="D76">
        <v>41.029842000000002</v>
      </c>
      <c r="E76">
        <v>2018</v>
      </c>
      <c r="F76" t="s">
        <v>133</v>
      </c>
      <c r="G76" t="s">
        <v>134</v>
      </c>
      <c r="H76" t="s">
        <v>113</v>
      </c>
      <c r="I76">
        <v>15</v>
      </c>
      <c r="J76">
        <v>15</v>
      </c>
      <c r="K76" t="s">
        <v>55</v>
      </c>
      <c r="L76">
        <v>8</v>
      </c>
      <c r="M76">
        <v>7.2</v>
      </c>
      <c r="N76">
        <v>4</v>
      </c>
      <c r="O76" t="s">
        <v>308</v>
      </c>
      <c r="P76">
        <v>0.307</v>
      </c>
      <c r="Q76" t="s">
        <v>69</v>
      </c>
      <c r="R76">
        <v>5.5E-2</v>
      </c>
      <c r="T76">
        <v>0.28899999999999998</v>
      </c>
      <c r="U76" t="s">
        <v>69</v>
      </c>
      <c r="V76">
        <v>5.5E-2</v>
      </c>
      <c r="X76" t="s">
        <v>31</v>
      </c>
      <c r="Y76" t="s">
        <v>309</v>
      </c>
      <c r="Z76" t="s">
        <v>33</v>
      </c>
      <c r="AA76" t="s">
        <v>199</v>
      </c>
    </row>
    <row r="77" spans="1:27" hidden="1" x14ac:dyDescent="0.35">
      <c r="A77" t="s">
        <v>307</v>
      </c>
      <c r="C77">
        <v>-72.079407000000003</v>
      </c>
      <c r="D77">
        <v>41.029842000000002</v>
      </c>
      <c r="E77">
        <v>2018</v>
      </c>
      <c r="F77" t="s">
        <v>133</v>
      </c>
      <c r="G77" t="s">
        <v>134</v>
      </c>
      <c r="H77" t="s">
        <v>113</v>
      </c>
      <c r="I77">
        <v>20</v>
      </c>
      <c r="J77">
        <v>20</v>
      </c>
      <c r="K77" t="s">
        <v>55</v>
      </c>
      <c r="L77">
        <v>7.9</v>
      </c>
      <c r="M77">
        <v>7.3</v>
      </c>
      <c r="N77">
        <v>4</v>
      </c>
      <c r="O77" t="s">
        <v>308</v>
      </c>
      <c r="P77">
        <v>0.24399999999999999</v>
      </c>
      <c r="Q77" t="s">
        <v>69</v>
      </c>
      <c r="R77">
        <v>4.3999999999999997E-2</v>
      </c>
      <c r="T77">
        <v>0.313</v>
      </c>
      <c r="U77" t="s">
        <v>69</v>
      </c>
      <c r="V77">
        <v>9.0999999999999998E-2</v>
      </c>
      <c r="X77" t="s">
        <v>31</v>
      </c>
      <c r="Y77" t="s">
        <v>309</v>
      </c>
      <c r="Z77" t="s">
        <v>33</v>
      </c>
      <c r="AA77" t="s">
        <v>310</v>
      </c>
    </row>
    <row r="78" spans="1:27" hidden="1" x14ac:dyDescent="0.35">
      <c r="A78" t="s">
        <v>307</v>
      </c>
      <c r="C78">
        <v>-72.079407000000003</v>
      </c>
      <c r="D78">
        <v>41.029842000000002</v>
      </c>
      <c r="E78">
        <v>2018</v>
      </c>
      <c r="F78" t="s">
        <v>133</v>
      </c>
      <c r="G78" t="s">
        <v>134</v>
      </c>
      <c r="H78" t="s">
        <v>113</v>
      </c>
      <c r="I78">
        <v>15</v>
      </c>
      <c r="J78">
        <v>15</v>
      </c>
      <c r="K78" t="s">
        <v>57</v>
      </c>
      <c r="L78" t="s">
        <v>311</v>
      </c>
      <c r="M78" t="s">
        <v>312</v>
      </c>
      <c r="N78">
        <v>4</v>
      </c>
      <c r="O78" t="s">
        <v>308</v>
      </c>
      <c r="P78">
        <v>0.307</v>
      </c>
      <c r="Q78" t="s">
        <v>69</v>
      </c>
      <c r="R78">
        <v>5.5E-2</v>
      </c>
      <c r="T78">
        <v>0.14000000000000001</v>
      </c>
      <c r="U78" t="s">
        <v>69</v>
      </c>
      <c r="V78">
        <v>5.5E-2</v>
      </c>
      <c r="X78" t="s">
        <v>31</v>
      </c>
      <c r="Y78" t="s">
        <v>309</v>
      </c>
      <c r="Z78" t="s">
        <v>33</v>
      </c>
      <c r="AA78" t="s">
        <v>199</v>
      </c>
    </row>
    <row r="79" spans="1:27" hidden="1" x14ac:dyDescent="0.35">
      <c r="A79" t="s">
        <v>307</v>
      </c>
      <c r="C79">
        <v>-72.079407000000003</v>
      </c>
      <c r="D79">
        <v>41.029842000000002</v>
      </c>
      <c r="E79">
        <v>2018</v>
      </c>
      <c r="F79" t="s">
        <v>133</v>
      </c>
      <c r="G79" t="s">
        <v>134</v>
      </c>
      <c r="H79" t="s">
        <v>113</v>
      </c>
      <c r="I79">
        <v>20</v>
      </c>
      <c r="J79">
        <v>20</v>
      </c>
      <c r="K79" t="s">
        <v>57</v>
      </c>
      <c r="L79" t="s">
        <v>313</v>
      </c>
      <c r="M79" t="s">
        <v>314</v>
      </c>
      <c r="N79">
        <v>4</v>
      </c>
      <c r="O79" t="s">
        <v>308</v>
      </c>
      <c r="P79">
        <v>0.24399999999999999</v>
      </c>
      <c r="Q79" t="s">
        <v>69</v>
      </c>
      <c r="R79">
        <v>4.3999999999999997E-2</v>
      </c>
      <c r="T79">
        <v>0.247</v>
      </c>
      <c r="U79" t="s">
        <v>69</v>
      </c>
      <c r="V79">
        <v>3.9E-2</v>
      </c>
      <c r="X79" t="s">
        <v>31</v>
      </c>
      <c r="Y79" t="s">
        <v>309</v>
      </c>
      <c r="Z79" t="s">
        <v>33</v>
      </c>
      <c r="AA79" t="s">
        <v>310</v>
      </c>
    </row>
    <row r="80" spans="1:27" hidden="1" x14ac:dyDescent="0.35">
      <c r="A80" t="s">
        <v>307</v>
      </c>
      <c r="C80">
        <v>-72.079407000000003</v>
      </c>
      <c r="D80">
        <v>41.029842000000002</v>
      </c>
      <c r="E80">
        <v>2018</v>
      </c>
      <c r="F80" t="s">
        <v>133</v>
      </c>
      <c r="G80" t="s">
        <v>134</v>
      </c>
      <c r="H80" t="s">
        <v>113</v>
      </c>
      <c r="I80">
        <v>20</v>
      </c>
      <c r="J80">
        <v>20</v>
      </c>
      <c r="K80" t="s">
        <v>139</v>
      </c>
      <c r="L80" t="s">
        <v>315</v>
      </c>
      <c r="M80" t="s">
        <v>316</v>
      </c>
      <c r="N80">
        <v>4</v>
      </c>
      <c r="O80" t="s">
        <v>308</v>
      </c>
      <c r="P80">
        <v>0.24399999999999999</v>
      </c>
      <c r="Q80" t="s">
        <v>69</v>
      </c>
      <c r="R80">
        <v>4.3999999999999997E-2</v>
      </c>
      <c r="T80">
        <v>0.36099999999999999</v>
      </c>
      <c r="U80" t="s">
        <v>69</v>
      </c>
      <c r="V80">
        <v>0.16</v>
      </c>
      <c r="X80" t="s">
        <v>31</v>
      </c>
      <c r="Y80" t="s">
        <v>309</v>
      </c>
      <c r="Z80" t="s">
        <v>33</v>
      </c>
      <c r="AA80" t="s">
        <v>310</v>
      </c>
    </row>
    <row r="81" spans="1:27" hidden="1" x14ac:dyDescent="0.35">
      <c r="A81" t="s">
        <v>307</v>
      </c>
      <c r="C81">
        <v>-72.079407000000003</v>
      </c>
      <c r="D81">
        <v>41.029842000000002</v>
      </c>
      <c r="E81">
        <v>2018</v>
      </c>
      <c r="F81" t="s">
        <v>133</v>
      </c>
      <c r="G81" t="s">
        <v>134</v>
      </c>
      <c r="H81" t="s">
        <v>113</v>
      </c>
      <c r="I81">
        <v>20</v>
      </c>
      <c r="J81">
        <v>20</v>
      </c>
      <c r="K81" t="s">
        <v>28</v>
      </c>
      <c r="L81">
        <v>20</v>
      </c>
      <c r="M81">
        <v>25</v>
      </c>
      <c r="N81">
        <v>4</v>
      </c>
      <c r="O81" t="s">
        <v>308</v>
      </c>
      <c r="P81">
        <v>0.24399999999999999</v>
      </c>
      <c r="Q81" t="s">
        <v>69</v>
      </c>
      <c r="R81">
        <v>4.3999999999999997E-2</v>
      </c>
      <c r="T81">
        <v>0.33</v>
      </c>
      <c r="U81" t="s">
        <v>69</v>
      </c>
      <c r="V81">
        <v>0.28299999999999997</v>
      </c>
      <c r="X81" t="s">
        <v>31</v>
      </c>
      <c r="Y81" t="s">
        <v>309</v>
      </c>
      <c r="Z81" t="s">
        <v>33</v>
      </c>
      <c r="AA81" t="s">
        <v>310</v>
      </c>
    </row>
    <row r="82" spans="1:27" hidden="1" x14ac:dyDescent="0.35">
      <c r="A82" t="s">
        <v>307</v>
      </c>
      <c r="C82">
        <v>-72.079407000000003</v>
      </c>
      <c r="D82">
        <v>41.029842000000002</v>
      </c>
      <c r="E82">
        <v>2018</v>
      </c>
      <c r="F82" t="s">
        <v>133</v>
      </c>
      <c r="G82" t="s">
        <v>134</v>
      </c>
      <c r="H82" t="s">
        <v>113</v>
      </c>
      <c r="I82">
        <v>20</v>
      </c>
      <c r="J82">
        <v>20</v>
      </c>
      <c r="K82" t="s">
        <v>317</v>
      </c>
      <c r="L82" t="s">
        <v>318</v>
      </c>
      <c r="M82" t="s">
        <v>319</v>
      </c>
      <c r="N82">
        <v>4</v>
      </c>
      <c r="O82" t="s">
        <v>308</v>
      </c>
      <c r="P82">
        <v>0.24399999999999999</v>
      </c>
      <c r="Q82" t="s">
        <v>69</v>
      </c>
      <c r="R82">
        <v>4.3999999999999997E-2</v>
      </c>
      <c r="T82">
        <v>0.42199999999999999</v>
      </c>
      <c r="U82" t="s">
        <v>69</v>
      </c>
      <c r="V82">
        <v>0.20599999999999999</v>
      </c>
      <c r="X82" t="s">
        <v>31</v>
      </c>
      <c r="Y82" t="s">
        <v>309</v>
      </c>
      <c r="Z82" t="s">
        <v>33</v>
      </c>
      <c r="AA82" t="s">
        <v>310</v>
      </c>
    </row>
    <row r="83" spans="1:27" hidden="1" x14ac:dyDescent="0.35">
      <c r="A83" t="s">
        <v>307</v>
      </c>
      <c r="C83">
        <v>-72.079407000000003</v>
      </c>
      <c r="D83">
        <v>41.029842000000002</v>
      </c>
      <c r="E83">
        <v>2018</v>
      </c>
      <c r="F83" t="s">
        <v>133</v>
      </c>
      <c r="G83" t="s">
        <v>134</v>
      </c>
      <c r="H83" t="s">
        <v>113</v>
      </c>
      <c r="I83">
        <v>20</v>
      </c>
      <c r="J83">
        <v>20</v>
      </c>
      <c r="K83" t="s">
        <v>320</v>
      </c>
      <c r="L83" t="s">
        <v>321</v>
      </c>
      <c r="M83" t="s">
        <v>322</v>
      </c>
      <c r="N83">
        <v>4</v>
      </c>
      <c r="O83" t="s">
        <v>308</v>
      </c>
      <c r="P83">
        <v>0.24399999999999999</v>
      </c>
      <c r="Q83" t="s">
        <v>69</v>
      </c>
      <c r="R83">
        <v>4.3999999999999997E-2</v>
      </c>
      <c r="T83">
        <v>0.24</v>
      </c>
      <c r="U83" t="s">
        <v>69</v>
      </c>
      <c r="V83">
        <v>9.6000000000000002E-2</v>
      </c>
      <c r="X83" t="s">
        <v>31</v>
      </c>
      <c r="Y83" t="s">
        <v>309</v>
      </c>
      <c r="Z83" t="s">
        <v>33</v>
      </c>
      <c r="AA83" t="s">
        <v>310</v>
      </c>
    </row>
    <row r="84" spans="1:27" hidden="1" x14ac:dyDescent="0.35">
      <c r="A84" t="s">
        <v>307</v>
      </c>
      <c r="C84">
        <v>-72.079407000000003</v>
      </c>
      <c r="D84">
        <v>41.029842000000002</v>
      </c>
      <c r="E84">
        <v>2018</v>
      </c>
      <c r="F84" t="s">
        <v>47</v>
      </c>
      <c r="G84" t="s">
        <v>48</v>
      </c>
      <c r="H84" t="s">
        <v>49</v>
      </c>
      <c r="I84">
        <v>15</v>
      </c>
      <c r="J84">
        <v>15</v>
      </c>
      <c r="K84" t="s">
        <v>50</v>
      </c>
      <c r="L84">
        <v>7</v>
      </c>
      <c r="M84">
        <v>2</v>
      </c>
      <c r="N84">
        <v>4</v>
      </c>
      <c r="O84" t="s">
        <v>308</v>
      </c>
      <c r="P84">
        <v>0.21299999999999999</v>
      </c>
      <c r="Q84" t="s">
        <v>69</v>
      </c>
      <c r="R84">
        <v>3.1E-2</v>
      </c>
      <c r="T84">
        <v>0.156</v>
      </c>
      <c r="U84" t="s">
        <v>69</v>
      </c>
      <c r="V84">
        <v>2.3E-2</v>
      </c>
      <c r="X84" t="s">
        <v>31</v>
      </c>
      <c r="Y84" t="s">
        <v>309</v>
      </c>
      <c r="Z84" t="s">
        <v>33</v>
      </c>
      <c r="AA84" t="s">
        <v>72</v>
      </c>
    </row>
    <row r="85" spans="1:27" hidden="1" x14ac:dyDescent="0.35">
      <c r="A85" t="s">
        <v>307</v>
      </c>
      <c r="C85">
        <v>-72.079407000000003</v>
      </c>
      <c r="D85">
        <v>41.029842000000002</v>
      </c>
      <c r="E85">
        <v>2018</v>
      </c>
      <c r="F85" t="s">
        <v>47</v>
      </c>
      <c r="G85" t="s">
        <v>48</v>
      </c>
      <c r="H85" t="s">
        <v>49</v>
      </c>
      <c r="I85">
        <v>15</v>
      </c>
      <c r="J85">
        <v>15</v>
      </c>
      <c r="K85" t="s">
        <v>50</v>
      </c>
      <c r="L85">
        <v>7.1</v>
      </c>
      <c r="M85">
        <v>3.6</v>
      </c>
      <c r="N85">
        <v>4</v>
      </c>
      <c r="O85" t="s">
        <v>308</v>
      </c>
      <c r="P85">
        <v>0.27600000000000002</v>
      </c>
      <c r="Q85" t="s">
        <v>69</v>
      </c>
      <c r="R85">
        <v>3.4000000000000002E-2</v>
      </c>
      <c r="T85">
        <v>0.26</v>
      </c>
      <c r="U85" t="s">
        <v>69</v>
      </c>
      <c r="V85">
        <v>3.4000000000000002E-2</v>
      </c>
      <c r="X85" t="s">
        <v>31</v>
      </c>
      <c r="Y85" t="s">
        <v>309</v>
      </c>
      <c r="Z85" t="s">
        <v>33</v>
      </c>
      <c r="AA85" t="s">
        <v>323</v>
      </c>
    </row>
    <row r="86" spans="1:27" hidden="1" x14ac:dyDescent="0.35">
      <c r="A86" t="s">
        <v>307</v>
      </c>
      <c r="C86">
        <v>-72.079407000000003</v>
      </c>
      <c r="D86">
        <v>41.029842000000002</v>
      </c>
      <c r="E86">
        <v>2018</v>
      </c>
      <c r="F86" t="s">
        <v>47</v>
      </c>
      <c r="G86" t="s">
        <v>48</v>
      </c>
      <c r="H86" t="s">
        <v>49</v>
      </c>
      <c r="I86">
        <v>15</v>
      </c>
      <c r="J86">
        <v>15</v>
      </c>
      <c r="K86" t="s">
        <v>55</v>
      </c>
      <c r="L86">
        <v>8</v>
      </c>
      <c r="M86">
        <v>7.2</v>
      </c>
      <c r="N86">
        <v>4</v>
      </c>
      <c r="O86" t="s">
        <v>308</v>
      </c>
      <c r="P86">
        <v>0.21299999999999999</v>
      </c>
      <c r="Q86" t="s">
        <v>69</v>
      </c>
      <c r="R86">
        <v>3.1E-2</v>
      </c>
      <c r="T86">
        <v>0.20499999999999999</v>
      </c>
      <c r="U86" t="s">
        <v>69</v>
      </c>
      <c r="V86">
        <v>0.03</v>
      </c>
      <c r="X86" t="s">
        <v>31</v>
      </c>
      <c r="Y86" t="s">
        <v>309</v>
      </c>
      <c r="Z86" t="s">
        <v>33</v>
      </c>
      <c r="AA86" t="s">
        <v>72</v>
      </c>
    </row>
    <row r="87" spans="1:27" hidden="1" x14ac:dyDescent="0.35">
      <c r="A87" t="s">
        <v>307</v>
      </c>
      <c r="C87">
        <v>-72.079407000000003</v>
      </c>
      <c r="D87">
        <v>41.029842000000002</v>
      </c>
      <c r="E87">
        <v>2018</v>
      </c>
      <c r="F87" t="s">
        <v>47</v>
      </c>
      <c r="G87" t="s">
        <v>48</v>
      </c>
      <c r="H87" t="s">
        <v>49</v>
      </c>
      <c r="I87">
        <v>15</v>
      </c>
      <c r="J87">
        <v>15</v>
      </c>
      <c r="K87" t="s">
        <v>55</v>
      </c>
      <c r="L87">
        <v>7.9</v>
      </c>
      <c r="M87">
        <v>7.3</v>
      </c>
      <c r="N87">
        <v>4</v>
      </c>
      <c r="O87" t="s">
        <v>308</v>
      </c>
      <c r="P87">
        <v>0.27600000000000002</v>
      </c>
      <c r="Q87" t="s">
        <v>69</v>
      </c>
      <c r="R87">
        <v>3.4000000000000002E-2</v>
      </c>
      <c r="T87">
        <v>0.27600000000000002</v>
      </c>
      <c r="U87" t="s">
        <v>69</v>
      </c>
      <c r="V87">
        <v>3.3000000000000002E-2</v>
      </c>
      <c r="X87" t="s">
        <v>31</v>
      </c>
      <c r="Y87" t="s">
        <v>309</v>
      </c>
      <c r="Z87" t="s">
        <v>33</v>
      </c>
      <c r="AA87" t="s">
        <v>323</v>
      </c>
    </row>
    <row r="88" spans="1:27" hidden="1" x14ac:dyDescent="0.35">
      <c r="A88" t="s">
        <v>307</v>
      </c>
      <c r="C88">
        <v>-72.079407000000003</v>
      </c>
      <c r="D88">
        <v>41.029842000000002</v>
      </c>
      <c r="E88">
        <v>2018</v>
      </c>
      <c r="F88" t="s">
        <v>47</v>
      </c>
      <c r="G88" t="s">
        <v>48</v>
      </c>
      <c r="H88" t="s">
        <v>49</v>
      </c>
      <c r="I88">
        <v>15</v>
      </c>
      <c r="J88">
        <v>15</v>
      </c>
      <c r="K88" t="s">
        <v>57</v>
      </c>
      <c r="L88" t="s">
        <v>311</v>
      </c>
      <c r="M88" t="s">
        <v>312</v>
      </c>
      <c r="N88">
        <v>4</v>
      </c>
      <c r="O88" t="s">
        <v>308</v>
      </c>
      <c r="P88">
        <v>0.21299999999999999</v>
      </c>
      <c r="Q88" t="s">
        <v>69</v>
      </c>
      <c r="R88">
        <v>3.1E-2</v>
      </c>
      <c r="T88">
        <v>0.185</v>
      </c>
      <c r="U88" t="s">
        <v>69</v>
      </c>
      <c r="V88">
        <v>2.8000000000000001E-2</v>
      </c>
      <c r="X88" t="s">
        <v>31</v>
      </c>
      <c r="Y88" t="s">
        <v>309</v>
      </c>
      <c r="Z88" t="s">
        <v>33</v>
      </c>
      <c r="AA88" t="s">
        <v>72</v>
      </c>
    </row>
    <row r="89" spans="1:27" hidden="1" x14ac:dyDescent="0.35">
      <c r="A89" t="s">
        <v>307</v>
      </c>
      <c r="C89">
        <v>-72.079407000000003</v>
      </c>
      <c r="D89">
        <v>41.029842000000002</v>
      </c>
      <c r="E89">
        <v>2018</v>
      </c>
      <c r="F89" t="s">
        <v>47</v>
      </c>
      <c r="G89" t="s">
        <v>48</v>
      </c>
      <c r="H89" t="s">
        <v>49</v>
      </c>
      <c r="I89">
        <v>15</v>
      </c>
      <c r="J89">
        <v>15</v>
      </c>
      <c r="K89" t="s">
        <v>57</v>
      </c>
      <c r="L89" t="s">
        <v>313</v>
      </c>
      <c r="M89" t="s">
        <v>314</v>
      </c>
      <c r="N89">
        <v>4</v>
      </c>
      <c r="O89" t="s">
        <v>308</v>
      </c>
      <c r="P89">
        <v>0.27600000000000002</v>
      </c>
      <c r="Q89" t="s">
        <v>69</v>
      </c>
      <c r="R89">
        <v>3.4000000000000002E-2</v>
      </c>
      <c r="T89">
        <v>0.255</v>
      </c>
      <c r="U89" t="s">
        <v>69</v>
      </c>
      <c r="V89">
        <v>2.7E-2</v>
      </c>
      <c r="X89" t="s">
        <v>31</v>
      </c>
      <c r="Y89" t="s">
        <v>309</v>
      </c>
      <c r="Z89" t="s">
        <v>33</v>
      </c>
      <c r="AA89" t="s">
        <v>323</v>
      </c>
    </row>
    <row r="90" spans="1:27" hidden="1" x14ac:dyDescent="0.35">
      <c r="A90" t="s">
        <v>307</v>
      </c>
      <c r="C90">
        <v>-72.079407000000003</v>
      </c>
      <c r="D90">
        <v>41.029842000000002</v>
      </c>
      <c r="E90">
        <v>2018</v>
      </c>
      <c r="F90" t="s">
        <v>47</v>
      </c>
      <c r="G90" t="s">
        <v>48</v>
      </c>
      <c r="H90" t="s">
        <v>49</v>
      </c>
      <c r="I90">
        <v>15</v>
      </c>
      <c r="J90">
        <v>15</v>
      </c>
      <c r="K90" t="s">
        <v>139</v>
      </c>
      <c r="L90" t="s">
        <v>315</v>
      </c>
      <c r="M90" t="s">
        <v>316</v>
      </c>
      <c r="N90">
        <v>4</v>
      </c>
      <c r="O90" t="s">
        <v>308</v>
      </c>
      <c r="P90">
        <v>0.27600000000000002</v>
      </c>
      <c r="Q90" t="s">
        <v>69</v>
      </c>
      <c r="R90">
        <v>3.4000000000000002E-2</v>
      </c>
      <c r="T90">
        <v>0.23599999999999999</v>
      </c>
      <c r="U90" t="s">
        <v>69</v>
      </c>
      <c r="V90">
        <v>2.8000000000000001E-2</v>
      </c>
      <c r="X90" t="s">
        <v>31</v>
      </c>
      <c r="Y90" t="s">
        <v>309</v>
      </c>
      <c r="Z90" t="s">
        <v>33</v>
      </c>
      <c r="AA90" t="s">
        <v>323</v>
      </c>
    </row>
    <row r="91" spans="1:27" hidden="1" x14ac:dyDescent="0.35">
      <c r="A91" t="s">
        <v>307</v>
      </c>
      <c r="C91">
        <v>-72.079407000000003</v>
      </c>
      <c r="D91">
        <v>41.029842000000002</v>
      </c>
      <c r="E91">
        <v>2018</v>
      </c>
      <c r="F91" t="s">
        <v>47</v>
      </c>
      <c r="G91" t="s">
        <v>48</v>
      </c>
      <c r="H91" t="s">
        <v>49</v>
      </c>
      <c r="I91">
        <v>15</v>
      </c>
      <c r="J91">
        <v>15</v>
      </c>
      <c r="K91" t="s">
        <v>28</v>
      </c>
      <c r="L91">
        <v>20</v>
      </c>
      <c r="M91">
        <v>25</v>
      </c>
      <c r="N91">
        <v>4</v>
      </c>
      <c r="O91" t="s">
        <v>308</v>
      </c>
      <c r="P91">
        <v>0.27600000000000002</v>
      </c>
      <c r="Q91" t="s">
        <v>69</v>
      </c>
      <c r="R91">
        <v>3.4000000000000002E-2</v>
      </c>
      <c r="T91">
        <v>0.219</v>
      </c>
      <c r="U91" t="s">
        <v>69</v>
      </c>
      <c r="V91">
        <v>2.1000000000000001E-2</v>
      </c>
      <c r="X91" t="s">
        <v>31</v>
      </c>
      <c r="Y91" t="s">
        <v>309</v>
      </c>
      <c r="Z91" t="s">
        <v>33</v>
      </c>
      <c r="AA91" t="s">
        <v>323</v>
      </c>
    </row>
    <row r="92" spans="1:27" hidden="1" x14ac:dyDescent="0.35">
      <c r="A92" t="s">
        <v>307</v>
      </c>
      <c r="C92">
        <v>-72.079407000000003</v>
      </c>
      <c r="D92">
        <v>41.029842000000002</v>
      </c>
      <c r="E92">
        <v>2018</v>
      </c>
      <c r="F92" t="s">
        <v>47</v>
      </c>
      <c r="G92" t="s">
        <v>48</v>
      </c>
      <c r="H92" t="s">
        <v>49</v>
      </c>
      <c r="I92">
        <v>15</v>
      </c>
      <c r="J92">
        <v>15</v>
      </c>
      <c r="K92" t="s">
        <v>317</v>
      </c>
      <c r="L92" t="s">
        <v>315</v>
      </c>
      <c r="M92" t="s">
        <v>319</v>
      </c>
      <c r="N92">
        <v>4</v>
      </c>
      <c r="O92" t="s">
        <v>308</v>
      </c>
      <c r="P92">
        <v>0.27600000000000002</v>
      </c>
      <c r="Q92" t="s">
        <v>69</v>
      </c>
      <c r="R92">
        <v>3.4000000000000002E-2</v>
      </c>
      <c r="T92">
        <v>0.22700000000000001</v>
      </c>
      <c r="U92" t="s">
        <v>69</v>
      </c>
      <c r="V92">
        <v>2.1000000000000001E-2</v>
      </c>
      <c r="X92" t="s">
        <v>31</v>
      </c>
      <c r="Y92" t="s">
        <v>309</v>
      </c>
      <c r="Z92" t="s">
        <v>33</v>
      </c>
      <c r="AA92" t="s">
        <v>323</v>
      </c>
    </row>
    <row r="93" spans="1:27" hidden="1" x14ac:dyDescent="0.35">
      <c r="A93" t="s">
        <v>307</v>
      </c>
      <c r="C93">
        <v>-72.079407000000003</v>
      </c>
      <c r="D93">
        <v>41.029842000000002</v>
      </c>
      <c r="E93">
        <v>2018</v>
      </c>
      <c r="F93" t="s">
        <v>47</v>
      </c>
      <c r="G93" t="s">
        <v>48</v>
      </c>
      <c r="H93" t="s">
        <v>49</v>
      </c>
      <c r="I93">
        <v>15</v>
      </c>
      <c r="J93">
        <v>15</v>
      </c>
      <c r="K93" t="s">
        <v>320</v>
      </c>
      <c r="L93" t="s">
        <v>315</v>
      </c>
      <c r="M93" t="s">
        <v>322</v>
      </c>
      <c r="N93">
        <v>4</v>
      </c>
      <c r="O93" t="s">
        <v>308</v>
      </c>
      <c r="P93">
        <v>0.27600000000000002</v>
      </c>
      <c r="Q93" t="s">
        <v>69</v>
      </c>
      <c r="R93">
        <v>3.4000000000000002E-2</v>
      </c>
      <c r="T93">
        <v>0.19400000000000001</v>
      </c>
      <c r="U93" t="s">
        <v>69</v>
      </c>
      <c r="V93">
        <v>1.7000000000000001E-2</v>
      </c>
      <c r="X93" t="s">
        <v>31</v>
      </c>
      <c r="Y93" t="s">
        <v>309</v>
      </c>
      <c r="Z93" t="s">
        <v>33</v>
      </c>
      <c r="AA93" t="s">
        <v>323</v>
      </c>
    </row>
    <row r="94" spans="1:27" hidden="1" x14ac:dyDescent="0.35">
      <c r="A94" t="s">
        <v>307</v>
      </c>
      <c r="C94">
        <v>-72.079407000000003</v>
      </c>
      <c r="D94">
        <v>41.029842000000002</v>
      </c>
      <c r="E94">
        <v>2018</v>
      </c>
      <c r="F94" t="s">
        <v>59</v>
      </c>
      <c r="G94" t="s">
        <v>60</v>
      </c>
      <c r="H94" t="s">
        <v>61</v>
      </c>
      <c r="I94">
        <v>15</v>
      </c>
      <c r="J94">
        <v>15</v>
      </c>
      <c r="K94" t="s">
        <v>50</v>
      </c>
      <c r="L94">
        <v>7</v>
      </c>
      <c r="M94">
        <v>2</v>
      </c>
      <c r="N94">
        <v>4</v>
      </c>
      <c r="O94" t="s">
        <v>308</v>
      </c>
      <c r="P94">
        <v>6.0999999999999999E-2</v>
      </c>
      <c r="Q94" t="s">
        <v>69</v>
      </c>
      <c r="R94">
        <v>2.1000000000000001E-2</v>
      </c>
      <c r="T94">
        <v>4.0000000000000001E-3</v>
      </c>
      <c r="U94" t="s">
        <v>69</v>
      </c>
      <c r="V94">
        <v>0.02</v>
      </c>
      <c r="X94" t="s">
        <v>31</v>
      </c>
      <c r="Y94" t="s">
        <v>309</v>
      </c>
      <c r="Z94" t="s">
        <v>33</v>
      </c>
      <c r="AA94" t="s">
        <v>292</v>
      </c>
    </row>
    <row r="95" spans="1:27" hidden="1" x14ac:dyDescent="0.35">
      <c r="A95" t="s">
        <v>307</v>
      </c>
      <c r="C95">
        <v>-72.079407000000003</v>
      </c>
      <c r="D95">
        <v>41.029842000000002</v>
      </c>
      <c r="E95">
        <v>2018</v>
      </c>
      <c r="F95" t="s">
        <v>59</v>
      </c>
      <c r="G95" t="s">
        <v>60</v>
      </c>
      <c r="H95" t="s">
        <v>61</v>
      </c>
      <c r="I95">
        <v>15</v>
      </c>
      <c r="J95">
        <v>15</v>
      </c>
      <c r="K95" t="s">
        <v>50</v>
      </c>
      <c r="L95">
        <v>7.1</v>
      </c>
      <c r="M95">
        <v>3.6</v>
      </c>
      <c r="N95">
        <v>4</v>
      </c>
      <c r="O95" t="s">
        <v>308</v>
      </c>
      <c r="P95">
        <v>0.14099999999999999</v>
      </c>
      <c r="Q95" t="s">
        <v>69</v>
      </c>
      <c r="R95">
        <v>2.5000000000000001E-2</v>
      </c>
      <c r="T95">
        <v>0.13800000000000001</v>
      </c>
      <c r="U95" t="s">
        <v>69</v>
      </c>
      <c r="V95">
        <v>2.7E-2</v>
      </c>
      <c r="X95" t="s">
        <v>31</v>
      </c>
      <c r="Y95" t="s">
        <v>309</v>
      </c>
      <c r="Z95" t="s">
        <v>33</v>
      </c>
      <c r="AA95" t="s">
        <v>324</v>
      </c>
    </row>
    <row r="96" spans="1:27" hidden="1" x14ac:dyDescent="0.35">
      <c r="A96" t="s">
        <v>307</v>
      </c>
      <c r="C96">
        <v>-72.079407000000003</v>
      </c>
      <c r="D96">
        <v>41.029842000000002</v>
      </c>
      <c r="E96">
        <v>2018</v>
      </c>
      <c r="F96" t="s">
        <v>59</v>
      </c>
      <c r="G96" t="s">
        <v>60</v>
      </c>
      <c r="H96" t="s">
        <v>61</v>
      </c>
      <c r="I96">
        <v>15</v>
      </c>
      <c r="J96">
        <v>15</v>
      </c>
      <c r="K96" t="s">
        <v>55</v>
      </c>
      <c r="L96">
        <v>8</v>
      </c>
      <c r="M96">
        <v>7.2</v>
      </c>
      <c r="N96">
        <v>4</v>
      </c>
      <c r="O96" t="s">
        <v>308</v>
      </c>
      <c r="P96">
        <v>6.0999999999999999E-2</v>
      </c>
      <c r="Q96" t="s">
        <v>69</v>
      </c>
      <c r="R96">
        <v>2.1000000000000001E-2</v>
      </c>
      <c r="T96">
        <v>9.1999999999999998E-2</v>
      </c>
      <c r="U96" t="s">
        <v>69</v>
      </c>
      <c r="V96">
        <v>2.1000000000000001E-2</v>
      </c>
      <c r="X96" t="s">
        <v>31</v>
      </c>
      <c r="Y96" t="s">
        <v>309</v>
      </c>
      <c r="Z96" t="s">
        <v>33</v>
      </c>
      <c r="AA96" t="s">
        <v>292</v>
      </c>
    </row>
    <row r="97" spans="1:27" hidden="1" x14ac:dyDescent="0.35">
      <c r="A97" t="s">
        <v>307</v>
      </c>
      <c r="C97">
        <v>-72.079407000000003</v>
      </c>
      <c r="D97">
        <v>41.029842000000002</v>
      </c>
      <c r="E97">
        <v>2018</v>
      </c>
      <c r="F97" t="s">
        <v>59</v>
      </c>
      <c r="G97" t="s">
        <v>60</v>
      </c>
      <c r="H97" t="s">
        <v>61</v>
      </c>
      <c r="I97">
        <v>15</v>
      </c>
      <c r="J97">
        <v>15</v>
      </c>
      <c r="K97" t="s">
        <v>55</v>
      </c>
      <c r="L97">
        <v>7.9</v>
      </c>
      <c r="M97">
        <v>7.3</v>
      </c>
      <c r="N97">
        <v>4</v>
      </c>
      <c r="O97" t="s">
        <v>308</v>
      </c>
      <c r="P97">
        <v>0.14099999999999999</v>
      </c>
      <c r="Q97" t="s">
        <v>69</v>
      </c>
      <c r="R97">
        <v>2.5000000000000001E-2</v>
      </c>
      <c r="T97">
        <v>0.152</v>
      </c>
      <c r="U97" t="s">
        <v>69</v>
      </c>
      <c r="V97">
        <v>4.4999999999999998E-2</v>
      </c>
      <c r="X97" t="s">
        <v>31</v>
      </c>
      <c r="Y97" t="s">
        <v>309</v>
      </c>
      <c r="Z97" t="s">
        <v>33</v>
      </c>
      <c r="AA97" t="s">
        <v>324</v>
      </c>
    </row>
    <row r="98" spans="1:27" hidden="1" x14ac:dyDescent="0.35">
      <c r="A98" t="s">
        <v>307</v>
      </c>
      <c r="C98">
        <v>-72.079407000000003</v>
      </c>
      <c r="D98">
        <v>41.029842000000002</v>
      </c>
      <c r="E98">
        <v>2018</v>
      </c>
      <c r="F98" t="s">
        <v>59</v>
      </c>
      <c r="G98" t="s">
        <v>60</v>
      </c>
      <c r="H98" t="s">
        <v>61</v>
      </c>
      <c r="I98">
        <v>15</v>
      </c>
      <c r="J98">
        <v>15</v>
      </c>
      <c r="K98" t="s">
        <v>57</v>
      </c>
      <c r="L98" t="s">
        <v>311</v>
      </c>
      <c r="M98" t="s">
        <v>312</v>
      </c>
      <c r="N98">
        <v>4</v>
      </c>
      <c r="O98" t="s">
        <v>308</v>
      </c>
      <c r="P98">
        <v>6.0999999999999999E-2</v>
      </c>
      <c r="Q98" t="s">
        <v>69</v>
      </c>
      <c r="R98">
        <v>2.1000000000000001E-2</v>
      </c>
      <c r="T98">
        <v>0.01</v>
      </c>
      <c r="U98" t="s">
        <v>69</v>
      </c>
      <c r="V98">
        <v>2.1000000000000001E-2</v>
      </c>
      <c r="X98" t="s">
        <v>31</v>
      </c>
      <c r="Y98" t="s">
        <v>309</v>
      </c>
      <c r="Z98" t="s">
        <v>33</v>
      </c>
      <c r="AA98" t="s">
        <v>292</v>
      </c>
    </row>
    <row r="99" spans="1:27" hidden="1" x14ac:dyDescent="0.35">
      <c r="A99" t="s">
        <v>307</v>
      </c>
      <c r="C99">
        <v>-72.079407000000003</v>
      </c>
      <c r="D99">
        <v>41.029842000000002</v>
      </c>
      <c r="E99">
        <v>2018</v>
      </c>
      <c r="F99" t="s">
        <v>59</v>
      </c>
      <c r="G99" t="s">
        <v>60</v>
      </c>
      <c r="H99" t="s">
        <v>61</v>
      </c>
      <c r="I99">
        <v>15</v>
      </c>
      <c r="J99">
        <v>15</v>
      </c>
      <c r="K99" t="s">
        <v>57</v>
      </c>
      <c r="L99" t="s">
        <v>313</v>
      </c>
      <c r="M99" t="s">
        <v>314</v>
      </c>
      <c r="N99">
        <v>4</v>
      </c>
      <c r="O99" t="s">
        <v>308</v>
      </c>
      <c r="P99">
        <v>0.14099999999999999</v>
      </c>
      <c r="Q99" t="s">
        <v>69</v>
      </c>
      <c r="R99">
        <v>2.5000000000000001E-2</v>
      </c>
      <c r="T99">
        <v>0.21199999999999999</v>
      </c>
      <c r="U99" t="s">
        <v>69</v>
      </c>
      <c r="V99">
        <v>4.2999999999999997E-2</v>
      </c>
      <c r="X99" t="s">
        <v>31</v>
      </c>
      <c r="Y99" t="s">
        <v>309</v>
      </c>
      <c r="Z99" t="s">
        <v>33</v>
      </c>
      <c r="AA99" t="s">
        <v>324</v>
      </c>
    </row>
    <row r="100" spans="1:27" hidden="1" x14ac:dyDescent="0.35">
      <c r="A100" t="s">
        <v>307</v>
      </c>
      <c r="C100">
        <v>-72.079407000000003</v>
      </c>
      <c r="D100">
        <v>41.029842000000002</v>
      </c>
      <c r="E100">
        <v>2018</v>
      </c>
      <c r="F100" t="s">
        <v>59</v>
      </c>
      <c r="G100" t="s">
        <v>60</v>
      </c>
      <c r="H100" t="s">
        <v>61</v>
      </c>
      <c r="I100">
        <v>15</v>
      </c>
      <c r="J100">
        <v>15</v>
      </c>
      <c r="K100" t="s">
        <v>139</v>
      </c>
      <c r="L100" t="s">
        <v>315</v>
      </c>
      <c r="M100" t="s">
        <v>316</v>
      </c>
      <c r="N100">
        <v>4</v>
      </c>
      <c r="O100" t="s">
        <v>308</v>
      </c>
      <c r="P100">
        <v>0.14099999999999999</v>
      </c>
      <c r="Q100" t="s">
        <v>69</v>
      </c>
      <c r="R100">
        <v>2.5000000000000001E-2</v>
      </c>
      <c r="T100">
        <v>0.128</v>
      </c>
      <c r="U100" t="s">
        <v>69</v>
      </c>
      <c r="V100">
        <v>2.4E-2</v>
      </c>
      <c r="X100" t="s">
        <v>31</v>
      </c>
      <c r="Y100" t="s">
        <v>309</v>
      </c>
      <c r="Z100" t="s">
        <v>33</v>
      </c>
      <c r="AA100" t="s">
        <v>324</v>
      </c>
    </row>
    <row r="101" spans="1:27" hidden="1" x14ac:dyDescent="0.35">
      <c r="A101" t="s">
        <v>307</v>
      </c>
      <c r="C101">
        <v>-72.079407000000003</v>
      </c>
      <c r="D101">
        <v>41.029842000000002</v>
      </c>
      <c r="E101">
        <v>2018</v>
      </c>
      <c r="F101" t="s">
        <v>59</v>
      </c>
      <c r="G101" t="s">
        <v>60</v>
      </c>
      <c r="H101" t="s">
        <v>61</v>
      </c>
      <c r="I101">
        <v>15</v>
      </c>
      <c r="J101">
        <v>15</v>
      </c>
      <c r="K101" t="s">
        <v>28</v>
      </c>
      <c r="L101">
        <v>20</v>
      </c>
      <c r="M101">
        <v>25</v>
      </c>
      <c r="N101">
        <v>4</v>
      </c>
      <c r="O101" t="s">
        <v>308</v>
      </c>
      <c r="P101">
        <v>0.14099999999999999</v>
      </c>
      <c r="Q101" t="s">
        <v>69</v>
      </c>
      <c r="R101">
        <v>2.5000000000000001E-2</v>
      </c>
      <c r="T101">
        <v>0.109</v>
      </c>
      <c r="U101" t="s">
        <v>69</v>
      </c>
      <c r="V101">
        <v>6.0000000000000001E-3</v>
      </c>
      <c r="X101" t="s">
        <v>31</v>
      </c>
      <c r="Y101" t="s">
        <v>309</v>
      </c>
      <c r="Z101" t="s">
        <v>33</v>
      </c>
      <c r="AA101" t="s">
        <v>324</v>
      </c>
    </row>
    <row r="102" spans="1:27" hidden="1" x14ac:dyDescent="0.35">
      <c r="A102" t="s">
        <v>307</v>
      </c>
      <c r="C102">
        <v>-72.079407000000003</v>
      </c>
      <c r="D102">
        <v>41.029842000000002</v>
      </c>
      <c r="E102">
        <v>2018</v>
      </c>
      <c r="F102" t="s">
        <v>59</v>
      </c>
      <c r="G102" t="s">
        <v>60</v>
      </c>
      <c r="H102" t="s">
        <v>61</v>
      </c>
      <c r="I102">
        <v>15</v>
      </c>
      <c r="J102">
        <v>15</v>
      </c>
      <c r="K102" t="s">
        <v>317</v>
      </c>
      <c r="L102" t="s">
        <v>315</v>
      </c>
      <c r="M102" t="s">
        <v>319</v>
      </c>
      <c r="N102">
        <v>4</v>
      </c>
      <c r="O102" t="s">
        <v>308</v>
      </c>
      <c r="P102">
        <v>0.14099999999999999</v>
      </c>
      <c r="Q102" t="s">
        <v>69</v>
      </c>
      <c r="R102">
        <v>2.5000000000000001E-2</v>
      </c>
      <c r="T102">
        <v>0.13200000000000001</v>
      </c>
      <c r="U102" t="s">
        <v>69</v>
      </c>
      <c r="V102">
        <v>0.03</v>
      </c>
      <c r="X102" t="s">
        <v>31</v>
      </c>
      <c r="Y102" t="s">
        <v>309</v>
      </c>
      <c r="Z102" t="s">
        <v>33</v>
      </c>
      <c r="AA102" t="s">
        <v>324</v>
      </c>
    </row>
    <row r="103" spans="1:27" hidden="1" x14ac:dyDescent="0.35">
      <c r="A103" t="s">
        <v>307</v>
      </c>
      <c r="C103">
        <v>-72.079407000000003</v>
      </c>
      <c r="D103">
        <v>41.029842000000002</v>
      </c>
      <c r="E103">
        <v>2018</v>
      </c>
      <c r="F103" t="s">
        <v>59</v>
      </c>
      <c r="G103" t="s">
        <v>60</v>
      </c>
      <c r="H103" t="s">
        <v>61</v>
      </c>
      <c r="I103">
        <v>15</v>
      </c>
      <c r="J103">
        <v>15</v>
      </c>
      <c r="K103" t="s">
        <v>320</v>
      </c>
      <c r="L103" t="s">
        <v>315</v>
      </c>
      <c r="M103" t="s">
        <v>322</v>
      </c>
      <c r="N103">
        <v>4</v>
      </c>
      <c r="O103" t="s">
        <v>308</v>
      </c>
      <c r="P103">
        <v>0.14099999999999999</v>
      </c>
      <c r="Q103" t="s">
        <v>69</v>
      </c>
      <c r="R103">
        <v>2.5000000000000001E-2</v>
      </c>
      <c r="T103">
        <v>0.152</v>
      </c>
      <c r="U103" t="s">
        <v>69</v>
      </c>
      <c r="V103">
        <v>4.4999999999999998E-2</v>
      </c>
      <c r="X103" t="s">
        <v>31</v>
      </c>
      <c r="Y103" t="s">
        <v>309</v>
      </c>
      <c r="Z103" t="s">
        <v>33</v>
      </c>
      <c r="AA103" t="s">
        <v>324</v>
      </c>
    </row>
    <row r="104" spans="1:27" hidden="1" x14ac:dyDescent="0.35">
      <c r="A104" t="s">
        <v>307</v>
      </c>
      <c r="C104">
        <v>-72.079407000000003</v>
      </c>
      <c r="D104">
        <v>41.029842000000002</v>
      </c>
      <c r="E104">
        <v>2018</v>
      </c>
      <c r="F104" t="s">
        <v>62</v>
      </c>
      <c r="G104" t="s">
        <v>63</v>
      </c>
      <c r="H104" t="s">
        <v>64</v>
      </c>
      <c r="I104">
        <v>15</v>
      </c>
      <c r="J104">
        <v>15</v>
      </c>
      <c r="K104" t="s">
        <v>50</v>
      </c>
      <c r="L104">
        <v>7.1</v>
      </c>
      <c r="M104">
        <v>3.6</v>
      </c>
      <c r="N104">
        <v>4</v>
      </c>
      <c r="O104" t="s">
        <v>308</v>
      </c>
      <c r="P104">
        <v>0.158</v>
      </c>
      <c r="Q104" t="s">
        <v>69</v>
      </c>
      <c r="R104">
        <v>1.4999999999999999E-2</v>
      </c>
      <c r="T104">
        <v>0.123</v>
      </c>
      <c r="U104" t="s">
        <v>69</v>
      </c>
      <c r="V104">
        <v>2.3E-2</v>
      </c>
      <c r="X104" t="s">
        <v>31</v>
      </c>
      <c r="Y104" t="s">
        <v>309</v>
      </c>
      <c r="Z104" t="s">
        <v>33</v>
      </c>
      <c r="AA104" t="s">
        <v>325</v>
      </c>
    </row>
    <row r="105" spans="1:27" hidden="1" x14ac:dyDescent="0.35">
      <c r="A105" t="s">
        <v>307</v>
      </c>
      <c r="C105">
        <v>-72.079407000000003</v>
      </c>
      <c r="D105">
        <v>41.029842000000002</v>
      </c>
      <c r="E105">
        <v>2018</v>
      </c>
      <c r="F105" t="s">
        <v>62</v>
      </c>
      <c r="G105" t="s">
        <v>63</v>
      </c>
      <c r="H105" t="s">
        <v>64</v>
      </c>
      <c r="I105">
        <v>15</v>
      </c>
      <c r="J105">
        <v>15</v>
      </c>
      <c r="K105" t="s">
        <v>55</v>
      </c>
      <c r="L105">
        <v>7.9</v>
      </c>
      <c r="M105">
        <v>7.3</v>
      </c>
      <c r="N105">
        <v>4</v>
      </c>
      <c r="O105" t="s">
        <v>308</v>
      </c>
      <c r="P105">
        <v>0.158</v>
      </c>
      <c r="Q105" t="s">
        <v>69</v>
      </c>
      <c r="R105">
        <v>1.4999999999999999E-2</v>
      </c>
      <c r="T105">
        <v>6.3E-2</v>
      </c>
      <c r="U105" t="s">
        <v>69</v>
      </c>
      <c r="V105">
        <v>1.6E-2</v>
      </c>
      <c r="X105" t="s">
        <v>31</v>
      </c>
      <c r="Y105" t="s">
        <v>309</v>
      </c>
      <c r="Z105" t="s">
        <v>33</v>
      </c>
      <c r="AA105" t="s">
        <v>325</v>
      </c>
    </row>
    <row r="106" spans="1:27" hidden="1" x14ac:dyDescent="0.35">
      <c r="A106" t="s">
        <v>307</v>
      </c>
      <c r="C106">
        <v>-72.079407000000003</v>
      </c>
      <c r="D106">
        <v>41.029842000000002</v>
      </c>
      <c r="E106">
        <v>2018</v>
      </c>
      <c r="F106" t="s">
        <v>62</v>
      </c>
      <c r="G106" t="s">
        <v>63</v>
      </c>
      <c r="H106" t="s">
        <v>64</v>
      </c>
      <c r="I106">
        <v>15</v>
      </c>
      <c r="J106">
        <v>15</v>
      </c>
      <c r="K106" t="s">
        <v>57</v>
      </c>
      <c r="L106" t="s">
        <v>313</v>
      </c>
      <c r="M106" t="s">
        <v>314</v>
      </c>
      <c r="N106">
        <v>4</v>
      </c>
      <c r="O106" t="s">
        <v>308</v>
      </c>
      <c r="P106">
        <v>0.158</v>
      </c>
      <c r="Q106" t="s">
        <v>69</v>
      </c>
      <c r="R106">
        <v>1.4999999999999999E-2</v>
      </c>
      <c r="T106">
        <v>7.0999999999999994E-2</v>
      </c>
      <c r="U106" t="s">
        <v>69</v>
      </c>
      <c r="V106">
        <v>1.7000000000000001E-2</v>
      </c>
      <c r="X106" t="s">
        <v>31</v>
      </c>
      <c r="Y106" t="s">
        <v>309</v>
      </c>
      <c r="Z106" t="s">
        <v>33</v>
      </c>
      <c r="AA106" t="s">
        <v>325</v>
      </c>
    </row>
    <row r="107" spans="1:27" hidden="1" x14ac:dyDescent="0.35">
      <c r="A107" t="s">
        <v>307</v>
      </c>
      <c r="C107">
        <v>-72.079407000000003</v>
      </c>
      <c r="D107">
        <v>41.029842000000002</v>
      </c>
      <c r="E107">
        <v>2018</v>
      </c>
      <c r="F107" t="s">
        <v>62</v>
      </c>
      <c r="G107" t="s">
        <v>63</v>
      </c>
      <c r="H107" t="s">
        <v>64</v>
      </c>
      <c r="I107">
        <v>15</v>
      </c>
      <c r="J107">
        <v>15</v>
      </c>
      <c r="K107" t="s">
        <v>139</v>
      </c>
      <c r="L107" t="s">
        <v>315</v>
      </c>
      <c r="M107" t="s">
        <v>316</v>
      </c>
      <c r="N107">
        <v>4</v>
      </c>
      <c r="O107" t="s">
        <v>308</v>
      </c>
      <c r="P107">
        <v>0.158</v>
      </c>
      <c r="Q107" t="s">
        <v>69</v>
      </c>
      <c r="R107">
        <v>1.4999999999999999E-2</v>
      </c>
      <c r="T107">
        <v>0.11700000000000001</v>
      </c>
      <c r="U107" t="s">
        <v>69</v>
      </c>
      <c r="V107">
        <v>0.01</v>
      </c>
      <c r="X107" t="s">
        <v>31</v>
      </c>
      <c r="Y107" t="s">
        <v>309</v>
      </c>
      <c r="Z107" t="s">
        <v>33</v>
      </c>
      <c r="AA107" t="s">
        <v>325</v>
      </c>
    </row>
    <row r="108" spans="1:27" hidden="1" x14ac:dyDescent="0.35">
      <c r="A108" t="s">
        <v>307</v>
      </c>
      <c r="C108">
        <v>-72.079407000000003</v>
      </c>
      <c r="D108">
        <v>41.029842000000002</v>
      </c>
      <c r="E108">
        <v>2018</v>
      </c>
      <c r="F108" t="s">
        <v>62</v>
      </c>
      <c r="G108" t="s">
        <v>63</v>
      </c>
      <c r="H108" t="s">
        <v>64</v>
      </c>
      <c r="I108">
        <v>15</v>
      </c>
      <c r="J108">
        <v>15</v>
      </c>
      <c r="K108" t="s">
        <v>28</v>
      </c>
      <c r="L108">
        <v>20</v>
      </c>
      <c r="M108">
        <v>25</v>
      </c>
      <c r="N108">
        <v>4</v>
      </c>
      <c r="O108" t="s">
        <v>308</v>
      </c>
      <c r="P108">
        <v>0.158</v>
      </c>
      <c r="Q108" t="s">
        <v>69</v>
      </c>
      <c r="R108">
        <v>1.4999999999999999E-2</v>
      </c>
      <c r="T108">
        <v>0.186</v>
      </c>
      <c r="U108" t="s">
        <v>69</v>
      </c>
      <c r="V108">
        <v>7.0000000000000001E-3</v>
      </c>
      <c r="X108" t="s">
        <v>31</v>
      </c>
      <c r="Y108" t="s">
        <v>309</v>
      </c>
      <c r="Z108" t="s">
        <v>33</v>
      </c>
      <c r="AA108" t="s">
        <v>325</v>
      </c>
    </row>
    <row r="109" spans="1:27" hidden="1" x14ac:dyDescent="0.35">
      <c r="A109" t="s">
        <v>307</v>
      </c>
      <c r="C109">
        <v>-72.079407000000003</v>
      </c>
      <c r="D109">
        <v>41.029842000000002</v>
      </c>
      <c r="E109">
        <v>2018</v>
      </c>
      <c r="F109" t="s">
        <v>62</v>
      </c>
      <c r="G109" t="s">
        <v>63</v>
      </c>
      <c r="H109" t="s">
        <v>64</v>
      </c>
      <c r="I109">
        <v>15</v>
      </c>
      <c r="J109">
        <v>15</v>
      </c>
      <c r="K109" t="s">
        <v>317</v>
      </c>
      <c r="L109" t="s">
        <v>315</v>
      </c>
      <c r="M109" t="s">
        <v>319</v>
      </c>
      <c r="N109">
        <v>4</v>
      </c>
      <c r="O109" t="s">
        <v>308</v>
      </c>
      <c r="P109">
        <v>0.158</v>
      </c>
      <c r="Q109" t="s">
        <v>69</v>
      </c>
      <c r="R109">
        <v>1.4999999999999999E-2</v>
      </c>
      <c r="T109">
        <v>0.214</v>
      </c>
      <c r="U109" t="s">
        <v>69</v>
      </c>
      <c r="V109">
        <v>3.2000000000000001E-2</v>
      </c>
      <c r="X109" t="s">
        <v>31</v>
      </c>
      <c r="Y109" t="s">
        <v>309</v>
      </c>
      <c r="Z109" t="s">
        <v>33</v>
      </c>
      <c r="AA109" t="s">
        <v>325</v>
      </c>
    </row>
    <row r="110" spans="1:27" hidden="1" x14ac:dyDescent="0.35">
      <c r="A110" t="s">
        <v>307</v>
      </c>
      <c r="C110">
        <v>-72.079407000000003</v>
      </c>
      <c r="D110">
        <v>41.029842000000002</v>
      </c>
      <c r="E110">
        <v>2018</v>
      </c>
      <c r="F110" t="s">
        <v>62</v>
      </c>
      <c r="G110" t="s">
        <v>63</v>
      </c>
      <c r="H110" t="s">
        <v>64</v>
      </c>
      <c r="I110">
        <v>15</v>
      </c>
      <c r="J110">
        <v>15</v>
      </c>
      <c r="K110" t="s">
        <v>320</v>
      </c>
      <c r="L110" t="s">
        <v>315</v>
      </c>
      <c r="M110" t="s">
        <v>322</v>
      </c>
      <c r="N110">
        <v>4</v>
      </c>
      <c r="O110" t="s">
        <v>308</v>
      </c>
      <c r="P110">
        <v>0.158</v>
      </c>
      <c r="Q110" t="s">
        <v>69</v>
      </c>
      <c r="R110">
        <v>1.4999999999999999E-2</v>
      </c>
      <c r="T110">
        <v>8.5000000000000006E-2</v>
      </c>
      <c r="U110" t="s">
        <v>69</v>
      </c>
      <c r="V110">
        <v>5.0000000000000001E-3</v>
      </c>
      <c r="X110" t="s">
        <v>31</v>
      </c>
      <c r="Y110" t="s">
        <v>309</v>
      </c>
      <c r="Z110" t="s">
        <v>33</v>
      </c>
      <c r="AA110" t="s">
        <v>325</v>
      </c>
    </row>
    <row r="111" spans="1:27" hidden="1" x14ac:dyDescent="0.35">
      <c r="A111" t="s">
        <v>326</v>
      </c>
      <c r="C111">
        <v>-82.825467000000003</v>
      </c>
      <c r="D111">
        <v>41.657691999999997</v>
      </c>
      <c r="E111">
        <v>2001</v>
      </c>
      <c r="F111" t="s">
        <v>327</v>
      </c>
      <c r="G111" t="s">
        <v>328</v>
      </c>
      <c r="H111" t="s">
        <v>329</v>
      </c>
      <c r="I111">
        <v>35</v>
      </c>
      <c r="J111">
        <v>35</v>
      </c>
      <c r="K111" t="s">
        <v>28</v>
      </c>
      <c r="L111">
        <v>24</v>
      </c>
      <c r="M111">
        <v>30</v>
      </c>
      <c r="N111">
        <v>1</v>
      </c>
      <c r="O111" t="s">
        <v>215</v>
      </c>
      <c r="P111">
        <v>0.21</v>
      </c>
      <c r="Q111" t="s">
        <v>69</v>
      </c>
      <c r="R111">
        <v>3.3000000000000002E-2</v>
      </c>
      <c r="T111">
        <v>0.129</v>
      </c>
      <c r="U111" t="s">
        <v>69</v>
      </c>
      <c r="V111">
        <v>3.5000000000000003E-2</v>
      </c>
      <c r="X111" t="s">
        <v>205</v>
      </c>
      <c r="Y111" t="s">
        <v>330</v>
      </c>
      <c r="Z111" t="s">
        <v>331</v>
      </c>
      <c r="AA111" t="s">
        <v>199</v>
      </c>
    </row>
    <row r="112" spans="1:27" x14ac:dyDescent="0.35">
      <c r="A112" t="s">
        <v>332</v>
      </c>
      <c r="B112" t="s">
        <v>494</v>
      </c>
      <c r="C112">
        <v>-72.476386000000005</v>
      </c>
      <c r="D112">
        <v>40.843426000000001</v>
      </c>
      <c r="E112">
        <v>2009</v>
      </c>
      <c r="F112" t="s">
        <v>47</v>
      </c>
      <c r="G112" t="s">
        <v>48</v>
      </c>
      <c r="H112" t="s">
        <v>49</v>
      </c>
      <c r="I112">
        <v>15</v>
      </c>
      <c r="J112">
        <v>15</v>
      </c>
      <c r="K112" t="s">
        <v>55</v>
      </c>
      <c r="L112">
        <v>8</v>
      </c>
      <c r="M112">
        <v>7.8</v>
      </c>
      <c r="N112">
        <v>4</v>
      </c>
      <c r="O112" t="s">
        <v>333</v>
      </c>
      <c r="P112">
        <v>359.76</v>
      </c>
      <c r="Q112" t="s">
        <v>69</v>
      </c>
      <c r="R112">
        <v>10.65</v>
      </c>
      <c r="S112">
        <f>R112*SQRT(I112)</f>
        <v>41.247272637108992</v>
      </c>
      <c r="T112">
        <v>261.54000000000002</v>
      </c>
      <c r="U112" t="s">
        <v>69</v>
      </c>
      <c r="V112">
        <v>11.84</v>
      </c>
      <c r="W112">
        <f>V112*SQRT(J112)</f>
        <v>45.856122819095816</v>
      </c>
      <c r="X112" t="s">
        <v>43</v>
      </c>
      <c r="Y112" t="s">
        <v>334</v>
      </c>
      <c r="Z112" t="s">
        <v>33</v>
      </c>
      <c r="AA112" t="s">
        <v>335</v>
      </c>
    </row>
    <row r="113" spans="1:27" x14ac:dyDescent="0.35">
      <c r="A113" t="s">
        <v>332</v>
      </c>
      <c r="B113" t="s">
        <v>494</v>
      </c>
      <c r="C113">
        <v>-72.476386000000005</v>
      </c>
      <c r="D113">
        <v>40.843426000000001</v>
      </c>
      <c r="E113">
        <v>2009</v>
      </c>
      <c r="F113" t="s">
        <v>59</v>
      </c>
      <c r="G113" t="s">
        <v>60</v>
      </c>
      <c r="H113" t="s">
        <v>61</v>
      </c>
      <c r="I113">
        <v>15</v>
      </c>
      <c r="J113">
        <v>15</v>
      </c>
      <c r="K113" t="s">
        <v>55</v>
      </c>
      <c r="L113">
        <v>8</v>
      </c>
      <c r="M113">
        <v>7.8</v>
      </c>
      <c r="N113">
        <v>4</v>
      </c>
      <c r="O113" t="s">
        <v>333</v>
      </c>
      <c r="P113">
        <v>400</v>
      </c>
      <c r="Q113" t="s">
        <v>69</v>
      </c>
      <c r="R113">
        <v>6.19</v>
      </c>
      <c r="S113">
        <f>R113*SQRT(I113)</f>
        <v>23.973766913023912</v>
      </c>
      <c r="T113">
        <v>200.62</v>
      </c>
      <c r="U113" t="s">
        <v>69</v>
      </c>
      <c r="V113">
        <v>8.67</v>
      </c>
      <c r="W113">
        <f>V113*SQRT(J113)</f>
        <v>33.578765611618309</v>
      </c>
      <c r="X113" t="s">
        <v>43</v>
      </c>
      <c r="Y113" t="s">
        <v>336</v>
      </c>
      <c r="Z113" t="s">
        <v>33</v>
      </c>
      <c r="AA113" t="s">
        <v>335</v>
      </c>
    </row>
    <row r="114" spans="1:27" x14ac:dyDescent="0.35">
      <c r="A114" t="s">
        <v>332</v>
      </c>
      <c r="B114" t="s">
        <v>494</v>
      </c>
      <c r="C114">
        <v>-72.476386000000005</v>
      </c>
      <c r="D114">
        <v>40.843426000000001</v>
      </c>
      <c r="E114">
        <v>2009</v>
      </c>
      <c r="F114" t="s">
        <v>62</v>
      </c>
      <c r="G114" t="s">
        <v>63</v>
      </c>
      <c r="H114" t="s">
        <v>64</v>
      </c>
      <c r="I114">
        <v>15</v>
      </c>
      <c r="J114">
        <v>15</v>
      </c>
      <c r="K114" t="s">
        <v>55</v>
      </c>
      <c r="L114">
        <v>8</v>
      </c>
      <c r="M114">
        <v>7.8</v>
      </c>
      <c r="N114">
        <v>4</v>
      </c>
      <c r="O114" t="s">
        <v>333</v>
      </c>
      <c r="P114">
        <v>221.23</v>
      </c>
      <c r="Q114" t="s">
        <v>69</v>
      </c>
      <c r="R114">
        <v>9.59</v>
      </c>
      <c r="S114">
        <f>R114*SQRT(I114)</f>
        <v>37.141910290129125</v>
      </c>
      <c r="T114">
        <v>172.6</v>
      </c>
      <c r="U114" t="s">
        <v>69</v>
      </c>
      <c r="V114">
        <v>4.79</v>
      </c>
      <c r="W114">
        <f>V114*SQRT(J114)</f>
        <v>18.551590228333527</v>
      </c>
      <c r="X114" t="s">
        <v>43</v>
      </c>
      <c r="Y114" t="s">
        <v>337</v>
      </c>
      <c r="Z114" t="s">
        <v>33</v>
      </c>
      <c r="AA114" t="s">
        <v>335</v>
      </c>
    </row>
    <row r="115" spans="1:27" x14ac:dyDescent="0.35">
      <c r="A115" t="s">
        <v>338</v>
      </c>
      <c r="B115" t="s">
        <v>494</v>
      </c>
      <c r="C115">
        <v>-72.108735999999993</v>
      </c>
      <c r="D115">
        <v>41.004224000000001</v>
      </c>
      <c r="E115">
        <v>2010</v>
      </c>
      <c r="F115" t="s">
        <v>59</v>
      </c>
      <c r="G115" t="s">
        <v>60</v>
      </c>
      <c r="H115" t="s">
        <v>61</v>
      </c>
      <c r="I115">
        <v>15</v>
      </c>
      <c r="J115">
        <v>15</v>
      </c>
      <c r="K115" t="s">
        <v>55</v>
      </c>
      <c r="L115">
        <v>8.1999999999999993</v>
      </c>
      <c r="M115">
        <v>7.8</v>
      </c>
      <c r="N115">
        <v>4</v>
      </c>
      <c r="O115" t="s">
        <v>339</v>
      </c>
      <c r="P115">
        <v>530.70000000000005</v>
      </c>
      <c r="Q115" t="s">
        <v>42</v>
      </c>
      <c r="R115">
        <v>50.4</v>
      </c>
      <c r="S115">
        <v>50.4</v>
      </c>
      <c r="T115">
        <v>382.2</v>
      </c>
      <c r="U115" t="s">
        <v>42</v>
      </c>
      <c r="V115">
        <v>25.2</v>
      </c>
      <c r="W115">
        <v>25.2</v>
      </c>
      <c r="X115" t="s">
        <v>43</v>
      </c>
      <c r="Y115" t="s">
        <v>337</v>
      </c>
      <c r="Z115" t="s">
        <v>33</v>
      </c>
      <c r="AA115" t="s">
        <v>72</v>
      </c>
    </row>
    <row r="116" spans="1:27" x14ac:dyDescent="0.35">
      <c r="A116" t="s">
        <v>338</v>
      </c>
      <c r="B116" t="s">
        <v>494</v>
      </c>
      <c r="C116">
        <v>-72.108735999999993</v>
      </c>
      <c r="D116">
        <v>41.004224000000001</v>
      </c>
      <c r="E116">
        <v>2010</v>
      </c>
      <c r="F116" t="s">
        <v>62</v>
      </c>
      <c r="G116" t="s">
        <v>63</v>
      </c>
      <c r="H116" t="s">
        <v>64</v>
      </c>
      <c r="I116">
        <v>15</v>
      </c>
      <c r="J116">
        <v>15</v>
      </c>
      <c r="K116" t="s">
        <v>55</v>
      </c>
      <c r="L116">
        <v>8.1999999999999993</v>
      </c>
      <c r="M116">
        <v>7.8</v>
      </c>
      <c r="N116">
        <v>4</v>
      </c>
      <c r="O116" t="s">
        <v>339</v>
      </c>
      <c r="P116">
        <v>522.79999999999995</v>
      </c>
      <c r="Q116" t="s">
        <v>42</v>
      </c>
      <c r="R116">
        <v>36.200000000000003</v>
      </c>
      <c r="S116">
        <v>36.200000000000003</v>
      </c>
      <c r="T116">
        <v>279.39999999999998</v>
      </c>
      <c r="U116" t="s">
        <v>42</v>
      </c>
      <c r="V116">
        <v>11</v>
      </c>
      <c r="W116">
        <v>11</v>
      </c>
      <c r="X116" t="s">
        <v>43</v>
      </c>
      <c r="Y116" t="s">
        <v>247</v>
      </c>
      <c r="Z116" t="s">
        <v>33</v>
      </c>
      <c r="AA116" t="s">
        <v>72</v>
      </c>
    </row>
    <row r="117" spans="1:27" hidden="1" x14ac:dyDescent="0.35">
      <c r="A117" t="s">
        <v>340</v>
      </c>
      <c r="C117">
        <v>-72.108735999999993</v>
      </c>
      <c r="D117">
        <v>41.004224000000001</v>
      </c>
      <c r="E117">
        <v>2011</v>
      </c>
      <c r="F117" t="s">
        <v>59</v>
      </c>
      <c r="G117" t="s">
        <v>60</v>
      </c>
      <c r="H117" t="s">
        <v>61</v>
      </c>
      <c r="I117">
        <v>15</v>
      </c>
      <c r="J117">
        <v>15</v>
      </c>
      <c r="K117" t="s">
        <v>55</v>
      </c>
      <c r="L117">
        <v>8.1</v>
      </c>
      <c r="M117">
        <v>7.6</v>
      </c>
      <c r="N117">
        <v>4</v>
      </c>
      <c r="O117" t="s">
        <v>339</v>
      </c>
      <c r="P117">
        <v>532.58000000000004</v>
      </c>
      <c r="Q117" t="s">
        <v>42</v>
      </c>
      <c r="R117">
        <v>32</v>
      </c>
      <c r="T117">
        <v>347.19</v>
      </c>
      <c r="U117" t="s">
        <v>42</v>
      </c>
      <c r="V117">
        <v>35.4</v>
      </c>
      <c r="X117" t="s">
        <v>31</v>
      </c>
      <c r="Y117">
        <v>45</v>
      </c>
      <c r="Z117" t="s">
        <v>33</v>
      </c>
      <c r="AA117" t="s">
        <v>72</v>
      </c>
    </row>
    <row r="118" spans="1:27" hidden="1" x14ac:dyDescent="0.35">
      <c r="A118" t="s">
        <v>340</v>
      </c>
      <c r="C118">
        <v>-72.108735999999993</v>
      </c>
      <c r="D118">
        <v>41.004224000000001</v>
      </c>
      <c r="E118">
        <v>2011</v>
      </c>
      <c r="F118" t="s">
        <v>59</v>
      </c>
      <c r="G118" t="s">
        <v>60</v>
      </c>
      <c r="H118" t="s">
        <v>61</v>
      </c>
      <c r="I118">
        <v>15</v>
      </c>
      <c r="J118">
        <v>15</v>
      </c>
      <c r="K118" t="s">
        <v>139</v>
      </c>
      <c r="L118" t="s">
        <v>341</v>
      </c>
      <c r="M118" t="s">
        <v>342</v>
      </c>
      <c r="N118">
        <v>4</v>
      </c>
      <c r="O118" t="s">
        <v>339</v>
      </c>
      <c r="P118">
        <v>532.58000000000004</v>
      </c>
      <c r="Q118" t="s">
        <v>42</v>
      </c>
      <c r="R118">
        <v>32</v>
      </c>
      <c r="T118">
        <v>311.8</v>
      </c>
      <c r="U118" t="s">
        <v>42</v>
      </c>
      <c r="V118">
        <v>32</v>
      </c>
      <c r="X118" t="s">
        <v>31</v>
      </c>
      <c r="Y118">
        <v>45</v>
      </c>
      <c r="Z118" t="s">
        <v>33</v>
      </c>
      <c r="AA118" t="s">
        <v>72</v>
      </c>
    </row>
    <row r="119" spans="1:27" hidden="1" x14ac:dyDescent="0.35">
      <c r="A119" t="s">
        <v>340</v>
      </c>
      <c r="C119">
        <v>-72.108735999999993</v>
      </c>
      <c r="D119">
        <v>41.004224000000001</v>
      </c>
      <c r="E119">
        <v>2011</v>
      </c>
      <c r="F119" t="s">
        <v>59</v>
      </c>
      <c r="G119" t="s">
        <v>60</v>
      </c>
      <c r="H119" t="s">
        <v>61</v>
      </c>
      <c r="I119">
        <v>15</v>
      </c>
      <c r="J119">
        <v>15</v>
      </c>
      <c r="K119" t="s">
        <v>28</v>
      </c>
      <c r="L119">
        <v>24</v>
      </c>
      <c r="M119">
        <v>28</v>
      </c>
      <c r="N119">
        <v>4</v>
      </c>
      <c r="O119" t="s">
        <v>339</v>
      </c>
      <c r="P119">
        <v>532.58000000000004</v>
      </c>
      <c r="Q119" t="s">
        <v>42</v>
      </c>
      <c r="R119">
        <v>32</v>
      </c>
      <c r="T119">
        <v>510.67</v>
      </c>
      <c r="U119" t="s">
        <v>42</v>
      </c>
      <c r="V119">
        <v>27</v>
      </c>
      <c r="X119" t="s">
        <v>31</v>
      </c>
      <c r="Y119">
        <v>45</v>
      </c>
      <c r="Z119" t="s">
        <v>33</v>
      </c>
      <c r="AA119" t="s">
        <v>72</v>
      </c>
    </row>
    <row r="120" spans="1:27" hidden="1" x14ac:dyDescent="0.35">
      <c r="A120" t="s">
        <v>340</v>
      </c>
      <c r="C120">
        <v>-72.108735999999993</v>
      </c>
      <c r="D120">
        <v>41.004224000000001</v>
      </c>
      <c r="E120">
        <v>2011</v>
      </c>
      <c r="F120" t="s">
        <v>62</v>
      </c>
      <c r="G120" t="s">
        <v>63</v>
      </c>
      <c r="H120" t="s">
        <v>64</v>
      </c>
      <c r="I120">
        <v>15</v>
      </c>
      <c r="J120">
        <v>15</v>
      </c>
      <c r="K120" t="s">
        <v>55</v>
      </c>
      <c r="L120">
        <v>8.1</v>
      </c>
      <c r="M120">
        <v>7.6</v>
      </c>
      <c r="N120">
        <v>4</v>
      </c>
      <c r="O120" t="s">
        <v>339</v>
      </c>
      <c r="P120">
        <v>552.07000000000005</v>
      </c>
      <c r="Q120" t="s">
        <v>42</v>
      </c>
      <c r="R120">
        <v>39.1</v>
      </c>
      <c r="T120">
        <v>353.25</v>
      </c>
      <c r="U120" t="s">
        <v>42</v>
      </c>
      <c r="V120">
        <v>39.1</v>
      </c>
      <c r="X120" t="s">
        <v>31</v>
      </c>
      <c r="Y120">
        <v>45</v>
      </c>
      <c r="Z120" t="s">
        <v>33</v>
      </c>
      <c r="AA120" t="s">
        <v>292</v>
      </c>
    </row>
    <row r="121" spans="1:27" hidden="1" x14ac:dyDescent="0.35">
      <c r="A121" t="s">
        <v>340</v>
      </c>
      <c r="C121">
        <v>-72.108735999999993</v>
      </c>
      <c r="D121">
        <v>41.004224000000001</v>
      </c>
      <c r="E121">
        <v>2011</v>
      </c>
      <c r="F121" t="s">
        <v>62</v>
      </c>
      <c r="G121" t="s">
        <v>63</v>
      </c>
      <c r="H121" t="s">
        <v>64</v>
      </c>
      <c r="I121">
        <v>15</v>
      </c>
      <c r="J121">
        <v>15</v>
      </c>
      <c r="K121" t="s">
        <v>139</v>
      </c>
      <c r="L121" t="s">
        <v>341</v>
      </c>
      <c r="M121" t="s">
        <v>342</v>
      </c>
      <c r="N121">
        <v>4</v>
      </c>
      <c r="O121" t="s">
        <v>339</v>
      </c>
      <c r="P121">
        <v>552.07000000000005</v>
      </c>
      <c r="Q121" t="s">
        <v>42</v>
      </c>
      <c r="R121">
        <v>39.1</v>
      </c>
      <c r="T121">
        <v>324.85000000000002</v>
      </c>
      <c r="U121" t="s">
        <v>42</v>
      </c>
      <c r="V121">
        <v>17.75</v>
      </c>
      <c r="X121" t="s">
        <v>31</v>
      </c>
      <c r="Y121">
        <v>45</v>
      </c>
      <c r="Z121" t="s">
        <v>33</v>
      </c>
      <c r="AA121" t="s">
        <v>292</v>
      </c>
    </row>
    <row r="122" spans="1:27" hidden="1" x14ac:dyDescent="0.35">
      <c r="A122" t="s">
        <v>340</v>
      </c>
      <c r="C122">
        <v>-72.108735999999993</v>
      </c>
      <c r="D122">
        <v>41.004224000000001</v>
      </c>
      <c r="E122">
        <v>2011</v>
      </c>
      <c r="F122" t="s">
        <v>62</v>
      </c>
      <c r="G122" t="s">
        <v>63</v>
      </c>
      <c r="H122" t="s">
        <v>64</v>
      </c>
      <c r="I122">
        <v>15</v>
      </c>
      <c r="J122">
        <v>15</v>
      </c>
      <c r="K122" t="s">
        <v>28</v>
      </c>
      <c r="L122">
        <v>24</v>
      </c>
      <c r="M122">
        <v>28</v>
      </c>
      <c r="N122">
        <v>4</v>
      </c>
      <c r="O122" t="s">
        <v>339</v>
      </c>
      <c r="P122">
        <v>552.07000000000005</v>
      </c>
      <c r="Q122" t="s">
        <v>42</v>
      </c>
      <c r="R122">
        <v>39.1</v>
      </c>
      <c r="T122">
        <v>521.89</v>
      </c>
      <c r="U122" t="s">
        <v>42</v>
      </c>
      <c r="V122">
        <v>26.6</v>
      </c>
      <c r="X122" t="s">
        <v>31</v>
      </c>
      <c r="Y122">
        <v>45</v>
      </c>
      <c r="Z122" t="s">
        <v>33</v>
      </c>
      <c r="AA122" t="s">
        <v>292</v>
      </c>
    </row>
    <row r="123" spans="1:27" hidden="1" x14ac:dyDescent="0.35">
      <c r="A123" t="s">
        <v>343</v>
      </c>
      <c r="C123">
        <v>-72.616104000000007</v>
      </c>
      <c r="D123">
        <v>40.921416000000001</v>
      </c>
      <c r="E123">
        <v>2012</v>
      </c>
      <c r="F123" t="s">
        <v>47</v>
      </c>
      <c r="G123" t="s">
        <v>48</v>
      </c>
      <c r="H123" t="s">
        <v>49</v>
      </c>
      <c r="I123">
        <v>15</v>
      </c>
      <c r="J123">
        <v>15</v>
      </c>
      <c r="K123" t="s">
        <v>55</v>
      </c>
      <c r="L123">
        <v>8.1</v>
      </c>
      <c r="M123">
        <v>7.6</v>
      </c>
      <c r="N123">
        <v>4</v>
      </c>
      <c r="O123" t="s">
        <v>260</v>
      </c>
      <c r="P123">
        <v>374.6</v>
      </c>
      <c r="Q123" t="s">
        <v>42</v>
      </c>
      <c r="R123">
        <v>47.1</v>
      </c>
      <c r="T123">
        <v>259.8</v>
      </c>
      <c r="U123" t="s">
        <v>42</v>
      </c>
      <c r="V123">
        <v>22.6</v>
      </c>
      <c r="X123" t="s">
        <v>31</v>
      </c>
      <c r="Y123" t="s">
        <v>285</v>
      </c>
      <c r="Z123" t="s">
        <v>33</v>
      </c>
      <c r="AA123" t="s">
        <v>344</v>
      </c>
    </row>
    <row r="124" spans="1:27" hidden="1" x14ac:dyDescent="0.35">
      <c r="A124" t="s">
        <v>343</v>
      </c>
      <c r="C124">
        <v>-72.616104000000007</v>
      </c>
      <c r="D124">
        <v>40.921416000000001</v>
      </c>
      <c r="E124">
        <v>2012</v>
      </c>
      <c r="F124" t="s">
        <v>59</v>
      </c>
      <c r="G124" t="s">
        <v>60</v>
      </c>
      <c r="H124" t="s">
        <v>61</v>
      </c>
      <c r="I124">
        <v>15</v>
      </c>
      <c r="J124">
        <v>15</v>
      </c>
      <c r="K124" t="s">
        <v>55</v>
      </c>
      <c r="L124">
        <v>8.1</v>
      </c>
      <c r="M124">
        <v>7.6</v>
      </c>
      <c r="N124">
        <v>4</v>
      </c>
      <c r="O124" t="s">
        <v>260</v>
      </c>
      <c r="P124">
        <v>493.1</v>
      </c>
      <c r="Q124" t="s">
        <v>42</v>
      </c>
      <c r="R124">
        <v>4.5999999999999996</v>
      </c>
      <c r="T124">
        <v>192.1</v>
      </c>
      <c r="U124" t="s">
        <v>42</v>
      </c>
      <c r="V124">
        <v>4.5999999999999996</v>
      </c>
      <c r="X124" t="s">
        <v>31</v>
      </c>
      <c r="Y124" t="s">
        <v>285</v>
      </c>
      <c r="Z124" t="s">
        <v>33</v>
      </c>
      <c r="AA124" t="s">
        <v>306</v>
      </c>
    </row>
    <row r="125" spans="1:27" x14ac:dyDescent="0.35">
      <c r="A125" t="s">
        <v>345</v>
      </c>
      <c r="B125" t="s">
        <v>494</v>
      </c>
      <c r="C125">
        <v>3.718089</v>
      </c>
      <c r="D125">
        <v>51.395251999999999</v>
      </c>
      <c r="E125">
        <v>2012</v>
      </c>
      <c r="F125" t="s">
        <v>303</v>
      </c>
      <c r="G125" t="s">
        <v>157</v>
      </c>
      <c r="H125" t="s">
        <v>158</v>
      </c>
      <c r="I125">
        <v>32</v>
      </c>
      <c r="J125">
        <v>32</v>
      </c>
      <c r="K125" t="s">
        <v>55</v>
      </c>
      <c r="L125">
        <v>8.1</v>
      </c>
      <c r="M125">
        <v>7.5</v>
      </c>
      <c r="N125">
        <v>3</v>
      </c>
      <c r="O125" t="s">
        <v>346</v>
      </c>
      <c r="P125">
        <v>308.39999999999998</v>
      </c>
      <c r="Q125" t="s">
        <v>69</v>
      </c>
      <c r="R125">
        <v>3.4</v>
      </c>
      <c r="S125">
        <f>R125*SQRT(I125)</f>
        <v>19.233304448274094</v>
      </c>
      <c r="T125">
        <v>257.60000000000002</v>
      </c>
      <c r="U125" t="s">
        <v>69</v>
      </c>
      <c r="V125">
        <v>3.2</v>
      </c>
      <c r="W125">
        <f>V125*SQRT(J125)</f>
        <v>18.10193359837562</v>
      </c>
      <c r="X125" t="s">
        <v>43</v>
      </c>
      <c r="Y125" t="s">
        <v>336</v>
      </c>
      <c r="Z125" t="s">
        <v>33</v>
      </c>
      <c r="AA125" t="s">
        <v>347</v>
      </c>
    </row>
    <row r="126" spans="1:27" x14ac:dyDescent="0.35">
      <c r="A126" t="s">
        <v>348</v>
      </c>
      <c r="B126" t="s">
        <v>494</v>
      </c>
      <c r="C126">
        <v>18.820430999999999</v>
      </c>
      <c r="D126">
        <v>59.576644999999999</v>
      </c>
      <c r="E126">
        <v>2016</v>
      </c>
      <c r="F126" t="s">
        <v>133</v>
      </c>
      <c r="G126" t="s">
        <v>134</v>
      </c>
      <c r="H126" t="s">
        <v>113</v>
      </c>
      <c r="I126">
        <v>48</v>
      </c>
      <c r="J126">
        <v>55</v>
      </c>
      <c r="K126" t="s">
        <v>55</v>
      </c>
      <c r="L126">
        <v>8.1</v>
      </c>
      <c r="M126">
        <v>7.85</v>
      </c>
      <c r="N126">
        <v>3</v>
      </c>
      <c r="O126" t="s">
        <v>159</v>
      </c>
      <c r="P126">
        <v>146.1</v>
      </c>
      <c r="Q126" t="s">
        <v>69</v>
      </c>
      <c r="R126">
        <v>0.5</v>
      </c>
      <c r="S126">
        <f>R126*SQRT(I126)</f>
        <v>3.4641016151377544</v>
      </c>
      <c r="T126">
        <v>154.6</v>
      </c>
      <c r="U126" t="s">
        <v>69</v>
      </c>
      <c r="V126">
        <v>8.1999999999999993</v>
      </c>
      <c r="W126">
        <f>V126*SQRT(J126)</f>
        <v>60.812827594184434</v>
      </c>
      <c r="X126" t="s">
        <v>43</v>
      </c>
      <c r="Y126" t="s">
        <v>247</v>
      </c>
      <c r="Z126" t="s">
        <v>33</v>
      </c>
      <c r="AA126" t="s">
        <v>349</v>
      </c>
    </row>
    <row r="127" spans="1:27" x14ac:dyDescent="0.35">
      <c r="A127" t="s">
        <v>350</v>
      </c>
      <c r="B127" t="s">
        <v>494</v>
      </c>
      <c r="C127">
        <v>120.412019</v>
      </c>
      <c r="D127">
        <v>36.049433999999998</v>
      </c>
      <c r="E127">
        <v>2016</v>
      </c>
      <c r="F127" t="s">
        <v>59</v>
      </c>
      <c r="G127" t="s">
        <v>60</v>
      </c>
      <c r="H127" t="s">
        <v>61</v>
      </c>
      <c r="I127">
        <v>100</v>
      </c>
      <c r="J127">
        <v>100</v>
      </c>
      <c r="K127" t="s">
        <v>55</v>
      </c>
      <c r="L127">
        <v>8.3000000000000007</v>
      </c>
      <c r="M127">
        <v>7.6</v>
      </c>
      <c r="N127">
        <v>1</v>
      </c>
      <c r="O127" t="s">
        <v>191</v>
      </c>
      <c r="P127">
        <v>73.5</v>
      </c>
      <c r="Q127" t="s">
        <v>42</v>
      </c>
      <c r="R127">
        <v>4.4000000000000004</v>
      </c>
      <c r="S127">
        <v>4.4000000000000004</v>
      </c>
      <c r="T127">
        <v>64</v>
      </c>
      <c r="U127" t="s">
        <v>42</v>
      </c>
      <c r="V127">
        <v>3</v>
      </c>
      <c r="W127">
        <v>3</v>
      </c>
      <c r="X127" t="s">
        <v>43</v>
      </c>
      <c r="Y127" t="s">
        <v>198</v>
      </c>
      <c r="Z127" t="s">
        <v>33</v>
      </c>
      <c r="AA127" t="s">
        <v>351</v>
      </c>
    </row>
    <row r="128" spans="1:27" x14ac:dyDescent="0.35">
      <c r="A128" t="s">
        <v>352</v>
      </c>
      <c r="B128" t="s">
        <v>494</v>
      </c>
      <c r="C128">
        <v>-70.459367</v>
      </c>
      <c r="D128">
        <v>41.589173000000002</v>
      </c>
      <c r="E128">
        <v>2013</v>
      </c>
      <c r="F128" t="s">
        <v>59</v>
      </c>
      <c r="G128" t="s">
        <v>60</v>
      </c>
      <c r="H128" t="s">
        <v>61</v>
      </c>
      <c r="I128">
        <v>90</v>
      </c>
      <c r="J128">
        <v>90</v>
      </c>
      <c r="K128" t="s">
        <v>55</v>
      </c>
      <c r="L128">
        <v>7.93</v>
      </c>
      <c r="M128">
        <v>7.39</v>
      </c>
      <c r="N128">
        <v>6</v>
      </c>
      <c r="O128" t="s">
        <v>159</v>
      </c>
      <c r="P128">
        <v>131.69999999999999</v>
      </c>
      <c r="Q128" t="s">
        <v>42</v>
      </c>
      <c r="R128">
        <v>9.3000000000000007</v>
      </c>
      <c r="S128">
        <v>9.3000000000000007</v>
      </c>
      <c r="T128">
        <v>116.8</v>
      </c>
      <c r="U128" t="s">
        <v>42</v>
      </c>
      <c r="V128">
        <v>6.5</v>
      </c>
      <c r="W128">
        <v>6.5</v>
      </c>
      <c r="X128" t="s">
        <v>43</v>
      </c>
      <c r="Y128" t="s">
        <v>353</v>
      </c>
      <c r="Z128" t="s">
        <v>33</v>
      </c>
      <c r="AA128" t="s">
        <v>72</v>
      </c>
    </row>
    <row r="129" spans="1:27" hidden="1" x14ac:dyDescent="0.35">
      <c r="A129" t="s">
        <v>354</v>
      </c>
      <c r="C129">
        <v>12.273332</v>
      </c>
      <c r="D129">
        <v>45.229450999999997</v>
      </c>
      <c r="E129">
        <v>2014</v>
      </c>
      <c r="F129" t="s">
        <v>187</v>
      </c>
      <c r="G129" t="s">
        <v>188</v>
      </c>
      <c r="H129" t="s">
        <v>113</v>
      </c>
      <c r="I129">
        <v>30</v>
      </c>
      <c r="J129">
        <v>30</v>
      </c>
      <c r="K129" t="s">
        <v>55</v>
      </c>
      <c r="L129">
        <v>8.2100000000000009</v>
      </c>
      <c r="M129">
        <v>7.4</v>
      </c>
      <c r="N129">
        <v>3</v>
      </c>
      <c r="O129" t="s">
        <v>215</v>
      </c>
      <c r="P129">
        <v>12.67</v>
      </c>
      <c r="Q129" t="s">
        <v>42</v>
      </c>
      <c r="R129">
        <v>0.56999999999999995</v>
      </c>
      <c r="T129">
        <v>12.61</v>
      </c>
      <c r="U129" t="s">
        <v>115</v>
      </c>
      <c r="V129">
        <v>0.23</v>
      </c>
      <c r="X129" t="s">
        <v>31</v>
      </c>
      <c r="Y129" t="s">
        <v>355</v>
      </c>
      <c r="Z129" t="s">
        <v>33</v>
      </c>
      <c r="AA129" t="s">
        <v>356</v>
      </c>
    </row>
    <row r="130" spans="1:27" hidden="1" x14ac:dyDescent="0.35">
      <c r="A130" t="s">
        <v>354</v>
      </c>
      <c r="C130">
        <v>12.273332</v>
      </c>
      <c r="D130">
        <v>45.229450999999997</v>
      </c>
      <c r="E130">
        <v>2014</v>
      </c>
      <c r="F130" t="s">
        <v>357</v>
      </c>
      <c r="G130" t="s">
        <v>358</v>
      </c>
      <c r="H130" t="s">
        <v>64</v>
      </c>
      <c r="I130">
        <v>30</v>
      </c>
      <c r="J130">
        <v>30</v>
      </c>
      <c r="K130" t="s">
        <v>55</v>
      </c>
      <c r="L130">
        <v>8.2100000000000009</v>
      </c>
      <c r="M130">
        <v>7.4</v>
      </c>
      <c r="N130">
        <v>3</v>
      </c>
      <c r="O130" t="s">
        <v>215</v>
      </c>
      <c r="P130">
        <v>7.53</v>
      </c>
      <c r="Q130" t="s">
        <v>42</v>
      </c>
      <c r="R130">
        <v>0.04</v>
      </c>
      <c r="T130">
        <v>7.24</v>
      </c>
      <c r="U130" t="s">
        <v>42</v>
      </c>
      <c r="V130">
        <v>7.0000000000000007E-2</v>
      </c>
      <c r="X130" t="s">
        <v>31</v>
      </c>
      <c r="Y130" t="s">
        <v>355</v>
      </c>
      <c r="Z130" t="s">
        <v>33</v>
      </c>
      <c r="AA130" t="s">
        <v>356</v>
      </c>
    </row>
    <row r="131" spans="1:27" x14ac:dyDescent="0.35">
      <c r="A131" t="s">
        <v>359</v>
      </c>
      <c r="B131" t="s">
        <v>494</v>
      </c>
      <c r="C131">
        <v>-70.677002999999999</v>
      </c>
      <c r="D131">
        <v>41.535443000000001</v>
      </c>
      <c r="E131">
        <v>2014</v>
      </c>
      <c r="F131" t="s">
        <v>59</v>
      </c>
      <c r="G131" t="s">
        <v>60</v>
      </c>
      <c r="H131" t="s">
        <v>61</v>
      </c>
      <c r="I131">
        <v>375</v>
      </c>
      <c r="J131">
        <v>375</v>
      </c>
      <c r="K131" t="s">
        <v>55</v>
      </c>
      <c r="L131">
        <v>7.96</v>
      </c>
      <c r="M131">
        <v>7.3</v>
      </c>
      <c r="N131">
        <v>5</v>
      </c>
      <c r="O131" t="s">
        <v>159</v>
      </c>
      <c r="P131">
        <v>136.6</v>
      </c>
      <c r="Q131" t="s">
        <v>42</v>
      </c>
      <c r="R131">
        <v>7.3</v>
      </c>
      <c r="S131">
        <v>7.3</v>
      </c>
      <c r="T131">
        <v>119.7</v>
      </c>
      <c r="U131" t="s">
        <v>42</v>
      </c>
      <c r="V131">
        <v>5.3</v>
      </c>
      <c r="W131">
        <v>5.3</v>
      </c>
      <c r="X131" t="s">
        <v>43</v>
      </c>
      <c r="Y131" t="s">
        <v>353</v>
      </c>
      <c r="Z131" t="s">
        <v>33</v>
      </c>
      <c r="AA131" t="s">
        <v>344</v>
      </c>
    </row>
    <row r="132" spans="1:27" x14ac:dyDescent="0.35">
      <c r="A132" t="s">
        <v>359</v>
      </c>
      <c r="B132" t="s">
        <v>494</v>
      </c>
      <c r="C132">
        <v>-70.677002999999999</v>
      </c>
      <c r="D132">
        <v>41.535443000000001</v>
      </c>
      <c r="E132">
        <v>2014</v>
      </c>
      <c r="F132" t="s">
        <v>59</v>
      </c>
      <c r="G132" t="s">
        <v>60</v>
      </c>
      <c r="H132" t="s">
        <v>61</v>
      </c>
      <c r="I132">
        <v>375</v>
      </c>
      <c r="J132">
        <v>375</v>
      </c>
      <c r="K132" t="s">
        <v>55</v>
      </c>
      <c r="L132">
        <v>7.96</v>
      </c>
      <c r="M132">
        <v>7.3</v>
      </c>
      <c r="N132">
        <v>5</v>
      </c>
      <c r="O132" t="s">
        <v>159</v>
      </c>
      <c r="P132">
        <v>132.5</v>
      </c>
      <c r="Q132" t="s">
        <v>42</v>
      </c>
      <c r="R132">
        <v>1.2</v>
      </c>
      <c r="S132">
        <v>1.2</v>
      </c>
      <c r="T132">
        <v>112.4</v>
      </c>
      <c r="U132" t="s">
        <v>42</v>
      </c>
      <c r="V132">
        <v>3.4</v>
      </c>
      <c r="W132">
        <v>3.4</v>
      </c>
      <c r="X132" t="s">
        <v>43</v>
      </c>
      <c r="Y132" t="s">
        <v>353</v>
      </c>
      <c r="Z132" t="s">
        <v>33</v>
      </c>
      <c r="AA132" t="s">
        <v>344</v>
      </c>
    </row>
    <row r="133" spans="1:27" hidden="1" x14ac:dyDescent="0.35">
      <c r="A133" t="s">
        <v>360</v>
      </c>
      <c r="C133">
        <v>122.38712200000001</v>
      </c>
      <c r="D133">
        <v>39.150463000000002</v>
      </c>
      <c r="E133">
        <v>2020</v>
      </c>
      <c r="F133" t="s">
        <v>361</v>
      </c>
      <c r="G133" t="s">
        <v>362</v>
      </c>
      <c r="H133" t="s">
        <v>64</v>
      </c>
      <c r="I133">
        <v>30</v>
      </c>
      <c r="J133">
        <v>30</v>
      </c>
      <c r="K133" t="s">
        <v>55</v>
      </c>
      <c r="L133">
        <v>8</v>
      </c>
      <c r="M133">
        <v>7.7</v>
      </c>
      <c r="N133">
        <v>3</v>
      </c>
      <c r="O133" t="s">
        <v>363</v>
      </c>
      <c r="P133">
        <v>3.3</v>
      </c>
      <c r="Q133" t="s">
        <v>42</v>
      </c>
      <c r="R133">
        <v>0.14000000000000001</v>
      </c>
      <c r="T133">
        <v>3.31</v>
      </c>
      <c r="U133" t="s">
        <v>42</v>
      </c>
      <c r="V133">
        <v>0.1</v>
      </c>
      <c r="X133" t="s">
        <v>205</v>
      </c>
      <c r="Y133" t="s">
        <v>364</v>
      </c>
      <c r="Z133" t="s">
        <v>299</v>
      </c>
      <c r="AA133" t="s">
        <v>241</v>
      </c>
    </row>
    <row r="134" spans="1:27" hidden="1" x14ac:dyDescent="0.35">
      <c r="A134" t="s">
        <v>365</v>
      </c>
      <c r="C134">
        <v>10.193139</v>
      </c>
      <c r="D134">
        <v>54.405650000000001</v>
      </c>
      <c r="E134">
        <v>2018</v>
      </c>
      <c r="F134" t="s">
        <v>366</v>
      </c>
      <c r="G134" t="s">
        <v>367</v>
      </c>
      <c r="H134" t="s">
        <v>368</v>
      </c>
      <c r="I134">
        <v>6</v>
      </c>
      <c r="J134">
        <v>6</v>
      </c>
      <c r="K134" t="s">
        <v>55</v>
      </c>
      <c r="L134">
        <v>7.8</v>
      </c>
      <c r="M134">
        <v>7.7</v>
      </c>
      <c r="N134">
        <v>7</v>
      </c>
      <c r="O134" t="s">
        <v>41</v>
      </c>
      <c r="P134">
        <v>4.7</v>
      </c>
      <c r="Q134" t="s">
        <v>69</v>
      </c>
      <c r="R134">
        <v>0.5</v>
      </c>
      <c r="T134">
        <v>3.1</v>
      </c>
      <c r="U134" t="s">
        <v>69</v>
      </c>
      <c r="V134">
        <v>0.3</v>
      </c>
      <c r="X134" t="s">
        <v>31</v>
      </c>
      <c r="Y134" t="s">
        <v>219</v>
      </c>
      <c r="Z134" t="s">
        <v>298</v>
      </c>
      <c r="AA134" t="s">
        <v>72</v>
      </c>
    </row>
    <row r="135" spans="1:27" hidden="1" x14ac:dyDescent="0.35">
      <c r="A135" t="s">
        <v>369</v>
      </c>
      <c r="C135">
        <v>122.704712</v>
      </c>
      <c r="D135">
        <v>39.015818000000003</v>
      </c>
      <c r="E135">
        <v>2017</v>
      </c>
      <c r="F135" t="s">
        <v>133</v>
      </c>
      <c r="G135" t="s">
        <v>134</v>
      </c>
      <c r="H135" t="s">
        <v>113</v>
      </c>
      <c r="I135">
        <v>5</v>
      </c>
      <c r="J135">
        <v>5</v>
      </c>
      <c r="K135" t="s">
        <v>55</v>
      </c>
      <c r="L135">
        <v>8.1</v>
      </c>
      <c r="M135">
        <v>7.7</v>
      </c>
      <c r="N135">
        <v>1</v>
      </c>
      <c r="O135" t="s">
        <v>41</v>
      </c>
      <c r="P135">
        <v>35.9</v>
      </c>
      <c r="Q135" t="s">
        <v>69</v>
      </c>
      <c r="R135">
        <v>2.8</v>
      </c>
      <c r="T135">
        <v>22.3</v>
      </c>
      <c r="U135" t="s">
        <v>69</v>
      </c>
      <c r="V135">
        <v>3.6</v>
      </c>
      <c r="X135" t="s">
        <v>205</v>
      </c>
      <c r="Y135" t="s">
        <v>370</v>
      </c>
      <c r="Z135" t="s">
        <v>331</v>
      </c>
      <c r="AA135" t="s">
        <v>72</v>
      </c>
    </row>
    <row r="136" spans="1:27" hidden="1" x14ac:dyDescent="0.35">
      <c r="A136" t="s">
        <v>369</v>
      </c>
      <c r="C136">
        <v>122.704712</v>
      </c>
      <c r="D136">
        <v>39.015818000000003</v>
      </c>
      <c r="E136">
        <v>2017</v>
      </c>
      <c r="F136" t="s">
        <v>133</v>
      </c>
      <c r="G136" t="s">
        <v>134</v>
      </c>
      <c r="H136" t="s">
        <v>113</v>
      </c>
      <c r="I136">
        <v>5</v>
      </c>
      <c r="J136">
        <v>5</v>
      </c>
      <c r="K136" t="s">
        <v>139</v>
      </c>
      <c r="L136" t="s">
        <v>371</v>
      </c>
      <c r="M136" t="s">
        <v>372</v>
      </c>
      <c r="N136">
        <v>1</v>
      </c>
      <c r="O136" t="s">
        <v>41</v>
      </c>
      <c r="P136">
        <v>35.9</v>
      </c>
      <c r="Q136" t="s">
        <v>69</v>
      </c>
      <c r="R136">
        <v>2.8</v>
      </c>
      <c r="T136">
        <v>24.8</v>
      </c>
      <c r="U136" t="s">
        <v>69</v>
      </c>
      <c r="V136">
        <v>6.2</v>
      </c>
      <c r="X136" t="s">
        <v>205</v>
      </c>
      <c r="Y136" t="s">
        <v>370</v>
      </c>
      <c r="Z136" t="s">
        <v>331</v>
      </c>
      <c r="AA136" t="s">
        <v>72</v>
      </c>
    </row>
    <row r="137" spans="1:27" hidden="1" x14ac:dyDescent="0.35">
      <c r="A137" t="s">
        <v>369</v>
      </c>
      <c r="C137">
        <v>122.704712</v>
      </c>
      <c r="D137">
        <v>39.015818000000003</v>
      </c>
      <c r="E137">
        <v>2017</v>
      </c>
      <c r="F137" t="s">
        <v>133</v>
      </c>
      <c r="G137" t="s">
        <v>134</v>
      </c>
      <c r="H137" t="s">
        <v>113</v>
      </c>
      <c r="I137">
        <v>5</v>
      </c>
      <c r="J137">
        <v>5</v>
      </c>
      <c r="K137" t="s">
        <v>28</v>
      </c>
      <c r="L137">
        <v>16</v>
      </c>
      <c r="M137">
        <v>22</v>
      </c>
      <c r="N137">
        <v>1</v>
      </c>
      <c r="O137" t="s">
        <v>41</v>
      </c>
      <c r="P137">
        <v>35.9</v>
      </c>
      <c r="Q137" t="s">
        <v>69</v>
      </c>
      <c r="R137">
        <v>2.8</v>
      </c>
      <c r="T137">
        <v>38</v>
      </c>
      <c r="U137" t="s">
        <v>69</v>
      </c>
      <c r="V137">
        <v>2.5</v>
      </c>
      <c r="X137" t="s">
        <v>205</v>
      </c>
      <c r="Y137" t="s">
        <v>370</v>
      </c>
      <c r="Z137" t="s">
        <v>331</v>
      </c>
      <c r="AA137" t="s">
        <v>72</v>
      </c>
    </row>
    <row r="138" spans="1:27" hidden="1" x14ac:dyDescent="0.35">
      <c r="A138" t="s">
        <v>369</v>
      </c>
      <c r="C138">
        <v>122.704712</v>
      </c>
      <c r="D138">
        <v>39.015818000000003</v>
      </c>
      <c r="E138">
        <v>2017</v>
      </c>
      <c r="F138" t="s">
        <v>373</v>
      </c>
      <c r="G138" t="s">
        <v>374</v>
      </c>
      <c r="H138" t="s">
        <v>61</v>
      </c>
      <c r="I138">
        <v>5</v>
      </c>
      <c r="J138">
        <v>5</v>
      </c>
      <c r="K138" t="s">
        <v>55</v>
      </c>
      <c r="L138">
        <v>8.1</v>
      </c>
      <c r="M138">
        <v>7.7</v>
      </c>
      <c r="N138">
        <v>1</v>
      </c>
      <c r="O138" t="s">
        <v>41</v>
      </c>
      <c r="P138">
        <v>33.799999999999997</v>
      </c>
      <c r="Q138" t="s">
        <v>69</v>
      </c>
      <c r="R138">
        <v>3.9</v>
      </c>
      <c r="T138">
        <v>27.4</v>
      </c>
      <c r="U138" t="s">
        <v>69</v>
      </c>
      <c r="V138">
        <v>4.0999999999999996</v>
      </c>
      <c r="X138" t="s">
        <v>205</v>
      </c>
      <c r="Y138" t="s">
        <v>370</v>
      </c>
      <c r="Z138" t="s">
        <v>331</v>
      </c>
      <c r="AA138" t="s">
        <v>72</v>
      </c>
    </row>
    <row r="139" spans="1:27" hidden="1" x14ac:dyDescent="0.35">
      <c r="A139" t="s">
        <v>369</v>
      </c>
      <c r="C139">
        <v>122.704712</v>
      </c>
      <c r="D139">
        <v>39.015818000000003</v>
      </c>
      <c r="E139">
        <v>2017</v>
      </c>
      <c r="F139" t="s">
        <v>373</v>
      </c>
      <c r="G139" t="s">
        <v>374</v>
      </c>
      <c r="H139" t="s">
        <v>61</v>
      </c>
      <c r="I139">
        <v>5</v>
      </c>
      <c r="J139">
        <v>5</v>
      </c>
      <c r="K139" t="s">
        <v>139</v>
      </c>
      <c r="L139" t="s">
        <v>371</v>
      </c>
      <c r="M139" t="s">
        <v>372</v>
      </c>
      <c r="N139">
        <v>1</v>
      </c>
      <c r="O139" t="s">
        <v>41</v>
      </c>
      <c r="P139">
        <v>33.799999999999997</v>
      </c>
      <c r="Q139" t="s">
        <v>69</v>
      </c>
      <c r="R139">
        <v>3.9</v>
      </c>
      <c r="T139">
        <v>16.7</v>
      </c>
      <c r="U139" t="s">
        <v>69</v>
      </c>
      <c r="V139">
        <v>5.7</v>
      </c>
      <c r="X139" t="s">
        <v>205</v>
      </c>
      <c r="Y139" t="s">
        <v>370</v>
      </c>
      <c r="Z139" t="s">
        <v>331</v>
      </c>
      <c r="AA139" t="s">
        <v>72</v>
      </c>
    </row>
    <row r="140" spans="1:27" hidden="1" x14ac:dyDescent="0.35">
      <c r="A140" t="s">
        <v>369</v>
      </c>
      <c r="C140">
        <v>122.704712</v>
      </c>
      <c r="D140">
        <v>39.015818000000003</v>
      </c>
      <c r="E140">
        <v>2017</v>
      </c>
      <c r="F140" t="s">
        <v>373</v>
      </c>
      <c r="G140" t="s">
        <v>374</v>
      </c>
      <c r="H140" t="s">
        <v>61</v>
      </c>
      <c r="I140">
        <v>5</v>
      </c>
      <c r="J140">
        <v>5</v>
      </c>
      <c r="K140" t="s">
        <v>28</v>
      </c>
      <c r="L140">
        <v>16</v>
      </c>
      <c r="M140">
        <v>22</v>
      </c>
      <c r="N140">
        <v>1</v>
      </c>
      <c r="O140" t="s">
        <v>41</v>
      </c>
      <c r="P140">
        <v>33.799999999999997</v>
      </c>
      <c r="Q140" t="s">
        <v>69</v>
      </c>
      <c r="R140">
        <v>3.9</v>
      </c>
      <c r="T140">
        <v>23</v>
      </c>
      <c r="U140" t="s">
        <v>69</v>
      </c>
      <c r="V140">
        <v>3.9</v>
      </c>
      <c r="X140" t="s">
        <v>205</v>
      </c>
      <c r="Y140" t="s">
        <v>370</v>
      </c>
      <c r="Z140" t="s">
        <v>331</v>
      </c>
      <c r="AA140" t="s">
        <v>72</v>
      </c>
    </row>
    <row r="141" spans="1:27" hidden="1" x14ac:dyDescent="0.35">
      <c r="A141" t="s">
        <v>375</v>
      </c>
      <c r="B141" t="s">
        <v>495</v>
      </c>
      <c r="C141">
        <v>165.58346700000001</v>
      </c>
      <c r="D141">
        <v>-77.569136</v>
      </c>
      <c r="E141">
        <v>2017</v>
      </c>
      <c r="F141" t="s">
        <v>376</v>
      </c>
      <c r="G141" t="s">
        <v>377</v>
      </c>
      <c r="H141" t="s">
        <v>378</v>
      </c>
      <c r="I141">
        <v>10</v>
      </c>
      <c r="J141">
        <v>10</v>
      </c>
      <c r="K141" t="s">
        <v>55</v>
      </c>
      <c r="L141" t="s">
        <v>379</v>
      </c>
      <c r="M141" t="s">
        <v>380</v>
      </c>
      <c r="N141">
        <v>3</v>
      </c>
      <c r="O141" t="s">
        <v>117</v>
      </c>
      <c r="P141">
        <v>178.1</v>
      </c>
      <c r="Q141" t="s">
        <v>69</v>
      </c>
      <c r="R141">
        <v>0.17</v>
      </c>
      <c r="T141">
        <v>173.93</v>
      </c>
      <c r="U141" t="s">
        <v>69</v>
      </c>
      <c r="V141">
        <v>4.25</v>
      </c>
      <c r="X141" t="s">
        <v>43</v>
      </c>
      <c r="Y141" t="s">
        <v>381</v>
      </c>
      <c r="Z141" t="s">
        <v>33</v>
      </c>
      <c r="AA141" t="s">
        <v>193</v>
      </c>
    </row>
    <row r="142" spans="1:27" hidden="1" x14ac:dyDescent="0.35">
      <c r="A142" t="s">
        <v>375</v>
      </c>
      <c r="B142" t="s">
        <v>495</v>
      </c>
      <c r="C142">
        <v>165.58346700000001</v>
      </c>
      <c r="D142">
        <v>-77.569136</v>
      </c>
      <c r="E142">
        <v>2017</v>
      </c>
      <c r="F142" t="s">
        <v>376</v>
      </c>
      <c r="G142" t="s">
        <v>377</v>
      </c>
      <c r="H142" t="s">
        <v>378</v>
      </c>
      <c r="I142">
        <v>10</v>
      </c>
      <c r="J142">
        <v>10</v>
      </c>
      <c r="K142" t="s">
        <v>139</v>
      </c>
      <c r="L142" t="s">
        <v>379</v>
      </c>
      <c r="M142" t="s">
        <v>382</v>
      </c>
      <c r="N142">
        <v>3</v>
      </c>
      <c r="O142" t="s">
        <v>117</v>
      </c>
      <c r="P142">
        <v>178.1</v>
      </c>
      <c r="Q142" t="s">
        <v>69</v>
      </c>
      <c r="R142">
        <v>0.17</v>
      </c>
      <c r="T142">
        <v>172.94</v>
      </c>
      <c r="U142" t="s">
        <v>69</v>
      </c>
      <c r="V142">
        <v>2.1</v>
      </c>
      <c r="X142" t="s">
        <v>43</v>
      </c>
      <c r="Y142" t="s">
        <v>381</v>
      </c>
      <c r="Z142" t="s">
        <v>33</v>
      </c>
      <c r="AA142" t="s">
        <v>193</v>
      </c>
    </row>
    <row r="143" spans="1:27" hidden="1" x14ac:dyDescent="0.35">
      <c r="A143" t="s">
        <v>375</v>
      </c>
      <c r="B143" t="s">
        <v>495</v>
      </c>
      <c r="C143">
        <v>165.58346700000001</v>
      </c>
      <c r="D143">
        <v>-77.569136</v>
      </c>
      <c r="E143">
        <v>2017</v>
      </c>
      <c r="F143" t="s">
        <v>376</v>
      </c>
      <c r="G143" t="s">
        <v>377</v>
      </c>
      <c r="H143" t="s">
        <v>378</v>
      </c>
      <c r="I143">
        <v>10</v>
      </c>
      <c r="J143">
        <v>10</v>
      </c>
      <c r="K143" t="s">
        <v>28</v>
      </c>
      <c r="L143" t="s">
        <v>379</v>
      </c>
      <c r="M143" t="s">
        <v>383</v>
      </c>
      <c r="N143">
        <v>3</v>
      </c>
      <c r="O143" t="s">
        <v>117</v>
      </c>
      <c r="P143">
        <v>178.1</v>
      </c>
      <c r="Q143" t="s">
        <v>69</v>
      </c>
      <c r="R143">
        <v>0.17</v>
      </c>
      <c r="T143">
        <v>174.71</v>
      </c>
      <c r="U143" t="s">
        <v>69</v>
      </c>
      <c r="V143">
        <v>0.77</v>
      </c>
      <c r="X143" t="s">
        <v>43</v>
      </c>
      <c r="Y143" t="s">
        <v>381</v>
      </c>
      <c r="Z143" t="s">
        <v>33</v>
      </c>
      <c r="AA143" t="s">
        <v>193</v>
      </c>
    </row>
    <row r="144" spans="1:27" hidden="1" x14ac:dyDescent="0.35">
      <c r="A144" t="s">
        <v>384</v>
      </c>
      <c r="C144" t="s">
        <v>385</v>
      </c>
      <c r="E144">
        <v>2014</v>
      </c>
      <c r="F144" t="s">
        <v>133</v>
      </c>
      <c r="H144" t="s">
        <v>113</v>
      </c>
      <c r="I144">
        <v>39</v>
      </c>
      <c r="J144">
        <v>39</v>
      </c>
      <c r="K144" t="s">
        <v>55</v>
      </c>
      <c r="L144">
        <v>7.95</v>
      </c>
      <c r="M144">
        <v>7.56</v>
      </c>
      <c r="O144" t="s">
        <v>386</v>
      </c>
      <c r="P144">
        <v>1.25</v>
      </c>
      <c r="R144">
        <v>0.12</v>
      </c>
      <c r="T144">
        <v>0.78</v>
      </c>
      <c r="V144">
        <v>0.11</v>
      </c>
      <c r="X144" t="s">
        <v>127</v>
      </c>
      <c r="AA144" t="s">
        <v>387</v>
      </c>
    </row>
    <row r="145" spans="1:27" hidden="1" x14ac:dyDescent="0.35">
      <c r="A145" t="s">
        <v>388</v>
      </c>
      <c r="C145">
        <v>-76.500472000000002</v>
      </c>
      <c r="D145">
        <v>37.247368000000002</v>
      </c>
      <c r="E145">
        <v>1992</v>
      </c>
      <c r="F145" t="s">
        <v>47</v>
      </c>
      <c r="H145" t="s">
        <v>49</v>
      </c>
      <c r="I145">
        <v>30</v>
      </c>
      <c r="J145">
        <v>25</v>
      </c>
      <c r="K145" t="s">
        <v>50</v>
      </c>
      <c r="P145">
        <v>1.9670000000000001</v>
      </c>
      <c r="R145">
        <v>0.97399999999999998</v>
      </c>
      <c r="T145">
        <v>1.2749999999999999</v>
      </c>
      <c r="V145">
        <v>1</v>
      </c>
      <c r="X145" t="s">
        <v>31</v>
      </c>
      <c r="AA145" t="s">
        <v>199</v>
      </c>
    </row>
    <row r="146" spans="1:27" hidden="1" x14ac:dyDescent="0.35">
      <c r="A146" t="s">
        <v>389</v>
      </c>
      <c r="C146">
        <v>3.1095000000000002</v>
      </c>
      <c r="D146">
        <v>39.883076000000003</v>
      </c>
      <c r="E146">
        <v>2015</v>
      </c>
      <c r="F146" t="s">
        <v>390</v>
      </c>
      <c r="H146" t="s">
        <v>391</v>
      </c>
      <c r="I146">
        <v>91</v>
      </c>
      <c r="J146">
        <v>91</v>
      </c>
      <c r="K146" t="s">
        <v>55</v>
      </c>
      <c r="L146" t="s">
        <v>392</v>
      </c>
      <c r="M146" t="s">
        <v>393</v>
      </c>
      <c r="O146" t="s">
        <v>394</v>
      </c>
      <c r="P146">
        <v>0.04</v>
      </c>
      <c r="R146">
        <v>0.01</v>
      </c>
      <c r="T146">
        <v>0.08</v>
      </c>
      <c r="V146">
        <v>0.02</v>
      </c>
      <c r="X146" t="s">
        <v>31</v>
      </c>
      <c r="AA146" t="s">
        <v>395</v>
      </c>
    </row>
    <row r="147" spans="1:27" hidden="1" x14ac:dyDescent="0.35">
      <c r="A147" t="s">
        <v>389</v>
      </c>
      <c r="C147">
        <v>3.1095000000000002</v>
      </c>
      <c r="D147">
        <v>39.883076000000003</v>
      </c>
      <c r="E147">
        <v>2015</v>
      </c>
      <c r="F147" t="s">
        <v>390</v>
      </c>
      <c r="H147" t="s">
        <v>391</v>
      </c>
      <c r="I147">
        <v>91</v>
      </c>
      <c r="J147">
        <v>91</v>
      </c>
      <c r="K147" t="s">
        <v>139</v>
      </c>
      <c r="L147" t="s">
        <v>392</v>
      </c>
      <c r="M147" t="s">
        <v>396</v>
      </c>
      <c r="O147" t="s">
        <v>394</v>
      </c>
      <c r="P147">
        <v>0.04</v>
      </c>
      <c r="R147">
        <v>0.01</v>
      </c>
      <c r="T147">
        <v>0.03</v>
      </c>
      <c r="V147">
        <v>0.01</v>
      </c>
      <c r="X147" t="s">
        <v>31</v>
      </c>
      <c r="AA147" t="s">
        <v>395</v>
      </c>
    </row>
    <row r="148" spans="1:27" hidden="1" x14ac:dyDescent="0.35">
      <c r="A148" t="s">
        <v>389</v>
      </c>
      <c r="C148">
        <v>3.1095000000000002</v>
      </c>
      <c r="D148">
        <v>39.883076000000003</v>
      </c>
      <c r="E148">
        <v>2015</v>
      </c>
      <c r="F148" t="s">
        <v>390</v>
      </c>
      <c r="H148" t="s">
        <v>391</v>
      </c>
      <c r="I148">
        <v>91</v>
      </c>
      <c r="J148">
        <v>91</v>
      </c>
      <c r="K148" t="s">
        <v>139</v>
      </c>
      <c r="L148" t="s">
        <v>392</v>
      </c>
      <c r="M148" t="s">
        <v>397</v>
      </c>
      <c r="O148" t="s">
        <v>394</v>
      </c>
      <c r="P148">
        <v>0.04</v>
      </c>
      <c r="R148">
        <v>0.01</v>
      </c>
      <c r="T148">
        <v>0.03</v>
      </c>
      <c r="V148">
        <v>0.01</v>
      </c>
      <c r="X148" t="s">
        <v>31</v>
      </c>
      <c r="AA148" t="s">
        <v>395</v>
      </c>
    </row>
    <row r="149" spans="1:27" hidden="1" x14ac:dyDescent="0.35">
      <c r="A149" t="s">
        <v>389</v>
      </c>
      <c r="C149">
        <v>3.1095000000000002</v>
      </c>
      <c r="D149">
        <v>39.883076000000003</v>
      </c>
      <c r="E149">
        <v>2015</v>
      </c>
      <c r="F149" t="s">
        <v>390</v>
      </c>
      <c r="H149" t="s">
        <v>391</v>
      </c>
      <c r="I149">
        <v>91</v>
      </c>
      <c r="J149">
        <v>91</v>
      </c>
      <c r="K149" t="s">
        <v>139</v>
      </c>
      <c r="P149">
        <v>4.2916999999999997E-2</v>
      </c>
      <c r="R149">
        <v>4.2188714000000002E-2</v>
      </c>
      <c r="T149">
        <v>0.12375</v>
      </c>
      <c r="V149">
        <v>0.116432736</v>
      </c>
      <c r="X149" t="s">
        <v>31</v>
      </c>
      <c r="AA149" t="s">
        <v>193</v>
      </c>
    </row>
    <row r="150" spans="1:27" hidden="1" x14ac:dyDescent="0.35">
      <c r="A150" t="s">
        <v>389</v>
      </c>
      <c r="C150">
        <v>3.1095000000000002</v>
      </c>
      <c r="D150">
        <v>39.883076000000003</v>
      </c>
      <c r="E150">
        <v>2015</v>
      </c>
      <c r="F150" t="s">
        <v>390</v>
      </c>
      <c r="H150" t="s">
        <v>391</v>
      </c>
      <c r="I150">
        <v>91</v>
      </c>
      <c r="J150">
        <v>91</v>
      </c>
      <c r="K150" t="s">
        <v>28</v>
      </c>
      <c r="L150" t="s">
        <v>392</v>
      </c>
      <c r="M150" t="s">
        <v>398</v>
      </c>
      <c r="O150" t="s">
        <v>394</v>
      </c>
      <c r="P150">
        <v>0.04</v>
      </c>
      <c r="R150">
        <v>0.01</v>
      </c>
      <c r="T150">
        <v>0.12</v>
      </c>
      <c r="V150">
        <v>0.05</v>
      </c>
      <c r="X150" t="s">
        <v>31</v>
      </c>
      <c r="AA150" t="s">
        <v>395</v>
      </c>
    </row>
    <row r="151" spans="1:27" hidden="1" x14ac:dyDescent="0.35">
      <c r="A151" t="s">
        <v>389</v>
      </c>
      <c r="C151">
        <v>3.1095000000000002</v>
      </c>
      <c r="D151">
        <v>39.883076000000003</v>
      </c>
      <c r="E151">
        <v>2015</v>
      </c>
      <c r="F151" t="s">
        <v>390</v>
      </c>
      <c r="H151" t="s">
        <v>391</v>
      </c>
      <c r="I151">
        <v>91</v>
      </c>
      <c r="J151">
        <v>91</v>
      </c>
      <c r="K151" t="s">
        <v>28</v>
      </c>
      <c r="L151" t="s">
        <v>392</v>
      </c>
      <c r="M151" t="s">
        <v>399</v>
      </c>
      <c r="O151" t="s">
        <v>394</v>
      </c>
      <c r="P151">
        <v>0.04</v>
      </c>
      <c r="R151">
        <v>0.01</v>
      </c>
      <c r="T151">
        <v>0.09</v>
      </c>
      <c r="V151">
        <v>0.02</v>
      </c>
      <c r="X151" t="s">
        <v>31</v>
      </c>
      <c r="AA151" t="s">
        <v>395</v>
      </c>
    </row>
    <row r="152" spans="1:27" hidden="1" x14ac:dyDescent="0.35">
      <c r="A152" t="s">
        <v>389</v>
      </c>
      <c r="C152">
        <v>3.1095000000000002</v>
      </c>
      <c r="D152">
        <v>39.883076000000003</v>
      </c>
      <c r="E152">
        <v>2015</v>
      </c>
      <c r="F152" t="s">
        <v>390</v>
      </c>
      <c r="H152" t="s">
        <v>391</v>
      </c>
      <c r="I152">
        <v>91</v>
      </c>
      <c r="J152">
        <v>91</v>
      </c>
      <c r="K152" t="s">
        <v>28</v>
      </c>
      <c r="P152">
        <v>4.2916999999999997E-2</v>
      </c>
      <c r="R152">
        <v>4.2188714000000002E-2</v>
      </c>
      <c r="T152">
        <v>3.2917000000000002E-2</v>
      </c>
      <c r="V152">
        <v>3.1545440000000001E-2</v>
      </c>
      <c r="X152" t="s">
        <v>31</v>
      </c>
      <c r="AA152" t="s">
        <v>193</v>
      </c>
    </row>
    <row r="153" spans="1:27" x14ac:dyDescent="0.35">
      <c r="A153" t="s">
        <v>400</v>
      </c>
      <c r="B153" t="s">
        <v>494</v>
      </c>
      <c r="C153">
        <v>5.985468</v>
      </c>
      <c r="D153">
        <v>58.930363</v>
      </c>
      <c r="E153">
        <v>2011</v>
      </c>
      <c r="F153" t="s">
        <v>133</v>
      </c>
      <c r="H153" t="s">
        <v>113</v>
      </c>
      <c r="I153">
        <v>102</v>
      </c>
      <c r="J153">
        <v>139</v>
      </c>
      <c r="K153" t="s">
        <v>55</v>
      </c>
      <c r="L153">
        <v>8.06</v>
      </c>
      <c r="M153">
        <v>7.62</v>
      </c>
      <c r="O153" t="s">
        <v>401</v>
      </c>
      <c r="P153">
        <v>0.13500000000000001</v>
      </c>
      <c r="Q153" s="2" t="s">
        <v>497</v>
      </c>
      <c r="R153">
        <v>4.5999999999999999E-2</v>
      </c>
      <c r="S153">
        <v>4.5999999999999999E-2</v>
      </c>
      <c r="T153">
        <v>9.7000000000000003E-2</v>
      </c>
      <c r="U153" s="2" t="s">
        <v>497</v>
      </c>
      <c r="V153">
        <v>4.2999999999999997E-2</v>
      </c>
      <c r="W153">
        <v>4.2999999999999997E-2</v>
      </c>
      <c r="X153" t="s">
        <v>43</v>
      </c>
      <c r="AA153" t="s">
        <v>402</v>
      </c>
    </row>
    <row r="154" spans="1:27" hidden="1" x14ac:dyDescent="0.35">
      <c r="A154" t="s">
        <v>403</v>
      </c>
      <c r="C154">
        <v>-122.409389</v>
      </c>
      <c r="D154">
        <v>37.893641000000002</v>
      </c>
      <c r="E154">
        <v>2015</v>
      </c>
      <c r="F154" t="s">
        <v>404</v>
      </c>
      <c r="H154" t="s">
        <v>49</v>
      </c>
      <c r="I154">
        <v>12</v>
      </c>
      <c r="J154">
        <v>12</v>
      </c>
      <c r="K154" t="s">
        <v>50</v>
      </c>
      <c r="P154">
        <v>0.28290399999999999</v>
      </c>
      <c r="R154">
        <v>6.6480000000000003E-3</v>
      </c>
      <c r="T154">
        <v>0.16930000000000001</v>
      </c>
      <c r="V154">
        <v>4.7190000000000001E-3</v>
      </c>
      <c r="X154" t="s">
        <v>31</v>
      </c>
      <c r="AA154" t="s">
        <v>72</v>
      </c>
    </row>
    <row r="155" spans="1:27" hidden="1" x14ac:dyDescent="0.35">
      <c r="A155" t="s">
        <v>405</v>
      </c>
      <c r="C155">
        <v>-73.039604999999995</v>
      </c>
      <c r="D155">
        <v>-41.665927000000003</v>
      </c>
      <c r="E155">
        <v>2014</v>
      </c>
      <c r="F155" t="s">
        <v>406</v>
      </c>
      <c r="H155" t="s">
        <v>113</v>
      </c>
      <c r="I155">
        <v>10</v>
      </c>
      <c r="J155">
        <v>10</v>
      </c>
      <c r="K155" t="s">
        <v>55</v>
      </c>
      <c r="P155">
        <v>1.2853000000000001</v>
      </c>
      <c r="R155">
        <v>0.34970000000000001</v>
      </c>
      <c r="T155">
        <v>0.84969300000000003</v>
      </c>
      <c r="V155">
        <v>0.17790700000000001</v>
      </c>
      <c r="X155" t="s">
        <v>31</v>
      </c>
      <c r="AA155" t="s">
        <v>193</v>
      </c>
    </row>
    <row r="156" spans="1:27" hidden="1" x14ac:dyDescent="0.35">
      <c r="A156" t="s">
        <v>405</v>
      </c>
      <c r="C156">
        <v>-73.039604999999995</v>
      </c>
      <c r="D156">
        <v>-41.665927000000003</v>
      </c>
      <c r="E156">
        <v>2014</v>
      </c>
      <c r="F156" t="s">
        <v>406</v>
      </c>
      <c r="H156" t="s">
        <v>113</v>
      </c>
      <c r="I156">
        <v>10</v>
      </c>
      <c r="J156">
        <v>10</v>
      </c>
      <c r="K156" t="s">
        <v>139</v>
      </c>
      <c r="P156">
        <v>1.2853000000000001</v>
      </c>
      <c r="R156">
        <v>0.34970000000000001</v>
      </c>
      <c r="T156">
        <v>0.88649999999999995</v>
      </c>
      <c r="V156">
        <v>0.263797</v>
      </c>
      <c r="X156" t="s">
        <v>31</v>
      </c>
      <c r="AA156" t="s">
        <v>193</v>
      </c>
    </row>
    <row r="157" spans="1:27" hidden="1" x14ac:dyDescent="0.35">
      <c r="A157" t="s">
        <v>405</v>
      </c>
      <c r="C157">
        <v>-73.039604999999995</v>
      </c>
      <c r="D157">
        <v>-41.665927000000003</v>
      </c>
      <c r="E157">
        <v>2014</v>
      </c>
      <c r="F157" t="s">
        <v>406</v>
      </c>
      <c r="H157" t="s">
        <v>113</v>
      </c>
      <c r="I157">
        <v>10</v>
      </c>
      <c r="J157">
        <v>10</v>
      </c>
      <c r="K157" t="s">
        <v>28</v>
      </c>
      <c r="P157">
        <v>1.2853000000000001</v>
      </c>
      <c r="R157">
        <v>0.34970000000000001</v>
      </c>
      <c r="T157">
        <v>1.38957</v>
      </c>
      <c r="V157">
        <v>0.29448000000000002</v>
      </c>
      <c r="X157" t="s">
        <v>31</v>
      </c>
      <c r="AA157" t="s">
        <v>193</v>
      </c>
    </row>
    <row r="158" spans="1:27" hidden="1" x14ac:dyDescent="0.35">
      <c r="A158" t="s">
        <v>407</v>
      </c>
      <c r="C158">
        <v>-7.6281699999999999</v>
      </c>
      <c r="D158">
        <v>37.115721999999998</v>
      </c>
      <c r="E158">
        <v>2011</v>
      </c>
      <c r="F158" t="s">
        <v>408</v>
      </c>
      <c r="H158" t="s">
        <v>64</v>
      </c>
      <c r="I158">
        <v>15</v>
      </c>
      <c r="J158">
        <v>15</v>
      </c>
      <c r="K158" t="s">
        <v>55</v>
      </c>
      <c r="L158">
        <v>8.1300000000000008</v>
      </c>
      <c r="M158">
        <v>7.84</v>
      </c>
      <c r="O158" t="s">
        <v>409</v>
      </c>
      <c r="P158">
        <v>41.55</v>
      </c>
      <c r="R158">
        <v>4.75</v>
      </c>
      <c r="T158">
        <v>39.909999999999997</v>
      </c>
      <c r="V158">
        <v>5.79</v>
      </c>
      <c r="X158" t="s">
        <v>31</v>
      </c>
      <c r="AA158" t="s">
        <v>410</v>
      </c>
    </row>
    <row r="159" spans="1:27" hidden="1" x14ac:dyDescent="0.35">
      <c r="A159" t="s">
        <v>411</v>
      </c>
      <c r="C159">
        <v>-8.1838160000000002</v>
      </c>
      <c r="D159">
        <v>43.417572</v>
      </c>
      <c r="E159">
        <v>2012</v>
      </c>
      <c r="F159" t="s">
        <v>187</v>
      </c>
      <c r="H159" t="s">
        <v>113</v>
      </c>
      <c r="I159">
        <v>15</v>
      </c>
      <c r="J159">
        <v>15</v>
      </c>
      <c r="K159" t="s">
        <v>55</v>
      </c>
      <c r="L159">
        <v>8.0299999999999994</v>
      </c>
      <c r="M159">
        <v>7.74</v>
      </c>
      <c r="O159" t="s">
        <v>409</v>
      </c>
      <c r="P159">
        <v>36.299999999999997</v>
      </c>
      <c r="R159">
        <v>2</v>
      </c>
      <c r="T159">
        <v>38.799999999999997</v>
      </c>
      <c r="V159">
        <v>3.5</v>
      </c>
      <c r="X159" t="s">
        <v>31</v>
      </c>
      <c r="AA159" t="s">
        <v>410</v>
      </c>
    </row>
    <row r="160" spans="1:27" hidden="1" x14ac:dyDescent="0.35">
      <c r="A160" t="s">
        <v>412</v>
      </c>
      <c r="C160">
        <v>-4.9264679999999998</v>
      </c>
      <c r="D160">
        <v>56.268278000000002</v>
      </c>
      <c r="E160">
        <v>2014</v>
      </c>
      <c r="F160" t="s">
        <v>133</v>
      </c>
      <c r="H160" t="s">
        <v>113</v>
      </c>
      <c r="I160">
        <v>2</v>
      </c>
      <c r="J160">
        <v>2</v>
      </c>
      <c r="K160" t="s">
        <v>55</v>
      </c>
      <c r="L160" t="s">
        <v>413</v>
      </c>
      <c r="M160">
        <v>7.3</v>
      </c>
      <c r="O160" t="s">
        <v>386</v>
      </c>
      <c r="P160">
        <v>5.9</v>
      </c>
      <c r="R160">
        <v>0.3</v>
      </c>
      <c r="T160">
        <v>2.92</v>
      </c>
      <c r="V160">
        <v>0.19</v>
      </c>
      <c r="X160" t="s">
        <v>31</v>
      </c>
      <c r="AA160" t="s">
        <v>414</v>
      </c>
    </row>
    <row r="161" spans="1:27" hidden="1" x14ac:dyDescent="0.35">
      <c r="A161" t="s">
        <v>412</v>
      </c>
      <c r="C161">
        <v>-4.9264679999999998</v>
      </c>
      <c r="D161">
        <v>56.268278000000002</v>
      </c>
      <c r="E161">
        <v>2014</v>
      </c>
      <c r="F161" t="s">
        <v>133</v>
      </c>
      <c r="H161" t="s">
        <v>113</v>
      </c>
      <c r="I161">
        <v>2</v>
      </c>
      <c r="J161">
        <v>2</v>
      </c>
      <c r="K161" t="s">
        <v>28</v>
      </c>
      <c r="L161" t="s">
        <v>413</v>
      </c>
      <c r="M161" t="s">
        <v>415</v>
      </c>
      <c r="O161" t="s">
        <v>386</v>
      </c>
      <c r="P161">
        <v>5.9</v>
      </c>
      <c r="R161">
        <v>0.3</v>
      </c>
      <c r="T161">
        <v>3.53</v>
      </c>
      <c r="V161">
        <v>0.03</v>
      </c>
      <c r="X161" t="s">
        <v>31</v>
      </c>
      <c r="AA161" t="s">
        <v>414</v>
      </c>
    </row>
    <row r="162" spans="1:27" hidden="1" x14ac:dyDescent="0.35">
      <c r="A162" t="s">
        <v>416</v>
      </c>
      <c r="C162">
        <v>-4.9264679999999998</v>
      </c>
      <c r="D162">
        <v>56.268278000000002</v>
      </c>
      <c r="E162">
        <v>2014</v>
      </c>
      <c r="F162" t="s">
        <v>133</v>
      </c>
      <c r="H162" t="s">
        <v>113</v>
      </c>
      <c r="I162">
        <v>4</v>
      </c>
      <c r="J162">
        <v>4</v>
      </c>
      <c r="K162" t="s">
        <v>55</v>
      </c>
      <c r="L162" t="s">
        <v>413</v>
      </c>
      <c r="M162">
        <v>7.3</v>
      </c>
      <c r="O162" t="s">
        <v>417</v>
      </c>
      <c r="P162">
        <v>6.64</v>
      </c>
      <c r="R162">
        <v>2.64</v>
      </c>
      <c r="T162">
        <v>4.92</v>
      </c>
      <c r="V162">
        <v>0.5</v>
      </c>
      <c r="X162" t="s">
        <v>31</v>
      </c>
      <c r="AA162" t="s">
        <v>418</v>
      </c>
    </row>
    <row r="163" spans="1:27" hidden="1" x14ac:dyDescent="0.35">
      <c r="A163" t="s">
        <v>416</v>
      </c>
      <c r="C163">
        <v>-4.9264679999999998</v>
      </c>
      <c r="D163">
        <v>56.268278000000002</v>
      </c>
      <c r="E163">
        <v>2014</v>
      </c>
      <c r="F163" t="s">
        <v>133</v>
      </c>
      <c r="H163" t="s">
        <v>113</v>
      </c>
      <c r="I163">
        <v>4</v>
      </c>
      <c r="J163">
        <v>4</v>
      </c>
      <c r="K163" t="s">
        <v>28</v>
      </c>
      <c r="L163" t="s">
        <v>413</v>
      </c>
      <c r="M163" t="s">
        <v>415</v>
      </c>
      <c r="O163" t="s">
        <v>417</v>
      </c>
      <c r="P163">
        <v>6.64</v>
      </c>
      <c r="R163">
        <v>2.64</v>
      </c>
      <c r="T163">
        <v>5.5</v>
      </c>
      <c r="V163">
        <v>0.64</v>
      </c>
      <c r="X163" t="s">
        <v>31</v>
      </c>
      <c r="AA163" t="s">
        <v>418</v>
      </c>
    </row>
    <row r="164" spans="1:27" hidden="1" x14ac:dyDescent="0.35">
      <c r="A164" t="s">
        <v>419</v>
      </c>
      <c r="C164">
        <v>0.84069300000000002</v>
      </c>
      <c r="D164">
        <v>40.741273</v>
      </c>
      <c r="E164">
        <v>2014</v>
      </c>
      <c r="F164" t="s">
        <v>187</v>
      </c>
      <c r="H164" t="s">
        <v>113</v>
      </c>
      <c r="I164">
        <v>3</v>
      </c>
      <c r="J164">
        <v>3</v>
      </c>
      <c r="K164" t="s">
        <v>55</v>
      </c>
      <c r="L164" t="s">
        <v>420</v>
      </c>
      <c r="M164" t="s">
        <v>421</v>
      </c>
      <c r="O164" t="s">
        <v>422</v>
      </c>
      <c r="P164">
        <v>1.08</v>
      </c>
      <c r="R164">
        <v>0.18</v>
      </c>
      <c r="T164">
        <v>1.05</v>
      </c>
      <c r="V164">
        <v>7.0000000000000007E-2</v>
      </c>
      <c r="X164" t="s">
        <v>127</v>
      </c>
      <c r="AA164" t="s">
        <v>423</v>
      </c>
    </row>
    <row r="165" spans="1:27" hidden="1" x14ac:dyDescent="0.35">
      <c r="A165" t="s">
        <v>419</v>
      </c>
      <c r="C165">
        <v>0.84069300000000002</v>
      </c>
      <c r="D165">
        <v>40.741273</v>
      </c>
      <c r="E165">
        <v>2014</v>
      </c>
      <c r="F165" t="s">
        <v>187</v>
      </c>
      <c r="H165" t="s">
        <v>113</v>
      </c>
      <c r="I165">
        <v>3</v>
      </c>
      <c r="J165">
        <v>3</v>
      </c>
      <c r="K165" t="s">
        <v>139</v>
      </c>
      <c r="L165" t="s">
        <v>420</v>
      </c>
      <c r="M165" t="s">
        <v>424</v>
      </c>
      <c r="O165" t="s">
        <v>422</v>
      </c>
      <c r="P165">
        <v>1.08</v>
      </c>
      <c r="R165">
        <v>0.18</v>
      </c>
      <c r="T165">
        <v>0.93</v>
      </c>
      <c r="V165">
        <v>0.16</v>
      </c>
      <c r="X165" t="s">
        <v>127</v>
      </c>
      <c r="AA165" t="s">
        <v>423</v>
      </c>
    </row>
    <row r="166" spans="1:27" hidden="1" x14ac:dyDescent="0.35">
      <c r="A166" t="s">
        <v>419</v>
      </c>
      <c r="C166">
        <v>0.84069300000000002</v>
      </c>
      <c r="D166">
        <v>40.741273</v>
      </c>
      <c r="E166">
        <v>2014</v>
      </c>
      <c r="F166" t="s">
        <v>187</v>
      </c>
      <c r="H166" t="s">
        <v>113</v>
      </c>
      <c r="I166">
        <v>3</v>
      </c>
      <c r="J166">
        <v>3</v>
      </c>
      <c r="K166" t="s">
        <v>28</v>
      </c>
      <c r="L166" t="s">
        <v>420</v>
      </c>
      <c r="M166" t="s">
        <v>425</v>
      </c>
      <c r="O166" t="s">
        <v>422</v>
      </c>
      <c r="P166">
        <v>1.08</v>
      </c>
      <c r="R166">
        <v>0.18</v>
      </c>
      <c r="T166">
        <v>0.97</v>
      </c>
      <c r="V166">
        <v>0.2</v>
      </c>
      <c r="X166" t="s">
        <v>127</v>
      </c>
      <c r="AA166" t="s">
        <v>423</v>
      </c>
    </row>
    <row r="167" spans="1:27" x14ac:dyDescent="0.35">
      <c r="A167" t="s">
        <v>426</v>
      </c>
      <c r="B167" t="s">
        <v>494</v>
      </c>
      <c r="C167">
        <v>4.0662789999999998</v>
      </c>
      <c r="D167">
        <v>51.496222000000003</v>
      </c>
      <c r="E167">
        <v>2010</v>
      </c>
      <c r="F167" t="s">
        <v>133</v>
      </c>
      <c r="H167" t="s">
        <v>113</v>
      </c>
      <c r="I167">
        <v>3</v>
      </c>
      <c r="J167">
        <v>3</v>
      </c>
      <c r="K167" t="s">
        <v>55</v>
      </c>
      <c r="L167">
        <v>8.0299999999999994</v>
      </c>
      <c r="M167">
        <v>7.78</v>
      </c>
      <c r="O167" t="s">
        <v>427</v>
      </c>
      <c r="P167">
        <v>206.3</v>
      </c>
      <c r="Q167" s="2" t="s">
        <v>497</v>
      </c>
      <c r="R167">
        <v>4.7</v>
      </c>
      <c r="S167">
        <v>4.7</v>
      </c>
      <c r="T167">
        <v>194.4</v>
      </c>
      <c r="U167" s="2" t="s">
        <v>497</v>
      </c>
      <c r="V167">
        <v>1E-4</v>
      </c>
      <c r="W167">
        <v>1E-4</v>
      </c>
      <c r="X167" t="s">
        <v>43</v>
      </c>
      <c r="AA167" t="s">
        <v>428</v>
      </c>
    </row>
    <row r="168" spans="1:27" hidden="1" x14ac:dyDescent="0.35">
      <c r="A168" t="s">
        <v>429</v>
      </c>
      <c r="C168">
        <v>-8.8297430000000006</v>
      </c>
      <c r="D168">
        <v>42.221575000000001</v>
      </c>
      <c r="E168">
        <v>2016</v>
      </c>
      <c r="F168" t="s">
        <v>187</v>
      </c>
      <c r="H168" t="s">
        <v>113</v>
      </c>
      <c r="I168">
        <v>14</v>
      </c>
      <c r="J168">
        <v>14</v>
      </c>
      <c r="K168" t="s">
        <v>55</v>
      </c>
      <c r="L168" t="s">
        <v>430</v>
      </c>
      <c r="M168" t="s">
        <v>431</v>
      </c>
      <c r="O168" t="s">
        <v>432</v>
      </c>
      <c r="P168">
        <v>0.52</v>
      </c>
      <c r="R168">
        <v>7.0000000000000007E-2</v>
      </c>
      <c r="T168">
        <v>0.2</v>
      </c>
      <c r="V168">
        <v>0.14000000000000001</v>
      </c>
      <c r="X168" t="s">
        <v>31</v>
      </c>
      <c r="AA168" t="s">
        <v>433</v>
      </c>
    </row>
    <row r="169" spans="1:27" hidden="1" x14ac:dyDescent="0.35">
      <c r="A169" t="s">
        <v>429</v>
      </c>
      <c r="C169">
        <v>-8.8297430000000006</v>
      </c>
      <c r="D169">
        <v>42.221575000000001</v>
      </c>
      <c r="E169">
        <v>2016</v>
      </c>
      <c r="F169" t="s">
        <v>187</v>
      </c>
      <c r="H169" t="s">
        <v>113</v>
      </c>
      <c r="I169">
        <v>14</v>
      </c>
      <c r="J169">
        <v>14</v>
      </c>
      <c r="K169" t="s">
        <v>55</v>
      </c>
      <c r="L169" t="s">
        <v>430</v>
      </c>
      <c r="M169" t="s">
        <v>431</v>
      </c>
      <c r="O169" t="s">
        <v>432</v>
      </c>
      <c r="P169">
        <v>0.54</v>
      </c>
      <c r="R169">
        <v>7.0000000000000007E-2</v>
      </c>
      <c r="T169">
        <v>0.33</v>
      </c>
      <c r="V169">
        <v>0.05</v>
      </c>
      <c r="X169" t="s">
        <v>31</v>
      </c>
      <c r="AA169" t="s">
        <v>434</v>
      </c>
    </row>
    <row r="170" spans="1:27" hidden="1" x14ac:dyDescent="0.35">
      <c r="A170" t="s">
        <v>429</v>
      </c>
      <c r="C170">
        <v>-8.8297430000000006</v>
      </c>
      <c r="D170">
        <v>42.221575000000001</v>
      </c>
      <c r="E170">
        <v>2016</v>
      </c>
      <c r="F170" t="s">
        <v>187</v>
      </c>
      <c r="H170" t="s">
        <v>113</v>
      </c>
      <c r="I170">
        <v>14</v>
      </c>
      <c r="J170">
        <v>14</v>
      </c>
      <c r="K170" t="s">
        <v>139</v>
      </c>
      <c r="L170" t="s">
        <v>430</v>
      </c>
      <c r="M170" t="s">
        <v>435</v>
      </c>
      <c r="O170" t="s">
        <v>432</v>
      </c>
      <c r="P170">
        <v>0.52</v>
      </c>
      <c r="R170">
        <v>7.0000000000000007E-2</v>
      </c>
      <c r="T170">
        <v>0.21</v>
      </c>
      <c r="V170">
        <v>0.08</v>
      </c>
      <c r="X170" t="s">
        <v>31</v>
      </c>
      <c r="AA170" t="s">
        <v>433</v>
      </c>
    </row>
    <row r="171" spans="1:27" hidden="1" x14ac:dyDescent="0.35">
      <c r="A171" t="s">
        <v>429</v>
      </c>
      <c r="C171">
        <v>-8.8297430000000006</v>
      </c>
      <c r="D171">
        <v>42.221575000000001</v>
      </c>
      <c r="E171">
        <v>2016</v>
      </c>
      <c r="F171" t="s">
        <v>187</v>
      </c>
      <c r="H171" t="s">
        <v>113</v>
      </c>
      <c r="I171">
        <v>14</v>
      </c>
      <c r="J171">
        <v>14</v>
      </c>
      <c r="K171" t="s">
        <v>139</v>
      </c>
      <c r="L171" t="s">
        <v>430</v>
      </c>
      <c r="M171" t="s">
        <v>435</v>
      </c>
      <c r="O171" t="s">
        <v>432</v>
      </c>
      <c r="P171">
        <v>0.54</v>
      </c>
      <c r="R171">
        <v>7.0000000000000007E-2</v>
      </c>
      <c r="T171">
        <v>0.33</v>
      </c>
      <c r="V171">
        <v>0.04</v>
      </c>
      <c r="X171" t="s">
        <v>31</v>
      </c>
      <c r="AA171" t="s">
        <v>434</v>
      </c>
    </row>
    <row r="172" spans="1:27" hidden="1" x14ac:dyDescent="0.35">
      <c r="A172" t="s">
        <v>429</v>
      </c>
      <c r="C172">
        <v>-8.8297430000000006</v>
      </c>
      <c r="D172">
        <v>42.221575000000001</v>
      </c>
      <c r="E172">
        <v>2016</v>
      </c>
      <c r="F172" t="s">
        <v>187</v>
      </c>
      <c r="H172" t="s">
        <v>113</v>
      </c>
      <c r="I172">
        <v>14</v>
      </c>
      <c r="J172">
        <v>14</v>
      </c>
      <c r="K172" t="s">
        <v>28</v>
      </c>
      <c r="L172" t="s">
        <v>430</v>
      </c>
      <c r="M172" t="s">
        <v>436</v>
      </c>
      <c r="O172" t="s">
        <v>432</v>
      </c>
      <c r="P172">
        <v>0.52</v>
      </c>
      <c r="R172">
        <v>7.0000000000000007E-2</v>
      </c>
      <c r="T172">
        <v>0.35</v>
      </c>
      <c r="V172">
        <v>0.03</v>
      </c>
      <c r="X172" t="s">
        <v>31</v>
      </c>
      <c r="AA172" t="s">
        <v>433</v>
      </c>
    </row>
    <row r="173" spans="1:27" hidden="1" x14ac:dyDescent="0.35">
      <c r="A173" t="s">
        <v>429</v>
      </c>
      <c r="C173">
        <v>-8.8297430000000006</v>
      </c>
      <c r="D173">
        <v>42.221575000000001</v>
      </c>
      <c r="E173">
        <v>2016</v>
      </c>
      <c r="F173" t="s">
        <v>187</v>
      </c>
      <c r="H173" t="s">
        <v>113</v>
      </c>
      <c r="I173">
        <v>14</v>
      </c>
      <c r="J173">
        <v>14</v>
      </c>
      <c r="K173" t="s">
        <v>28</v>
      </c>
      <c r="L173" t="s">
        <v>430</v>
      </c>
      <c r="M173" t="s">
        <v>436</v>
      </c>
      <c r="O173" t="s">
        <v>432</v>
      </c>
      <c r="P173">
        <v>0.54</v>
      </c>
      <c r="R173">
        <v>7.0000000000000007E-2</v>
      </c>
      <c r="T173">
        <v>0.45</v>
      </c>
      <c r="V173">
        <v>0.04</v>
      </c>
      <c r="X173" t="s">
        <v>31</v>
      </c>
      <c r="AA173" t="s">
        <v>434</v>
      </c>
    </row>
    <row r="174" spans="1:27" hidden="1" x14ac:dyDescent="0.35">
      <c r="A174" t="s">
        <v>429</v>
      </c>
      <c r="C174">
        <v>-8.8297430000000006</v>
      </c>
      <c r="D174">
        <v>42.221575000000001</v>
      </c>
      <c r="E174">
        <v>2016</v>
      </c>
      <c r="F174" t="s">
        <v>437</v>
      </c>
      <c r="H174" t="s">
        <v>113</v>
      </c>
      <c r="I174">
        <v>14</v>
      </c>
      <c r="J174">
        <v>14</v>
      </c>
      <c r="K174" t="s">
        <v>55</v>
      </c>
      <c r="L174" t="s">
        <v>430</v>
      </c>
      <c r="M174" t="s">
        <v>431</v>
      </c>
      <c r="O174" t="s">
        <v>432</v>
      </c>
      <c r="P174">
        <v>0.14000000000000001</v>
      </c>
      <c r="R174">
        <v>0.02</v>
      </c>
      <c r="T174">
        <v>0.12</v>
      </c>
      <c r="V174">
        <v>0.02</v>
      </c>
      <c r="X174" t="s">
        <v>31</v>
      </c>
      <c r="AA174" t="s">
        <v>433</v>
      </c>
    </row>
    <row r="175" spans="1:27" hidden="1" x14ac:dyDescent="0.35">
      <c r="A175" t="s">
        <v>429</v>
      </c>
      <c r="C175">
        <v>-8.8297430000000006</v>
      </c>
      <c r="D175">
        <v>42.221575000000001</v>
      </c>
      <c r="E175">
        <v>2016</v>
      </c>
      <c r="F175" t="s">
        <v>437</v>
      </c>
      <c r="H175" t="s">
        <v>113</v>
      </c>
      <c r="I175">
        <v>14</v>
      </c>
      <c r="J175">
        <v>14</v>
      </c>
      <c r="K175" t="s">
        <v>55</v>
      </c>
      <c r="L175" t="s">
        <v>430</v>
      </c>
      <c r="M175" t="s">
        <v>431</v>
      </c>
      <c r="O175" t="s">
        <v>432</v>
      </c>
      <c r="P175">
        <v>0.15</v>
      </c>
      <c r="R175">
        <v>0.02</v>
      </c>
      <c r="T175">
        <v>0.21</v>
      </c>
      <c r="V175">
        <v>0.09</v>
      </c>
      <c r="X175" t="s">
        <v>31</v>
      </c>
      <c r="AA175" t="s">
        <v>434</v>
      </c>
    </row>
    <row r="176" spans="1:27" hidden="1" x14ac:dyDescent="0.35">
      <c r="A176" t="s">
        <v>429</v>
      </c>
      <c r="C176">
        <v>-8.8297430000000006</v>
      </c>
      <c r="D176">
        <v>42.221575000000001</v>
      </c>
      <c r="E176">
        <v>2016</v>
      </c>
      <c r="F176" t="s">
        <v>437</v>
      </c>
      <c r="H176" t="s">
        <v>113</v>
      </c>
      <c r="I176">
        <v>14</v>
      </c>
      <c r="J176">
        <v>14</v>
      </c>
      <c r="K176" t="s">
        <v>139</v>
      </c>
      <c r="L176" t="s">
        <v>430</v>
      </c>
      <c r="M176" t="s">
        <v>435</v>
      </c>
      <c r="O176" t="s">
        <v>432</v>
      </c>
      <c r="P176">
        <v>0.14000000000000001</v>
      </c>
      <c r="R176">
        <v>0.02</v>
      </c>
      <c r="T176">
        <v>0.21</v>
      </c>
      <c r="V176">
        <v>0.14000000000000001</v>
      </c>
      <c r="X176" t="s">
        <v>31</v>
      </c>
      <c r="AA176" t="s">
        <v>433</v>
      </c>
    </row>
    <row r="177" spans="1:27" hidden="1" x14ac:dyDescent="0.35">
      <c r="A177" t="s">
        <v>429</v>
      </c>
      <c r="C177">
        <v>-8.8297430000000006</v>
      </c>
      <c r="D177">
        <v>42.221575000000001</v>
      </c>
      <c r="E177">
        <v>2016</v>
      </c>
      <c r="F177" t="s">
        <v>437</v>
      </c>
      <c r="H177" t="s">
        <v>113</v>
      </c>
      <c r="I177">
        <v>14</v>
      </c>
      <c r="J177">
        <v>14</v>
      </c>
      <c r="K177" t="s">
        <v>139</v>
      </c>
      <c r="L177" t="s">
        <v>430</v>
      </c>
      <c r="M177" t="s">
        <v>435</v>
      </c>
      <c r="O177" t="s">
        <v>432</v>
      </c>
      <c r="P177">
        <v>0.15</v>
      </c>
      <c r="R177">
        <v>0.02</v>
      </c>
      <c r="T177">
        <v>0.28000000000000003</v>
      </c>
      <c r="V177">
        <v>0.15</v>
      </c>
      <c r="X177" t="s">
        <v>31</v>
      </c>
      <c r="AA177" t="s">
        <v>434</v>
      </c>
    </row>
    <row r="178" spans="1:27" hidden="1" x14ac:dyDescent="0.35">
      <c r="A178" t="s">
        <v>429</v>
      </c>
      <c r="C178">
        <v>-8.8297430000000006</v>
      </c>
      <c r="D178">
        <v>42.221575000000001</v>
      </c>
      <c r="E178">
        <v>2016</v>
      </c>
      <c r="F178" t="s">
        <v>437</v>
      </c>
      <c r="H178" t="s">
        <v>113</v>
      </c>
      <c r="I178">
        <v>14</v>
      </c>
      <c r="J178">
        <v>14</v>
      </c>
      <c r="K178" t="s">
        <v>28</v>
      </c>
      <c r="L178" t="s">
        <v>430</v>
      </c>
      <c r="M178" t="s">
        <v>436</v>
      </c>
      <c r="O178" t="s">
        <v>432</v>
      </c>
      <c r="P178">
        <v>0.14000000000000001</v>
      </c>
      <c r="R178">
        <v>0.02</v>
      </c>
      <c r="T178">
        <v>0.18</v>
      </c>
      <c r="V178">
        <v>0.05</v>
      </c>
      <c r="X178" t="s">
        <v>31</v>
      </c>
      <c r="AA178" t="s">
        <v>433</v>
      </c>
    </row>
    <row r="179" spans="1:27" hidden="1" x14ac:dyDescent="0.35">
      <c r="A179" t="s">
        <v>429</v>
      </c>
      <c r="C179">
        <v>-8.8297430000000006</v>
      </c>
      <c r="D179">
        <v>42.221575000000001</v>
      </c>
      <c r="E179">
        <v>2016</v>
      </c>
      <c r="F179" t="s">
        <v>437</v>
      </c>
      <c r="H179" t="s">
        <v>113</v>
      </c>
      <c r="I179">
        <v>14</v>
      </c>
      <c r="J179">
        <v>14</v>
      </c>
      <c r="K179" t="s">
        <v>28</v>
      </c>
      <c r="L179" t="s">
        <v>430</v>
      </c>
      <c r="M179" t="s">
        <v>436</v>
      </c>
      <c r="O179" t="s">
        <v>432</v>
      </c>
      <c r="P179">
        <v>0.15</v>
      </c>
      <c r="R179">
        <v>0.02</v>
      </c>
      <c r="T179">
        <v>0.27</v>
      </c>
      <c r="V179">
        <v>0.14000000000000001</v>
      </c>
      <c r="X179" t="s">
        <v>31</v>
      </c>
      <c r="AA179" t="s">
        <v>434</v>
      </c>
    </row>
    <row r="180" spans="1:27" x14ac:dyDescent="0.35">
      <c r="A180" t="s">
        <v>438</v>
      </c>
      <c r="B180" t="s">
        <v>494</v>
      </c>
      <c r="C180">
        <v>23.249438000000001</v>
      </c>
      <c r="D180">
        <v>59.845821999999998</v>
      </c>
      <c r="E180">
        <v>2013</v>
      </c>
      <c r="F180" t="s">
        <v>156</v>
      </c>
      <c r="H180" t="s">
        <v>158</v>
      </c>
      <c r="I180">
        <v>105</v>
      </c>
      <c r="J180">
        <v>105</v>
      </c>
      <c r="K180" t="s">
        <v>55</v>
      </c>
      <c r="L180" t="s">
        <v>439</v>
      </c>
      <c r="M180" t="s">
        <v>440</v>
      </c>
      <c r="O180" t="s">
        <v>441</v>
      </c>
      <c r="P180">
        <v>234</v>
      </c>
      <c r="Q180" s="2" t="s">
        <v>497</v>
      </c>
      <c r="R180">
        <v>18</v>
      </c>
      <c r="S180">
        <v>18</v>
      </c>
      <c r="T180">
        <v>214</v>
      </c>
      <c r="U180" s="2" t="s">
        <v>497</v>
      </c>
      <c r="V180">
        <v>31</v>
      </c>
      <c r="W180">
        <v>31</v>
      </c>
      <c r="X180" t="s">
        <v>43</v>
      </c>
      <c r="AA180" t="s">
        <v>442</v>
      </c>
    </row>
    <row r="181" spans="1:27" hidden="1" x14ac:dyDescent="0.35">
      <c r="A181" t="s">
        <v>443</v>
      </c>
      <c r="C181">
        <v>-4.1410039999999997</v>
      </c>
      <c r="D181">
        <v>50.360878999999997</v>
      </c>
      <c r="E181">
        <v>2018</v>
      </c>
      <c r="F181" t="s">
        <v>196</v>
      </c>
      <c r="H181" t="s">
        <v>49</v>
      </c>
      <c r="I181">
        <v>4</v>
      </c>
      <c r="J181">
        <v>4</v>
      </c>
      <c r="K181" t="s">
        <v>55</v>
      </c>
      <c r="L181" t="s">
        <v>444</v>
      </c>
      <c r="M181" t="s">
        <v>445</v>
      </c>
      <c r="O181" t="s">
        <v>446</v>
      </c>
      <c r="P181">
        <v>3.42</v>
      </c>
      <c r="R181">
        <v>0.54</v>
      </c>
      <c r="T181">
        <v>3.55</v>
      </c>
      <c r="V181">
        <v>0.15</v>
      </c>
      <c r="X181" t="s">
        <v>205</v>
      </c>
      <c r="AA181" t="s">
        <v>447</v>
      </c>
    </row>
    <row r="182" spans="1:27" hidden="1" x14ac:dyDescent="0.35">
      <c r="A182" t="s">
        <v>443</v>
      </c>
      <c r="C182">
        <v>-4.1410039999999997</v>
      </c>
      <c r="D182">
        <v>50.360878999999997</v>
      </c>
      <c r="E182">
        <v>2018</v>
      </c>
      <c r="F182" t="s">
        <v>196</v>
      </c>
      <c r="H182" t="s">
        <v>49</v>
      </c>
      <c r="I182">
        <v>4</v>
      </c>
      <c r="J182">
        <v>4</v>
      </c>
      <c r="K182" t="s">
        <v>139</v>
      </c>
      <c r="L182" t="s">
        <v>444</v>
      </c>
      <c r="M182" t="s">
        <v>448</v>
      </c>
      <c r="O182" t="s">
        <v>446</v>
      </c>
      <c r="P182">
        <v>3.42</v>
      </c>
      <c r="R182">
        <v>0.54</v>
      </c>
      <c r="T182">
        <v>1.97</v>
      </c>
      <c r="V182">
        <v>0.24</v>
      </c>
      <c r="X182" t="s">
        <v>205</v>
      </c>
      <c r="AA182" t="s">
        <v>447</v>
      </c>
    </row>
    <row r="183" spans="1:27" hidden="1" x14ac:dyDescent="0.35">
      <c r="A183" t="s">
        <v>443</v>
      </c>
      <c r="C183">
        <v>-4.1410039999999997</v>
      </c>
      <c r="D183">
        <v>50.360878999999997</v>
      </c>
      <c r="E183">
        <v>2018</v>
      </c>
      <c r="F183" t="s">
        <v>196</v>
      </c>
      <c r="H183" t="s">
        <v>49</v>
      </c>
      <c r="I183">
        <v>4</v>
      </c>
      <c r="J183">
        <v>4</v>
      </c>
      <c r="K183" t="s">
        <v>28</v>
      </c>
      <c r="L183" t="s">
        <v>444</v>
      </c>
      <c r="M183" t="s">
        <v>449</v>
      </c>
      <c r="O183" t="s">
        <v>446</v>
      </c>
      <c r="P183">
        <v>3.42</v>
      </c>
      <c r="R183">
        <v>0.54</v>
      </c>
      <c r="T183">
        <v>2.5499999999999998</v>
      </c>
      <c r="V183">
        <v>0.23</v>
      </c>
      <c r="X183" t="s">
        <v>205</v>
      </c>
      <c r="AA183" t="s">
        <v>447</v>
      </c>
    </row>
    <row r="184" spans="1:27" hidden="1" x14ac:dyDescent="0.35">
      <c r="A184" t="s">
        <v>443</v>
      </c>
      <c r="C184">
        <v>-4.1410039999999997</v>
      </c>
      <c r="D184">
        <v>50.360878999999997</v>
      </c>
      <c r="E184">
        <v>2018</v>
      </c>
      <c r="F184" t="s">
        <v>450</v>
      </c>
      <c r="H184" t="s">
        <v>49</v>
      </c>
      <c r="I184">
        <v>4</v>
      </c>
      <c r="J184">
        <v>4</v>
      </c>
      <c r="K184" t="s">
        <v>55</v>
      </c>
      <c r="L184" t="s">
        <v>444</v>
      </c>
      <c r="M184" t="s">
        <v>451</v>
      </c>
      <c r="O184" t="s">
        <v>446</v>
      </c>
      <c r="P184">
        <v>2.3199999999999998</v>
      </c>
      <c r="R184">
        <v>0.33</v>
      </c>
      <c r="T184">
        <v>2.2999999999999998</v>
      </c>
      <c r="V184">
        <v>0.23</v>
      </c>
      <c r="X184" t="s">
        <v>205</v>
      </c>
      <c r="AA184" t="s">
        <v>447</v>
      </c>
    </row>
    <row r="185" spans="1:27" hidden="1" x14ac:dyDescent="0.35">
      <c r="A185" t="s">
        <v>443</v>
      </c>
      <c r="C185">
        <v>-4.1410039999999997</v>
      </c>
      <c r="D185">
        <v>50.360878999999997</v>
      </c>
      <c r="E185">
        <v>2018</v>
      </c>
      <c r="F185" t="s">
        <v>450</v>
      </c>
      <c r="H185" t="s">
        <v>49</v>
      </c>
      <c r="I185">
        <v>4</v>
      </c>
      <c r="J185">
        <v>4</v>
      </c>
      <c r="K185" t="s">
        <v>139</v>
      </c>
      <c r="L185" t="s">
        <v>444</v>
      </c>
      <c r="M185" t="s">
        <v>452</v>
      </c>
      <c r="O185" t="s">
        <v>446</v>
      </c>
      <c r="P185">
        <v>2.3199999999999998</v>
      </c>
      <c r="R185">
        <v>0.33</v>
      </c>
      <c r="T185">
        <v>2.72</v>
      </c>
      <c r="V185">
        <v>0.37</v>
      </c>
      <c r="X185" t="s">
        <v>205</v>
      </c>
      <c r="AA185" t="s">
        <v>447</v>
      </c>
    </row>
    <row r="186" spans="1:27" hidden="1" x14ac:dyDescent="0.35">
      <c r="A186" t="s">
        <v>443</v>
      </c>
      <c r="C186">
        <v>-4.1410039999999997</v>
      </c>
      <c r="D186">
        <v>50.360878999999997</v>
      </c>
      <c r="E186">
        <v>2018</v>
      </c>
      <c r="F186" t="s">
        <v>450</v>
      </c>
      <c r="H186" t="s">
        <v>49</v>
      </c>
      <c r="I186">
        <v>4</v>
      </c>
      <c r="J186">
        <v>4</v>
      </c>
      <c r="K186" t="s">
        <v>28</v>
      </c>
      <c r="L186" t="s">
        <v>444</v>
      </c>
      <c r="M186" t="s">
        <v>449</v>
      </c>
      <c r="O186" t="s">
        <v>446</v>
      </c>
      <c r="P186">
        <v>2.3199999999999998</v>
      </c>
      <c r="R186">
        <v>0.33</v>
      </c>
      <c r="T186">
        <v>3.43</v>
      </c>
      <c r="V186">
        <v>0.82</v>
      </c>
      <c r="X186" t="s">
        <v>205</v>
      </c>
      <c r="AA186" t="s">
        <v>447</v>
      </c>
    </row>
    <row r="187" spans="1:27" hidden="1" x14ac:dyDescent="0.35">
      <c r="A187" t="s">
        <v>453</v>
      </c>
      <c r="C187">
        <v>-4.097099</v>
      </c>
      <c r="D187">
        <v>53.242137</v>
      </c>
      <c r="E187">
        <v>2014</v>
      </c>
      <c r="F187" t="s">
        <v>133</v>
      </c>
      <c r="H187" t="s">
        <v>113</v>
      </c>
      <c r="I187">
        <v>20</v>
      </c>
      <c r="J187">
        <v>20</v>
      </c>
      <c r="K187" t="s">
        <v>55</v>
      </c>
      <c r="L187" t="s">
        <v>454</v>
      </c>
      <c r="M187" t="s">
        <v>455</v>
      </c>
      <c r="O187" t="s">
        <v>246</v>
      </c>
      <c r="P187">
        <v>4.09</v>
      </c>
      <c r="R187">
        <v>0.25</v>
      </c>
      <c r="T187">
        <v>3.8</v>
      </c>
      <c r="V187">
        <v>0.18</v>
      </c>
      <c r="X187" t="s">
        <v>127</v>
      </c>
      <c r="AA187" t="s">
        <v>456</v>
      </c>
    </row>
    <row r="188" spans="1:27" hidden="1" x14ac:dyDescent="0.35">
      <c r="A188" t="s">
        <v>453</v>
      </c>
      <c r="C188">
        <v>-4.097099</v>
      </c>
      <c r="D188">
        <v>53.242137</v>
      </c>
      <c r="E188">
        <v>2014</v>
      </c>
      <c r="F188" t="s">
        <v>133</v>
      </c>
      <c r="H188" t="s">
        <v>113</v>
      </c>
      <c r="I188">
        <v>20</v>
      </c>
      <c r="J188">
        <v>20</v>
      </c>
      <c r="K188" t="s">
        <v>139</v>
      </c>
      <c r="L188" t="s">
        <v>454</v>
      </c>
      <c r="M188" t="s">
        <v>457</v>
      </c>
      <c r="O188" t="s">
        <v>246</v>
      </c>
      <c r="P188">
        <v>4.09</v>
      </c>
      <c r="R188">
        <v>0.25</v>
      </c>
      <c r="T188">
        <v>3.27</v>
      </c>
      <c r="V188">
        <v>0.2</v>
      </c>
      <c r="X188" t="s">
        <v>127</v>
      </c>
      <c r="AA188" t="s">
        <v>456</v>
      </c>
    </row>
    <row r="189" spans="1:27" hidden="1" x14ac:dyDescent="0.35">
      <c r="A189" t="s">
        <v>453</v>
      </c>
      <c r="C189">
        <v>-4.097099</v>
      </c>
      <c r="D189">
        <v>53.242137</v>
      </c>
      <c r="E189">
        <v>2014</v>
      </c>
      <c r="F189" t="s">
        <v>133</v>
      </c>
      <c r="H189" t="s">
        <v>113</v>
      </c>
      <c r="I189">
        <v>20</v>
      </c>
      <c r="J189">
        <v>20</v>
      </c>
      <c r="K189" t="s">
        <v>28</v>
      </c>
      <c r="L189" t="s">
        <v>454</v>
      </c>
      <c r="M189" t="s">
        <v>458</v>
      </c>
      <c r="O189" t="s">
        <v>246</v>
      </c>
      <c r="P189">
        <v>4.09</v>
      </c>
      <c r="R189">
        <v>0.25</v>
      </c>
      <c r="T189">
        <v>2.89</v>
      </c>
      <c r="V189">
        <v>0.17</v>
      </c>
      <c r="X189" t="s">
        <v>127</v>
      </c>
      <c r="AA189" t="s">
        <v>456</v>
      </c>
    </row>
    <row r="190" spans="1:27" hidden="1" x14ac:dyDescent="0.35">
      <c r="A190" t="s">
        <v>459</v>
      </c>
      <c r="C190">
        <v>10.153959</v>
      </c>
      <c r="D190">
        <v>54.352524000000003</v>
      </c>
      <c r="E190">
        <v>2011</v>
      </c>
      <c r="F190" t="s">
        <v>133</v>
      </c>
      <c r="H190" t="s">
        <v>113</v>
      </c>
      <c r="I190">
        <v>4</v>
      </c>
      <c r="J190">
        <v>4</v>
      </c>
      <c r="K190" t="s">
        <v>55</v>
      </c>
      <c r="L190" t="s">
        <v>460</v>
      </c>
      <c r="M190" t="s">
        <v>461</v>
      </c>
      <c r="O190" t="s">
        <v>422</v>
      </c>
      <c r="P190">
        <v>1.2</v>
      </c>
      <c r="R190">
        <v>0.3</v>
      </c>
      <c r="T190">
        <v>1.5</v>
      </c>
      <c r="V190">
        <v>0.4</v>
      </c>
      <c r="X190" t="s">
        <v>127</v>
      </c>
      <c r="AA190" t="s">
        <v>462</v>
      </c>
    </row>
    <row r="191" spans="1:27" x14ac:dyDescent="0.35">
      <c r="A191" t="s">
        <v>463</v>
      </c>
      <c r="B191" t="s">
        <v>494</v>
      </c>
      <c r="C191">
        <v>12.291492999999999</v>
      </c>
      <c r="D191">
        <v>45.403950000000002</v>
      </c>
      <c r="E191">
        <v>2016</v>
      </c>
      <c r="F191" t="s">
        <v>361</v>
      </c>
      <c r="H191" t="s">
        <v>64</v>
      </c>
      <c r="I191">
        <v>200</v>
      </c>
      <c r="J191">
        <v>200</v>
      </c>
      <c r="K191" t="s">
        <v>55</v>
      </c>
      <c r="L191" t="s">
        <v>464</v>
      </c>
      <c r="M191" t="s">
        <v>465</v>
      </c>
      <c r="O191" t="s">
        <v>422</v>
      </c>
      <c r="P191">
        <v>114.94</v>
      </c>
      <c r="Q191" s="2" t="s">
        <v>497</v>
      </c>
      <c r="R191">
        <v>11.5</v>
      </c>
      <c r="S191">
        <v>11.5</v>
      </c>
      <c r="T191">
        <v>114</v>
      </c>
      <c r="U191" s="2" t="s">
        <v>497</v>
      </c>
      <c r="V191">
        <v>11.86</v>
      </c>
      <c r="W191">
        <v>11.86</v>
      </c>
      <c r="X191" t="s">
        <v>43</v>
      </c>
      <c r="AA191" t="s">
        <v>466</v>
      </c>
    </row>
    <row r="192" spans="1:27" hidden="1" x14ac:dyDescent="0.35">
      <c r="A192" t="s">
        <v>467</v>
      </c>
      <c r="C192">
        <v>3.9607570000000001</v>
      </c>
      <c r="D192">
        <v>51.556064999999997</v>
      </c>
      <c r="E192">
        <v>2017</v>
      </c>
      <c r="F192" t="s">
        <v>468</v>
      </c>
      <c r="H192" t="s">
        <v>469</v>
      </c>
      <c r="I192">
        <v>44</v>
      </c>
      <c r="J192">
        <v>44</v>
      </c>
      <c r="K192" t="s">
        <v>55</v>
      </c>
      <c r="L192" t="s">
        <v>470</v>
      </c>
      <c r="M192" t="s">
        <v>471</v>
      </c>
      <c r="O192" t="s">
        <v>246</v>
      </c>
      <c r="P192">
        <v>5.97</v>
      </c>
      <c r="R192">
        <v>0.26</v>
      </c>
      <c r="T192">
        <v>5.88</v>
      </c>
      <c r="V192">
        <v>0.17</v>
      </c>
      <c r="X192" t="s">
        <v>205</v>
      </c>
      <c r="AA192" t="s">
        <v>472</v>
      </c>
    </row>
    <row r="193" spans="1:27" hidden="1" x14ac:dyDescent="0.35">
      <c r="A193" t="s">
        <v>467</v>
      </c>
      <c r="C193">
        <v>3.9607570000000001</v>
      </c>
      <c r="D193">
        <v>51.556064999999997</v>
      </c>
      <c r="E193">
        <v>2017</v>
      </c>
      <c r="F193" t="s">
        <v>468</v>
      </c>
      <c r="H193" t="s">
        <v>469</v>
      </c>
      <c r="I193">
        <v>44</v>
      </c>
      <c r="J193">
        <v>44</v>
      </c>
      <c r="K193" t="s">
        <v>139</v>
      </c>
      <c r="L193" t="s">
        <v>470</v>
      </c>
      <c r="M193" t="s">
        <v>473</v>
      </c>
      <c r="O193" t="s">
        <v>246</v>
      </c>
      <c r="P193">
        <v>5.97</v>
      </c>
      <c r="R193">
        <v>0.26</v>
      </c>
      <c r="T193">
        <v>4.37</v>
      </c>
      <c r="V193">
        <v>0.23</v>
      </c>
      <c r="X193" t="s">
        <v>205</v>
      </c>
      <c r="AA193" t="s">
        <v>472</v>
      </c>
    </row>
    <row r="194" spans="1:27" hidden="1" x14ac:dyDescent="0.35">
      <c r="A194" t="s">
        <v>467</v>
      </c>
      <c r="C194">
        <v>3.9607570000000001</v>
      </c>
      <c r="D194">
        <v>51.556064999999997</v>
      </c>
      <c r="E194">
        <v>2017</v>
      </c>
      <c r="F194" t="s">
        <v>468</v>
      </c>
      <c r="H194" t="s">
        <v>469</v>
      </c>
      <c r="I194">
        <v>44</v>
      </c>
      <c r="J194">
        <v>44</v>
      </c>
      <c r="K194" t="s">
        <v>28</v>
      </c>
      <c r="L194" t="s">
        <v>470</v>
      </c>
      <c r="M194" t="s">
        <v>474</v>
      </c>
      <c r="O194" t="s">
        <v>246</v>
      </c>
      <c r="P194">
        <v>5.97</v>
      </c>
      <c r="R194">
        <v>0.26</v>
      </c>
      <c r="T194">
        <v>5.53</v>
      </c>
      <c r="V194">
        <v>0.2</v>
      </c>
      <c r="X194" t="s">
        <v>205</v>
      </c>
      <c r="AA194" t="s">
        <v>472</v>
      </c>
    </row>
    <row r="195" spans="1:27" x14ac:dyDescent="0.35">
      <c r="A195" t="s">
        <v>475</v>
      </c>
      <c r="B195" t="s">
        <v>494</v>
      </c>
      <c r="C195">
        <v>-0.55525999999999998</v>
      </c>
      <c r="D195">
        <v>38.187049999999999</v>
      </c>
      <c r="E195">
        <v>2016</v>
      </c>
      <c r="F195" t="s">
        <v>450</v>
      </c>
      <c r="H195" t="s">
        <v>49</v>
      </c>
      <c r="I195">
        <v>3</v>
      </c>
      <c r="J195">
        <v>3</v>
      </c>
      <c r="K195" t="s">
        <v>55</v>
      </c>
      <c r="L195">
        <v>7.9</v>
      </c>
      <c r="M195">
        <v>7.6</v>
      </c>
      <c r="O195" t="s">
        <v>394</v>
      </c>
      <c r="P195">
        <v>158.1</v>
      </c>
      <c r="Q195" s="2" t="s">
        <v>497</v>
      </c>
      <c r="R195">
        <v>0.5</v>
      </c>
      <c r="S195">
        <v>0.5</v>
      </c>
      <c r="T195">
        <v>160.1</v>
      </c>
      <c r="U195" s="2" t="s">
        <v>497</v>
      </c>
      <c r="V195">
        <v>0.3</v>
      </c>
      <c r="W195">
        <v>0.3</v>
      </c>
      <c r="X195" t="s">
        <v>43</v>
      </c>
      <c r="AA195" t="s">
        <v>447</v>
      </c>
    </row>
    <row r="196" spans="1:27" hidden="1" x14ac:dyDescent="0.35">
      <c r="A196" t="s">
        <v>476</v>
      </c>
      <c r="C196">
        <v>-4.1310690000000001</v>
      </c>
      <c r="D196">
        <v>50.365304999999999</v>
      </c>
      <c r="E196">
        <v>2018</v>
      </c>
      <c r="F196" t="s">
        <v>133</v>
      </c>
      <c r="H196" t="s">
        <v>113</v>
      </c>
      <c r="I196">
        <v>30</v>
      </c>
      <c r="J196">
        <v>30</v>
      </c>
      <c r="K196" t="s">
        <v>55</v>
      </c>
      <c r="L196">
        <v>8.06</v>
      </c>
      <c r="M196">
        <v>7.62</v>
      </c>
      <c r="O196" t="s">
        <v>477</v>
      </c>
      <c r="P196">
        <v>16.79</v>
      </c>
      <c r="R196">
        <v>0.28999999999999998</v>
      </c>
      <c r="T196">
        <v>14.52</v>
      </c>
      <c r="V196">
        <v>0.35</v>
      </c>
      <c r="X196" t="s">
        <v>205</v>
      </c>
      <c r="AA196" t="s">
        <v>456</v>
      </c>
    </row>
    <row r="197" spans="1:27" hidden="1" x14ac:dyDescent="0.35">
      <c r="A197" t="s">
        <v>478</v>
      </c>
      <c r="C197">
        <v>-7.7791309999999996</v>
      </c>
      <c r="D197">
        <v>55.190820000000002</v>
      </c>
      <c r="E197">
        <v>2013</v>
      </c>
      <c r="F197" t="s">
        <v>479</v>
      </c>
      <c r="H197" t="s">
        <v>61</v>
      </c>
      <c r="I197">
        <v>20</v>
      </c>
      <c r="J197">
        <v>20</v>
      </c>
      <c r="K197" t="s">
        <v>55</v>
      </c>
      <c r="L197">
        <v>7.99</v>
      </c>
      <c r="M197">
        <v>7.58</v>
      </c>
      <c r="O197" t="s">
        <v>480</v>
      </c>
      <c r="P197">
        <v>0.32500000000000001</v>
      </c>
      <c r="R197">
        <v>6.0999999999999999E-2</v>
      </c>
      <c r="T197">
        <v>2.7E-2</v>
      </c>
      <c r="V197">
        <v>7.9000000000000001E-2</v>
      </c>
      <c r="X197" t="s">
        <v>31</v>
      </c>
      <c r="AA197" t="s">
        <v>481</v>
      </c>
    </row>
    <row r="198" spans="1:27" hidden="1" x14ac:dyDescent="0.35">
      <c r="A198" t="s">
        <v>478</v>
      </c>
      <c r="C198">
        <v>-7.7791309999999996</v>
      </c>
      <c r="D198">
        <v>55.190820000000002</v>
      </c>
      <c r="E198">
        <v>2014</v>
      </c>
      <c r="F198" t="s">
        <v>479</v>
      </c>
      <c r="H198" t="s">
        <v>61</v>
      </c>
      <c r="I198">
        <v>20</v>
      </c>
      <c r="J198">
        <v>20</v>
      </c>
      <c r="K198" t="s">
        <v>55</v>
      </c>
      <c r="L198">
        <v>7.99</v>
      </c>
      <c r="M198">
        <v>7.58</v>
      </c>
      <c r="O198" t="s">
        <v>480</v>
      </c>
      <c r="P198">
        <v>0.16800000000000001</v>
      </c>
      <c r="R198">
        <v>0.127</v>
      </c>
      <c r="T198">
        <v>0.12</v>
      </c>
      <c r="V198">
        <v>7.2999999999999995E-2</v>
      </c>
      <c r="X198" t="s">
        <v>31</v>
      </c>
      <c r="AA198" t="s">
        <v>482</v>
      </c>
    </row>
    <row r="199" spans="1:27" hidden="1" x14ac:dyDescent="0.35">
      <c r="A199" t="s">
        <v>483</v>
      </c>
      <c r="C199">
        <v>5.7585800000000003</v>
      </c>
      <c r="D199">
        <v>59.010486</v>
      </c>
      <c r="E199">
        <v>2013</v>
      </c>
      <c r="F199" t="s">
        <v>479</v>
      </c>
      <c r="H199" t="s">
        <v>61</v>
      </c>
      <c r="I199">
        <v>19</v>
      </c>
      <c r="J199">
        <v>19</v>
      </c>
      <c r="K199" t="s">
        <v>55</v>
      </c>
      <c r="L199">
        <v>8.08</v>
      </c>
      <c r="M199">
        <v>7.65</v>
      </c>
      <c r="O199" t="s">
        <v>246</v>
      </c>
      <c r="P199">
        <v>11.24</v>
      </c>
      <c r="R199">
        <v>0.96</v>
      </c>
      <c r="T199">
        <v>11.63</v>
      </c>
      <c r="V199">
        <v>1.35</v>
      </c>
      <c r="X199" t="s">
        <v>127</v>
      </c>
      <c r="AA199" t="s">
        <v>484</v>
      </c>
    </row>
    <row r="200" spans="1:27" hidden="1" x14ac:dyDescent="0.35">
      <c r="A200" t="s">
        <v>485</v>
      </c>
      <c r="C200">
        <v>122.418843</v>
      </c>
      <c r="D200">
        <v>30.723158000000002</v>
      </c>
      <c r="E200">
        <v>2015</v>
      </c>
      <c r="F200" t="s">
        <v>296</v>
      </c>
      <c r="H200" t="s">
        <v>113</v>
      </c>
      <c r="I200">
        <v>3</v>
      </c>
      <c r="J200">
        <v>3</v>
      </c>
      <c r="K200" t="s">
        <v>50</v>
      </c>
      <c r="P200">
        <v>0.14399999999999999</v>
      </c>
      <c r="R200">
        <v>1.0999999999999999E-2</v>
      </c>
      <c r="T200">
        <v>0.13700000000000001</v>
      </c>
      <c r="V200">
        <v>1.6E-2</v>
      </c>
      <c r="X200" t="s">
        <v>205</v>
      </c>
      <c r="AA200" t="s">
        <v>486</v>
      </c>
    </row>
    <row r="201" spans="1:27" hidden="1" x14ac:dyDescent="0.35">
      <c r="A201" t="s">
        <v>485</v>
      </c>
      <c r="C201">
        <v>122.418843</v>
      </c>
      <c r="D201">
        <v>30.723158000000002</v>
      </c>
      <c r="E201">
        <v>2015</v>
      </c>
      <c r="F201" t="s">
        <v>296</v>
      </c>
      <c r="H201" t="s">
        <v>113</v>
      </c>
      <c r="I201">
        <v>3</v>
      </c>
      <c r="J201">
        <v>3</v>
      </c>
      <c r="K201" t="s">
        <v>57</v>
      </c>
      <c r="P201">
        <v>0.14399999999999999</v>
      </c>
      <c r="R201">
        <v>1.0999999999999999E-2</v>
      </c>
      <c r="T201">
        <v>0.13100000000000001</v>
      </c>
      <c r="V201">
        <v>1.4999999999999999E-2</v>
      </c>
      <c r="X201" t="s">
        <v>205</v>
      </c>
      <c r="AA201" t="s">
        <v>486</v>
      </c>
    </row>
    <row r="202" spans="1:27" hidden="1" x14ac:dyDescent="0.35">
      <c r="A202" t="s">
        <v>487</v>
      </c>
      <c r="C202">
        <v>10.163572</v>
      </c>
      <c r="D202">
        <v>54.367328000000001</v>
      </c>
      <c r="E202">
        <v>2010</v>
      </c>
      <c r="F202" t="s">
        <v>133</v>
      </c>
      <c r="H202" t="s">
        <v>113</v>
      </c>
      <c r="I202">
        <v>4</v>
      </c>
      <c r="J202">
        <v>4</v>
      </c>
      <c r="K202" t="s">
        <v>55</v>
      </c>
      <c r="L202">
        <v>8.0299999999999994</v>
      </c>
      <c r="M202">
        <v>7.7</v>
      </c>
      <c r="O202" t="s">
        <v>488</v>
      </c>
      <c r="P202">
        <v>319</v>
      </c>
      <c r="R202">
        <v>6.6</v>
      </c>
      <c r="T202">
        <v>297</v>
      </c>
      <c r="V202">
        <v>21.5</v>
      </c>
      <c r="X202" t="s">
        <v>31</v>
      </c>
      <c r="AA202" t="s">
        <v>442</v>
      </c>
    </row>
    <row r="203" spans="1:27" hidden="1" x14ac:dyDescent="0.35">
      <c r="A203" t="s">
        <v>489</v>
      </c>
      <c r="C203">
        <v>10.163572</v>
      </c>
      <c r="D203">
        <v>54.367328000000001</v>
      </c>
      <c r="E203">
        <v>2013</v>
      </c>
      <c r="F203" t="s">
        <v>133</v>
      </c>
      <c r="H203" t="s">
        <v>113</v>
      </c>
      <c r="I203">
        <v>7</v>
      </c>
      <c r="J203">
        <v>7</v>
      </c>
      <c r="K203" t="s">
        <v>55</v>
      </c>
      <c r="P203">
        <v>9.4</v>
      </c>
      <c r="R203">
        <v>3.4</v>
      </c>
      <c r="T203">
        <v>18.3</v>
      </c>
      <c r="V203">
        <v>6.8</v>
      </c>
      <c r="X203" t="s">
        <v>31</v>
      </c>
      <c r="AA203" t="s">
        <v>274</v>
      </c>
    </row>
    <row r="204" spans="1:27" hidden="1" x14ac:dyDescent="0.35">
      <c r="A204" t="s">
        <v>490</v>
      </c>
      <c r="C204">
        <v>10.163572</v>
      </c>
      <c r="D204">
        <v>54.367328000000001</v>
      </c>
      <c r="E204">
        <v>2010</v>
      </c>
      <c r="F204" t="s">
        <v>133</v>
      </c>
      <c r="H204" t="s">
        <v>113</v>
      </c>
      <c r="I204">
        <v>5</v>
      </c>
      <c r="J204">
        <v>5</v>
      </c>
      <c r="K204" t="s">
        <v>55</v>
      </c>
      <c r="L204">
        <v>8.1300000000000008</v>
      </c>
      <c r="M204">
        <v>7.72</v>
      </c>
      <c r="O204" t="s">
        <v>491</v>
      </c>
      <c r="P204">
        <v>21.4</v>
      </c>
      <c r="R204">
        <v>1.2</v>
      </c>
      <c r="T204">
        <v>21.2</v>
      </c>
      <c r="V204">
        <v>0.9</v>
      </c>
      <c r="X204" t="s">
        <v>31</v>
      </c>
      <c r="AA204" t="s">
        <v>492</v>
      </c>
    </row>
  </sheetData>
  <autoFilter ref="A1:AB204" xr:uid="{2CC58373-3D64-4A99-8B98-380871D58F08}">
    <filterColumn colId="1">
      <filters>
        <filter val="Yes"/>
      </filters>
    </filterColumn>
    <filterColumn colId="23">
      <filters>
        <filter val="Egg/larva"/>
      </filters>
    </filterColumn>
    <sortState xmlns:xlrd2="http://schemas.microsoft.com/office/spreadsheetml/2017/richdata2" ref="A3:AB195">
      <sortCondition ref="A1:A204"/>
    </sortState>
  </autoFilter>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bivalvecheckedCSV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Jypson Esturas</dc:creator>
  <cp:lastModifiedBy>Kris Esturas</cp:lastModifiedBy>
  <dcterms:created xsi:type="dcterms:W3CDTF">2025-10-06T00:47:33Z</dcterms:created>
  <dcterms:modified xsi:type="dcterms:W3CDTF">2026-07-05T16:19:30Z</dcterms:modified>
</cp:coreProperties>
</file>